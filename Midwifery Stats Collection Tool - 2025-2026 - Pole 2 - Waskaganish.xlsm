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ogr01\Desktop\FICHIER_DE_KATIA\"/>
    </mc:Choice>
  </mc:AlternateContent>
  <xr:revisionPtr revIDLastSave="0" documentId="13_ncr:1_{E5813779-7694-4EAF-8008-625A1267E9F2}" xr6:coauthVersionLast="36" xr6:coauthVersionMax="36" xr10:uidLastSave="{00000000-0000-0000-0000-000000000000}"/>
  <bookViews>
    <workbookView xWindow="0" yWindow="0" windowWidth="23040" windowHeight="9060" firstSheet="1" activeTab="1" xr2:uid="{00000000-000D-0000-FFFF-FFFF00000000}"/>
  </bookViews>
  <sheets>
    <sheet name="Lists" sheetId="4" state="hidden" r:id="rId1"/>
    <sheet name="Controls" sheetId="12" r:id="rId2"/>
    <sheet name="User Note" sheetId="31" r:id="rId3"/>
    <sheet name="Annual Statistics Template" sheetId="30" state="hidden" r:id="rId4"/>
    <sheet name="Demographics" sheetId="7" r:id="rId5"/>
    <sheet name="Prenatal Care" sheetId="33" r:id="rId6"/>
    <sheet name="Intrapartum Care" sheetId="35" r:id="rId7"/>
    <sheet name="Postnatal Care" sheetId="34" r:id="rId8"/>
    <sheet name="Throughout Midwifery Care" sheetId="37" r:id="rId9"/>
    <sheet name="Report1_Demographics" sheetId="9" state="hidden" r:id="rId10"/>
    <sheet name="Report2_Prenatal Care" sheetId="26" state="hidden" r:id="rId11"/>
    <sheet name="Report3_Intrapartum Care" sheetId="39" state="hidden" r:id="rId12"/>
    <sheet name="Report4_Postnatal Care" sheetId="40" state="hidden" r:id="rId13"/>
    <sheet name="Report5_Throughout Midwife Care" sheetId="43" state="hidden" r:id="rId14"/>
  </sheets>
  <externalReferences>
    <externalReference r:id="rId15"/>
  </externalReferences>
  <definedNames>
    <definedName name="_xlnm._FilterDatabase" localSheetId="4" hidden="1">Demographics!$A$4:$N$749</definedName>
    <definedName name="Active_Management">Lists!$BS$3:$BS$11</definedName>
    <definedName name="Actual_Place">Lists!$BE$2:$BE$22</definedName>
    <definedName name="Anemia">Lists!$AM$2:$AM$7</definedName>
    <definedName name="Anesthesia">Lists!$BJ$2:$BJ$7</definedName>
    <definedName name="Any_Health">Lists!$J$2:$J$6</definedName>
    <definedName name="Assisted_vaginal_Birth">Lists!$BN$2:$BN$7</definedName>
    <definedName name="Baby_transfer">Lists!$CK$2:$CK$6</definedName>
    <definedName name="Birth_Assistanct">Lists!$CC$2:$CC$6</definedName>
    <definedName name="Birth_Location">Lists!$BD$2:$BD$5</definedName>
    <definedName name="Birth_Position">Lists!$BG$2:$BG$9</definedName>
    <definedName name="Blood_Lost">Lists!$BR$2:$BR$9</definedName>
    <definedName name="Blood_Transfusion">Lists!$BT$2:$BT$5</definedName>
    <definedName name="BMI">Lists!$Z$2:$Z$9</definedName>
    <definedName name="Breastfeeding_within_the_first_hour">'Intrapartum Care'!$AL$5:$AL$6</definedName>
    <definedName name="C_Section">Lists!$AI$2:$AI$7</definedName>
    <definedName name="Care_Ending">Lists!$AV$2:$AV$7</definedName>
    <definedName name="CE_CLE">Lists!$AA$2:$AA$8</definedName>
    <definedName name="Chest_Comp">Lists!$BY$2:$BY$5</definedName>
    <definedName name="Community">Lists!$R$2:$R$12</definedName>
    <definedName name="Cons_Made">Lists!$AQ$2:$AQ$15</definedName>
    <definedName name="Consult_Made">Lists!$CE$2:$CE$13</definedName>
    <definedName name="Consultation_1">Lists!$AP$2:$AP$27</definedName>
    <definedName name="Delivery_Mode">Lists!$BF$2:$BF$11</definedName>
    <definedName name="Disclosed">Lists!$M$2:$M$6</definedName>
    <definedName name="Elder_Present">Lists!$D$2:$D$5</definedName>
    <definedName name="Eligible">Lists!$U$2:$U$6</definedName>
    <definedName name="Episiotomy">Lists!$BO$2:$BO$9</definedName>
    <definedName name="Estimated_Blood">Lists!$BR$2:$BR$9</definedName>
    <definedName name="Family_member_catching_the_baby?">Lists!$D$2:$D$5</definedName>
    <definedName name="Feeding_Last">Lists!$CL$2:$CL$6</definedName>
    <definedName name="Feeding_Type">Lists!$BZ$2:$BZ$7</definedName>
    <definedName name="Fetal_EFM">Lists!$BM$2:$BM$7</definedName>
    <definedName name="Fetal_IA">Lists!$BL$2:$BL$6</definedName>
    <definedName name="First_Appointment">Lists!$V$2:$V$9</definedName>
    <definedName name="First_Contact">Lists!$T$2:$T$4</definedName>
    <definedName name="GBS_ATB">Lists!$BI$2:$BI$5</definedName>
    <definedName name="GBS_Status">Lists!$BH$2:$BH$6</definedName>
    <definedName name="GDM">Lists!$AL$2:$AL$8</definedName>
    <definedName name="HCGender">Lists!$AG$2:$AG$5</definedName>
    <definedName name="High_Risk">Lists!$AK$2:$AK$7</definedName>
    <definedName name="How_Many_Wives">Lists!$CB$2:$CB$8</definedName>
    <definedName name="Immediate_Skin_to_Skin_at_Birth?">'Intrapartum Care'!$AK$5:$AK$6</definedName>
    <definedName name="Incubator">Lists!$CI$2:$CI$7</definedName>
    <definedName name="Intrapart">Lists!$E$2:$E$4</definedName>
    <definedName name="Intrapartum_Transfer_To">Lists!$CG$2:$CG$9</definedName>
    <definedName name="Maternal_Post_Cons">Lists!$CM$2:$CM$10</definedName>
    <definedName name="Maternal_Transfer_To">Lists!$CO$2:$CO$10</definedName>
    <definedName name="Med_Pre_cons">Lists!$N$2:$N$5</definedName>
    <definedName name="Medical_Evac">Lists!$CH$2:$CH$6</definedName>
    <definedName name="Mois">Lists!$BA$1:$BA$14</definedName>
    <definedName name="monthEnd">Lists!$AZ$2:$AZ$13</definedName>
    <definedName name="monthsStr">Lists!$AX$2:$AX$13</definedName>
    <definedName name="monthStart">Lists!$AY$2:$AY$13</definedName>
    <definedName name="Mother_Consult">Lists!$CJ$2:$CJ$8</definedName>
    <definedName name="MSP">Lists!$AW$2:$AW$12</definedName>
    <definedName name="N_A">Lists!$D$2:$D$5</definedName>
    <definedName name="Near_Miss">Lists!$I$2:$I$5</definedName>
    <definedName name="Neonatal_Chest">Lists!$BW$2:$BW$5</definedName>
    <definedName name="Neonatal_Vent">Lists!$BV$2:$BV$8</definedName>
    <definedName name="Never_Seen">Lists!$W$2:$W$9</definedName>
    <definedName name="New_Born_Cons">Lists!$CN$2:$CN$8</definedName>
    <definedName name="Nutrition_sourceProg">Lists!$V$2:$V$7</definedName>
    <definedName name="Other_Lacerations">Lists!$BQ$2:$BQ$10</definedName>
    <definedName name="Other_Profs">Lists!#REF!</definedName>
    <definedName name="P_VBAC">Lists!$AJ$2:$AJ$8</definedName>
    <definedName name="Pain_Medication">Lists!$BK$2:$BK$6</definedName>
    <definedName name="Perineal_Lacerations">Lists!$BP$2:$BP$8</definedName>
    <definedName name="Place_of_birth">Lists!$AB$2:$AB$6</definedName>
    <definedName name="Placenta">Lists!$CA$2:$CA$6</definedName>
    <definedName name="Poles">Lists!$Q$2:$Q$5</definedName>
    <definedName name="Postnatal">Lists!$G$2:$G$5</definedName>
    <definedName name="PPOB">Lists!$BC$2:$BC$4</definedName>
    <definedName name="Pre_Transfer">Lists!$AT$2:$AT$23</definedName>
    <definedName name="Pregnancy_Loss">Lists!$AH$2:$AH$6</definedName>
    <definedName name="Program">Lists!$L$2:$L$3</definedName>
    <definedName name="Reason_Consultation">Lists!$CQ$2:$CQ$10</definedName>
    <definedName name="Reason_Intrapartum_Consult">Lists!$CD$2:$CD$21</definedName>
    <definedName name="Reason_Intrapartum_Transfer">Lists!$CF$2:$CF$30</definedName>
    <definedName name="Reason_Pernatal_Transfer">Lists!$CR$2:$CR$18</definedName>
    <definedName name="Reason_Referral">Lists!$P$2:$P$18</definedName>
    <definedName name="Reason_Transfer">Lists!$CP$2:$CP$9</definedName>
    <definedName name="Ref_Num">#REF!</definedName>
    <definedName name="Refererral_To_Other">Lists!$AO$2:$AO$12</definedName>
    <definedName name="Referred_by">Lists!$O$2:$O$9</definedName>
    <definedName name="Share_Care">Lists!$AS$2:$AS$16</definedName>
    <definedName name="Shoulder_Dys">Lists!$BU$2:$BU$7</definedName>
    <definedName name="Souture">Lists!$F$2:$F$5</definedName>
    <definedName name="Status">Lists!$S$2:$S$5</definedName>
    <definedName name="STBBIs">Lists!$AN$2:$AN$12</definedName>
    <definedName name="Sub_Use">Lists!$Y$2:$Y$9</definedName>
    <definedName name="Teachings_Support">Lists!$AC$2:$AC$6</definedName>
    <definedName name="Telehealth">Lists!$AR$2:$AR$7</definedName>
    <definedName name="Throughout">Lists!$H$2:$H$5</definedName>
    <definedName name="Tobacco_Use">Lists!$X$2:$X$6</definedName>
    <definedName name="Transfer_To">Lists!$AU$2:$AU$13</definedName>
    <definedName name="Type_of_intervention">Lists!$P$2:$P$13</definedName>
    <definedName name="Ventilation">Lists!$BX$2:$BX$8</definedName>
    <definedName name="Woman_Health">Lists!#REF!</definedName>
    <definedName name="Y_N_Unk">Lists!$K$2:$K$5</definedName>
    <definedName name="Yes">Lists!$A$2:$A$3</definedName>
    <definedName name="Yes_NA">Lists!$B$2:$B$4</definedName>
    <definedName name="Yes_No">Lists!$C$2:$C$4</definedName>
    <definedName name="Ynunk">Lists!$K$2:$K$5</definedName>
    <definedName name="Z_C3C86D89_21D9_4571_BE3B_94983C2FC50D_.wvu.PrintArea" localSheetId="9" hidden="1">Report1_Demographics!$A$1:$BN$20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7" l="1"/>
  <c r="N9" i="7" s="1"/>
  <c r="E9" i="7"/>
  <c r="K8" i="7"/>
  <c r="N8" i="7" s="1"/>
  <c r="E8" i="7"/>
  <c r="K7" i="7"/>
  <c r="N7" i="7" s="1"/>
  <c r="E7" i="7"/>
  <c r="AH9" i="33"/>
  <c r="AE9" i="33"/>
  <c r="AD9" i="33"/>
  <c r="AC9" i="33"/>
  <c r="AB9" i="33"/>
  <c r="AA9" i="33"/>
  <c r="Z9" i="33"/>
  <c r="Y9" i="33"/>
  <c r="X9" i="33"/>
  <c r="W9" i="33"/>
  <c r="AF8" i="33"/>
  <c r="AH8" i="33" s="1"/>
  <c r="AE8" i="33"/>
  <c r="AD8" i="33"/>
  <c r="AC8" i="33"/>
  <c r="AB8" i="33"/>
  <c r="AA8" i="33"/>
  <c r="Z8" i="33"/>
  <c r="Y8" i="33"/>
  <c r="X8" i="33"/>
  <c r="W8" i="33"/>
  <c r="AF7" i="33"/>
  <c r="AH7" i="33" s="1"/>
  <c r="AE7" i="33"/>
  <c r="AD7" i="33"/>
  <c r="AC7" i="33"/>
  <c r="AB7" i="33"/>
  <c r="AA7" i="33"/>
  <c r="Z7" i="33"/>
  <c r="Y7" i="33"/>
  <c r="X7" i="33"/>
  <c r="W7" i="33"/>
  <c r="BH10" i="35"/>
  <c r="BG10" i="35"/>
  <c r="BF10" i="35"/>
  <c r="BE10" i="35"/>
  <c r="BC10" i="35"/>
  <c r="O10" i="35"/>
  <c r="BH9" i="35"/>
  <c r="BG9" i="35"/>
  <c r="BF9" i="35"/>
  <c r="BE9" i="35"/>
  <c r="BC9" i="35"/>
  <c r="O9" i="35"/>
  <c r="BH8" i="35"/>
  <c r="BG8" i="35"/>
  <c r="BF8" i="35"/>
  <c r="BE8" i="35"/>
  <c r="BC8" i="35"/>
  <c r="O8" i="35"/>
  <c r="BH7" i="35"/>
  <c r="BG7" i="35"/>
  <c r="BF7" i="35"/>
  <c r="BE7" i="35"/>
  <c r="BC7" i="35"/>
  <c r="O7" i="35"/>
  <c r="O9" i="34"/>
  <c r="N9" i="34"/>
  <c r="L9" i="34"/>
  <c r="K9" i="34"/>
  <c r="I9" i="34"/>
  <c r="H9" i="34"/>
  <c r="O8" i="34"/>
  <c r="N8" i="34"/>
  <c r="L8" i="34"/>
  <c r="K8" i="34"/>
  <c r="I8" i="34"/>
  <c r="H8" i="34"/>
  <c r="O7" i="34"/>
  <c r="N7" i="34"/>
  <c r="L7" i="34"/>
  <c r="K7" i="34"/>
  <c r="I7" i="34"/>
  <c r="H7" i="34"/>
  <c r="L9" i="7" l="1"/>
  <c r="M9" i="7"/>
  <c r="L8" i="7"/>
  <c r="M8" i="7"/>
  <c r="L7" i="7"/>
  <c r="M7" i="7"/>
  <c r="AG7" i="33"/>
  <c r="AG9" i="33"/>
  <c r="AG8" i="33"/>
  <c r="CR9" i="39" l="1"/>
  <c r="CR10" i="39"/>
  <c r="CR11" i="39"/>
  <c r="CR12" i="39"/>
  <c r="CR13" i="39"/>
  <c r="CR14" i="39"/>
  <c r="CR15" i="39"/>
  <c r="CR16" i="39"/>
  <c r="CR17" i="39"/>
  <c r="CR18" i="39"/>
  <c r="CR19" i="39"/>
  <c r="CR8" i="39"/>
  <c r="FP9" i="39"/>
  <c r="FP10" i="39"/>
  <c r="FP11" i="39"/>
  <c r="FP12" i="39"/>
  <c r="FP13" i="39"/>
  <c r="FP14" i="39"/>
  <c r="FP15" i="39"/>
  <c r="FP16" i="39"/>
  <c r="FP17" i="39"/>
  <c r="FP18" i="39"/>
  <c r="FP19" i="39"/>
  <c r="FP8" i="39"/>
  <c r="O6" i="34"/>
  <c r="O5" i="34"/>
  <c r="N6" i="34"/>
  <c r="N5" i="34"/>
  <c r="K6" i="34"/>
  <c r="L6" i="34"/>
  <c r="L5" i="34"/>
  <c r="I6" i="34"/>
  <c r="BK9" i="9" l="1"/>
  <c r="CR20" i="39"/>
  <c r="FP20" i="39"/>
  <c r="W6" i="33"/>
  <c r="CD9" i="26"/>
  <c r="CD10" i="26"/>
  <c r="CD11" i="26"/>
  <c r="CD12" i="26"/>
  <c r="CD13" i="26"/>
  <c r="CD14" i="26"/>
  <c r="CD15" i="26"/>
  <c r="CD16" i="26"/>
  <c r="CD17" i="26"/>
  <c r="CD18" i="26"/>
  <c r="CD19" i="26"/>
  <c r="CD8" i="26"/>
  <c r="AL9" i="9"/>
  <c r="AM9" i="9"/>
  <c r="AN9" i="9"/>
  <c r="AL10" i="9"/>
  <c r="AM10" i="9"/>
  <c r="AN10" i="9"/>
  <c r="AL11" i="9"/>
  <c r="AM11" i="9"/>
  <c r="AN11" i="9"/>
  <c r="AL12" i="9"/>
  <c r="AM12" i="9"/>
  <c r="AN12" i="9"/>
  <c r="AL13" i="9"/>
  <c r="AM13" i="9"/>
  <c r="AN13" i="9"/>
  <c r="AL14" i="9"/>
  <c r="AM14" i="9"/>
  <c r="AN14" i="9"/>
  <c r="AL15" i="9"/>
  <c r="AM15" i="9"/>
  <c r="AN15" i="9"/>
  <c r="AL16" i="9"/>
  <c r="AM16" i="9"/>
  <c r="AN16" i="9"/>
  <c r="AL17" i="9"/>
  <c r="AM17" i="9"/>
  <c r="AN17" i="9"/>
  <c r="AL18" i="9"/>
  <c r="AM18" i="9"/>
  <c r="AN18" i="9"/>
  <c r="AL19" i="9"/>
  <c r="AM19" i="9"/>
  <c r="AN19" i="9"/>
  <c r="AM8" i="9"/>
  <c r="AN8" i="9"/>
  <c r="AL8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5" i="7"/>
  <c r="E6" i="7"/>
  <c r="BK8" i="9" l="1"/>
  <c r="BK16" i="9"/>
  <c r="BK19" i="9"/>
  <c r="BK18" i="9"/>
  <c r="BK17" i="9"/>
  <c r="BK15" i="9"/>
  <c r="BK14" i="9"/>
  <c r="BK13" i="9"/>
  <c r="BK12" i="9"/>
  <c r="BK11" i="9"/>
  <c r="BK10" i="9"/>
  <c r="CD20" i="26"/>
  <c r="T20" i="9"/>
  <c r="Z10" i="9"/>
  <c r="Z9" i="9"/>
  <c r="Z19" i="9"/>
  <c r="Z18" i="9"/>
  <c r="Z17" i="9"/>
  <c r="Z15" i="9"/>
  <c r="Z14" i="9"/>
  <c r="Z13" i="9"/>
  <c r="Z12" i="9"/>
  <c r="Z11" i="9"/>
  <c r="Z16" i="9"/>
  <c r="BH6" i="35"/>
  <c r="BH5" i="35"/>
  <c r="BG6" i="35"/>
  <c r="BG5" i="35"/>
  <c r="BE6" i="35"/>
  <c r="BF6" i="35"/>
  <c r="BF5" i="35"/>
  <c r="BE5" i="35"/>
  <c r="BC6" i="35"/>
  <c r="BC5" i="35"/>
  <c r="BK20" i="9" l="1"/>
  <c r="JA11" i="39"/>
  <c r="JA13" i="39"/>
  <c r="JA18" i="39"/>
  <c r="JA17" i="39"/>
  <c r="JA19" i="39"/>
  <c r="JA12" i="39"/>
  <c r="JA8" i="39"/>
  <c r="JA10" i="39"/>
  <c r="JA14" i="39"/>
  <c r="JA9" i="39"/>
  <c r="JA16" i="39"/>
  <c r="JA15" i="39"/>
  <c r="JA20" i="39" l="1"/>
  <c r="K5" i="34"/>
  <c r="I5" i="34"/>
  <c r="H6" i="34"/>
  <c r="H5" i="34"/>
  <c r="AF6" i="33" l="1"/>
  <c r="AF5" i="33"/>
  <c r="AE6" i="33"/>
  <c r="AE5" i="33"/>
  <c r="AD6" i="33"/>
  <c r="AD5" i="33"/>
  <c r="AA6" i="33"/>
  <c r="AB6" i="33"/>
  <c r="AC6" i="33"/>
  <c r="AB5" i="33"/>
  <c r="AC5" i="33"/>
  <c r="AA5" i="33"/>
  <c r="Z6" i="33"/>
  <c r="Z5" i="33"/>
  <c r="Y6" i="33"/>
  <c r="X6" i="33"/>
  <c r="X5" i="33"/>
  <c r="Y5" i="33"/>
  <c r="W5" i="33"/>
  <c r="K6" i="7"/>
  <c r="M6" i="7" s="1"/>
  <c r="AH5" i="33" l="1"/>
  <c r="AG5" i="33"/>
  <c r="AH6" i="33"/>
  <c r="AG6" i="33"/>
  <c r="N6" i="7"/>
  <c r="L6" i="7"/>
  <c r="IJ9" i="39"/>
  <c r="IK9" i="39"/>
  <c r="IL9" i="39"/>
  <c r="IM9" i="39"/>
  <c r="IN9" i="39"/>
  <c r="IO9" i="39"/>
  <c r="IP9" i="39"/>
  <c r="IJ10" i="39"/>
  <c r="IK10" i="39"/>
  <c r="IL10" i="39"/>
  <c r="IM10" i="39"/>
  <c r="IN10" i="39"/>
  <c r="IO10" i="39"/>
  <c r="IP10" i="39"/>
  <c r="IJ11" i="39"/>
  <c r="IK11" i="39"/>
  <c r="IL11" i="39"/>
  <c r="IM11" i="39"/>
  <c r="IN11" i="39"/>
  <c r="IO11" i="39"/>
  <c r="IP11" i="39"/>
  <c r="IJ12" i="39"/>
  <c r="IK12" i="39"/>
  <c r="IL12" i="39"/>
  <c r="IM12" i="39"/>
  <c r="IN12" i="39"/>
  <c r="IO12" i="39"/>
  <c r="IP12" i="39"/>
  <c r="IJ13" i="39"/>
  <c r="IK13" i="39"/>
  <c r="IL13" i="39"/>
  <c r="IM13" i="39"/>
  <c r="IN13" i="39"/>
  <c r="IO13" i="39"/>
  <c r="IP13" i="39"/>
  <c r="IJ14" i="39"/>
  <c r="IK14" i="39"/>
  <c r="IL14" i="39"/>
  <c r="IM14" i="39"/>
  <c r="IN14" i="39"/>
  <c r="IO14" i="39"/>
  <c r="IP14" i="39"/>
  <c r="IJ15" i="39"/>
  <c r="IK15" i="39"/>
  <c r="IL15" i="39"/>
  <c r="IM15" i="39"/>
  <c r="IN15" i="39"/>
  <c r="IO15" i="39"/>
  <c r="IP15" i="39"/>
  <c r="IJ16" i="39"/>
  <c r="IK16" i="39"/>
  <c r="IL16" i="39"/>
  <c r="IM16" i="39"/>
  <c r="IN16" i="39"/>
  <c r="IO16" i="39"/>
  <c r="IP16" i="39"/>
  <c r="IJ17" i="39"/>
  <c r="IK17" i="39"/>
  <c r="IL17" i="39"/>
  <c r="IM17" i="39"/>
  <c r="IN17" i="39"/>
  <c r="IO17" i="39"/>
  <c r="IP17" i="39"/>
  <c r="IJ18" i="39"/>
  <c r="IK18" i="39"/>
  <c r="IL18" i="39"/>
  <c r="IM18" i="39"/>
  <c r="IN18" i="39"/>
  <c r="IO18" i="39"/>
  <c r="IP18" i="39"/>
  <c r="IJ19" i="39"/>
  <c r="IK19" i="39"/>
  <c r="IL19" i="39"/>
  <c r="IM19" i="39"/>
  <c r="IN19" i="39"/>
  <c r="IO19" i="39"/>
  <c r="IP19" i="39"/>
  <c r="IK8" i="39"/>
  <c r="IL8" i="39"/>
  <c r="IM8" i="39"/>
  <c r="IN8" i="39"/>
  <c r="IO8" i="39"/>
  <c r="IP8" i="39"/>
  <c r="IJ8" i="39"/>
  <c r="FZ9" i="39"/>
  <c r="GA9" i="39"/>
  <c r="GB9" i="39"/>
  <c r="GC9" i="39"/>
  <c r="GD9" i="39"/>
  <c r="GE9" i="39"/>
  <c r="GF9" i="39"/>
  <c r="GG9" i="39"/>
  <c r="GH9" i="39"/>
  <c r="GI9" i="39"/>
  <c r="GJ9" i="39"/>
  <c r="GK9" i="39"/>
  <c r="GL9" i="39"/>
  <c r="GM9" i="39"/>
  <c r="GN9" i="39"/>
  <c r="GO9" i="39"/>
  <c r="GP9" i="39"/>
  <c r="GQ9" i="39"/>
  <c r="GR9" i="39"/>
  <c r="GS9" i="39"/>
  <c r="FZ10" i="39"/>
  <c r="GA10" i="39"/>
  <c r="GB10" i="39"/>
  <c r="GC10" i="39"/>
  <c r="GD10" i="39"/>
  <c r="GE10" i="39"/>
  <c r="GF10" i="39"/>
  <c r="GG10" i="39"/>
  <c r="GH10" i="39"/>
  <c r="GI10" i="39"/>
  <c r="GJ10" i="39"/>
  <c r="GK10" i="39"/>
  <c r="GL10" i="39"/>
  <c r="GM10" i="39"/>
  <c r="GN10" i="39"/>
  <c r="GO10" i="39"/>
  <c r="GP10" i="39"/>
  <c r="GQ10" i="39"/>
  <c r="GR10" i="39"/>
  <c r="GS10" i="39"/>
  <c r="FZ11" i="39"/>
  <c r="GA11" i="39"/>
  <c r="GB11" i="39"/>
  <c r="GC11" i="39"/>
  <c r="GD11" i="39"/>
  <c r="GE11" i="39"/>
  <c r="GF11" i="39"/>
  <c r="GG11" i="39"/>
  <c r="GH11" i="39"/>
  <c r="GI11" i="39"/>
  <c r="GJ11" i="39"/>
  <c r="GK11" i="39"/>
  <c r="GL11" i="39"/>
  <c r="GM11" i="39"/>
  <c r="GN11" i="39"/>
  <c r="GO11" i="39"/>
  <c r="GP11" i="39"/>
  <c r="GQ11" i="39"/>
  <c r="GR11" i="39"/>
  <c r="GS11" i="39"/>
  <c r="FZ12" i="39"/>
  <c r="GA12" i="39"/>
  <c r="GB12" i="39"/>
  <c r="GC12" i="39"/>
  <c r="GD12" i="39"/>
  <c r="GE12" i="39"/>
  <c r="GF12" i="39"/>
  <c r="GG12" i="39"/>
  <c r="GH12" i="39"/>
  <c r="GI12" i="39"/>
  <c r="GJ12" i="39"/>
  <c r="GK12" i="39"/>
  <c r="GL12" i="39"/>
  <c r="GM12" i="39"/>
  <c r="GN12" i="39"/>
  <c r="GO12" i="39"/>
  <c r="GP12" i="39"/>
  <c r="GQ12" i="39"/>
  <c r="GR12" i="39"/>
  <c r="GS12" i="39"/>
  <c r="FZ13" i="39"/>
  <c r="GA13" i="39"/>
  <c r="GB13" i="39"/>
  <c r="GC13" i="39"/>
  <c r="GD13" i="39"/>
  <c r="GE13" i="39"/>
  <c r="GF13" i="39"/>
  <c r="GG13" i="39"/>
  <c r="GH13" i="39"/>
  <c r="GI13" i="39"/>
  <c r="GJ13" i="39"/>
  <c r="GK13" i="39"/>
  <c r="GL13" i="39"/>
  <c r="GM13" i="39"/>
  <c r="GN13" i="39"/>
  <c r="GO13" i="39"/>
  <c r="GP13" i="39"/>
  <c r="GQ13" i="39"/>
  <c r="GR13" i="39"/>
  <c r="GS13" i="39"/>
  <c r="FZ14" i="39"/>
  <c r="GA14" i="39"/>
  <c r="GB14" i="39"/>
  <c r="GC14" i="39"/>
  <c r="GD14" i="39"/>
  <c r="GE14" i="39"/>
  <c r="GF14" i="39"/>
  <c r="GG14" i="39"/>
  <c r="GH14" i="39"/>
  <c r="GI14" i="39"/>
  <c r="GJ14" i="39"/>
  <c r="GK14" i="39"/>
  <c r="GL14" i="39"/>
  <c r="GM14" i="39"/>
  <c r="GN14" i="39"/>
  <c r="GO14" i="39"/>
  <c r="GP14" i="39"/>
  <c r="GQ14" i="39"/>
  <c r="GR14" i="39"/>
  <c r="GS14" i="39"/>
  <c r="FZ15" i="39"/>
  <c r="GA15" i="39"/>
  <c r="GB15" i="39"/>
  <c r="GC15" i="39"/>
  <c r="GD15" i="39"/>
  <c r="GE15" i="39"/>
  <c r="GF15" i="39"/>
  <c r="GG15" i="39"/>
  <c r="GH15" i="39"/>
  <c r="GI15" i="39"/>
  <c r="GJ15" i="39"/>
  <c r="GK15" i="39"/>
  <c r="GL15" i="39"/>
  <c r="GM15" i="39"/>
  <c r="GN15" i="39"/>
  <c r="GO15" i="39"/>
  <c r="GP15" i="39"/>
  <c r="GQ15" i="39"/>
  <c r="GR15" i="39"/>
  <c r="GS15" i="39"/>
  <c r="FZ16" i="39"/>
  <c r="GA16" i="39"/>
  <c r="GB16" i="39"/>
  <c r="GC16" i="39"/>
  <c r="GD16" i="39"/>
  <c r="GE16" i="39"/>
  <c r="GF16" i="39"/>
  <c r="GG16" i="39"/>
  <c r="GH16" i="39"/>
  <c r="GI16" i="39"/>
  <c r="GJ16" i="39"/>
  <c r="GK16" i="39"/>
  <c r="GL16" i="39"/>
  <c r="GM16" i="39"/>
  <c r="GN16" i="39"/>
  <c r="GO16" i="39"/>
  <c r="GP16" i="39"/>
  <c r="GQ16" i="39"/>
  <c r="GR16" i="39"/>
  <c r="GS16" i="39"/>
  <c r="FZ17" i="39"/>
  <c r="GA17" i="39"/>
  <c r="GB17" i="39"/>
  <c r="GC17" i="39"/>
  <c r="GD17" i="39"/>
  <c r="GE17" i="39"/>
  <c r="GF17" i="39"/>
  <c r="GG17" i="39"/>
  <c r="GH17" i="39"/>
  <c r="GI17" i="39"/>
  <c r="GJ17" i="39"/>
  <c r="GK17" i="39"/>
  <c r="GL17" i="39"/>
  <c r="GM17" i="39"/>
  <c r="GN17" i="39"/>
  <c r="GO17" i="39"/>
  <c r="GP17" i="39"/>
  <c r="GQ17" i="39"/>
  <c r="GR17" i="39"/>
  <c r="GS17" i="39"/>
  <c r="FZ18" i="39"/>
  <c r="GA18" i="39"/>
  <c r="GB18" i="39"/>
  <c r="GC18" i="39"/>
  <c r="GD18" i="39"/>
  <c r="GE18" i="39"/>
  <c r="GF18" i="39"/>
  <c r="GG18" i="39"/>
  <c r="GH18" i="39"/>
  <c r="GI18" i="39"/>
  <c r="GJ18" i="39"/>
  <c r="GK18" i="39"/>
  <c r="GL18" i="39"/>
  <c r="GM18" i="39"/>
  <c r="GN18" i="39"/>
  <c r="GO18" i="39"/>
  <c r="GP18" i="39"/>
  <c r="GQ18" i="39"/>
  <c r="GR18" i="39"/>
  <c r="GS18" i="39"/>
  <c r="FZ19" i="39"/>
  <c r="GA19" i="39"/>
  <c r="GB19" i="39"/>
  <c r="GC19" i="39"/>
  <c r="GD19" i="39"/>
  <c r="GE19" i="39"/>
  <c r="GF19" i="39"/>
  <c r="GG19" i="39"/>
  <c r="GH19" i="39"/>
  <c r="GI19" i="39"/>
  <c r="GJ19" i="39"/>
  <c r="GK19" i="39"/>
  <c r="GL19" i="39"/>
  <c r="GM19" i="39"/>
  <c r="GN19" i="39"/>
  <c r="GO19" i="39"/>
  <c r="GP19" i="39"/>
  <c r="GQ19" i="39"/>
  <c r="GR19" i="39"/>
  <c r="GS19" i="39"/>
  <c r="GA8" i="39"/>
  <c r="GB8" i="39"/>
  <c r="GC8" i="39"/>
  <c r="GD8" i="39"/>
  <c r="GE8" i="39"/>
  <c r="GF8" i="39"/>
  <c r="GG8" i="39"/>
  <c r="GH8" i="39"/>
  <c r="GI8" i="39"/>
  <c r="GJ8" i="39"/>
  <c r="GK8" i="39"/>
  <c r="GL8" i="39"/>
  <c r="GM8" i="39"/>
  <c r="GN8" i="39"/>
  <c r="GO8" i="39"/>
  <c r="GP8" i="39"/>
  <c r="GQ8" i="39"/>
  <c r="GR8" i="39"/>
  <c r="GS8" i="39"/>
  <c r="FZ8" i="39"/>
  <c r="EG9" i="39"/>
  <c r="EG10" i="39"/>
  <c r="EG11" i="39"/>
  <c r="EG12" i="39"/>
  <c r="EG13" i="39"/>
  <c r="EG14" i="39"/>
  <c r="EG15" i="39"/>
  <c r="EG16" i="39"/>
  <c r="EG17" i="39"/>
  <c r="EG18" i="39"/>
  <c r="EG19" i="39"/>
  <c r="EG8" i="39"/>
  <c r="DO9" i="39"/>
  <c r="DP9" i="39"/>
  <c r="DQ9" i="39"/>
  <c r="DR9" i="39"/>
  <c r="DS9" i="39"/>
  <c r="DT9" i="39"/>
  <c r="DU9" i="39"/>
  <c r="DV9" i="39"/>
  <c r="DW9" i="39"/>
  <c r="DO10" i="39"/>
  <c r="DP10" i="39"/>
  <c r="DQ10" i="39"/>
  <c r="DR10" i="39"/>
  <c r="DS10" i="39"/>
  <c r="DT10" i="39"/>
  <c r="DU10" i="39"/>
  <c r="DV10" i="39"/>
  <c r="DW10" i="39"/>
  <c r="DO11" i="39"/>
  <c r="DP11" i="39"/>
  <c r="DQ11" i="39"/>
  <c r="DR11" i="39"/>
  <c r="DS11" i="39"/>
  <c r="DT11" i="39"/>
  <c r="DU11" i="39"/>
  <c r="DV11" i="39"/>
  <c r="DW11" i="39"/>
  <c r="DO12" i="39"/>
  <c r="DP12" i="39"/>
  <c r="DQ12" i="39"/>
  <c r="DR12" i="39"/>
  <c r="DS12" i="39"/>
  <c r="DT12" i="39"/>
  <c r="DU12" i="39"/>
  <c r="DV12" i="39"/>
  <c r="DW12" i="39"/>
  <c r="DO13" i="39"/>
  <c r="DP13" i="39"/>
  <c r="DQ13" i="39"/>
  <c r="DR13" i="39"/>
  <c r="DS13" i="39"/>
  <c r="DT13" i="39"/>
  <c r="DU13" i="39"/>
  <c r="DV13" i="39"/>
  <c r="DW13" i="39"/>
  <c r="DO14" i="39"/>
  <c r="DP14" i="39"/>
  <c r="DQ14" i="39"/>
  <c r="DR14" i="39"/>
  <c r="DS14" i="39"/>
  <c r="DT14" i="39"/>
  <c r="DU14" i="39"/>
  <c r="DV14" i="39"/>
  <c r="DW14" i="39"/>
  <c r="DO15" i="39"/>
  <c r="DP15" i="39"/>
  <c r="DQ15" i="39"/>
  <c r="DR15" i="39"/>
  <c r="DS15" i="39"/>
  <c r="DT15" i="39"/>
  <c r="DU15" i="39"/>
  <c r="DV15" i="39"/>
  <c r="DW15" i="39"/>
  <c r="DO16" i="39"/>
  <c r="DP16" i="39"/>
  <c r="DQ16" i="39"/>
  <c r="DR16" i="39"/>
  <c r="DS16" i="39"/>
  <c r="DT16" i="39"/>
  <c r="DU16" i="39"/>
  <c r="DV16" i="39"/>
  <c r="DW16" i="39"/>
  <c r="DO17" i="39"/>
  <c r="DP17" i="39"/>
  <c r="DQ17" i="39"/>
  <c r="DR17" i="39"/>
  <c r="DS17" i="39"/>
  <c r="DT17" i="39"/>
  <c r="DU17" i="39"/>
  <c r="DV17" i="39"/>
  <c r="DW17" i="39"/>
  <c r="DO18" i="39"/>
  <c r="DP18" i="39"/>
  <c r="DQ18" i="39"/>
  <c r="DR18" i="39"/>
  <c r="DS18" i="39"/>
  <c r="DT18" i="39"/>
  <c r="DU18" i="39"/>
  <c r="DV18" i="39"/>
  <c r="DW18" i="39"/>
  <c r="DO19" i="39"/>
  <c r="DP19" i="39"/>
  <c r="DQ19" i="39"/>
  <c r="DR19" i="39"/>
  <c r="DS19" i="39"/>
  <c r="DT19" i="39"/>
  <c r="DU19" i="39"/>
  <c r="DV19" i="39"/>
  <c r="DW19" i="39"/>
  <c r="DP8" i="39"/>
  <c r="DQ8" i="39"/>
  <c r="DR8" i="39"/>
  <c r="DS8" i="39"/>
  <c r="DT8" i="39"/>
  <c r="DU8" i="39"/>
  <c r="DV8" i="39"/>
  <c r="DW8" i="39"/>
  <c r="DO8" i="39"/>
  <c r="IQ19" i="39" l="1"/>
  <c r="IQ10" i="39"/>
  <c r="IQ18" i="39"/>
  <c r="IQ13" i="39"/>
  <c r="IQ17" i="39"/>
  <c r="IQ15" i="39"/>
  <c r="IQ11" i="39"/>
  <c r="IQ16" i="39"/>
  <c r="IQ9" i="39"/>
  <c r="IQ12" i="39"/>
  <c r="IQ8" i="39"/>
  <c r="IQ14" i="39"/>
  <c r="GA20" i="39"/>
  <c r="IJ20" i="39"/>
  <c r="GB20" i="39"/>
  <c r="EG20" i="39"/>
  <c r="DW20" i="39"/>
  <c r="DX10" i="39"/>
  <c r="DS20" i="39"/>
  <c r="DX19" i="39"/>
  <c r="DX15" i="39"/>
  <c r="DX11" i="39"/>
  <c r="DR20" i="39"/>
  <c r="DX18" i="39"/>
  <c r="DQ20" i="39"/>
  <c r="DV20" i="39"/>
  <c r="DU20" i="39"/>
  <c r="DP20" i="39"/>
  <c r="DX16" i="39"/>
  <c r="DX12" i="39"/>
  <c r="DX14" i="39"/>
  <c r="DT20" i="39"/>
  <c r="DX17" i="39"/>
  <c r="DX13" i="39"/>
  <c r="DX9" i="39"/>
  <c r="DO20" i="39"/>
  <c r="DX8" i="39"/>
  <c r="E9" i="39"/>
  <c r="F9" i="39"/>
  <c r="G9" i="39"/>
  <c r="E10" i="39"/>
  <c r="F10" i="39"/>
  <c r="G10" i="39"/>
  <c r="E11" i="39"/>
  <c r="F11" i="39"/>
  <c r="G11" i="39"/>
  <c r="E12" i="39"/>
  <c r="F12" i="39"/>
  <c r="G12" i="39"/>
  <c r="E13" i="39"/>
  <c r="F13" i="39"/>
  <c r="G13" i="39"/>
  <c r="E14" i="39"/>
  <c r="F14" i="39"/>
  <c r="G14" i="39"/>
  <c r="E15" i="39"/>
  <c r="F15" i="39"/>
  <c r="G15" i="39"/>
  <c r="E16" i="39"/>
  <c r="F16" i="39"/>
  <c r="G16" i="39"/>
  <c r="E17" i="39"/>
  <c r="F17" i="39"/>
  <c r="G17" i="39"/>
  <c r="E18" i="39"/>
  <c r="F18" i="39"/>
  <c r="G18" i="39"/>
  <c r="E19" i="39"/>
  <c r="F19" i="39"/>
  <c r="G19" i="39"/>
  <c r="F8" i="39"/>
  <c r="G8" i="39"/>
  <c r="E8" i="39"/>
  <c r="H8" i="39" s="1"/>
  <c r="AO9" i="40"/>
  <c r="AO10" i="40"/>
  <c r="AO11" i="40"/>
  <c r="AO12" i="40"/>
  <c r="AO13" i="40"/>
  <c r="AO14" i="40"/>
  <c r="AO15" i="40"/>
  <c r="AO16" i="40"/>
  <c r="AO17" i="40"/>
  <c r="AO18" i="40"/>
  <c r="AO19" i="40"/>
  <c r="AO8" i="40"/>
  <c r="AB9" i="40"/>
  <c r="AB10" i="40"/>
  <c r="AB11" i="40"/>
  <c r="AB12" i="40"/>
  <c r="AB13" i="40"/>
  <c r="AB14" i="40"/>
  <c r="AB15" i="40"/>
  <c r="AB16" i="40"/>
  <c r="AB17" i="40"/>
  <c r="AB18" i="40"/>
  <c r="AB19" i="40"/>
  <c r="AB8" i="40"/>
  <c r="O9" i="40"/>
  <c r="O10" i="40"/>
  <c r="O11" i="40"/>
  <c r="O12" i="40"/>
  <c r="O13" i="40"/>
  <c r="O14" i="40"/>
  <c r="O15" i="40"/>
  <c r="O16" i="40"/>
  <c r="O17" i="40"/>
  <c r="O18" i="40"/>
  <c r="O19" i="40"/>
  <c r="O8" i="40"/>
  <c r="DX20" i="39" l="1"/>
  <c r="JS9" i="26"/>
  <c r="JT9" i="26"/>
  <c r="JU9" i="26"/>
  <c r="JV9" i="26"/>
  <c r="JW9" i="26"/>
  <c r="JX9" i="26"/>
  <c r="JY9" i="26"/>
  <c r="JZ9" i="26"/>
  <c r="KA9" i="26"/>
  <c r="KB9" i="26"/>
  <c r="KC9" i="26"/>
  <c r="JS10" i="26"/>
  <c r="JT10" i="26"/>
  <c r="JU10" i="26"/>
  <c r="JV10" i="26"/>
  <c r="JW10" i="26"/>
  <c r="JX10" i="26"/>
  <c r="JY10" i="26"/>
  <c r="JZ10" i="26"/>
  <c r="KA10" i="26"/>
  <c r="KB10" i="26"/>
  <c r="KC10" i="26"/>
  <c r="JS11" i="26"/>
  <c r="JT11" i="26"/>
  <c r="JU11" i="26"/>
  <c r="JV11" i="26"/>
  <c r="JW11" i="26"/>
  <c r="JX11" i="26"/>
  <c r="JY11" i="26"/>
  <c r="JZ11" i="26"/>
  <c r="KA11" i="26"/>
  <c r="KB11" i="26"/>
  <c r="KC11" i="26"/>
  <c r="JS12" i="26"/>
  <c r="JT12" i="26"/>
  <c r="JU12" i="26"/>
  <c r="JV12" i="26"/>
  <c r="JW12" i="26"/>
  <c r="JX12" i="26"/>
  <c r="JY12" i="26"/>
  <c r="JZ12" i="26"/>
  <c r="KA12" i="26"/>
  <c r="KB12" i="26"/>
  <c r="KC12" i="26"/>
  <c r="JS13" i="26"/>
  <c r="JT13" i="26"/>
  <c r="JU13" i="26"/>
  <c r="JV13" i="26"/>
  <c r="JW13" i="26"/>
  <c r="JX13" i="26"/>
  <c r="JY13" i="26"/>
  <c r="JZ13" i="26"/>
  <c r="KA13" i="26"/>
  <c r="KB13" i="26"/>
  <c r="KC13" i="26"/>
  <c r="JS14" i="26"/>
  <c r="JT14" i="26"/>
  <c r="JU14" i="26"/>
  <c r="JV14" i="26"/>
  <c r="JW14" i="26"/>
  <c r="JX14" i="26"/>
  <c r="JY14" i="26"/>
  <c r="JZ14" i="26"/>
  <c r="KA14" i="26"/>
  <c r="KB14" i="26"/>
  <c r="KC14" i="26"/>
  <c r="JS15" i="26"/>
  <c r="JT15" i="26"/>
  <c r="JU15" i="26"/>
  <c r="JV15" i="26"/>
  <c r="JW15" i="26"/>
  <c r="JX15" i="26"/>
  <c r="JY15" i="26"/>
  <c r="JZ15" i="26"/>
  <c r="KA15" i="26"/>
  <c r="KB15" i="26"/>
  <c r="KC15" i="26"/>
  <c r="JS16" i="26"/>
  <c r="JT16" i="26"/>
  <c r="JU16" i="26"/>
  <c r="JV16" i="26"/>
  <c r="JW16" i="26"/>
  <c r="JX16" i="26"/>
  <c r="JY16" i="26"/>
  <c r="JZ16" i="26"/>
  <c r="KA16" i="26"/>
  <c r="KB16" i="26"/>
  <c r="KC16" i="26"/>
  <c r="JS17" i="26"/>
  <c r="JT17" i="26"/>
  <c r="JU17" i="26"/>
  <c r="JV17" i="26"/>
  <c r="JW17" i="26"/>
  <c r="JX17" i="26"/>
  <c r="JY17" i="26"/>
  <c r="JZ17" i="26"/>
  <c r="KA17" i="26"/>
  <c r="KB17" i="26"/>
  <c r="KC17" i="26"/>
  <c r="JS18" i="26"/>
  <c r="JT18" i="26"/>
  <c r="JU18" i="26"/>
  <c r="JV18" i="26"/>
  <c r="JW18" i="26"/>
  <c r="JX18" i="26"/>
  <c r="JY18" i="26"/>
  <c r="JZ18" i="26"/>
  <c r="KA18" i="26"/>
  <c r="KB18" i="26"/>
  <c r="KC18" i="26"/>
  <c r="JS19" i="26"/>
  <c r="JT19" i="26"/>
  <c r="JU19" i="26"/>
  <c r="JV19" i="26"/>
  <c r="JW19" i="26"/>
  <c r="JX19" i="26"/>
  <c r="JY19" i="26"/>
  <c r="JZ19" i="26"/>
  <c r="KA19" i="26"/>
  <c r="KB19" i="26"/>
  <c r="KC19" i="26"/>
  <c r="JT8" i="26"/>
  <c r="JU8" i="26"/>
  <c r="JV8" i="26"/>
  <c r="JW8" i="26"/>
  <c r="JX8" i="26"/>
  <c r="JY8" i="26"/>
  <c r="JZ8" i="26"/>
  <c r="KA8" i="26"/>
  <c r="KB8" i="26"/>
  <c r="KC8" i="26"/>
  <c r="JS8" i="26"/>
  <c r="IH9" i="26"/>
  <c r="II9" i="26"/>
  <c r="IJ9" i="26"/>
  <c r="IK9" i="26"/>
  <c r="IL9" i="26"/>
  <c r="IM9" i="26"/>
  <c r="IN9" i="26"/>
  <c r="IO9" i="26"/>
  <c r="IP9" i="26"/>
  <c r="IQ9" i="26"/>
  <c r="IR9" i="26"/>
  <c r="IS9" i="26"/>
  <c r="IT9" i="26"/>
  <c r="IH10" i="26"/>
  <c r="II10" i="26"/>
  <c r="IJ10" i="26"/>
  <c r="IK10" i="26"/>
  <c r="IL10" i="26"/>
  <c r="IM10" i="26"/>
  <c r="IN10" i="26"/>
  <c r="IO10" i="26"/>
  <c r="IP10" i="26"/>
  <c r="IQ10" i="26"/>
  <c r="IR10" i="26"/>
  <c r="IS10" i="26"/>
  <c r="IT10" i="26"/>
  <c r="IH11" i="26"/>
  <c r="II11" i="26"/>
  <c r="IJ11" i="26"/>
  <c r="IK11" i="26"/>
  <c r="IL11" i="26"/>
  <c r="IM11" i="26"/>
  <c r="IN11" i="26"/>
  <c r="IO11" i="26"/>
  <c r="IP11" i="26"/>
  <c r="IQ11" i="26"/>
  <c r="IR11" i="26"/>
  <c r="IS11" i="26"/>
  <c r="IT11" i="26"/>
  <c r="IH12" i="26"/>
  <c r="II12" i="26"/>
  <c r="IJ12" i="26"/>
  <c r="IK12" i="26"/>
  <c r="IL12" i="26"/>
  <c r="IM12" i="26"/>
  <c r="IN12" i="26"/>
  <c r="IO12" i="26"/>
  <c r="IP12" i="26"/>
  <c r="IQ12" i="26"/>
  <c r="IR12" i="26"/>
  <c r="IS12" i="26"/>
  <c r="IT12" i="26"/>
  <c r="IH13" i="26"/>
  <c r="II13" i="26"/>
  <c r="IJ13" i="26"/>
  <c r="IK13" i="26"/>
  <c r="IL13" i="26"/>
  <c r="IM13" i="26"/>
  <c r="IN13" i="26"/>
  <c r="IO13" i="26"/>
  <c r="IP13" i="26"/>
  <c r="IQ13" i="26"/>
  <c r="IR13" i="26"/>
  <c r="IS13" i="26"/>
  <c r="IT13" i="26"/>
  <c r="IH14" i="26"/>
  <c r="II14" i="26"/>
  <c r="IJ14" i="26"/>
  <c r="IK14" i="26"/>
  <c r="IL14" i="26"/>
  <c r="IM14" i="26"/>
  <c r="IN14" i="26"/>
  <c r="IO14" i="26"/>
  <c r="IP14" i="26"/>
  <c r="IQ14" i="26"/>
  <c r="IR14" i="26"/>
  <c r="IS14" i="26"/>
  <c r="IT14" i="26"/>
  <c r="IH15" i="26"/>
  <c r="II15" i="26"/>
  <c r="IJ15" i="26"/>
  <c r="IK15" i="26"/>
  <c r="IL15" i="26"/>
  <c r="IM15" i="26"/>
  <c r="IN15" i="26"/>
  <c r="IO15" i="26"/>
  <c r="IP15" i="26"/>
  <c r="IQ15" i="26"/>
  <c r="IR15" i="26"/>
  <c r="IS15" i="26"/>
  <c r="IT15" i="26"/>
  <c r="IH16" i="26"/>
  <c r="II16" i="26"/>
  <c r="IJ16" i="26"/>
  <c r="IK16" i="26"/>
  <c r="IL16" i="26"/>
  <c r="IM16" i="26"/>
  <c r="IN16" i="26"/>
  <c r="IO16" i="26"/>
  <c r="IP16" i="26"/>
  <c r="IQ16" i="26"/>
  <c r="IR16" i="26"/>
  <c r="IS16" i="26"/>
  <c r="IT16" i="26"/>
  <c r="IH17" i="26"/>
  <c r="II17" i="26"/>
  <c r="IJ17" i="26"/>
  <c r="IK17" i="26"/>
  <c r="IL17" i="26"/>
  <c r="IM17" i="26"/>
  <c r="IN17" i="26"/>
  <c r="IO17" i="26"/>
  <c r="IP17" i="26"/>
  <c r="IQ17" i="26"/>
  <c r="IR17" i="26"/>
  <c r="IS17" i="26"/>
  <c r="IT17" i="26"/>
  <c r="IH18" i="26"/>
  <c r="II18" i="26"/>
  <c r="IJ18" i="26"/>
  <c r="IK18" i="26"/>
  <c r="IL18" i="26"/>
  <c r="IM18" i="26"/>
  <c r="IN18" i="26"/>
  <c r="IO18" i="26"/>
  <c r="IP18" i="26"/>
  <c r="IQ18" i="26"/>
  <c r="IR18" i="26"/>
  <c r="IS18" i="26"/>
  <c r="IT18" i="26"/>
  <c r="IH19" i="26"/>
  <c r="II19" i="26"/>
  <c r="IJ19" i="26"/>
  <c r="IK19" i="26"/>
  <c r="IL19" i="26"/>
  <c r="IM19" i="26"/>
  <c r="IN19" i="26"/>
  <c r="IO19" i="26"/>
  <c r="IP19" i="26"/>
  <c r="IQ19" i="26"/>
  <c r="IR19" i="26"/>
  <c r="IS19" i="26"/>
  <c r="IT19" i="26"/>
  <c r="II8" i="26"/>
  <c r="IJ8" i="26"/>
  <c r="IK8" i="26"/>
  <c r="IL8" i="26"/>
  <c r="IM8" i="26"/>
  <c r="IN8" i="26"/>
  <c r="IO8" i="26"/>
  <c r="IP8" i="26"/>
  <c r="IQ8" i="26"/>
  <c r="IR8" i="26"/>
  <c r="IS8" i="26"/>
  <c r="IT8" i="26"/>
  <c r="IH8" i="26"/>
  <c r="IB9" i="26"/>
  <c r="IB10" i="26"/>
  <c r="IB11" i="26"/>
  <c r="IB12" i="26"/>
  <c r="IB13" i="26"/>
  <c r="IB14" i="26"/>
  <c r="IB15" i="26"/>
  <c r="IB16" i="26"/>
  <c r="IB17" i="26"/>
  <c r="IB18" i="26"/>
  <c r="IB19" i="26"/>
  <c r="IB8" i="26"/>
  <c r="HN9" i="26"/>
  <c r="HO9" i="26"/>
  <c r="HP9" i="26"/>
  <c r="HQ9" i="26"/>
  <c r="HR9" i="26"/>
  <c r="HS9" i="26"/>
  <c r="HT9" i="26"/>
  <c r="HU9" i="26"/>
  <c r="HV9" i="26"/>
  <c r="HW9" i="26"/>
  <c r="HX9" i="26"/>
  <c r="HY9" i="26"/>
  <c r="HZ9" i="26"/>
  <c r="HN10" i="26"/>
  <c r="HO10" i="26"/>
  <c r="HP10" i="26"/>
  <c r="HQ10" i="26"/>
  <c r="HR10" i="26"/>
  <c r="HS10" i="26"/>
  <c r="HT10" i="26"/>
  <c r="HU10" i="26"/>
  <c r="HV10" i="26"/>
  <c r="HW10" i="26"/>
  <c r="HX10" i="26"/>
  <c r="HY10" i="26"/>
  <c r="HZ10" i="26"/>
  <c r="HN11" i="26"/>
  <c r="HO11" i="26"/>
  <c r="HP11" i="26"/>
  <c r="HQ11" i="26"/>
  <c r="HR11" i="26"/>
  <c r="HS11" i="26"/>
  <c r="HT11" i="26"/>
  <c r="HU11" i="26"/>
  <c r="HV11" i="26"/>
  <c r="HW11" i="26"/>
  <c r="HX11" i="26"/>
  <c r="HY11" i="26"/>
  <c r="HZ11" i="26"/>
  <c r="HN12" i="26"/>
  <c r="HO12" i="26"/>
  <c r="HP12" i="26"/>
  <c r="HQ12" i="26"/>
  <c r="HR12" i="26"/>
  <c r="HS12" i="26"/>
  <c r="HT12" i="26"/>
  <c r="HU12" i="26"/>
  <c r="HV12" i="26"/>
  <c r="HW12" i="26"/>
  <c r="HX12" i="26"/>
  <c r="HY12" i="26"/>
  <c r="HZ12" i="26"/>
  <c r="HN13" i="26"/>
  <c r="HO13" i="26"/>
  <c r="HP13" i="26"/>
  <c r="HQ13" i="26"/>
  <c r="HR13" i="26"/>
  <c r="HS13" i="26"/>
  <c r="HT13" i="26"/>
  <c r="HU13" i="26"/>
  <c r="HV13" i="26"/>
  <c r="HW13" i="26"/>
  <c r="HX13" i="26"/>
  <c r="HY13" i="26"/>
  <c r="HZ13" i="26"/>
  <c r="HN14" i="26"/>
  <c r="HO14" i="26"/>
  <c r="HP14" i="26"/>
  <c r="HQ14" i="26"/>
  <c r="HR14" i="26"/>
  <c r="HS14" i="26"/>
  <c r="HT14" i="26"/>
  <c r="HU14" i="26"/>
  <c r="HV14" i="26"/>
  <c r="HW14" i="26"/>
  <c r="HX14" i="26"/>
  <c r="HY14" i="26"/>
  <c r="HZ14" i="26"/>
  <c r="HN15" i="26"/>
  <c r="HO15" i="26"/>
  <c r="HP15" i="26"/>
  <c r="HQ15" i="26"/>
  <c r="HR15" i="26"/>
  <c r="HS15" i="26"/>
  <c r="HT15" i="26"/>
  <c r="HU15" i="26"/>
  <c r="HV15" i="26"/>
  <c r="HW15" i="26"/>
  <c r="HX15" i="26"/>
  <c r="HY15" i="26"/>
  <c r="HZ15" i="26"/>
  <c r="HN16" i="26"/>
  <c r="HO16" i="26"/>
  <c r="HP16" i="26"/>
  <c r="HQ16" i="26"/>
  <c r="HR16" i="26"/>
  <c r="HS16" i="26"/>
  <c r="HT16" i="26"/>
  <c r="HU16" i="26"/>
  <c r="HV16" i="26"/>
  <c r="HW16" i="26"/>
  <c r="HX16" i="26"/>
  <c r="HY16" i="26"/>
  <c r="HZ16" i="26"/>
  <c r="HN17" i="26"/>
  <c r="HO17" i="26"/>
  <c r="HP17" i="26"/>
  <c r="HQ17" i="26"/>
  <c r="HR17" i="26"/>
  <c r="HS17" i="26"/>
  <c r="HT17" i="26"/>
  <c r="HU17" i="26"/>
  <c r="HV17" i="26"/>
  <c r="HW17" i="26"/>
  <c r="HX17" i="26"/>
  <c r="HY17" i="26"/>
  <c r="HZ17" i="26"/>
  <c r="HN18" i="26"/>
  <c r="HO18" i="26"/>
  <c r="HP18" i="26"/>
  <c r="HQ18" i="26"/>
  <c r="HR18" i="26"/>
  <c r="HS18" i="26"/>
  <c r="HT18" i="26"/>
  <c r="HU18" i="26"/>
  <c r="HV18" i="26"/>
  <c r="HW18" i="26"/>
  <c r="HX18" i="26"/>
  <c r="HY18" i="26"/>
  <c r="HZ18" i="26"/>
  <c r="HN19" i="26"/>
  <c r="HO19" i="26"/>
  <c r="HP19" i="26"/>
  <c r="HQ19" i="26"/>
  <c r="HR19" i="26"/>
  <c r="HS19" i="26"/>
  <c r="HT19" i="26"/>
  <c r="HU19" i="26"/>
  <c r="HV19" i="26"/>
  <c r="HW19" i="26"/>
  <c r="HX19" i="26"/>
  <c r="HY19" i="26"/>
  <c r="HZ19" i="26"/>
  <c r="HO8" i="26"/>
  <c r="HP8" i="26"/>
  <c r="HQ8" i="26"/>
  <c r="HR8" i="26"/>
  <c r="HS8" i="26"/>
  <c r="HT8" i="26"/>
  <c r="HU8" i="26"/>
  <c r="HV8" i="26"/>
  <c r="HW8" i="26"/>
  <c r="HX8" i="26"/>
  <c r="HY8" i="26"/>
  <c r="HZ8" i="26"/>
  <c r="GL9" i="26"/>
  <c r="GL10" i="26"/>
  <c r="GL11" i="26"/>
  <c r="GL12" i="26"/>
  <c r="GL13" i="26"/>
  <c r="GL14" i="26"/>
  <c r="GL15" i="26"/>
  <c r="GL16" i="26"/>
  <c r="GL17" i="26"/>
  <c r="GL18" i="26"/>
  <c r="GL19" i="26"/>
  <c r="GL8" i="26"/>
  <c r="KD11" i="26" l="1"/>
  <c r="KD12" i="26"/>
  <c r="KD13" i="26"/>
  <c r="KD14" i="26"/>
  <c r="KD15" i="26"/>
  <c r="KD16" i="26"/>
  <c r="KD17" i="26"/>
  <c r="KD18" i="26"/>
  <c r="KD19" i="26"/>
  <c r="KD9" i="26"/>
  <c r="KD8" i="26"/>
  <c r="KD10" i="26"/>
  <c r="JS20" i="26"/>
  <c r="II20" i="26"/>
  <c r="IJ20" i="26"/>
  <c r="IB20" i="26"/>
  <c r="HO20" i="26"/>
  <c r="GL20" i="26"/>
  <c r="DD9" i="26"/>
  <c r="DE9" i="26"/>
  <c r="DF9" i="26"/>
  <c r="DG9" i="26"/>
  <c r="DD10" i="26"/>
  <c r="DE10" i="26"/>
  <c r="DF10" i="26"/>
  <c r="DG10" i="26"/>
  <c r="DD11" i="26"/>
  <c r="DE11" i="26"/>
  <c r="DF11" i="26"/>
  <c r="DG11" i="26"/>
  <c r="DD12" i="26"/>
  <c r="DE12" i="26"/>
  <c r="DF12" i="26"/>
  <c r="DG12" i="26"/>
  <c r="DD13" i="26"/>
  <c r="DE13" i="26"/>
  <c r="DF13" i="26"/>
  <c r="DG13" i="26"/>
  <c r="DD14" i="26"/>
  <c r="DE14" i="26"/>
  <c r="DF14" i="26"/>
  <c r="DG14" i="26"/>
  <c r="DD15" i="26"/>
  <c r="DE15" i="26"/>
  <c r="DF15" i="26"/>
  <c r="DG15" i="26"/>
  <c r="DD16" i="26"/>
  <c r="DE16" i="26"/>
  <c r="DF16" i="26"/>
  <c r="DG16" i="26"/>
  <c r="DD17" i="26"/>
  <c r="DE17" i="26"/>
  <c r="DF17" i="26"/>
  <c r="DG17" i="26"/>
  <c r="DD18" i="26"/>
  <c r="DE18" i="26"/>
  <c r="DF18" i="26"/>
  <c r="DG18" i="26"/>
  <c r="DD19" i="26"/>
  <c r="DE19" i="26"/>
  <c r="DF19" i="26"/>
  <c r="DG19" i="26"/>
  <c r="DE8" i="26"/>
  <c r="DF8" i="26"/>
  <c r="DG8" i="26"/>
  <c r="DD8" i="26"/>
  <c r="CS9" i="26"/>
  <c r="CT9" i="26"/>
  <c r="CU9" i="26"/>
  <c r="CV9" i="26"/>
  <c r="CW9" i="26"/>
  <c r="CX9" i="26"/>
  <c r="CY9" i="26"/>
  <c r="CZ9" i="26"/>
  <c r="DA9" i="26"/>
  <c r="DB9" i="26"/>
  <c r="CS10" i="26"/>
  <c r="CT10" i="26"/>
  <c r="CU10" i="26"/>
  <c r="CV10" i="26"/>
  <c r="CW10" i="26"/>
  <c r="CX10" i="26"/>
  <c r="CY10" i="26"/>
  <c r="CZ10" i="26"/>
  <c r="DA10" i="26"/>
  <c r="DB10" i="26"/>
  <c r="CS11" i="26"/>
  <c r="CT11" i="26"/>
  <c r="CU11" i="26"/>
  <c r="CV11" i="26"/>
  <c r="CW11" i="26"/>
  <c r="CX11" i="26"/>
  <c r="CY11" i="26"/>
  <c r="CZ11" i="26"/>
  <c r="DA11" i="26"/>
  <c r="DB11" i="26"/>
  <c r="CS12" i="26"/>
  <c r="CT12" i="26"/>
  <c r="CU12" i="26"/>
  <c r="CV12" i="26"/>
  <c r="CW12" i="26"/>
  <c r="CX12" i="26"/>
  <c r="CY12" i="26"/>
  <c r="CZ12" i="26"/>
  <c r="DA12" i="26"/>
  <c r="DB12" i="26"/>
  <c r="CS13" i="26"/>
  <c r="CT13" i="26"/>
  <c r="CU13" i="26"/>
  <c r="CV13" i="26"/>
  <c r="CW13" i="26"/>
  <c r="CX13" i="26"/>
  <c r="CY13" i="26"/>
  <c r="CZ13" i="26"/>
  <c r="DA13" i="26"/>
  <c r="DB13" i="26"/>
  <c r="CS14" i="26"/>
  <c r="CT14" i="26"/>
  <c r="CU14" i="26"/>
  <c r="CV14" i="26"/>
  <c r="CW14" i="26"/>
  <c r="CX14" i="26"/>
  <c r="CY14" i="26"/>
  <c r="CZ14" i="26"/>
  <c r="DA14" i="26"/>
  <c r="DB14" i="26"/>
  <c r="CS15" i="26"/>
  <c r="CT15" i="26"/>
  <c r="CU15" i="26"/>
  <c r="CV15" i="26"/>
  <c r="CW15" i="26"/>
  <c r="CX15" i="26"/>
  <c r="CY15" i="26"/>
  <c r="CZ15" i="26"/>
  <c r="DA15" i="26"/>
  <c r="DB15" i="26"/>
  <c r="CS16" i="26"/>
  <c r="CT16" i="26"/>
  <c r="CU16" i="26"/>
  <c r="CV16" i="26"/>
  <c r="CW16" i="26"/>
  <c r="CX16" i="26"/>
  <c r="CY16" i="26"/>
  <c r="CZ16" i="26"/>
  <c r="DA16" i="26"/>
  <c r="DB16" i="26"/>
  <c r="CS17" i="26"/>
  <c r="CT17" i="26"/>
  <c r="CU17" i="26"/>
  <c r="CV17" i="26"/>
  <c r="CW17" i="26"/>
  <c r="CX17" i="26"/>
  <c r="CY17" i="26"/>
  <c r="CZ17" i="26"/>
  <c r="DA17" i="26"/>
  <c r="DB17" i="26"/>
  <c r="CS18" i="26"/>
  <c r="CT18" i="26"/>
  <c r="CU18" i="26"/>
  <c r="CV18" i="26"/>
  <c r="CW18" i="26"/>
  <c r="CX18" i="26"/>
  <c r="CY18" i="26"/>
  <c r="CZ18" i="26"/>
  <c r="DA18" i="26"/>
  <c r="DB18" i="26"/>
  <c r="CS19" i="26"/>
  <c r="CT19" i="26"/>
  <c r="CU19" i="26"/>
  <c r="CV19" i="26"/>
  <c r="CW19" i="26"/>
  <c r="CX19" i="26"/>
  <c r="CY19" i="26"/>
  <c r="CZ19" i="26"/>
  <c r="DA19" i="26"/>
  <c r="DB19" i="26"/>
  <c r="CT8" i="26"/>
  <c r="CU8" i="26"/>
  <c r="CV8" i="26"/>
  <c r="CW8" i="26"/>
  <c r="CX8" i="26"/>
  <c r="CY8" i="26"/>
  <c r="CZ8" i="26"/>
  <c r="DA8" i="26"/>
  <c r="DB8" i="26"/>
  <c r="CS8" i="26"/>
  <c r="AN9" i="26"/>
  <c r="AO9" i="26"/>
  <c r="AP9" i="26"/>
  <c r="AQ9" i="26"/>
  <c r="AN10" i="26"/>
  <c r="AO10" i="26"/>
  <c r="AP10" i="26"/>
  <c r="AQ10" i="26"/>
  <c r="AN11" i="26"/>
  <c r="AO11" i="26"/>
  <c r="AP11" i="26"/>
  <c r="AQ11" i="26"/>
  <c r="AN12" i="26"/>
  <c r="AO12" i="26"/>
  <c r="AP12" i="26"/>
  <c r="AQ12" i="26"/>
  <c r="AN13" i="26"/>
  <c r="AO13" i="26"/>
  <c r="AP13" i="26"/>
  <c r="AQ13" i="26"/>
  <c r="AN14" i="26"/>
  <c r="AO14" i="26"/>
  <c r="AP14" i="26"/>
  <c r="AQ14" i="26"/>
  <c r="AN15" i="26"/>
  <c r="AO15" i="26"/>
  <c r="AP15" i="26"/>
  <c r="AQ15" i="26"/>
  <c r="AN16" i="26"/>
  <c r="AO16" i="26"/>
  <c r="AP16" i="26"/>
  <c r="AQ16" i="26"/>
  <c r="AN17" i="26"/>
  <c r="AO17" i="26"/>
  <c r="AP17" i="26"/>
  <c r="AQ17" i="26"/>
  <c r="AN18" i="26"/>
  <c r="AO18" i="26"/>
  <c r="AP18" i="26"/>
  <c r="AQ18" i="26"/>
  <c r="AN19" i="26"/>
  <c r="AO19" i="26"/>
  <c r="AP19" i="26"/>
  <c r="AQ19" i="26"/>
  <c r="AO8" i="26"/>
  <c r="AP8" i="26"/>
  <c r="AQ8" i="26"/>
  <c r="AN8" i="26"/>
  <c r="AI9" i="26"/>
  <c r="AJ9" i="26"/>
  <c r="AK9" i="26"/>
  <c r="AL9" i="26"/>
  <c r="AI10" i="26"/>
  <c r="AJ10" i="26"/>
  <c r="AK10" i="26"/>
  <c r="AL10" i="26"/>
  <c r="AI11" i="26"/>
  <c r="AJ11" i="26"/>
  <c r="AK11" i="26"/>
  <c r="AL11" i="26"/>
  <c r="AI12" i="26"/>
  <c r="AJ12" i="26"/>
  <c r="AK12" i="26"/>
  <c r="AL12" i="26"/>
  <c r="AI13" i="26"/>
  <c r="AJ13" i="26"/>
  <c r="AK13" i="26"/>
  <c r="AL13" i="26"/>
  <c r="AI14" i="26"/>
  <c r="AJ14" i="26"/>
  <c r="AK14" i="26"/>
  <c r="AL14" i="26"/>
  <c r="AI15" i="26"/>
  <c r="AJ15" i="26"/>
  <c r="AK15" i="26"/>
  <c r="AL15" i="26"/>
  <c r="AI16" i="26"/>
  <c r="AJ16" i="26"/>
  <c r="AK16" i="26"/>
  <c r="AL16" i="26"/>
  <c r="AI17" i="26"/>
  <c r="AJ17" i="26"/>
  <c r="AK17" i="26"/>
  <c r="AL17" i="26"/>
  <c r="AI18" i="26"/>
  <c r="AJ18" i="26"/>
  <c r="AK18" i="26"/>
  <c r="AL18" i="26"/>
  <c r="AI19" i="26"/>
  <c r="AJ19" i="26"/>
  <c r="AK19" i="26"/>
  <c r="AL19" i="26"/>
  <c r="AJ8" i="26"/>
  <c r="AK8" i="26"/>
  <c r="AL8" i="26"/>
  <c r="AI8" i="26"/>
  <c r="AD9" i="26"/>
  <c r="AE9" i="26"/>
  <c r="AF9" i="26"/>
  <c r="AG9" i="26"/>
  <c r="AD10" i="26"/>
  <c r="AE10" i="26"/>
  <c r="AF10" i="26"/>
  <c r="AG10" i="26"/>
  <c r="AD11" i="26"/>
  <c r="AE11" i="26"/>
  <c r="AF11" i="26"/>
  <c r="AG11" i="26"/>
  <c r="AD12" i="26"/>
  <c r="AE12" i="26"/>
  <c r="AF12" i="26"/>
  <c r="AG12" i="26"/>
  <c r="AD13" i="26"/>
  <c r="AE13" i="26"/>
  <c r="AF13" i="26"/>
  <c r="AG13" i="26"/>
  <c r="AD14" i="26"/>
  <c r="AE14" i="26"/>
  <c r="AF14" i="26"/>
  <c r="AG14" i="26"/>
  <c r="AD15" i="26"/>
  <c r="AE15" i="26"/>
  <c r="AF15" i="26"/>
  <c r="AG15" i="26"/>
  <c r="AD16" i="26"/>
  <c r="AE16" i="26"/>
  <c r="AF16" i="26"/>
  <c r="AG16" i="26"/>
  <c r="AD17" i="26"/>
  <c r="AE17" i="26"/>
  <c r="AF17" i="26"/>
  <c r="AG17" i="26"/>
  <c r="AD18" i="26"/>
  <c r="AE18" i="26"/>
  <c r="AF18" i="26"/>
  <c r="AG18" i="26"/>
  <c r="AD19" i="26"/>
  <c r="AE19" i="26"/>
  <c r="AF19" i="26"/>
  <c r="AG19" i="26"/>
  <c r="AE8" i="26"/>
  <c r="AF8" i="26"/>
  <c r="AG8" i="26"/>
  <c r="AD8" i="26"/>
  <c r="W9" i="26"/>
  <c r="X9" i="26"/>
  <c r="Y9" i="26"/>
  <c r="Z9" i="26"/>
  <c r="AA9" i="26"/>
  <c r="AB9" i="26"/>
  <c r="W10" i="26"/>
  <c r="X10" i="26"/>
  <c r="Y10" i="26"/>
  <c r="Z10" i="26"/>
  <c r="AA10" i="26"/>
  <c r="AB10" i="26"/>
  <c r="W11" i="26"/>
  <c r="X11" i="26"/>
  <c r="Y11" i="26"/>
  <c r="Z11" i="26"/>
  <c r="AA11" i="26"/>
  <c r="AB11" i="26"/>
  <c r="W12" i="26"/>
  <c r="X12" i="26"/>
  <c r="Y12" i="26"/>
  <c r="Z12" i="26"/>
  <c r="AA12" i="26"/>
  <c r="AB12" i="26"/>
  <c r="W13" i="26"/>
  <c r="X13" i="26"/>
  <c r="Y13" i="26"/>
  <c r="Z13" i="26"/>
  <c r="AA13" i="26"/>
  <c r="AB13" i="26"/>
  <c r="W14" i="26"/>
  <c r="X14" i="26"/>
  <c r="Y14" i="26"/>
  <c r="Z14" i="26"/>
  <c r="AA14" i="26"/>
  <c r="AB14" i="26"/>
  <c r="W15" i="26"/>
  <c r="X15" i="26"/>
  <c r="Y15" i="26"/>
  <c r="Z15" i="26"/>
  <c r="AA15" i="26"/>
  <c r="AB15" i="26"/>
  <c r="W16" i="26"/>
  <c r="X16" i="26"/>
  <c r="Y16" i="26"/>
  <c r="Z16" i="26"/>
  <c r="AA16" i="26"/>
  <c r="AB16" i="26"/>
  <c r="W17" i="26"/>
  <c r="X17" i="26"/>
  <c r="Y17" i="26"/>
  <c r="Z17" i="26"/>
  <c r="AA17" i="26"/>
  <c r="AB17" i="26"/>
  <c r="W18" i="26"/>
  <c r="X18" i="26"/>
  <c r="Y18" i="26"/>
  <c r="Z18" i="26"/>
  <c r="AA18" i="26"/>
  <c r="AB18" i="26"/>
  <c r="W19" i="26"/>
  <c r="X19" i="26"/>
  <c r="Y19" i="26"/>
  <c r="Z19" i="26"/>
  <c r="AA19" i="26"/>
  <c r="AB19" i="26"/>
  <c r="X8" i="26"/>
  <c r="Y8" i="26"/>
  <c r="Z8" i="26"/>
  <c r="AA8" i="26"/>
  <c r="AB8" i="26"/>
  <c r="W8" i="26"/>
  <c r="O9" i="26"/>
  <c r="P9" i="26"/>
  <c r="Q9" i="26"/>
  <c r="R9" i="26"/>
  <c r="S9" i="26"/>
  <c r="T9" i="26"/>
  <c r="U9" i="26"/>
  <c r="O10" i="26"/>
  <c r="P10" i="26"/>
  <c r="Q10" i="26"/>
  <c r="R10" i="26"/>
  <c r="S10" i="26"/>
  <c r="T10" i="26"/>
  <c r="U10" i="26"/>
  <c r="O11" i="26"/>
  <c r="P11" i="26"/>
  <c r="Q11" i="26"/>
  <c r="R11" i="26"/>
  <c r="S11" i="26"/>
  <c r="T11" i="26"/>
  <c r="U11" i="26"/>
  <c r="O12" i="26"/>
  <c r="P12" i="26"/>
  <c r="Q12" i="26"/>
  <c r="R12" i="26"/>
  <c r="S12" i="26"/>
  <c r="T12" i="26"/>
  <c r="U12" i="26"/>
  <c r="O13" i="26"/>
  <c r="P13" i="26"/>
  <c r="Q13" i="26"/>
  <c r="R13" i="26"/>
  <c r="S13" i="26"/>
  <c r="T13" i="26"/>
  <c r="U13" i="26"/>
  <c r="O14" i="26"/>
  <c r="P14" i="26"/>
  <c r="Q14" i="26"/>
  <c r="R14" i="26"/>
  <c r="S14" i="26"/>
  <c r="T14" i="26"/>
  <c r="U14" i="26"/>
  <c r="O15" i="26"/>
  <c r="P15" i="26"/>
  <c r="Q15" i="26"/>
  <c r="R15" i="26"/>
  <c r="S15" i="26"/>
  <c r="T15" i="26"/>
  <c r="U15" i="26"/>
  <c r="O16" i="26"/>
  <c r="P16" i="26"/>
  <c r="Q16" i="26"/>
  <c r="R16" i="26"/>
  <c r="S16" i="26"/>
  <c r="T16" i="26"/>
  <c r="U16" i="26"/>
  <c r="O17" i="26"/>
  <c r="P17" i="26"/>
  <c r="Q17" i="26"/>
  <c r="R17" i="26"/>
  <c r="S17" i="26"/>
  <c r="T17" i="26"/>
  <c r="U17" i="26"/>
  <c r="O18" i="26"/>
  <c r="P18" i="26"/>
  <c r="Q18" i="26"/>
  <c r="R18" i="26"/>
  <c r="S18" i="26"/>
  <c r="T18" i="26"/>
  <c r="U18" i="26"/>
  <c r="O19" i="26"/>
  <c r="P19" i="26"/>
  <c r="Q19" i="26"/>
  <c r="R19" i="26"/>
  <c r="S19" i="26"/>
  <c r="T19" i="26"/>
  <c r="U19" i="26"/>
  <c r="P8" i="26"/>
  <c r="Q8" i="26"/>
  <c r="R8" i="26"/>
  <c r="S8" i="26"/>
  <c r="T8" i="26"/>
  <c r="U8" i="26"/>
  <c r="O8" i="26"/>
  <c r="B9" i="26"/>
  <c r="C9" i="26"/>
  <c r="D9" i="26"/>
  <c r="E9" i="26"/>
  <c r="B10" i="26"/>
  <c r="C10" i="26"/>
  <c r="D10" i="26"/>
  <c r="E10" i="26"/>
  <c r="B11" i="26"/>
  <c r="C11" i="26"/>
  <c r="D11" i="26"/>
  <c r="E11" i="26"/>
  <c r="B12" i="26"/>
  <c r="C12" i="26"/>
  <c r="D12" i="26"/>
  <c r="E12" i="26"/>
  <c r="B13" i="26"/>
  <c r="C13" i="26"/>
  <c r="D13" i="26"/>
  <c r="E13" i="26"/>
  <c r="B14" i="26"/>
  <c r="C14" i="26"/>
  <c r="D14" i="26"/>
  <c r="E14" i="26"/>
  <c r="B15" i="26"/>
  <c r="C15" i="26"/>
  <c r="D15" i="26"/>
  <c r="E15" i="26"/>
  <c r="B16" i="26"/>
  <c r="C16" i="26"/>
  <c r="D16" i="26"/>
  <c r="E16" i="26"/>
  <c r="B17" i="26"/>
  <c r="C17" i="26"/>
  <c r="D17" i="26"/>
  <c r="E17" i="26"/>
  <c r="B18" i="26"/>
  <c r="C18" i="26"/>
  <c r="D18" i="26"/>
  <c r="E18" i="26"/>
  <c r="B19" i="26"/>
  <c r="C19" i="26"/>
  <c r="D19" i="26"/>
  <c r="E19" i="26"/>
  <c r="C8" i="26"/>
  <c r="D8" i="26"/>
  <c r="E8" i="26"/>
  <c r="B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H8" i="26"/>
  <c r="I8" i="26"/>
  <c r="J8" i="26"/>
  <c r="K8" i="26"/>
  <c r="L8" i="26"/>
  <c r="M8" i="26"/>
  <c r="G8" i="26"/>
  <c r="DH9" i="26" l="1"/>
  <c r="CZ20" i="26"/>
  <c r="DC11" i="26"/>
  <c r="DH16" i="26"/>
  <c r="DH15" i="26"/>
  <c r="DH12" i="26"/>
  <c r="AR10" i="26"/>
  <c r="CY20" i="26"/>
  <c r="DC14" i="26"/>
  <c r="DC12" i="26"/>
  <c r="CW20" i="26"/>
  <c r="CV20" i="26"/>
  <c r="DC19" i="26"/>
  <c r="DC13" i="26"/>
  <c r="CU20" i="26"/>
  <c r="CT20" i="26"/>
  <c r="DC15" i="26"/>
  <c r="DC9" i="26"/>
  <c r="CS20" i="26"/>
  <c r="DC18" i="26"/>
  <c r="DB20" i="26"/>
  <c r="CX20" i="26"/>
  <c r="DC17" i="26"/>
  <c r="DC16" i="26"/>
  <c r="DA20" i="26"/>
  <c r="DC10" i="26"/>
  <c r="DH18" i="26"/>
  <c r="DH13" i="26"/>
  <c r="DH19" i="26"/>
  <c r="DH14" i="26"/>
  <c r="DH17" i="26"/>
  <c r="DH10" i="26"/>
  <c r="DH11" i="26"/>
  <c r="DH8" i="26"/>
  <c r="DC8" i="26"/>
  <c r="AH10" i="26"/>
  <c r="AH8" i="26"/>
  <c r="AM15" i="26"/>
  <c r="AH11" i="26"/>
  <c r="AR15" i="26"/>
  <c r="AM12" i="26"/>
  <c r="AC12" i="26"/>
  <c r="AC10" i="26"/>
  <c r="AM9" i="26"/>
  <c r="AR12" i="26"/>
  <c r="AR9" i="26"/>
  <c r="N18" i="26"/>
  <c r="N12" i="26"/>
  <c r="V18" i="26"/>
  <c r="V12" i="26"/>
  <c r="AH12" i="26"/>
  <c r="V10" i="26"/>
  <c r="AH13" i="26"/>
  <c r="AC19" i="26"/>
  <c r="O20" i="26"/>
  <c r="V14" i="26"/>
  <c r="AC9" i="26"/>
  <c r="AR8" i="26"/>
  <c r="S20" i="26"/>
  <c r="AH16" i="26"/>
  <c r="V9" i="26"/>
  <c r="G20" i="26"/>
  <c r="V19" i="26"/>
  <c r="AC8" i="26"/>
  <c r="AH18" i="26"/>
  <c r="AH15" i="26"/>
  <c r="AC15" i="26"/>
  <c r="AH9" i="26"/>
  <c r="V16" i="26"/>
  <c r="AC11" i="26"/>
  <c r="N9" i="26"/>
  <c r="V17" i="26"/>
  <c r="AA20" i="26"/>
  <c r="AH19" i="26"/>
  <c r="N10" i="26"/>
  <c r="R20" i="26"/>
  <c r="AC13" i="26"/>
  <c r="N14" i="26"/>
  <c r="K20" i="26"/>
  <c r="V15" i="26"/>
  <c r="N16" i="26"/>
  <c r="N19" i="26"/>
  <c r="N17" i="26"/>
  <c r="AC18" i="26"/>
  <c r="AC14" i="26"/>
  <c r="AH17" i="26"/>
  <c r="AH14" i="26"/>
  <c r="AC17" i="26"/>
  <c r="M20" i="26"/>
  <c r="L20" i="26"/>
  <c r="J20" i="26"/>
  <c r="I20" i="26"/>
  <c r="N15" i="26"/>
  <c r="Q20" i="26"/>
  <c r="H20" i="26"/>
  <c r="P20" i="26"/>
  <c r="AC16" i="26"/>
  <c r="N13" i="26"/>
  <c r="V13" i="26"/>
  <c r="AM19" i="26"/>
  <c r="N11" i="26"/>
  <c r="T20" i="26"/>
  <c r="V11" i="26"/>
  <c r="AM17" i="26"/>
  <c r="AM14" i="26"/>
  <c r="AM11" i="26"/>
  <c r="AR17" i="26"/>
  <c r="AR14" i="26"/>
  <c r="AR11" i="26"/>
  <c r="AM13" i="26"/>
  <c r="N8" i="26"/>
  <c r="V8" i="26"/>
  <c r="AM16" i="26"/>
  <c r="AM10" i="26"/>
  <c r="AR16" i="26"/>
  <c r="AR13" i="26"/>
  <c r="AR19" i="26"/>
  <c r="U20" i="26"/>
  <c r="AF20" i="26"/>
  <c r="AK20" i="26"/>
  <c r="AR18" i="26"/>
  <c r="AP20" i="26"/>
  <c r="AM18" i="26"/>
  <c r="AQ20" i="26"/>
  <c r="AO20" i="26"/>
  <c r="AL20" i="26"/>
  <c r="AJ20" i="26"/>
  <c r="AI20" i="26"/>
  <c r="AM8" i="26"/>
  <c r="AN20" i="26"/>
  <c r="AD20" i="26"/>
  <c r="AG20" i="26"/>
  <c r="AE20" i="26"/>
  <c r="AB20" i="26"/>
  <c r="Y20" i="26"/>
  <c r="Z20" i="26"/>
  <c r="X20" i="26"/>
  <c r="W20" i="26"/>
  <c r="F8" i="26"/>
  <c r="E20" i="26"/>
  <c r="D20" i="26"/>
  <c r="C20" i="26"/>
  <c r="B20" i="26"/>
  <c r="F19" i="26"/>
  <c r="F18" i="26"/>
  <c r="F17" i="26"/>
  <c r="F16" i="26"/>
  <c r="F15" i="26"/>
  <c r="F14" i="26"/>
  <c r="F13" i="26"/>
  <c r="F12" i="26"/>
  <c r="F11" i="26"/>
  <c r="F10" i="26"/>
  <c r="F9" i="26"/>
  <c r="DC20" i="26" l="1"/>
  <c r="AH20" i="26"/>
  <c r="V20" i="26"/>
  <c r="AC20" i="26"/>
  <c r="N20" i="26"/>
  <c r="AM20" i="26"/>
  <c r="AR20" i="26"/>
  <c r="F20" i="26"/>
  <c r="X20" i="9" l="1"/>
  <c r="U20" i="9"/>
  <c r="Y20" i="9"/>
  <c r="W20" i="9"/>
  <c r="V20" i="9"/>
  <c r="K21" i="12"/>
  <c r="K22" i="12"/>
  <c r="K23" i="12"/>
  <c r="K24" i="12"/>
  <c r="K25" i="12"/>
  <c r="K26" i="12"/>
  <c r="K27" i="12"/>
  <c r="K28" i="12"/>
  <c r="K29" i="12"/>
  <c r="K30" i="12"/>
  <c r="K31" i="12"/>
  <c r="G21" i="12"/>
  <c r="G22" i="12"/>
  <c r="G23" i="12"/>
  <c r="G24" i="12"/>
  <c r="G25" i="12"/>
  <c r="G26" i="12"/>
  <c r="G27" i="12"/>
  <c r="G28" i="12"/>
  <c r="G29" i="12"/>
  <c r="G30" i="12"/>
  <c r="G31" i="12"/>
  <c r="G20" i="12"/>
  <c r="K20" i="12"/>
  <c r="J21" i="12"/>
  <c r="J22" i="12"/>
  <c r="J23" i="12"/>
  <c r="J24" i="12"/>
  <c r="J25" i="12"/>
  <c r="J26" i="12"/>
  <c r="J27" i="12"/>
  <c r="J28" i="12"/>
  <c r="J29" i="12"/>
  <c r="J30" i="12"/>
  <c r="J31" i="12"/>
  <c r="J20" i="12"/>
  <c r="I21" i="12"/>
  <c r="I22" i="12"/>
  <c r="I23" i="12"/>
  <c r="I24" i="12"/>
  <c r="I25" i="12"/>
  <c r="I26" i="12"/>
  <c r="I27" i="12"/>
  <c r="I28" i="12"/>
  <c r="I29" i="12"/>
  <c r="I30" i="12"/>
  <c r="I31" i="12"/>
  <c r="I20" i="12"/>
  <c r="H21" i="12"/>
  <c r="H22" i="12"/>
  <c r="H23" i="12"/>
  <c r="H24" i="12"/>
  <c r="H25" i="12"/>
  <c r="H26" i="12"/>
  <c r="H27" i="12"/>
  <c r="H28" i="12"/>
  <c r="H29" i="12"/>
  <c r="H30" i="12"/>
  <c r="H31" i="12"/>
  <c r="H20" i="12"/>
  <c r="AB9" i="43" l="1"/>
  <c r="AC9" i="43"/>
  <c r="AD9" i="43"/>
  <c r="AB10" i="43"/>
  <c r="AC10" i="43"/>
  <c r="AD10" i="43"/>
  <c r="AB11" i="43"/>
  <c r="AC11" i="43"/>
  <c r="AD11" i="43"/>
  <c r="AB12" i="43"/>
  <c r="AC12" i="43"/>
  <c r="AD12" i="43"/>
  <c r="AB13" i="43"/>
  <c r="AC13" i="43"/>
  <c r="AD13" i="43"/>
  <c r="AB14" i="43"/>
  <c r="AC14" i="43"/>
  <c r="AD14" i="43"/>
  <c r="AB15" i="43"/>
  <c r="AC15" i="43"/>
  <c r="AD15" i="43"/>
  <c r="AB16" i="43"/>
  <c r="AC16" i="43"/>
  <c r="AD16" i="43"/>
  <c r="AB17" i="43"/>
  <c r="AC17" i="43"/>
  <c r="AD17" i="43"/>
  <c r="AB18" i="43"/>
  <c r="AC18" i="43"/>
  <c r="AD18" i="43"/>
  <c r="AB19" i="43"/>
  <c r="AC19" i="43"/>
  <c r="AD19" i="43"/>
  <c r="AC8" i="43"/>
  <c r="AD8" i="43"/>
  <c r="AB8" i="43"/>
  <c r="X9" i="43"/>
  <c r="Y9" i="43"/>
  <c r="Z9" i="43"/>
  <c r="X10" i="43"/>
  <c r="Y10" i="43"/>
  <c r="Z10" i="43"/>
  <c r="X11" i="43"/>
  <c r="Y11" i="43"/>
  <c r="Z11" i="43"/>
  <c r="X12" i="43"/>
  <c r="Y12" i="43"/>
  <c r="Z12" i="43"/>
  <c r="X13" i="43"/>
  <c r="Y13" i="43"/>
  <c r="Z13" i="43"/>
  <c r="X14" i="43"/>
  <c r="Y14" i="43"/>
  <c r="Z14" i="43"/>
  <c r="X15" i="43"/>
  <c r="Y15" i="43"/>
  <c r="Z15" i="43"/>
  <c r="X16" i="43"/>
  <c r="Y16" i="43"/>
  <c r="Z16" i="43"/>
  <c r="X17" i="43"/>
  <c r="Y17" i="43"/>
  <c r="Z17" i="43"/>
  <c r="X18" i="43"/>
  <c r="Y18" i="43"/>
  <c r="Z18" i="43"/>
  <c r="X19" i="43"/>
  <c r="Y19" i="43"/>
  <c r="Z19" i="43"/>
  <c r="Y8" i="43"/>
  <c r="Z8" i="43"/>
  <c r="X8" i="43"/>
  <c r="T9" i="43"/>
  <c r="U9" i="43"/>
  <c r="V9" i="43"/>
  <c r="T10" i="43"/>
  <c r="U10" i="43"/>
  <c r="V10" i="43"/>
  <c r="T11" i="43"/>
  <c r="U11" i="43"/>
  <c r="V11" i="43"/>
  <c r="T12" i="43"/>
  <c r="U12" i="43"/>
  <c r="V12" i="43"/>
  <c r="T13" i="43"/>
  <c r="U13" i="43"/>
  <c r="V13" i="43"/>
  <c r="T14" i="43"/>
  <c r="U14" i="43"/>
  <c r="V14" i="43"/>
  <c r="T15" i="43"/>
  <c r="U15" i="43"/>
  <c r="V15" i="43"/>
  <c r="T16" i="43"/>
  <c r="U16" i="43"/>
  <c r="V16" i="43"/>
  <c r="T17" i="43"/>
  <c r="U17" i="43"/>
  <c r="V17" i="43"/>
  <c r="T18" i="43"/>
  <c r="U18" i="43"/>
  <c r="V18" i="43"/>
  <c r="T19" i="43"/>
  <c r="U19" i="43"/>
  <c r="V19" i="43"/>
  <c r="U8" i="43"/>
  <c r="V8" i="43"/>
  <c r="T8" i="43"/>
  <c r="O9" i="43"/>
  <c r="P9" i="43"/>
  <c r="Q9" i="43"/>
  <c r="R9" i="43"/>
  <c r="O10" i="43"/>
  <c r="P10" i="43"/>
  <c r="Q10" i="43"/>
  <c r="R10" i="43"/>
  <c r="O11" i="43"/>
  <c r="P11" i="43"/>
  <c r="Q11" i="43"/>
  <c r="R11" i="43"/>
  <c r="O12" i="43"/>
  <c r="P12" i="43"/>
  <c r="Q12" i="43"/>
  <c r="R12" i="43"/>
  <c r="O13" i="43"/>
  <c r="P13" i="43"/>
  <c r="Q13" i="43"/>
  <c r="R13" i="43"/>
  <c r="O14" i="43"/>
  <c r="P14" i="43"/>
  <c r="Q14" i="43"/>
  <c r="R14" i="43"/>
  <c r="O15" i="43"/>
  <c r="P15" i="43"/>
  <c r="Q15" i="43"/>
  <c r="R15" i="43"/>
  <c r="O16" i="43"/>
  <c r="P16" i="43"/>
  <c r="Q16" i="43"/>
  <c r="R16" i="43"/>
  <c r="O17" i="43"/>
  <c r="P17" i="43"/>
  <c r="Q17" i="43"/>
  <c r="R17" i="43"/>
  <c r="O18" i="43"/>
  <c r="P18" i="43"/>
  <c r="Q18" i="43"/>
  <c r="R18" i="43"/>
  <c r="O19" i="43"/>
  <c r="P19" i="43"/>
  <c r="Q19" i="43"/>
  <c r="R19" i="43"/>
  <c r="P8" i="43"/>
  <c r="Q8" i="43"/>
  <c r="R8" i="43"/>
  <c r="O8" i="43"/>
  <c r="J9" i="43"/>
  <c r="K9" i="43"/>
  <c r="L9" i="43"/>
  <c r="M9" i="43"/>
  <c r="J10" i="43"/>
  <c r="K10" i="43"/>
  <c r="L10" i="43"/>
  <c r="M10" i="43"/>
  <c r="J11" i="43"/>
  <c r="K11" i="43"/>
  <c r="L11" i="43"/>
  <c r="M11" i="43"/>
  <c r="J12" i="43"/>
  <c r="K12" i="43"/>
  <c r="L12" i="43"/>
  <c r="M12" i="43"/>
  <c r="J13" i="43"/>
  <c r="K13" i="43"/>
  <c r="L13" i="43"/>
  <c r="M13" i="43"/>
  <c r="J14" i="43"/>
  <c r="K14" i="43"/>
  <c r="L14" i="43"/>
  <c r="M14" i="43"/>
  <c r="J15" i="43"/>
  <c r="K15" i="43"/>
  <c r="L15" i="43"/>
  <c r="M15" i="43"/>
  <c r="J16" i="43"/>
  <c r="K16" i="43"/>
  <c r="L16" i="43"/>
  <c r="M16" i="43"/>
  <c r="J17" i="43"/>
  <c r="K17" i="43"/>
  <c r="L17" i="43"/>
  <c r="M17" i="43"/>
  <c r="J18" i="43"/>
  <c r="K18" i="43"/>
  <c r="L18" i="43"/>
  <c r="M18" i="43"/>
  <c r="J19" i="43"/>
  <c r="K19" i="43"/>
  <c r="L19" i="43"/>
  <c r="M19" i="43"/>
  <c r="K8" i="43"/>
  <c r="L8" i="43"/>
  <c r="M8" i="43"/>
  <c r="J8" i="43"/>
  <c r="F9" i="43"/>
  <c r="G9" i="43"/>
  <c r="H9" i="43"/>
  <c r="F10" i="43"/>
  <c r="G10" i="43"/>
  <c r="H10" i="43"/>
  <c r="F11" i="43"/>
  <c r="G11" i="43"/>
  <c r="H11" i="43"/>
  <c r="F12" i="43"/>
  <c r="G12" i="43"/>
  <c r="H12" i="43"/>
  <c r="F13" i="43"/>
  <c r="G13" i="43"/>
  <c r="H13" i="43"/>
  <c r="F14" i="43"/>
  <c r="G14" i="43"/>
  <c r="H14" i="43"/>
  <c r="F15" i="43"/>
  <c r="G15" i="43"/>
  <c r="H15" i="43"/>
  <c r="F16" i="43"/>
  <c r="G16" i="43"/>
  <c r="H16" i="43"/>
  <c r="F17" i="43"/>
  <c r="G17" i="43"/>
  <c r="H17" i="43"/>
  <c r="F18" i="43"/>
  <c r="G18" i="43"/>
  <c r="H18" i="43"/>
  <c r="F19" i="43"/>
  <c r="G19" i="43"/>
  <c r="H19" i="43"/>
  <c r="G8" i="43"/>
  <c r="H8" i="43"/>
  <c r="F8" i="43"/>
  <c r="B9" i="43"/>
  <c r="C9" i="43"/>
  <c r="D9" i="43"/>
  <c r="B10" i="43"/>
  <c r="C10" i="43"/>
  <c r="D10" i="43"/>
  <c r="B11" i="43"/>
  <c r="C11" i="43"/>
  <c r="D11" i="43"/>
  <c r="B12" i="43"/>
  <c r="C12" i="43"/>
  <c r="D12" i="43"/>
  <c r="B13" i="43"/>
  <c r="C13" i="43"/>
  <c r="D13" i="43"/>
  <c r="B14" i="43"/>
  <c r="C14" i="43"/>
  <c r="D14" i="43"/>
  <c r="B15" i="43"/>
  <c r="C15" i="43"/>
  <c r="D15" i="43"/>
  <c r="B16" i="43"/>
  <c r="C16" i="43"/>
  <c r="D16" i="43"/>
  <c r="B17" i="43"/>
  <c r="C17" i="43"/>
  <c r="D17" i="43"/>
  <c r="B18" i="43"/>
  <c r="C18" i="43"/>
  <c r="D18" i="43"/>
  <c r="B19" i="43"/>
  <c r="C19" i="43"/>
  <c r="D19" i="43"/>
  <c r="C8" i="43"/>
  <c r="D8" i="43"/>
  <c r="B8" i="43"/>
  <c r="B20" i="43" l="1"/>
  <c r="JU20" i="26" l="1"/>
  <c r="GQ8" i="26"/>
  <c r="GM9" i="26"/>
  <c r="GN9" i="26"/>
  <c r="GO9" i="26"/>
  <c r="GP9" i="26"/>
  <c r="GQ9" i="26"/>
  <c r="GR9" i="26"/>
  <c r="GS9" i="26"/>
  <c r="GT9" i="26"/>
  <c r="GU9" i="26"/>
  <c r="GV9" i="26"/>
  <c r="GW9" i="26"/>
  <c r="GX9" i="26"/>
  <c r="GM10" i="26"/>
  <c r="GN10" i="26"/>
  <c r="GO10" i="26"/>
  <c r="GP10" i="26"/>
  <c r="GQ10" i="26"/>
  <c r="GR10" i="26"/>
  <c r="GS10" i="26"/>
  <c r="GT10" i="26"/>
  <c r="GU10" i="26"/>
  <c r="GV10" i="26"/>
  <c r="GW10" i="26"/>
  <c r="GX10" i="26"/>
  <c r="GM11" i="26"/>
  <c r="GN11" i="26"/>
  <c r="GO11" i="26"/>
  <c r="GP11" i="26"/>
  <c r="GQ11" i="26"/>
  <c r="GR11" i="26"/>
  <c r="GS11" i="26"/>
  <c r="GT11" i="26"/>
  <c r="GU11" i="26"/>
  <c r="GV11" i="26"/>
  <c r="GW11" i="26"/>
  <c r="GX11" i="26"/>
  <c r="GM12" i="26"/>
  <c r="GN12" i="26"/>
  <c r="GO12" i="26"/>
  <c r="GP12" i="26"/>
  <c r="GQ12" i="26"/>
  <c r="GR12" i="26"/>
  <c r="GS12" i="26"/>
  <c r="GT12" i="26"/>
  <c r="GU12" i="26"/>
  <c r="GV12" i="26"/>
  <c r="GW12" i="26"/>
  <c r="GX12" i="26"/>
  <c r="GM13" i="26"/>
  <c r="GN13" i="26"/>
  <c r="GO13" i="26"/>
  <c r="GP13" i="26"/>
  <c r="GQ13" i="26"/>
  <c r="GR13" i="26"/>
  <c r="GS13" i="26"/>
  <c r="GT13" i="26"/>
  <c r="GU13" i="26"/>
  <c r="GV13" i="26"/>
  <c r="GW13" i="26"/>
  <c r="GX13" i="26"/>
  <c r="GM14" i="26"/>
  <c r="GN14" i="26"/>
  <c r="GO14" i="26"/>
  <c r="GP14" i="26"/>
  <c r="GQ14" i="26"/>
  <c r="GR14" i="26"/>
  <c r="GS14" i="26"/>
  <c r="GT14" i="26"/>
  <c r="GU14" i="26"/>
  <c r="GV14" i="26"/>
  <c r="GW14" i="26"/>
  <c r="GX14" i="26"/>
  <c r="GM15" i="26"/>
  <c r="GN15" i="26"/>
  <c r="GO15" i="26"/>
  <c r="GP15" i="26"/>
  <c r="GQ15" i="26"/>
  <c r="GR15" i="26"/>
  <c r="GS15" i="26"/>
  <c r="GT15" i="26"/>
  <c r="GU15" i="26"/>
  <c r="GV15" i="26"/>
  <c r="GW15" i="26"/>
  <c r="GX15" i="26"/>
  <c r="GM16" i="26"/>
  <c r="GN16" i="26"/>
  <c r="GO16" i="26"/>
  <c r="GP16" i="26"/>
  <c r="GQ16" i="26"/>
  <c r="GR16" i="26"/>
  <c r="GS16" i="26"/>
  <c r="GT16" i="26"/>
  <c r="GU16" i="26"/>
  <c r="GV16" i="26"/>
  <c r="GW16" i="26"/>
  <c r="GX16" i="26"/>
  <c r="GM17" i="26"/>
  <c r="GN17" i="26"/>
  <c r="GO17" i="26"/>
  <c r="GP17" i="26"/>
  <c r="GQ17" i="26"/>
  <c r="GR17" i="26"/>
  <c r="GS17" i="26"/>
  <c r="GT17" i="26"/>
  <c r="GU17" i="26"/>
  <c r="GV17" i="26"/>
  <c r="GW17" i="26"/>
  <c r="GX17" i="26"/>
  <c r="GM18" i="26"/>
  <c r="GN18" i="26"/>
  <c r="GO18" i="26"/>
  <c r="GP18" i="26"/>
  <c r="GQ18" i="26"/>
  <c r="GR18" i="26"/>
  <c r="GS18" i="26"/>
  <c r="GT18" i="26"/>
  <c r="GU18" i="26"/>
  <c r="GV18" i="26"/>
  <c r="GW18" i="26"/>
  <c r="GX18" i="26"/>
  <c r="GM19" i="26"/>
  <c r="GN19" i="26"/>
  <c r="GO19" i="26"/>
  <c r="GP19" i="26"/>
  <c r="GQ19" i="26"/>
  <c r="GR19" i="26"/>
  <c r="GS19" i="26"/>
  <c r="GT19" i="26"/>
  <c r="GU19" i="26"/>
  <c r="GV19" i="26"/>
  <c r="GW19" i="26"/>
  <c r="GX19" i="26"/>
  <c r="GN8" i="26"/>
  <c r="GO8" i="26"/>
  <c r="GP8" i="26"/>
  <c r="GR8" i="26"/>
  <c r="GS8" i="26"/>
  <c r="GT8" i="26"/>
  <c r="GU8" i="26"/>
  <c r="GV8" i="26"/>
  <c r="GW8" i="26"/>
  <c r="GX8" i="26"/>
  <c r="GZ9" i="26"/>
  <c r="HA9" i="26"/>
  <c r="HB9" i="26"/>
  <c r="HC9" i="26"/>
  <c r="HD9" i="26"/>
  <c r="HE9" i="26"/>
  <c r="HF9" i="26"/>
  <c r="HG9" i="26"/>
  <c r="HH9" i="26"/>
  <c r="HI9" i="26"/>
  <c r="HJ9" i="26"/>
  <c r="HK9" i="26"/>
  <c r="HL9" i="26"/>
  <c r="GZ10" i="26"/>
  <c r="HA10" i="26"/>
  <c r="HB10" i="26"/>
  <c r="HC10" i="26"/>
  <c r="HD10" i="26"/>
  <c r="HE10" i="26"/>
  <c r="HF10" i="26"/>
  <c r="HG10" i="26"/>
  <c r="HH10" i="26"/>
  <c r="HI10" i="26"/>
  <c r="HJ10" i="26"/>
  <c r="HK10" i="26"/>
  <c r="HL10" i="26"/>
  <c r="GZ11" i="26"/>
  <c r="HA11" i="26"/>
  <c r="HB11" i="26"/>
  <c r="HC11" i="26"/>
  <c r="HD11" i="26"/>
  <c r="HE11" i="26"/>
  <c r="HF11" i="26"/>
  <c r="HG11" i="26"/>
  <c r="HH11" i="26"/>
  <c r="HI11" i="26"/>
  <c r="HJ11" i="26"/>
  <c r="HK11" i="26"/>
  <c r="HL11" i="26"/>
  <c r="GZ12" i="26"/>
  <c r="HA12" i="26"/>
  <c r="HB12" i="26"/>
  <c r="HC12" i="26"/>
  <c r="HD12" i="26"/>
  <c r="HE12" i="26"/>
  <c r="HF12" i="26"/>
  <c r="HG12" i="26"/>
  <c r="HH12" i="26"/>
  <c r="HI12" i="26"/>
  <c r="HJ12" i="26"/>
  <c r="HK12" i="26"/>
  <c r="HL12" i="26"/>
  <c r="GZ13" i="26"/>
  <c r="HA13" i="26"/>
  <c r="HB13" i="26"/>
  <c r="HC13" i="26"/>
  <c r="HD13" i="26"/>
  <c r="HE13" i="26"/>
  <c r="HF13" i="26"/>
  <c r="HG13" i="26"/>
  <c r="HH13" i="26"/>
  <c r="HI13" i="26"/>
  <c r="HJ13" i="26"/>
  <c r="HK13" i="26"/>
  <c r="HL13" i="26"/>
  <c r="GZ14" i="26"/>
  <c r="HA14" i="26"/>
  <c r="HB14" i="26"/>
  <c r="HC14" i="26"/>
  <c r="HD14" i="26"/>
  <c r="HE14" i="26"/>
  <c r="HF14" i="26"/>
  <c r="HG14" i="26"/>
  <c r="HH14" i="26"/>
  <c r="HI14" i="26"/>
  <c r="HJ14" i="26"/>
  <c r="HK14" i="26"/>
  <c r="HL14" i="26"/>
  <c r="GZ15" i="26"/>
  <c r="HA15" i="26"/>
  <c r="HB15" i="26"/>
  <c r="HC15" i="26"/>
  <c r="HD15" i="26"/>
  <c r="HE15" i="26"/>
  <c r="HF15" i="26"/>
  <c r="HG15" i="26"/>
  <c r="HH15" i="26"/>
  <c r="HI15" i="26"/>
  <c r="HJ15" i="26"/>
  <c r="HK15" i="26"/>
  <c r="HL15" i="26"/>
  <c r="GZ16" i="26"/>
  <c r="HA16" i="26"/>
  <c r="HB16" i="26"/>
  <c r="HC16" i="26"/>
  <c r="HD16" i="26"/>
  <c r="HE16" i="26"/>
  <c r="HF16" i="26"/>
  <c r="HG16" i="26"/>
  <c r="HH16" i="26"/>
  <c r="HI16" i="26"/>
  <c r="HJ16" i="26"/>
  <c r="HK16" i="26"/>
  <c r="HL16" i="26"/>
  <c r="GZ17" i="26"/>
  <c r="HA17" i="26"/>
  <c r="HB17" i="26"/>
  <c r="HC17" i="26"/>
  <c r="HD17" i="26"/>
  <c r="HE17" i="26"/>
  <c r="HF17" i="26"/>
  <c r="HG17" i="26"/>
  <c r="HH17" i="26"/>
  <c r="HI17" i="26"/>
  <c r="HJ17" i="26"/>
  <c r="HK17" i="26"/>
  <c r="HL17" i="26"/>
  <c r="GZ18" i="26"/>
  <c r="HA18" i="26"/>
  <c r="HB18" i="26"/>
  <c r="HC18" i="26"/>
  <c r="HD18" i="26"/>
  <c r="HE18" i="26"/>
  <c r="HF18" i="26"/>
  <c r="HG18" i="26"/>
  <c r="HH18" i="26"/>
  <c r="HI18" i="26"/>
  <c r="HJ18" i="26"/>
  <c r="HK18" i="26"/>
  <c r="HL18" i="26"/>
  <c r="GZ19" i="26"/>
  <c r="HA19" i="26"/>
  <c r="HB19" i="26"/>
  <c r="HC19" i="26"/>
  <c r="HD19" i="26"/>
  <c r="HE19" i="26"/>
  <c r="HF19" i="26"/>
  <c r="HG19" i="26"/>
  <c r="HH19" i="26"/>
  <c r="HI19" i="26"/>
  <c r="HJ19" i="26"/>
  <c r="HK19" i="26"/>
  <c r="HL19" i="26"/>
  <c r="HA8" i="26"/>
  <c r="HB8" i="26"/>
  <c r="HC8" i="26"/>
  <c r="HD8" i="26"/>
  <c r="HE8" i="26"/>
  <c r="HF8" i="26"/>
  <c r="HG8" i="26"/>
  <c r="HH8" i="26"/>
  <c r="HI8" i="26"/>
  <c r="HJ8" i="26"/>
  <c r="HK8" i="26"/>
  <c r="HL8" i="26"/>
  <c r="HM19" i="26" l="1"/>
  <c r="HM16" i="26"/>
  <c r="HM15" i="26"/>
  <c r="HM14" i="26"/>
  <c r="HM13" i="26"/>
  <c r="HM17" i="26"/>
  <c r="HM12" i="26"/>
  <c r="HM18" i="26"/>
  <c r="HM11" i="26"/>
  <c r="HM10" i="26"/>
  <c r="HM9" i="26"/>
  <c r="GY19" i="26"/>
  <c r="GY18" i="26"/>
  <c r="GY17" i="26"/>
  <c r="GY16" i="26"/>
  <c r="GY15" i="26"/>
  <c r="GY14" i="26"/>
  <c r="GY13" i="26"/>
  <c r="GY12" i="26"/>
  <c r="GY11" i="26"/>
  <c r="GY10" i="26"/>
  <c r="GY9" i="26"/>
  <c r="HB20" i="26"/>
  <c r="HA20" i="26"/>
  <c r="GU20" i="26"/>
  <c r="GT20" i="26"/>
  <c r="HJ20" i="26"/>
  <c r="GS20" i="26"/>
  <c r="HL20" i="26"/>
  <c r="HK20" i="26"/>
  <c r="GR20" i="26"/>
  <c r="GP20" i="26"/>
  <c r="HI20" i="26"/>
  <c r="GO20" i="26"/>
  <c r="HF20" i="26"/>
  <c r="GN20" i="26"/>
  <c r="GQ20" i="26"/>
  <c r="GV20" i="26"/>
  <c r="HG20" i="26"/>
  <c r="HE20" i="26"/>
  <c r="HD20" i="26"/>
  <c r="GX20" i="26"/>
  <c r="GW20" i="26"/>
  <c r="HH20" i="26"/>
  <c r="HC20" i="26"/>
  <c r="L20" i="9"/>
  <c r="M20" i="9" l="1"/>
  <c r="AC9" i="40" l="1"/>
  <c r="AD9" i="40"/>
  <c r="AE9" i="40"/>
  <c r="AF9" i="40"/>
  <c r="AG9" i="40"/>
  <c r="AH9" i="40"/>
  <c r="AI9" i="40"/>
  <c r="AC10" i="40"/>
  <c r="AD10" i="40"/>
  <c r="AE10" i="40"/>
  <c r="AF10" i="40"/>
  <c r="AG10" i="40"/>
  <c r="AH10" i="40"/>
  <c r="AI10" i="40"/>
  <c r="AC11" i="40"/>
  <c r="AD11" i="40"/>
  <c r="AE11" i="40"/>
  <c r="AF11" i="40"/>
  <c r="AG11" i="40"/>
  <c r="AH11" i="40"/>
  <c r="AI11" i="40"/>
  <c r="AC12" i="40"/>
  <c r="AD12" i="40"/>
  <c r="AE12" i="40"/>
  <c r="AF12" i="40"/>
  <c r="AG12" i="40"/>
  <c r="AH12" i="40"/>
  <c r="AI12" i="40"/>
  <c r="AC13" i="40"/>
  <c r="AD13" i="40"/>
  <c r="AE13" i="40"/>
  <c r="AF13" i="40"/>
  <c r="AG13" i="40"/>
  <c r="AH13" i="40"/>
  <c r="AI13" i="40"/>
  <c r="AC14" i="40"/>
  <c r="AD14" i="40"/>
  <c r="AE14" i="40"/>
  <c r="AF14" i="40"/>
  <c r="AG14" i="40"/>
  <c r="AH14" i="40"/>
  <c r="AI14" i="40"/>
  <c r="AC15" i="40"/>
  <c r="AD15" i="40"/>
  <c r="AE15" i="40"/>
  <c r="AF15" i="40"/>
  <c r="AG15" i="40"/>
  <c r="AH15" i="40"/>
  <c r="AI15" i="40"/>
  <c r="AC16" i="40"/>
  <c r="AD16" i="40"/>
  <c r="AE16" i="40"/>
  <c r="AF16" i="40"/>
  <c r="AG16" i="40"/>
  <c r="AH16" i="40"/>
  <c r="AI16" i="40"/>
  <c r="AC17" i="40"/>
  <c r="AD17" i="40"/>
  <c r="AE17" i="40"/>
  <c r="AF17" i="40"/>
  <c r="AG17" i="40"/>
  <c r="AH17" i="40"/>
  <c r="AI17" i="40"/>
  <c r="AC18" i="40"/>
  <c r="AD18" i="40"/>
  <c r="AE18" i="40"/>
  <c r="AF18" i="40"/>
  <c r="AG18" i="40"/>
  <c r="AH18" i="40"/>
  <c r="AI18" i="40"/>
  <c r="AC19" i="40"/>
  <c r="AD19" i="40"/>
  <c r="AE19" i="40"/>
  <c r="AF19" i="40"/>
  <c r="AG19" i="40"/>
  <c r="AH19" i="40"/>
  <c r="AI19" i="40"/>
  <c r="AC8" i="40"/>
  <c r="AD8" i="40"/>
  <c r="AE8" i="40"/>
  <c r="AF8" i="40"/>
  <c r="AG8" i="40"/>
  <c r="AH8" i="40"/>
  <c r="AI8" i="40"/>
  <c r="P9" i="40"/>
  <c r="Q9" i="40"/>
  <c r="R9" i="40"/>
  <c r="S9" i="40"/>
  <c r="T9" i="40"/>
  <c r="U9" i="40"/>
  <c r="V9" i="40"/>
  <c r="P10" i="40"/>
  <c r="Q10" i="40"/>
  <c r="R10" i="40"/>
  <c r="S10" i="40"/>
  <c r="T10" i="40"/>
  <c r="U10" i="40"/>
  <c r="V10" i="40"/>
  <c r="P11" i="40"/>
  <c r="Q11" i="40"/>
  <c r="R11" i="40"/>
  <c r="S11" i="40"/>
  <c r="T11" i="40"/>
  <c r="U11" i="40"/>
  <c r="V11" i="40"/>
  <c r="P12" i="40"/>
  <c r="Q12" i="40"/>
  <c r="R12" i="40"/>
  <c r="S12" i="40"/>
  <c r="T12" i="40"/>
  <c r="U12" i="40"/>
  <c r="V12" i="40"/>
  <c r="P13" i="40"/>
  <c r="Q13" i="40"/>
  <c r="R13" i="40"/>
  <c r="S13" i="40"/>
  <c r="T13" i="40"/>
  <c r="U13" i="40"/>
  <c r="V13" i="40"/>
  <c r="P14" i="40"/>
  <c r="Q14" i="40"/>
  <c r="R14" i="40"/>
  <c r="S14" i="40"/>
  <c r="T14" i="40"/>
  <c r="U14" i="40"/>
  <c r="V14" i="40"/>
  <c r="P15" i="40"/>
  <c r="Q15" i="40"/>
  <c r="R15" i="40"/>
  <c r="S15" i="40"/>
  <c r="T15" i="40"/>
  <c r="U15" i="40"/>
  <c r="V15" i="40"/>
  <c r="P16" i="40"/>
  <c r="Q16" i="40"/>
  <c r="R16" i="40"/>
  <c r="S16" i="40"/>
  <c r="T16" i="40"/>
  <c r="U16" i="40"/>
  <c r="V16" i="40"/>
  <c r="P17" i="40"/>
  <c r="Q17" i="40"/>
  <c r="R17" i="40"/>
  <c r="S17" i="40"/>
  <c r="T17" i="40"/>
  <c r="U17" i="40"/>
  <c r="V17" i="40"/>
  <c r="P18" i="40"/>
  <c r="Q18" i="40"/>
  <c r="R18" i="40"/>
  <c r="S18" i="40"/>
  <c r="T18" i="40"/>
  <c r="U18" i="40"/>
  <c r="V18" i="40"/>
  <c r="P19" i="40"/>
  <c r="Q19" i="40"/>
  <c r="R19" i="40"/>
  <c r="S19" i="40"/>
  <c r="T19" i="40"/>
  <c r="U19" i="40"/>
  <c r="V19" i="40"/>
  <c r="P8" i="40"/>
  <c r="Q8" i="40"/>
  <c r="R8" i="40"/>
  <c r="S8" i="40"/>
  <c r="T8" i="40"/>
  <c r="U8" i="40"/>
  <c r="V8" i="40"/>
  <c r="W9" i="40" l="1"/>
  <c r="W12" i="40"/>
  <c r="W10" i="40"/>
  <c r="W19" i="40"/>
  <c r="W17" i="40"/>
  <c r="W15" i="40"/>
  <c r="W8" i="40"/>
  <c r="W14" i="40"/>
  <c r="W13" i="40"/>
  <c r="W18" i="40"/>
  <c r="W11" i="40"/>
  <c r="W16" i="40"/>
  <c r="U20" i="40"/>
  <c r="FV9" i="39" l="1"/>
  <c r="FW9" i="39"/>
  <c r="FX9" i="39"/>
  <c r="FV10" i="39"/>
  <c r="FW10" i="39"/>
  <c r="FX10" i="39"/>
  <c r="FV11" i="39"/>
  <c r="FW11" i="39"/>
  <c r="FX11" i="39"/>
  <c r="FV12" i="39"/>
  <c r="FW12" i="39"/>
  <c r="FX12" i="39"/>
  <c r="FV13" i="39"/>
  <c r="FW13" i="39"/>
  <c r="FX13" i="39"/>
  <c r="FV14" i="39"/>
  <c r="FW14" i="39"/>
  <c r="FX14" i="39"/>
  <c r="FV15" i="39"/>
  <c r="FW15" i="39"/>
  <c r="FX15" i="39"/>
  <c r="FV16" i="39"/>
  <c r="FW16" i="39"/>
  <c r="FX16" i="39"/>
  <c r="FV17" i="39"/>
  <c r="FW17" i="39"/>
  <c r="FX17" i="39"/>
  <c r="FV18" i="39"/>
  <c r="FW18" i="39"/>
  <c r="FX18" i="39"/>
  <c r="FV19" i="39"/>
  <c r="FW19" i="39"/>
  <c r="FX19" i="39"/>
  <c r="FW8" i="39"/>
  <c r="FX8" i="39"/>
  <c r="EP9" i="39"/>
  <c r="EQ9" i="39"/>
  <c r="ER9" i="39"/>
  <c r="EP10" i="39"/>
  <c r="EQ10" i="39"/>
  <c r="ER10" i="39"/>
  <c r="EP11" i="39"/>
  <c r="EQ11" i="39"/>
  <c r="ER11" i="39"/>
  <c r="EP12" i="39"/>
  <c r="EQ12" i="39"/>
  <c r="ER12" i="39"/>
  <c r="EP13" i="39"/>
  <c r="EQ13" i="39"/>
  <c r="ER13" i="39"/>
  <c r="EP14" i="39"/>
  <c r="EQ14" i="39"/>
  <c r="ER14" i="39"/>
  <c r="EP15" i="39"/>
  <c r="EQ15" i="39"/>
  <c r="ER15" i="39"/>
  <c r="EP16" i="39"/>
  <c r="EQ16" i="39"/>
  <c r="ER16" i="39"/>
  <c r="EP17" i="39"/>
  <c r="EQ17" i="39"/>
  <c r="ER17" i="39"/>
  <c r="EP18" i="39"/>
  <c r="EQ18" i="39"/>
  <c r="ER18" i="39"/>
  <c r="EP19" i="39"/>
  <c r="EQ19" i="39"/>
  <c r="ER19" i="39"/>
  <c r="EQ8" i="39"/>
  <c r="ER8" i="39"/>
  <c r="EP8" i="39"/>
  <c r="EI9" i="39"/>
  <c r="EJ9" i="39"/>
  <c r="EK9" i="39"/>
  <c r="EL9" i="39"/>
  <c r="EM9" i="39"/>
  <c r="EN9" i="39"/>
  <c r="EI10" i="39"/>
  <c r="EJ10" i="39"/>
  <c r="EK10" i="39"/>
  <c r="EL10" i="39"/>
  <c r="EM10" i="39"/>
  <c r="EN10" i="39"/>
  <c r="EI11" i="39"/>
  <c r="EJ11" i="39"/>
  <c r="EK11" i="39"/>
  <c r="EL11" i="39"/>
  <c r="EM11" i="39"/>
  <c r="EN11" i="39"/>
  <c r="EI12" i="39"/>
  <c r="EJ12" i="39"/>
  <c r="EK12" i="39"/>
  <c r="EL12" i="39"/>
  <c r="EM12" i="39"/>
  <c r="EN12" i="39"/>
  <c r="EI13" i="39"/>
  <c r="EJ13" i="39"/>
  <c r="EK13" i="39"/>
  <c r="EL13" i="39"/>
  <c r="EM13" i="39"/>
  <c r="EN13" i="39"/>
  <c r="EI14" i="39"/>
  <c r="EJ14" i="39"/>
  <c r="EK14" i="39"/>
  <c r="EL14" i="39"/>
  <c r="EM14" i="39"/>
  <c r="EN14" i="39"/>
  <c r="EI15" i="39"/>
  <c r="EJ15" i="39"/>
  <c r="EK15" i="39"/>
  <c r="EL15" i="39"/>
  <c r="EM15" i="39"/>
  <c r="EN15" i="39"/>
  <c r="EI16" i="39"/>
  <c r="EJ16" i="39"/>
  <c r="EK16" i="39"/>
  <c r="EL16" i="39"/>
  <c r="EM16" i="39"/>
  <c r="EN16" i="39"/>
  <c r="EI17" i="39"/>
  <c r="EJ17" i="39"/>
  <c r="EK17" i="39"/>
  <c r="EL17" i="39"/>
  <c r="EM17" i="39"/>
  <c r="EN17" i="39"/>
  <c r="EI18" i="39"/>
  <c r="EJ18" i="39"/>
  <c r="EK18" i="39"/>
  <c r="EL18" i="39"/>
  <c r="EM18" i="39"/>
  <c r="EN18" i="39"/>
  <c r="EI19" i="39"/>
  <c r="EJ19" i="39"/>
  <c r="EK19" i="39"/>
  <c r="EL19" i="39"/>
  <c r="EM19" i="39"/>
  <c r="EN19" i="39"/>
  <c r="EJ8" i="39"/>
  <c r="EK8" i="39"/>
  <c r="EL8" i="39"/>
  <c r="EM8" i="39"/>
  <c r="EN8" i="39"/>
  <c r="EI8" i="39"/>
  <c r="ES10" i="39" l="1"/>
  <c r="ES15" i="39"/>
  <c r="FY12" i="39"/>
  <c r="FY9" i="39"/>
  <c r="FX20" i="39"/>
  <c r="ES12" i="39"/>
  <c r="ES9" i="39"/>
  <c r="FY10" i="39"/>
  <c r="ES19" i="39"/>
  <c r="ES13" i="39"/>
  <c r="FY19" i="39"/>
  <c r="FY16" i="39"/>
  <c r="FY14" i="39"/>
  <c r="FY11" i="39"/>
  <c r="FY18" i="39"/>
  <c r="FY15" i="39"/>
  <c r="FY13" i="39"/>
  <c r="FY17" i="39"/>
  <c r="ES16" i="39"/>
  <c r="ES14" i="39"/>
  <c r="ES11" i="39"/>
  <c r="ES18" i="39"/>
  <c r="ES17" i="39"/>
  <c r="EQ20" i="39"/>
  <c r="ER20" i="39"/>
  <c r="ES8" i="39"/>
  <c r="EP20" i="39"/>
  <c r="EK20" i="39"/>
  <c r="EO8" i="39"/>
  <c r="EN20" i="39"/>
  <c r="EO18" i="39"/>
  <c r="EO14" i="39"/>
  <c r="EO10" i="39"/>
  <c r="EM20" i="39"/>
  <c r="EL20" i="39"/>
  <c r="EO19" i="39"/>
  <c r="EO15" i="39"/>
  <c r="EO11" i="39"/>
  <c r="EJ20" i="39"/>
  <c r="EO16" i="39"/>
  <c r="EO12" i="39"/>
  <c r="EO17" i="39"/>
  <c r="EO13" i="39"/>
  <c r="EO9" i="39"/>
  <c r="EI20" i="39"/>
  <c r="ES20" i="39" l="1"/>
  <c r="EO20" i="39"/>
  <c r="BD9" i="26"/>
  <c r="BE9" i="26"/>
  <c r="BF9" i="26"/>
  <c r="BG9" i="26"/>
  <c r="BH9" i="26"/>
  <c r="BI9" i="26"/>
  <c r="BD10" i="26"/>
  <c r="BE10" i="26"/>
  <c r="BF10" i="26"/>
  <c r="BG10" i="26"/>
  <c r="BH10" i="26"/>
  <c r="BI10" i="26"/>
  <c r="BD11" i="26"/>
  <c r="BE11" i="26"/>
  <c r="BF11" i="26"/>
  <c r="BG11" i="26"/>
  <c r="BH11" i="26"/>
  <c r="BI11" i="26"/>
  <c r="BD12" i="26"/>
  <c r="BE12" i="26"/>
  <c r="BF12" i="26"/>
  <c r="BG12" i="26"/>
  <c r="BH12" i="26"/>
  <c r="BI12" i="26"/>
  <c r="BD13" i="26"/>
  <c r="BE13" i="26"/>
  <c r="BF13" i="26"/>
  <c r="BG13" i="26"/>
  <c r="BH13" i="26"/>
  <c r="BI13" i="26"/>
  <c r="BD14" i="26"/>
  <c r="BE14" i="26"/>
  <c r="BF14" i="26"/>
  <c r="BG14" i="26"/>
  <c r="BH14" i="26"/>
  <c r="BI14" i="26"/>
  <c r="BD15" i="26"/>
  <c r="BE15" i="26"/>
  <c r="BF15" i="26"/>
  <c r="BG15" i="26"/>
  <c r="BH15" i="26"/>
  <c r="BI15" i="26"/>
  <c r="BD16" i="26"/>
  <c r="BE16" i="26"/>
  <c r="BF16" i="26"/>
  <c r="BG16" i="26"/>
  <c r="BH16" i="26"/>
  <c r="BI16" i="26"/>
  <c r="BD17" i="26"/>
  <c r="BE17" i="26"/>
  <c r="BF17" i="26"/>
  <c r="BG17" i="26"/>
  <c r="BH17" i="26"/>
  <c r="BI17" i="26"/>
  <c r="BD18" i="26"/>
  <c r="BE18" i="26"/>
  <c r="BF18" i="26"/>
  <c r="BG18" i="26"/>
  <c r="BH18" i="26"/>
  <c r="BI18" i="26"/>
  <c r="BD19" i="26"/>
  <c r="BE19" i="26"/>
  <c r="BF19" i="26"/>
  <c r="BG19" i="26"/>
  <c r="BH19" i="26"/>
  <c r="BI19" i="26"/>
  <c r="BE8" i="26"/>
  <c r="BF8" i="26"/>
  <c r="BG8" i="26"/>
  <c r="BH8" i="26"/>
  <c r="BI8" i="26"/>
  <c r="BD8" i="26"/>
  <c r="IV9" i="26"/>
  <c r="IW9" i="26"/>
  <c r="IX9" i="26"/>
  <c r="IY9" i="26"/>
  <c r="IZ9" i="26"/>
  <c r="JA9" i="26"/>
  <c r="JB9" i="26"/>
  <c r="JC9" i="26"/>
  <c r="JD9" i="26"/>
  <c r="JE9" i="26"/>
  <c r="JF9" i="26"/>
  <c r="JG9" i="26"/>
  <c r="JH9" i="26"/>
  <c r="JI9" i="26"/>
  <c r="JJ9" i="26"/>
  <c r="JK9" i="26"/>
  <c r="JL9" i="26"/>
  <c r="JM9" i="26"/>
  <c r="JN9" i="26"/>
  <c r="JO9" i="26"/>
  <c r="JP9" i="26"/>
  <c r="JQ9" i="26"/>
  <c r="IV10" i="26"/>
  <c r="IW10" i="26"/>
  <c r="IX10" i="26"/>
  <c r="IY10" i="26"/>
  <c r="IZ10" i="26"/>
  <c r="JA10" i="26"/>
  <c r="JB10" i="26"/>
  <c r="JC10" i="26"/>
  <c r="JD10" i="26"/>
  <c r="JE10" i="26"/>
  <c r="JF10" i="26"/>
  <c r="JG10" i="26"/>
  <c r="JH10" i="26"/>
  <c r="JI10" i="26"/>
  <c r="JJ10" i="26"/>
  <c r="JK10" i="26"/>
  <c r="JL10" i="26"/>
  <c r="JM10" i="26"/>
  <c r="JN10" i="26"/>
  <c r="JO10" i="26"/>
  <c r="JP10" i="26"/>
  <c r="JQ10" i="26"/>
  <c r="IV11" i="26"/>
  <c r="IW11" i="26"/>
  <c r="IX11" i="26"/>
  <c r="IY11" i="26"/>
  <c r="IZ11" i="26"/>
  <c r="JA11" i="26"/>
  <c r="JB11" i="26"/>
  <c r="JC11" i="26"/>
  <c r="JD11" i="26"/>
  <c r="JE11" i="26"/>
  <c r="JF11" i="26"/>
  <c r="JG11" i="26"/>
  <c r="JH11" i="26"/>
  <c r="JI11" i="26"/>
  <c r="JJ11" i="26"/>
  <c r="JK11" i="26"/>
  <c r="JL11" i="26"/>
  <c r="JM11" i="26"/>
  <c r="JN11" i="26"/>
  <c r="JO11" i="26"/>
  <c r="JP11" i="26"/>
  <c r="JQ11" i="26"/>
  <c r="IV12" i="26"/>
  <c r="IW12" i="26"/>
  <c r="IX12" i="26"/>
  <c r="IY12" i="26"/>
  <c r="IZ12" i="26"/>
  <c r="JA12" i="26"/>
  <c r="JB12" i="26"/>
  <c r="JC12" i="26"/>
  <c r="JD12" i="26"/>
  <c r="JE12" i="26"/>
  <c r="JF12" i="26"/>
  <c r="JG12" i="26"/>
  <c r="JH12" i="26"/>
  <c r="JI12" i="26"/>
  <c r="JJ12" i="26"/>
  <c r="JK12" i="26"/>
  <c r="JL12" i="26"/>
  <c r="JM12" i="26"/>
  <c r="JN12" i="26"/>
  <c r="JO12" i="26"/>
  <c r="JP12" i="26"/>
  <c r="JQ12" i="26"/>
  <c r="IV13" i="26"/>
  <c r="IW13" i="26"/>
  <c r="IX13" i="26"/>
  <c r="IY13" i="26"/>
  <c r="IZ13" i="26"/>
  <c r="JA13" i="26"/>
  <c r="JB13" i="26"/>
  <c r="JC13" i="26"/>
  <c r="JD13" i="26"/>
  <c r="JE13" i="26"/>
  <c r="JF13" i="26"/>
  <c r="JG13" i="26"/>
  <c r="JH13" i="26"/>
  <c r="JI13" i="26"/>
  <c r="JJ13" i="26"/>
  <c r="JK13" i="26"/>
  <c r="JL13" i="26"/>
  <c r="JM13" i="26"/>
  <c r="JN13" i="26"/>
  <c r="JO13" i="26"/>
  <c r="JP13" i="26"/>
  <c r="JQ13" i="26"/>
  <c r="IV14" i="26"/>
  <c r="IW14" i="26"/>
  <c r="IX14" i="26"/>
  <c r="IY14" i="26"/>
  <c r="IZ14" i="26"/>
  <c r="JA14" i="26"/>
  <c r="JB14" i="26"/>
  <c r="JC14" i="26"/>
  <c r="JD14" i="26"/>
  <c r="JE14" i="26"/>
  <c r="JF14" i="26"/>
  <c r="JG14" i="26"/>
  <c r="JH14" i="26"/>
  <c r="JI14" i="26"/>
  <c r="JJ14" i="26"/>
  <c r="JK14" i="26"/>
  <c r="JL14" i="26"/>
  <c r="JM14" i="26"/>
  <c r="JN14" i="26"/>
  <c r="JO14" i="26"/>
  <c r="JP14" i="26"/>
  <c r="JQ14" i="26"/>
  <c r="IV15" i="26"/>
  <c r="IW15" i="26"/>
  <c r="IX15" i="26"/>
  <c r="IY15" i="26"/>
  <c r="IZ15" i="26"/>
  <c r="JA15" i="26"/>
  <c r="JB15" i="26"/>
  <c r="JC15" i="26"/>
  <c r="JD15" i="26"/>
  <c r="JE15" i="26"/>
  <c r="JF15" i="26"/>
  <c r="JG15" i="26"/>
  <c r="JH15" i="26"/>
  <c r="JI15" i="26"/>
  <c r="JJ15" i="26"/>
  <c r="JK15" i="26"/>
  <c r="JL15" i="26"/>
  <c r="JM15" i="26"/>
  <c r="JN15" i="26"/>
  <c r="JO15" i="26"/>
  <c r="JP15" i="26"/>
  <c r="JQ15" i="26"/>
  <c r="IV16" i="26"/>
  <c r="IW16" i="26"/>
  <c r="IX16" i="26"/>
  <c r="IY16" i="26"/>
  <c r="IZ16" i="26"/>
  <c r="JA16" i="26"/>
  <c r="JB16" i="26"/>
  <c r="JC16" i="26"/>
  <c r="JD16" i="26"/>
  <c r="JE16" i="26"/>
  <c r="JF16" i="26"/>
  <c r="JG16" i="26"/>
  <c r="JH16" i="26"/>
  <c r="JI16" i="26"/>
  <c r="JJ16" i="26"/>
  <c r="JK16" i="26"/>
  <c r="JL16" i="26"/>
  <c r="JM16" i="26"/>
  <c r="JN16" i="26"/>
  <c r="JO16" i="26"/>
  <c r="JP16" i="26"/>
  <c r="JQ16" i="26"/>
  <c r="IV17" i="26"/>
  <c r="IW17" i="26"/>
  <c r="IX17" i="26"/>
  <c r="IY17" i="26"/>
  <c r="IZ17" i="26"/>
  <c r="JA17" i="26"/>
  <c r="JB17" i="26"/>
  <c r="JC17" i="26"/>
  <c r="JD17" i="26"/>
  <c r="JE17" i="26"/>
  <c r="JF17" i="26"/>
  <c r="JG17" i="26"/>
  <c r="JH17" i="26"/>
  <c r="JI17" i="26"/>
  <c r="JJ17" i="26"/>
  <c r="JK17" i="26"/>
  <c r="JL17" i="26"/>
  <c r="JM17" i="26"/>
  <c r="JN17" i="26"/>
  <c r="JO17" i="26"/>
  <c r="JP17" i="26"/>
  <c r="JQ17" i="26"/>
  <c r="IV18" i="26"/>
  <c r="IW18" i="26"/>
  <c r="IX18" i="26"/>
  <c r="IY18" i="26"/>
  <c r="IZ18" i="26"/>
  <c r="JA18" i="26"/>
  <c r="JB18" i="26"/>
  <c r="JC18" i="26"/>
  <c r="JD18" i="26"/>
  <c r="JE18" i="26"/>
  <c r="JF18" i="26"/>
  <c r="JG18" i="26"/>
  <c r="JH18" i="26"/>
  <c r="JI18" i="26"/>
  <c r="JJ18" i="26"/>
  <c r="JK18" i="26"/>
  <c r="JL18" i="26"/>
  <c r="JM18" i="26"/>
  <c r="JN18" i="26"/>
  <c r="JO18" i="26"/>
  <c r="JP18" i="26"/>
  <c r="JQ18" i="26"/>
  <c r="IV19" i="26"/>
  <c r="IW19" i="26"/>
  <c r="IX19" i="26"/>
  <c r="IY19" i="26"/>
  <c r="IZ19" i="26"/>
  <c r="JA19" i="26"/>
  <c r="JB19" i="26"/>
  <c r="JC19" i="26"/>
  <c r="JD19" i="26"/>
  <c r="JE19" i="26"/>
  <c r="JF19" i="26"/>
  <c r="JG19" i="26"/>
  <c r="JH19" i="26"/>
  <c r="JI19" i="26"/>
  <c r="JJ19" i="26"/>
  <c r="JK19" i="26"/>
  <c r="JL19" i="26"/>
  <c r="JM19" i="26"/>
  <c r="JN19" i="26"/>
  <c r="JO19" i="26"/>
  <c r="JP19" i="26"/>
  <c r="JQ19" i="26"/>
  <c r="IW8" i="26"/>
  <c r="IX8" i="26"/>
  <c r="IY8" i="26"/>
  <c r="IZ8" i="26"/>
  <c r="JA8" i="26"/>
  <c r="JB8" i="26"/>
  <c r="JC8" i="26"/>
  <c r="JD8" i="26"/>
  <c r="JE8" i="26"/>
  <c r="JF8" i="26"/>
  <c r="JG8" i="26"/>
  <c r="JH8" i="26"/>
  <c r="JI8" i="26"/>
  <c r="JJ8" i="26"/>
  <c r="JK8" i="26"/>
  <c r="JL8" i="26"/>
  <c r="JM8" i="26"/>
  <c r="JN8" i="26"/>
  <c r="JO8" i="26"/>
  <c r="JP8" i="26"/>
  <c r="JQ8" i="26"/>
  <c r="IV8" i="26"/>
  <c r="FK9" i="26"/>
  <c r="FL9" i="26"/>
  <c r="FM9" i="26"/>
  <c r="FN9" i="26"/>
  <c r="FO9" i="26"/>
  <c r="FP9" i="26"/>
  <c r="FQ9" i="26"/>
  <c r="FR9" i="26"/>
  <c r="FS9" i="26"/>
  <c r="FT9" i="26"/>
  <c r="FU9" i="26"/>
  <c r="FV9" i="26"/>
  <c r="FW9" i="26"/>
  <c r="FX9" i="26"/>
  <c r="FY9" i="26"/>
  <c r="FZ9" i="26"/>
  <c r="GA9" i="26"/>
  <c r="GB9" i="26"/>
  <c r="GC9" i="26"/>
  <c r="GD9" i="26"/>
  <c r="GE9" i="26"/>
  <c r="GF9" i="26"/>
  <c r="GG9" i="26"/>
  <c r="GH9" i="26"/>
  <c r="GI9" i="26"/>
  <c r="GJ9" i="26"/>
  <c r="FK10" i="26"/>
  <c r="FL10" i="26"/>
  <c r="FM10" i="26"/>
  <c r="FN10" i="26"/>
  <c r="FO10" i="26"/>
  <c r="FP10" i="26"/>
  <c r="FQ10" i="26"/>
  <c r="FR10" i="26"/>
  <c r="FS10" i="26"/>
  <c r="FT10" i="26"/>
  <c r="FU10" i="26"/>
  <c r="FV10" i="26"/>
  <c r="FW10" i="26"/>
  <c r="FX10" i="26"/>
  <c r="FY10" i="26"/>
  <c r="FZ10" i="26"/>
  <c r="GA10" i="26"/>
  <c r="GB10" i="26"/>
  <c r="GC10" i="26"/>
  <c r="GD10" i="26"/>
  <c r="GE10" i="26"/>
  <c r="GF10" i="26"/>
  <c r="GG10" i="26"/>
  <c r="GH10" i="26"/>
  <c r="GI10" i="26"/>
  <c r="GJ10" i="26"/>
  <c r="FK11" i="26"/>
  <c r="FL11" i="26"/>
  <c r="FM11" i="26"/>
  <c r="FN11" i="26"/>
  <c r="FO11" i="26"/>
  <c r="FP11" i="26"/>
  <c r="FQ11" i="26"/>
  <c r="FR11" i="26"/>
  <c r="FS11" i="26"/>
  <c r="FT11" i="26"/>
  <c r="FU11" i="26"/>
  <c r="FV11" i="26"/>
  <c r="FW11" i="26"/>
  <c r="FX11" i="26"/>
  <c r="FY11" i="26"/>
  <c r="FZ11" i="26"/>
  <c r="GA11" i="26"/>
  <c r="GB11" i="26"/>
  <c r="GC11" i="26"/>
  <c r="GD11" i="26"/>
  <c r="GE11" i="26"/>
  <c r="GF11" i="26"/>
  <c r="GG11" i="26"/>
  <c r="GH11" i="26"/>
  <c r="GI11" i="26"/>
  <c r="GJ11" i="26"/>
  <c r="FK12" i="26"/>
  <c r="FL12" i="26"/>
  <c r="FM12" i="26"/>
  <c r="FN12" i="26"/>
  <c r="FO12" i="26"/>
  <c r="FP12" i="26"/>
  <c r="FQ12" i="26"/>
  <c r="FR12" i="26"/>
  <c r="FS12" i="26"/>
  <c r="FT12" i="26"/>
  <c r="FU12" i="26"/>
  <c r="FV12" i="26"/>
  <c r="FW12" i="26"/>
  <c r="FX12" i="26"/>
  <c r="FY12" i="26"/>
  <c r="FZ12" i="26"/>
  <c r="GA12" i="26"/>
  <c r="GB12" i="26"/>
  <c r="GC12" i="26"/>
  <c r="GD12" i="26"/>
  <c r="GE12" i="26"/>
  <c r="GF12" i="26"/>
  <c r="GG12" i="26"/>
  <c r="GH12" i="26"/>
  <c r="GI12" i="26"/>
  <c r="GJ12" i="26"/>
  <c r="FK13" i="26"/>
  <c r="FL13" i="26"/>
  <c r="FM13" i="26"/>
  <c r="FN13" i="26"/>
  <c r="FO13" i="26"/>
  <c r="FP13" i="26"/>
  <c r="FQ13" i="26"/>
  <c r="FR13" i="26"/>
  <c r="FS13" i="26"/>
  <c r="FT13" i="26"/>
  <c r="FU13" i="26"/>
  <c r="FV13" i="26"/>
  <c r="FW13" i="26"/>
  <c r="FX13" i="26"/>
  <c r="FY13" i="26"/>
  <c r="FZ13" i="26"/>
  <c r="GA13" i="26"/>
  <c r="GB13" i="26"/>
  <c r="GC13" i="26"/>
  <c r="GD13" i="26"/>
  <c r="GE13" i="26"/>
  <c r="GF13" i="26"/>
  <c r="GG13" i="26"/>
  <c r="GH13" i="26"/>
  <c r="GI13" i="26"/>
  <c r="GJ13" i="26"/>
  <c r="FK14" i="26"/>
  <c r="FL14" i="26"/>
  <c r="FM14" i="26"/>
  <c r="FN14" i="26"/>
  <c r="FO14" i="26"/>
  <c r="FP14" i="26"/>
  <c r="FQ14" i="26"/>
  <c r="FR14" i="26"/>
  <c r="FS14" i="26"/>
  <c r="FT14" i="26"/>
  <c r="FU14" i="26"/>
  <c r="FV14" i="26"/>
  <c r="FW14" i="26"/>
  <c r="FX14" i="26"/>
  <c r="FY14" i="26"/>
  <c r="FZ14" i="26"/>
  <c r="GA14" i="26"/>
  <c r="GB14" i="26"/>
  <c r="GC14" i="26"/>
  <c r="GD14" i="26"/>
  <c r="GE14" i="26"/>
  <c r="GF14" i="26"/>
  <c r="GG14" i="26"/>
  <c r="GH14" i="26"/>
  <c r="GI14" i="26"/>
  <c r="GJ14" i="26"/>
  <c r="FK15" i="26"/>
  <c r="FL15" i="26"/>
  <c r="FM15" i="26"/>
  <c r="FN15" i="26"/>
  <c r="FO15" i="26"/>
  <c r="FP15" i="26"/>
  <c r="FQ15" i="26"/>
  <c r="FR15" i="26"/>
  <c r="FS15" i="26"/>
  <c r="FT15" i="26"/>
  <c r="FU15" i="26"/>
  <c r="FV15" i="26"/>
  <c r="FW15" i="26"/>
  <c r="FX15" i="26"/>
  <c r="FY15" i="26"/>
  <c r="FZ15" i="26"/>
  <c r="GA15" i="26"/>
  <c r="GB15" i="26"/>
  <c r="GC15" i="26"/>
  <c r="GD15" i="26"/>
  <c r="GE15" i="26"/>
  <c r="GF15" i="26"/>
  <c r="GG15" i="26"/>
  <c r="GH15" i="26"/>
  <c r="GI15" i="26"/>
  <c r="GJ15" i="26"/>
  <c r="FK16" i="26"/>
  <c r="FL16" i="26"/>
  <c r="FM16" i="26"/>
  <c r="FN16" i="26"/>
  <c r="FO16" i="26"/>
  <c r="FP16" i="26"/>
  <c r="FQ16" i="26"/>
  <c r="FR16" i="26"/>
  <c r="FS16" i="26"/>
  <c r="FT16" i="26"/>
  <c r="FU16" i="26"/>
  <c r="FV16" i="26"/>
  <c r="FW16" i="26"/>
  <c r="FX16" i="26"/>
  <c r="FY16" i="26"/>
  <c r="FZ16" i="26"/>
  <c r="GA16" i="26"/>
  <c r="GB16" i="26"/>
  <c r="GC16" i="26"/>
  <c r="GD16" i="26"/>
  <c r="GE16" i="26"/>
  <c r="GF16" i="26"/>
  <c r="GG16" i="26"/>
  <c r="GH16" i="26"/>
  <c r="GI16" i="26"/>
  <c r="GJ16" i="26"/>
  <c r="FK17" i="26"/>
  <c r="FL17" i="26"/>
  <c r="FM17" i="26"/>
  <c r="FN17" i="26"/>
  <c r="FO17" i="26"/>
  <c r="FP17" i="26"/>
  <c r="FQ17" i="26"/>
  <c r="FR17" i="26"/>
  <c r="FS17" i="26"/>
  <c r="FT17" i="26"/>
  <c r="FU17" i="26"/>
  <c r="FV17" i="26"/>
  <c r="FW17" i="26"/>
  <c r="FX17" i="26"/>
  <c r="FY17" i="26"/>
  <c r="FZ17" i="26"/>
  <c r="GA17" i="26"/>
  <c r="GB17" i="26"/>
  <c r="GC17" i="26"/>
  <c r="GD17" i="26"/>
  <c r="GE17" i="26"/>
  <c r="GF17" i="26"/>
  <c r="GG17" i="26"/>
  <c r="GH17" i="26"/>
  <c r="GI17" i="26"/>
  <c r="GJ17" i="26"/>
  <c r="FK18" i="26"/>
  <c r="FL18" i="26"/>
  <c r="FM18" i="26"/>
  <c r="FN18" i="26"/>
  <c r="FO18" i="26"/>
  <c r="FP18" i="26"/>
  <c r="FQ18" i="26"/>
  <c r="FR18" i="26"/>
  <c r="FS18" i="26"/>
  <c r="FT18" i="26"/>
  <c r="FU18" i="26"/>
  <c r="FV18" i="26"/>
  <c r="FW18" i="26"/>
  <c r="FX18" i="26"/>
  <c r="FY18" i="26"/>
  <c r="FZ18" i="26"/>
  <c r="GA18" i="26"/>
  <c r="GB18" i="26"/>
  <c r="GC18" i="26"/>
  <c r="GD18" i="26"/>
  <c r="GE18" i="26"/>
  <c r="GF18" i="26"/>
  <c r="GG18" i="26"/>
  <c r="GH18" i="26"/>
  <c r="GI18" i="26"/>
  <c r="GJ18" i="26"/>
  <c r="FK19" i="26"/>
  <c r="FL19" i="26"/>
  <c r="FM19" i="26"/>
  <c r="FN19" i="26"/>
  <c r="FO19" i="26"/>
  <c r="FP19" i="26"/>
  <c r="FQ19" i="26"/>
  <c r="FR19" i="26"/>
  <c r="FS19" i="26"/>
  <c r="FT19" i="26"/>
  <c r="FU19" i="26"/>
  <c r="FV19" i="26"/>
  <c r="FW19" i="26"/>
  <c r="FX19" i="26"/>
  <c r="FY19" i="26"/>
  <c r="FZ19" i="26"/>
  <c r="GA19" i="26"/>
  <c r="GB19" i="26"/>
  <c r="GC19" i="26"/>
  <c r="GD19" i="26"/>
  <c r="GE19" i="26"/>
  <c r="GF19" i="26"/>
  <c r="GG19" i="26"/>
  <c r="GH19" i="26"/>
  <c r="GI19" i="26"/>
  <c r="GJ19" i="26"/>
  <c r="FL8" i="26"/>
  <c r="FM8" i="26"/>
  <c r="FN8" i="26"/>
  <c r="FO8" i="26"/>
  <c r="FP8" i="26"/>
  <c r="FQ8" i="26"/>
  <c r="FR8" i="26"/>
  <c r="FS8" i="26"/>
  <c r="FT8" i="26"/>
  <c r="FU8" i="26"/>
  <c r="FV8" i="26"/>
  <c r="FW8" i="26"/>
  <c r="FX8" i="26"/>
  <c r="FY8" i="26"/>
  <c r="FZ8" i="26"/>
  <c r="GA8" i="26"/>
  <c r="GB8" i="26"/>
  <c r="GC8" i="26"/>
  <c r="GD8" i="26"/>
  <c r="GE8" i="26"/>
  <c r="GF8" i="26"/>
  <c r="GG8" i="26"/>
  <c r="GH8" i="26"/>
  <c r="GI8" i="26"/>
  <c r="GJ8" i="26"/>
  <c r="FK8" i="26"/>
  <c r="EJ9" i="26"/>
  <c r="EK9" i="26"/>
  <c r="EL9" i="26"/>
  <c r="EM9" i="26"/>
  <c r="EN9" i="26"/>
  <c r="EO9" i="26"/>
  <c r="EP9" i="26"/>
  <c r="EQ9" i="26"/>
  <c r="ER9" i="26"/>
  <c r="ES9" i="26"/>
  <c r="ET9" i="26"/>
  <c r="EU9" i="26"/>
  <c r="EV9" i="26"/>
  <c r="EW9" i="26"/>
  <c r="EX9" i="26"/>
  <c r="EY9" i="26"/>
  <c r="EZ9" i="26"/>
  <c r="FA9" i="26"/>
  <c r="FB9" i="26"/>
  <c r="FC9" i="26"/>
  <c r="FD9" i="26"/>
  <c r="FE9" i="26"/>
  <c r="FF9" i="26"/>
  <c r="FG9" i="26"/>
  <c r="FH9" i="26"/>
  <c r="FI9" i="26"/>
  <c r="EJ10" i="26"/>
  <c r="EK10" i="26"/>
  <c r="EL10" i="26"/>
  <c r="EM10" i="26"/>
  <c r="EN10" i="26"/>
  <c r="EO10" i="26"/>
  <c r="EP10" i="26"/>
  <c r="EQ10" i="26"/>
  <c r="ER10" i="26"/>
  <c r="ES10" i="26"/>
  <c r="ET10" i="26"/>
  <c r="EU10" i="26"/>
  <c r="EV10" i="26"/>
  <c r="EW10" i="26"/>
  <c r="EX10" i="26"/>
  <c r="EY10" i="26"/>
  <c r="EZ10" i="26"/>
  <c r="FA10" i="26"/>
  <c r="FB10" i="26"/>
  <c r="FC10" i="26"/>
  <c r="FD10" i="26"/>
  <c r="FE10" i="26"/>
  <c r="FF10" i="26"/>
  <c r="FG10" i="26"/>
  <c r="FH10" i="26"/>
  <c r="FI10" i="26"/>
  <c r="EJ11" i="26"/>
  <c r="EK11" i="26"/>
  <c r="EL11" i="26"/>
  <c r="EM11" i="26"/>
  <c r="EN11" i="26"/>
  <c r="EO11" i="26"/>
  <c r="EP11" i="26"/>
  <c r="EQ11" i="26"/>
  <c r="ER11" i="26"/>
  <c r="ES11" i="26"/>
  <c r="ET11" i="26"/>
  <c r="EU11" i="26"/>
  <c r="EV11" i="26"/>
  <c r="EW11" i="26"/>
  <c r="EX11" i="26"/>
  <c r="EY11" i="26"/>
  <c r="EZ11" i="26"/>
  <c r="FA11" i="26"/>
  <c r="FB11" i="26"/>
  <c r="FC11" i="26"/>
  <c r="FD11" i="26"/>
  <c r="FE11" i="26"/>
  <c r="FF11" i="26"/>
  <c r="FG11" i="26"/>
  <c r="FH11" i="26"/>
  <c r="FI11" i="26"/>
  <c r="EJ12" i="26"/>
  <c r="EK12" i="26"/>
  <c r="EL12" i="26"/>
  <c r="EM12" i="26"/>
  <c r="EN12" i="26"/>
  <c r="EO12" i="26"/>
  <c r="EP12" i="26"/>
  <c r="EQ12" i="26"/>
  <c r="ER12" i="26"/>
  <c r="ES12" i="26"/>
  <c r="ET12" i="26"/>
  <c r="EU12" i="26"/>
  <c r="EV12" i="26"/>
  <c r="EW12" i="26"/>
  <c r="EX12" i="26"/>
  <c r="EY12" i="26"/>
  <c r="EZ12" i="26"/>
  <c r="FA12" i="26"/>
  <c r="FB12" i="26"/>
  <c r="FC12" i="26"/>
  <c r="FD12" i="26"/>
  <c r="FE12" i="26"/>
  <c r="FF12" i="26"/>
  <c r="FG12" i="26"/>
  <c r="FH12" i="26"/>
  <c r="FI12" i="26"/>
  <c r="EJ13" i="26"/>
  <c r="EK13" i="26"/>
  <c r="EL13" i="26"/>
  <c r="EM13" i="26"/>
  <c r="EN13" i="26"/>
  <c r="EO13" i="26"/>
  <c r="EP13" i="26"/>
  <c r="EQ13" i="26"/>
  <c r="ER13" i="26"/>
  <c r="ES13" i="26"/>
  <c r="ET13" i="26"/>
  <c r="EU13" i="26"/>
  <c r="EV13" i="26"/>
  <c r="EW13" i="26"/>
  <c r="EX13" i="26"/>
  <c r="EY13" i="26"/>
  <c r="EZ13" i="26"/>
  <c r="FA13" i="26"/>
  <c r="FB13" i="26"/>
  <c r="FC13" i="26"/>
  <c r="FD13" i="26"/>
  <c r="FE13" i="26"/>
  <c r="FF13" i="26"/>
  <c r="FG13" i="26"/>
  <c r="FH13" i="26"/>
  <c r="FI13" i="26"/>
  <c r="EJ14" i="26"/>
  <c r="EK14" i="26"/>
  <c r="EL14" i="26"/>
  <c r="EM14" i="26"/>
  <c r="EN14" i="26"/>
  <c r="EO14" i="26"/>
  <c r="EP14" i="26"/>
  <c r="EQ14" i="26"/>
  <c r="ER14" i="26"/>
  <c r="ES14" i="26"/>
  <c r="ET14" i="26"/>
  <c r="EU14" i="26"/>
  <c r="EV14" i="26"/>
  <c r="EW14" i="26"/>
  <c r="EX14" i="26"/>
  <c r="EY14" i="26"/>
  <c r="EZ14" i="26"/>
  <c r="FA14" i="26"/>
  <c r="FB14" i="26"/>
  <c r="FC14" i="26"/>
  <c r="FD14" i="26"/>
  <c r="FE14" i="26"/>
  <c r="FF14" i="26"/>
  <c r="FG14" i="26"/>
  <c r="FH14" i="26"/>
  <c r="FI14" i="26"/>
  <c r="EJ15" i="26"/>
  <c r="EK15" i="26"/>
  <c r="EL15" i="26"/>
  <c r="EM15" i="26"/>
  <c r="EN15" i="26"/>
  <c r="EO15" i="26"/>
  <c r="EP15" i="26"/>
  <c r="EQ15" i="26"/>
  <c r="ER15" i="26"/>
  <c r="ES15" i="26"/>
  <c r="ET15" i="26"/>
  <c r="EU15" i="26"/>
  <c r="EV15" i="26"/>
  <c r="EW15" i="26"/>
  <c r="EX15" i="26"/>
  <c r="EY15" i="26"/>
  <c r="EZ15" i="26"/>
  <c r="FA15" i="26"/>
  <c r="FB15" i="26"/>
  <c r="FC15" i="26"/>
  <c r="FD15" i="26"/>
  <c r="FE15" i="26"/>
  <c r="FF15" i="26"/>
  <c r="FG15" i="26"/>
  <c r="FH15" i="26"/>
  <c r="FI15" i="26"/>
  <c r="EJ16" i="26"/>
  <c r="EK16" i="26"/>
  <c r="EL16" i="26"/>
  <c r="EM16" i="26"/>
  <c r="EN16" i="26"/>
  <c r="EO16" i="26"/>
  <c r="EP16" i="26"/>
  <c r="EQ16" i="26"/>
  <c r="ER16" i="26"/>
  <c r="ES16" i="26"/>
  <c r="ET16" i="26"/>
  <c r="EU16" i="26"/>
  <c r="EV16" i="26"/>
  <c r="EW16" i="26"/>
  <c r="EX16" i="26"/>
  <c r="EY16" i="26"/>
  <c r="EZ16" i="26"/>
  <c r="FA16" i="26"/>
  <c r="FB16" i="26"/>
  <c r="FC16" i="26"/>
  <c r="FD16" i="26"/>
  <c r="FE16" i="26"/>
  <c r="FF16" i="26"/>
  <c r="FG16" i="26"/>
  <c r="FH16" i="26"/>
  <c r="FI16" i="26"/>
  <c r="EJ17" i="26"/>
  <c r="EK17" i="26"/>
  <c r="EL17" i="26"/>
  <c r="EM17" i="26"/>
  <c r="EN17" i="26"/>
  <c r="EO17" i="26"/>
  <c r="EP17" i="26"/>
  <c r="EQ17" i="26"/>
  <c r="ER17" i="26"/>
  <c r="ES17" i="26"/>
  <c r="ET17" i="26"/>
  <c r="EU17" i="26"/>
  <c r="EV17" i="26"/>
  <c r="EW17" i="26"/>
  <c r="EX17" i="26"/>
  <c r="EY17" i="26"/>
  <c r="EZ17" i="26"/>
  <c r="FA17" i="26"/>
  <c r="FB17" i="26"/>
  <c r="FC17" i="26"/>
  <c r="FD17" i="26"/>
  <c r="FE17" i="26"/>
  <c r="FF17" i="26"/>
  <c r="FG17" i="26"/>
  <c r="FH17" i="26"/>
  <c r="FI17" i="26"/>
  <c r="EJ18" i="26"/>
  <c r="EK18" i="26"/>
  <c r="EL18" i="26"/>
  <c r="EM18" i="26"/>
  <c r="EN18" i="26"/>
  <c r="EO18" i="26"/>
  <c r="EP18" i="26"/>
  <c r="EQ18" i="26"/>
  <c r="ER18" i="26"/>
  <c r="ES18" i="26"/>
  <c r="ET18" i="26"/>
  <c r="EU18" i="26"/>
  <c r="EV18" i="26"/>
  <c r="EW18" i="26"/>
  <c r="EX18" i="26"/>
  <c r="EY18" i="26"/>
  <c r="EZ18" i="26"/>
  <c r="FA18" i="26"/>
  <c r="FB18" i="26"/>
  <c r="FC18" i="26"/>
  <c r="FD18" i="26"/>
  <c r="FE18" i="26"/>
  <c r="FF18" i="26"/>
  <c r="FG18" i="26"/>
  <c r="FH18" i="26"/>
  <c r="FI18" i="26"/>
  <c r="EJ19" i="26"/>
  <c r="EK19" i="26"/>
  <c r="EL19" i="26"/>
  <c r="EM19" i="26"/>
  <c r="EN19" i="26"/>
  <c r="EO19" i="26"/>
  <c r="EP19" i="26"/>
  <c r="EQ19" i="26"/>
  <c r="ER19" i="26"/>
  <c r="ES19" i="26"/>
  <c r="ET19" i="26"/>
  <c r="EU19" i="26"/>
  <c r="EV19" i="26"/>
  <c r="EW19" i="26"/>
  <c r="EX19" i="26"/>
  <c r="EY19" i="26"/>
  <c r="EZ19" i="26"/>
  <c r="FA19" i="26"/>
  <c r="FB19" i="26"/>
  <c r="FC19" i="26"/>
  <c r="FD19" i="26"/>
  <c r="FE19" i="26"/>
  <c r="FF19" i="26"/>
  <c r="FG19" i="26"/>
  <c r="FH19" i="26"/>
  <c r="FI19" i="26"/>
  <c r="EK8" i="26"/>
  <c r="EL8" i="26"/>
  <c r="EM8" i="26"/>
  <c r="EN8" i="26"/>
  <c r="EO8" i="26"/>
  <c r="EP8" i="26"/>
  <c r="EQ8" i="26"/>
  <c r="ER8" i="26"/>
  <c r="ES8" i="26"/>
  <c r="ET8" i="26"/>
  <c r="EU8" i="26"/>
  <c r="EV8" i="26"/>
  <c r="EW8" i="26"/>
  <c r="EX8" i="26"/>
  <c r="EY8" i="26"/>
  <c r="EZ8" i="26"/>
  <c r="FA8" i="26"/>
  <c r="FB8" i="26"/>
  <c r="FC8" i="26"/>
  <c r="FD8" i="26"/>
  <c r="FE8" i="26"/>
  <c r="FF8" i="26"/>
  <c r="FG8" i="26"/>
  <c r="FH8" i="26"/>
  <c r="FI8" i="26"/>
  <c r="EJ8" i="26"/>
  <c r="DI9" i="26"/>
  <c r="DJ9" i="26"/>
  <c r="DK9" i="26"/>
  <c r="DL9" i="26"/>
  <c r="DM9" i="26"/>
  <c r="DN9" i="26"/>
  <c r="DO9" i="26"/>
  <c r="DP9" i="26"/>
  <c r="DQ9" i="26"/>
  <c r="DR9" i="26"/>
  <c r="DS9" i="26"/>
  <c r="DT9" i="26"/>
  <c r="DU9" i="26"/>
  <c r="DV9" i="26"/>
  <c r="DW9" i="26"/>
  <c r="DX9" i="26"/>
  <c r="DY9" i="26"/>
  <c r="DZ9" i="26"/>
  <c r="EA9" i="26"/>
  <c r="EB9" i="26"/>
  <c r="EC9" i="26"/>
  <c r="ED9" i="26"/>
  <c r="EE9" i="26"/>
  <c r="EF9" i="26"/>
  <c r="EG9" i="26"/>
  <c r="EH9" i="26"/>
  <c r="DI10" i="26"/>
  <c r="DJ10" i="26"/>
  <c r="DK10" i="26"/>
  <c r="DL10" i="26"/>
  <c r="DM10" i="26"/>
  <c r="DN10" i="26"/>
  <c r="DO10" i="26"/>
  <c r="DP10" i="26"/>
  <c r="DQ10" i="26"/>
  <c r="DR10" i="26"/>
  <c r="DS10" i="26"/>
  <c r="DT10" i="26"/>
  <c r="DU10" i="26"/>
  <c r="DV10" i="26"/>
  <c r="DW10" i="26"/>
  <c r="DX10" i="26"/>
  <c r="DY10" i="26"/>
  <c r="DZ10" i="26"/>
  <c r="EA10" i="26"/>
  <c r="EB10" i="26"/>
  <c r="EC10" i="26"/>
  <c r="ED10" i="26"/>
  <c r="EE10" i="26"/>
  <c r="EF10" i="26"/>
  <c r="EG10" i="26"/>
  <c r="EH10" i="26"/>
  <c r="DI11" i="26"/>
  <c r="DJ11" i="26"/>
  <c r="DK11" i="26"/>
  <c r="DL11" i="26"/>
  <c r="DM11" i="26"/>
  <c r="DN11" i="26"/>
  <c r="DO11" i="26"/>
  <c r="DP11" i="26"/>
  <c r="DQ11" i="26"/>
  <c r="DR11" i="26"/>
  <c r="DS11" i="26"/>
  <c r="DT11" i="26"/>
  <c r="DU11" i="26"/>
  <c r="DV11" i="26"/>
  <c r="DW11" i="26"/>
  <c r="DX11" i="26"/>
  <c r="DY11" i="26"/>
  <c r="DZ11" i="26"/>
  <c r="EA11" i="26"/>
  <c r="EB11" i="26"/>
  <c r="EC11" i="26"/>
  <c r="ED11" i="26"/>
  <c r="EE11" i="26"/>
  <c r="EF11" i="26"/>
  <c r="EG11" i="26"/>
  <c r="EH11" i="26"/>
  <c r="DI12" i="26"/>
  <c r="DJ12" i="26"/>
  <c r="DK12" i="26"/>
  <c r="DL12" i="26"/>
  <c r="DM12" i="26"/>
  <c r="DN12" i="26"/>
  <c r="DO12" i="26"/>
  <c r="DP12" i="26"/>
  <c r="DQ12" i="26"/>
  <c r="DR12" i="26"/>
  <c r="DS12" i="26"/>
  <c r="DT12" i="26"/>
  <c r="DU12" i="26"/>
  <c r="DV12" i="26"/>
  <c r="DW12" i="26"/>
  <c r="DX12" i="26"/>
  <c r="DY12" i="26"/>
  <c r="DZ12" i="26"/>
  <c r="EA12" i="26"/>
  <c r="EB12" i="26"/>
  <c r="EC12" i="26"/>
  <c r="ED12" i="26"/>
  <c r="EE12" i="26"/>
  <c r="EF12" i="26"/>
  <c r="EG12" i="26"/>
  <c r="EH12" i="26"/>
  <c r="DI13" i="26"/>
  <c r="DJ13" i="26"/>
  <c r="DK13" i="26"/>
  <c r="DL13" i="26"/>
  <c r="DM13" i="26"/>
  <c r="DN13" i="26"/>
  <c r="DO13" i="26"/>
  <c r="DP13" i="26"/>
  <c r="DQ13" i="26"/>
  <c r="DR13" i="26"/>
  <c r="DS13" i="26"/>
  <c r="DT13" i="26"/>
  <c r="DU13" i="26"/>
  <c r="DV13" i="26"/>
  <c r="DW13" i="26"/>
  <c r="DX13" i="26"/>
  <c r="DY13" i="26"/>
  <c r="DZ13" i="26"/>
  <c r="EA13" i="26"/>
  <c r="EB13" i="26"/>
  <c r="EC13" i="26"/>
  <c r="ED13" i="26"/>
  <c r="EE13" i="26"/>
  <c r="EF13" i="26"/>
  <c r="EG13" i="26"/>
  <c r="EH13" i="26"/>
  <c r="DI14" i="26"/>
  <c r="DJ14" i="26"/>
  <c r="DK14" i="26"/>
  <c r="DL14" i="26"/>
  <c r="DM14" i="26"/>
  <c r="DN14" i="26"/>
  <c r="DO14" i="26"/>
  <c r="DP14" i="26"/>
  <c r="DQ14" i="26"/>
  <c r="DR14" i="26"/>
  <c r="DS14" i="26"/>
  <c r="DT14" i="26"/>
  <c r="DU14" i="26"/>
  <c r="DV14" i="26"/>
  <c r="DW14" i="26"/>
  <c r="DX14" i="26"/>
  <c r="DY14" i="26"/>
  <c r="DZ14" i="26"/>
  <c r="EA14" i="26"/>
  <c r="EB14" i="26"/>
  <c r="EC14" i="26"/>
  <c r="ED14" i="26"/>
  <c r="EE14" i="26"/>
  <c r="EF14" i="26"/>
  <c r="EG14" i="26"/>
  <c r="EH14" i="26"/>
  <c r="DI15" i="26"/>
  <c r="DJ15" i="26"/>
  <c r="DK15" i="26"/>
  <c r="DL15" i="26"/>
  <c r="DM15" i="26"/>
  <c r="DN15" i="26"/>
  <c r="DO15" i="26"/>
  <c r="DP15" i="26"/>
  <c r="DQ15" i="26"/>
  <c r="DR15" i="26"/>
  <c r="DS15" i="26"/>
  <c r="DT15" i="26"/>
  <c r="DU15" i="26"/>
  <c r="DV15" i="26"/>
  <c r="DW15" i="26"/>
  <c r="DX15" i="26"/>
  <c r="DY15" i="26"/>
  <c r="DZ15" i="26"/>
  <c r="EA15" i="26"/>
  <c r="EB15" i="26"/>
  <c r="EC15" i="26"/>
  <c r="ED15" i="26"/>
  <c r="EE15" i="26"/>
  <c r="EF15" i="26"/>
  <c r="EG15" i="26"/>
  <c r="EH15" i="26"/>
  <c r="DI16" i="26"/>
  <c r="DJ16" i="26"/>
  <c r="DK16" i="26"/>
  <c r="DL16" i="26"/>
  <c r="DM16" i="26"/>
  <c r="DN16" i="26"/>
  <c r="DO16" i="26"/>
  <c r="DP16" i="26"/>
  <c r="DQ16" i="26"/>
  <c r="DR16" i="26"/>
  <c r="DS16" i="26"/>
  <c r="DT16" i="26"/>
  <c r="DU16" i="26"/>
  <c r="DV16" i="26"/>
  <c r="DW16" i="26"/>
  <c r="DX16" i="26"/>
  <c r="DY16" i="26"/>
  <c r="DZ16" i="26"/>
  <c r="EA16" i="26"/>
  <c r="EB16" i="26"/>
  <c r="EC16" i="26"/>
  <c r="ED16" i="26"/>
  <c r="EE16" i="26"/>
  <c r="EF16" i="26"/>
  <c r="EG16" i="26"/>
  <c r="EH16" i="26"/>
  <c r="DI17" i="26"/>
  <c r="DJ17" i="26"/>
  <c r="DK17" i="26"/>
  <c r="DL17" i="26"/>
  <c r="DM17" i="26"/>
  <c r="DN17" i="26"/>
  <c r="DO17" i="26"/>
  <c r="DP17" i="26"/>
  <c r="DQ17" i="26"/>
  <c r="DR17" i="26"/>
  <c r="DS17" i="26"/>
  <c r="DT17" i="26"/>
  <c r="DU17" i="26"/>
  <c r="DV17" i="26"/>
  <c r="DW17" i="26"/>
  <c r="DX17" i="26"/>
  <c r="DY17" i="26"/>
  <c r="DZ17" i="26"/>
  <c r="EA17" i="26"/>
  <c r="EB17" i="26"/>
  <c r="EC17" i="26"/>
  <c r="ED17" i="26"/>
  <c r="EE17" i="26"/>
  <c r="EF17" i="26"/>
  <c r="EG17" i="26"/>
  <c r="EH17" i="26"/>
  <c r="DI18" i="26"/>
  <c r="DJ18" i="26"/>
  <c r="DK18" i="26"/>
  <c r="DL18" i="26"/>
  <c r="DM18" i="26"/>
  <c r="DN18" i="26"/>
  <c r="DO18" i="26"/>
  <c r="DP18" i="26"/>
  <c r="DQ18" i="26"/>
  <c r="DR18" i="26"/>
  <c r="DS18" i="26"/>
  <c r="DT18" i="26"/>
  <c r="DU18" i="26"/>
  <c r="DV18" i="26"/>
  <c r="DW18" i="26"/>
  <c r="DX18" i="26"/>
  <c r="DY18" i="26"/>
  <c r="DZ18" i="26"/>
  <c r="EA18" i="26"/>
  <c r="EB18" i="26"/>
  <c r="EC18" i="26"/>
  <c r="ED18" i="26"/>
  <c r="EE18" i="26"/>
  <c r="EF18" i="26"/>
  <c r="EG18" i="26"/>
  <c r="EH18" i="26"/>
  <c r="DI19" i="26"/>
  <c r="DJ19" i="26"/>
  <c r="DK19" i="26"/>
  <c r="DL19" i="26"/>
  <c r="DM19" i="26"/>
  <c r="DN19" i="26"/>
  <c r="DO19" i="26"/>
  <c r="DP19" i="26"/>
  <c r="DQ19" i="26"/>
  <c r="DR19" i="26"/>
  <c r="DS19" i="26"/>
  <c r="DT19" i="26"/>
  <c r="DU19" i="26"/>
  <c r="DV19" i="26"/>
  <c r="DW19" i="26"/>
  <c r="DX19" i="26"/>
  <c r="DY19" i="26"/>
  <c r="DZ19" i="26"/>
  <c r="EA19" i="26"/>
  <c r="EB19" i="26"/>
  <c r="EC19" i="26"/>
  <c r="ED19" i="26"/>
  <c r="EE19" i="26"/>
  <c r="EF19" i="26"/>
  <c r="EG19" i="26"/>
  <c r="EH19" i="26"/>
  <c r="DJ8" i="26"/>
  <c r="DK8" i="26"/>
  <c r="DL8" i="26"/>
  <c r="DM8" i="26"/>
  <c r="DN8" i="26"/>
  <c r="DO8" i="26"/>
  <c r="DP8" i="26"/>
  <c r="DQ8" i="26"/>
  <c r="DR8" i="26"/>
  <c r="DS8" i="26"/>
  <c r="DT8" i="26"/>
  <c r="DU8" i="26"/>
  <c r="DV8" i="26"/>
  <c r="DW8" i="26"/>
  <c r="DX8" i="26"/>
  <c r="DY8" i="26"/>
  <c r="DZ8" i="26"/>
  <c r="EA8" i="26"/>
  <c r="EB8" i="26"/>
  <c r="EC8" i="26"/>
  <c r="ED8" i="26"/>
  <c r="EE8" i="26"/>
  <c r="EF8" i="26"/>
  <c r="EG8" i="26"/>
  <c r="EH8" i="26"/>
  <c r="DI8" i="26"/>
  <c r="CO9" i="26"/>
  <c r="CP9" i="26"/>
  <c r="CQ9" i="26"/>
  <c r="CO10" i="26"/>
  <c r="CP10" i="26"/>
  <c r="CQ10" i="26"/>
  <c r="CO11" i="26"/>
  <c r="CP11" i="26"/>
  <c r="CQ11" i="26"/>
  <c r="CO12" i="26"/>
  <c r="CP12" i="26"/>
  <c r="CQ12" i="26"/>
  <c r="CO13" i="26"/>
  <c r="CP13" i="26"/>
  <c r="CQ13" i="26"/>
  <c r="CO14" i="26"/>
  <c r="CP14" i="26"/>
  <c r="CQ14" i="26"/>
  <c r="CO15" i="26"/>
  <c r="CP15" i="26"/>
  <c r="CQ15" i="26"/>
  <c r="CO16" i="26"/>
  <c r="CP16" i="26"/>
  <c r="CQ16" i="26"/>
  <c r="CO17" i="26"/>
  <c r="CP17" i="26"/>
  <c r="CQ17" i="26"/>
  <c r="CO18" i="26"/>
  <c r="CP18" i="26"/>
  <c r="CQ18" i="26"/>
  <c r="CO19" i="26"/>
  <c r="CP19" i="26"/>
  <c r="CQ19" i="26"/>
  <c r="CP8" i="26"/>
  <c r="CQ8" i="26"/>
  <c r="CO8" i="26"/>
  <c r="CE9" i="26"/>
  <c r="CF9" i="26"/>
  <c r="CG9" i="26"/>
  <c r="CH9" i="26"/>
  <c r="CI9" i="26"/>
  <c r="CJ9" i="26"/>
  <c r="CK9" i="26"/>
  <c r="CL9" i="26"/>
  <c r="CM9" i="26"/>
  <c r="CE10" i="26"/>
  <c r="CF10" i="26"/>
  <c r="CG10" i="26"/>
  <c r="CH10" i="26"/>
  <c r="CI10" i="26"/>
  <c r="CJ10" i="26"/>
  <c r="CK10" i="26"/>
  <c r="CL10" i="26"/>
  <c r="CM10" i="26"/>
  <c r="CE11" i="26"/>
  <c r="CF11" i="26"/>
  <c r="CG11" i="26"/>
  <c r="CH11" i="26"/>
  <c r="CI11" i="26"/>
  <c r="CJ11" i="26"/>
  <c r="CK11" i="26"/>
  <c r="CL11" i="26"/>
  <c r="CM11" i="26"/>
  <c r="CE12" i="26"/>
  <c r="CF12" i="26"/>
  <c r="CG12" i="26"/>
  <c r="CH12" i="26"/>
  <c r="CI12" i="26"/>
  <c r="CJ12" i="26"/>
  <c r="CK12" i="26"/>
  <c r="CL12" i="26"/>
  <c r="CM12" i="26"/>
  <c r="CE13" i="26"/>
  <c r="CF13" i="26"/>
  <c r="CG13" i="26"/>
  <c r="CH13" i="26"/>
  <c r="CI13" i="26"/>
  <c r="CJ13" i="26"/>
  <c r="CK13" i="26"/>
  <c r="CL13" i="26"/>
  <c r="CM13" i="26"/>
  <c r="CE14" i="26"/>
  <c r="CF14" i="26"/>
  <c r="CG14" i="26"/>
  <c r="CH14" i="26"/>
  <c r="CI14" i="26"/>
  <c r="CJ14" i="26"/>
  <c r="CK14" i="26"/>
  <c r="CL14" i="26"/>
  <c r="CM14" i="26"/>
  <c r="CE15" i="26"/>
  <c r="CF15" i="26"/>
  <c r="CG15" i="26"/>
  <c r="CH15" i="26"/>
  <c r="CI15" i="26"/>
  <c r="CJ15" i="26"/>
  <c r="CK15" i="26"/>
  <c r="CL15" i="26"/>
  <c r="CM15" i="26"/>
  <c r="CE16" i="26"/>
  <c r="CF16" i="26"/>
  <c r="CG16" i="26"/>
  <c r="CH16" i="26"/>
  <c r="CI16" i="26"/>
  <c r="CJ16" i="26"/>
  <c r="CK16" i="26"/>
  <c r="CL16" i="26"/>
  <c r="CM16" i="26"/>
  <c r="CE17" i="26"/>
  <c r="CF17" i="26"/>
  <c r="CG17" i="26"/>
  <c r="CH17" i="26"/>
  <c r="CI17" i="26"/>
  <c r="CJ17" i="26"/>
  <c r="CK17" i="26"/>
  <c r="CL17" i="26"/>
  <c r="CM17" i="26"/>
  <c r="CE18" i="26"/>
  <c r="CF18" i="26"/>
  <c r="CG18" i="26"/>
  <c r="CH18" i="26"/>
  <c r="CI18" i="26"/>
  <c r="CJ18" i="26"/>
  <c r="CK18" i="26"/>
  <c r="CL18" i="26"/>
  <c r="CM18" i="26"/>
  <c r="CE19" i="26"/>
  <c r="CF19" i="26"/>
  <c r="CG19" i="26"/>
  <c r="CH19" i="26"/>
  <c r="CI19" i="26"/>
  <c r="CJ19" i="26"/>
  <c r="CK19" i="26"/>
  <c r="CL19" i="26"/>
  <c r="CM19" i="26"/>
  <c r="CF8" i="26"/>
  <c r="CG8" i="26"/>
  <c r="CH8" i="26"/>
  <c r="CI8" i="26"/>
  <c r="CJ8" i="26"/>
  <c r="CK8" i="26"/>
  <c r="CL8" i="26"/>
  <c r="CM8" i="26"/>
  <c r="CE8" i="26"/>
  <c r="BX9" i="26"/>
  <c r="BY9" i="26"/>
  <c r="BZ9" i="26"/>
  <c r="CA9" i="26"/>
  <c r="CB9" i="26"/>
  <c r="BX10" i="26"/>
  <c r="BY10" i="26"/>
  <c r="BZ10" i="26"/>
  <c r="CA10" i="26"/>
  <c r="CB10" i="26"/>
  <c r="BX11" i="26"/>
  <c r="BY11" i="26"/>
  <c r="BZ11" i="26"/>
  <c r="CA11" i="26"/>
  <c r="CB11" i="26"/>
  <c r="BX12" i="26"/>
  <c r="BY12" i="26"/>
  <c r="BZ12" i="26"/>
  <c r="CA12" i="26"/>
  <c r="CB12" i="26"/>
  <c r="BX13" i="26"/>
  <c r="BY13" i="26"/>
  <c r="BZ13" i="26"/>
  <c r="CA13" i="26"/>
  <c r="CB13" i="26"/>
  <c r="BX14" i="26"/>
  <c r="BY14" i="26"/>
  <c r="BZ14" i="26"/>
  <c r="CA14" i="26"/>
  <c r="CB14" i="26"/>
  <c r="BX15" i="26"/>
  <c r="BY15" i="26"/>
  <c r="BZ15" i="26"/>
  <c r="CA15" i="26"/>
  <c r="CB15" i="26"/>
  <c r="BX16" i="26"/>
  <c r="BY16" i="26"/>
  <c r="BZ16" i="26"/>
  <c r="CA16" i="26"/>
  <c r="CB16" i="26"/>
  <c r="BX17" i="26"/>
  <c r="BY17" i="26"/>
  <c r="BZ17" i="26"/>
  <c r="CA17" i="26"/>
  <c r="CB17" i="26"/>
  <c r="BX18" i="26"/>
  <c r="BY18" i="26"/>
  <c r="BZ18" i="26"/>
  <c r="CA18" i="26"/>
  <c r="CB18" i="26"/>
  <c r="BX19" i="26"/>
  <c r="BY19" i="26"/>
  <c r="BZ19" i="26"/>
  <c r="CA19" i="26"/>
  <c r="CB19" i="26"/>
  <c r="BY8" i="26"/>
  <c r="BZ8" i="26"/>
  <c r="CA8" i="26"/>
  <c r="CB8" i="26"/>
  <c r="BX8" i="26"/>
  <c r="CN10" i="26" l="1"/>
  <c r="CN18" i="26"/>
  <c r="CN14" i="26"/>
  <c r="CN19" i="26"/>
  <c r="CN15" i="26"/>
  <c r="CN11" i="26"/>
  <c r="CN16" i="26"/>
  <c r="CN12" i="26"/>
  <c r="CN17" i="26"/>
  <c r="CN13" i="26"/>
  <c r="CN9" i="26"/>
  <c r="CN8" i="26"/>
  <c r="JR17" i="26"/>
  <c r="JR11" i="26"/>
  <c r="JR18" i="26"/>
  <c r="JR12" i="26"/>
  <c r="JR19" i="26"/>
  <c r="JR13" i="26"/>
  <c r="JR14" i="26"/>
  <c r="JR15" i="26"/>
  <c r="JR9" i="26"/>
  <c r="JR8" i="26"/>
  <c r="JR16" i="26"/>
  <c r="JR10" i="26"/>
  <c r="EI8" i="26"/>
  <c r="EG20" i="26"/>
  <c r="DU20" i="26"/>
  <c r="FH20" i="26"/>
  <c r="EV20" i="26"/>
  <c r="GI20" i="26"/>
  <c r="FW20" i="26"/>
  <c r="JP20" i="26"/>
  <c r="JD20" i="26"/>
  <c r="CA20" i="26"/>
  <c r="CP20" i="26"/>
  <c r="DF20" i="26"/>
  <c r="CL20" i="26"/>
  <c r="BZ20" i="26"/>
  <c r="BH20" i="26"/>
  <c r="BI20" i="26"/>
  <c r="CK20" i="26"/>
  <c r="BG20" i="26"/>
  <c r="BY20" i="26"/>
  <c r="CJ20" i="26"/>
  <c r="EE20" i="26"/>
  <c r="DS20" i="26"/>
  <c r="FF20" i="26"/>
  <c r="ET20" i="26"/>
  <c r="GG20" i="26"/>
  <c r="FU20" i="26"/>
  <c r="JN20" i="26"/>
  <c r="JB20" i="26"/>
  <c r="BF20" i="26"/>
  <c r="CI20" i="26"/>
  <c r="ED20" i="26"/>
  <c r="DR20" i="26"/>
  <c r="FE20" i="26"/>
  <c r="ES20" i="26"/>
  <c r="GF20" i="26"/>
  <c r="FT20" i="26"/>
  <c r="JM20" i="26"/>
  <c r="JA20" i="26"/>
  <c r="BE20" i="26"/>
  <c r="CH20" i="26"/>
  <c r="EC20" i="26"/>
  <c r="DQ20" i="26"/>
  <c r="FD20" i="26"/>
  <c r="ER20" i="26"/>
  <c r="GE20" i="26"/>
  <c r="FS20" i="26"/>
  <c r="JL20" i="26"/>
  <c r="IZ20" i="26"/>
  <c r="DE20" i="26"/>
  <c r="FG20" i="26"/>
  <c r="EB20" i="26"/>
  <c r="DP20" i="26"/>
  <c r="FC20" i="26"/>
  <c r="EQ20" i="26"/>
  <c r="GD20" i="26"/>
  <c r="FR20" i="26"/>
  <c r="JK20" i="26"/>
  <c r="IY20" i="26"/>
  <c r="DT20" i="26"/>
  <c r="GH20" i="26"/>
  <c r="CF20" i="26"/>
  <c r="EA20" i="26"/>
  <c r="DO20" i="26"/>
  <c r="FB20" i="26"/>
  <c r="EP20" i="26"/>
  <c r="GC20" i="26"/>
  <c r="FQ20" i="26"/>
  <c r="JJ20" i="26"/>
  <c r="IX20" i="26"/>
  <c r="EF20" i="26"/>
  <c r="DZ20" i="26"/>
  <c r="DN20" i="26"/>
  <c r="FA20" i="26"/>
  <c r="EO20" i="26"/>
  <c r="GB20" i="26"/>
  <c r="FP20" i="26"/>
  <c r="JI20" i="26"/>
  <c r="IW20" i="26"/>
  <c r="DY20" i="26"/>
  <c r="DM20" i="26"/>
  <c r="EZ20" i="26"/>
  <c r="EN20" i="26"/>
  <c r="GA20" i="26"/>
  <c r="FO20" i="26"/>
  <c r="JH20" i="26"/>
  <c r="JC20" i="26"/>
  <c r="DX20" i="26"/>
  <c r="DL20" i="26"/>
  <c r="EY20" i="26"/>
  <c r="EM20" i="26"/>
  <c r="FZ20" i="26"/>
  <c r="FN20" i="26"/>
  <c r="JG20" i="26"/>
  <c r="FV20" i="26"/>
  <c r="CG20" i="26"/>
  <c r="BX20" i="26"/>
  <c r="CE20" i="26"/>
  <c r="CO20" i="26"/>
  <c r="DD20" i="26"/>
  <c r="DI20" i="26"/>
  <c r="DW20" i="26"/>
  <c r="DK20" i="26"/>
  <c r="EJ20" i="26"/>
  <c r="EX20" i="26"/>
  <c r="EL20" i="26"/>
  <c r="FK20" i="26"/>
  <c r="FY20" i="26"/>
  <c r="FM20" i="26"/>
  <c r="IV20" i="26"/>
  <c r="JF20" i="26"/>
  <c r="BD20" i="26"/>
  <c r="EU20" i="26"/>
  <c r="JO20" i="26"/>
  <c r="CB20" i="26"/>
  <c r="CM20" i="26"/>
  <c r="CQ20" i="26"/>
  <c r="DG20" i="26"/>
  <c r="EH20" i="26"/>
  <c r="DV20" i="26"/>
  <c r="DJ20" i="26"/>
  <c r="FI20" i="26"/>
  <c r="EW20" i="26"/>
  <c r="EK20" i="26"/>
  <c r="GJ20" i="26"/>
  <c r="FX20" i="26"/>
  <c r="FL20" i="26"/>
  <c r="JQ20" i="26"/>
  <c r="JE20" i="26"/>
  <c r="H32" i="12"/>
  <c r="KE9" i="26"/>
  <c r="KF9" i="26"/>
  <c r="KG9" i="26"/>
  <c r="KH9" i="26"/>
  <c r="KI9" i="26"/>
  <c r="KE10" i="26"/>
  <c r="KF10" i="26"/>
  <c r="KG10" i="26"/>
  <c r="KH10" i="26"/>
  <c r="KI10" i="26"/>
  <c r="KE11" i="26"/>
  <c r="KF11" i="26"/>
  <c r="KG11" i="26"/>
  <c r="KH11" i="26"/>
  <c r="KI11" i="26"/>
  <c r="KE12" i="26"/>
  <c r="KF12" i="26"/>
  <c r="KG12" i="26"/>
  <c r="KH12" i="26"/>
  <c r="KI12" i="26"/>
  <c r="KE13" i="26"/>
  <c r="KF13" i="26"/>
  <c r="KG13" i="26"/>
  <c r="KH13" i="26"/>
  <c r="KI13" i="26"/>
  <c r="KE14" i="26"/>
  <c r="KF14" i="26"/>
  <c r="KG14" i="26"/>
  <c r="KH14" i="26"/>
  <c r="KI14" i="26"/>
  <c r="KE15" i="26"/>
  <c r="KF15" i="26"/>
  <c r="KG15" i="26"/>
  <c r="KH15" i="26"/>
  <c r="KI15" i="26"/>
  <c r="KE16" i="26"/>
  <c r="KF16" i="26"/>
  <c r="KG16" i="26"/>
  <c r="KH16" i="26"/>
  <c r="KI16" i="26"/>
  <c r="KE17" i="26"/>
  <c r="KF17" i="26"/>
  <c r="KG17" i="26"/>
  <c r="KH17" i="26"/>
  <c r="KI17" i="26"/>
  <c r="KE18" i="26"/>
  <c r="KF18" i="26"/>
  <c r="KG18" i="26"/>
  <c r="KH18" i="26"/>
  <c r="KI18" i="26"/>
  <c r="KE19" i="26"/>
  <c r="KF19" i="26"/>
  <c r="KG19" i="26"/>
  <c r="KH19" i="26"/>
  <c r="KI19" i="26"/>
  <c r="KF8" i="26"/>
  <c r="KG8" i="26"/>
  <c r="KH8" i="26"/>
  <c r="KI8" i="26"/>
  <c r="KE8" i="26"/>
  <c r="JT20" i="26"/>
  <c r="IC9" i="26"/>
  <c r="ID9" i="26"/>
  <c r="IE9" i="26"/>
  <c r="IF9" i="26"/>
  <c r="IC10" i="26"/>
  <c r="ID10" i="26"/>
  <c r="IE10" i="26"/>
  <c r="IF10" i="26"/>
  <c r="IC11" i="26"/>
  <c r="ID11" i="26"/>
  <c r="IE11" i="26"/>
  <c r="IF11" i="26"/>
  <c r="IC12" i="26"/>
  <c r="ID12" i="26"/>
  <c r="IE12" i="26"/>
  <c r="IF12" i="26"/>
  <c r="IC13" i="26"/>
  <c r="ID13" i="26"/>
  <c r="IE13" i="26"/>
  <c r="IF13" i="26"/>
  <c r="IC14" i="26"/>
  <c r="ID14" i="26"/>
  <c r="IE14" i="26"/>
  <c r="IF14" i="26"/>
  <c r="IC15" i="26"/>
  <c r="ID15" i="26"/>
  <c r="IE15" i="26"/>
  <c r="IF15" i="26"/>
  <c r="IC16" i="26"/>
  <c r="ID16" i="26"/>
  <c r="IE16" i="26"/>
  <c r="IF16" i="26"/>
  <c r="IC17" i="26"/>
  <c r="ID17" i="26"/>
  <c r="IE17" i="26"/>
  <c r="IF17" i="26"/>
  <c r="IC18" i="26"/>
  <c r="ID18" i="26"/>
  <c r="IE18" i="26"/>
  <c r="IF18" i="26"/>
  <c r="IC19" i="26"/>
  <c r="ID19" i="26"/>
  <c r="IE19" i="26"/>
  <c r="IF19" i="26"/>
  <c r="ID8" i="26"/>
  <c r="IE8" i="26"/>
  <c r="IF8" i="26"/>
  <c r="IC8" i="26"/>
  <c r="HN8" i="26"/>
  <c r="GZ8" i="26"/>
  <c r="GM8" i="26"/>
  <c r="BQ9" i="26"/>
  <c r="BR9" i="26"/>
  <c r="BS9" i="26"/>
  <c r="BT9" i="26"/>
  <c r="BU9" i="26"/>
  <c r="BV9" i="26"/>
  <c r="BQ10" i="26"/>
  <c r="BR10" i="26"/>
  <c r="BS10" i="26"/>
  <c r="BT10" i="26"/>
  <c r="BU10" i="26"/>
  <c r="BV10" i="26"/>
  <c r="BQ11" i="26"/>
  <c r="BR11" i="26"/>
  <c r="BS11" i="26"/>
  <c r="BT11" i="26"/>
  <c r="BU11" i="26"/>
  <c r="BV11" i="26"/>
  <c r="BQ12" i="26"/>
  <c r="BR12" i="26"/>
  <c r="BS12" i="26"/>
  <c r="BT12" i="26"/>
  <c r="BU12" i="26"/>
  <c r="BV12" i="26"/>
  <c r="BQ13" i="26"/>
  <c r="BR13" i="26"/>
  <c r="BS13" i="26"/>
  <c r="BT13" i="26"/>
  <c r="BU13" i="26"/>
  <c r="BV13" i="26"/>
  <c r="BQ14" i="26"/>
  <c r="BR14" i="26"/>
  <c r="BS14" i="26"/>
  <c r="BT14" i="26"/>
  <c r="BU14" i="26"/>
  <c r="BV14" i="26"/>
  <c r="BQ15" i="26"/>
  <c r="BR15" i="26"/>
  <c r="BS15" i="26"/>
  <c r="BT15" i="26"/>
  <c r="BU15" i="26"/>
  <c r="BV15" i="26"/>
  <c r="BQ16" i="26"/>
  <c r="BR16" i="26"/>
  <c r="BS16" i="26"/>
  <c r="BT16" i="26"/>
  <c r="BU16" i="26"/>
  <c r="BV16" i="26"/>
  <c r="BQ17" i="26"/>
  <c r="BR17" i="26"/>
  <c r="BS17" i="26"/>
  <c r="BT17" i="26"/>
  <c r="BU17" i="26"/>
  <c r="BV17" i="26"/>
  <c r="BQ18" i="26"/>
  <c r="BR18" i="26"/>
  <c r="BS18" i="26"/>
  <c r="BT18" i="26"/>
  <c r="BU18" i="26"/>
  <c r="BV18" i="26"/>
  <c r="BQ19" i="26"/>
  <c r="BR19" i="26"/>
  <c r="BS19" i="26"/>
  <c r="BT19" i="26"/>
  <c r="BU19" i="26"/>
  <c r="BV19" i="26"/>
  <c r="BR8" i="26"/>
  <c r="BS8" i="26"/>
  <c r="BT8" i="26"/>
  <c r="BU8" i="26"/>
  <c r="BV8" i="26"/>
  <c r="BQ8" i="26"/>
  <c r="BK9" i="26"/>
  <c r="BL9" i="26"/>
  <c r="BM9" i="26"/>
  <c r="BN9" i="26"/>
  <c r="BO9" i="26"/>
  <c r="BK10" i="26"/>
  <c r="BL10" i="26"/>
  <c r="BM10" i="26"/>
  <c r="BN10" i="26"/>
  <c r="BO10" i="26"/>
  <c r="BK11" i="26"/>
  <c r="BL11" i="26"/>
  <c r="BM11" i="26"/>
  <c r="BN11" i="26"/>
  <c r="BO11" i="26"/>
  <c r="BK12" i="26"/>
  <c r="BL12" i="26"/>
  <c r="BM12" i="26"/>
  <c r="BN12" i="26"/>
  <c r="BO12" i="26"/>
  <c r="BK13" i="26"/>
  <c r="BL13" i="26"/>
  <c r="BM13" i="26"/>
  <c r="BN13" i="26"/>
  <c r="BO13" i="26"/>
  <c r="BK14" i="26"/>
  <c r="BL14" i="26"/>
  <c r="BM14" i="26"/>
  <c r="BN14" i="26"/>
  <c r="BO14" i="26"/>
  <c r="BK15" i="26"/>
  <c r="BL15" i="26"/>
  <c r="BM15" i="26"/>
  <c r="BN15" i="26"/>
  <c r="BO15" i="26"/>
  <c r="BK16" i="26"/>
  <c r="BL16" i="26"/>
  <c r="BM16" i="26"/>
  <c r="BN16" i="26"/>
  <c r="BO16" i="26"/>
  <c r="BK17" i="26"/>
  <c r="BL17" i="26"/>
  <c r="BM17" i="26"/>
  <c r="BN17" i="26"/>
  <c r="BO17" i="26"/>
  <c r="BK18" i="26"/>
  <c r="BL18" i="26"/>
  <c r="BM18" i="26"/>
  <c r="BN18" i="26"/>
  <c r="BO18" i="26"/>
  <c r="BK19" i="26"/>
  <c r="BL19" i="26"/>
  <c r="BM19" i="26"/>
  <c r="BN19" i="26"/>
  <c r="BO19" i="26"/>
  <c r="BL8" i="26"/>
  <c r="BM8" i="26"/>
  <c r="BN8" i="26"/>
  <c r="BO8" i="26"/>
  <c r="BK8" i="26"/>
  <c r="AZ9" i="9"/>
  <c r="BC15" i="9"/>
  <c r="BB16" i="9"/>
  <c r="AY17" i="9"/>
  <c r="AZ17" i="9"/>
  <c r="BA17" i="9"/>
  <c r="BB17" i="9"/>
  <c r="BC17" i="9"/>
  <c r="BD17" i="9"/>
  <c r="AX18" i="9"/>
  <c r="AY18" i="9"/>
  <c r="AZ18" i="9"/>
  <c r="BA18" i="9"/>
  <c r="BB18" i="9"/>
  <c r="BC18" i="9"/>
  <c r="BD18" i="9"/>
  <c r="AX19" i="9"/>
  <c r="AY19" i="9"/>
  <c r="AZ19" i="9"/>
  <c r="BA19" i="9"/>
  <c r="BB19" i="9"/>
  <c r="BC19" i="9"/>
  <c r="BD19" i="9"/>
  <c r="AX8" i="9"/>
  <c r="AY8" i="9"/>
  <c r="AZ8" i="9"/>
  <c r="BA8" i="9"/>
  <c r="BB8" i="9"/>
  <c r="BC8" i="9"/>
  <c r="K5" i="7"/>
  <c r="IG8" i="26" l="1"/>
  <c r="IG18" i="26"/>
  <c r="IG15" i="26"/>
  <c r="IG12" i="26"/>
  <c r="IG9" i="26"/>
  <c r="IG17" i="26"/>
  <c r="IG14" i="26"/>
  <c r="IG11" i="26"/>
  <c r="IG19" i="26"/>
  <c r="IG16" i="26"/>
  <c r="IG13" i="26"/>
  <c r="IG10" i="26"/>
  <c r="IA14" i="26"/>
  <c r="IA17" i="26"/>
  <c r="IA16" i="26"/>
  <c r="IA15" i="26"/>
  <c r="IA13" i="26"/>
  <c r="IA8" i="26"/>
  <c r="IA18" i="26"/>
  <c r="IA19" i="26"/>
  <c r="IA11" i="26"/>
  <c r="IA9" i="26"/>
  <c r="IA12" i="26"/>
  <c r="IA10" i="26"/>
  <c r="GZ20" i="26"/>
  <c r="HM8" i="26"/>
  <c r="GM20" i="26"/>
  <c r="GY8" i="26"/>
  <c r="KF20" i="26"/>
  <c r="JX20" i="26"/>
  <c r="HV20" i="26"/>
  <c r="JY20" i="26"/>
  <c r="BT20" i="26"/>
  <c r="BV20" i="26"/>
  <c r="HX20" i="26"/>
  <c r="IP20" i="26"/>
  <c r="KA20" i="26"/>
  <c r="HW20" i="26"/>
  <c r="IO20" i="26"/>
  <c r="JZ20" i="26"/>
  <c r="IM20" i="26"/>
  <c r="HT20" i="26"/>
  <c r="IL20" i="26"/>
  <c r="JW20" i="26"/>
  <c r="BK20" i="26"/>
  <c r="BQ20" i="26"/>
  <c r="HS20" i="26"/>
  <c r="IK20" i="26"/>
  <c r="JV20" i="26"/>
  <c r="IN20" i="26"/>
  <c r="HR20" i="26"/>
  <c r="BN20" i="26"/>
  <c r="BU20" i="26"/>
  <c r="HN20" i="26"/>
  <c r="HQ20" i="26"/>
  <c r="IC20" i="26"/>
  <c r="IH20" i="26"/>
  <c r="KE20" i="26"/>
  <c r="HP20" i="26"/>
  <c r="IT20" i="26"/>
  <c r="KI20" i="26"/>
  <c r="HU20" i="26"/>
  <c r="BO20" i="26"/>
  <c r="BL20" i="26"/>
  <c r="BS20" i="26"/>
  <c r="IF20" i="26"/>
  <c r="IS20" i="26"/>
  <c r="KC20" i="26"/>
  <c r="BM20" i="26"/>
  <c r="BR20" i="26"/>
  <c r="HZ20" i="26"/>
  <c r="IE20" i="26"/>
  <c r="IR20" i="26"/>
  <c r="KH20" i="26"/>
  <c r="HY20" i="26"/>
  <c r="ID20" i="26"/>
  <c r="IQ20" i="26"/>
  <c r="KB20" i="26"/>
  <c r="KG20" i="26"/>
  <c r="I32" i="12"/>
  <c r="N5" i="7"/>
  <c r="M5" i="7"/>
  <c r="L5" i="7"/>
  <c r="BW8" i="26"/>
  <c r="BD14" i="9"/>
  <c r="AX17" i="9"/>
  <c r="BD16" i="9"/>
  <c r="BC16" i="9"/>
  <c r="BA16" i="9"/>
  <c r="AZ16" i="9"/>
  <c r="BA13" i="9"/>
  <c r="AY16" i="9"/>
  <c r="AX16" i="9"/>
  <c r="BD15" i="9"/>
  <c r="BB15" i="9"/>
  <c r="BA15" i="9"/>
  <c r="AY11" i="9"/>
  <c r="AZ15" i="9"/>
  <c r="AY15" i="9"/>
  <c r="AX15" i="9"/>
  <c r="BC14" i="9"/>
  <c r="BC13" i="9"/>
  <c r="AX10" i="9"/>
  <c r="BA10" i="9"/>
  <c r="BB14" i="9"/>
  <c r="AY14" i="9"/>
  <c r="BC9" i="9"/>
  <c r="AZ12" i="9"/>
  <c r="BB12" i="9"/>
  <c r="BA11" i="9"/>
  <c r="AZ10" i="9"/>
  <c r="AY9" i="9"/>
  <c r="BB13" i="9"/>
  <c r="BA12" i="9"/>
  <c r="AZ11" i="9"/>
  <c r="AY10" i="9"/>
  <c r="AX9" i="9"/>
  <c r="BA14" i="9"/>
  <c r="AZ13" i="9"/>
  <c r="AY12" i="9"/>
  <c r="AX11" i="9"/>
  <c r="BD9" i="9"/>
  <c r="AZ14" i="9"/>
  <c r="AY13" i="9"/>
  <c r="AX12" i="9"/>
  <c r="BD10" i="9"/>
  <c r="AX13" i="9"/>
  <c r="BD11" i="9"/>
  <c r="BC10" i="9"/>
  <c r="BB9" i="9"/>
  <c r="AX14" i="9"/>
  <c r="BD12" i="9"/>
  <c r="BC11" i="9"/>
  <c r="BB10" i="9"/>
  <c r="BA9" i="9"/>
  <c r="BD13" i="9"/>
  <c r="BC12" i="9"/>
  <c r="BB11" i="9"/>
  <c r="KD20" i="26" l="1"/>
  <c r="K32" i="12"/>
  <c r="J32" i="12"/>
  <c r="BG8" i="9"/>
  <c r="BH8" i="9"/>
  <c r="BI8" i="9"/>
  <c r="BJ8" i="9"/>
  <c r="BL8" i="9"/>
  <c r="AX9" i="26"/>
  <c r="AY9" i="26"/>
  <c r="AZ9" i="26"/>
  <c r="BA9" i="26"/>
  <c r="BB9" i="26"/>
  <c r="AX10" i="26"/>
  <c r="AY10" i="26"/>
  <c r="AZ10" i="26"/>
  <c r="BA10" i="26"/>
  <c r="BB10" i="26"/>
  <c r="AX11" i="26"/>
  <c r="AY11" i="26"/>
  <c r="AZ11" i="26"/>
  <c r="BA11" i="26"/>
  <c r="BB11" i="26"/>
  <c r="AX12" i="26"/>
  <c r="AY12" i="26"/>
  <c r="AZ12" i="26"/>
  <c r="BA12" i="26"/>
  <c r="BB12" i="26"/>
  <c r="AX13" i="26"/>
  <c r="AY13" i="26"/>
  <c r="AZ13" i="26"/>
  <c r="BA13" i="26"/>
  <c r="BB13" i="26"/>
  <c r="AX14" i="26"/>
  <c r="AY14" i="26"/>
  <c r="AZ14" i="26"/>
  <c r="BA14" i="26"/>
  <c r="BB14" i="26"/>
  <c r="AX15" i="26"/>
  <c r="AY15" i="26"/>
  <c r="AZ15" i="26"/>
  <c r="BA15" i="26"/>
  <c r="BB15" i="26"/>
  <c r="AX16" i="26"/>
  <c r="AY16" i="26"/>
  <c r="AZ16" i="26"/>
  <c r="BA16" i="26"/>
  <c r="BB16" i="26"/>
  <c r="AX17" i="26"/>
  <c r="AY17" i="26"/>
  <c r="AZ17" i="26"/>
  <c r="BA17" i="26"/>
  <c r="BB17" i="26"/>
  <c r="AX18" i="26"/>
  <c r="AY18" i="26"/>
  <c r="AZ18" i="26"/>
  <c r="BA18" i="26"/>
  <c r="BB18" i="26"/>
  <c r="AX19" i="26"/>
  <c r="AY19" i="26"/>
  <c r="AZ19" i="26"/>
  <c r="BA19" i="26"/>
  <c r="BB19" i="26"/>
  <c r="AY8" i="26"/>
  <c r="AZ8" i="26"/>
  <c r="BA8" i="26"/>
  <c r="BB8" i="26"/>
  <c r="AX8" i="26"/>
  <c r="AS9" i="26"/>
  <c r="AT9" i="26"/>
  <c r="AU9" i="26"/>
  <c r="AV9" i="26"/>
  <c r="AS10" i="26"/>
  <c r="AT10" i="26"/>
  <c r="AU10" i="26"/>
  <c r="AV10" i="26"/>
  <c r="AS11" i="26"/>
  <c r="AT11" i="26"/>
  <c r="AU11" i="26"/>
  <c r="AV11" i="26"/>
  <c r="AS12" i="26"/>
  <c r="AT12" i="26"/>
  <c r="AU12" i="26"/>
  <c r="AV12" i="26"/>
  <c r="AS13" i="26"/>
  <c r="AT13" i="26"/>
  <c r="AU13" i="26"/>
  <c r="AV13" i="26"/>
  <c r="AS14" i="26"/>
  <c r="AT14" i="26"/>
  <c r="AU14" i="26"/>
  <c r="AV14" i="26"/>
  <c r="AS15" i="26"/>
  <c r="AT15" i="26"/>
  <c r="AU15" i="26"/>
  <c r="AV15" i="26"/>
  <c r="AS16" i="26"/>
  <c r="AT16" i="26"/>
  <c r="AU16" i="26"/>
  <c r="AV16" i="26"/>
  <c r="AS17" i="26"/>
  <c r="AT17" i="26"/>
  <c r="AU17" i="26"/>
  <c r="AV17" i="26"/>
  <c r="AS18" i="26"/>
  <c r="AT18" i="26"/>
  <c r="AU18" i="26"/>
  <c r="AV18" i="26"/>
  <c r="AS19" i="26"/>
  <c r="AT19" i="26"/>
  <c r="AU19" i="26"/>
  <c r="AV19" i="26"/>
  <c r="AT8" i="26"/>
  <c r="AU8" i="26"/>
  <c r="AV8" i="26"/>
  <c r="AS8" i="26"/>
  <c r="BB20" i="26" l="1"/>
  <c r="AX20" i="26"/>
  <c r="AS20" i="26"/>
  <c r="BA20" i="26"/>
  <c r="AU20" i="26"/>
  <c r="AT20" i="26"/>
  <c r="AZ20" i="26"/>
  <c r="AY20" i="26"/>
  <c r="AV20" i="26"/>
  <c r="AV9" i="40"/>
  <c r="AW9" i="40"/>
  <c r="AX9" i="40"/>
  <c r="AV10" i="40"/>
  <c r="AW10" i="40"/>
  <c r="AX10" i="40"/>
  <c r="AV11" i="40"/>
  <c r="AW11" i="40"/>
  <c r="AX11" i="40"/>
  <c r="AV12" i="40"/>
  <c r="AW12" i="40"/>
  <c r="AX12" i="40"/>
  <c r="AV13" i="40"/>
  <c r="AW13" i="40"/>
  <c r="AX13" i="40"/>
  <c r="AV14" i="40"/>
  <c r="AW14" i="40"/>
  <c r="AX14" i="40"/>
  <c r="AV15" i="40"/>
  <c r="AW15" i="40"/>
  <c r="AX15" i="40"/>
  <c r="AV16" i="40"/>
  <c r="AW16" i="40"/>
  <c r="AX16" i="40"/>
  <c r="AV17" i="40"/>
  <c r="AW17" i="40"/>
  <c r="AX17" i="40"/>
  <c r="AV18" i="40"/>
  <c r="AW18" i="40"/>
  <c r="AX18" i="40"/>
  <c r="AV19" i="40"/>
  <c r="AW19" i="40"/>
  <c r="AX19" i="40"/>
  <c r="AW8" i="40"/>
  <c r="AX8" i="40"/>
  <c r="AV8" i="40"/>
  <c r="AP9" i="40"/>
  <c r="AQ9" i="40"/>
  <c r="AR9" i="40"/>
  <c r="AS9" i="40"/>
  <c r="AT9" i="40"/>
  <c r="AP10" i="40"/>
  <c r="AQ10" i="40"/>
  <c r="AR10" i="40"/>
  <c r="AS10" i="40"/>
  <c r="AT10" i="40"/>
  <c r="AP11" i="40"/>
  <c r="AQ11" i="40"/>
  <c r="AR11" i="40"/>
  <c r="AS11" i="40"/>
  <c r="AT11" i="40"/>
  <c r="AP12" i="40"/>
  <c r="AQ12" i="40"/>
  <c r="AR12" i="40"/>
  <c r="AS12" i="40"/>
  <c r="AT12" i="40"/>
  <c r="AP13" i="40"/>
  <c r="AQ13" i="40"/>
  <c r="AR13" i="40"/>
  <c r="AS13" i="40"/>
  <c r="AT13" i="40"/>
  <c r="AP14" i="40"/>
  <c r="AQ14" i="40"/>
  <c r="AR14" i="40"/>
  <c r="AS14" i="40"/>
  <c r="AT14" i="40"/>
  <c r="AP15" i="40"/>
  <c r="AQ15" i="40"/>
  <c r="AR15" i="40"/>
  <c r="AS15" i="40"/>
  <c r="AT15" i="40"/>
  <c r="AP16" i="40"/>
  <c r="AQ16" i="40"/>
  <c r="AR16" i="40"/>
  <c r="AS16" i="40"/>
  <c r="AT16" i="40"/>
  <c r="AP17" i="40"/>
  <c r="AQ17" i="40"/>
  <c r="AR17" i="40"/>
  <c r="AS17" i="40"/>
  <c r="AT17" i="40"/>
  <c r="AP18" i="40"/>
  <c r="AQ18" i="40"/>
  <c r="AR18" i="40"/>
  <c r="AS18" i="40"/>
  <c r="AT18" i="40"/>
  <c r="AP19" i="40"/>
  <c r="AQ19" i="40"/>
  <c r="AR19" i="40"/>
  <c r="AS19" i="40"/>
  <c r="AT19" i="40"/>
  <c r="AP8" i="40"/>
  <c r="AQ8" i="40"/>
  <c r="AR8" i="40"/>
  <c r="AS8" i="40"/>
  <c r="AT8" i="40"/>
  <c r="AK9" i="40"/>
  <c r="AL9" i="40"/>
  <c r="AM9" i="40"/>
  <c r="AK10" i="40"/>
  <c r="AL10" i="40"/>
  <c r="AM10" i="40"/>
  <c r="AK11" i="40"/>
  <c r="AL11" i="40"/>
  <c r="AM11" i="40"/>
  <c r="AK12" i="40"/>
  <c r="AL12" i="40"/>
  <c r="AM12" i="40"/>
  <c r="AK13" i="40"/>
  <c r="AL13" i="40"/>
  <c r="AM13" i="40"/>
  <c r="AK14" i="40"/>
  <c r="AL14" i="40"/>
  <c r="AM14" i="40"/>
  <c r="AK15" i="40"/>
  <c r="AL15" i="40"/>
  <c r="AM15" i="40"/>
  <c r="AK16" i="40"/>
  <c r="AL16" i="40"/>
  <c r="AM16" i="40"/>
  <c r="AK17" i="40"/>
  <c r="AL17" i="40"/>
  <c r="AM17" i="40"/>
  <c r="AK18" i="40"/>
  <c r="AL18" i="40"/>
  <c r="AM18" i="40"/>
  <c r="AK19" i="40"/>
  <c r="AL19" i="40"/>
  <c r="AM19" i="40"/>
  <c r="AL8" i="40"/>
  <c r="AM8" i="40"/>
  <c r="AK8" i="40"/>
  <c r="X9" i="40"/>
  <c r="Y9" i="40"/>
  <c r="Z9" i="40"/>
  <c r="X10" i="40"/>
  <c r="Y10" i="40"/>
  <c r="Z10" i="40"/>
  <c r="X11" i="40"/>
  <c r="Y11" i="40"/>
  <c r="Z11" i="40"/>
  <c r="X12" i="40"/>
  <c r="Y12" i="40"/>
  <c r="Z12" i="40"/>
  <c r="X13" i="40"/>
  <c r="Y13" i="40"/>
  <c r="Z13" i="40"/>
  <c r="X14" i="40"/>
  <c r="Y14" i="40"/>
  <c r="Z14" i="40"/>
  <c r="X15" i="40"/>
  <c r="Y15" i="40"/>
  <c r="Z15" i="40"/>
  <c r="X16" i="40"/>
  <c r="Y16" i="40"/>
  <c r="Z16" i="40"/>
  <c r="X17" i="40"/>
  <c r="Y17" i="40"/>
  <c r="Z17" i="40"/>
  <c r="X18" i="40"/>
  <c r="Y18" i="40"/>
  <c r="Z18" i="40"/>
  <c r="X19" i="40"/>
  <c r="Y19" i="40"/>
  <c r="Z19" i="40"/>
  <c r="Y8" i="40"/>
  <c r="Z8" i="40"/>
  <c r="X8" i="40"/>
  <c r="K9" i="40"/>
  <c r="L9" i="40"/>
  <c r="M9" i="40"/>
  <c r="K10" i="40"/>
  <c r="L10" i="40"/>
  <c r="M10" i="40"/>
  <c r="K11" i="40"/>
  <c r="L11" i="40"/>
  <c r="M11" i="40"/>
  <c r="K12" i="40"/>
  <c r="L12" i="40"/>
  <c r="M12" i="40"/>
  <c r="K13" i="40"/>
  <c r="L13" i="40"/>
  <c r="M13" i="40"/>
  <c r="K14" i="40"/>
  <c r="L14" i="40"/>
  <c r="M14" i="40"/>
  <c r="K15" i="40"/>
  <c r="L15" i="40"/>
  <c r="M15" i="40"/>
  <c r="K16" i="40"/>
  <c r="L16" i="40"/>
  <c r="M16" i="40"/>
  <c r="K17" i="40"/>
  <c r="L17" i="40"/>
  <c r="M17" i="40"/>
  <c r="K18" i="40"/>
  <c r="L18" i="40"/>
  <c r="M18" i="40"/>
  <c r="K19" i="40"/>
  <c r="L19" i="40"/>
  <c r="M19" i="40"/>
  <c r="L8" i="40"/>
  <c r="M8" i="40"/>
  <c r="K8" i="40"/>
  <c r="F9" i="40"/>
  <c r="G9" i="40"/>
  <c r="H9" i="40"/>
  <c r="I9" i="40"/>
  <c r="F10" i="40"/>
  <c r="G10" i="40"/>
  <c r="H10" i="40"/>
  <c r="I10" i="40"/>
  <c r="F11" i="40"/>
  <c r="G11" i="40"/>
  <c r="H11" i="40"/>
  <c r="I11" i="40"/>
  <c r="F12" i="40"/>
  <c r="G12" i="40"/>
  <c r="H12" i="40"/>
  <c r="I12" i="40"/>
  <c r="F13" i="40"/>
  <c r="G13" i="40"/>
  <c r="H13" i="40"/>
  <c r="I13" i="40"/>
  <c r="F14" i="40"/>
  <c r="G14" i="40"/>
  <c r="H14" i="40"/>
  <c r="I14" i="40"/>
  <c r="F15" i="40"/>
  <c r="G15" i="40"/>
  <c r="H15" i="40"/>
  <c r="I15" i="40"/>
  <c r="F16" i="40"/>
  <c r="G16" i="40"/>
  <c r="H16" i="40"/>
  <c r="I16" i="40"/>
  <c r="F17" i="40"/>
  <c r="G17" i="40"/>
  <c r="H17" i="40"/>
  <c r="I17" i="40"/>
  <c r="F18" i="40"/>
  <c r="G18" i="40"/>
  <c r="H18" i="40"/>
  <c r="I18" i="40"/>
  <c r="F19" i="40"/>
  <c r="G19" i="40"/>
  <c r="H19" i="40"/>
  <c r="I19" i="40"/>
  <c r="G8" i="40"/>
  <c r="H8" i="40"/>
  <c r="I8" i="40"/>
  <c r="F8" i="40"/>
  <c r="B9" i="40"/>
  <c r="C9" i="40"/>
  <c r="D9" i="40"/>
  <c r="B10" i="40"/>
  <c r="C10" i="40"/>
  <c r="D10" i="40"/>
  <c r="B11" i="40"/>
  <c r="C11" i="40"/>
  <c r="D11" i="40"/>
  <c r="B12" i="40"/>
  <c r="C12" i="40"/>
  <c r="D12" i="40"/>
  <c r="B13" i="40"/>
  <c r="C13" i="40"/>
  <c r="D13" i="40"/>
  <c r="B14" i="40"/>
  <c r="C14" i="40"/>
  <c r="D14" i="40"/>
  <c r="B15" i="40"/>
  <c r="C15" i="40"/>
  <c r="D15" i="40"/>
  <c r="B16" i="40"/>
  <c r="C16" i="40"/>
  <c r="D16" i="40"/>
  <c r="B17" i="40"/>
  <c r="C17" i="40"/>
  <c r="D17" i="40"/>
  <c r="B18" i="40"/>
  <c r="C18" i="40"/>
  <c r="D18" i="40"/>
  <c r="B19" i="40"/>
  <c r="C19" i="40"/>
  <c r="D19" i="40"/>
  <c r="C8" i="40"/>
  <c r="D8" i="40"/>
  <c r="B8" i="40"/>
  <c r="B8" i="9"/>
  <c r="AU8" i="40" l="1"/>
  <c r="AA12" i="40"/>
  <c r="AY15" i="40"/>
  <c r="AU14" i="40"/>
  <c r="AU15" i="40"/>
  <c r="AQ20" i="40"/>
  <c r="AJ13" i="40"/>
  <c r="AJ12" i="40"/>
  <c r="AJ10" i="40"/>
  <c r="AJ9" i="40"/>
  <c r="AN16" i="40"/>
  <c r="AT20" i="40"/>
  <c r="AU16" i="40"/>
  <c r="AY19" i="40"/>
  <c r="AY11" i="40"/>
  <c r="AS20" i="40"/>
  <c r="AU17" i="40"/>
  <c r="AU9" i="40"/>
  <c r="AY16" i="40"/>
  <c r="AR20" i="40"/>
  <c r="AU18" i="40"/>
  <c r="AU10" i="40"/>
  <c r="AY13" i="40"/>
  <c r="AN15" i="40"/>
  <c r="AU19" i="40"/>
  <c r="AU11" i="40"/>
  <c r="AY8" i="40"/>
  <c r="AY18" i="40"/>
  <c r="AY10" i="40"/>
  <c r="AP20" i="40"/>
  <c r="AU12" i="40"/>
  <c r="AU13" i="40"/>
  <c r="AY14" i="40"/>
  <c r="AY12" i="40"/>
  <c r="AN14" i="40"/>
  <c r="AO20" i="40"/>
  <c r="AY17" i="40"/>
  <c r="AY9" i="40"/>
  <c r="AA8" i="40"/>
  <c r="AA15" i="40"/>
  <c r="AN19" i="40"/>
  <c r="AN11" i="40"/>
  <c r="AN13" i="40"/>
  <c r="AJ15" i="40"/>
  <c r="AJ14" i="40"/>
  <c r="AJ11" i="40"/>
  <c r="AN8" i="40"/>
  <c r="AN18" i="40"/>
  <c r="AN10" i="40"/>
  <c r="AA16" i="40"/>
  <c r="AN12" i="40"/>
  <c r="AN17" i="40"/>
  <c r="AN9" i="40"/>
  <c r="AW20" i="40"/>
  <c r="AX20" i="40"/>
  <c r="AV20" i="40"/>
  <c r="AF20" i="40"/>
  <c r="AH20" i="40"/>
  <c r="AI20" i="40"/>
  <c r="AA13" i="40"/>
  <c r="V20" i="40"/>
  <c r="S20" i="40"/>
  <c r="AA18" i="40"/>
  <c r="AA10" i="40"/>
  <c r="AA17" i="40"/>
  <c r="AA9" i="40"/>
  <c r="AJ19" i="40"/>
  <c r="AA14" i="40"/>
  <c r="AJ18" i="40"/>
  <c r="AJ17" i="40"/>
  <c r="AA19" i="40"/>
  <c r="AA11" i="40"/>
  <c r="AL20" i="40"/>
  <c r="AM20" i="40"/>
  <c r="AK20" i="40"/>
  <c r="AG20" i="40"/>
  <c r="AE20" i="40"/>
  <c r="AD20" i="40"/>
  <c r="AB20" i="40"/>
  <c r="AC20" i="40"/>
  <c r="AJ8" i="40"/>
  <c r="AJ16" i="40"/>
  <c r="T20" i="40"/>
  <c r="O20" i="40"/>
  <c r="Y20" i="40"/>
  <c r="Z20" i="40"/>
  <c r="X20" i="40"/>
  <c r="R20" i="40"/>
  <c r="Q20" i="40"/>
  <c r="P20" i="40"/>
  <c r="N19" i="40"/>
  <c r="N11" i="40"/>
  <c r="I20" i="40"/>
  <c r="E16" i="40"/>
  <c r="G20" i="40"/>
  <c r="J18" i="40"/>
  <c r="J16" i="40"/>
  <c r="J14" i="40"/>
  <c r="J12" i="40"/>
  <c r="J10" i="40"/>
  <c r="N17" i="40"/>
  <c r="N9" i="40"/>
  <c r="E12" i="40"/>
  <c r="N16" i="40"/>
  <c r="J19" i="40"/>
  <c r="J17" i="40"/>
  <c r="J15" i="40"/>
  <c r="J13" i="40"/>
  <c r="J11" i="40"/>
  <c r="J9" i="40"/>
  <c r="N13" i="40"/>
  <c r="J8" i="40"/>
  <c r="N18" i="40"/>
  <c r="N10" i="40"/>
  <c r="N15" i="40"/>
  <c r="H20" i="40"/>
  <c r="N12" i="40"/>
  <c r="N14" i="40"/>
  <c r="E17" i="40"/>
  <c r="E9" i="40"/>
  <c r="E14" i="40"/>
  <c r="E19" i="40"/>
  <c r="E11" i="40"/>
  <c r="F20" i="40"/>
  <c r="E13" i="40"/>
  <c r="E8" i="40"/>
  <c r="E18" i="40"/>
  <c r="E10" i="40"/>
  <c r="E15" i="40"/>
  <c r="L20" i="40"/>
  <c r="M20" i="40"/>
  <c r="N8" i="40"/>
  <c r="K20" i="40"/>
  <c r="D20" i="40"/>
  <c r="C20" i="40"/>
  <c r="B20" i="40"/>
  <c r="IW9" i="39"/>
  <c r="IX9" i="39"/>
  <c r="IY9" i="39"/>
  <c r="IZ9" i="39"/>
  <c r="IW10" i="39"/>
  <c r="IX10" i="39"/>
  <c r="IY10" i="39"/>
  <c r="IZ10" i="39"/>
  <c r="IW11" i="39"/>
  <c r="IX11" i="39"/>
  <c r="IY11" i="39"/>
  <c r="IZ11" i="39"/>
  <c r="IW12" i="39"/>
  <c r="IX12" i="39"/>
  <c r="IY12" i="39"/>
  <c r="IZ12" i="39"/>
  <c r="IW13" i="39"/>
  <c r="IX13" i="39"/>
  <c r="IY13" i="39"/>
  <c r="IZ13" i="39"/>
  <c r="IW14" i="39"/>
  <c r="IX14" i="39"/>
  <c r="IY14" i="39"/>
  <c r="IZ14" i="39"/>
  <c r="IW15" i="39"/>
  <c r="IX15" i="39"/>
  <c r="IY15" i="39"/>
  <c r="IZ15" i="39"/>
  <c r="IW16" i="39"/>
  <c r="IX16" i="39"/>
  <c r="IY16" i="39"/>
  <c r="IZ16" i="39"/>
  <c r="IW17" i="39"/>
  <c r="IX17" i="39"/>
  <c r="IY17" i="39"/>
  <c r="IZ17" i="39"/>
  <c r="IW18" i="39"/>
  <c r="IX18" i="39"/>
  <c r="IY18" i="39"/>
  <c r="IZ18" i="39"/>
  <c r="IW19" i="39"/>
  <c r="IX19" i="39"/>
  <c r="IY19" i="39"/>
  <c r="IZ19" i="39"/>
  <c r="IX8" i="39"/>
  <c r="IY8" i="39"/>
  <c r="IZ8" i="39"/>
  <c r="IW8" i="39"/>
  <c r="IR9" i="39"/>
  <c r="IS9" i="39"/>
  <c r="IT9" i="39"/>
  <c r="IU9" i="39"/>
  <c r="IR10" i="39"/>
  <c r="IS10" i="39"/>
  <c r="IT10" i="39"/>
  <c r="IU10" i="39"/>
  <c r="IR11" i="39"/>
  <c r="IS11" i="39"/>
  <c r="IT11" i="39"/>
  <c r="IU11" i="39"/>
  <c r="IR12" i="39"/>
  <c r="IS12" i="39"/>
  <c r="IT12" i="39"/>
  <c r="IU12" i="39"/>
  <c r="IR13" i="39"/>
  <c r="IS13" i="39"/>
  <c r="IT13" i="39"/>
  <c r="IU13" i="39"/>
  <c r="IR14" i="39"/>
  <c r="IS14" i="39"/>
  <c r="IT14" i="39"/>
  <c r="IU14" i="39"/>
  <c r="IR15" i="39"/>
  <c r="IS15" i="39"/>
  <c r="IT15" i="39"/>
  <c r="IU15" i="39"/>
  <c r="IR16" i="39"/>
  <c r="IS16" i="39"/>
  <c r="IT16" i="39"/>
  <c r="IU16" i="39"/>
  <c r="IR17" i="39"/>
  <c r="IS17" i="39"/>
  <c r="IT17" i="39"/>
  <c r="IU17" i="39"/>
  <c r="IR18" i="39"/>
  <c r="IS18" i="39"/>
  <c r="IT18" i="39"/>
  <c r="IU18" i="39"/>
  <c r="IR19" i="39"/>
  <c r="IS19" i="39"/>
  <c r="IT19" i="39"/>
  <c r="IU19" i="39"/>
  <c r="IS8" i="39"/>
  <c r="IT8" i="39"/>
  <c r="IU8" i="39"/>
  <c r="IR8" i="39"/>
  <c r="AZ9" i="40" l="1"/>
  <c r="AZ17" i="40"/>
  <c r="AZ16" i="40"/>
  <c r="AZ15" i="40"/>
  <c r="AZ12" i="40"/>
  <c r="AZ18" i="40"/>
  <c r="AZ13" i="40"/>
  <c r="AZ10" i="40"/>
  <c r="AZ8" i="40"/>
  <c r="AZ11" i="40"/>
  <c r="AZ19" i="40"/>
  <c r="AZ14" i="40"/>
  <c r="JB8" i="39"/>
  <c r="JB18" i="39"/>
  <c r="JB15" i="39"/>
  <c r="JB12" i="39"/>
  <c r="JB9" i="39"/>
  <c r="JB19" i="39"/>
  <c r="JB16" i="39"/>
  <c r="JB13" i="39"/>
  <c r="JB10" i="39"/>
  <c r="JB17" i="39"/>
  <c r="JB14" i="39"/>
  <c r="JB11" i="39"/>
  <c r="AJ20" i="40"/>
  <c r="AU20" i="40"/>
  <c r="AY20" i="40"/>
  <c r="W20" i="40"/>
  <c r="AN20" i="40"/>
  <c r="AA20" i="40"/>
  <c r="J20" i="40"/>
  <c r="E20" i="40"/>
  <c r="N20" i="40"/>
  <c r="IV8" i="39"/>
  <c r="IV16" i="39"/>
  <c r="IV19" i="39"/>
  <c r="IV17" i="39"/>
  <c r="IV15" i="39"/>
  <c r="IV13" i="39"/>
  <c r="IV11" i="39"/>
  <c r="IW20" i="39"/>
  <c r="IV18" i="39"/>
  <c r="IV14" i="39"/>
  <c r="IV12" i="39"/>
  <c r="IV10" i="39"/>
  <c r="IV9" i="39"/>
  <c r="IY20" i="39"/>
  <c r="IX20" i="39"/>
  <c r="IM20" i="39"/>
  <c r="HG9" i="39"/>
  <c r="HH9" i="39"/>
  <c r="HI9" i="39"/>
  <c r="HJ9" i="39"/>
  <c r="HK9" i="39"/>
  <c r="HL9" i="39"/>
  <c r="HM9" i="39"/>
  <c r="HN9" i="39"/>
  <c r="HO9" i="39"/>
  <c r="HP9" i="39"/>
  <c r="HQ9" i="39"/>
  <c r="HR9" i="39"/>
  <c r="HS9" i="39"/>
  <c r="HT9" i="39"/>
  <c r="HU9" i="39"/>
  <c r="HV9" i="39"/>
  <c r="HW9" i="39"/>
  <c r="HX9" i="39"/>
  <c r="HY9" i="39"/>
  <c r="HZ9" i="39"/>
  <c r="IA9" i="39"/>
  <c r="IB9" i="39"/>
  <c r="IC9" i="39"/>
  <c r="ID9" i="39"/>
  <c r="IE9" i="39"/>
  <c r="IF9" i="39"/>
  <c r="IG9" i="39"/>
  <c r="IH9" i="39"/>
  <c r="HG10" i="39"/>
  <c r="HH10" i="39"/>
  <c r="HI10" i="39"/>
  <c r="HJ10" i="39"/>
  <c r="HK10" i="39"/>
  <c r="HL10" i="39"/>
  <c r="HM10" i="39"/>
  <c r="HN10" i="39"/>
  <c r="HO10" i="39"/>
  <c r="HP10" i="39"/>
  <c r="HQ10" i="39"/>
  <c r="HR10" i="39"/>
  <c r="HS10" i="39"/>
  <c r="HT10" i="39"/>
  <c r="HU10" i="39"/>
  <c r="HV10" i="39"/>
  <c r="HW10" i="39"/>
  <c r="HX10" i="39"/>
  <c r="HY10" i="39"/>
  <c r="HZ10" i="39"/>
  <c r="IA10" i="39"/>
  <c r="IB10" i="39"/>
  <c r="IC10" i="39"/>
  <c r="ID10" i="39"/>
  <c r="IE10" i="39"/>
  <c r="IF10" i="39"/>
  <c r="IG10" i="39"/>
  <c r="IH10" i="39"/>
  <c r="HG11" i="39"/>
  <c r="HH11" i="39"/>
  <c r="HI11" i="39"/>
  <c r="HJ11" i="39"/>
  <c r="HK11" i="39"/>
  <c r="HL11" i="39"/>
  <c r="HM11" i="39"/>
  <c r="HN11" i="39"/>
  <c r="HO11" i="39"/>
  <c r="HP11" i="39"/>
  <c r="HQ11" i="39"/>
  <c r="HR11" i="39"/>
  <c r="HS11" i="39"/>
  <c r="HT11" i="39"/>
  <c r="HU11" i="39"/>
  <c r="HV11" i="39"/>
  <c r="HW11" i="39"/>
  <c r="HX11" i="39"/>
  <c r="HY11" i="39"/>
  <c r="HZ11" i="39"/>
  <c r="IA11" i="39"/>
  <c r="IB11" i="39"/>
  <c r="IC11" i="39"/>
  <c r="ID11" i="39"/>
  <c r="IE11" i="39"/>
  <c r="IF11" i="39"/>
  <c r="IG11" i="39"/>
  <c r="IH11" i="39"/>
  <c r="HG12" i="39"/>
  <c r="HH12" i="39"/>
  <c r="HI12" i="39"/>
  <c r="HJ12" i="39"/>
  <c r="HK12" i="39"/>
  <c r="HL12" i="39"/>
  <c r="HM12" i="39"/>
  <c r="HN12" i="39"/>
  <c r="HO12" i="39"/>
  <c r="HP12" i="39"/>
  <c r="HQ12" i="39"/>
  <c r="HR12" i="39"/>
  <c r="HS12" i="39"/>
  <c r="HT12" i="39"/>
  <c r="HU12" i="39"/>
  <c r="HV12" i="39"/>
  <c r="HW12" i="39"/>
  <c r="HX12" i="39"/>
  <c r="HY12" i="39"/>
  <c r="HZ12" i="39"/>
  <c r="IA12" i="39"/>
  <c r="IB12" i="39"/>
  <c r="IC12" i="39"/>
  <c r="ID12" i="39"/>
  <c r="IE12" i="39"/>
  <c r="IF12" i="39"/>
  <c r="IG12" i="39"/>
  <c r="IH12" i="39"/>
  <c r="HG13" i="39"/>
  <c r="HH13" i="39"/>
  <c r="HI13" i="39"/>
  <c r="HJ13" i="39"/>
  <c r="HK13" i="39"/>
  <c r="HL13" i="39"/>
  <c r="HM13" i="39"/>
  <c r="HN13" i="39"/>
  <c r="HO13" i="39"/>
  <c r="HP13" i="39"/>
  <c r="HQ13" i="39"/>
  <c r="HR13" i="39"/>
  <c r="HS13" i="39"/>
  <c r="HT13" i="39"/>
  <c r="HU13" i="39"/>
  <c r="HV13" i="39"/>
  <c r="HW13" i="39"/>
  <c r="HX13" i="39"/>
  <c r="HY13" i="39"/>
  <c r="HZ13" i="39"/>
  <c r="IA13" i="39"/>
  <c r="IB13" i="39"/>
  <c r="IC13" i="39"/>
  <c r="ID13" i="39"/>
  <c r="IE13" i="39"/>
  <c r="IF13" i="39"/>
  <c r="IG13" i="39"/>
  <c r="IH13" i="39"/>
  <c r="HG14" i="39"/>
  <c r="HH14" i="39"/>
  <c r="HI14" i="39"/>
  <c r="HJ14" i="39"/>
  <c r="HK14" i="39"/>
  <c r="HL14" i="39"/>
  <c r="HM14" i="39"/>
  <c r="HN14" i="39"/>
  <c r="HO14" i="39"/>
  <c r="HP14" i="39"/>
  <c r="HQ14" i="39"/>
  <c r="HR14" i="39"/>
  <c r="HS14" i="39"/>
  <c r="HT14" i="39"/>
  <c r="HU14" i="39"/>
  <c r="HV14" i="39"/>
  <c r="HW14" i="39"/>
  <c r="HX14" i="39"/>
  <c r="HY14" i="39"/>
  <c r="HZ14" i="39"/>
  <c r="IA14" i="39"/>
  <c r="IB14" i="39"/>
  <c r="IC14" i="39"/>
  <c r="ID14" i="39"/>
  <c r="IE14" i="39"/>
  <c r="IF14" i="39"/>
  <c r="IG14" i="39"/>
  <c r="IH14" i="39"/>
  <c r="HG15" i="39"/>
  <c r="HH15" i="39"/>
  <c r="HI15" i="39"/>
  <c r="HJ15" i="39"/>
  <c r="HK15" i="39"/>
  <c r="HL15" i="39"/>
  <c r="HM15" i="39"/>
  <c r="HN15" i="39"/>
  <c r="HO15" i="39"/>
  <c r="HP15" i="39"/>
  <c r="HQ15" i="39"/>
  <c r="HR15" i="39"/>
  <c r="HS15" i="39"/>
  <c r="HT15" i="39"/>
  <c r="HU15" i="39"/>
  <c r="HV15" i="39"/>
  <c r="HW15" i="39"/>
  <c r="HX15" i="39"/>
  <c r="HY15" i="39"/>
  <c r="HZ15" i="39"/>
  <c r="IA15" i="39"/>
  <c r="IB15" i="39"/>
  <c r="IC15" i="39"/>
  <c r="ID15" i="39"/>
  <c r="IE15" i="39"/>
  <c r="IF15" i="39"/>
  <c r="IG15" i="39"/>
  <c r="IH15" i="39"/>
  <c r="HG16" i="39"/>
  <c r="HH16" i="39"/>
  <c r="HI16" i="39"/>
  <c r="HJ16" i="39"/>
  <c r="HK16" i="39"/>
  <c r="HL16" i="39"/>
  <c r="HM16" i="39"/>
  <c r="HN16" i="39"/>
  <c r="HO16" i="39"/>
  <c r="HP16" i="39"/>
  <c r="HQ16" i="39"/>
  <c r="HR16" i="39"/>
  <c r="HS16" i="39"/>
  <c r="HT16" i="39"/>
  <c r="HU16" i="39"/>
  <c r="HV16" i="39"/>
  <c r="HW16" i="39"/>
  <c r="HX16" i="39"/>
  <c r="HY16" i="39"/>
  <c r="HZ16" i="39"/>
  <c r="IA16" i="39"/>
  <c r="IB16" i="39"/>
  <c r="IC16" i="39"/>
  <c r="ID16" i="39"/>
  <c r="IE16" i="39"/>
  <c r="IF16" i="39"/>
  <c r="IG16" i="39"/>
  <c r="IH16" i="39"/>
  <c r="HG17" i="39"/>
  <c r="HH17" i="39"/>
  <c r="HI17" i="39"/>
  <c r="HJ17" i="39"/>
  <c r="HK17" i="39"/>
  <c r="HL17" i="39"/>
  <c r="HM17" i="39"/>
  <c r="HN17" i="39"/>
  <c r="HO17" i="39"/>
  <c r="HP17" i="39"/>
  <c r="HQ17" i="39"/>
  <c r="HR17" i="39"/>
  <c r="HS17" i="39"/>
  <c r="HT17" i="39"/>
  <c r="HU17" i="39"/>
  <c r="HV17" i="39"/>
  <c r="HW17" i="39"/>
  <c r="HX17" i="39"/>
  <c r="HY17" i="39"/>
  <c r="HZ17" i="39"/>
  <c r="IA17" i="39"/>
  <c r="IB17" i="39"/>
  <c r="IC17" i="39"/>
  <c r="ID17" i="39"/>
  <c r="IE17" i="39"/>
  <c r="IF17" i="39"/>
  <c r="IG17" i="39"/>
  <c r="IH17" i="39"/>
  <c r="HG18" i="39"/>
  <c r="HH18" i="39"/>
  <c r="HI18" i="39"/>
  <c r="HJ18" i="39"/>
  <c r="HK18" i="39"/>
  <c r="HL18" i="39"/>
  <c r="HM18" i="39"/>
  <c r="HN18" i="39"/>
  <c r="HO18" i="39"/>
  <c r="HP18" i="39"/>
  <c r="HQ18" i="39"/>
  <c r="HR18" i="39"/>
  <c r="HS18" i="39"/>
  <c r="HT18" i="39"/>
  <c r="HU18" i="39"/>
  <c r="HV18" i="39"/>
  <c r="HW18" i="39"/>
  <c r="HX18" i="39"/>
  <c r="HY18" i="39"/>
  <c r="HZ18" i="39"/>
  <c r="IA18" i="39"/>
  <c r="IB18" i="39"/>
  <c r="IC18" i="39"/>
  <c r="ID18" i="39"/>
  <c r="IE18" i="39"/>
  <c r="IF18" i="39"/>
  <c r="IG18" i="39"/>
  <c r="IH18" i="39"/>
  <c r="HG19" i="39"/>
  <c r="HH19" i="39"/>
  <c r="HI19" i="39"/>
  <c r="HJ19" i="39"/>
  <c r="HK19" i="39"/>
  <c r="HL19" i="39"/>
  <c r="HM19" i="39"/>
  <c r="HN19" i="39"/>
  <c r="HO19" i="39"/>
  <c r="HP19" i="39"/>
  <c r="HQ19" i="39"/>
  <c r="HR19" i="39"/>
  <c r="HS19" i="39"/>
  <c r="HT19" i="39"/>
  <c r="HU19" i="39"/>
  <c r="HV19" i="39"/>
  <c r="HW19" i="39"/>
  <c r="HX19" i="39"/>
  <c r="HY19" i="39"/>
  <c r="HZ19" i="39"/>
  <c r="IA19" i="39"/>
  <c r="IB19" i="39"/>
  <c r="IC19" i="39"/>
  <c r="ID19" i="39"/>
  <c r="IE19" i="39"/>
  <c r="IF19" i="39"/>
  <c r="IG19" i="39"/>
  <c r="IH19" i="39"/>
  <c r="HH8" i="39"/>
  <c r="HI8" i="39"/>
  <c r="HJ8" i="39"/>
  <c r="HK8" i="39"/>
  <c r="HL8" i="39"/>
  <c r="HM8" i="39"/>
  <c r="HN8" i="39"/>
  <c r="HO8" i="39"/>
  <c r="HP8" i="39"/>
  <c r="HQ8" i="39"/>
  <c r="HR8" i="39"/>
  <c r="HS8" i="39"/>
  <c r="HT8" i="39"/>
  <c r="HU8" i="39"/>
  <c r="HV8" i="39"/>
  <c r="HW8" i="39"/>
  <c r="HX8" i="39"/>
  <c r="HY8" i="39"/>
  <c r="HZ8" i="39"/>
  <c r="IA8" i="39"/>
  <c r="IB8" i="39"/>
  <c r="IC8" i="39"/>
  <c r="ID8" i="39"/>
  <c r="IE8" i="39"/>
  <c r="IF8" i="39"/>
  <c r="IG8" i="39"/>
  <c r="IH8" i="39"/>
  <c r="HG8" i="39"/>
  <c r="GU9" i="39"/>
  <c r="GV9" i="39"/>
  <c r="GW9" i="39"/>
  <c r="GX9" i="39"/>
  <c r="GY9" i="39"/>
  <c r="GZ9" i="39"/>
  <c r="HA9" i="39"/>
  <c r="HB9" i="39"/>
  <c r="HC9" i="39"/>
  <c r="HD9" i="39"/>
  <c r="HE9" i="39"/>
  <c r="GU10" i="39"/>
  <c r="GV10" i="39"/>
  <c r="GW10" i="39"/>
  <c r="GX10" i="39"/>
  <c r="GY10" i="39"/>
  <c r="GZ10" i="39"/>
  <c r="HA10" i="39"/>
  <c r="HB10" i="39"/>
  <c r="HC10" i="39"/>
  <c r="HD10" i="39"/>
  <c r="HE10" i="39"/>
  <c r="GU11" i="39"/>
  <c r="GV11" i="39"/>
  <c r="GW11" i="39"/>
  <c r="GX11" i="39"/>
  <c r="GY11" i="39"/>
  <c r="GZ11" i="39"/>
  <c r="HA11" i="39"/>
  <c r="HB11" i="39"/>
  <c r="HC11" i="39"/>
  <c r="HD11" i="39"/>
  <c r="HE11" i="39"/>
  <c r="GU12" i="39"/>
  <c r="GV12" i="39"/>
  <c r="GW12" i="39"/>
  <c r="GX12" i="39"/>
  <c r="GY12" i="39"/>
  <c r="GZ12" i="39"/>
  <c r="HA12" i="39"/>
  <c r="HB12" i="39"/>
  <c r="HC12" i="39"/>
  <c r="HD12" i="39"/>
  <c r="HE12" i="39"/>
  <c r="GU13" i="39"/>
  <c r="GV13" i="39"/>
  <c r="GW13" i="39"/>
  <c r="GX13" i="39"/>
  <c r="GY13" i="39"/>
  <c r="GZ13" i="39"/>
  <c r="HA13" i="39"/>
  <c r="HB13" i="39"/>
  <c r="HC13" i="39"/>
  <c r="HD13" i="39"/>
  <c r="HE13" i="39"/>
  <c r="GU14" i="39"/>
  <c r="GV14" i="39"/>
  <c r="GW14" i="39"/>
  <c r="GX14" i="39"/>
  <c r="GY14" i="39"/>
  <c r="GZ14" i="39"/>
  <c r="HA14" i="39"/>
  <c r="HB14" i="39"/>
  <c r="HC14" i="39"/>
  <c r="HD14" i="39"/>
  <c r="HE14" i="39"/>
  <c r="GU15" i="39"/>
  <c r="GV15" i="39"/>
  <c r="GW15" i="39"/>
  <c r="GX15" i="39"/>
  <c r="GY15" i="39"/>
  <c r="GZ15" i="39"/>
  <c r="HA15" i="39"/>
  <c r="HB15" i="39"/>
  <c r="HC15" i="39"/>
  <c r="HD15" i="39"/>
  <c r="HE15" i="39"/>
  <c r="GU16" i="39"/>
  <c r="GV16" i="39"/>
  <c r="GW16" i="39"/>
  <c r="GX16" i="39"/>
  <c r="GY16" i="39"/>
  <c r="GZ16" i="39"/>
  <c r="HA16" i="39"/>
  <c r="HB16" i="39"/>
  <c r="HC16" i="39"/>
  <c r="HD16" i="39"/>
  <c r="HE16" i="39"/>
  <c r="GU17" i="39"/>
  <c r="GV17" i="39"/>
  <c r="GW17" i="39"/>
  <c r="GX17" i="39"/>
  <c r="GY17" i="39"/>
  <c r="GZ17" i="39"/>
  <c r="HA17" i="39"/>
  <c r="HB17" i="39"/>
  <c r="HC17" i="39"/>
  <c r="HD17" i="39"/>
  <c r="HE17" i="39"/>
  <c r="GU18" i="39"/>
  <c r="GV18" i="39"/>
  <c r="GW18" i="39"/>
  <c r="GX18" i="39"/>
  <c r="GY18" i="39"/>
  <c r="GZ18" i="39"/>
  <c r="HA18" i="39"/>
  <c r="HB18" i="39"/>
  <c r="HC18" i="39"/>
  <c r="HD18" i="39"/>
  <c r="HE18" i="39"/>
  <c r="GU19" i="39"/>
  <c r="GV19" i="39"/>
  <c r="GW19" i="39"/>
  <c r="GX19" i="39"/>
  <c r="GY19" i="39"/>
  <c r="GZ19" i="39"/>
  <c r="HA19" i="39"/>
  <c r="HB19" i="39"/>
  <c r="HC19" i="39"/>
  <c r="HD19" i="39"/>
  <c r="HE19" i="39"/>
  <c r="GV8" i="39"/>
  <c r="GW8" i="39"/>
  <c r="GX8" i="39"/>
  <c r="GY8" i="39"/>
  <c r="GZ8" i="39"/>
  <c r="HA8" i="39"/>
  <c r="HB8" i="39"/>
  <c r="HC8" i="39"/>
  <c r="HD8" i="39"/>
  <c r="HE8" i="39"/>
  <c r="GU8" i="39"/>
  <c r="IK20" i="39"/>
  <c r="IL20" i="39"/>
  <c r="FV8" i="39"/>
  <c r="FY8" i="39" s="1"/>
  <c r="FR9" i="39"/>
  <c r="FS9" i="39"/>
  <c r="FT9" i="39"/>
  <c r="FR10" i="39"/>
  <c r="FS10" i="39"/>
  <c r="FT10" i="39"/>
  <c r="FR11" i="39"/>
  <c r="FS11" i="39"/>
  <c r="FT11" i="39"/>
  <c r="FR12" i="39"/>
  <c r="FS12" i="39"/>
  <c r="FT12" i="39"/>
  <c r="FR13" i="39"/>
  <c r="FS13" i="39"/>
  <c r="FT13" i="39"/>
  <c r="FR14" i="39"/>
  <c r="FS14" i="39"/>
  <c r="FT14" i="39"/>
  <c r="FR15" i="39"/>
  <c r="FS15" i="39"/>
  <c r="FT15" i="39"/>
  <c r="FR16" i="39"/>
  <c r="FS16" i="39"/>
  <c r="FT16" i="39"/>
  <c r="FR17" i="39"/>
  <c r="FS17" i="39"/>
  <c r="FT17" i="39"/>
  <c r="FR18" i="39"/>
  <c r="FS18" i="39"/>
  <c r="FT18" i="39"/>
  <c r="FR19" i="39"/>
  <c r="FS19" i="39"/>
  <c r="FT19" i="39"/>
  <c r="FS8" i="39"/>
  <c r="FT8" i="39"/>
  <c r="FR8" i="39"/>
  <c r="FM9" i="39"/>
  <c r="FN9" i="39"/>
  <c r="FO9" i="39"/>
  <c r="FM10" i="39"/>
  <c r="FN10" i="39"/>
  <c r="FO10" i="39"/>
  <c r="FM11" i="39"/>
  <c r="FN11" i="39"/>
  <c r="FO11" i="39"/>
  <c r="FM12" i="39"/>
  <c r="FN12" i="39"/>
  <c r="FO12" i="39"/>
  <c r="FM13" i="39"/>
  <c r="FN13" i="39"/>
  <c r="FO13" i="39"/>
  <c r="FM14" i="39"/>
  <c r="FN14" i="39"/>
  <c r="FO14" i="39"/>
  <c r="FM15" i="39"/>
  <c r="FN15" i="39"/>
  <c r="FO15" i="39"/>
  <c r="FM16" i="39"/>
  <c r="FN16" i="39"/>
  <c r="FO16" i="39"/>
  <c r="FM17" i="39"/>
  <c r="FN17" i="39"/>
  <c r="FO17" i="39"/>
  <c r="FM18" i="39"/>
  <c r="FN18" i="39"/>
  <c r="FO18" i="39"/>
  <c r="FM19" i="39"/>
  <c r="FN19" i="39"/>
  <c r="FO19" i="39"/>
  <c r="FN8" i="39"/>
  <c r="FO8" i="39"/>
  <c r="FM8" i="39"/>
  <c r="FQ13" i="39" l="1"/>
  <c r="FQ8" i="39"/>
  <c r="FQ9" i="39"/>
  <c r="FQ17" i="39"/>
  <c r="FQ19" i="39"/>
  <c r="FQ18" i="39"/>
  <c r="FQ15" i="39"/>
  <c r="FQ11" i="39"/>
  <c r="FQ14" i="39"/>
  <c r="FQ10" i="39"/>
  <c r="FQ12" i="39"/>
  <c r="FQ16" i="39"/>
  <c r="HF12" i="39"/>
  <c r="HF17" i="39"/>
  <c r="HF9" i="39"/>
  <c r="HF14" i="39"/>
  <c r="HF19" i="39"/>
  <c r="HF11" i="39"/>
  <c r="HF16" i="39"/>
  <c r="HF13" i="39"/>
  <c r="HF15" i="39"/>
  <c r="HF8" i="39"/>
  <c r="HF18" i="39"/>
  <c r="HF10" i="39"/>
  <c r="IA20" i="39"/>
  <c r="HK20" i="39"/>
  <c r="IV20" i="39"/>
  <c r="HI20" i="39"/>
  <c r="HY20" i="39"/>
  <c r="IC20" i="39"/>
  <c r="HU20" i="39"/>
  <c r="HM20" i="39"/>
  <c r="JB20" i="39"/>
  <c r="HL20" i="39"/>
  <c r="II8" i="39"/>
  <c r="IE20" i="39"/>
  <c r="HW20" i="39"/>
  <c r="HO20" i="39"/>
  <c r="II18" i="39"/>
  <c r="II16" i="39"/>
  <c r="II14" i="39"/>
  <c r="II12" i="39"/>
  <c r="II10" i="39"/>
  <c r="II19" i="39"/>
  <c r="II17" i="39"/>
  <c r="II15" i="39"/>
  <c r="II13" i="39"/>
  <c r="II11" i="39"/>
  <c r="II9" i="39"/>
  <c r="IG20" i="39"/>
  <c r="HH20" i="39"/>
  <c r="HP20" i="39"/>
  <c r="IB20" i="39"/>
  <c r="HX20" i="39"/>
  <c r="HT20" i="39"/>
  <c r="IF20" i="39"/>
  <c r="HS20" i="39"/>
  <c r="HV20" i="39"/>
  <c r="HN20" i="39"/>
  <c r="HJ20" i="39"/>
  <c r="ID20" i="39"/>
  <c r="HQ20" i="39"/>
  <c r="GF20" i="39"/>
  <c r="IH20" i="39"/>
  <c r="HR20" i="39"/>
  <c r="HZ20" i="39"/>
  <c r="HG20" i="39"/>
  <c r="GU20" i="39"/>
  <c r="FU9" i="39"/>
  <c r="GJ20" i="39"/>
  <c r="GE20" i="39"/>
  <c r="FU12" i="39"/>
  <c r="GT8" i="39"/>
  <c r="GT16" i="39"/>
  <c r="GT12" i="39"/>
  <c r="GT19" i="39"/>
  <c r="GT15" i="39"/>
  <c r="GT11" i="39"/>
  <c r="GT9" i="39"/>
  <c r="GT18" i="39"/>
  <c r="GT14" i="39"/>
  <c r="GT10" i="39"/>
  <c r="GT17" i="39"/>
  <c r="GT13" i="39"/>
  <c r="GH20" i="39"/>
  <c r="GQ20" i="39"/>
  <c r="GG20" i="39"/>
  <c r="GC20" i="39"/>
  <c r="GI20" i="39"/>
  <c r="GD20" i="39"/>
  <c r="GN20" i="39"/>
  <c r="GO20" i="39"/>
  <c r="GK20" i="39"/>
  <c r="FZ20" i="39"/>
  <c r="GS20" i="39"/>
  <c r="GP20" i="39"/>
  <c r="GM20" i="39"/>
  <c r="GR20" i="39"/>
  <c r="FU13" i="39"/>
  <c r="FU15" i="39"/>
  <c r="FU10" i="39"/>
  <c r="FU17" i="39"/>
  <c r="FU16" i="39"/>
  <c r="FU14" i="39"/>
  <c r="FU11" i="39"/>
  <c r="FU19" i="39"/>
  <c r="FU18" i="39"/>
  <c r="FW20" i="39"/>
  <c r="FV20" i="39"/>
  <c r="FT20" i="39"/>
  <c r="FS20" i="39"/>
  <c r="FU8" i="39"/>
  <c r="FR20" i="39"/>
  <c r="FO20" i="39"/>
  <c r="FN20" i="39"/>
  <c r="FH9" i="39"/>
  <c r="FI9" i="39"/>
  <c r="FJ9" i="39"/>
  <c r="FK9" i="39"/>
  <c r="FH10" i="39"/>
  <c r="FI10" i="39"/>
  <c r="FJ10" i="39"/>
  <c r="FK10" i="39"/>
  <c r="FH11" i="39"/>
  <c r="FI11" i="39"/>
  <c r="FJ11" i="39"/>
  <c r="FK11" i="39"/>
  <c r="FH12" i="39"/>
  <c r="FI12" i="39"/>
  <c r="FJ12" i="39"/>
  <c r="FK12" i="39"/>
  <c r="FH13" i="39"/>
  <c r="FI13" i="39"/>
  <c r="FJ13" i="39"/>
  <c r="FK13" i="39"/>
  <c r="FH14" i="39"/>
  <c r="FI14" i="39"/>
  <c r="FJ14" i="39"/>
  <c r="FK14" i="39"/>
  <c r="FH15" i="39"/>
  <c r="FI15" i="39"/>
  <c r="FJ15" i="39"/>
  <c r="FK15" i="39"/>
  <c r="FH16" i="39"/>
  <c r="FI16" i="39"/>
  <c r="FJ16" i="39"/>
  <c r="FK16" i="39"/>
  <c r="FH17" i="39"/>
  <c r="FI17" i="39"/>
  <c r="FJ17" i="39"/>
  <c r="FK17" i="39"/>
  <c r="FH18" i="39"/>
  <c r="FI18" i="39"/>
  <c r="FJ18" i="39"/>
  <c r="FK18" i="39"/>
  <c r="FH19" i="39"/>
  <c r="FI19" i="39"/>
  <c r="FJ19" i="39"/>
  <c r="FK19" i="39"/>
  <c r="FI8" i="39"/>
  <c r="FJ8" i="39"/>
  <c r="FK8" i="39"/>
  <c r="FH8" i="39"/>
  <c r="FB9" i="39"/>
  <c r="FC9" i="39"/>
  <c r="FD9" i="39"/>
  <c r="FE9" i="39"/>
  <c r="FF9" i="39"/>
  <c r="FB10" i="39"/>
  <c r="FC10" i="39"/>
  <c r="FD10" i="39"/>
  <c r="FE10" i="39"/>
  <c r="FF10" i="39"/>
  <c r="FB11" i="39"/>
  <c r="FC11" i="39"/>
  <c r="FD11" i="39"/>
  <c r="FE11" i="39"/>
  <c r="FF11" i="39"/>
  <c r="FB12" i="39"/>
  <c r="FC12" i="39"/>
  <c r="FD12" i="39"/>
  <c r="FE12" i="39"/>
  <c r="FF12" i="39"/>
  <c r="FB13" i="39"/>
  <c r="FC13" i="39"/>
  <c r="FD13" i="39"/>
  <c r="FE13" i="39"/>
  <c r="FF13" i="39"/>
  <c r="FB14" i="39"/>
  <c r="FC14" i="39"/>
  <c r="FD14" i="39"/>
  <c r="FE14" i="39"/>
  <c r="FF14" i="39"/>
  <c r="FB15" i="39"/>
  <c r="FC15" i="39"/>
  <c r="FD15" i="39"/>
  <c r="FE15" i="39"/>
  <c r="FF15" i="39"/>
  <c r="FB16" i="39"/>
  <c r="FC16" i="39"/>
  <c r="FD16" i="39"/>
  <c r="FE16" i="39"/>
  <c r="FF16" i="39"/>
  <c r="FB17" i="39"/>
  <c r="FC17" i="39"/>
  <c r="FD17" i="39"/>
  <c r="FE17" i="39"/>
  <c r="FF17" i="39"/>
  <c r="FB18" i="39"/>
  <c r="FC18" i="39"/>
  <c r="FD18" i="39"/>
  <c r="FE18" i="39"/>
  <c r="FF18" i="39"/>
  <c r="FB19" i="39"/>
  <c r="FC19" i="39"/>
  <c r="FD19" i="39"/>
  <c r="FE19" i="39"/>
  <c r="FF19" i="39"/>
  <c r="FC8" i="39"/>
  <c r="FD8" i="39"/>
  <c r="FE8" i="39"/>
  <c r="FF8" i="39"/>
  <c r="FB8" i="39"/>
  <c r="EX9" i="39"/>
  <c r="EY9" i="39"/>
  <c r="EZ9" i="39"/>
  <c r="EX10" i="39"/>
  <c r="EY10" i="39"/>
  <c r="EZ10" i="39"/>
  <c r="EX11" i="39"/>
  <c r="EY11" i="39"/>
  <c r="EZ11" i="39"/>
  <c r="EX12" i="39"/>
  <c r="EY12" i="39"/>
  <c r="EZ12" i="39"/>
  <c r="EX13" i="39"/>
  <c r="EY13" i="39"/>
  <c r="EZ13" i="39"/>
  <c r="EX14" i="39"/>
  <c r="EY14" i="39"/>
  <c r="EZ14" i="39"/>
  <c r="EX15" i="39"/>
  <c r="EY15" i="39"/>
  <c r="EZ15" i="39"/>
  <c r="EX16" i="39"/>
  <c r="EY16" i="39"/>
  <c r="EZ16" i="39"/>
  <c r="EX17" i="39"/>
  <c r="EY17" i="39"/>
  <c r="EZ17" i="39"/>
  <c r="EX18" i="39"/>
  <c r="EY18" i="39"/>
  <c r="EZ18" i="39"/>
  <c r="EX19" i="39"/>
  <c r="EY19" i="39"/>
  <c r="EZ19" i="39"/>
  <c r="EY8" i="39"/>
  <c r="EZ8" i="39"/>
  <c r="EX8" i="39"/>
  <c r="ET9" i="39"/>
  <c r="EU9" i="39"/>
  <c r="EV9" i="39"/>
  <c r="ET10" i="39"/>
  <c r="EU10" i="39"/>
  <c r="EV10" i="39"/>
  <c r="ET11" i="39"/>
  <c r="EU11" i="39"/>
  <c r="EV11" i="39"/>
  <c r="ET12" i="39"/>
  <c r="EU12" i="39"/>
  <c r="EV12" i="39"/>
  <c r="ET13" i="39"/>
  <c r="EU13" i="39"/>
  <c r="EV13" i="39"/>
  <c r="ET14" i="39"/>
  <c r="EU14" i="39"/>
  <c r="EV14" i="39"/>
  <c r="ET15" i="39"/>
  <c r="EU15" i="39"/>
  <c r="EV15" i="39"/>
  <c r="ET16" i="39"/>
  <c r="EU16" i="39"/>
  <c r="EV16" i="39"/>
  <c r="ET17" i="39"/>
  <c r="EU17" i="39"/>
  <c r="EV17" i="39"/>
  <c r="ET18" i="39"/>
  <c r="EU18" i="39"/>
  <c r="EV18" i="39"/>
  <c r="ET19" i="39"/>
  <c r="EU19" i="39"/>
  <c r="EV19" i="39"/>
  <c r="EU8" i="39"/>
  <c r="EV8" i="39"/>
  <c r="ET8" i="39"/>
  <c r="EC9" i="39"/>
  <c r="ED9" i="39"/>
  <c r="EE9" i="39"/>
  <c r="EF9" i="39"/>
  <c r="EC10" i="39"/>
  <c r="ED10" i="39"/>
  <c r="EE10" i="39"/>
  <c r="EF10" i="39"/>
  <c r="EC11" i="39"/>
  <c r="ED11" i="39"/>
  <c r="EE11" i="39"/>
  <c r="EF11" i="39"/>
  <c r="EC12" i="39"/>
  <c r="ED12" i="39"/>
  <c r="EE12" i="39"/>
  <c r="EF12" i="39"/>
  <c r="EC13" i="39"/>
  <c r="ED13" i="39"/>
  <c r="EE13" i="39"/>
  <c r="EF13" i="39"/>
  <c r="EC14" i="39"/>
  <c r="ED14" i="39"/>
  <c r="EE14" i="39"/>
  <c r="EF14" i="39"/>
  <c r="EC15" i="39"/>
  <c r="ED15" i="39"/>
  <c r="EE15" i="39"/>
  <c r="EF15" i="39"/>
  <c r="EC16" i="39"/>
  <c r="ED16" i="39"/>
  <c r="EE16" i="39"/>
  <c r="EF16" i="39"/>
  <c r="EC17" i="39"/>
  <c r="ED17" i="39"/>
  <c r="EE17" i="39"/>
  <c r="EF17" i="39"/>
  <c r="EC18" i="39"/>
  <c r="ED18" i="39"/>
  <c r="EE18" i="39"/>
  <c r="EF18" i="39"/>
  <c r="EC19" i="39"/>
  <c r="ED19" i="39"/>
  <c r="EE19" i="39"/>
  <c r="EF19" i="39"/>
  <c r="ED8" i="39"/>
  <c r="EE8" i="39"/>
  <c r="EF8" i="39"/>
  <c r="EC8" i="39"/>
  <c r="DY9" i="39"/>
  <c r="DZ9" i="39"/>
  <c r="EA9" i="39"/>
  <c r="DY10" i="39"/>
  <c r="DZ10" i="39"/>
  <c r="EA10" i="39"/>
  <c r="DY11" i="39"/>
  <c r="DZ11" i="39"/>
  <c r="EA11" i="39"/>
  <c r="DY12" i="39"/>
  <c r="DZ12" i="39"/>
  <c r="EA12" i="39"/>
  <c r="DY13" i="39"/>
  <c r="DZ13" i="39"/>
  <c r="EA13" i="39"/>
  <c r="DY14" i="39"/>
  <c r="DZ14" i="39"/>
  <c r="EA14" i="39"/>
  <c r="DY15" i="39"/>
  <c r="DZ15" i="39"/>
  <c r="EA15" i="39"/>
  <c r="DY16" i="39"/>
  <c r="DZ16" i="39"/>
  <c r="EA16" i="39"/>
  <c r="DY17" i="39"/>
  <c r="DZ17" i="39"/>
  <c r="EA17" i="39"/>
  <c r="DY18" i="39"/>
  <c r="DZ18" i="39"/>
  <c r="EA18" i="39"/>
  <c r="DY19" i="39"/>
  <c r="DZ19" i="39"/>
  <c r="EA19" i="39"/>
  <c r="DZ8" i="39"/>
  <c r="EA8" i="39"/>
  <c r="DY8" i="39"/>
  <c r="DG9" i="39"/>
  <c r="DH9" i="39"/>
  <c r="DI9" i="39"/>
  <c r="DJ9" i="39"/>
  <c r="DK9" i="39"/>
  <c r="DL9" i="39"/>
  <c r="DM9" i="39"/>
  <c r="DG10" i="39"/>
  <c r="DH10" i="39"/>
  <c r="DI10" i="39"/>
  <c r="DJ10" i="39"/>
  <c r="DK10" i="39"/>
  <c r="DL10" i="39"/>
  <c r="DM10" i="39"/>
  <c r="DG11" i="39"/>
  <c r="DH11" i="39"/>
  <c r="DI11" i="39"/>
  <c r="DJ11" i="39"/>
  <c r="DK11" i="39"/>
  <c r="DL11" i="39"/>
  <c r="DM11" i="39"/>
  <c r="DG12" i="39"/>
  <c r="DH12" i="39"/>
  <c r="DI12" i="39"/>
  <c r="DJ12" i="39"/>
  <c r="DK12" i="39"/>
  <c r="DL12" i="39"/>
  <c r="DM12" i="39"/>
  <c r="DG13" i="39"/>
  <c r="DH13" i="39"/>
  <c r="DI13" i="39"/>
  <c r="DJ13" i="39"/>
  <c r="DK13" i="39"/>
  <c r="DL13" i="39"/>
  <c r="DM13" i="39"/>
  <c r="DG14" i="39"/>
  <c r="DH14" i="39"/>
  <c r="DI14" i="39"/>
  <c r="DJ14" i="39"/>
  <c r="DK14" i="39"/>
  <c r="DL14" i="39"/>
  <c r="DM14" i="39"/>
  <c r="DG15" i="39"/>
  <c r="DH15" i="39"/>
  <c r="DI15" i="39"/>
  <c r="DJ15" i="39"/>
  <c r="DK15" i="39"/>
  <c r="DL15" i="39"/>
  <c r="DM15" i="39"/>
  <c r="DG16" i="39"/>
  <c r="DH16" i="39"/>
  <c r="DI16" i="39"/>
  <c r="DJ16" i="39"/>
  <c r="DK16" i="39"/>
  <c r="DL16" i="39"/>
  <c r="DM16" i="39"/>
  <c r="DG17" i="39"/>
  <c r="DH17" i="39"/>
  <c r="DI17" i="39"/>
  <c r="DJ17" i="39"/>
  <c r="DK17" i="39"/>
  <c r="DL17" i="39"/>
  <c r="DM17" i="39"/>
  <c r="DG18" i="39"/>
  <c r="DH18" i="39"/>
  <c r="DI18" i="39"/>
  <c r="DJ18" i="39"/>
  <c r="DK18" i="39"/>
  <c r="DL18" i="39"/>
  <c r="DM18" i="39"/>
  <c r="DG19" i="39"/>
  <c r="DH19" i="39"/>
  <c r="DI19" i="39"/>
  <c r="DJ19" i="39"/>
  <c r="DK19" i="39"/>
  <c r="DL19" i="39"/>
  <c r="DM19" i="39"/>
  <c r="DH8" i="39"/>
  <c r="DI8" i="39"/>
  <c r="DJ8" i="39"/>
  <c r="DK8" i="39"/>
  <c r="DL8" i="39"/>
  <c r="DM8" i="39"/>
  <c r="DG8" i="39"/>
  <c r="DC9" i="39"/>
  <c r="DD9" i="39"/>
  <c r="DE9" i="39"/>
  <c r="DC10" i="39"/>
  <c r="DD10" i="39"/>
  <c r="DE10" i="39"/>
  <c r="DC11" i="39"/>
  <c r="DD11" i="39"/>
  <c r="DE11" i="39"/>
  <c r="DC12" i="39"/>
  <c r="DD12" i="39"/>
  <c r="DE12" i="39"/>
  <c r="DC13" i="39"/>
  <c r="DD13" i="39"/>
  <c r="DE13" i="39"/>
  <c r="DC14" i="39"/>
  <c r="DD14" i="39"/>
  <c r="DE14" i="39"/>
  <c r="DC15" i="39"/>
  <c r="DD15" i="39"/>
  <c r="DE15" i="39"/>
  <c r="DC16" i="39"/>
  <c r="DD16" i="39"/>
  <c r="DE16" i="39"/>
  <c r="DC17" i="39"/>
  <c r="DD17" i="39"/>
  <c r="DE17" i="39"/>
  <c r="DC18" i="39"/>
  <c r="DD18" i="39"/>
  <c r="DE18" i="39"/>
  <c r="DC19" i="39"/>
  <c r="DD19" i="39"/>
  <c r="DE19" i="39"/>
  <c r="DD8" i="39"/>
  <c r="DE8" i="39"/>
  <c r="DC8" i="39"/>
  <c r="CT9" i="39"/>
  <c r="CU9" i="39"/>
  <c r="CV9" i="39"/>
  <c r="CW9" i="39"/>
  <c r="CX9" i="39"/>
  <c r="CY9" i="39"/>
  <c r="CZ9" i="39"/>
  <c r="DA9" i="39"/>
  <c r="CT10" i="39"/>
  <c r="CU10" i="39"/>
  <c r="CV10" i="39"/>
  <c r="CW10" i="39"/>
  <c r="CX10" i="39"/>
  <c r="CY10" i="39"/>
  <c r="CZ10" i="39"/>
  <c r="DA10" i="39"/>
  <c r="CT11" i="39"/>
  <c r="CU11" i="39"/>
  <c r="CV11" i="39"/>
  <c r="CW11" i="39"/>
  <c r="CX11" i="39"/>
  <c r="CY11" i="39"/>
  <c r="CZ11" i="39"/>
  <c r="DA11" i="39"/>
  <c r="CT12" i="39"/>
  <c r="CU12" i="39"/>
  <c r="CV12" i="39"/>
  <c r="CW12" i="39"/>
  <c r="CX12" i="39"/>
  <c r="CY12" i="39"/>
  <c r="CZ12" i="39"/>
  <c r="DA12" i="39"/>
  <c r="CT13" i="39"/>
  <c r="CU13" i="39"/>
  <c r="CV13" i="39"/>
  <c r="CW13" i="39"/>
  <c r="CX13" i="39"/>
  <c r="CY13" i="39"/>
  <c r="CZ13" i="39"/>
  <c r="DA13" i="39"/>
  <c r="CT14" i="39"/>
  <c r="CU14" i="39"/>
  <c r="CV14" i="39"/>
  <c r="CW14" i="39"/>
  <c r="CX14" i="39"/>
  <c r="CY14" i="39"/>
  <c r="CZ14" i="39"/>
  <c r="DA14" i="39"/>
  <c r="CT15" i="39"/>
  <c r="CU15" i="39"/>
  <c r="CV15" i="39"/>
  <c r="CW15" i="39"/>
  <c r="CX15" i="39"/>
  <c r="CY15" i="39"/>
  <c r="CZ15" i="39"/>
  <c r="DA15" i="39"/>
  <c r="CT16" i="39"/>
  <c r="CU16" i="39"/>
  <c r="CV16" i="39"/>
  <c r="CW16" i="39"/>
  <c r="CX16" i="39"/>
  <c r="CY16" i="39"/>
  <c r="CZ16" i="39"/>
  <c r="DA16" i="39"/>
  <c r="CT17" i="39"/>
  <c r="CU17" i="39"/>
  <c r="CV17" i="39"/>
  <c r="CW17" i="39"/>
  <c r="CX17" i="39"/>
  <c r="CY17" i="39"/>
  <c r="CZ17" i="39"/>
  <c r="DA17" i="39"/>
  <c r="CT18" i="39"/>
  <c r="CU18" i="39"/>
  <c r="CV18" i="39"/>
  <c r="CW18" i="39"/>
  <c r="CX18" i="39"/>
  <c r="CY18" i="39"/>
  <c r="CZ18" i="39"/>
  <c r="DA18" i="39"/>
  <c r="CT19" i="39"/>
  <c r="CU19" i="39"/>
  <c r="CV19" i="39"/>
  <c r="CW19" i="39"/>
  <c r="CX19" i="39"/>
  <c r="CY19" i="39"/>
  <c r="CZ19" i="39"/>
  <c r="DA19" i="39"/>
  <c r="CU8" i="39"/>
  <c r="CV8" i="39"/>
  <c r="CW8" i="39"/>
  <c r="CX8" i="39"/>
  <c r="CY8" i="39"/>
  <c r="CZ8" i="39"/>
  <c r="DA8" i="39"/>
  <c r="CT8" i="39"/>
  <c r="CM9" i="39"/>
  <c r="CN9" i="39"/>
  <c r="CO9" i="39"/>
  <c r="CP9" i="39"/>
  <c r="CQ9" i="39"/>
  <c r="CM10" i="39"/>
  <c r="CN10" i="39"/>
  <c r="CO10" i="39"/>
  <c r="CP10" i="39"/>
  <c r="CQ10" i="39"/>
  <c r="CM11" i="39"/>
  <c r="CN11" i="39"/>
  <c r="CO11" i="39"/>
  <c r="CP11" i="39"/>
  <c r="CQ11" i="39"/>
  <c r="CM12" i="39"/>
  <c r="CN12" i="39"/>
  <c r="CO12" i="39"/>
  <c r="CP12" i="39"/>
  <c r="CQ12" i="39"/>
  <c r="CM13" i="39"/>
  <c r="CN13" i="39"/>
  <c r="CO13" i="39"/>
  <c r="CP13" i="39"/>
  <c r="CQ13" i="39"/>
  <c r="CM14" i="39"/>
  <c r="CN14" i="39"/>
  <c r="CO14" i="39"/>
  <c r="CP14" i="39"/>
  <c r="CQ14" i="39"/>
  <c r="CM15" i="39"/>
  <c r="CN15" i="39"/>
  <c r="CO15" i="39"/>
  <c r="CP15" i="39"/>
  <c r="CQ15" i="39"/>
  <c r="CM16" i="39"/>
  <c r="CN16" i="39"/>
  <c r="CO16" i="39"/>
  <c r="CP16" i="39"/>
  <c r="CQ16" i="39"/>
  <c r="CM17" i="39"/>
  <c r="CN17" i="39"/>
  <c r="CO17" i="39"/>
  <c r="CP17" i="39"/>
  <c r="CQ17" i="39"/>
  <c r="CM18" i="39"/>
  <c r="CN18" i="39"/>
  <c r="CO18" i="39"/>
  <c r="CP18" i="39"/>
  <c r="CQ18" i="39"/>
  <c r="CM19" i="39"/>
  <c r="CN19" i="39"/>
  <c r="CO19" i="39"/>
  <c r="CP19" i="39"/>
  <c r="CQ19" i="39"/>
  <c r="CN8" i="39"/>
  <c r="CO8" i="39"/>
  <c r="CP8" i="39"/>
  <c r="CQ8" i="39"/>
  <c r="CM8" i="39"/>
  <c r="CE9" i="39"/>
  <c r="CF9" i="39"/>
  <c r="CG9" i="39"/>
  <c r="CH9" i="39"/>
  <c r="CI9" i="39"/>
  <c r="CJ9" i="39"/>
  <c r="CK9" i="39"/>
  <c r="CE10" i="39"/>
  <c r="CF10" i="39"/>
  <c r="CG10" i="39"/>
  <c r="CH10" i="39"/>
  <c r="CI10" i="39"/>
  <c r="CJ10" i="39"/>
  <c r="CK10" i="39"/>
  <c r="CE11" i="39"/>
  <c r="CF11" i="39"/>
  <c r="CG11" i="39"/>
  <c r="CH11" i="39"/>
  <c r="CI11" i="39"/>
  <c r="CJ11" i="39"/>
  <c r="CK11" i="39"/>
  <c r="CE12" i="39"/>
  <c r="CF12" i="39"/>
  <c r="CG12" i="39"/>
  <c r="CH12" i="39"/>
  <c r="CI12" i="39"/>
  <c r="CJ12" i="39"/>
  <c r="CK12" i="39"/>
  <c r="CE13" i="39"/>
  <c r="CF13" i="39"/>
  <c r="CG13" i="39"/>
  <c r="CH13" i="39"/>
  <c r="CI13" i="39"/>
  <c r="CJ13" i="39"/>
  <c r="CK13" i="39"/>
  <c r="CE14" i="39"/>
  <c r="CF14" i="39"/>
  <c r="CG14" i="39"/>
  <c r="CH14" i="39"/>
  <c r="CI14" i="39"/>
  <c r="CJ14" i="39"/>
  <c r="CK14" i="39"/>
  <c r="CE15" i="39"/>
  <c r="CF15" i="39"/>
  <c r="CG15" i="39"/>
  <c r="CH15" i="39"/>
  <c r="CI15" i="39"/>
  <c r="CJ15" i="39"/>
  <c r="CK15" i="39"/>
  <c r="CE16" i="39"/>
  <c r="CF16" i="39"/>
  <c r="CG16" i="39"/>
  <c r="CH16" i="39"/>
  <c r="CI16" i="39"/>
  <c r="CJ16" i="39"/>
  <c r="CK16" i="39"/>
  <c r="CE17" i="39"/>
  <c r="CF17" i="39"/>
  <c r="CG17" i="39"/>
  <c r="CH17" i="39"/>
  <c r="CI17" i="39"/>
  <c r="CJ17" i="39"/>
  <c r="CK17" i="39"/>
  <c r="CE18" i="39"/>
  <c r="CF18" i="39"/>
  <c r="CG18" i="39"/>
  <c r="CH18" i="39"/>
  <c r="CI18" i="39"/>
  <c r="CJ18" i="39"/>
  <c r="CK18" i="39"/>
  <c r="CE19" i="39"/>
  <c r="CF19" i="39"/>
  <c r="CG19" i="39"/>
  <c r="CH19" i="39"/>
  <c r="CI19" i="39"/>
  <c r="CJ19" i="39"/>
  <c r="CK19" i="39"/>
  <c r="CF8" i="39"/>
  <c r="CG8" i="39"/>
  <c r="CH8" i="39"/>
  <c r="CI8" i="39"/>
  <c r="CJ8" i="39"/>
  <c r="CK8" i="39"/>
  <c r="CE8" i="39"/>
  <c r="BY9" i="39"/>
  <c r="BZ9" i="39"/>
  <c r="CA9" i="39"/>
  <c r="CB9" i="39"/>
  <c r="CC9" i="39"/>
  <c r="BY10" i="39"/>
  <c r="BZ10" i="39"/>
  <c r="CA10" i="39"/>
  <c r="CB10" i="39"/>
  <c r="CC10" i="39"/>
  <c r="BY11" i="39"/>
  <c r="BZ11" i="39"/>
  <c r="CA11" i="39"/>
  <c r="CB11" i="39"/>
  <c r="CC11" i="39"/>
  <c r="BY12" i="39"/>
  <c r="BZ12" i="39"/>
  <c r="CA12" i="39"/>
  <c r="CB12" i="39"/>
  <c r="CC12" i="39"/>
  <c r="BY13" i="39"/>
  <c r="BZ13" i="39"/>
  <c r="CA13" i="39"/>
  <c r="CB13" i="39"/>
  <c r="CC13" i="39"/>
  <c r="BY14" i="39"/>
  <c r="BZ14" i="39"/>
  <c r="CA14" i="39"/>
  <c r="CB14" i="39"/>
  <c r="CC14" i="39"/>
  <c r="BY15" i="39"/>
  <c r="BZ15" i="39"/>
  <c r="CA15" i="39"/>
  <c r="CB15" i="39"/>
  <c r="CC15" i="39"/>
  <c r="BY16" i="39"/>
  <c r="BZ16" i="39"/>
  <c r="CA16" i="39"/>
  <c r="CB16" i="39"/>
  <c r="CC16" i="39"/>
  <c r="BY17" i="39"/>
  <c r="BZ17" i="39"/>
  <c r="CA17" i="39"/>
  <c r="CB17" i="39"/>
  <c r="CC17" i="39"/>
  <c r="BY18" i="39"/>
  <c r="BZ18" i="39"/>
  <c r="CA18" i="39"/>
  <c r="CB18" i="39"/>
  <c r="CC18" i="39"/>
  <c r="BY19" i="39"/>
  <c r="BZ19" i="39"/>
  <c r="CA19" i="39"/>
  <c r="CB19" i="39"/>
  <c r="CC19" i="39"/>
  <c r="BZ8" i="39"/>
  <c r="CA8" i="39"/>
  <c r="CB8" i="39"/>
  <c r="CC8" i="39"/>
  <c r="BY8" i="39"/>
  <c r="BS19" i="39"/>
  <c r="BT19" i="39"/>
  <c r="BU19" i="39"/>
  <c r="BV19" i="39"/>
  <c r="BW19" i="39"/>
  <c r="BS9" i="39"/>
  <c r="BT9" i="39"/>
  <c r="BU9" i="39"/>
  <c r="BV9" i="39"/>
  <c r="BW9" i="39"/>
  <c r="BS10" i="39"/>
  <c r="BT10" i="39"/>
  <c r="BU10" i="39"/>
  <c r="BV10" i="39"/>
  <c r="BW10" i="39"/>
  <c r="BS11" i="39"/>
  <c r="BT11" i="39"/>
  <c r="BU11" i="39"/>
  <c r="BV11" i="39"/>
  <c r="BW11" i="39"/>
  <c r="BS12" i="39"/>
  <c r="BT12" i="39"/>
  <c r="BU12" i="39"/>
  <c r="BV12" i="39"/>
  <c r="BW12" i="39"/>
  <c r="BS13" i="39"/>
  <c r="BT13" i="39"/>
  <c r="BU13" i="39"/>
  <c r="BV13" i="39"/>
  <c r="BW13" i="39"/>
  <c r="BS14" i="39"/>
  <c r="BT14" i="39"/>
  <c r="BU14" i="39"/>
  <c r="BV14" i="39"/>
  <c r="BW14" i="39"/>
  <c r="BS15" i="39"/>
  <c r="BT15" i="39"/>
  <c r="BU15" i="39"/>
  <c r="BV15" i="39"/>
  <c r="BW15" i="39"/>
  <c r="BS16" i="39"/>
  <c r="BT16" i="39"/>
  <c r="BU16" i="39"/>
  <c r="BV16" i="39"/>
  <c r="BW16" i="39"/>
  <c r="BS17" i="39"/>
  <c r="BT17" i="39"/>
  <c r="BU17" i="39"/>
  <c r="BV17" i="39"/>
  <c r="BW17" i="39"/>
  <c r="BS18" i="39"/>
  <c r="BT18" i="39"/>
  <c r="BU18" i="39"/>
  <c r="BV18" i="39"/>
  <c r="BW18" i="39"/>
  <c r="BT8" i="39"/>
  <c r="BU8" i="39"/>
  <c r="BV8" i="39"/>
  <c r="BW8" i="39"/>
  <c r="BS8" i="39"/>
  <c r="BN9" i="39"/>
  <c r="BO9" i="39"/>
  <c r="BP9" i="39"/>
  <c r="BQ9" i="39"/>
  <c r="BN10" i="39"/>
  <c r="BO10" i="39"/>
  <c r="BP10" i="39"/>
  <c r="BQ10" i="39"/>
  <c r="BN11" i="39"/>
  <c r="BO11" i="39"/>
  <c r="BP11" i="39"/>
  <c r="BQ11" i="39"/>
  <c r="BN12" i="39"/>
  <c r="BO12" i="39"/>
  <c r="BP12" i="39"/>
  <c r="BQ12" i="39"/>
  <c r="BN13" i="39"/>
  <c r="BO13" i="39"/>
  <c r="BP13" i="39"/>
  <c r="BQ13" i="39"/>
  <c r="BN14" i="39"/>
  <c r="BO14" i="39"/>
  <c r="BP14" i="39"/>
  <c r="BQ14" i="39"/>
  <c r="BN15" i="39"/>
  <c r="BO15" i="39"/>
  <c r="BP15" i="39"/>
  <c r="BQ15" i="39"/>
  <c r="BN16" i="39"/>
  <c r="BO16" i="39"/>
  <c r="BP16" i="39"/>
  <c r="BQ16" i="39"/>
  <c r="BN17" i="39"/>
  <c r="BO17" i="39"/>
  <c r="BP17" i="39"/>
  <c r="BQ17" i="39"/>
  <c r="BN18" i="39"/>
  <c r="BO18" i="39"/>
  <c r="BP18" i="39"/>
  <c r="BQ18" i="39"/>
  <c r="BN19" i="39"/>
  <c r="BO19" i="39"/>
  <c r="BP19" i="39"/>
  <c r="BQ19" i="39"/>
  <c r="BO8" i="39"/>
  <c r="BP8" i="39"/>
  <c r="BQ8" i="39"/>
  <c r="BN8" i="39"/>
  <c r="BI9" i="39"/>
  <c r="BJ9" i="39"/>
  <c r="BK9" i="39"/>
  <c r="BL9" i="39"/>
  <c r="BI10" i="39"/>
  <c r="BJ10" i="39"/>
  <c r="BK10" i="39"/>
  <c r="BL10" i="39"/>
  <c r="BI11" i="39"/>
  <c r="BJ11" i="39"/>
  <c r="BK11" i="39"/>
  <c r="BL11" i="39"/>
  <c r="BI12" i="39"/>
  <c r="BJ12" i="39"/>
  <c r="BK12" i="39"/>
  <c r="BL12" i="39"/>
  <c r="BI13" i="39"/>
  <c r="BJ13" i="39"/>
  <c r="BK13" i="39"/>
  <c r="BL13" i="39"/>
  <c r="BI14" i="39"/>
  <c r="BJ14" i="39"/>
  <c r="BK14" i="39"/>
  <c r="BL14" i="39"/>
  <c r="BI15" i="39"/>
  <c r="BJ15" i="39"/>
  <c r="BK15" i="39"/>
  <c r="BL15" i="39"/>
  <c r="BI16" i="39"/>
  <c r="BJ16" i="39"/>
  <c r="BK16" i="39"/>
  <c r="BL16" i="39"/>
  <c r="BI17" i="39"/>
  <c r="BJ17" i="39"/>
  <c r="BK17" i="39"/>
  <c r="BL17" i="39"/>
  <c r="BI18" i="39"/>
  <c r="BJ18" i="39"/>
  <c r="BK18" i="39"/>
  <c r="BL18" i="39"/>
  <c r="BI19" i="39"/>
  <c r="BJ19" i="39"/>
  <c r="BK19" i="39"/>
  <c r="BL19" i="39"/>
  <c r="BJ8" i="39"/>
  <c r="BK8" i="39"/>
  <c r="BL8" i="39"/>
  <c r="BI8" i="39"/>
  <c r="CS17" i="39" l="1"/>
  <c r="CS11" i="39"/>
  <c r="CS10" i="39"/>
  <c r="CS12" i="39"/>
  <c r="CS19" i="39"/>
  <c r="CS14" i="39"/>
  <c r="CS9" i="39"/>
  <c r="CS8" i="39"/>
  <c r="CS16" i="39"/>
  <c r="CS18" i="39"/>
  <c r="CS13" i="39"/>
  <c r="CS15" i="39"/>
  <c r="EH16" i="39"/>
  <c r="EH13" i="39"/>
  <c r="EH19" i="39"/>
  <c r="EH10" i="39"/>
  <c r="EH17" i="39"/>
  <c r="EH14" i="39"/>
  <c r="EH11" i="39"/>
  <c r="EH18" i="39"/>
  <c r="EH15" i="39"/>
  <c r="EH12" i="39"/>
  <c r="EH9" i="39"/>
  <c r="EH8" i="39"/>
  <c r="II20" i="39"/>
  <c r="HF20" i="39"/>
  <c r="GT20" i="39"/>
  <c r="FY20" i="39"/>
  <c r="FU20" i="39"/>
  <c r="FQ20" i="39"/>
  <c r="FB20" i="39"/>
  <c r="FL19" i="39"/>
  <c r="FL17" i="39"/>
  <c r="FL15" i="39"/>
  <c r="FL13" i="39"/>
  <c r="FL11" i="39"/>
  <c r="FL9" i="39"/>
  <c r="FL8" i="39"/>
  <c r="FL18" i="39"/>
  <c r="FL16" i="39"/>
  <c r="FL14" i="39"/>
  <c r="FL12" i="39"/>
  <c r="FL10" i="39"/>
  <c r="FA12" i="39"/>
  <c r="FC20" i="39"/>
  <c r="FG12" i="39"/>
  <c r="FA17" i="39"/>
  <c r="FA9" i="39"/>
  <c r="EW15" i="39"/>
  <c r="FA19" i="39"/>
  <c r="FA11" i="39"/>
  <c r="FA16" i="39"/>
  <c r="FE20" i="39"/>
  <c r="FG14" i="39"/>
  <c r="FG15" i="39"/>
  <c r="FG18" i="39"/>
  <c r="FG10" i="39"/>
  <c r="FG13" i="39"/>
  <c r="FG16" i="39"/>
  <c r="FF20" i="39"/>
  <c r="FG19" i="39"/>
  <c r="FG11" i="39"/>
  <c r="FD20" i="39"/>
  <c r="FG17" i="39"/>
  <c r="FG9" i="39"/>
  <c r="FG8" i="39"/>
  <c r="FA13" i="39"/>
  <c r="EW14" i="39"/>
  <c r="FA8" i="39"/>
  <c r="FA18" i="39"/>
  <c r="FA10" i="39"/>
  <c r="FA15" i="39"/>
  <c r="EW18" i="39"/>
  <c r="EW10" i="39"/>
  <c r="FA14" i="39"/>
  <c r="EW19" i="39"/>
  <c r="EW11" i="39"/>
  <c r="EW16" i="39"/>
  <c r="EW13" i="39"/>
  <c r="EW8" i="39"/>
  <c r="EW12" i="39"/>
  <c r="EW17" i="39"/>
  <c r="EW9" i="39"/>
  <c r="EZ20" i="39"/>
  <c r="EY20" i="39"/>
  <c r="EX20" i="39"/>
  <c r="ET20" i="39"/>
  <c r="EV20" i="39"/>
  <c r="EU20" i="39"/>
  <c r="EB13" i="39"/>
  <c r="DF10" i="39"/>
  <c r="EB18" i="39"/>
  <c r="EB10" i="39"/>
  <c r="EB15" i="39"/>
  <c r="EB17" i="39"/>
  <c r="EB14" i="39"/>
  <c r="EB9" i="39"/>
  <c r="EB12" i="39"/>
  <c r="EB19" i="39"/>
  <c r="EB11" i="39"/>
  <c r="EB16" i="39"/>
  <c r="EB8" i="39"/>
  <c r="DF15" i="39"/>
  <c r="DN18" i="39"/>
  <c r="DN10" i="39"/>
  <c r="DM20" i="39"/>
  <c r="DN9" i="39"/>
  <c r="DI20" i="39"/>
  <c r="DN19" i="39"/>
  <c r="DN11" i="39"/>
  <c r="DF12" i="39"/>
  <c r="DH20" i="39"/>
  <c r="DN12" i="39"/>
  <c r="DN16" i="39"/>
  <c r="DN13" i="39"/>
  <c r="DK20" i="39"/>
  <c r="DG20" i="39"/>
  <c r="DN15" i="39"/>
  <c r="DN14" i="39"/>
  <c r="DJ20" i="39"/>
  <c r="DL20" i="39"/>
  <c r="DN17" i="39"/>
  <c r="DF13" i="39"/>
  <c r="DN8" i="39"/>
  <c r="BX12" i="39"/>
  <c r="DB8" i="39"/>
  <c r="BX14" i="39"/>
  <c r="CX20" i="39"/>
  <c r="CZ20" i="39"/>
  <c r="CY20" i="39"/>
  <c r="BX9" i="39"/>
  <c r="DB19" i="39"/>
  <c r="DB18" i="39"/>
  <c r="DB17" i="39"/>
  <c r="DB16" i="39"/>
  <c r="DB15" i="39"/>
  <c r="DB14" i="39"/>
  <c r="DB13" i="39"/>
  <c r="DB12" i="39"/>
  <c r="DB11" i="39"/>
  <c r="DB10" i="39"/>
  <c r="DB9" i="39"/>
  <c r="DF17" i="39"/>
  <c r="DF9" i="39"/>
  <c r="BX11" i="39"/>
  <c r="DF16" i="39"/>
  <c r="DF14" i="39"/>
  <c r="DF11" i="39"/>
  <c r="DF19" i="39"/>
  <c r="DF18" i="39"/>
  <c r="DF8" i="39"/>
  <c r="CL13" i="39"/>
  <c r="BZ20" i="39"/>
  <c r="CL8" i="39"/>
  <c r="CL16" i="39"/>
  <c r="CL14" i="39"/>
  <c r="CL10" i="39"/>
  <c r="CK20" i="39"/>
  <c r="CL15" i="39"/>
  <c r="CJ20" i="39"/>
  <c r="CI20" i="39"/>
  <c r="CL18" i="39"/>
  <c r="CL17" i="39"/>
  <c r="CL9" i="39"/>
  <c r="CH20" i="39"/>
  <c r="CG20" i="39"/>
  <c r="CL19" i="39"/>
  <c r="CL11" i="39"/>
  <c r="CB20" i="39"/>
  <c r="CD14" i="39"/>
  <c r="CF20" i="39"/>
  <c r="CL12" i="39"/>
  <c r="BX15" i="39"/>
  <c r="BX10" i="39"/>
  <c r="CA20" i="39"/>
  <c r="CD17" i="39"/>
  <c r="CD9" i="39"/>
  <c r="CD12" i="39"/>
  <c r="BQ20" i="39"/>
  <c r="BR12" i="39"/>
  <c r="BW20" i="39"/>
  <c r="CD15" i="39"/>
  <c r="CC20" i="39"/>
  <c r="CD18" i="39"/>
  <c r="CD10" i="39"/>
  <c r="CD13" i="39"/>
  <c r="BY20" i="39"/>
  <c r="CD16" i="39"/>
  <c r="CD19" i="39"/>
  <c r="CD11" i="39"/>
  <c r="BP20" i="39"/>
  <c r="BV20" i="39"/>
  <c r="BO20" i="39"/>
  <c r="BR18" i="39"/>
  <c r="BU20" i="39"/>
  <c r="BR15" i="39"/>
  <c r="BR13" i="39"/>
  <c r="BR11" i="39"/>
  <c r="BR9" i="39"/>
  <c r="CD8" i="39"/>
  <c r="BS20" i="39"/>
  <c r="BR17" i="39"/>
  <c r="BX19" i="39"/>
  <c r="BR19" i="39"/>
  <c r="BN20" i="39"/>
  <c r="BR16" i="39"/>
  <c r="BR14" i="39"/>
  <c r="BR10" i="39"/>
  <c r="BX8" i="39"/>
  <c r="BX17" i="39"/>
  <c r="BR8" i="39"/>
  <c r="BX13" i="39"/>
  <c r="BX18" i="39"/>
  <c r="BX16" i="39"/>
  <c r="BT20" i="39"/>
  <c r="BM14" i="39"/>
  <c r="BM18" i="39"/>
  <c r="BM16" i="39"/>
  <c r="BM12" i="39"/>
  <c r="BM10" i="39"/>
  <c r="BM19" i="39"/>
  <c r="BM17" i="39"/>
  <c r="BM15" i="39"/>
  <c r="BM13" i="39"/>
  <c r="BM11" i="39"/>
  <c r="BM9" i="39"/>
  <c r="BM8" i="39"/>
  <c r="BL20" i="39"/>
  <c r="BE9" i="39"/>
  <c r="BF9" i="39"/>
  <c r="BG9" i="39"/>
  <c r="BE10" i="39"/>
  <c r="BF10" i="39"/>
  <c r="BG10" i="39"/>
  <c r="BE11" i="39"/>
  <c r="BF11" i="39"/>
  <c r="BG11" i="39"/>
  <c r="BE12" i="39"/>
  <c r="BF12" i="39"/>
  <c r="BG12" i="39"/>
  <c r="BE13" i="39"/>
  <c r="BF13" i="39"/>
  <c r="BG13" i="39"/>
  <c r="BE14" i="39"/>
  <c r="BF14" i="39"/>
  <c r="BG14" i="39"/>
  <c r="BE15" i="39"/>
  <c r="BF15" i="39"/>
  <c r="BG15" i="39"/>
  <c r="BE16" i="39"/>
  <c r="BF16" i="39"/>
  <c r="BG16" i="39"/>
  <c r="BE17" i="39"/>
  <c r="BF17" i="39"/>
  <c r="BG17" i="39"/>
  <c r="BE18" i="39"/>
  <c r="BF18" i="39"/>
  <c r="BG18" i="39"/>
  <c r="BE19" i="39"/>
  <c r="BF19" i="39"/>
  <c r="BG19" i="39"/>
  <c r="BF8" i="39"/>
  <c r="BG8" i="39"/>
  <c r="BE8" i="39"/>
  <c r="AZ9" i="39"/>
  <c r="BA9" i="39"/>
  <c r="BB9" i="39"/>
  <c r="BC9" i="39"/>
  <c r="AZ10" i="39"/>
  <c r="BA10" i="39"/>
  <c r="BB10" i="39"/>
  <c r="BC10" i="39"/>
  <c r="AZ11" i="39"/>
  <c r="BA11" i="39"/>
  <c r="BB11" i="39"/>
  <c r="BC11" i="39"/>
  <c r="AZ12" i="39"/>
  <c r="BA12" i="39"/>
  <c r="BB12" i="39"/>
  <c r="BC12" i="39"/>
  <c r="AZ13" i="39"/>
  <c r="BA13" i="39"/>
  <c r="BB13" i="39"/>
  <c r="BC13" i="39"/>
  <c r="AZ14" i="39"/>
  <c r="BA14" i="39"/>
  <c r="BB14" i="39"/>
  <c r="BC14" i="39"/>
  <c r="AZ15" i="39"/>
  <c r="BA15" i="39"/>
  <c r="BB15" i="39"/>
  <c r="BC15" i="39"/>
  <c r="AZ16" i="39"/>
  <c r="BA16" i="39"/>
  <c r="BB16" i="39"/>
  <c r="BC16" i="39"/>
  <c r="AZ17" i="39"/>
  <c r="BA17" i="39"/>
  <c r="BB17" i="39"/>
  <c r="BC17" i="39"/>
  <c r="AZ18" i="39"/>
  <c r="BA18" i="39"/>
  <c r="BB18" i="39"/>
  <c r="BC18" i="39"/>
  <c r="AZ19" i="39"/>
  <c r="BA19" i="39"/>
  <c r="BB19" i="39"/>
  <c r="BC19" i="39"/>
  <c r="BA8" i="39"/>
  <c r="BB8" i="39"/>
  <c r="BC8" i="39"/>
  <c r="AZ8" i="39"/>
  <c r="AW9" i="39"/>
  <c r="AX9" i="39"/>
  <c r="AW10" i="39"/>
  <c r="AX10" i="39"/>
  <c r="AW11" i="39"/>
  <c r="AX11" i="39"/>
  <c r="AW12" i="39"/>
  <c r="AX12" i="39"/>
  <c r="AW13" i="39"/>
  <c r="AX13" i="39"/>
  <c r="AW14" i="39"/>
  <c r="AX14" i="39"/>
  <c r="AW15" i="39"/>
  <c r="AX15" i="39"/>
  <c r="AW16" i="39"/>
  <c r="AX16" i="39"/>
  <c r="AW17" i="39"/>
  <c r="AX17" i="39"/>
  <c r="AW18" i="39"/>
  <c r="AX18" i="39"/>
  <c r="AW19" i="39"/>
  <c r="AX19" i="39"/>
  <c r="AX8" i="39"/>
  <c r="AW8" i="39"/>
  <c r="AO19" i="39"/>
  <c r="AP19" i="39"/>
  <c r="AQ19" i="39"/>
  <c r="AR19" i="39"/>
  <c r="AS19" i="39"/>
  <c r="AT19" i="39"/>
  <c r="AU19" i="39"/>
  <c r="BI20" i="39"/>
  <c r="BJ20" i="39"/>
  <c r="BK20" i="39"/>
  <c r="CE20" i="39"/>
  <c r="CM20" i="39"/>
  <c r="CN20" i="39"/>
  <c r="CO20" i="39"/>
  <c r="CP20" i="39"/>
  <c r="CQ20" i="39"/>
  <c r="CT20" i="39"/>
  <c r="CU20" i="39"/>
  <c r="CV20" i="39"/>
  <c r="CW20" i="39"/>
  <c r="DA20" i="39"/>
  <c r="DC20" i="39"/>
  <c r="DD20" i="39"/>
  <c r="DE20" i="39"/>
  <c r="DY20" i="39"/>
  <c r="DZ20" i="39"/>
  <c r="EA20" i="39"/>
  <c r="EC20" i="39"/>
  <c r="ED20" i="39"/>
  <c r="EE20" i="39"/>
  <c r="EF20" i="39"/>
  <c r="FH20" i="39"/>
  <c r="FM20" i="39"/>
  <c r="GL20" i="39"/>
  <c r="GV20" i="39"/>
  <c r="GW20" i="39"/>
  <c r="GX20" i="39"/>
  <c r="GY20" i="39"/>
  <c r="GZ20" i="39"/>
  <c r="HA20" i="39"/>
  <c r="HB20" i="39"/>
  <c r="HC20" i="39"/>
  <c r="HD20" i="39"/>
  <c r="HE20" i="39"/>
  <c r="IN20" i="39"/>
  <c r="IO20" i="39"/>
  <c r="IP20" i="39"/>
  <c r="IQ20" i="39"/>
  <c r="IR20" i="39"/>
  <c r="IS20" i="39"/>
  <c r="IT20" i="39"/>
  <c r="IU20" i="39"/>
  <c r="IZ20" i="39"/>
  <c r="AO9" i="39"/>
  <c r="AP9" i="39"/>
  <c r="AQ9" i="39"/>
  <c r="AR9" i="39"/>
  <c r="AS9" i="39"/>
  <c r="AT9" i="39"/>
  <c r="AU9" i="39"/>
  <c r="AO10" i="39"/>
  <c r="AP10" i="39"/>
  <c r="AQ10" i="39"/>
  <c r="AR10" i="39"/>
  <c r="AS10" i="39"/>
  <c r="AT10" i="39"/>
  <c r="AU10" i="39"/>
  <c r="AO11" i="39"/>
  <c r="AP11" i="39"/>
  <c r="AQ11" i="39"/>
  <c r="AR11" i="39"/>
  <c r="AS11" i="39"/>
  <c r="AT11" i="39"/>
  <c r="AU11" i="39"/>
  <c r="AO12" i="39"/>
  <c r="AP12" i="39"/>
  <c r="AQ12" i="39"/>
  <c r="AR12" i="39"/>
  <c r="AS12" i="39"/>
  <c r="AT12" i="39"/>
  <c r="AU12" i="39"/>
  <c r="AO13" i="39"/>
  <c r="AP13" i="39"/>
  <c r="AQ13" i="39"/>
  <c r="AR13" i="39"/>
  <c r="AS13" i="39"/>
  <c r="AT13" i="39"/>
  <c r="AU13" i="39"/>
  <c r="AO14" i="39"/>
  <c r="AP14" i="39"/>
  <c r="AQ14" i="39"/>
  <c r="AR14" i="39"/>
  <c r="AS14" i="39"/>
  <c r="AT14" i="39"/>
  <c r="AU14" i="39"/>
  <c r="AO15" i="39"/>
  <c r="AP15" i="39"/>
  <c r="AQ15" i="39"/>
  <c r="AR15" i="39"/>
  <c r="AS15" i="39"/>
  <c r="AT15" i="39"/>
  <c r="AU15" i="39"/>
  <c r="AO16" i="39"/>
  <c r="AP16" i="39"/>
  <c r="AQ16" i="39"/>
  <c r="AR16" i="39"/>
  <c r="AS16" i="39"/>
  <c r="AT16" i="39"/>
  <c r="AU16" i="39"/>
  <c r="AO17" i="39"/>
  <c r="AP17" i="39"/>
  <c r="AQ17" i="39"/>
  <c r="AR17" i="39"/>
  <c r="AS17" i="39"/>
  <c r="AT17" i="39"/>
  <c r="AU17" i="39"/>
  <c r="AO18" i="39"/>
  <c r="AP18" i="39"/>
  <c r="AQ18" i="39"/>
  <c r="AR18" i="39"/>
  <c r="AS18" i="39"/>
  <c r="AT18" i="39"/>
  <c r="AU18" i="39"/>
  <c r="AP8" i="39"/>
  <c r="AQ8" i="39"/>
  <c r="AR8" i="39"/>
  <c r="AS8" i="39"/>
  <c r="AT8" i="39"/>
  <c r="AU8" i="39"/>
  <c r="AO8" i="39"/>
  <c r="AE9" i="39"/>
  <c r="AF9" i="39"/>
  <c r="AG9" i="39"/>
  <c r="AH9" i="39"/>
  <c r="AI9" i="39"/>
  <c r="AJ9" i="39"/>
  <c r="AK9" i="39"/>
  <c r="AL9" i="39"/>
  <c r="AM9" i="39"/>
  <c r="AE10" i="39"/>
  <c r="AF10" i="39"/>
  <c r="AG10" i="39"/>
  <c r="AH10" i="39"/>
  <c r="AI10" i="39"/>
  <c r="AJ10" i="39"/>
  <c r="AK10" i="39"/>
  <c r="AL10" i="39"/>
  <c r="AM10" i="39"/>
  <c r="AE11" i="39"/>
  <c r="AF11" i="39"/>
  <c r="AG11" i="39"/>
  <c r="AH11" i="39"/>
  <c r="AI11" i="39"/>
  <c r="AJ11" i="39"/>
  <c r="AK11" i="39"/>
  <c r="AL11" i="39"/>
  <c r="AM11" i="39"/>
  <c r="AE12" i="39"/>
  <c r="AF12" i="39"/>
  <c r="AG12" i="39"/>
  <c r="AH12" i="39"/>
  <c r="AI12" i="39"/>
  <c r="AJ12" i="39"/>
  <c r="AK12" i="39"/>
  <c r="AL12" i="39"/>
  <c r="AM12" i="39"/>
  <c r="AE13" i="39"/>
  <c r="AF13" i="39"/>
  <c r="AG13" i="39"/>
  <c r="AH13" i="39"/>
  <c r="AI13" i="39"/>
  <c r="AJ13" i="39"/>
  <c r="AK13" i="39"/>
  <c r="AL13" i="39"/>
  <c r="AM13" i="39"/>
  <c r="AE14" i="39"/>
  <c r="AF14" i="39"/>
  <c r="AG14" i="39"/>
  <c r="AH14" i="39"/>
  <c r="AI14" i="39"/>
  <c r="AJ14" i="39"/>
  <c r="AK14" i="39"/>
  <c r="AL14" i="39"/>
  <c r="AM14" i="39"/>
  <c r="AE15" i="39"/>
  <c r="AF15" i="39"/>
  <c r="AG15" i="39"/>
  <c r="AH15" i="39"/>
  <c r="AI15" i="39"/>
  <c r="AJ15" i="39"/>
  <c r="AK15" i="39"/>
  <c r="AL15" i="39"/>
  <c r="AM15" i="39"/>
  <c r="AE16" i="39"/>
  <c r="AF16" i="39"/>
  <c r="AG16" i="39"/>
  <c r="AH16" i="39"/>
  <c r="AI16" i="39"/>
  <c r="AJ16" i="39"/>
  <c r="AK16" i="39"/>
  <c r="AL16" i="39"/>
  <c r="AM16" i="39"/>
  <c r="AE17" i="39"/>
  <c r="AF17" i="39"/>
  <c r="AG17" i="39"/>
  <c r="AH17" i="39"/>
  <c r="AI17" i="39"/>
  <c r="AJ17" i="39"/>
  <c r="AK17" i="39"/>
  <c r="AL17" i="39"/>
  <c r="AM17" i="39"/>
  <c r="AE18" i="39"/>
  <c r="AF18" i="39"/>
  <c r="AG18" i="39"/>
  <c r="AH18" i="39"/>
  <c r="AI18" i="39"/>
  <c r="AJ18" i="39"/>
  <c r="AK18" i="39"/>
  <c r="AL18" i="39"/>
  <c r="AM18" i="39"/>
  <c r="AE19" i="39"/>
  <c r="AF19" i="39"/>
  <c r="AG19" i="39"/>
  <c r="AH19" i="39"/>
  <c r="AI19" i="39"/>
  <c r="AJ19" i="39"/>
  <c r="AK19" i="39"/>
  <c r="AL19" i="39"/>
  <c r="AM19" i="39"/>
  <c r="AE8" i="39"/>
  <c r="AF8" i="39"/>
  <c r="AG8" i="39"/>
  <c r="AH8" i="39"/>
  <c r="AI8" i="39"/>
  <c r="AJ8" i="39"/>
  <c r="AK8" i="39"/>
  <c r="AL8" i="39"/>
  <c r="AM8" i="39"/>
  <c r="I9" i="39"/>
  <c r="J9" i="39"/>
  <c r="K9" i="39"/>
  <c r="L9" i="39"/>
  <c r="M9" i="39"/>
  <c r="N9" i="39"/>
  <c r="O9" i="39"/>
  <c r="P9" i="39"/>
  <c r="Q9" i="39"/>
  <c r="R9" i="39"/>
  <c r="S9" i="39"/>
  <c r="T9" i="39"/>
  <c r="U9" i="39"/>
  <c r="V9" i="39"/>
  <c r="W9" i="39"/>
  <c r="X9" i="39"/>
  <c r="Y9" i="39"/>
  <c r="Z9" i="39"/>
  <c r="AA9" i="39"/>
  <c r="AB9" i="39"/>
  <c r="AC9" i="39"/>
  <c r="I10" i="39"/>
  <c r="J10" i="39"/>
  <c r="K10" i="39"/>
  <c r="L10" i="39"/>
  <c r="M10" i="39"/>
  <c r="N10" i="39"/>
  <c r="O10" i="39"/>
  <c r="P10" i="39"/>
  <c r="Q10" i="39"/>
  <c r="R10" i="39"/>
  <c r="S10" i="39"/>
  <c r="T10" i="39"/>
  <c r="U10" i="39"/>
  <c r="V10" i="39"/>
  <c r="W10" i="39"/>
  <c r="X10" i="39"/>
  <c r="Y10" i="39"/>
  <c r="Z10" i="39"/>
  <c r="AA10" i="39"/>
  <c r="AB10" i="39"/>
  <c r="AC10" i="39"/>
  <c r="I11" i="39"/>
  <c r="J11" i="39"/>
  <c r="K11" i="39"/>
  <c r="L11" i="39"/>
  <c r="M11" i="39"/>
  <c r="N11" i="39"/>
  <c r="O11" i="39"/>
  <c r="P11" i="39"/>
  <c r="Q11" i="39"/>
  <c r="R11" i="39"/>
  <c r="S11" i="39"/>
  <c r="T11" i="39"/>
  <c r="U11" i="39"/>
  <c r="V11" i="39"/>
  <c r="W11" i="39"/>
  <c r="X11" i="39"/>
  <c r="Y11" i="39"/>
  <c r="Z11" i="39"/>
  <c r="AA11" i="39"/>
  <c r="AB11" i="39"/>
  <c r="AC11" i="39"/>
  <c r="I12" i="39"/>
  <c r="J12" i="39"/>
  <c r="K12" i="39"/>
  <c r="L12" i="39"/>
  <c r="M12" i="39"/>
  <c r="N12" i="39"/>
  <c r="O12" i="39"/>
  <c r="P12" i="39"/>
  <c r="Q12" i="39"/>
  <c r="R12" i="39"/>
  <c r="S12" i="39"/>
  <c r="T12" i="39"/>
  <c r="U12" i="39"/>
  <c r="V12" i="39"/>
  <c r="W12" i="39"/>
  <c r="X12" i="39"/>
  <c r="Y12" i="39"/>
  <c r="Z12" i="39"/>
  <c r="AA12" i="39"/>
  <c r="AB12" i="39"/>
  <c r="AC12" i="39"/>
  <c r="I13" i="39"/>
  <c r="J13" i="39"/>
  <c r="K13" i="39"/>
  <c r="L13" i="39"/>
  <c r="M13" i="39"/>
  <c r="N13" i="39"/>
  <c r="O13" i="39"/>
  <c r="P13" i="39"/>
  <c r="Q13" i="39"/>
  <c r="R13" i="39"/>
  <c r="S13" i="39"/>
  <c r="T13" i="39"/>
  <c r="U13" i="39"/>
  <c r="V13" i="39"/>
  <c r="W13" i="39"/>
  <c r="X13" i="39"/>
  <c r="Y13" i="39"/>
  <c r="Z13" i="39"/>
  <c r="AA13" i="39"/>
  <c r="AB13" i="39"/>
  <c r="AC13" i="39"/>
  <c r="I14" i="39"/>
  <c r="J14" i="39"/>
  <c r="K14" i="39"/>
  <c r="L14" i="39"/>
  <c r="M14" i="39"/>
  <c r="N14" i="39"/>
  <c r="O14" i="39"/>
  <c r="P14" i="39"/>
  <c r="Q14" i="39"/>
  <c r="R14" i="39"/>
  <c r="S14" i="39"/>
  <c r="T14" i="39"/>
  <c r="U14" i="39"/>
  <c r="V14" i="39"/>
  <c r="W14" i="39"/>
  <c r="X14" i="39"/>
  <c r="Y14" i="39"/>
  <c r="Z14" i="39"/>
  <c r="AA14" i="39"/>
  <c r="AB14" i="39"/>
  <c r="AC14" i="39"/>
  <c r="I15" i="39"/>
  <c r="J15" i="39"/>
  <c r="K15" i="39"/>
  <c r="L15" i="39"/>
  <c r="M15" i="39"/>
  <c r="N15" i="39"/>
  <c r="O15" i="39"/>
  <c r="P15" i="39"/>
  <c r="Q15" i="39"/>
  <c r="R15" i="39"/>
  <c r="S15" i="39"/>
  <c r="T15" i="39"/>
  <c r="U15" i="39"/>
  <c r="V15" i="39"/>
  <c r="W15" i="39"/>
  <c r="X15" i="39"/>
  <c r="Y15" i="39"/>
  <c r="Z15" i="39"/>
  <c r="AA15" i="39"/>
  <c r="AB15" i="39"/>
  <c r="AC15" i="39"/>
  <c r="I16" i="39"/>
  <c r="J16" i="39"/>
  <c r="K16" i="39"/>
  <c r="L16" i="39"/>
  <c r="M16" i="39"/>
  <c r="N16" i="39"/>
  <c r="O16" i="39"/>
  <c r="P16" i="39"/>
  <c r="Q16" i="39"/>
  <c r="R16" i="39"/>
  <c r="S16" i="39"/>
  <c r="T16" i="39"/>
  <c r="U16" i="39"/>
  <c r="V16" i="39"/>
  <c r="W16" i="39"/>
  <c r="X16" i="39"/>
  <c r="Y16" i="39"/>
  <c r="Z16" i="39"/>
  <c r="AA16" i="39"/>
  <c r="AB16" i="39"/>
  <c r="AC16" i="39"/>
  <c r="I17" i="39"/>
  <c r="J17" i="39"/>
  <c r="K17" i="39"/>
  <c r="L17" i="39"/>
  <c r="M17" i="39"/>
  <c r="N17" i="39"/>
  <c r="O17" i="39"/>
  <c r="P17" i="39"/>
  <c r="Q17" i="39"/>
  <c r="R17" i="39"/>
  <c r="S17" i="39"/>
  <c r="T17" i="39"/>
  <c r="U17" i="39"/>
  <c r="V17" i="39"/>
  <c r="W17" i="39"/>
  <c r="X17" i="39"/>
  <c r="Y17" i="39"/>
  <c r="Z17" i="39"/>
  <c r="AA17" i="39"/>
  <c r="AB17" i="39"/>
  <c r="AC17" i="39"/>
  <c r="I18" i="39"/>
  <c r="J18" i="39"/>
  <c r="K18" i="39"/>
  <c r="L18" i="39"/>
  <c r="M18" i="39"/>
  <c r="N18" i="39"/>
  <c r="O18" i="39"/>
  <c r="P18" i="39"/>
  <c r="Q18" i="39"/>
  <c r="R18" i="39"/>
  <c r="S18" i="39"/>
  <c r="T18" i="39"/>
  <c r="U18" i="39"/>
  <c r="V18" i="39"/>
  <c r="W18" i="39"/>
  <c r="X18" i="39"/>
  <c r="Y18" i="39"/>
  <c r="Z18" i="39"/>
  <c r="AA18" i="39"/>
  <c r="AB18" i="39"/>
  <c r="AC18" i="39"/>
  <c r="I19" i="39"/>
  <c r="J19" i="39"/>
  <c r="K19" i="39"/>
  <c r="L19" i="39"/>
  <c r="M19" i="39"/>
  <c r="N19" i="39"/>
  <c r="O19" i="39"/>
  <c r="P19" i="39"/>
  <c r="Q19" i="39"/>
  <c r="R19" i="39"/>
  <c r="S19" i="39"/>
  <c r="T19" i="39"/>
  <c r="U19" i="39"/>
  <c r="V19" i="39"/>
  <c r="W19" i="39"/>
  <c r="X19" i="39"/>
  <c r="Y19" i="39"/>
  <c r="Z19" i="39"/>
  <c r="AA19" i="39"/>
  <c r="AB19" i="39"/>
  <c r="AC19" i="39"/>
  <c r="J8" i="39"/>
  <c r="K8" i="39"/>
  <c r="L8" i="39"/>
  <c r="M8" i="39"/>
  <c r="N8" i="39"/>
  <c r="O8" i="39"/>
  <c r="P8" i="39"/>
  <c r="Q8" i="39"/>
  <c r="R8" i="39"/>
  <c r="S8" i="39"/>
  <c r="T8" i="39"/>
  <c r="U8" i="39"/>
  <c r="V8" i="39"/>
  <c r="W8" i="39"/>
  <c r="X8" i="39"/>
  <c r="Y8" i="39"/>
  <c r="Z8" i="39"/>
  <c r="AA8" i="39"/>
  <c r="AB8" i="39"/>
  <c r="AC8" i="39"/>
  <c r="I8" i="39"/>
  <c r="B9" i="39"/>
  <c r="C9" i="39"/>
  <c r="B10" i="39"/>
  <c r="C10" i="39"/>
  <c r="B11" i="39"/>
  <c r="C11" i="39"/>
  <c r="B12" i="39"/>
  <c r="C12" i="39"/>
  <c r="B13" i="39"/>
  <c r="C13" i="39"/>
  <c r="B14" i="39"/>
  <c r="C14" i="39"/>
  <c r="B15" i="39"/>
  <c r="C15" i="39"/>
  <c r="B16" i="39"/>
  <c r="C16" i="39"/>
  <c r="B17" i="39"/>
  <c r="C17" i="39"/>
  <c r="B18" i="39"/>
  <c r="C18" i="39"/>
  <c r="B19" i="39"/>
  <c r="C19" i="39"/>
  <c r="C8" i="39"/>
  <c r="B8" i="39"/>
  <c r="AN8" i="39" l="1"/>
  <c r="AD8" i="39"/>
  <c r="AD18" i="39"/>
  <c r="AD14" i="39"/>
  <c r="AD10" i="39"/>
  <c r="AD19" i="39"/>
  <c r="AD15" i="39"/>
  <c r="AD11" i="39"/>
  <c r="AD16" i="39"/>
  <c r="AD12" i="39"/>
  <c r="AD17" i="39"/>
  <c r="AD13" i="39"/>
  <c r="AD9" i="39"/>
  <c r="FA20" i="39"/>
  <c r="EW20" i="39"/>
  <c r="FI20" i="39"/>
  <c r="FG20" i="39"/>
  <c r="EH20" i="39"/>
  <c r="EB20" i="39"/>
  <c r="DN20" i="39"/>
  <c r="DB20" i="39"/>
  <c r="DF20" i="39"/>
  <c r="CS20" i="39"/>
  <c r="BR20" i="39"/>
  <c r="CD20" i="39"/>
  <c r="CL20" i="39"/>
  <c r="BX20" i="39"/>
  <c r="BM20" i="39"/>
  <c r="BH16" i="39"/>
  <c r="BH8" i="39"/>
  <c r="BH17" i="39"/>
  <c r="BH9" i="39"/>
  <c r="BH13" i="39"/>
  <c r="BH18" i="39"/>
  <c r="BH10" i="39"/>
  <c r="BH15" i="39"/>
  <c r="BH12" i="39"/>
  <c r="BH14" i="39"/>
  <c r="BH19" i="39"/>
  <c r="BH11" i="39"/>
  <c r="BG20" i="39"/>
  <c r="BF20" i="39"/>
  <c r="BE20" i="39"/>
  <c r="AY11" i="39"/>
  <c r="BD8" i="39"/>
  <c r="AQ20" i="39"/>
  <c r="BD9" i="39"/>
  <c r="AY16" i="39"/>
  <c r="AY12" i="39"/>
  <c r="BC20" i="39"/>
  <c r="BD18" i="39"/>
  <c r="BD16" i="39"/>
  <c r="BD14" i="39"/>
  <c r="BD12" i="39"/>
  <c r="BD10" i="39"/>
  <c r="BD15" i="39"/>
  <c r="AV18" i="39"/>
  <c r="AV10" i="39"/>
  <c r="BD19" i="39"/>
  <c r="BD17" i="39"/>
  <c r="BD13" i="39"/>
  <c r="BD11" i="39"/>
  <c r="AV11" i="39"/>
  <c r="AV19" i="39"/>
  <c r="AY17" i="39"/>
  <c r="AY13" i="39"/>
  <c r="AY9" i="39"/>
  <c r="AV12" i="39"/>
  <c r="AY8" i="39"/>
  <c r="AV8" i="39"/>
  <c r="AV13" i="39"/>
  <c r="AU20" i="39"/>
  <c r="AV14" i="39"/>
  <c r="AV15" i="39"/>
  <c r="AY19" i="39"/>
  <c r="AY15" i="39"/>
  <c r="AS20" i="39"/>
  <c r="AV16" i="39"/>
  <c r="AR20" i="39"/>
  <c r="AV17" i="39"/>
  <c r="AV9" i="39"/>
  <c r="AY18" i="39"/>
  <c r="AY14" i="39"/>
  <c r="AY10" i="39"/>
  <c r="AZ20" i="39"/>
  <c r="BB20" i="39"/>
  <c r="BA20" i="39"/>
  <c r="AT20" i="39"/>
  <c r="AP20" i="39"/>
  <c r="AO20" i="39"/>
  <c r="AX20" i="39"/>
  <c r="AW20" i="39"/>
  <c r="W20" i="39"/>
  <c r="O20" i="39"/>
  <c r="AH20" i="39"/>
  <c r="AG20" i="39"/>
  <c r="AF20" i="39"/>
  <c r="Z20" i="39"/>
  <c r="R20" i="39"/>
  <c r="J20" i="39"/>
  <c r="AM20" i="39"/>
  <c r="AK20" i="39"/>
  <c r="AL20" i="39"/>
  <c r="AJ20" i="39"/>
  <c r="AI20" i="39"/>
  <c r="AN16" i="39"/>
  <c r="AN15" i="39"/>
  <c r="AN14" i="39"/>
  <c r="AN13" i="39"/>
  <c r="AN12" i="39"/>
  <c r="AN19" i="39"/>
  <c r="AN11" i="39"/>
  <c r="AN18" i="39"/>
  <c r="AN10" i="39"/>
  <c r="AN17" i="39"/>
  <c r="AN9" i="39"/>
  <c r="AE20" i="39"/>
  <c r="Y20" i="39"/>
  <c r="Q20" i="39"/>
  <c r="AB20" i="39"/>
  <c r="T20" i="39"/>
  <c r="L20" i="39"/>
  <c r="AA20" i="39"/>
  <c r="X20" i="39"/>
  <c r="P20" i="39"/>
  <c r="V20" i="39"/>
  <c r="N20" i="39"/>
  <c r="AC20" i="39"/>
  <c r="U20" i="39"/>
  <c r="M20" i="39"/>
  <c r="S20" i="39"/>
  <c r="K20" i="39"/>
  <c r="I20" i="39"/>
  <c r="D10" i="39"/>
  <c r="H16" i="39"/>
  <c r="H15" i="39"/>
  <c r="H12" i="39"/>
  <c r="H17" i="39"/>
  <c r="H9" i="39"/>
  <c r="H13" i="39"/>
  <c r="D16" i="39"/>
  <c r="E20" i="39"/>
  <c r="H18" i="39"/>
  <c r="H10" i="39"/>
  <c r="G20" i="39"/>
  <c r="F20" i="39"/>
  <c r="D15" i="39"/>
  <c r="H14" i="39"/>
  <c r="H19" i="39"/>
  <c r="H11" i="39"/>
  <c r="D18" i="39"/>
  <c r="D14" i="39"/>
  <c r="D11" i="39"/>
  <c r="D19" i="39"/>
  <c r="D13" i="39"/>
  <c r="D9" i="39"/>
  <c r="D12" i="39"/>
  <c r="D17" i="39"/>
  <c r="B20" i="39"/>
  <c r="C20" i="39"/>
  <c r="JC18" i="39" l="1"/>
  <c r="JC16" i="39"/>
  <c r="JC9" i="39"/>
  <c r="JC17" i="39"/>
  <c r="JC12" i="39"/>
  <c r="JC13" i="39"/>
  <c r="JC19" i="39"/>
  <c r="JC11" i="39"/>
  <c r="JC10" i="39"/>
  <c r="JC14" i="39"/>
  <c r="JC15" i="39"/>
  <c r="FJ20" i="39"/>
  <c r="FK20" i="39"/>
  <c r="FL20" i="39"/>
  <c r="BH20" i="39"/>
  <c r="BD20" i="39"/>
  <c r="AY20" i="39"/>
  <c r="AV20" i="39"/>
  <c r="AN20" i="39"/>
  <c r="AD20" i="39"/>
  <c r="H20" i="39"/>
  <c r="KJ8" i="26"/>
  <c r="KJ17" i="26"/>
  <c r="KJ13" i="26"/>
  <c r="KJ9" i="26"/>
  <c r="KJ18" i="26"/>
  <c r="KJ14" i="26"/>
  <c r="KJ10" i="26"/>
  <c r="KJ19" i="26"/>
  <c r="KJ15" i="26"/>
  <c r="KJ11" i="26"/>
  <c r="KJ16" i="26"/>
  <c r="KJ12" i="26"/>
  <c r="IU12" i="26"/>
  <c r="IU16" i="26"/>
  <c r="IU15" i="26"/>
  <c r="IU18" i="26"/>
  <c r="IU10" i="26"/>
  <c r="IU13" i="26"/>
  <c r="IU8" i="26"/>
  <c r="IU19" i="26"/>
  <c r="IU11" i="26"/>
  <c r="IU14" i="26"/>
  <c r="IU17" i="26"/>
  <c r="IU9" i="26"/>
  <c r="GK19" i="26"/>
  <c r="GK18" i="26"/>
  <c r="GK17" i="26"/>
  <c r="GK16" i="26"/>
  <c r="GK15" i="26"/>
  <c r="GK14" i="26"/>
  <c r="GK13" i="26"/>
  <c r="GK12" i="26"/>
  <c r="GK9" i="26"/>
  <c r="GK10" i="26"/>
  <c r="GK11" i="26"/>
  <c r="GK8" i="26"/>
  <c r="FJ19" i="26"/>
  <c r="FJ18" i="26"/>
  <c r="FJ17" i="26"/>
  <c r="FJ16" i="26"/>
  <c r="FJ15" i="26"/>
  <c r="FJ14" i="26"/>
  <c r="FJ13" i="26"/>
  <c r="FJ12" i="26"/>
  <c r="FJ11" i="26"/>
  <c r="FJ9" i="26"/>
  <c r="FJ10" i="26"/>
  <c r="FJ8" i="26"/>
  <c r="EI16" i="26"/>
  <c r="EI12" i="26"/>
  <c r="EI19" i="26"/>
  <c r="EI15" i="26"/>
  <c r="EI11" i="26"/>
  <c r="EI18" i="26"/>
  <c r="EI14" i="26"/>
  <c r="EI10" i="26"/>
  <c r="EI17" i="26"/>
  <c r="EI13" i="26"/>
  <c r="EI9" i="26"/>
  <c r="CR8" i="26"/>
  <c r="CR18" i="26"/>
  <c r="CR10" i="26"/>
  <c r="CR17" i="26"/>
  <c r="CR9" i="26"/>
  <c r="CR11" i="26"/>
  <c r="CR12" i="26"/>
  <c r="CR14" i="26"/>
  <c r="CR19" i="26"/>
  <c r="CR16" i="26"/>
  <c r="CR13" i="26"/>
  <c r="CR15" i="26"/>
  <c r="CC17" i="26"/>
  <c r="CC9" i="26"/>
  <c r="CC11" i="26"/>
  <c r="CC14" i="26"/>
  <c r="CC12" i="26"/>
  <c r="CC8" i="26"/>
  <c r="CC16" i="26"/>
  <c r="CC15" i="26"/>
  <c r="CC18" i="26"/>
  <c r="CC10" i="26"/>
  <c r="CC13" i="26"/>
  <c r="CC19" i="26"/>
  <c r="BW13" i="26"/>
  <c r="BP8" i="26"/>
  <c r="BW18" i="26"/>
  <c r="BW10" i="26"/>
  <c r="BW19" i="26"/>
  <c r="BW11" i="26"/>
  <c r="BW12" i="26"/>
  <c r="BJ8" i="26"/>
  <c r="BW16" i="26"/>
  <c r="BW14" i="26"/>
  <c r="BW15" i="26"/>
  <c r="BW17" i="26"/>
  <c r="BW9" i="26"/>
  <c r="BP15" i="26"/>
  <c r="BP14" i="26"/>
  <c r="BP18" i="26"/>
  <c r="BP16" i="26"/>
  <c r="BP12" i="26"/>
  <c r="BP10" i="26"/>
  <c r="BP19" i="26"/>
  <c r="BP17" i="26"/>
  <c r="BP13" i="26"/>
  <c r="BP11" i="26"/>
  <c r="BP9" i="26"/>
  <c r="BC11" i="26"/>
  <c r="BC9" i="26"/>
  <c r="BJ9" i="26"/>
  <c r="BJ18" i="26"/>
  <c r="BJ14" i="26"/>
  <c r="BJ10" i="26"/>
  <c r="BC17" i="26"/>
  <c r="BJ19" i="26"/>
  <c r="BJ15" i="26"/>
  <c r="BJ11" i="26"/>
  <c r="BJ16" i="26"/>
  <c r="BJ12" i="26"/>
  <c r="BJ17" i="26"/>
  <c r="BJ13" i="26"/>
  <c r="BC8" i="26"/>
  <c r="BC15" i="26"/>
  <c r="BC12" i="26"/>
  <c r="BC19" i="26"/>
  <c r="BC18" i="26"/>
  <c r="BC16" i="26"/>
  <c r="BC14" i="26"/>
  <c r="BC13" i="26"/>
  <c r="BC10" i="26"/>
  <c r="AW8" i="26"/>
  <c r="AW18" i="26"/>
  <c r="AW16" i="26"/>
  <c r="AW14" i="26"/>
  <c r="AW12" i="26"/>
  <c r="AW10" i="26"/>
  <c r="AW19" i="26"/>
  <c r="AW17" i="26"/>
  <c r="AW15" i="26"/>
  <c r="AW13" i="26"/>
  <c r="AW11" i="26"/>
  <c r="AW9" i="26"/>
  <c r="AE8" i="43"/>
  <c r="KK19" i="26" l="1"/>
  <c r="KK11" i="26"/>
  <c r="KK15" i="26"/>
  <c r="KK16" i="26"/>
  <c r="KK18" i="26"/>
  <c r="KK12" i="26"/>
  <c r="KK17" i="26"/>
  <c r="KK13" i="26"/>
  <c r="KK10" i="26"/>
  <c r="KK9" i="26"/>
  <c r="KK14" i="26"/>
  <c r="KK8" i="26"/>
  <c r="GK20" i="26"/>
  <c r="FJ20" i="26"/>
  <c r="IA20" i="26"/>
  <c r="CC20" i="26"/>
  <c r="BP20" i="26"/>
  <c r="BJ20" i="26"/>
  <c r="CN20" i="26"/>
  <c r="BW20" i="26"/>
  <c r="CR20" i="26"/>
  <c r="HM20" i="26"/>
  <c r="KJ20" i="26"/>
  <c r="IU20" i="26"/>
  <c r="DH20" i="26"/>
  <c r="BC20" i="26"/>
  <c r="AW20" i="26"/>
  <c r="EI20" i="26"/>
  <c r="GY20" i="26"/>
  <c r="IG20" i="26"/>
  <c r="JR20" i="26"/>
  <c r="E8" i="43"/>
  <c r="M20" i="43"/>
  <c r="AE10" i="43"/>
  <c r="AE9" i="43"/>
  <c r="AE15" i="43"/>
  <c r="AE12" i="43"/>
  <c r="AA19" i="43"/>
  <c r="AA16" i="43"/>
  <c r="AA17" i="43"/>
  <c r="AA9" i="43"/>
  <c r="AA13" i="43"/>
  <c r="AA18" i="43"/>
  <c r="AA10" i="43"/>
  <c r="AA15" i="43"/>
  <c r="AA12" i="43"/>
  <c r="AA14" i="43"/>
  <c r="AA11" i="43"/>
  <c r="AE13" i="43"/>
  <c r="AE16" i="43"/>
  <c r="AE14" i="43"/>
  <c r="AE11" i="43"/>
  <c r="AE18" i="43"/>
  <c r="AE19" i="43"/>
  <c r="AE17" i="43"/>
  <c r="W18" i="43"/>
  <c r="W10" i="43"/>
  <c r="W14" i="43"/>
  <c r="W16" i="43"/>
  <c r="W19" i="43"/>
  <c r="W15" i="43"/>
  <c r="W12" i="43"/>
  <c r="Z20" i="43"/>
  <c r="S16" i="43"/>
  <c r="S14" i="43"/>
  <c r="S12" i="43"/>
  <c r="S10" i="43"/>
  <c r="W8" i="43"/>
  <c r="W17" i="43"/>
  <c r="W9" i="43"/>
  <c r="S13" i="43"/>
  <c r="S11" i="43"/>
  <c r="S9" i="43"/>
  <c r="W11" i="43"/>
  <c r="AC20" i="43"/>
  <c r="AD20" i="43"/>
  <c r="W13" i="43"/>
  <c r="AB20" i="43"/>
  <c r="S15" i="43"/>
  <c r="N16" i="43"/>
  <c r="AA8" i="43"/>
  <c r="Y20" i="43"/>
  <c r="X20" i="43"/>
  <c r="F20" i="43"/>
  <c r="N8" i="43"/>
  <c r="N18" i="43"/>
  <c r="N14" i="43"/>
  <c r="N12" i="43"/>
  <c r="N10" i="43"/>
  <c r="S8" i="43"/>
  <c r="S18" i="43"/>
  <c r="N19" i="43"/>
  <c r="N17" i="43"/>
  <c r="N15" i="43"/>
  <c r="N13" i="43"/>
  <c r="N11" i="43"/>
  <c r="N9" i="43"/>
  <c r="S17" i="43"/>
  <c r="P20" i="43"/>
  <c r="S19" i="43"/>
  <c r="O20" i="43"/>
  <c r="G20" i="43"/>
  <c r="H20" i="43"/>
  <c r="L20" i="43"/>
  <c r="R20" i="43"/>
  <c r="E11" i="43"/>
  <c r="E19" i="43"/>
  <c r="E16" i="43"/>
  <c r="I9" i="43"/>
  <c r="I10" i="43"/>
  <c r="E12" i="43"/>
  <c r="I17" i="43"/>
  <c r="I18" i="43"/>
  <c r="D20" i="43"/>
  <c r="U20" i="43"/>
  <c r="I16" i="43"/>
  <c r="C20" i="43"/>
  <c r="T20" i="43"/>
  <c r="J20" i="43"/>
  <c r="V20" i="43"/>
  <c r="E14" i="43"/>
  <c r="E15" i="43"/>
  <c r="K20" i="43"/>
  <c r="E10" i="43"/>
  <c r="I11" i="43"/>
  <c r="I12" i="43"/>
  <c r="I14" i="43"/>
  <c r="I15" i="43"/>
  <c r="E18" i="43"/>
  <c r="I19" i="43"/>
  <c r="E13" i="43"/>
  <c r="E9" i="43"/>
  <c r="Q20" i="43"/>
  <c r="I13" i="43"/>
  <c r="E17" i="43"/>
  <c r="I8" i="43"/>
  <c r="AP9" i="9"/>
  <c r="AQ9" i="9"/>
  <c r="AP10" i="9"/>
  <c r="AQ10" i="9"/>
  <c r="AP11" i="9"/>
  <c r="AQ11" i="9"/>
  <c r="AP12" i="9"/>
  <c r="AQ12" i="9"/>
  <c r="AP13" i="9"/>
  <c r="AQ13" i="9"/>
  <c r="AP14" i="9"/>
  <c r="AQ14" i="9"/>
  <c r="AP15" i="9"/>
  <c r="AQ15" i="9"/>
  <c r="AP16" i="9"/>
  <c r="AQ16" i="9"/>
  <c r="AP17" i="9"/>
  <c r="AQ17" i="9"/>
  <c r="AP18" i="9"/>
  <c r="AQ18" i="9"/>
  <c r="AP19" i="9"/>
  <c r="AQ19" i="9"/>
  <c r="AQ8" i="9"/>
  <c r="AP8" i="9"/>
  <c r="AA9" i="9"/>
  <c r="AB9" i="9"/>
  <c r="AC9" i="9"/>
  <c r="AD9" i="9"/>
  <c r="AE9" i="9"/>
  <c r="AF9" i="9"/>
  <c r="AG9" i="9"/>
  <c r="AH9" i="9"/>
  <c r="AI9" i="9"/>
  <c r="AJ9" i="9"/>
  <c r="AA10" i="9"/>
  <c r="AB10" i="9"/>
  <c r="AC10" i="9"/>
  <c r="AD10" i="9"/>
  <c r="AE10" i="9"/>
  <c r="AF10" i="9"/>
  <c r="AG10" i="9"/>
  <c r="AH10" i="9"/>
  <c r="AI10" i="9"/>
  <c r="AJ10" i="9"/>
  <c r="AA11" i="9"/>
  <c r="AB11" i="9"/>
  <c r="AC11" i="9"/>
  <c r="AD11" i="9"/>
  <c r="AE11" i="9"/>
  <c r="AF11" i="9"/>
  <c r="AG11" i="9"/>
  <c r="AH11" i="9"/>
  <c r="AI11" i="9"/>
  <c r="AJ11" i="9"/>
  <c r="AA12" i="9"/>
  <c r="AB12" i="9"/>
  <c r="AC12" i="9"/>
  <c r="AD12" i="9"/>
  <c r="AE12" i="9"/>
  <c r="AF12" i="9"/>
  <c r="AG12" i="9"/>
  <c r="AH12" i="9"/>
  <c r="AI12" i="9"/>
  <c r="AJ12" i="9"/>
  <c r="AA13" i="9"/>
  <c r="AB13" i="9"/>
  <c r="AC13" i="9"/>
  <c r="AD13" i="9"/>
  <c r="AE13" i="9"/>
  <c r="AF13" i="9"/>
  <c r="AG13" i="9"/>
  <c r="AH13" i="9"/>
  <c r="AI13" i="9"/>
  <c r="AJ13" i="9"/>
  <c r="AA14" i="9"/>
  <c r="AB14" i="9"/>
  <c r="AC14" i="9"/>
  <c r="AD14" i="9"/>
  <c r="AE14" i="9"/>
  <c r="AF14" i="9"/>
  <c r="AG14" i="9"/>
  <c r="AH14" i="9"/>
  <c r="AI14" i="9"/>
  <c r="AJ14" i="9"/>
  <c r="AA15" i="9"/>
  <c r="AB15" i="9"/>
  <c r="AC15" i="9"/>
  <c r="AD15" i="9"/>
  <c r="AE15" i="9"/>
  <c r="AF15" i="9"/>
  <c r="AG15" i="9"/>
  <c r="AH15" i="9"/>
  <c r="AI15" i="9"/>
  <c r="AJ15" i="9"/>
  <c r="AA16" i="9"/>
  <c r="AB16" i="9"/>
  <c r="AC16" i="9"/>
  <c r="AD16" i="9"/>
  <c r="AE16" i="9"/>
  <c r="AF16" i="9"/>
  <c r="AG16" i="9"/>
  <c r="AH16" i="9"/>
  <c r="AI16" i="9"/>
  <c r="AJ16" i="9"/>
  <c r="AA17" i="9"/>
  <c r="AB17" i="9"/>
  <c r="AC17" i="9"/>
  <c r="AD17" i="9"/>
  <c r="AE17" i="9"/>
  <c r="AF17" i="9"/>
  <c r="AG17" i="9"/>
  <c r="AH17" i="9"/>
  <c r="AI17" i="9"/>
  <c r="AJ17" i="9"/>
  <c r="AA18" i="9"/>
  <c r="AB18" i="9"/>
  <c r="AC18" i="9"/>
  <c r="AD18" i="9"/>
  <c r="AE18" i="9"/>
  <c r="AF18" i="9"/>
  <c r="AG18" i="9"/>
  <c r="AH18" i="9"/>
  <c r="AI18" i="9"/>
  <c r="AJ18" i="9"/>
  <c r="AA19" i="9"/>
  <c r="AB19" i="9"/>
  <c r="AC19" i="9"/>
  <c r="AD19" i="9"/>
  <c r="AE19" i="9"/>
  <c r="AF19" i="9"/>
  <c r="AG19" i="9"/>
  <c r="AH19" i="9"/>
  <c r="AI19" i="9"/>
  <c r="AJ19" i="9"/>
  <c r="AB8" i="9"/>
  <c r="AC8" i="9"/>
  <c r="AD8" i="9"/>
  <c r="AE8" i="9"/>
  <c r="AF8" i="9"/>
  <c r="AG8" i="9"/>
  <c r="AH8" i="9"/>
  <c r="AI8" i="9"/>
  <c r="AJ8" i="9"/>
  <c r="AA8" i="9"/>
  <c r="J8" i="9"/>
  <c r="Z8" i="9" s="1"/>
  <c r="B9" i="9"/>
  <c r="C9" i="9"/>
  <c r="D9" i="9"/>
  <c r="E9" i="9"/>
  <c r="F9" i="9"/>
  <c r="G9" i="9"/>
  <c r="H9" i="9"/>
  <c r="B10" i="9"/>
  <c r="C10" i="9"/>
  <c r="D10" i="9"/>
  <c r="E10" i="9"/>
  <c r="F10" i="9"/>
  <c r="G10" i="9"/>
  <c r="H10" i="9"/>
  <c r="B11" i="9"/>
  <c r="C11" i="9"/>
  <c r="D11" i="9"/>
  <c r="E11" i="9"/>
  <c r="F11" i="9"/>
  <c r="G11" i="9"/>
  <c r="H11" i="9"/>
  <c r="B12" i="9"/>
  <c r="C12" i="9"/>
  <c r="D12" i="9"/>
  <c r="E12" i="9"/>
  <c r="F12" i="9"/>
  <c r="G12" i="9"/>
  <c r="H12" i="9"/>
  <c r="B13" i="9"/>
  <c r="C13" i="9"/>
  <c r="D13" i="9"/>
  <c r="E13" i="9"/>
  <c r="F13" i="9"/>
  <c r="G13" i="9"/>
  <c r="H13" i="9"/>
  <c r="B14" i="9"/>
  <c r="C14" i="9"/>
  <c r="D14" i="9"/>
  <c r="E14" i="9"/>
  <c r="F14" i="9"/>
  <c r="G14" i="9"/>
  <c r="H14" i="9"/>
  <c r="B15" i="9"/>
  <c r="C15" i="9"/>
  <c r="D15" i="9"/>
  <c r="E15" i="9"/>
  <c r="F15" i="9"/>
  <c r="G15" i="9"/>
  <c r="H15" i="9"/>
  <c r="B16" i="9"/>
  <c r="C16" i="9"/>
  <c r="D16" i="9"/>
  <c r="E16" i="9"/>
  <c r="F16" i="9"/>
  <c r="G16" i="9"/>
  <c r="H16" i="9"/>
  <c r="B17" i="9"/>
  <c r="C17" i="9"/>
  <c r="D17" i="9"/>
  <c r="E17" i="9"/>
  <c r="F17" i="9"/>
  <c r="G17" i="9"/>
  <c r="H17" i="9"/>
  <c r="B18" i="9"/>
  <c r="C18" i="9"/>
  <c r="D18" i="9"/>
  <c r="E18" i="9"/>
  <c r="F18" i="9"/>
  <c r="G18" i="9"/>
  <c r="H18" i="9"/>
  <c r="B19" i="9"/>
  <c r="C19" i="9"/>
  <c r="D19" i="9"/>
  <c r="E19" i="9"/>
  <c r="F19" i="9"/>
  <c r="G19" i="9"/>
  <c r="H19" i="9"/>
  <c r="C8" i="9"/>
  <c r="D8" i="9"/>
  <c r="E8" i="9"/>
  <c r="F8" i="9"/>
  <c r="G8" i="9"/>
  <c r="H8" i="9"/>
  <c r="AF10" i="43" l="1"/>
  <c r="AF17" i="43"/>
  <c r="AF12" i="43"/>
  <c r="AF15" i="43"/>
  <c r="AF9" i="43"/>
  <c r="AF16" i="43"/>
  <c r="AF13" i="43"/>
  <c r="AF19" i="43"/>
  <c r="AF11" i="43"/>
  <c r="AF18" i="43"/>
  <c r="AF8" i="43"/>
  <c r="AF14" i="43"/>
  <c r="KK20" i="26"/>
  <c r="AA20" i="43"/>
  <c r="AE20" i="43"/>
  <c r="W20" i="43"/>
  <c r="N20" i="43"/>
  <c r="I20" i="43"/>
  <c r="S20" i="43"/>
  <c r="E20" i="43"/>
  <c r="AK18" i="9"/>
  <c r="AK14" i="9"/>
  <c r="AK10" i="9"/>
  <c r="AK17" i="9"/>
  <c r="AK13" i="9"/>
  <c r="AK9" i="9"/>
  <c r="AK8" i="9"/>
  <c r="AK16" i="9"/>
  <c r="AK12" i="9"/>
  <c r="AK19" i="9"/>
  <c r="AK15" i="9"/>
  <c r="AK11" i="9"/>
  <c r="AR12" i="9"/>
  <c r="AR13" i="9"/>
  <c r="AR8" i="9"/>
  <c r="AR19" i="9"/>
  <c r="AR15" i="9"/>
  <c r="AR11" i="9"/>
  <c r="AR18" i="9"/>
  <c r="AR14" i="9"/>
  <c r="AR10" i="9"/>
  <c r="AR17" i="9"/>
  <c r="AR9" i="9"/>
  <c r="AQ20" i="9"/>
  <c r="AR16" i="9"/>
  <c r="AP20" i="9"/>
  <c r="AJ20" i="9"/>
  <c r="AO11" i="9"/>
  <c r="AO13" i="9"/>
  <c r="AO12" i="9"/>
  <c r="AO9" i="9"/>
  <c r="AO19" i="9"/>
  <c r="AO16" i="9"/>
  <c r="AO8" i="9"/>
  <c r="AO18" i="9"/>
  <c r="AO10" i="9"/>
  <c r="AN20" i="9"/>
  <c r="AO15" i="9"/>
  <c r="AM20" i="9"/>
  <c r="AO17" i="9"/>
  <c r="AO14" i="9"/>
  <c r="AL20" i="9"/>
  <c r="N20" i="9"/>
  <c r="AG20" i="9"/>
  <c r="AF20" i="9"/>
  <c r="AH20" i="9"/>
  <c r="R20" i="9"/>
  <c r="AB20" i="9"/>
  <c r="AE20" i="9"/>
  <c r="AD20" i="9"/>
  <c r="AA20" i="9"/>
  <c r="AC20" i="9"/>
  <c r="AI20" i="9"/>
  <c r="Q20" i="9"/>
  <c r="P20" i="9"/>
  <c r="O20" i="9"/>
  <c r="K20" i="9"/>
  <c r="S20" i="9"/>
  <c r="AF20" i="43" l="1"/>
  <c r="AR20" i="9"/>
  <c r="AO20" i="9"/>
  <c r="AK20" i="9"/>
  <c r="Z20" i="9"/>
  <c r="C20" i="9"/>
  <c r="G20" i="9"/>
  <c r="D20" i="9"/>
  <c r="B20" i="9"/>
  <c r="H20" i="9"/>
  <c r="F20" i="9"/>
  <c r="E20" i="9"/>
  <c r="I18" i="9"/>
  <c r="I10" i="9"/>
  <c r="I19" i="9"/>
  <c r="I11" i="9"/>
  <c r="I12" i="9"/>
  <c r="I13" i="9"/>
  <c r="I8" i="9"/>
  <c r="I14" i="9"/>
  <c r="I15" i="9"/>
  <c r="I16" i="9"/>
  <c r="I17" i="9"/>
  <c r="I9" i="9"/>
  <c r="I20" i="9" l="1"/>
  <c r="AZ20" i="40" l="1"/>
  <c r="D8" i="39" l="1"/>
  <c r="JC8" i="39" s="1"/>
  <c r="JC20" i="39" l="1"/>
  <c r="D20" i="39"/>
  <c r="O6" i="35"/>
  <c r="O5" i="35"/>
  <c r="B6" i="7" l="1"/>
  <c r="G32" i="12" l="1"/>
  <c r="J20" i="9" l="1"/>
  <c r="AT11" i="9"/>
  <c r="AV9" i="9"/>
  <c r="AU18" i="9"/>
  <c r="AV19" i="9"/>
  <c r="AT18" i="9"/>
  <c r="AU11" i="9"/>
  <c r="AU12" i="9"/>
  <c r="AT12" i="9"/>
  <c r="AT9" i="9"/>
  <c r="AU14" i="9"/>
  <c r="AT10" i="9"/>
  <c r="AV13" i="9"/>
  <c r="AT16" i="9"/>
  <c r="AT13" i="9"/>
  <c r="AV17" i="9"/>
  <c r="AU15" i="9"/>
  <c r="AU19" i="9"/>
  <c r="AU10" i="9"/>
  <c r="AU17" i="9"/>
  <c r="AV18" i="9"/>
  <c r="AT15" i="9"/>
  <c r="AU13" i="9"/>
  <c r="AV14" i="9"/>
  <c r="AV10" i="9"/>
  <c r="AV16" i="9"/>
  <c r="AT19" i="9"/>
  <c r="AU16" i="9"/>
  <c r="AV11" i="9"/>
  <c r="AT14" i="9"/>
  <c r="AT17" i="9"/>
  <c r="AU9" i="9"/>
  <c r="AV15" i="9"/>
  <c r="AV12" i="9"/>
  <c r="BG18" i="9"/>
  <c r="BL15" i="9"/>
  <c r="BI10" i="9"/>
  <c r="BJ12" i="9"/>
  <c r="BL13" i="9"/>
  <c r="BL16" i="9"/>
  <c r="BH16" i="9"/>
  <c r="BG14" i="9"/>
  <c r="BI13" i="9"/>
  <c r="BL18" i="9"/>
  <c r="BJ15" i="9"/>
  <c r="BJ18" i="9"/>
  <c r="BJ10" i="9"/>
  <c r="BG19" i="9"/>
  <c r="BI15" i="9"/>
  <c r="BG12" i="9"/>
  <c r="BG15" i="9"/>
  <c r="BH12" i="9"/>
  <c r="BH11" i="9"/>
  <c r="BH19" i="9"/>
  <c r="BL11" i="9"/>
  <c r="BG17" i="9"/>
  <c r="BH9" i="9"/>
  <c r="BG11" i="9"/>
  <c r="BI9" i="9"/>
  <c r="BL14" i="9"/>
  <c r="BH10" i="9"/>
  <c r="BH13" i="9"/>
  <c r="BH18" i="9"/>
  <c r="BG16" i="9"/>
  <c r="BI18" i="9"/>
  <c r="BH14" i="9"/>
  <c r="BJ14" i="9"/>
  <c r="BJ17" i="9"/>
  <c r="BL19" i="9"/>
  <c r="BJ13" i="9"/>
  <c r="BJ19" i="9"/>
  <c r="BG13" i="9"/>
  <c r="BI16" i="9"/>
  <c r="BI19" i="9"/>
  <c r="BJ16" i="9"/>
  <c r="BL10" i="9"/>
  <c r="BL9" i="9"/>
  <c r="BG10" i="9"/>
  <c r="BJ9" i="9"/>
  <c r="BG9" i="9"/>
  <c r="BI14" i="9"/>
  <c r="BI17" i="9"/>
  <c r="BH17" i="9"/>
  <c r="BI11" i="9"/>
  <c r="BL12" i="9"/>
  <c r="BL17" i="9"/>
  <c r="BH15" i="9"/>
  <c r="BJ11" i="9"/>
  <c r="BI12" i="9"/>
  <c r="BE17" i="9"/>
  <c r="AV8" i="9"/>
  <c r="AU8" i="9"/>
  <c r="AS10" i="9"/>
  <c r="AS16" i="9"/>
  <c r="BF10" i="9"/>
  <c r="BF13" i="9"/>
  <c r="BE12" i="9"/>
  <c r="BF18" i="9"/>
  <c r="BE13" i="9"/>
  <c r="BA20" i="9"/>
  <c r="AS11" i="9"/>
  <c r="AS15" i="9"/>
  <c r="AS14" i="9"/>
  <c r="AT8" i="9"/>
  <c r="AS18" i="9"/>
  <c r="BF12" i="9"/>
  <c r="BB20" i="9"/>
  <c r="BF11" i="9"/>
  <c r="AS17" i="9"/>
  <c r="BF14" i="9"/>
  <c r="BF9" i="9"/>
  <c r="BF16" i="9"/>
  <c r="BE9" i="9"/>
  <c r="AS9" i="9"/>
  <c r="AS8" i="9"/>
  <c r="BD8" i="9"/>
  <c r="BC20" i="9"/>
  <c r="AS12" i="9"/>
  <c r="BE14" i="9"/>
  <c r="BE19" i="9"/>
  <c r="AS13" i="9"/>
  <c r="BE10" i="9"/>
  <c r="BF15" i="9"/>
  <c r="AS19" i="9"/>
  <c r="BF17" i="9"/>
  <c r="BF8" i="9"/>
  <c r="BM8" i="9" s="1"/>
  <c r="BE18" i="9"/>
  <c r="BF19" i="9"/>
  <c r="BM11" i="9" l="1"/>
  <c r="BM16" i="9"/>
  <c r="BM10" i="9"/>
  <c r="BM12" i="9"/>
  <c r="BM17" i="9"/>
  <c r="BM15" i="9"/>
  <c r="BM9" i="9"/>
  <c r="BM14" i="9"/>
  <c r="BM18" i="9"/>
  <c r="BM19" i="9"/>
  <c r="BM13" i="9"/>
  <c r="AW13" i="9"/>
  <c r="AW10" i="9"/>
  <c r="AU20" i="9"/>
  <c r="AW11" i="9"/>
  <c r="AW9" i="9"/>
  <c r="AW12" i="9"/>
  <c r="AW17" i="9"/>
  <c r="AV20" i="9"/>
  <c r="AW19" i="9"/>
  <c r="AW14" i="9"/>
  <c r="BI20" i="9"/>
  <c r="AW15" i="9"/>
  <c r="BL20" i="9"/>
  <c r="BG20" i="9"/>
  <c r="BJ20" i="9"/>
  <c r="AW16" i="9"/>
  <c r="BD20" i="9"/>
  <c r="BH20" i="9"/>
  <c r="AW18" i="9"/>
  <c r="BE8" i="9"/>
  <c r="AZ20" i="9"/>
  <c r="AY20" i="9"/>
  <c r="BE15" i="9"/>
  <c r="AW8" i="9"/>
  <c r="AS20" i="9"/>
  <c r="BE16" i="9"/>
  <c r="BE11" i="9"/>
  <c r="AT20" i="9"/>
  <c r="BF20" i="9"/>
  <c r="AX20" i="9"/>
  <c r="BN8" i="9" l="1"/>
  <c r="BN10" i="9"/>
  <c r="BN12" i="9"/>
  <c r="BN17" i="9"/>
  <c r="BN15" i="9"/>
  <c r="BN13" i="9"/>
  <c r="BN11" i="9"/>
  <c r="BN14" i="9"/>
  <c r="BN19" i="9"/>
  <c r="BN9" i="9"/>
  <c r="BN16" i="9"/>
  <c r="BN18" i="9"/>
  <c r="BM20" i="9"/>
  <c r="AW20" i="9"/>
  <c r="BE20" i="9"/>
  <c r="BN20" i="9" l="1"/>
</calcChain>
</file>

<file path=xl/sharedStrings.xml><?xml version="1.0" encoding="utf-8"?>
<sst xmlns="http://schemas.openxmlformats.org/spreadsheetml/2006/main" count="2476" uniqueCount="855">
  <si>
    <t>Yes</t>
  </si>
  <si>
    <t>Yes_NA</t>
  </si>
  <si>
    <t>Yes_No</t>
  </si>
  <si>
    <t>N_A</t>
  </si>
  <si>
    <t>Intrapart</t>
  </si>
  <si>
    <t>Souture</t>
  </si>
  <si>
    <t>Postnatal</t>
  </si>
  <si>
    <t>Throughout</t>
  </si>
  <si>
    <t>Near_Miss</t>
  </si>
  <si>
    <t>Any_Health</t>
  </si>
  <si>
    <t>Y_N_Unk</t>
  </si>
  <si>
    <t>Program</t>
  </si>
  <si>
    <t>Disclosed</t>
  </si>
  <si>
    <t>Med_Pre_cons</t>
  </si>
  <si>
    <t>Referred_by</t>
  </si>
  <si>
    <t>Reason_Referral</t>
  </si>
  <si>
    <t>Poles</t>
  </si>
  <si>
    <t>Community</t>
  </si>
  <si>
    <t>Status</t>
  </si>
  <si>
    <t>First_Contact</t>
  </si>
  <si>
    <t>Eligible</t>
  </si>
  <si>
    <t>First_Appointment</t>
  </si>
  <si>
    <t>Never_Seen</t>
  </si>
  <si>
    <t>Tobacco_Use</t>
  </si>
  <si>
    <t>Sub_Use</t>
  </si>
  <si>
    <t>BMI</t>
  </si>
  <si>
    <t>CE_CLE</t>
  </si>
  <si>
    <t>Place_of_birth</t>
  </si>
  <si>
    <t>Teachings_Support</t>
  </si>
  <si>
    <t>Period</t>
  </si>
  <si>
    <t>Period
start</t>
  </si>
  <si>
    <t>Period
end</t>
  </si>
  <si>
    <t>Gender</t>
  </si>
  <si>
    <t xml:space="preserve">Pregnancy Loss </t>
  </si>
  <si>
    <t>C_Section</t>
  </si>
  <si>
    <t>P_VBAC</t>
  </si>
  <si>
    <t>High_Risk</t>
  </si>
  <si>
    <t>GDM</t>
  </si>
  <si>
    <t>Anemia</t>
  </si>
  <si>
    <t>STBBIs</t>
  </si>
  <si>
    <t>Refererral_To_Other</t>
  </si>
  <si>
    <t>Consultation_1</t>
  </si>
  <si>
    <t>Cons_Made</t>
  </si>
  <si>
    <t>Telehealth</t>
  </si>
  <si>
    <t>Share_Care</t>
  </si>
  <si>
    <t>Pre_Transfer</t>
  </si>
  <si>
    <t>Transfer_To</t>
  </si>
  <si>
    <t>Care_Ending</t>
  </si>
  <si>
    <t>MSP</t>
  </si>
  <si>
    <t>monthsStr</t>
  </si>
  <si>
    <t>monthStart</t>
  </si>
  <si>
    <t>monthEnd</t>
  </si>
  <si>
    <t>Mois</t>
  </si>
  <si>
    <t>Other_Transfer</t>
  </si>
  <si>
    <t>PPOB</t>
  </si>
  <si>
    <t>Birth_Location</t>
  </si>
  <si>
    <t>Actual_Place</t>
  </si>
  <si>
    <t>Delivery_Mode</t>
  </si>
  <si>
    <t>Birth_Position</t>
  </si>
  <si>
    <t>GBS_Status</t>
  </si>
  <si>
    <t>GBS_ATB</t>
  </si>
  <si>
    <t>Anesthesia</t>
  </si>
  <si>
    <t>Pain_Medication</t>
  </si>
  <si>
    <t>Fetal_IA</t>
  </si>
  <si>
    <t>Fetal_EFM</t>
  </si>
  <si>
    <t>Assisted_vaginale_Birth</t>
  </si>
  <si>
    <t>Episiotomy</t>
  </si>
  <si>
    <t>Perineal_Lacerations</t>
  </si>
  <si>
    <t>Other_Lacerations</t>
  </si>
  <si>
    <t>Blood_Lost</t>
  </si>
  <si>
    <t>Active_Management</t>
  </si>
  <si>
    <t>Blood_Transfusion</t>
  </si>
  <si>
    <t>Shoulder_Dys</t>
  </si>
  <si>
    <t>Neonatal_Vent</t>
  </si>
  <si>
    <t>Neonatal_Chest</t>
  </si>
  <si>
    <t>Ventilation</t>
  </si>
  <si>
    <t>Chest_Comp</t>
  </si>
  <si>
    <t>Feeding_Type</t>
  </si>
  <si>
    <t>Placenta</t>
  </si>
  <si>
    <t>How_Many_wives</t>
  </si>
  <si>
    <t>Birth_Assistant</t>
  </si>
  <si>
    <t>Reason_Intrapartum_Consult</t>
  </si>
  <si>
    <t>Consult_Made</t>
  </si>
  <si>
    <t>Reason _For_Intrapartum_Transfer</t>
  </si>
  <si>
    <t>Intrapartum_Transfer_To</t>
  </si>
  <si>
    <t>Medical_Evac</t>
  </si>
  <si>
    <t>Incubator</t>
  </si>
  <si>
    <t>Mother_Consult</t>
  </si>
  <si>
    <t>Baby_transfer</t>
  </si>
  <si>
    <t>Feeding_Last</t>
  </si>
  <si>
    <t>Maternal_Post_Cons</t>
  </si>
  <si>
    <t>New_Born_Cons</t>
  </si>
  <si>
    <t>Maternal_Transfer_To</t>
  </si>
  <si>
    <t>Reason_Transfer</t>
  </si>
  <si>
    <t>Reason_Consultation</t>
  </si>
  <si>
    <t>Reason_Pernatal_Transfer</t>
  </si>
  <si>
    <t>Non-Cree</t>
  </si>
  <si>
    <t>Midwifery</t>
  </si>
  <si>
    <t>Self-referral</t>
  </si>
  <si>
    <t>Information request</t>
  </si>
  <si>
    <t>Chisasibi</t>
  </si>
  <si>
    <t>Indigenous; Cree</t>
  </si>
  <si>
    <t>&lt;12 weeks</t>
  </si>
  <si>
    <t>Early pregnancy loss</t>
  </si>
  <si>
    <t>No</t>
  </si>
  <si>
    <t>BMI&lt;30</t>
  </si>
  <si>
    <t>Screening Declined</t>
  </si>
  <si>
    <t>Chisasibi/Birth Home</t>
  </si>
  <si>
    <t>Yes; Trainee</t>
  </si>
  <si>
    <t>M - Male</t>
  </si>
  <si>
    <t>None</t>
  </si>
  <si>
    <t xml:space="preserve">No </t>
  </si>
  <si>
    <t>Declined screening</t>
  </si>
  <si>
    <t xml:space="preserve">None </t>
  </si>
  <si>
    <t>N/A</t>
  </si>
  <si>
    <t>BA</t>
  </si>
  <si>
    <t>Eeyou Istchee</t>
  </si>
  <si>
    <t>Eeyou Istchee; Eeyou Istchee</t>
  </si>
  <si>
    <t>Chisasibi; birth home </t>
  </si>
  <si>
    <t>SVD; Cephalic </t>
  </si>
  <si>
    <t>All fours</t>
  </si>
  <si>
    <t>Positive</t>
  </si>
  <si>
    <t>None </t>
  </si>
  <si>
    <t>&lt;500mL</t>
  </si>
  <si>
    <t>Maternal</t>
  </si>
  <si>
    <t>Kept by family</t>
  </si>
  <si>
    <t>One</t>
  </si>
  <si>
    <t>No Intrapartum Medical Consultation</t>
  </si>
  <si>
    <t>No Intrapartum Medical Transfer</t>
  </si>
  <si>
    <t>N/A </t>
  </si>
  <si>
    <t>Ni</t>
  </si>
  <si>
    <t>Exclusive breastfeeding</t>
  </si>
  <si>
    <t>Epidural</t>
  </si>
  <si>
    <t>HBP</t>
  </si>
  <si>
    <t>&gt;42 weeks</t>
  </si>
  <si>
    <t>Midwife trainee</t>
  </si>
  <si>
    <t>Complete Midwifery Care</t>
  </si>
  <si>
    <t>Mistissini</t>
  </si>
  <si>
    <t>Eastmain</t>
  </si>
  <si>
    <t>Indigenous; non-Cree</t>
  </si>
  <si>
    <t>Never reached</t>
  </si>
  <si>
    <t>12 to 20 weeks</t>
  </si>
  <si>
    <t>Termination of pregnancy</t>
  </si>
  <si>
    <t>Alcohol</t>
  </si>
  <si>
    <t>BMI 30 to 35</t>
  </si>
  <si>
    <t>Non-Carrier</t>
  </si>
  <si>
    <t>Val d'Or</t>
  </si>
  <si>
    <t>Yes; Elder</t>
  </si>
  <si>
    <t>F - Female</t>
  </si>
  <si>
    <t>Yes, before 20 weeks</t>
  </si>
  <si>
    <t>Yes; 1</t>
  </si>
  <si>
    <t>Yes; Calcium-ASA prescribed</t>
  </si>
  <si>
    <t>Yes 100-109g/L</t>
  </si>
  <si>
    <t xml:space="preserve">Nutritionist </t>
  </si>
  <si>
    <t>Abnormal Pap Test</t>
  </si>
  <si>
    <t>Family Physician</t>
  </si>
  <si>
    <t xml:space="preserve">N/A </t>
  </si>
  <si>
    <t>VBAC</t>
  </si>
  <si>
    <t>Yes; client moved elsewhere</t>
  </si>
  <si>
    <t>Partner/Mother</t>
  </si>
  <si>
    <t>South</t>
  </si>
  <si>
    <t>Eeyou Istchee; South</t>
  </si>
  <si>
    <t>Chisasibi; private home </t>
  </si>
  <si>
    <t>SVD; Breech </t>
  </si>
  <si>
    <t>DD</t>
  </si>
  <si>
    <t>Negative</t>
  </si>
  <si>
    <t>Fentanyl</t>
  </si>
  <si>
    <t>Declined </t>
  </si>
  <si>
    <t>Yes; abnormal fetal heart rate </t>
  </si>
  <si>
    <t>Yes; 1st degree</t>
  </si>
  <si>
    <t>Periurethral </t>
  </si>
  <si>
    <t>&gt;500 mL &lt;1000 mL</t>
  </si>
  <si>
    <t>No; Physiological management</t>
  </si>
  <si>
    <t>Yes; urgent, symptomatic</t>
  </si>
  <si>
    <t>Yes; 1 maneuver </t>
  </si>
  <si>
    <r>
      <t>Free O</t>
    </r>
    <r>
      <rPr>
        <vertAlign val="subscript"/>
        <sz val="10"/>
        <rFont val="Calibri"/>
        <family val="2"/>
        <scheme val="minor"/>
      </rPr>
      <t>2 </t>
    </r>
  </si>
  <si>
    <t>Yes </t>
  </si>
  <si>
    <t>Formula</t>
  </si>
  <si>
    <t>Left for Collective Ceremony</t>
  </si>
  <si>
    <t>Two</t>
  </si>
  <si>
    <t>No; client declined</t>
  </si>
  <si>
    <t xml:space="preserve">Prescription of antibiotics </t>
  </si>
  <si>
    <t>Local Family Physician</t>
  </si>
  <si>
    <t>Preterm labor before 34 wk</t>
  </si>
  <si>
    <t>Chisasibi; hospital </t>
  </si>
  <si>
    <t>Yes; Medevac</t>
  </si>
  <si>
    <t>Yes; in the Community</t>
  </si>
  <si>
    <t>nPelvic floor physio</t>
  </si>
  <si>
    <t>Mixed</t>
  </si>
  <si>
    <t>Placenta retention</t>
  </si>
  <si>
    <t>Chorioamniontis</t>
  </si>
  <si>
    <t>Unknown</t>
  </si>
  <si>
    <t xml:space="preserve">Birth assistant </t>
  </si>
  <si>
    <t>Prenatal Care</t>
  </si>
  <si>
    <t>Waskaganish</t>
  </si>
  <si>
    <t xml:space="preserve">Non-Indigenous </t>
  </si>
  <si>
    <t>Shared Care</t>
  </si>
  <si>
    <t xml:space="preserve">&gt;20 weeks </t>
  </si>
  <si>
    <t>Never came to appointments</t>
  </si>
  <si>
    <t>Drugs</t>
  </si>
  <si>
    <t>BMI 36-40</t>
  </si>
  <si>
    <t>One parent carrier</t>
  </si>
  <si>
    <t>Chisasibi/hospital</t>
  </si>
  <si>
    <t>Yes; Trainee and Elder</t>
  </si>
  <si>
    <t>O - Other</t>
  </si>
  <si>
    <t>Yes, after 20 weeks</t>
  </si>
  <si>
    <t>Yes; 2</t>
  </si>
  <si>
    <t xml:space="preserve">Yes: ASA-Calcium declined </t>
  </si>
  <si>
    <t>Yes; controlled with diet</t>
  </si>
  <si>
    <t>Yes 70-100g/L</t>
  </si>
  <si>
    <t>Chlamydia</t>
  </si>
  <si>
    <t>Community Worker</t>
  </si>
  <si>
    <t>Allergy</t>
  </si>
  <si>
    <t>Val d'Or OBS/GYN</t>
  </si>
  <si>
    <t>Once</t>
  </si>
  <si>
    <t>Metformin</t>
  </si>
  <si>
    <t>Breech</t>
  </si>
  <si>
    <t>Yes; client personal choice</t>
  </si>
  <si>
    <t>Partner</t>
  </si>
  <si>
    <t>South; South</t>
  </si>
  <si>
    <t>Chisasibi; traditional dwelling </t>
  </si>
  <si>
    <t>IVD; midwife</t>
  </si>
  <si>
    <t>LLD</t>
  </si>
  <si>
    <t>Declined</t>
  </si>
  <si>
    <t>Spinal</t>
  </si>
  <si>
    <t>Nitrous Oxide</t>
  </si>
  <si>
    <t>AI; normal </t>
  </si>
  <si>
    <t>EFM; normal </t>
  </si>
  <si>
    <t>Yes; arrest of descent </t>
  </si>
  <si>
    <t>Yes; shoulder dystocia </t>
  </si>
  <si>
    <t>Yes; 2nd degree</t>
  </si>
  <si>
    <t>Vaginal </t>
  </si>
  <si>
    <t>&gt;1000 mL &lt;1500 mL</t>
  </si>
  <si>
    <t>Yes; 3UI Synto IV</t>
  </si>
  <si>
    <t>Yes; non-urgent, based on Hb</t>
  </si>
  <si>
    <t>Yes; 2 maneuvers </t>
  </si>
  <si>
    <t>CPAP </t>
  </si>
  <si>
    <t>Yes; Epinephrine </t>
  </si>
  <si>
    <t>Mixt</t>
  </si>
  <si>
    <t>Sent to the Lab</t>
  </si>
  <si>
    <t>Three</t>
  </si>
  <si>
    <t>No; other reason</t>
  </si>
  <si>
    <t>Prescription of Tranexamic Acid</t>
  </si>
  <si>
    <t>Presentation other than vertex</t>
  </si>
  <si>
    <t>Val d'Or; hospital </t>
  </si>
  <si>
    <t>Yes; Challenger</t>
  </si>
  <si>
    <t>Val d'Or Pediatrician</t>
  </si>
  <si>
    <t>Other</t>
  </si>
  <si>
    <t>PPH</t>
  </si>
  <si>
    <t>PCCR</t>
  </si>
  <si>
    <t xml:space="preserve">Birth Preparation </t>
  </si>
  <si>
    <t>Nemaska</t>
  </si>
  <si>
    <t>Postpartum</t>
  </si>
  <si>
    <t>Declines Midwifery care</t>
  </si>
  <si>
    <t>Drugs &amp; Alcohol</t>
  </si>
  <si>
    <t>BMI 41-50</t>
  </si>
  <si>
    <t>Both parents carrier</t>
  </si>
  <si>
    <t>Chisasibi/Boarding Home</t>
  </si>
  <si>
    <t>Yes; 3</t>
  </si>
  <si>
    <t>Yes; controlled with metformin</t>
  </si>
  <si>
    <t xml:space="preserve">Yes&lt;70g/L </t>
  </si>
  <si>
    <t>Gonorrhea</t>
  </si>
  <si>
    <t xml:space="preserve">Mental Health Team </t>
  </si>
  <si>
    <t>Bleeding &gt;20wks</t>
  </si>
  <si>
    <t>Chibougamau OBS/GYN</t>
  </si>
  <si>
    <t>More than once</t>
  </si>
  <si>
    <t>Insulin</t>
  </si>
  <si>
    <t>Ectopic</t>
  </si>
  <si>
    <t>Yes; transfer of care</t>
  </si>
  <si>
    <t>Partner/Gokum</t>
  </si>
  <si>
    <t>IVD; medical</t>
  </si>
  <si>
    <t>RLD</t>
  </si>
  <si>
    <t>General</t>
  </si>
  <si>
    <t>AI; abnormal </t>
  </si>
  <si>
    <t>EFM; atypical </t>
  </si>
  <si>
    <t>Yes; other reason </t>
  </si>
  <si>
    <t xml:space="preserve">Yes; breech </t>
  </si>
  <si>
    <t>Yes; 3rd degree</t>
  </si>
  <si>
    <t>Cervical </t>
  </si>
  <si>
    <t>&gt;1500 mL &lt;2000mL</t>
  </si>
  <si>
    <t>Yes; 10UI Synto IM</t>
  </si>
  <si>
    <t>Yes; 3 maneuvers </t>
  </si>
  <si>
    <t>VPP; Mask </t>
  </si>
  <si>
    <t>Sent to Biohazard</t>
  </si>
  <si>
    <t>Fourth</t>
  </si>
  <si>
    <t xml:space="preserve">Preterm labor (34 to 36,6 wk) </t>
  </si>
  <si>
    <t>Val d'Or Family Physician</t>
  </si>
  <si>
    <t>Multiple gestation</t>
  </si>
  <si>
    <t>Chibougamau; hospital </t>
  </si>
  <si>
    <t>Chibougamau Pediatrician</t>
  </si>
  <si>
    <t>Placenta Abruptio</t>
  </si>
  <si>
    <t>PPROM</t>
  </si>
  <si>
    <t>Fetal Distress</t>
  </si>
  <si>
    <t>Nurse</t>
  </si>
  <si>
    <t>Birth in Chisasibi</t>
  </si>
  <si>
    <t>Oujé-Bougoumou</t>
  </si>
  <si>
    <t>Non-pregnant</t>
  </si>
  <si>
    <t xml:space="preserve">Moved elsewhere </t>
  </si>
  <si>
    <t>BMI&gt;50</t>
  </si>
  <si>
    <r>
      <t>Yes</t>
    </r>
    <r>
      <rPr>
        <sz val="10"/>
        <rFont val="Calibri"/>
        <family val="2"/>
      </rPr>
      <t>&gt;</t>
    </r>
    <r>
      <rPr>
        <sz val="10"/>
        <rFont val="Arial"/>
        <family val="2"/>
      </rPr>
      <t>3</t>
    </r>
  </si>
  <si>
    <t>Yes; 4</t>
  </si>
  <si>
    <t>Yes; needed insulin</t>
  </si>
  <si>
    <t>Chlamydia &amp; Gonorrhea</t>
  </si>
  <si>
    <t xml:space="preserve">Social Worker </t>
  </si>
  <si>
    <t>Fetal Anomaly</t>
  </si>
  <si>
    <t>Montreal OBS/GYN</t>
  </si>
  <si>
    <t>Gatineau OBS/GYN</t>
  </si>
  <si>
    <t>Mother/Partner</t>
  </si>
  <si>
    <t>Waskaganish; birth home </t>
  </si>
  <si>
    <t>AVD: forceps </t>
  </si>
  <si>
    <t>Semi-Seated</t>
  </si>
  <si>
    <t>EFM; abnormal</t>
  </si>
  <si>
    <t>Yes; resistant perineum </t>
  </si>
  <si>
    <t>Yes; 4th degree</t>
  </si>
  <si>
    <t>Periurethral; Vaginal </t>
  </si>
  <si>
    <t>&gt;2000mL</t>
  </si>
  <si>
    <t>Yes; 100mcg Carbetocin IM</t>
  </si>
  <si>
    <r>
      <t xml:space="preserve">Yes; </t>
    </r>
    <r>
      <rPr>
        <sz val="10"/>
        <rFont val="Calibri"/>
        <family val="2"/>
      </rPr>
      <t xml:space="preserve">&gt; </t>
    </r>
    <r>
      <rPr>
        <sz val="10"/>
        <rFont val="Calibri"/>
        <family val="2"/>
        <scheme val="minor"/>
      </rPr>
      <t>3 maneuvers </t>
    </r>
  </si>
  <si>
    <t>VPP; LMA </t>
  </si>
  <si>
    <t>Five</t>
  </si>
  <si>
    <t xml:space="preserve">Labour begins after 42 weeks </t>
  </si>
  <si>
    <t>Intrauterine death</t>
  </si>
  <si>
    <t>Montreal; hospital </t>
  </si>
  <si>
    <t>Yes for high BP</t>
  </si>
  <si>
    <t>Montreal Pediatrician</t>
  </si>
  <si>
    <t>PPH Unresponsive to treatment</t>
  </si>
  <si>
    <t>Prolonged latency, epidural and fentanyl during latency</t>
  </si>
  <si>
    <t>Fetal Malpresentation</t>
  </si>
  <si>
    <t>Doctor</t>
  </si>
  <si>
    <t>Birth in Waskaganish</t>
  </si>
  <si>
    <t xml:space="preserve">Never seen </t>
  </si>
  <si>
    <t>Unknow</t>
  </si>
  <si>
    <t>Weight check declined</t>
  </si>
  <si>
    <t>Yes; ≥ 5</t>
  </si>
  <si>
    <t>Syphilis</t>
  </si>
  <si>
    <t>Physiotherapist</t>
  </si>
  <si>
    <t>Genetics</t>
  </si>
  <si>
    <t>Other OBS/GYN</t>
  </si>
  <si>
    <t>Irregular antibodies</t>
  </si>
  <si>
    <t>Partner/Friend</t>
  </si>
  <si>
    <t>Waskaganish; private home </t>
  </si>
  <si>
    <t>AVD: vacuum  </t>
  </si>
  <si>
    <t>Squatting</t>
  </si>
  <si>
    <t>Yes; other reason</t>
  </si>
  <si>
    <t>Vaginal; Cervical </t>
  </si>
  <si>
    <t>Yes; 3UI Synto IV + 1g TXA</t>
  </si>
  <si>
    <t>VPP; Intubation </t>
  </si>
  <si>
    <t>Six</t>
  </si>
  <si>
    <t>Prolonged rupture of membranes</t>
  </si>
  <si>
    <t>Chibougamau Family Physician</t>
  </si>
  <si>
    <t xml:space="preserve">Vasa praevia </t>
  </si>
  <si>
    <t>Quebec; hospital </t>
  </si>
  <si>
    <t>Yes for MH</t>
  </si>
  <si>
    <t>Other Medical Professional</t>
  </si>
  <si>
    <t>Preterm Labor</t>
  </si>
  <si>
    <t>Prolonged rupture of membranes and not in active labor</t>
  </si>
  <si>
    <t>Midwife</t>
  </si>
  <si>
    <t>Birth in Mistissini</t>
  </si>
  <si>
    <t>Waswanipi</t>
  </si>
  <si>
    <t>N/A   </t>
  </si>
  <si>
    <t>HIV</t>
  </si>
  <si>
    <t>High blood glucose</t>
  </si>
  <si>
    <t>Montreal Genetics</t>
  </si>
  <si>
    <t xml:space="preserve">IUGR </t>
  </si>
  <si>
    <t>Hyperemesis</t>
  </si>
  <si>
    <t>Daughter</t>
  </si>
  <si>
    <t>Waskaganish; traditional dwelling </t>
  </si>
  <si>
    <t>C-Section  </t>
  </si>
  <si>
    <t>Standing up</t>
  </si>
  <si>
    <t>Periurethral; Vaginal; Cervical </t>
  </si>
  <si>
    <t>Yes; 3UI Synto IV + 200mcg Miso</t>
  </si>
  <si>
    <t>Prolonged Latency</t>
  </si>
  <si>
    <t xml:space="preserve">Cord </t>
  </si>
  <si>
    <t>Other location </t>
  </si>
  <si>
    <t>PROM</t>
  </si>
  <si>
    <t>Retained placenta</t>
  </si>
  <si>
    <t>IUFD</t>
  </si>
  <si>
    <t>Postpartum Care</t>
  </si>
  <si>
    <t>Wemindji</t>
  </si>
  <si>
    <t>Dentist</t>
  </si>
  <si>
    <t>High blood pressure</t>
  </si>
  <si>
    <t>Internal Medicine</t>
  </si>
  <si>
    <t>Mental Health</t>
  </si>
  <si>
    <t>Val d'Or Midwife</t>
  </si>
  <si>
    <t>Sister</t>
  </si>
  <si>
    <t>Mistissini; birth home </t>
  </si>
  <si>
    <t>VBAC </t>
  </si>
  <si>
    <r>
      <t>N/A</t>
    </r>
    <r>
      <rPr>
        <sz val="11"/>
        <color rgb="FFFF0000"/>
        <rFont val="Calibri"/>
        <family val="2"/>
        <scheme val="minor"/>
      </rPr>
      <t> </t>
    </r>
  </si>
  <si>
    <t>Yes; 10UI Synto IM + 200mcg Miso</t>
  </si>
  <si>
    <t>Prolonged or obstructed labor, 1st stage</t>
  </si>
  <si>
    <t>Placenta praevia</t>
  </si>
  <si>
    <t>Suspicion placental abruption</t>
  </si>
  <si>
    <t>Maternal Fever</t>
  </si>
  <si>
    <t>Postpartum home doula care</t>
  </si>
  <si>
    <t>Whapmagoostui</t>
  </si>
  <si>
    <t>Lactation Consultant</t>
  </si>
  <si>
    <t>Hx multiple spontaneous abortion &gt;16 weeks</t>
  </si>
  <si>
    <t>Multiple Pregnancy</t>
  </si>
  <si>
    <t xml:space="preserve">Gatineau Midwife </t>
  </si>
  <si>
    <t>Mother</t>
  </si>
  <si>
    <t>Mistissini; private home </t>
  </si>
  <si>
    <t>Prolonged or obstructed labor, 2nd stage</t>
  </si>
  <si>
    <t>Atypical/Abnormal foetal heart rate</t>
  </si>
  <si>
    <t>Placenta Abrupto</t>
  </si>
  <si>
    <t xml:space="preserve">Breastfeeding support </t>
  </si>
  <si>
    <t>Hx of Perinatal Death</t>
  </si>
  <si>
    <t>Oligohydramnios</t>
  </si>
  <si>
    <t>Montreal Midwife</t>
  </si>
  <si>
    <t>Mistissini; traditional dwelling  </t>
  </si>
  <si>
    <t>Pain management</t>
  </si>
  <si>
    <t xml:space="preserve">Chibougamau Pediatrician </t>
  </si>
  <si>
    <t>PPH Unresponsive to Treatment</t>
  </si>
  <si>
    <t>Perinatal loss support</t>
  </si>
  <si>
    <t>Hyperemesis gravidarum</t>
  </si>
  <si>
    <t>Polyhydramnios</t>
  </si>
  <si>
    <t>Other Midwife</t>
  </si>
  <si>
    <t>Thick or particulate meconium-stained amniotic fluid</t>
  </si>
  <si>
    <t>Medical Professional</t>
  </si>
  <si>
    <t>Active genital herpes</t>
  </si>
  <si>
    <t>Preeclamsia or Edampsia</t>
  </si>
  <si>
    <t>Pap smear</t>
  </si>
  <si>
    <t>Hyperthyroidism</t>
  </si>
  <si>
    <t>Other Pediatrician</t>
  </si>
  <si>
    <t>Post term</t>
  </si>
  <si>
    <t>Placenta Praevia</t>
  </si>
  <si>
    <t>Val d'Or; birth home </t>
  </si>
  <si>
    <t>Unusual blood loss during labour</t>
  </si>
  <si>
    <t>Preterm Latency</t>
  </si>
  <si>
    <t>STBBIs screening</t>
  </si>
  <si>
    <t>Hypothyroidism</t>
  </si>
  <si>
    <t>Seroconversion in pregnancy: Herpes, HIV, CMV, Toxo, Rub, Tuberculosis</t>
  </si>
  <si>
    <t>Placental abruption</t>
  </si>
  <si>
    <t>Suspected placental abruption</t>
  </si>
  <si>
    <t>Preeclampsia or eclampsia</t>
  </si>
  <si>
    <t>Prolonged or Obstructed Labor; 1st Stage</t>
  </si>
  <si>
    <t>Pregnancy interruption</t>
  </si>
  <si>
    <t>Maternal Syndrome</t>
  </si>
  <si>
    <t>Gatineau; hospital </t>
  </si>
  <si>
    <t>Suspected chorioamnionitis</t>
  </si>
  <si>
    <t>Prolonged ruptured membranes</t>
  </si>
  <si>
    <t>Prolonged or Obstructed Labor; 2nd Stage</t>
  </si>
  <si>
    <t>Birth control</t>
  </si>
  <si>
    <t>Gatineau; birth home </t>
  </si>
  <si>
    <t>Maternal fever</t>
  </si>
  <si>
    <t>Prolonged latency</t>
  </si>
  <si>
    <r>
      <t>Other</t>
    </r>
    <r>
      <rPr>
        <sz val="8"/>
        <color theme="1"/>
        <rFont val="Calibri"/>
        <family val="2"/>
      </rPr>
      <t> </t>
    </r>
  </si>
  <si>
    <t>Malpresentation</t>
  </si>
  <si>
    <t>Preeclampsia</t>
  </si>
  <si>
    <t xml:space="preserve">HBP </t>
  </si>
  <si>
    <t>Umbilical Cord Prolapse</t>
  </si>
  <si>
    <t xml:space="preserve">Antibiotics administration </t>
  </si>
  <si>
    <t>Presence of fibroid</t>
  </si>
  <si>
    <t>Quebec; birth home </t>
  </si>
  <si>
    <r>
      <t>3</t>
    </r>
    <r>
      <rPr>
        <vertAlign val="superscript"/>
        <sz val="10"/>
        <rFont val="Calibri"/>
        <family val="2"/>
        <scheme val="minor"/>
      </rPr>
      <t>rd</t>
    </r>
    <r>
      <rPr>
        <sz val="10"/>
        <rFont val="Calibri"/>
        <family val="2"/>
        <scheme val="minor"/>
      </rPr>
      <t xml:space="preserve"> or 4</t>
    </r>
    <r>
      <rPr>
        <vertAlign val="superscript"/>
        <sz val="10"/>
        <rFont val="Calibri"/>
        <family val="2"/>
        <scheme val="minor"/>
      </rPr>
      <t>th</t>
    </r>
    <r>
      <rPr>
        <sz val="10"/>
        <rFont val="Calibri"/>
        <family val="2"/>
        <scheme val="minor"/>
      </rPr>
      <t xml:space="preserve"> degree perineal laceration </t>
    </r>
  </si>
  <si>
    <t>Placental abruptio</t>
  </si>
  <si>
    <t>Suspected IUGR</t>
  </si>
  <si>
    <t xml:space="preserve">PPH unresponsive to treatment </t>
  </si>
  <si>
    <t>Substance or meds exposure</t>
  </si>
  <si>
    <t>Yes, Other reason</t>
  </si>
  <si>
    <t>Suspected coagulopathy</t>
  </si>
  <si>
    <t>Obstetric shock</t>
  </si>
  <si>
    <t>Suspected ectopic</t>
  </si>
  <si>
    <t>Surveillance after PPH</t>
  </si>
  <si>
    <t>Suspected preterm labor</t>
  </si>
  <si>
    <t>Blood transfusion</t>
  </si>
  <si>
    <t>Thrombocytopenia</t>
  </si>
  <si>
    <t>4th degree perineal laceration</t>
  </si>
  <si>
    <t>Suspected uterine rupture</t>
  </si>
  <si>
    <t>Uterine inversion</t>
  </si>
  <si>
    <t xml:space="preserve">Newborn post-resuscitation care </t>
  </si>
  <si>
    <t>Territory</t>
  </si>
  <si>
    <t>Terres-cries-de-la-Baie-James</t>
  </si>
  <si>
    <t>Pole</t>
  </si>
  <si>
    <t>Instructions pour activer les macros</t>
  </si>
  <si>
    <r>
      <t>a) Dans Excel 2007, cliquer sur la</t>
    </r>
    <r>
      <rPr>
        <b/>
        <sz val="10"/>
        <color indexed="8"/>
        <rFont val="KaiTi"/>
        <family val="3"/>
      </rPr>
      <t xml:space="preserve"> bulle Office</t>
    </r>
    <r>
      <rPr>
        <sz val="10"/>
        <color indexed="8"/>
        <rFont val="KaiTi"/>
        <family val="3"/>
      </rPr>
      <t xml:space="preserve"> (en haut à gauche);</t>
    </r>
  </si>
  <si>
    <r>
      <t xml:space="preserve">b) Cliquer sur </t>
    </r>
    <r>
      <rPr>
        <b/>
        <sz val="10"/>
        <color indexed="8"/>
        <rFont val="KaiTi"/>
        <family val="3"/>
      </rPr>
      <t>Option Excel</t>
    </r>
    <r>
      <rPr>
        <sz val="10"/>
        <color indexed="8"/>
        <rFont val="KaiTi"/>
        <family val="3"/>
      </rPr>
      <t xml:space="preserve"> (en bas à droite de la liste déroulante);</t>
    </r>
  </si>
  <si>
    <r>
      <t xml:space="preserve">c) Dans la partie </t>
    </r>
    <r>
      <rPr>
        <b/>
        <sz val="10"/>
        <color indexed="8"/>
        <rFont val="KaiTi"/>
        <family val="3"/>
      </rPr>
      <t>Centre de gestion de la confidentialité</t>
    </r>
    <r>
      <rPr>
        <sz val="10"/>
        <color indexed="8"/>
        <rFont val="KaiTi"/>
        <family val="3"/>
      </rPr>
      <t xml:space="preserve">, cliquer sur le bouton </t>
    </r>
    <r>
      <rPr>
        <b/>
        <sz val="10"/>
        <color indexed="8"/>
        <rFont val="Arial"/>
        <family val="2"/>
      </rPr>
      <t/>
    </r>
  </si>
  <si>
    <t>Number of visits*</t>
  </si>
  <si>
    <r>
      <t xml:space="preserve">d) Dans </t>
    </r>
    <r>
      <rPr>
        <b/>
        <sz val="10"/>
        <color indexed="8"/>
        <rFont val="KaiTi"/>
        <family val="3"/>
      </rPr>
      <t>Paramètre des macros</t>
    </r>
    <r>
      <rPr>
        <sz val="10"/>
        <color indexed="8"/>
        <rFont val="KaiTi"/>
        <family val="3"/>
      </rPr>
      <t xml:space="preserve">, cocher l'option </t>
    </r>
    <r>
      <rPr>
        <b/>
        <sz val="10"/>
        <color indexed="8"/>
        <rFont val="KaiTi"/>
        <family val="3"/>
      </rPr>
      <t>Activer toutes les macros</t>
    </r>
    <r>
      <rPr>
        <sz val="10"/>
        <color indexed="8"/>
        <rFont val="KaiTi"/>
        <family val="3"/>
      </rPr>
      <t>.</t>
    </r>
  </si>
  <si>
    <r>
      <t xml:space="preserve">Write The Year Below </t>
    </r>
    <r>
      <rPr>
        <b/>
        <sz val="16"/>
        <color theme="1"/>
        <rFont val="Arial"/>
        <family val="2"/>
      </rPr>
      <t>▼</t>
    </r>
  </si>
  <si>
    <t>Month</t>
  </si>
  <si>
    <t>Demographics</t>
  </si>
  <si>
    <t>Prenatal        Care </t>
  </si>
  <si>
    <t>Intrapartum     Care </t>
  </si>
  <si>
    <t>Postnatal       Care</t>
  </si>
  <si>
    <t>Throughout                Midwifery Care </t>
  </si>
  <si>
    <r>
      <rPr>
        <b/>
        <sz val="10"/>
        <color rgb="FFFF0000"/>
        <rFont val="KaiTi"/>
        <family val="3"/>
      </rPr>
      <t>Note :</t>
    </r>
    <r>
      <rPr>
        <sz val="10"/>
        <color theme="1"/>
        <rFont val="KaiTi"/>
        <family val="3"/>
      </rPr>
      <t xml:space="preserve"> Vous devez fermer puis réouvrir Excel pour que ces changements prennent effet.</t>
    </r>
  </si>
  <si>
    <t xml:space="preserve">Instructions on how to activate macros </t>
  </si>
  <si>
    <r>
      <t xml:space="preserve">a) In Excel 2007, click the </t>
    </r>
    <r>
      <rPr>
        <b/>
        <sz val="10"/>
        <color indexed="8"/>
        <rFont val="KaiTi"/>
        <family val="3"/>
      </rPr>
      <t>Microsoft Office Button</t>
    </r>
    <r>
      <rPr>
        <sz val="10"/>
        <color indexed="8"/>
        <rFont val="KaiTi"/>
        <family val="3"/>
      </rPr>
      <t xml:space="preserve"> (upper left corner);</t>
    </r>
  </si>
  <si>
    <t>Legend</t>
  </si>
  <si>
    <r>
      <t xml:space="preserve">b) Click on </t>
    </r>
    <r>
      <rPr>
        <b/>
        <sz val="10"/>
        <color indexed="8"/>
        <rFont val="KaiTi"/>
        <family val="3"/>
      </rPr>
      <t>Excel Options</t>
    </r>
    <r>
      <rPr>
        <sz val="10"/>
        <color indexed="8"/>
        <rFont val="KaiTi"/>
        <family val="3"/>
      </rPr>
      <t xml:space="preserve"> (below the dropdown list, on the right);</t>
    </r>
  </si>
  <si>
    <r>
      <rPr>
        <b/>
        <sz val="11"/>
        <color theme="6" tint="-0.249977111117893"/>
        <rFont val="Tempus Sans ITC"/>
        <family val="5"/>
      </rPr>
      <t>Green</t>
    </r>
    <r>
      <rPr>
        <sz val="11"/>
        <color theme="1"/>
        <rFont val="Tempus Sans ITC"/>
        <family val="5"/>
      </rPr>
      <t xml:space="preserve">: </t>
    </r>
    <r>
      <rPr>
        <b/>
        <sz val="11"/>
        <color theme="1"/>
        <rFont val="Tempus Sans ITC"/>
        <family val="5"/>
      </rPr>
      <t>2024</t>
    </r>
  </si>
  <si>
    <r>
      <t xml:space="preserve">c) In the </t>
    </r>
    <r>
      <rPr>
        <b/>
        <sz val="10"/>
        <color indexed="8"/>
        <rFont val="KaiTi"/>
        <family val="3"/>
      </rPr>
      <t>Trust Center</t>
    </r>
    <r>
      <rPr>
        <sz val="10"/>
        <color indexed="8"/>
        <rFont val="KaiTi"/>
        <family val="3"/>
      </rPr>
      <t xml:space="preserve"> section, click the </t>
    </r>
    <r>
      <rPr>
        <b/>
        <sz val="10"/>
        <color indexed="8"/>
        <rFont val="KaiTi"/>
        <family val="3"/>
      </rPr>
      <t xml:space="preserve">Trust Center Settings </t>
    </r>
    <r>
      <rPr>
        <sz val="10"/>
        <color indexed="8"/>
        <rFont val="KaiTi"/>
        <family val="3"/>
      </rPr>
      <t>button;</t>
    </r>
  </si>
  <si>
    <r>
      <rPr>
        <b/>
        <sz val="11"/>
        <color theme="3" tint="0.39997558519241921"/>
        <rFont val="Tempus Sans ITC"/>
        <family val="5"/>
      </rPr>
      <t>Blue:</t>
    </r>
    <r>
      <rPr>
        <b/>
        <sz val="11"/>
        <color theme="1"/>
        <rFont val="Tempus Sans ITC"/>
        <family val="5"/>
      </rPr>
      <t xml:space="preserve"> 2025</t>
    </r>
  </si>
  <si>
    <r>
      <t xml:space="preserve">d) In </t>
    </r>
    <r>
      <rPr>
        <b/>
        <sz val="10"/>
        <color indexed="8"/>
        <rFont val="KaiTi"/>
        <family val="3"/>
      </rPr>
      <t>Macro Settings</t>
    </r>
    <r>
      <rPr>
        <sz val="10"/>
        <color indexed="8"/>
        <rFont val="KaiTi"/>
        <family val="3"/>
      </rPr>
      <t xml:space="preserve">, click the </t>
    </r>
    <r>
      <rPr>
        <b/>
        <sz val="10"/>
        <color indexed="8"/>
        <rFont val="KaiTi"/>
        <family val="3"/>
      </rPr>
      <t>Enable all macros</t>
    </r>
    <r>
      <rPr>
        <sz val="10"/>
        <color indexed="8"/>
        <rFont val="KaiTi"/>
        <family val="3"/>
      </rPr>
      <t xml:space="preserve"> option.</t>
    </r>
  </si>
  <si>
    <r>
      <rPr>
        <b/>
        <sz val="10"/>
        <color rgb="FFFF0000"/>
        <rFont val="KaiTi"/>
        <family val="3"/>
      </rPr>
      <t>Note :</t>
    </r>
    <r>
      <rPr>
        <sz val="10"/>
        <color theme="1"/>
        <rFont val="KaiTi"/>
        <family val="3"/>
      </rPr>
      <t xml:space="preserve"> You must close then reopen Excel for these changes to be effective.</t>
    </r>
  </si>
  <si>
    <t xml:space="preserve">Version de l'outil de saisie :  </t>
  </si>
  <si>
    <t>V1</t>
  </si>
  <si>
    <t xml:space="preserve">Date :  </t>
  </si>
  <si>
    <t>Total ►</t>
  </si>
  <si>
    <t>Historique des modifications (s'il y a lieu)</t>
  </si>
  <si>
    <t>* Only those listed in this Template Including duplicates</t>
  </si>
  <si>
    <t>***In progress, to programm with Mozzi***</t>
  </si>
  <si>
    <t>Yearly and monthly (Direct Values)</t>
  </si>
  <si>
    <t xml:space="preserve">Why Indicators? (Calculated Values) </t>
  </si>
  <si>
    <t>Nb of refferals received</t>
  </si>
  <si>
    <t>Inform on the measure of a specific element</t>
  </si>
  <si>
    <t>Reasons for refferal</t>
  </si>
  <si>
    <t>Showing gaps</t>
  </si>
  <si>
    <t>Nb of complete midwifery follow up</t>
  </si>
  <si>
    <t>Facilitate comprehension and communication of results</t>
  </si>
  <si>
    <t>Nb births within caseload</t>
  </si>
  <si>
    <t>Highlight possible solutions to improve result</t>
  </si>
  <si>
    <t xml:space="preserve">Nb births on tertitory </t>
  </si>
  <si>
    <t>Take decision on where to act based on tangible proof of the situation</t>
  </si>
  <si>
    <t>Nb of women transfered</t>
  </si>
  <si>
    <t>Monitor corrective actions and plan better</t>
  </si>
  <si>
    <t>Reason for transfer</t>
  </si>
  <si>
    <t>How to select an indicator</t>
  </si>
  <si>
    <t>1. Identify the dimension (clinical activity, budget, human ressources)</t>
  </si>
  <si>
    <t>Indicators:</t>
  </si>
  <si>
    <t>2. Identify the need (why are we choosing to prioritize that dimension? What is our preocupation</t>
  </si>
  <si>
    <t>Nb of Referral and Referral  rate (planning resources, expansion, etc)</t>
  </si>
  <si>
    <t>3. Formulate the objective (HowéWhen will it stop being a need *** formulate smart objective***</t>
  </si>
  <si>
    <t xml:space="preserve">Number of birth on territory (planning resources, expansion, </t>
  </si>
  <si>
    <t>4. Select the indicator</t>
  </si>
  <si>
    <t>Average clients age recieving services</t>
  </si>
  <si>
    <t>5.Define the indicator</t>
  </si>
  <si>
    <t>Avarage number of weeks at first visit</t>
  </si>
  <si>
    <t>Transfer rate (prenatal, intrapartum, postnatal)</t>
  </si>
  <si>
    <t>% of transfer resulting in medical evacuation</t>
  </si>
  <si>
    <t>Objectives (SMART: Simple, Measurable, Attainable, Relevent, Time Bound)</t>
  </si>
  <si>
    <t>Reach 100 births a year on territory by 2028</t>
  </si>
  <si>
    <t>Reduce prenatal transfer rate</t>
  </si>
  <si>
    <t xml:space="preserve">Self-Generating Report </t>
  </si>
  <si>
    <t>Nb deliveries under midwifery care</t>
  </si>
  <si>
    <t>New line?</t>
  </si>
  <si>
    <t># Chart Number</t>
  </si>
  <si>
    <r>
      <t xml:space="preserve">Date of Birth of client (DOB)     </t>
    </r>
    <r>
      <rPr>
        <b/>
        <sz val="10"/>
        <color rgb="FFFF0000"/>
        <rFont val="Tempus Sans ITC"/>
        <family val="5"/>
      </rPr>
      <t>YYYY-MM-DD</t>
    </r>
  </si>
  <si>
    <r>
      <t xml:space="preserve">Date of referral
</t>
    </r>
    <r>
      <rPr>
        <b/>
        <sz val="16"/>
        <color rgb="FFC00000"/>
        <rFont val="Tempus Sans ITC"/>
        <family val="5"/>
      </rPr>
      <t>YYYY-MM-DD</t>
    </r>
  </si>
  <si>
    <r>
      <t xml:space="preserve">Age             </t>
    </r>
    <r>
      <rPr>
        <b/>
        <sz val="14"/>
        <color rgb="FFFF0000"/>
        <rFont val="Tempus Sans ITC"/>
        <family val="5"/>
      </rPr>
      <t>YY</t>
    </r>
  </si>
  <si>
    <t>Community of Residence</t>
  </si>
  <si>
    <t>Referred   by</t>
  </si>
  <si>
    <t xml:space="preserve">Reason                   for
referral
</t>
  </si>
  <si>
    <t>Successful First contact?</t>
  </si>
  <si>
    <t>Eligible to Midwifery Care?</t>
  </si>
  <si>
    <r>
      <t xml:space="preserve">Reason for                             Non-eligibility                               </t>
    </r>
    <r>
      <rPr>
        <b/>
        <sz val="10"/>
        <color rgb="FFFF0000"/>
        <rFont val="Tempus Sans ITC"/>
        <family val="5"/>
      </rPr>
      <t>(free text)</t>
    </r>
  </si>
  <si>
    <t xml:space="preserve"> Nb of  Weeks at 1st Phone or in-person appointment</t>
  </si>
  <si>
    <t>Reason                     if Never Seen</t>
  </si>
  <si>
    <t xml:space="preserve"> Prenatal Care</t>
  </si>
  <si>
    <t xml:space="preserve"> Chart Number</t>
  </si>
  <si>
    <r>
      <t xml:space="preserve">Date of collection </t>
    </r>
    <r>
      <rPr>
        <b/>
        <sz val="16"/>
        <color rgb="FFFF0000"/>
        <rFont val="Tempus Sans ITC"/>
        <family val="5"/>
      </rPr>
      <t>YYYY-MM-DD</t>
    </r>
  </si>
  <si>
    <r>
      <t xml:space="preserve">GPA                                             </t>
    </r>
    <r>
      <rPr>
        <b/>
        <sz val="10"/>
        <color rgb="FFFF0000"/>
        <rFont val="Tempus Sans ITC"/>
        <family val="5"/>
      </rPr>
      <t>(free text)</t>
    </r>
  </si>
  <si>
    <r>
      <t xml:space="preserve">Established EDD </t>
    </r>
    <r>
      <rPr>
        <b/>
        <sz val="14"/>
        <color rgb="FFC00000"/>
        <rFont val="Tempus Sans ITC"/>
        <family val="5"/>
      </rPr>
      <t>YYYY-MM-DD</t>
    </r>
  </si>
  <si>
    <t>Tobacco use</t>
  </si>
  <si>
    <t>Substance Use In Pregnancy</t>
  </si>
  <si>
    <t>CE                CLE Status</t>
  </si>
  <si>
    <t>Disclosed Past Experience of Racism in Health Care?</t>
  </si>
  <si>
    <t>Disclosed Domestic Violence (past or present)</t>
  </si>
  <si>
    <t>Disclosed Housing Challenges</t>
  </si>
  <si>
    <t>Previous C  Section</t>
  </si>
  <si>
    <t>Previous VBAC?</t>
  </si>
  <si>
    <t>High Risk                for PE</t>
  </si>
  <si>
    <t>Anemia in Pregnancy?</t>
  </si>
  <si>
    <t>STBBIs in pregnancy?</t>
  </si>
  <si>
    <t>Trainee Involved in Prenatal Care?</t>
  </si>
  <si>
    <t>Referral to other Health Care Worker?</t>
  </si>
  <si>
    <t>Medical Prenatal consultation ?</t>
  </si>
  <si>
    <t>Reason for                        Prenatal consultation 1</t>
  </si>
  <si>
    <t>Reason for                        Prenatal  consultation 2</t>
  </si>
  <si>
    <t>Reason for                      Prenatal consultation 3</t>
  </si>
  <si>
    <r>
      <t xml:space="preserve">Note, Explanations                                                              </t>
    </r>
    <r>
      <rPr>
        <b/>
        <sz val="10"/>
        <color rgb="FFFF0000"/>
        <rFont val="Tempus Sans ITC"/>
        <family val="5"/>
      </rPr>
      <t>(free text)</t>
    </r>
  </si>
  <si>
    <t>Prenatal Consultation 1 made with</t>
  </si>
  <si>
    <t>Prenatal Consultation 2 made with</t>
  </si>
  <si>
    <t>Prenatal Consultation 3 made with</t>
  </si>
  <si>
    <t xml:space="preserve">Telehealth in Pregnancy? </t>
  </si>
  <si>
    <t>Shared                                                                                      Care?</t>
  </si>
  <si>
    <t>Prenatal                                                                Transfer                                                                    of Care?</t>
  </si>
  <si>
    <r>
      <t xml:space="preserve">Other Reason for                                         Prenatal Transfer of Care                                      </t>
    </r>
    <r>
      <rPr>
        <b/>
        <sz val="10"/>
        <color rgb="FFFF0000"/>
        <rFont val="Tempus Sans ITC"/>
        <family val="5"/>
      </rPr>
      <t>(free text)</t>
    </r>
  </si>
  <si>
    <t xml:space="preserve">Prenatal            Transfer of              Care to </t>
  </si>
  <si>
    <t>Midwifery Care Ended during pregnancy?</t>
  </si>
  <si>
    <t/>
  </si>
  <si>
    <t xml:space="preserve"> Intrapartum Care</t>
  </si>
  <si>
    <r>
      <t># Chart Number</t>
    </r>
    <r>
      <rPr>
        <b/>
        <sz val="18"/>
        <color rgb="FF00B0F0"/>
        <rFont val="Tempus Sans ITC"/>
        <family val="5"/>
      </rPr>
      <t xml:space="preserve"> **</t>
    </r>
  </si>
  <si>
    <r>
      <t xml:space="preserve">Planned Place of Birth </t>
    </r>
    <r>
      <rPr>
        <b/>
        <sz val="18"/>
        <color rgb="FF00B0F0"/>
        <rFont val="Tempus Sans ITC"/>
        <family val="5"/>
      </rPr>
      <t>**</t>
    </r>
  </si>
  <si>
    <r>
      <t xml:space="preserve">Labor location:                  Birth Location </t>
    </r>
    <r>
      <rPr>
        <b/>
        <sz val="18"/>
        <color rgb="FF00B0F0"/>
        <rFont val="Tempus Sans ITC"/>
        <family val="5"/>
      </rPr>
      <t>**</t>
    </r>
  </si>
  <si>
    <r>
      <t xml:space="preserve">Actual                         Birth Place </t>
    </r>
    <r>
      <rPr>
        <b/>
        <sz val="18"/>
        <color rgb="FF00B0F0"/>
        <rFont val="Tempus Sans ITC"/>
        <family val="5"/>
      </rPr>
      <t>**</t>
    </r>
  </si>
  <si>
    <r>
      <t xml:space="preserve">Date of delivery </t>
    </r>
    <r>
      <rPr>
        <b/>
        <sz val="16"/>
        <color rgb="FF00B0F0"/>
        <rFont val="Tempus Sans ITC"/>
        <family val="5"/>
      </rPr>
      <t>**</t>
    </r>
    <r>
      <rPr>
        <b/>
        <sz val="16"/>
        <rFont val="Tempus Sans ITC"/>
        <family val="5"/>
      </rPr>
      <t xml:space="preserve">
</t>
    </r>
    <r>
      <rPr>
        <b/>
        <sz val="16"/>
        <color rgb="FFC00000"/>
        <rFont val="Tempus Sans ITC"/>
        <family val="5"/>
      </rPr>
      <t>YYYY-MM-DD</t>
    </r>
  </si>
  <si>
    <r>
      <t>Gestational Age at Birth</t>
    </r>
    <r>
      <rPr>
        <b/>
        <sz val="16"/>
        <color rgb="FF00B0F0"/>
        <rFont val="Tempus Sans ITC"/>
        <family val="5"/>
      </rPr>
      <t>**</t>
    </r>
    <r>
      <rPr>
        <b/>
        <sz val="16"/>
        <rFont val="Tempus Sans ITC"/>
        <family val="5"/>
      </rPr>
      <t xml:space="preserve"> </t>
    </r>
    <r>
      <rPr>
        <b/>
        <sz val="14"/>
        <color rgb="FFFF0000"/>
        <rFont val="Tempus Sans ITC"/>
        <family val="5"/>
      </rPr>
      <t>WW+d</t>
    </r>
    <r>
      <rPr>
        <b/>
        <sz val="14"/>
        <color rgb="FF00B0F0"/>
        <rFont val="Tempus Sans ITC"/>
        <family val="5"/>
      </rPr>
      <t xml:space="preserve">  </t>
    </r>
    <r>
      <rPr>
        <b/>
        <sz val="18"/>
        <color rgb="FF00B0F0"/>
        <rFont val="Tempus Sans ITC"/>
        <family val="5"/>
      </rPr>
      <t xml:space="preserve">        </t>
    </r>
    <r>
      <rPr>
        <b/>
        <sz val="12"/>
        <color rgb="FFFF0000"/>
        <rFont val="Tempus Sans ITC"/>
        <family val="5"/>
      </rPr>
      <t>Ex: 38+1</t>
    </r>
  </si>
  <si>
    <r>
      <t>Delivery Mode</t>
    </r>
    <r>
      <rPr>
        <b/>
        <sz val="18"/>
        <rFont val="Tempus Sans ITC"/>
        <family val="5"/>
      </rPr>
      <t xml:space="preserve"> </t>
    </r>
    <r>
      <rPr>
        <b/>
        <sz val="18"/>
        <color rgb="FF00B0F0"/>
        <rFont val="Tempus Sans ITC"/>
        <family val="5"/>
      </rPr>
      <t>**</t>
    </r>
  </si>
  <si>
    <t>Birthing position</t>
  </si>
  <si>
    <t>Water Birth</t>
  </si>
  <si>
    <r>
      <t xml:space="preserve">Lenght of latency </t>
    </r>
    <r>
      <rPr>
        <b/>
        <sz val="10"/>
        <color rgb="FFFF0000"/>
        <rFont val="Tempus Sans ITC"/>
        <family val="5"/>
      </rPr>
      <t xml:space="preserve"> </t>
    </r>
    <r>
      <rPr>
        <b/>
        <sz val="14"/>
        <color rgb="FFFF0000"/>
        <rFont val="Tempus Sans ITC"/>
        <family val="5"/>
      </rPr>
      <t xml:space="preserve">(hh:mm)         </t>
    </r>
    <r>
      <rPr>
        <b/>
        <sz val="10"/>
        <color rgb="FFFF0000"/>
        <rFont val="Tempus Sans ITC"/>
        <family val="5"/>
      </rPr>
      <t>(free text)</t>
    </r>
    <r>
      <rPr>
        <b/>
        <sz val="14"/>
        <rFont val="Tempus Sans ITC"/>
        <family val="5"/>
      </rPr>
      <t xml:space="preserve">             </t>
    </r>
    <r>
      <rPr>
        <b/>
        <sz val="10"/>
        <color rgb="FFFF0000"/>
        <rFont val="Tempus Sans ITC"/>
        <family val="5"/>
      </rPr>
      <t>Ex: 1:00 or 1:30</t>
    </r>
  </si>
  <si>
    <r>
      <t xml:space="preserve">Lenght of 1st stage </t>
    </r>
    <r>
      <rPr>
        <b/>
        <sz val="14"/>
        <color rgb="FFFF0000"/>
        <rFont val="Tempus Sans ITC"/>
        <family val="5"/>
      </rPr>
      <t xml:space="preserve">(hh:mm) </t>
    </r>
    <r>
      <rPr>
        <b/>
        <sz val="10"/>
        <color rgb="FFFF0000"/>
        <rFont val="Tempus Sans ITC"/>
        <family val="5"/>
      </rPr>
      <t>(free text)</t>
    </r>
  </si>
  <si>
    <r>
      <t xml:space="preserve">Lenght of 2nd stage </t>
    </r>
    <r>
      <rPr>
        <b/>
        <sz val="14"/>
        <color rgb="FFFF0000"/>
        <rFont val="Tempus Sans ITC"/>
        <family val="5"/>
      </rPr>
      <t>(hh:mm)</t>
    </r>
    <r>
      <rPr>
        <b/>
        <sz val="14"/>
        <rFont val="Tempus Sans ITC"/>
        <family val="5"/>
      </rPr>
      <t xml:space="preserve"> </t>
    </r>
    <r>
      <rPr>
        <b/>
        <sz val="10"/>
        <color rgb="FFFF0000"/>
        <rFont val="Tempus Sans ITC"/>
        <family val="5"/>
      </rPr>
      <t>(free text)</t>
    </r>
  </si>
  <si>
    <r>
      <t xml:space="preserve">Length of 3rd stage </t>
    </r>
    <r>
      <rPr>
        <b/>
        <sz val="14"/>
        <color rgb="FFFF0000"/>
        <rFont val="Tempus Sans ITC"/>
        <family val="5"/>
      </rPr>
      <t>(hh:mm)</t>
    </r>
    <r>
      <rPr>
        <b/>
        <sz val="14"/>
        <rFont val="Tempus Sans ITC"/>
        <family val="5"/>
      </rPr>
      <t xml:space="preserve"> </t>
    </r>
    <r>
      <rPr>
        <b/>
        <sz val="10"/>
        <color rgb="FFFF0000"/>
        <rFont val="Tempus Sans ITC"/>
        <family val="5"/>
      </rPr>
      <t>(free text)</t>
    </r>
  </si>
  <si>
    <r>
      <t xml:space="preserve">Total length  of labor = </t>
    </r>
    <r>
      <rPr>
        <b/>
        <sz val="14"/>
        <color rgb="FFFF0000"/>
        <rFont val="Tempus Sans ITC"/>
        <family val="5"/>
      </rPr>
      <t xml:space="preserve">1st + 2nd + 3rd </t>
    </r>
    <r>
      <rPr>
        <b/>
        <sz val="12"/>
        <color rgb="FFFF0000"/>
        <rFont val="Tempus Sans ITC"/>
        <family val="5"/>
      </rPr>
      <t>(automatic)</t>
    </r>
    <r>
      <rPr>
        <b/>
        <sz val="14"/>
        <color rgb="FFFF0000"/>
        <rFont val="Tempus Sans ITC"/>
        <family val="5"/>
      </rPr>
      <t xml:space="preserve">  </t>
    </r>
    <r>
      <rPr>
        <b/>
        <sz val="14"/>
        <rFont val="Tempus Sans ITC"/>
        <family val="5"/>
      </rPr>
      <t xml:space="preserve">        </t>
    </r>
  </si>
  <si>
    <r>
      <t>Duration of rupture of membranes</t>
    </r>
    <r>
      <rPr>
        <b/>
        <sz val="12"/>
        <rFont val="Tempus Sans ITC"/>
        <family val="5"/>
      </rPr>
      <t xml:space="preserve"> </t>
    </r>
    <r>
      <rPr>
        <b/>
        <sz val="12"/>
        <color rgb="FFFF0000"/>
        <rFont val="Tempus Sans ITC"/>
        <family val="5"/>
      </rPr>
      <t>(hh:mm) (free text)</t>
    </r>
  </si>
  <si>
    <r>
      <t xml:space="preserve">Last HB or                            HB in Labor                       </t>
    </r>
    <r>
      <rPr>
        <b/>
        <sz val="14"/>
        <color rgb="FFFF0000"/>
        <rFont val="Tempus Sans ITC"/>
        <family val="5"/>
      </rPr>
      <t>(free text)</t>
    </r>
  </si>
  <si>
    <t>GBS-Status</t>
  </si>
  <si>
    <t>GBS-ATB</t>
  </si>
  <si>
    <t>Pain Medication</t>
  </si>
  <si>
    <t>Fetal Monotoring IA</t>
  </si>
  <si>
    <t>Fetal Monotoring EFM</t>
  </si>
  <si>
    <t>Assisted            Vaginal Delivery</t>
  </si>
  <si>
    <t>Perineal Lacerations</t>
  </si>
  <si>
    <t xml:space="preserve"> Other           Lacerations</t>
  </si>
  <si>
    <t>Suture</t>
  </si>
  <si>
    <r>
      <t>Estimated Blood Loss</t>
    </r>
    <r>
      <rPr>
        <b/>
        <sz val="14"/>
        <color rgb="FF00B0F0"/>
        <rFont val="Tempus Sans ITC"/>
        <family val="5"/>
      </rPr>
      <t xml:space="preserve"> </t>
    </r>
    <r>
      <rPr>
        <b/>
        <sz val="18"/>
        <color rgb="FF00B0F0"/>
        <rFont val="Tempus Sans ITC"/>
        <family val="5"/>
      </rPr>
      <t>**</t>
    </r>
  </si>
  <si>
    <r>
      <t xml:space="preserve">Active                   Management                  of the </t>
    </r>
    <r>
      <rPr>
        <b/>
        <sz val="14"/>
        <color rgb="FFFF0000"/>
        <rFont val="Tempus Sans ITC"/>
        <family val="5"/>
      </rPr>
      <t>3</t>
    </r>
    <r>
      <rPr>
        <b/>
        <vertAlign val="superscript"/>
        <sz val="11"/>
        <color rgb="FFFF0000"/>
        <rFont val="Calibri"/>
        <family val="2"/>
        <scheme val="minor"/>
      </rPr>
      <t>rd</t>
    </r>
    <r>
      <rPr>
        <b/>
        <sz val="11"/>
        <color rgb="FFFF0000"/>
        <rFont val="Calibri"/>
        <family val="2"/>
        <scheme val="minor"/>
      </rPr>
      <t xml:space="preserve"> Stage?</t>
    </r>
    <r>
      <rPr>
        <sz val="11"/>
        <color rgb="FFFF0000"/>
        <rFont val="Calibri"/>
        <family val="2"/>
        <scheme val="minor"/>
      </rPr>
      <t xml:space="preserve"> </t>
    </r>
  </si>
  <si>
    <r>
      <t>HPP                                       additional                           medication</t>
    </r>
    <r>
      <rPr>
        <sz val="11"/>
        <color rgb="FFFF0000"/>
        <rFont val="Tempus Sans ITC"/>
        <family val="5"/>
      </rPr>
      <t xml:space="preserve">                                                   </t>
    </r>
    <r>
      <rPr>
        <b/>
        <sz val="11"/>
        <color rgb="FFFF0000"/>
        <rFont val="Tempus Sans ITC"/>
        <family val="5"/>
      </rPr>
      <t>(free Text)</t>
    </r>
  </si>
  <si>
    <t>Blood                 Transfusion</t>
  </si>
  <si>
    <t>Shoulder dystocia</t>
  </si>
  <si>
    <r>
      <t>Neonatal Resuscitation</t>
    </r>
    <r>
      <rPr>
        <b/>
        <sz val="10"/>
        <color rgb="FFFF0000"/>
        <rFont val="Tempus Sans ITC"/>
        <family val="5"/>
      </rPr>
      <t xml:space="preserve"> </t>
    </r>
    <r>
      <rPr>
        <b/>
        <sz val="14"/>
        <rFont val="Tempus Sans ITC"/>
        <family val="5"/>
      </rPr>
      <t xml:space="preserve">/ Ventilation </t>
    </r>
  </si>
  <si>
    <r>
      <t>Neonatal Resuscitation / Chest Compressions</t>
    </r>
    <r>
      <rPr>
        <b/>
        <sz val="14"/>
        <color rgb="FFFF0000"/>
        <rFont val="Tempus Sans ITC"/>
        <family val="5"/>
      </rPr>
      <t> </t>
    </r>
  </si>
  <si>
    <r>
      <t>Apgar</t>
    </r>
    <r>
      <rPr>
        <b/>
        <sz val="14"/>
        <color rgb="FF00B0F0"/>
        <rFont val="Tempus Sans ITC"/>
        <family val="5"/>
      </rPr>
      <t xml:space="preserve"> </t>
    </r>
    <r>
      <rPr>
        <b/>
        <sz val="18"/>
        <color rgb="FF00B0F0"/>
        <rFont val="Tempus Sans ITC"/>
        <family val="5"/>
      </rPr>
      <t>**</t>
    </r>
    <r>
      <rPr>
        <b/>
        <sz val="14"/>
        <rFont val="Tempus Sans ITC"/>
        <family val="5"/>
      </rPr>
      <t xml:space="preserve"> </t>
    </r>
    <r>
      <rPr>
        <b/>
        <sz val="12"/>
        <color rgb="FFFF0000"/>
        <rFont val="Tempus Sans ITC"/>
        <family val="5"/>
      </rPr>
      <t xml:space="preserve">(free text) </t>
    </r>
    <r>
      <rPr>
        <b/>
        <sz val="10"/>
        <color rgb="FFFF0000"/>
        <rFont val="Tempus Sans ITC"/>
        <family val="5"/>
      </rPr>
      <t>Ex: 8-9-9</t>
    </r>
  </si>
  <si>
    <r>
      <t>Birth Weight/</t>
    </r>
    <r>
      <rPr>
        <b/>
        <sz val="14"/>
        <color rgb="FFFF0000"/>
        <rFont val="Tempus Sans ITC"/>
        <family val="5"/>
      </rPr>
      <t>Grams</t>
    </r>
    <r>
      <rPr>
        <b/>
        <sz val="18"/>
        <rFont val="Tempus Sans ITC"/>
        <family val="5"/>
      </rPr>
      <t xml:space="preserve"> </t>
    </r>
    <r>
      <rPr>
        <b/>
        <sz val="18"/>
        <color rgb="FF00B0F0"/>
        <rFont val="Tempus Sans ITC"/>
        <family val="5"/>
      </rPr>
      <t>**</t>
    </r>
  </si>
  <si>
    <t>Immediate Skin to Skin at Birth?</t>
  </si>
  <si>
    <t>Breastfeeding within the first hour</t>
  </si>
  <si>
    <r>
      <t>Feeding Type at Birth</t>
    </r>
    <r>
      <rPr>
        <b/>
        <sz val="14"/>
        <color rgb="FF00B0F0"/>
        <rFont val="Tempus Sans ITC"/>
        <family val="5"/>
      </rPr>
      <t xml:space="preserve"> </t>
    </r>
    <r>
      <rPr>
        <b/>
        <sz val="18"/>
        <color rgb="FF00B0F0"/>
        <rFont val="Tempus Sans ITC"/>
        <family val="5"/>
      </rPr>
      <t>**</t>
    </r>
  </si>
  <si>
    <r>
      <t xml:space="preserve">1st Midwife at birth </t>
    </r>
    <r>
      <rPr>
        <b/>
        <sz val="10"/>
        <color rgb="FFFF0000"/>
        <rFont val="Tempus Sans ITC"/>
        <family val="5"/>
      </rPr>
      <t xml:space="preserve">(free text)          </t>
    </r>
    <r>
      <rPr>
        <b/>
        <sz val="14"/>
        <rFont val="Tempus Sans ITC"/>
        <family val="5"/>
      </rPr>
      <t xml:space="preserve">     </t>
    </r>
  </si>
  <si>
    <r>
      <t xml:space="preserve">2nd Midwife at birth </t>
    </r>
    <r>
      <rPr>
        <b/>
        <sz val="10"/>
        <color rgb="FFFF0000"/>
        <rFont val="Tempus Sans ITC"/>
        <family val="5"/>
      </rPr>
      <t xml:space="preserve">free text)    </t>
    </r>
    <r>
      <rPr>
        <b/>
        <sz val="14"/>
        <rFont val="Tempus Sans ITC"/>
        <family val="5"/>
      </rPr>
      <t xml:space="preserve">          </t>
    </r>
  </si>
  <si>
    <r>
      <t xml:space="preserve">3rd Midwife at birth </t>
    </r>
    <r>
      <rPr>
        <b/>
        <sz val="10"/>
        <color rgb="FFFF0000"/>
        <rFont val="Tempus Sans ITC"/>
        <family val="5"/>
      </rPr>
      <t xml:space="preserve">(free text)         </t>
    </r>
    <r>
      <rPr>
        <b/>
        <sz val="14"/>
        <color rgb="FFFF0000"/>
        <rFont val="Tempus Sans ITC"/>
        <family val="5"/>
      </rPr>
      <t xml:space="preserve">       </t>
    </r>
  </si>
  <si>
    <r>
      <t xml:space="preserve">Number of Midwives Involved during  labor or Birth? </t>
    </r>
    <r>
      <rPr>
        <b/>
        <sz val="10"/>
        <color rgb="FFFF0000"/>
        <rFont val="Tempus Sans ITC"/>
        <family val="5"/>
      </rPr>
      <t xml:space="preserve">(free text)   </t>
    </r>
    <r>
      <rPr>
        <b/>
        <sz val="14"/>
        <rFont val="Tempus Sans ITC"/>
        <family val="5"/>
      </rPr>
      <t xml:space="preserve"> </t>
    </r>
  </si>
  <si>
    <t>Birth Assistant present during Labor or Birth</t>
  </si>
  <si>
    <r>
      <t>“1</t>
    </r>
    <r>
      <rPr>
        <vertAlign val="superscript"/>
        <sz val="14"/>
        <color theme="1"/>
        <rFont val="Tempus Sans ITC"/>
        <family val="5"/>
      </rPr>
      <t>st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4"/>
        <color theme="1"/>
        <rFont val="Tempus Sans ITC"/>
        <family val="5"/>
      </rPr>
      <t xml:space="preserve">Trainee in labor” </t>
    </r>
    <r>
      <rPr>
        <b/>
        <sz val="10"/>
        <color rgb="FFFF0000"/>
        <rFont val="Tempus Sans ITC"/>
        <family val="5"/>
      </rPr>
      <t>(free text)</t>
    </r>
  </si>
  <si>
    <r>
      <t>“2nd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4"/>
        <color theme="1"/>
        <rFont val="Tempus Sans ITC"/>
        <family val="5"/>
      </rPr>
      <t xml:space="preserve">Trainee in labor” </t>
    </r>
    <r>
      <rPr>
        <b/>
        <sz val="10"/>
        <color rgb="FFFF0000"/>
        <rFont val="Tempus Sans ITC"/>
        <family val="5"/>
      </rPr>
      <t>(free text)</t>
    </r>
  </si>
  <si>
    <r>
      <t>“3rd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4"/>
        <color theme="1"/>
        <rFont val="Tempus Sans ITC"/>
        <family val="5"/>
      </rPr>
      <t xml:space="preserve">Trainee in labor” </t>
    </r>
    <r>
      <rPr>
        <b/>
        <sz val="10"/>
        <color rgb="FFFF0000"/>
        <rFont val="Tempus Sans ITC"/>
        <family val="5"/>
      </rPr>
      <t>(free text)</t>
    </r>
  </si>
  <si>
    <r>
      <t>“4th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4"/>
        <color theme="1"/>
        <rFont val="Tempus Sans ITC"/>
        <family val="5"/>
      </rPr>
      <t xml:space="preserve">Trainee in labor” </t>
    </r>
    <r>
      <rPr>
        <b/>
        <sz val="10"/>
        <color rgb="FFFF0000"/>
        <rFont val="Tempus Sans ITC"/>
        <family val="5"/>
      </rPr>
      <t>(free text)</t>
    </r>
  </si>
  <si>
    <r>
      <t xml:space="preserve">How many people in labor to support?  </t>
    </r>
    <r>
      <rPr>
        <b/>
        <sz val="10"/>
        <color rgb="FFFF0000"/>
        <rFont val="Tempus Sans ITC"/>
        <family val="5"/>
      </rPr>
      <t xml:space="preserve">(free text) </t>
    </r>
  </si>
  <si>
    <r>
      <t xml:space="preserve">Main Support Person             </t>
    </r>
    <r>
      <rPr>
        <b/>
        <sz val="10"/>
        <color rgb="FFFF0000"/>
        <rFont val="Tempus Sans ITC"/>
        <family val="5"/>
      </rPr>
      <t>(free text)</t>
    </r>
    <r>
      <rPr>
        <b/>
        <sz val="14"/>
        <rFont val="Tempus Sans ITC"/>
        <family val="5"/>
      </rPr>
      <t xml:space="preserve"> </t>
    </r>
  </si>
  <si>
    <t xml:space="preserve"> Elder present?</t>
  </si>
  <si>
    <t>Family member catching the baby?</t>
  </si>
  <si>
    <t>Reason for                            Intrapartum                             Medical                                Consultation</t>
  </si>
  <si>
    <t>Intrapartum           Medical            Consultation             made with</t>
  </si>
  <si>
    <t>Reason                               for                                Intrapartum                          Medical Transfer</t>
  </si>
  <si>
    <t>Intrapartum             Transfer                            to</t>
  </si>
  <si>
    <t xml:space="preserve">Medical Evacuation? </t>
  </si>
  <si>
    <r>
      <t xml:space="preserve">Waiting time for the plane </t>
    </r>
    <r>
      <rPr>
        <b/>
        <sz val="10"/>
        <color rgb="FFFF0000"/>
        <rFont val="Tempus Sans ITC"/>
        <family val="5"/>
      </rPr>
      <t xml:space="preserve"> </t>
    </r>
    <r>
      <rPr>
        <b/>
        <sz val="14"/>
        <color rgb="FFFF0000"/>
        <rFont val="Tempus Sans ITC"/>
        <family val="5"/>
      </rPr>
      <t xml:space="preserve">hh:mm      </t>
    </r>
    <r>
      <rPr>
        <b/>
        <sz val="12"/>
        <color rgb="FFFF0000"/>
        <rFont val="Tempus Sans ITC"/>
        <family val="5"/>
      </rPr>
      <t>(free text)</t>
    </r>
  </si>
  <si>
    <t>Use of Midwifery Incubator</t>
  </si>
  <si>
    <t>Postnatal Care</t>
  </si>
  <si>
    <r>
      <t xml:space="preserve">Date of collection           </t>
    </r>
    <r>
      <rPr>
        <b/>
        <sz val="16"/>
        <color rgb="FFFF0000"/>
        <rFont val="Tempus Sans ITC"/>
        <family val="5"/>
      </rPr>
      <t>YYYY-MM_DD</t>
    </r>
  </si>
  <si>
    <t>Trainee Involved in Postnatal Care ?</t>
  </si>
  <si>
    <t>Feeding type           at Last          appointment?</t>
  </si>
  <si>
    <r>
      <t xml:space="preserve">Nb of weeks at last Appointment? </t>
    </r>
    <r>
      <rPr>
        <b/>
        <sz val="10"/>
        <rFont val="Tempus Sans ITC"/>
        <family val="5"/>
      </rPr>
      <t xml:space="preserve">                         </t>
    </r>
    <r>
      <rPr>
        <b/>
        <sz val="10"/>
        <color rgb="FFFF0000"/>
        <rFont val="Tempus Sans ITC"/>
        <family val="5"/>
      </rPr>
      <t xml:space="preserve">(full numbers only) Ex: 38 </t>
    </r>
  </si>
  <si>
    <t>Maternal Postnatal Medical Consultation?</t>
  </si>
  <si>
    <r>
      <t xml:space="preserve">Reason for               Maternal                      Postnatal Consultation         </t>
    </r>
    <r>
      <rPr>
        <b/>
        <sz val="10"/>
        <color rgb="FFFF0000"/>
        <rFont val="Tempus Sans ITC"/>
        <family val="5"/>
      </rPr>
      <t>(free text)</t>
    </r>
  </si>
  <si>
    <t>Maternal             Postnatal Consultation           made with</t>
  </si>
  <si>
    <t>Maternal Postnatal Transfer of Care?</t>
  </si>
  <si>
    <r>
      <t xml:space="preserve">Reason for                                  Maternal Postnatal                 Transfer of Care                             </t>
    </r>
    <r>
      <rPr>
        <b/>
        <sz val="10"/>
        <color rgb="FFFF0000"/>
        <rFont val="Tempus Sans ITC"/>
        <family val="5"/>
      </rPr>
      <t>(free text)</t>
    </r>
  </si>
  <si>
    <t xml:space="preserve"> Maternal            Postnatal Transfer     of Care to                           </t>
  </si>
  <si>
    <t>Newborn Consultation?</t>
  </si>
  <si>
    <r>
      <t xml:space="preserve">Reason for                             Newborn                     Consultation                            </t>
    </r>
    <r>
      <rPr>
        <b/>
        <sz val="10"/>
        <color rgb="FFFF0000"/>
        <rFont val="Tempus Sans ITC"/>
        <family val="5"/>
      </rPr>
      <t>(free text)</t>
    </r>
  </si>
  <si>
    <t>Newborn Consultation       with?</t>
  </si>
  <si>
    <t>Newborn                Transfer?</t>
  </si>
  <si>
    <r>
      <t xml:space="preserve">Reason for                                       Newborn Transfer                               </t>
    </r>
    <r>
      <rPr>
        <b/>
        <sz val="10"/>
        <color rgb="FFFF0000"/>
        <rFont val="Tempus Sans ITC"/>
        <family val="5"/>
      </rPr>
      <t>(free text)</t>
    </r>
  </si>
  <si>
    <t>Throughout Midwifery Care</t>
  </si>
  <si>
    <r>
      <t>Date of collection</t>
    </r>
    <r>
      <rPr>
        <b/>
        <sz val="16"/>
        <color rgb="FFFF0000"/>
        <rFont val="Tempus Sans ITC"/>
        <family val="5"/>
      </rPr>
      <t>YYYY-MM-DD</t>
    </r>
  </si>
  <si>
    <t>Any Midwifery Care Received in Cree Language?</t>
  </si>
  <si>
    <t>Elder or Knowledge Keeper Involved in Care?</t>
  </si>
  <si>
    <t>Traditional Teachings or Support Offered?</t>
  </si>
  <si>
    <t xml:space="preserve">Referral for           Traditional              Medecine? </t>
  </si>
  <si>
    <t>Near Miss Event or Peer Review?</t>
  </si>
  <si>
    <t>Severe Maternal Morbidity or Mortality?</t>
  </si>
  <si>
    <t>Severe Neonatal Morbidity or Mortality?</t>
  </si>
  <si>
    <t xml:space="preserve">Midwifery </t>
  </si>
  <si>
    <t>Terres-Cries-de-la-Baie-James</t>
  </si>
  <si>
    <t xml:space="preserve">REPORT 1  Demographics                                           </t>
  </si>
  <si>
    <t>Financial Year</t>
  </si>
  <si>
    <t>Report 1 - Demographics Statistics 2024-2025</t>
  </si>
  <si>
    <t>#</t>
  </si>
  <si>
    <t>Grand Total</t>
  </si>
  <si>
    <t>Referred                                         by</t>
  </si>
  <si>
    <t xml:space="preserve">Reason                                                                                                          for referral
</t>
  </si>
  <si>
    <t>Community                                                 of Residence</t>
  </si>
  <si>
    <t>Successful First Contact</t>
  </si>
  <si>
    <t>Eligible to Midwifery Care</t>
  </si>
  <si>
    <t xml:space="preserve"> Nb of  Weeks  at 1st phone or in-person appointment        </t>
  </si>
  <si>
    <t>Reason if                           Never Seen</t>
  </si>
  <si>
    <t>Total of Referred by</t>
  </si>
  <si>
    <t>Total of Reason for Referral</t>
  </si>
  <si>
    <t>Total of Community of Residence</t>
  </si>
  <si>
    <t>Total of Status</t>
  </si>
  <si>
    <t>Total of Successful First Ciontact</t>
  </si>
  <si>
    <t>Total of Eligible to Midwifery Follow Up</t>
  </si>
  <si>
    <t>Total of Number of Wks at 1st Phone Or In-Person Appointment</t>
  </si>
  <si>
    <t>Total of Reason If Never Seen</t>
  </si>
  <si>
    <t>►</t>
  </si>
  <si>
    <r>
      <t xml:space="preserve">Total / year </t>
    </r>
    <r>
      <rPr>
        <b/>
        <sz val="14"/>
        <color rgb="FF00B0F0"/>
        <rFont val="Segoe UI"/>
        <family val="2"/>
      </rPr>
      <t>►</t>
    </r>
  </si>
  <si>
    <t>Report 2 - Prenatal Care  STATISTICS 2024-2025</t>
  </si>
  <si>
    <t>Report 2 Prenatal Care</t>
  </si>
  <si>
    <t>Tobacco             use</t>
  </si>
  <si>
    <t>Substance Use             In Pregnancy</t>
  </si>
  <si>
    <t>CE                     CLE Status</t>
  </si>
  <si>
    <t xml:space="preserve">Pregnancy            Loss </t>
  </si>
  <si>
    <t>Previous                   C/Section</t>
  </si>
  <si>
    <t>Previous                              VBAC</t>
  </si>
  <si>
    <t>High                         Risk                            for PE</t>
  </si>
  <si>
    <t>Anemia                        in Pregnancy</t>
  </si>
  <si>
    <t>STBBIs                                                             in pregnancy</t>
  </si>
  <si>
    <t>Trainee Involved in Prenatal Care</t>
  </si>
  <si>
    <t>Referral to                                                other                                                   Health Care Worker</t>
  </si>
  <si>
    <t xml:space="preserve">Medical Prenatal consultation </t>
  </si>
  <si>
    <t>Reason                                                                                                                                                                for Prenatal consultation 1</t>
  </si>
  <si>
    <t>Reason for                                                                                                                                                          Prenatal consultation 2</t>
  </si>
  <si>
    <t>Reason for                                                                                                                                              Prenatal consultation 3</t>
  </si>
  <si>
    <t>Prenatal Consultation 1                                                        made with</t>
  </si>
  <si>
    <t>Prenatal Consultation 2                                                        made with</t>
  </si>
  <si>
    <t>Prenatal Consultation 3                                                        made with</t>
  </si>
  <si>
    <t>Telehealth in pregnancy</t>
  </si>
  <si>
    <t>Prenatal                                                                                                                                        Transfer of Care</t>
  </si>
  <si>
    <t>Prenatal                                                        Transfer of Care                                                      to</t>
  </si>
  <si>
    <t>Total of Tobacco use</t>
  </si>
  <si>
    <t>Total of Substance Use in Pregnancy</t>
  </si>
  <si>
    <t>Total of BMI</t>
  </si>
  <si>
    <t>Total of CE/CLE</t>
  </si>
  <si>
    <t>Total of DPERH</t>
  </si>
  <si>
    <t>Total of DDV</t>
  </si>
  <si>
    <t>Total of Housing Challenges</t>
  </si>
  <si>
    <t>Total of Pregnancy Loss</t>
  </si>
  <si>
    <t>Yes&gt;3</t>
  </si>
  <si>
    <t>Total of Previous C Section</t>
  </si>
  <si>
    <t>Total of Previous VBAC</t>
  </si>
  <si>
    <t>Total of High Risk of PE</t>
  </si>
  <si>
    <t>Total of GDM</t>
  </si>
  <si>
    <t>Total of Anemia in Pregnancy</t>
  </si>
  <si>
    <t>Total of Trainee Involved In PrenaTAL Care</t>
  </si>
  <si>
    <t>Total of Referral to other HCW</t>
  </si>
  <si>
    <t>Total of Medical Prenatal Consultation</t>
  </si>
  <si>
    <t>Multiple preterm births</t>
  </si>
  <si>
    <t>Total of Reason for Prenatal Consultation 1</t>
  </si>
  <si>
    <t>Total of Reason for Prenatal Consultation 2</t>
  </si>
  <si>
    <t>Total of Reason for Prenatal Consultation 3</t>
  </si>
  <si>
    <t>Total of Consultation 1 made with</t>
  </si>
  <si>
    <t>Total of Consultation 2 made with</t>
  </si>
  <si>
    <t>Total of Consultation 3 made with</t>
  </si>
  <si>
    <t>Total of Other Professional Consulted during Pregnancy</t>
  </si>
  <si>
    <t>Total of Share Care</t>
  </si>
  <si>
    <t>Premature labor</t>
  </si>
  <si>
    <t>Total of Stransfer of Care to</t>
  </si>
  <si>
    <t>Total of Midwifery Care Ended During Pregnancy</t>
  </si>
  <si>
    <t xml:space="preserve">REPORT 3  Intrapartum Care                                           </t>
  </si>
  <si>
    <t>Report 3 - intrapartum care 2024-2025</t>
  </si>
  <si>
    <t>Planned Place of Birth</t>
  </si>
  <si>
    <t>Labor location: Birth Location</t>
  </si>
  <si>
    <t>Actual                                                                                                                               Birth Place</t>
  </si>
  <si>
    <t>Delivery                                                 Mode</t>
  </si>
  <si>
    <t>Birthing                          position</t>
  </si>
  <si>
    <t>Pain                 Medication</t>
  </si>
  <si>
    <t>Fetal               Monotoring           IA</t>
  </si>
  <si>
    <t>Fetal                Monotoring                EFM</t>
  </si>
  <si>
    <t>Assisted                     Vaginal              Delivery</t>
  </si>
  <si>
    <t>Perineal             Lacerations</t>
  </si>
  <si>
    <t xml:space="preserve"> Other                                     Lacerations</t>
  </si>
  <si>
    <t>Estimated                                   Blood                                      Loss</t>
  </si>
  <si>
    <r>
      <t xml:space="preserve">Active                                                             Management                                                                of the </t>
    </r>
    <r>
      <rPr>
        <b/>
        <sz val="14"/>
        <color rgb="FFFF0000"/>
        <rFont val="Tempus Sans ITC"/>
        <family val="5"/>
      </rPr>
      <t>3</t>
    </r>
    <r>
      <rPr>
        <b/>
        <vertAlign val="superscript"/>
        <sz val="11"/>
        <color rgb="FFFF0000"/>
        <rFont val="Calibri"/>
        <family val="2"/>
        <scheme val="minor"/>
      </rPr>
      <t>rd</t>
    </r>
    <r>
      <rPr>
        <b/>
        <sz val="11"/>
        <color rgb="FFFF0000"/>
        <rFont val="Calibri"/>
        <family val="2"/>
        <scheme val="minor"/>
      </rPr>
      <t xml:space="preserve"> Stage?</t>
    </r>
    <r>
      <rPr>
        <sz val="11"/>
        <color rgb="FFFF0000"/>
        <rFont val="Calibri"/>
        <family val="2"/>
        <scheme val="minor"/>
      </rPr>
      <t xml:space="preserve"> </t>
    </r>
  </si>
  <si>
    <t>Blood Transfusion</t>
  </si>
  <si>
    <t>Shoulder           dystocia</t>
  </si>
  <si>
    <t>Neonatal         Resuscitation /            Ventilation </t>
  </si>
  <si>
    <t xml:space="preserve"> Neonatal Resuscitation / Chest Compressions </t>
  </si>
  <si>
    <t>Immediate skin to skin at birth</t>
  </si>
  <si>
    <t>Breastfeeding within              the first hour</t>
  </si>
  <si>
    <t>Feeding                      Type                           at Birth</t>
  </si>
  <si>
    <t>Birth Assistant Present during Labor or Birth</t>
  </si>
  <si>
    <t xml:space="preserve"> Elder        present</t>
  </si>
  <si>
    <t>Family member catching the baby</t>
  </si>
  <si>
    <t xml:space="preserve">Reason For                                                                                                      Intrapartum                                                                                                                  Medical                                                                                                    Consultation </t>
  </si>
  <si>
    <t>Intrapartum                                                 Medical                                                 Consultation                                               made with</t>
  </si>
  <si>
    <t>Reason for                                                                                                                                                                                                                                                                               Intrapartum                                                                                                                                                                                                                                                                                    Medical Transfer</t>
  </si>
  <si>
    <t>Intrapartum                            Transfer                                                   to</t>
  </si>
  <si>
    <t>Medical          Evacuation</t>
  </si>
  <si>
    <t>Use of        Midwifery Incubator</t>
  </si>
  <si>
    <t>Total of Planned Place of Birth (PPOB)</t>
  </si>
  <si>
    <t>Total of Labor: Birth Location</t>
  </si>
  <si>
    <t>Montreal; birth home </t>
  </si>
  <si>
    <t>Total of Actual Birth Place</t>
  </si>
  <si>
    <t>Total of Delivery Mode</t>
  </si>
  <si>
    <t>Total of Birthing Position</t>
  </si>
  <si>
    <t>Total of Water Birth</t>
  </si>
  <si>
    <t>Total of GBS-Status</t>
  </si>
  <si>
    <t>Total of GBS-ATB</t>
  </si>
  <si>
    <t>Total of Pain Medication</t>
  </si>
  <si>
    <t>Total of Fetal Monotoring IA</t>
  </si>
  <si>
    <t>Total of Fetal Monotoring EFM</t>
  </si>
  <si>
    <t>Total of Assisted Vaginal Delivery</t>
  </si>
  <si>
    <t>Total of Episiotomy</t>
  </si>
  <si>
    <t>Total of Perineal Lacerations</t>
  </si>
  <si>
    <t>Total of Other Lacerations</t>
  </si>
  <si>
    <t>Total of Suture</t>
  </si>
  <si>
    <t>Total of Estimated Blood Loss</t>
  </si>
  <si>
    <t>Total of Active Management of the 3rd Stage</t>
  </si>
  <si>
    <t>Total of Blood Transfusion</t>
  </si>
  <si>
    <t>Yes; &gt; 3 maneuvers </t>
  </si>
  <si>
    <t>Total of Shoulder Distocia</t>
  </si>
  <si>
    <t>Total of neonatal Resuscitation/Ventilation</t>
  </si>
  <si>
    <t>Total of Neonatal Resuscitation (first line)  / Chest Compressions (second line)</t>
  </si>
  <si>
    <t>Total of Immediate Skin to Skin at Birth</t>
  </si>
  <si>
    <t>Total of Ibreastfeeding Within The First Hour</t>
  </si>
  <si>
    <t>Total of Feeding Type At Birth</t>
  </si>
  <si>
    <t>Total of Placenta</t>
  </si>
  <si>
    <t>Total of Birth Assistant Present during Labor or Birth</t>
  </si>
  <si>
    <t>Total of Elder Present</t>
  </si>
  <si>
    <t>Total of Family member catching the baby</t>
  </si>
  <si>
    <t xml:space="preserve">Total of Reason for Intrapartum Medical Consultation </t>
  </si>
  <si>
    <t>Total of Intrapartum Medical Consultation made with</t>
  </si>
  <si>
    <t>Total of Intrapartum Medical Transfer</t>
  </si>
  <si>
    <t>Total of Intrapartum Transfer to</t>
  </si>
  <si>
    <t>Total of Medical Evacuation</t>
  </si>
  <si>
    <t>Total of Use of Midwifery Incubator</t>
  </si>
  <si>
    <t xml:space="preserve">REPORT 4  Postnatal Care                                           </t>
  </si>
  <si>
    <t>##</t>
  </si>
  <si>
    <t>Report 4 - Postnatal care statistics 2024-2025</t>
  </si>
  <si>
    <t>Trainee Involved in Postnatal Care</t>
  </si>
  <si>
    <t>Feeding type at     Last             appointment</t>
  </si>
  <si>
    <t>Maternal Postnatal Medical Consultation</t>
  </si>
  <si>
    <t>Maternal                                         Postnatal                                   Consultation                                  made with</t>
  </si>
  <si>
    <t>Maternal Postnatal Transfer of Care</t>
  </si>
  <si>
    <t xml:space="preserve"> Maternal                                        Postnatal                                    Transfer of Care to                           </t>
  </si>
  <si>
    <t>Newborn Consultation</t>
  </si>
  <si>
    <t>Newborn                           Consultation                           with</t>
  </si>
  <si>
    <t>Newborn Transfer</t>
  </si>
  <si>
    <t>Total of Trainee Involved in Postnatal Care</t>
  </si>
  <si>
    <t>Total ofFeeding type at Last appointment</t>
  </si>
  <si>
    <t>Total of Maternal Postnatal Medical Consultation</t>
  </si>
  <si>
    <t>Total of Maternal  Postnatal Consultation  made with</t>
  </si>
  <si>
    <t>Total of Maternal Postnatal Transfer of Care</t>
  </si>
  <si>
    <t xml:space="preserve">Total of  Maternal Postnatal Transfer of Care to                   </t>
  </si>
  <si>
    <t>Total of Newborn Consultation</t>
  </si>
  <si>
    <t>Total of Newborn Consultation with</t>
  </si>
  <si>
    <t>Total of Newborn Transfer</t>
  </si>
  <si>
    <t xml:space="preserve">REPORT 5  Throughout Midwifery Care                                         </t>
  </si>
  <si>
    <t>Report 5 - Throughout Midwifery Care STATISTICS 2024-2025</t>
  </si>
  <si>
    <t>Any Midwifery Care Received in Cree Language</t>
  </si>
  <si>
    <t>Elder Knowledge or Keeper Involved in Care</t>
  </si>
  <si>
    <t>Traditional Teachings or Support Offered</t>
  </si>
  <si>
    <t xml:space="preserve">Referral for Traditional Medecine? </t>
  </si>
  <si>
    <t>Total of Any Midwifery Care Received in Cree Language</t>
  </si>
  <si>
    <t>Total of Elder Knowledge Keeper Involved in Care</t>
  </si>
  <si>
    <t>Total of Teachings Support Offered</t>
  </si>
  <si>
    <t>Total of Referral for Traditional Medecine</t>
  </si>
  <si>
    <t>Total of Near Miss Event or Peer Review</t>
  </si>
  <si>
    <t>Total of Severe Maternal Morbidity or Mortality</t>
  </si>
  <si>
    <t>Total of Neonatal Morbidity or Mortality</t>
  </si>
  <si>
    <t>April 2025</t>
  </si>
  <si>
    <t>May 2025</t>
  </si>
  <si>
    <t>June 2025</t>
  </si>
  <si>
    <t>July 2025</t>
  </si>
  <si>
    <t>August 2025</t>
  </si>
  <si>
    <t>September 2025</t>
  </si>
  <si>
    <t>October 2025</t>
  </si>
  <si>
    <t>November 2025</t>
  </si>
  <si>
    <t>December 2025</t>
  </si>
  <si>
    <t>January 2026</t>
  </si>
  <si>
    <t>February 2026</t>
  </si>
  <si>
    <t>March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</si>
</sst>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0"/>
    <numFmt numFmtId="166" formatCode="_(* #,##0_);_(* \-#,##0\ ;_(* &quot;-&quot;_);_(@_)"/>
    <numFmt numFmtId="167" formatCode="yyyy\-mm\-dd"/>
    <numFmt numFmtId="168" formatCode="yyyy\-mm\-dd;@"/>
    <numFmt numFmtId="169" formatCode="[h]:mm;@"/>
    <numFmt numFmtId="170" formatCode="yyyy/mm/dd;@"/>
  </numFmts>
  <fonts count="1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Engravers MT"/>
      <family val="1"/>
    </font>
    <font>
      <sz val="10"/>
      <color theme="1"/>
      <name val="MV Boli"/>
    </font>
    <font>
      <b/>
      <sz val="16"/>
      <name val="Microsoft Tai Le"/>
      <family val="2"/>
    </font>
    <font>
      <b/>
      <sz val="11"/>
      <name val="Arial"/>
      <family val="2"/>
    </font>
    <font>
      <b/>
      <sz val="11"/>
      <color theme="1"/>
      <name val="MV Boli"/>
    </font>
    <font>
      <b/>
      <sz val="11"/>
      <color theme="1"/>
      <name val="MingLiU_HKSCS-ExtB"/>
      <family val="1"/>
    </font>
    <font>
      <sz val="11"/>
      <color theme="1"/>
      <name val="MV Boli"/>
    </font>
    <font>
      <b/>
      <sz val="14"/>
      <color theme="1"/>
      <name val="MV Boli"/>
    </font>
    <font>
      <b/>
      <sz val="8"/>
      <name val="Mongolian Baiti"/>
      <family val="4"/>
    </font>
    <font>
      <sz val="8"/>
      <name val="Mongolian Baiti"/>
      <family val="4"/>
    </font>
    <font>
      <b/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0"/>
      <name val="Arial Narrow"/>
      <family val="2"/>
    </font>
    <font>
      <b/>
      <sz val="9"/>
      <name val="Arial Narrow"/>
      <family val="2"/>
    </font>
    <font>
      <b/>
      <sz val="14"/>
      <name val="Tempus Sans ITC"/>
      <family val="5"/>
    </font>
    <font>
      <b/>
      <sz val="10"/>
      <name val="Tempus Sans ITC"/>
      <family val="5"/>
    </font>
    <font>
      <b/>
      <sz val="10"/>
      <color rgb="FFFF0000"/>
      <name val="Tempus Sans ITC"/>
      <family val="5"/>
    </font>
    <font>
      <b/>
      <sz val="14"/>
      <color rgb="FFC00000"/>
      <name val="Tempus Sans ITC"/>
      <family val="5"/>
    </font>
    <font>
      <sz val="11"/>
      <color theme="1"/>
      <name val="Tempus Sans ITC"/>
      <family val="5"/>
    </font>
    <font>
      <sz val="11"/>
      <name val="Tempus Sans ITC"/>
      <family val="5"/>
    </font>
    <font>
      <b/>
      <sz val="20"/>
      <name val="Papyrus"/>
      <family val="4"/>
    </font>
    <font>
      <b/>
      <sz val="14"/>
      <color rgb="FFFF0000"/>
      <name val="Tempus Sans ITC"/>
      <family val="5"/>
    </font>
    <font>
      <b/>
      <sz val="14"/>
      <color theme="1"/>
      <name val="Engravers MT"/>
      <family val="1"/>
    </font>
    <font>
      <sz val="10"/>
      <color rgb="FFFF0000"/>
      <name val="Arial"/>
      <family val="2"/>
    </font>
    <font>
      <b/>
      <sz val="11"/>
      <color theme="1"/>
      <name val="Arial Narrow"/>
      <family val="2"/>
    </font>
    <font>
      <b/>
      <sz val="16"/>
      <color theme="1"/>
      <name val="KaiTi"/>
      <family val="3"/>
    </font>
    <font>
      <sz val="10"/>
      <color theme="1"/>
      <name val="KaiTi"/>
      <family val="3"/>
    </font>
    <font>
      <b/>
      <sz val="10"/>
      <color indexed="8"/>
      <name val="KaiTi"/>
      <family val="3"/>
    </font>
    <font>
      <sz val="10"/>
      <color indexed="8"/>
      <name val="KaiTi"/>
      <family val="3"/>
    </font>
    <font>
      <sz val="11"/>
      <color theme="1"/>
      <name val="KaiTi"/>
      <family val="3"/>
    </font>
    <font>
      <b/>
      <sz val="10"/>
      <color rgb="FFFF0000"/>
      <name val="KaiTi"/>
      <family val="3"/>
    </font>
    <font>
      <b/>
      <sz val="10"/>
      <color theme="7" tint="-0.249977111117893"/>
      <name val="KaiTi"/>
      <family val="3"/>
    </font>
    <font>
      <sz val="11"/>
      <color theme="7" tint="-0.249977111117893"/>
      <name val="KaiTi"/>
      <family val="3"/>
    </font>
    <font>
      <sz val="10"/>
      <color theme="7" tint="-0.249977111117893"/>
      <name val="KaiTi"/>
      <family val="3"/>
    </font>
    <font>
      <sz val="9"/>
      <name val="Arial Narrow"/>
      <family val="2"/>
    </font>
    <font>
      <sz val="10"/>
      <color rgb="FF00B050"/>
      <name val="Arial"/>
      <family val="2"/>
    </font>
    <font>
      <sz val="11"/>
      <name val="Arial"/>
      <family val="2"/>
    </font>
    <font>
      <b/>
      <sz val="12"/>
      <color theme="1"/>
      <name val="Tempus Sans ITC"/>
      <family val="5"/>
    </font>
    <font>
      <b/>
      <sz val="36"/>
      <name val="Tempus Sans ITC"/>
      <family val="5"/>
    </font>
    <font>
      <b/>
      <sz val="20"/>
      <name val="Tempus Sans ITC"/>
      <family val="5"/>
    </font>
    <font>
      <sz val="10"/>
      <name val="Calibri"/>
      <family val="2"/>
    </font>
    <font>
      <b/>
      <sz val="24"/>
      <name val="Tempus Sans ITC"/>
      <family val="5"/>
    </font>
    <font>
      <b/>
      <sz val="22"/>
      <name val="Tempus Sans ITC"/>
      <family val="5"/>
    </font>
    <font>
      <b/>
      <sz val="10"/>
      <name val="Segoe UI"/>
      <family val="2"/>
    </font>
    <font>
      <sz val="10"/>
      <name val="Tempus Sans ITC"/>
      <family val="5"/>
    </font>
    <font>
      <sz val="14"/>
      <name val="Arial"/>
      <family val="2"/>
    </font>
    <font>
      <sz val="14"/>
      <color theme="1"/>
      <name val="MV Boli"/>
    </font>
    <font>
      <sz val="14"/>
      <color theme="1"/>
      <name val="Calibri"/>
      <family val="2"/>
      <scheme val="minor"/>
    </font>
    <font>
      <sz val="10"/>
      <color theme="1"/>
      <name val="Tempus Sans ITC"/>
      <family val="5"/>
    </font>
    <font>
      <b/>
      <sz val="10"/>
      <color theme="1"/>
      <name val="Tempus Sans ITC"/>
      <family val="5"/>
    </font>
    <font>
      <b/>
      <sz val="14"/>
      <color rgb="FFFFC000"/>
      <name val="Calibri"/>
      <family val="2"/>
    </font>
    <font>
      <b/>
      <sz val="11"/>
      <color rgb="FF000000"/>
      <name val="Calibri"/>
      <family val="2"/>
    </font>
    <font>
      <sz val="36"/>
      <color rgb="FFFF0000"/>
      <name val="Mistral"/>
      <family val="4"/>
    </font>
    <font>
      <sz val="11"/>
      <color rgb="FF0D0D0D"/>
      <name val="Calibri"/>
      <family val="2"/>
      <scheme val="minor"/>
    </font>
    <font>
      <vertAlign val="superscript"/>
      <sz val="14"/>
      <color theme="1"/>
      <name val="Tempus Sans ITC"/>
      <family val="5"/>
    </font>
    <font>
      <b/>
      <sz val="14"/>
      <color theme="1"/>
      <name val="Tempus Sans ITC"/>
      <family val="5"/>
    </font>
    <font>
      <sz val="11"/>
      <name val="Calibri"/>
      <family val="2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1"/>
      <name val="Rockwell Extra Bold"/>
      <family val="1"/>
    </font>
    <font>
      <sz val="11"/>
      <name val="Rockwell Extra Bold"/>
      <family val="1"/>
    </font>
    <font>
      <sz val="10"/>
      <name val="Segoe UI"/>
      <family val="2"/>
    </font>
    <font>
      <b/>
      <sz val="22"/>
      <color theme="1"/>
      <name val="Tempus Sans ITC"/>
      <family val="5"/>
    </font>
    <font>
      <b/>
      <sz val="36"/>
      <color theme="1"/>
      <name val="Tempus Sans ITC"/>
      <family val="5"/>
    </font>
    <font>
      <b/>
      <sz val="14"/>
      <color rgb="FF00B0F0"/>
      <name val="Tempus Sans ITC"/>
      <family val="5"/>
    </font>
    <font>
      <b/>
      <sz val="14"/>
      <color rgb="FF00B0F0"/>
      <name val="Segoe UI"/>
      <family val="2"/>
    </font>
    <font>
      <b/>
      <sz val="24"/>
      <color rgb="FF00B0F0"/>
      <name val="Tempus Sans ITC"/>
      <family val="5"/>
    </font>
    <font>
      <b/>
      <sz val="24"/>
      <color rgb="FFFF0000"/>
      <name val="Tempus Sans ITC"/>
      <family val="5"/>
    </font>
    <font>
      <sz val="12"/>
      <name val="Calibri"/>
      <family val="2"/>
      <scheme val="minor"/>
    </font>
    <font>
      <b/>
      <sz val="11"/>
      <name val="Tempus Sans ITC"/>
      <family val="5"/>
    </font>
    <font>
      <b/>
      <sz val="18"/>
      <color theme="1"/>
      <name val="Tempus Sans ITC"/>
      <family val="5"/>
    </font>
    <font>
      <b/>
      <sz val="18"/>
      <name val="Tempus Sans ITC"/>
      <family val="5"/>
    </font>
    <font>
      <b/>
      <sz val="20"/>
      <color theme="1"/>
      <name val="Tempus Sans ITC"/>
      <family val="5"/>
    </font>
    <font>
      <b/>
      <sz val="18"/>
      <color rgb="FF00B0F0"/>
      <name val="Tempus Sans ITC"/>
      <family val="5"/>
    </font>
    <font>
      <b/>
      <sz val="28"/>
      <name val="Tempus Sans ITC"/>
      <family val="5"/>
    </font>
    <font>
      <b/>
      <sz val="11"/>
      <name val="MV Boli"/>
    </font>
    <font>
      <sz val="11"/>
      <name val="MV Boli"/>
    </font>
    <font>
      <b/>
      <sz val="16"/>
      <name val="Tempus Sans ITC"/>
      <family val="5"/>
    </font>
    <font>
      <b/>
      <sz val="16"/>
      <color theme="1"/>
      <name val="Tempus Sans ITC"/>
      <family val="5"/>
    </font>
    <font>
      <b/>
      <sz val="14"/>
      <name val="MV Boli"/>
    </font>
    <font>
      <b/>
      <sz val="11"/>
      <color theme="1"/>
      <name val="Tempus Sans ITC"/>
      <family val="5"/>
    </font>
    <font>
      <b/>
      <sz val="16"/>
      <color theme="1"/>
      <name val="Arial"/>
      <family val="2"/>
    </font>
    <font>
      <sz val="12"/>
      <color theme="1"/>
      <name val="Tempus Sans ITC"/>
      <family val="5"/>
    </font>
    <font>
      <b/>
      <sz val="9"/>
      <color theme="1"/>
      <name val="Tempus Sans ITC"/>
      <family val="5"/>
    </font>
    <font>
      <b/>
      <sz val="11"/>
      <color theme="3" tint="0.39997558519241921"/>
      <name val="Tempus Sans ITC"/>
      <family val="5"/>
    </font>
    <font>
      <b/>
      <sz val="11"/>
      <color theme="6" tint="-0.249977111117893"/>
      <name val="Tempus Sans ITC"/>
      <family val="5"/>
    </font>
    <font>
      <sz val="20"/>
      <color theme="1"/>
      <name val="Tempus Sans ITC"/>
      <family val="5"/>
    </font>
    <font>
      <b/>
      <sz val="12"/>
      <name val="Tempus Sans ITC"/>
      <family val="5"/>
    </font>
    <font>
      <b/>
      <sz val="11"/>
      <color rgb="FFFF0000"/>
      <name val="Calibri"/>
      <family val="2"/>
      <scheme val="minor"/>
    </font>
    <font>
      <b/>
      <sz val="11"/>
      <color rgb="FFFF0000"/>
      <name val="Tempus Sans ITC"/>
      <family val="5"/>
    </font>
    <font>
      <b/>
      <sz val="12"/>
      <color rgb="FFFF0000"/>
      <name val="Tempus Sans ITC"/>
      <family val="5"/>
    </font>
    <font>
      <b/>
      <vertAlign val="superscript"/>
      <sz val="11"/>
      <color rgb="FFFF0000"/>
      <name val="Calibri"/>
      <family val="2"/>
      <scheme val="minor"/>
    </font>
    <font>
      <sz val="11"/>
      <color rgb="FFFF0000"/>
      <name val="Tempus Sans ITC"/>
      <family val="5"/>
    </font>
    <font>
      <b/>
      <sz val="16"/>
      <color rgb="FFFF0000"/>
      <name val="Tempus Sans ITC"/>
      <family val="5"/>
    </font>
    <font>
      <b/>
      <sz val="16"/>
      <color rgb="FF00B0F0"/>
      <name val="Tempus Sans ITC"/>
      <family val="5"/>
    </font>
    <font>
      <b/>
      <sz val="16"/>
      <color rgb="FFC00000"/>
      <name val="Tempus Sans ITC"/>
      <family val="5"/>
    </font>
    <font>
      <sz val="12"/>
      <color rgb="FFFF0000"/>
      <name val="Arial Narrow"/>
      <family val="2"/>
    </font>
    <font>
      <sz val="8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gradientFill type="path" left="0.5" right="0.5" top="0.5" bottom="0.5">
        <stop position="0">
          <color rgb="FF00B0F0"/>
        </stop>
        <stop position="1">
          <color theme="8" tint="0.80001220740379042"/>
        </stop>
      </gradientFill>
    </fill>
    <fill>
      <patternFill patternType="solid">
        <fgColor rgb="FFD2FAFE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7" tint="0.80001220740379042"/>
        </stop>
      </gradientFill>
    </fill>
    <fill>
      <patternFill patternType="solid">
        <fgColor rgb="FFFFC000"/>
        <bgColor indexed="64"/>
      </patternFill>
    </fill>
    <fill>
      <gradientFill type="path" left="0.5" right="0.5" top="0.5" bottom="0.5">
        <stop position="0">
          <color rgb="FFFFFF00"/>
        </stop>
        <stop position="1">
          <color theme="7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7" tint="0.40000610370189521"/>
        </stop>
      </gradientFill>
    </fill>
    <fill>
      <patternFill patternType="solid">
        <fgColor rgb="FFD6DCE4"/>
        <bgColor indexed="64"/>
      </patternFill>
    </fill>
    <fill>
      <patternFill patternType="solid">
        <fgColor theme="2"/>
        <bgColor indexed="64"/>
      </patternFill>
    </fill>
    <fill>
      <gradientFill type="path" left="0.5" right="0.5" top="0.5" bottom="0.5">
        <stop position="0">
          <color rgb="FF00B050"/>
        </stop>
        <stop position="1">
          <color theme="7" tint="0.40000610370189521"/>
        </stop>
      </gradientFill>
    </fill>
    <fill>
      <patternFill patternType="solid">
        <fgColor rgb="FFFFFF00"/>
        <bgColor auto="1"/>
      </patternFill>
    </fill>
    <fill>
      <gradientFill type="path" left="0.5" right="0.5" top="0.5" bottom="0.5">
        <stop position="0">
          <color theme="0"/>
        </stop>
        <stop position="1">
          <color theme="8" tint="0.59999389629810485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80001220740379042"/>
        </stop>
      </gradientFill>
    </fill>
    <fill>
      <gradientFill type="path" left="0.5" right="0.5" top="0.5" bottom="0.5">
        <stop position="0">
          <color theme="0"/>
        </stop>
        <stop position="1">
          <color theme="3" tint="0.80001220740379042"/>
        </stop>
      </gradientFill>
    </fill>
    <fill>
      <gradientFill type="path" left="0.5" right="0.5" top="0.5" bottom="0.5">
        <stop position="0">
          <color rgb="FFD2FAFE"/>
        </stop>
        <stop position="1">
          <color theme="6" tint="0.59999389629810485"/>
        </stop>
      </gradientFill>
    </fill>
    <fill>
      <gradientFill type="path" left="0.5" right="0.5" top="0.5" bottom="0.5">
        <stop position="0">
          <color rgb="FFFFFF00"/>
        </stop>
        <stop position="1">
          <color rgb="FF00B050"/>
        </stop>
      </gradientFill>
    </fill>
    <fill>
      <gradientFill type="path" left="0.5" right="0.5" top="0.5" bottom="0.5">
        <stop position="0">
          <color rgb="FF00B0F0"/>
        </stop>
        <stop position="1">
          <color rgb="FFFFFF00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rgb="FF7030A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7030A0"/>
      </top>
      <bottom style="thin">
        <color indexed="64"/>
      </bottom>
      <diagonal/>
    </border>
    <border>
      <left/>
      <right style="thin">
        <color indexed="64"/>
      </right>
      <top style="thick">
        <color rgb="FF7030A0"/>
      </top>
      <bottom style="thin">
        <color indexed="64"/>
      </bottom>
      <diagonal/>
    </border>
    <border>
      <left/>
      <right/>
      <top style="thick">
        <color rgb="FF7030A0"/>
      </top>
      <bottom style="thin">
        <color indexed="64"/>
      </bottom>
      <diagonal/>
    </border>
    <border>
      <left/>
      <right/>
      <top style="thick">
        <color rgb="FF7030A0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7030A0"/>
      </right>
      <top/>
      <bottom/>
      <diagonal/>
    </border>
    <border>
      <left style="thick">
        <color rgb="FF7030A0"/>
      </left>
      <right style="thick">
        <color rgb="FF7030A0"/>
      </right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7030A0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030A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7030A0"/>
      </left>
      <right style="hair">
        <color rgb="FF7030A0"/>
      </right>
      <top style="thin">
        <color indexed="64"/>
      </top>
      <bottom style="hair">
        <color rgb="FF7030A0"/>
      </bottom>
      <diagonal/>
    </border>
    <border>
      <left style="thick">
        <color rgb="FF7030A0"/>
      </left>
      <right style="hair">
        <color rgb="FF7030A0"/>
      </right>
      <top style="hair">
        <color rgb="FF7030A0"/>
      </top>
      <bottom style="hair">
        <color rgb="FF7030A0"/>
      </bottom>
      <diagonal/>
    </border>
    <border>
      <left style="hair">
        <color rgb="FF7030A0"/>
      </left>
      <right style="hair">
        <color rgb="FF7030A0"/>
      </right>
      <top style="hair">
        <color rgb="FF7030A0"/>
      </top>
      <bottom style="hair">
        <color rgb="FF7030A0"/>
      </bottom>
      <diagonal/>
    </border>
    <border>
      <left style="hair">
        <color rgb="FF7030A0"/>
      </left>
      <right style="medium">
        <color indexed="64"/>
      </right>
      <top style="hair">
        <color rgb="FF7030A0"/>
      </top>
      <bottom style="hair">
        <color rgb="FF7030A0"/>
      </bottom>
      <diagonal/>
    </border>
    <border>
      <left/>
      <right style="thin">
        <color indexed="64"/>
      </right>
      <top style="thick">
        <color rgb="FF7030A0"/>
      </top>
      <bottom style="medium">
        <color indexed="64"/>
      </bottom>
      <diagonal/>
    </border>
    <border>
      <left/>
      <right/>
      <top style="thick">
        <color rgb="FF7030A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rgb="FF7030A0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030A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7030A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7030A0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7030A0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rgb="FF7030A0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rgb="FF7030A0"/>
      </bottom>
      <diagonal/>
    </border>
    <border>
      <left/>
      <right style="hair">
        <color indexed="64"/>
      </right>
      <top style="hair">
        <color indexed="64"/>
      </top>
      <bottom style="thick">
        <color rgb="FF7030A0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rgb="FF7030A0"/>
      </bottom>
      <diagonal/>
    </border>
    <border>
      <left style="double">
        <color indexed="64"/>
      </left>
      <right style="double">
        <color indexed="64"/>
      </right>
      <top style="thick">
        <color rgb="FF7030A0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ashed">
        <color indexed="64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medium">
        <color auto="1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/>
      <diagonal/>
    </border>
    <border>
      <left style="thick">
        <color rgb="FF7030A0"/>
      </left>
      <right style="thick">
        <color rgb="FF7030A0"/>
      </right>
      <top style="medium">
        <color auto="1"/>
      </top>
      <bottom/>
      <diagonal/>
    </border>
    <border>
      <left style="thick">
        <color rgb="FF7030A0"/>
      </left>
      <right style="thick">
        <color rgb="FF7030A0"/>
      </right>
      <top style="hair">
        <color rgb="FF7030A0"/>
      </top>
      <bottom style="hair">
        <color rgb="FF7030A0"/>
      </bottom>
      <diagonal/>
    </border>
    <border>
      <left style="thick">
        <color rgb="FF7030A0"/>
      </left>
      <right style="thick">
        <color rgb="FF7030A0"/>
      </right>
      <top style="hair">
        <color rgb="FF7030A0"/>
      </top>
      <bottom style="thick">
        <color rgb="FF7030A0"/>
      </bottom>
      <diagonal/>
    </border>
    <border>
      <left style="thick">
        <color rgb="FF7030A0"/>
      </left>
      <right style="thick">
        <color rgb="FF7030A0"/>
      </right>
      <top/>
      <bottom style="hair">
        <color rgb="FF7030A0"/>
      </bottom>
      <diagonal/>
    </border>
    <border>
      <left style="hair">
        <color rgb="FF7030A0"/>
      </left>
      <right/>
      <top style="hair">
        <color rgb="FF7030A0"/>
      </top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 style="hair">
        <color rgb="FF7030A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030A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rgb="FF7030A0"/>
      </bottom>
      <diagonal/>
    </border>
    <border>
      <left style="medium">
        <color indexed="64"/>
      </left>
      <right style="medium">
        <color indexed="64"/>
      </right>
      <top style="hair">
        <color rgb="FF7030A0"/>
      </top>
      <bottom style="hair">
        <color rgb="FF7030A0"/>
      </bottom>
      <diagonal/>
    </border>
    <border>
      <left style="medium">
        <color indexed="64"/>
      </left>
      <right style="medium">
        <color indexed="64"/>
      </right>
      <top style="hair">
        <color rgb="FF7030A0"/>
      </top>
      <bottom style="thick">
        <color rgb="FF7030A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00B0F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00B0F0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rgb="FF7030A0"/>
      </left>
      <right style="thick">
        <color rgb="FF7030A0"/>
      </right>
      <top style="thick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rgb="FF00B0F0"/>
      </bottom>
      <diagonal/>
    </border>
    <border>
      <left style="medium">
        <color indexed="64"/>
      </left>
      <right style="thin">
        <color indexed="64"/>
      </right>
      <top style="thick">
        <color rgb="FF7030A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7030A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rgb="FF7030A0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rgb="FF00B0F0"/>
      </bottom>
      <diagonal/>
    </border>
    <border>
      <left style="medium">
        <color indexed="64"/>
      </left>
      <right style="medium">
        <color indexed="64"/>
      </right>
      <top style="hair">
        <color rgb="FF7030A0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rgb="FF7030A0"/>
      </bottom>
      <diagonal/>
    </border>
    <border>
      <left style="medium">
        <color indexed="64"/>
      </left>
      <right style="medium">
        <color indexed="64"/>
      </right>
      <top style="thin">
        <color rgb="FF7030A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thick">
        <color rgb="FF7030A0"/>
      </left>
      <right style="thick">
        <color rgb="FF7030A0"/>
      </right>
      <top/>
      <bottom style="dashed">
        <color indexed="64"/>
      </bottom>
      <diagonal/>
    </border>
    <border>
      <left style="thick">
        <color rgb="FF7030A0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ck">
        <color rgb="FF00B0F0"/>
      </right>
      <top/>
      <bottom/>
      <diagonal/>
    </border>
    <border>
      <left style="thick">
        <color rgb="FF7030A0"/>
      </left>
      <right/>
      <top/>
      <bottom style="hair">
        <color rgb="FF7030A0"/>
      </bottom>
      <diagonal/>
    </border>
    <border>
      <left style="thick">
        <color rgb="FF7030A0"/>
      </left>
      <right/>
      <top style="hair">
        <color rgb="FF7030A0"/>
      </top>
      <bottom style="hair">
        <color rgb="FF7030A0"/>
      </bottom>
      <diagonal/>
    </border>
    <border>
      <left style="thick">
        <color rgb="FF7030A0"/>
      </left>
      <right/>
      <top style="hair">
        <color rgb="FF7030A0"/>
      </top>
      <bottom style="thick">
        <color rgb="FF7030A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rgb="FF7030A0"/>
      </left>
      <right style="medium">
        <color indexed="64"/>
      </right>
      <top style="hair">
        <color rgb="FF7030A0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rgb="FF7030A0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rgb="FF7030A0"/>
      </left>
      <right style="medium">
        <color indexed="64"/>
      </right>
      <top/>
      <bottom style="hair">
        <color rgb="FF7030A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rgb="FF7030A0"/>
      </right>
      <top/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/>
      <diagonal/>
    </border>
    <border>
      <left/>
      <right style="thick">
        <color rgb="FF7030A0"/>
      </right>
      <top/>
      <bottom/>
      <diagonal/>
    </border>
    <border>
      <left style="thin">
        <color theme="1"/>
      </left>
      <right style="medium">
        <color indexed="64"/>
      </right>
      <top style="thick">
        <color rgb="FF7030A0"/>
      </top>
      <bottom style="medium">
        <color indexed="64"/>
      </bottom>
      <diagonal/>
    </border>
    <border>
      <left style="hair">
        <color rgb="FF7030A0"/>
      </left>
      <right style="medium">
        <color indexed="64"/>
      </right>
      <top style="thin">
        <color indexed="64"/>
      </top>
      <bottom style="hair">
        <color rgb="FF7030A0"/>
      </bottom>
      <diagonal/>
    </border>
    <border>
      <left style="thick">
        <color rgb="FF7030A0"/>
      </left>
      <right style="hair">
        <color rgb="FF7030A0"/>
      </right>
      <top style="hair">
        <color rgb="FF7030A0"/>
      </top>
      <bottom style="thick">
        <color rgb="FF00B0F0"/>
      </bottom>
      <diagonal/>
    </border>
    <border>
      <left style="hair">
        <color rgb="FF7030A0"/>
      </left>
      <right style="hair">
        <color rgb="FF7030A0"/>
      </right>
      <top style="hair">
        <color rgb="FF7030A0"/>
      </top>
      <bottom style="thick">
        <color rgb="FF00B0F0"/>
      </bottom>
      <diagonal/>
    </border>
    <border>
      <left style="hair">
        <color rgb="FF7030A0"/>
      </left>
      <right style="medium">
        <color indexed="64"/>
      </right>
      <top style="hair">
        <color rgb="FF7030A0"/>
      </top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 style="hair">
        <color indexed="64"/>
      </right>
      <top style="hair">
        <color indexed="64"/>
      </top>
      <bottom style="thick">
        <color rgb="FF00B0F0"/>
      </bottom>
      <diagonal/>
    </border>
    <border>
      <left style="thick">
        <color rgb="FF7030A0"/>
      </left>
      <right style="thick">
        <color rgb="FF7030A0"/>
      </right>
      <top/>
      <bottom style="thin">
        <color rgb="FF7030A0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7030A0"/>
      </right>
      <top style="thick">
        <color rgb="FF7030A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7030A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7030A0"/>
      </top>
      <bottom style="medium">
        <color indexed="64"/>
      </bottom>
      <diagonal/>
    </border>
    <border>
      <left/>
      <right style="hair">
        <color rgb="FF7030A0"/>
      </right>
      <top style="thin">
        <color indexed="64"/>
      </top>
      <bottom style="hair">
        <color rgb="FF7030A0"/>
      </bottom>
      <diagonal/>
    </border>
    <border>
      <left style="thick">
        <color rgb="FF7030A0"/>
      </left>
      <right style="hair">
        <color rgb="FF7030A0"/>
      </right>
      <top style="thick">
        <color rgb="FF00B0F0"/>
      </top>
      <bottom style="medium">
        <color indexed="64"/>
      </bottom>
      <diagonal/>
    </border>
    <border>
      <left style="hair">
        <color rgb="FF7030A0"/>
      </left>
      <right style="hair">
        <color rgb="FF7030A0"/>
      </right>
      <top style="thick">
        <color rgb="FF00B0F0"/>
      </top>
      <bottom style="medium">
        <color indexed="64"/>
      </bottom>
      <diagonal/>
    </border>
    <border>
      <left style="hair">
        <color rgb="FF7030A0"/>
      </left>
      <right style="medium">
        <color indexed="64"/>
      </right>
      <top style="thick">
        <color rgb="FF00B0F0"/>
      </top>
      <bottom style="medium">
        <color indexed="64"/>
      </bottom>
      <diagonal/>
    </border>
    <border>
      <left style="thick">
        <color rgb="FF7030A0"/>
      </left>
      <right/>
      <top/>
      <bottom/>
      <diagonal/>
    </border>
    <border>
      <left style="thick">
        <color rgb="FF7030A0"/>
      </left>
      <right style="hair">
        <color rgb="FF7030A0"/>
      </right>
      <top style="thin">
        <color indexed="64"/>
      </top>
      <bottom style="hair">
        <color rgb="FF7030A0"/>
      </bottom>
      <diagonal/>
    </border>
    <border>
      <left style="medium">
        <color indexed="64"/>
      </left>
      <right style="hair">
        <color indexed="64"/>
      </right>
      <top style="thick">
        <color rgb="FF00B0F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00B0F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00B0F0"/>
      </top>
      <bottom style="medium">
        <color indexed="64"/>
      </bottom>
      <diagonal/>
    </border>
    <border>
      <left style="hair">
        <color indexed="64"/>
      </left>
      <right/>
      <top style="thick">
        <color rgb="FF00B0F0"/>
      </top>
      <bottom style="medium">
        <color indexed="64"/>
      </bottom>
      <diagonal/>
    </border>
    <border>
      <left/>
      <right style="hair">
        <color indexed="64"/>
      </right>
      <top style="thick">
        <color rgb="FF00B0F0"/>
      </top>
      <bottom style="medium">
        <color indexed="64"/>
      </bottom>
      <diagonal/>
    </border>
    <border>
      <left style="hair">
        <color rgb="FF7030A0"/>
      </left>
      <right/>
      <top style="thin">
        <color indexed="64"/>
      </top>
      <bottom style="hair">
        <color rgb="FF7030A0"/>
      </bottom>
      <diagonal/>
    </border>
    <border>
      <left style="hair">
        <color rgb="FF7030A0"/>
      </left>
      <right/>
      <top style="hair">
        <color rgb="FF7030A0"/>
      </top>
      <bottom style="thick">
        <color rgb="FF00B0F0"/>
      </bottom>
      <diagonal/>
    </border>
    <border>
      <left style="medium">
        <color indexed="64"/>
      </left>
      <right style="medium">
        <color indexed="64"/>
      </right>
      <top style="thin">
        <color rgb="FF7030A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ck">
        <color rgb="FF00B0F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rgb="FF00B0F0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ck">
        <color rgb="FF00B0F0"/>
      </bottom>
      <diagonal/>
    </border>
    <border>
      <left/>
      <right style="thick">
        <color rgb="FF00B0F0"/>
      </right>
      <top/>
      <bottom style="thin">
        <color rgb="FF00B0F0"/>
      </bottom>
      <diagonal/>
    </border>
    <border>
      <left/>
      <right style="thick">
        <color rgb="FF00B0F0"/>
      </right>
      <top/>
      <bottom style="dashed">
        <color indexed="64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7030A0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rgb="FF7030A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rgb="FF7030A0"/>
      </right>
      <top style="hair">
        <color indexed="64"/>
      </top>
      <bottom style="thick">
        <color rgb="FF7030A0"/>
      </bottom>
      <diagonal/>
    </border>
    <border>
      <left/>
      <right style="hair">
        <color indexed="64"/>
      </right>
      <top style="thick">
        <color rgb="FF7030A0"/>
      </top>
      <bottom style="medium">
        <color indexed="64"/>
      </bottom>
      <diagonal/>
    </border>
    <border>
      <left style="thick">
        <color rgb="FF7030A0"/>
      </left>
      <right style="thick">
        <color rgb="FF7030A0"/>
      </right>
      <top style="thin">
        <color indexed="64"/>
      </top>
      <bottom style="hair">
        <color rgb="FF7030A0"/>
      </bottom>
      <diagonal/>
    </border>
    <border>
      <left/>
      <right style="thin">
        <color theme="1"/>
      </right>
      <top style="thick">
        <color rgb="FF7030A0"/>
      </top>
      <bottom style="medium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7" fillId="0" borderId="0" applyFont="0" applyFill="0" applyBorder="0" applyAlignment="0" applyProtection="0"/>
  </cellStyleXfs>
  <cellXfs count="670">
    <xf numFmtId="0" fontId="0" fillId="0" borderId="0" xfId="0"/>
    <xf numFmtId="0" fontId="2" fillId="0" borderId="0" xfId="8" applyFont="1" applyAlignment="1">
      <alignment horizontal="center"/>
    </xf>
    <xf numFmtId="0" fontId="5" fillId="0" borderId="0" xfId="8" applyFont="1"/>
    <xf numFmtId="0" fontId="5" fillId="0" borderId="0" xfId="2" applyFont="1"/>
    <xf numFmtId="0" fontId="2" fillId="0" borderId="0" xfId="2" applyFont="1" applyAlignment="1">
      <alignment vertical="center"/>
    </xf>
    <xf numFmtId="0" fontId="2" fillId="0" borderId="0" xfId="8" applyFont="1"/>
    <xf numFmtId="0" fontId="4" fillId="0" borderId="0" xfId="8" applyFont="1" applyAlignment="1">
      <alignment horizontal="right" vertical="center"/>
    </xf>
    <xf numFmtId="0" fontId="10" fillId="0" borderId="0" xfId="0" applyFont="1"/>
    <xf numFmtId="0" fontId="3" fillId="0" borderId="0" xfId="2"/>
    <xf numFmtId="166" fontId="3" fillId="0" borderId="0" xfId="8" applyNumberFormat="1" applyAlignment="1">
      <alignment vertical="center"/>
    </xf>
    <xf numFmtId="0" fontId="11" fillId="0" borderId="0" xfId="0" applyFont="1"/>
    <xf numFmtId="9" fontId="11" fillId="0" borderId="0" xfId="9" applyFont="1" applyProtection="1"/>
    <xf numFmtId="0" fontId="12" fillId="2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0" borderId="0" xfId="0" applyFont="1"/>
    <xf numFmtId="0" fontId="14" fillId="0" borderId="0" xfId="0" applyFont="1"/>
    <xf numFmtId="0" fontId="13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9" fillId="0" borderId="0" xfId="0" applyFont="1"/>
    <xf numFmtId="166" fontId="11" fillId="0" borderId="0" xfId="0" applyNumberFormat="1" applyFont="1"/>
    <xf numFmtId="9" fontId="19" fillId="0" borderId="0" xfId="9" applyFont="1" applyAlignment="1" applyProtection="1">
      <alignment horizontal="right"/>
    </xf>
    <xf numFmtId="0" fontId="20" fillId="0" borderId="0" xfId="0" applyFont="1"/>
    <xf numFmtId="9" fontId="19" fillId="0" borderId="0" xfId="9" applyFont="1" applyProtection="1"/>
    <xf numFmtId="9" fontId="17" fillId="0" borderId="0" xfId="9" applyFont="1" applyProtection="1"/>
    <xf numFmtId="0" fontId="5" fillId="0" borderId="32" xfId="8" applyFont="1" applyBorder="1"/>
    <xf numFmtId="0" fontId="14" fillId="0" borderId="32" xfId="0" applyFont="1" applyBorder="1"/>
    <xf numFmtId="0" fontId="21" fillId="0" borderId="0" xfId="8" applyFont="1" applyAlignment="1">
      <alignment horizontal="right" vertical="center"/>
    </xf>
    <xf numFmtId="166" fontId="5" fillId="0" borderId="0" xfId="8" applyNumberFormat="1" applyFont="1" applyAlignment="1">
      <alignment vertical="center"/>
    </xf>
    <xf numFmtId="0" fontId="22" fillId="0" borderId="0" xfId="8" applyFont="1"/>
    <xf numFmtId="0" fontId="0" fillId="0" borderId="0" xfId="0" applyAlignment="1">
      <alignment vertical="center"/>
    </xf>
    <xf numFmtId="0" fontId="3" fillId="0" borderId="0" xfId="8"/>
    <xf numFmtId="166" fontId="3" fillId="0" borderId="0" xfId="8" applyNumberFormat="1" applyAlignment="1">
      <alignment horizontal="center" vertical="center"/>
    </xf>
    <xf numFmtId="0" fontId="3" fillId="0" borderId="1" xfId="2" applyBorder="1"/>
    <xf numFmtId="0" fontId="1" fillId="0" borderId="1" xfId="0" applyFont="1" applyBorder="1"/>
    <xf numFmtId="0" fontId="5" fillId="0" borderId="39" xfId="8" applyFont="1" applyBorder="1"/>
    <xf numFmtId="0" fontId="1" fillId="0" borderId="0" xfId="0" applyFont="1"/>
    <xf numFmtId="0" fontId="12" fillId="0" borderId="0" xfId="0" applyFont="1" applyAlignment="1">
      <alignment vertical="center" wrapText="1"/>
    </xf>
    <xf numFmtId="0" fontId="31" fillId="0" borderId="0" xfId="0" applyFont="1"/>
    <xf numFmtId="0" fontId="32" fillId="0" borderId="0" xfId="0" applyFont="1"/>
    <xf numFmtId="49" fontId="1" fillId="0" borderId="1" xfId="0" applyNumberFormat="1" applyFont="1" applyBorder="1" applyAlignment="1" applyProtection="1">
      <alignment horizontal="center"/>
      <protection locked="0"/>
    </xf>
    <xf numFmtId="2" fontId="37" fillId="0" borderId="0" xfId="0" applyNumberFormat="1" applyFont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vertical="center"/>
    </xf>
    <xf numFmtId="0" fontId="42" fillId="0" borderId="0" xfId="0" applyFont="1"/>
    <xf numFmtId="0" fontId="39" fillId="0" borderId="0" xfId="0" applyFont="1"/>
    <xf numFmtId="49" fontId="0" fillId="0" borderId="0" xfId="0" applyNumberFormat="1"/>
    <xf numFmtId="166" fontId="1" fillId="0" borderId="2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3" fillId="0" borderId="3" xfId="0" applyFont="1" applyBorder="1"/>
    <xf numFmtId="0" fontId="3" fillId="0" borderId="1" xfId="0" applyFont="1" applyBorder="1"/>
    <xf numFmtId="0" fontId="3" fillId="0" borderId="5" xfId="0" applyFont="1" applyBorder="1"/>
    <xf numFmtId="0" fontId="3" fillId="0" borderId="6" xfId="2" applyBorder="1"/>
    <xf numFmtId="0" fontId="1" fillId="0" borderId="3" xfId="0" applyFont="1" applyBorder="1"/>
    <xf numFmtId="3" fontId="3" fillId="0" borderId="3" xfId="0" applyNumberFormat="1" applyFont="1" applyBorder="1"/>
    <xf numFmtId="3" fontId="3" fillId="0" borderId="1" xfId="0" applyNumberFormat="1" applyFont="1" applyBorder="1"/>
    <xf numFmtId="0" fontId="3" fillId="0" borderId="1" xfId="2" applyBorder="1" applyAlignment="1">
      <alignment horizontal="left"/>
    </xf>
    <xf numFmtId="0" fontId="3" fillId="0" borderId="3" xfId="2" applyBorder="1"/>
    <xf numFmtId="0" fontId="1" fillId="0" borderId="1" xfId="0" quotePrefix="1" applyFont="1" applyBorder="1"/>
    <xf numFmtId="0" fontId="49" fillId="0" borderId="0" xfId="0" applyFont="1"/>
    <xf numFmtId="0" fontId="11" fillId="0" borderId="0" xfId="0" applyFont="1" applyAlignment="1">
      <alignment horizontal="center" vertical="top" wrapText="1"/>
    </xf>
    <xf numFmtId="0" fontId="1" fillId="10" borderId="1" xfId="0" applyFont="1" applyFill="1" applyBorder="1" applyAlignment="1">
      <alignment horizontal="center" vertical="center"/>
    </xf>
    <xf numFmtId="14" fontId="36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36" fillId="0" borderId="0" xfId="0" applyNumberFormat="1" applyFont="1" applyAlignment="1">
      <alignment horizontal="center"/>
    </xf>
    <xf numFmtId="14" fontId="48" fillId="0" borderId="0" xfId="0" applyNumberFormat="1" applyFont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1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 applyProtection="1">
      <alignment horizontal="center"/>
      <protection locked="0"/>
    </xf>
    <xf numFmtId="20" fontId="1" fillId="0" borderId="2" xfId="0" applyNumberFormat="1" applyFont="1" applyBorder="1" applyAlignment="1" applyProtection="1">
      <alignment horizontal="center"/>
      <protection locked="0"/>
    </xf>
    <xf numFmtId="0" fontId="3" fillId="0" borderId="6" xfId="0" applyFont="1" applyBorder="1"/>
    <xf numFmtId="0" fontId="10" fillId="0" borderId="1" xfId="0" applyFont="1" applyBorder="1" applyAlignment="1">
      <alignment vertical="center"/>
    </xf>
    <xf numFmtId="0" fontId="0" fillId="0" borderId="0" xfId="0" applyAlignment="1">
      <alignment horizontal="left" vertical="center" indent="5"/>
    </xf>
    <xf numFmtId="0" fontId="1" fillId="10" borderId="5" xfId="0" applyFont="1" applyFill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49" fontId="1" fillId="0" borderId="2" xfId="0" applyNumberFormat="1" applyFont="1" applyBorder="1" applyAlignment="1" applyProtection="1">
      <alignment horizontal="center"/>
      <protection locked="0"/>
    </xf>
    <xf numFmtId="168" fontId="1" fillId="0" borderId="2" xfId="0" applyNumberFormat="1" applyFont="1" applyBorder="1" applyAlignment="1" applyProtection="1">
      <alignment horizontal="center" vertical="center"/>
      <protection locked="0"/>
    </xf>
    <xf numFmtId="166" fontId="1" fillId="0" borderId="2" xfId="0" applyNumberFormat="1" applyFont="1" applyBorder="1" applyAlignment="1" applyProtection="1">
      <alignment horizontal="center"/>
      <protection locked="0"/>
    </xf>
    <xf numFmtId="0" fontId="1" fillId="0" borderId="2" xfId="0" applyFont="1" applyBorder="1"/>
    <xf numFmtId="0" fontId="27" fillId="6" borderId="21" xfId="2" applyFont="1" applyFill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indent="10"/>
    </xf>
    <xf numFmtId="0" fontId="0" fillId="0" borderId="3" xfId="0" applyBorder="1" applyAlignment="1">
      <alignment vertical="center"/>
    </xf>
    <xf numFmtId="3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5" xfId="0" applyFont="1" applyBorder="1"/>
    <xf numFmtId="0" fontId="1" fillId="0" borderId="5" xfId="0" quotePrefix="1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vertical="center"/>
    </xf>
    <xf numFmtId="0" fontId="57" fillId="0" borderId="3" xfId="0" applyFont="1" applyBorder="1" applyAlignment="1">
      <alignment horizontal="center" textRotation="90"/>
    </xf>
    <xf numFmtId="0" fontId="56" fillId="0" borderId="8" xfId="8" applyFont="1" applyBorder="1" applyAlignment="1">
      <alignment horizontal="center" textRotation="180"/>
    </xf>
    <xf numFmtId="0" fontId="5" fillId="0" borderId="0" xfId="8" applyFont="1" applyAlignment="1">
      <alignment horizontal="center"/>
    </xf>
    <xf numFmtId="0" fontId="2" fillId="0" borderId="0" xfId="2" applyFont="1" applyAlignment="1">
      <alignment horizontal="center"/>
    </xf>
    <xf numFmtId="0" fontId="56" fillId="0" borderId="4" xfId="8" applyFont="1" applyBorder="1" applyAlignment="1">
      <alignment horizontal="center" textRotation="180"/>
    </xf>
    <xf numFmtId="0" fontId="56" fillId="0" borderId="1" xfId="8" applyFont="1" applyBorder="1" applyAlignment="1">
      <alignment horizontal="center" textRotation="180"/>
    </xf>
    <xf numFmtId="0" fontId="58" fillId="0" borderId="0" xfId="8" applyFont="1"/>
    <xf numFmtId="0" fontId="59" fillId="0" borderId="0" xfId="0" applyFont="1"/>
    <xf numFmtId="0" fontId="60" fillId="0" borderId="0" xfId="0" applyFont="1"/>
    <xf numFmtId="0" fontId="61" fillId="0" borderId="0" xfId="0" applyFont="1"/>
    <xf numFmtId="0" fontId="28" fillId="0" borderId="0" xfId="8" applyFont="1"/>
    <xf numFmtId="0" fontId="62" fillId="0" borderId="0" xfId="0" applyFont="1" applyAlignment="1">
      <alignment vertical="center" wrapText="1"/>
    </xf>
    <xf numFmtId="0" fontId="63" fillId="0" borderId="0" xfId="0" applyFont="1"/>
    <xf numFmtId="0" fontId="23" fillId="0" borderId="0" xfId="0" applyFont="1"/>
    <xf numFmtId="0" fontId="64" fillId="0" borderId="0" xfId="0" applyFont="1"/>
    <xf numFmtId="49" fontId="33" fillId="0" borderId="0" xfId="2" applyNumberFormat="1" applyFont="1" applyAlignment="1">
      <alignment horizontal="center" vertical="center" wrapText="1"/>
    </xf>
    <xf numFmtId="0" fontId="6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166" fontId="1" fillId="0" borderId="8" xfId="0" applyNumberFormat="1" applyFont="1" applyBorder="1" applyAlignment="1" applyProtection="1">
      <alignment horizontal="left" vertical="center"/>
      <protection locked="0"/>
    </xf>
    <xf numFmtId="166" fontId="1" fillId="0" borderId="2" xfId="0" applyNumberFormat="1" applyFont="1" applyBorder="1" applyAlignment="1" applyProtection="1">
      <alignment horizontal="left" vertical="center"/>
      <protection locked="0"/>
    </xf>
    <xf numFmtId="166" fontId="1" fillId="0" borderId="2" xfId="0" applyNumberFormat="1" applyFont="1" applyBorder="1" applyAlignment="1" applyProtection="1">
      <alignment horizontal="left"/>
      <protection locked="0"/>
    </xf>
    <xf numFmtId="170" fontId="1" fillId="0" borderId="2" xfId="0" applyNumberFormat="1" applyFont="1" applyBorder="1" applyAlignment="1" applyProtection="1">
      <alignment horizontal="left"/>
      <protection locked="0"/>
    </xf>
    <xf numFmtId="49" fontId="52" fillId="0" borderId="13" xfId="2" applyNumberFormat="1" applyFont="1" applyBorder="1" applyAlignment="1">
      <alignment vertical="center" wrapText="1"/>
    </xf>
    <xf numFmtId="49" fontId="52" fillId="0" borderId="14" xfId="2" applyNumberFormat="1" applyFont="1" applyBorder="1" applyAlignment="1">
      <alignment vertical="center" wrapText="1"/>
    </xf>
    <xf numFmtId="49" fontId="52" fillId="0" borderId="0" xfId="2" applyNumberFormat="1" applyFont="1" applyAlignment="1">
      <alignment vertical="center" wrapText="1"/>
    </xf>
    <xf numFmtId="20" fontId="1" fillId="0" borderId="2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 applyProtection="1">
      <alignment horizontal="left"/>
      <protection locked="0"/>
    </xf>
    <xf numFmtId="0" fontId="10" fillId="0" borderId="5" xfId="0" applyFont="1" applyBorder="1" applyAlignment="1">
      <alignment vertical="center"/>
    </xf>
    <xf numFmtId="0" fontId="66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0" fillId="0" borderId="3" xfId="0" applyFont="1" applyBorder="1"/>
    <xf numFmtId="0" fontId="10" fillId="0" borderId="0" xfId="0" applyFont="1" applyAlignment="1">
      <alignment vertical="center"/>
    </xf>
    <xf numFmtId="0" fontId="2" fillId="0" borderId="0" xfId="8" applyFont="1" applyAlignment="1">
      <alignment horizontal="right" vertical="center"/>
    </xf>
    <xf numFmtId="166" fontId="47" fillId="0" borderId="0" xfId="8" applyNumberFormat="1" applyFont="1" applyAlignment="1">
      <alignment vertical="center"/>
    </xf>
    <xf numFmtId="166" fontId="25" fillId="0" borderId="0" xfId="8" applyNumberFormat="1" applyFont="1" applyAlignment="1">
      <alignment vertical="center"/>
    </xf>
    <xf numFmtId="168" fontId="1" fillId="0" borderId="2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/>
    <xf numFmtId="0" fontId="53" fillId="0" borderId="1" xfId="0" applyFont="1" applyBorder="1" applyAlignment="1">
      <alignment vertical="center"/>
    </xf>
    <xf numFmtId="0" fontId="53" fillId="0" borderId="3" xfId="0" applyFont="1" applyBorder="1" applyAlignment="1">
      <alignment vertical="center"/>
    </xf>
    <xf numFmtId="0" fontId="1" fillId="0" borderId="2" xfId="0" applyFont="1" applyBorder="1" applyAlignment="1" applyProtection="1">
      <alignment horizontal="left" vertical="center"/>
      <protection locked="0"/>
    </xf>
    <xf numFmtId="0" fontId="70" fillId="0" borderId="1" xfId="0" applyFont="1" applyBorder="1" applyAlignment="1">
      <alignment vertical="center"/>
    </xf>
    <xf numFmtId="0" fontId="70" fillId="0" borderId="3" xfId="0" applyFont="1" applyBorder="1" applyAlignment="1">
      <alignment vertical="center"/>
    </xf>
    <xf numFmtId="0" fontId="70" fillId="0" borderId="3" xfId="0" applyFont="1" applyBorder="1"/>
    <xf numFmtId="0" fontId="70" fillId="0" borderId="3" xfId="0" applyFont="1" applyBorder="1" applyAlignment="1">
      <alignment horizontal="left" vertical="center"/>
    </xf>
    <xf numFmtId="0" fontId="69" fillId="0" borderId="5" xfId="0" applyFont="1" applyBorder="1" applyAlignment="1">
      <alignment vertical="center"/>
    </xf>
    <xf numFmtId="0" fontId="10" fillId="0" borderId="5" xfId="0" applyFont="1" applyBorder="1"/>
    <xf numFmtId="0" fontId="1" fillId="0" borderId="6" xfId="0" applyFont="1" applyBorder="1"/>
    <xf numFmtId="0" fontId="10" fillId="0" borderId="6" xfId="0" applyFont="1" applyBorder="1" applyAlignment="1">
      <alignment vertical="center"/>
    </xf>
    <xf numFmtId="0" fontId="10" fillId="0" borderId="1" xfId="0" applyFont="1" applyBorder="1"/>
    <xf numFmtId="0" fontId="56" fillId="0" borderId="3" xfId="8" applyFont="1" applyBorder="1" applyAlignment="1">
      <alignment horizontal="center" textRotation="180"/>
    </xf>
    <xf numFmtId="0" fontId="56" fillId="0" borderId="56" xfId="8" applyFont="1" applyBorder="1" applyAlignment="1">
      <alignment horizontal="center" textRotation="180"/>
    </xf>
    <xf numFmtId="166" fontId="28" fillId="11" borderId="44" xfId="8" applyNumberFormat="1" applyFont="1" applyFill="1" applyBorder="1" applyAlignment="1">
      <alignment horizontal="center"/>
    </xf>
    <xf numFmtId="0" fontId="56" fillId="11" borderId="43" xfId="8" applyFont="1" applyFill="1" applyBorder="1" applyAlignment="1">
      <alignment horizontal="center" textRotation="180"/>
    </xf>
    <xf numFmtId="166" fontId="28" fillId="11" borderId="45" xfId="8" applyNumberFormat="1" applyFont="1" applyFill="1" applyBorder="1" applyAlignment="1">
      <alignment horizontal="center"/>
    </xf>
    <xf numFmtId="166" fontId="28" fillId="0" borderId="54" xfId="8" applyNumberFormat="1" applyFont="1" applyBorder="1" applyAlignment="1">
      <alignment horizontal="center"/>
    </xf>
    <xf numFmtId="166" fontId="28" fillId="0" borderId="55" xfId="8" applyNumberFormat="1" applyFont="1" applyBorder="1" applyAlignment="1">
      <alignment horizontal="center"/>
    </xf>
    <xf numFmtId="166" fontId="62" fillId="0" borderId="58" xfId="0" applyNumberFormat="1" applyFont="1" applyBorder="1" applyAlignment="1">
      <alignment vertical="center"/>
    </xf>
    <xf numFmtId="0" fontId="56" fillId="0" borderId="5" xfId="8" applyFont="1" applyBorder="1" applyAlignment="1">
      <alignment horizontal="center" textRotation="180"/>
    </xf>
    <xf numFmtId="0" fontId="31" fillId="0" borderId="8" xfId="0" applyFont="1" applyBorder="1" applyAlignment="1">
      <alignment textRotation="90"/>
    </xf>
    <xf numFmtId="0" fontId="31" fillId="0" borderId="2" xfId="0" applyFont="1" applyBorder="1" applyAlignment="1">
      <alignment textRotation="90"/>
    </xf>
    <xf numFmtId="0" fontId="31" fillId="0" borderId="2" xfId="0" applyFont="1" applyBorder="1" applyAlignment="1">
      <alignment horizontal="center" textRotation="90"/>
    </xf>
    <xf numFmtId="0" fontId="31" fillId="0" borderId="7" xfId="0" applyFont="1" applyBorder="1" applyAlignment="1">
      <alignment textRotation="90"/>
    </xf>
    <xf numFmtId="0" fontId="56" fillId="0" borderId="6" xfId="8" applyFont="1" applyBorder="1" applyAlignment="1">
      <alignment horizontal="center" textRotation="180"/>
    </xf>
    <xf numFmtId="0" fontId="31" fillId="0" borderId="8" xfId="0" applyFont="1" applyBorder="1" applyAlignment="1">
      <alignment horizontal="center" textRotation="90"/>
    </xf>
    <xf numFmtId="166" fontId="62" fillId="0" borderId="61" xfId="0" applyNumberFormat="1" applyFont="1" applyBorder="1" applyAlignment="1">
      <alignment vertical="center"/>
    </xf>
    <xf numFmtId="166" fontId="28" fillId="11" borderId="44" xfId="8" applyNumberFormat="1" applyFont="1" applyFill="1" applyBorder="1" applyAlignment="1">
      <alignment vertical="top"/>
    </xf>
    <xf numFmtId="0" fontId="31" fillId="0" borderId="7" xfId="0" applyFont="1" applyBorder="1" applyAlignment="1">
      <alignment horizontal="center" textRotation="90"/>
    </xf>
    <xf numFmtId="0" fontId="75" fillId="11" borderId="43" xfId="8" applyFont="1" applyFill="1" applyBorder="1" applyAlignment="1">
      <alignment horizontal="center" textRotation="180"/>
    </xf>
    <xf numFmtId="166" fontId="62" fillId="0" borderId="62" xfId="0" applyNumberFormat="1" applyFont="1" applyBorder="1" applyAlignment="1">
      <alignment vertical="center"/>
    </xf>
    <xf numFmtId="166" fontId="62" fillId="0" borderId="63" xfId="0" applyNumberFormat="1" applyFont="1" applyBorder="1" applyAlignment="1">
      <alignment vertical="center"/>
    </xf>
    <xf numFmtId="166" fontId="62" fillId="0" borderId="64" xfId="0" applyNumberFormat="1" applyFont="1" applyBorder="1" applyAlignment="1">
      <alignment vertical="center"/>
    </xf>
    <xf numFmtId="166" fontId="62" fillId="0" borderId="34" xfId="0" applyNumberFormat="1" applyFont="1" applyBorder="1" applyAlignment="1">
      <alignment vertical="center"/>
    </xf>
    <xf numFmtId="166" fontId="62" fillId="0" borderId="65" xfId="0" applyNumberFormat="1" applyFont="1" applyBorder="1" applyAlignment="1">
      <alignment vertical="center"/>
    </xf>
    <xf numFmtId="166" fontId="62" fillId="0" borderId="66" xfId="0" applyNumberFormat="1" applyFont="1" applyBorder="1" applyAlignment="1">
      <alignment vertical="center"/>
    </xf>
    <xf numFmtId="166" fontId="62" fillId="0" borderId="67" xfId="0" applyNumberFormat="1" applyFont="1" applyBorder="1" applyAlignment="1">
      <alignment vertical="center"/>
    </xf>
    <xf numFmtId="166" fontId="62" fillId="0" borderId="68" xfId="0" applyNumberFormat="1" applyFont="1" applyBorder="1" applyAlignment="1">
      <alignment vertical="center"/>
    </xf>
    <xf numFmtId="166" fontId="28" fillId="11" borderId="69" xfId="8" applyNumberFormat="1" applyFont="1" applyFill="1" applyBorder="1" applyAlignment="1">
      <alignment horizontal="center"/>
    </xf>
    <xf numFmtId="166" fontId="28" fillId="11" borderId="70" xfId="8" applyNumberFormat="1" applyFont="1" applyFill="1" applyBorder="1" applyAlignment="1">
      <alignment horizontal="center"/>
    </xf>
    <xf numFmtId="166" fontId="62" fillId="0" borderId="71" xfId="0" applyNumberFormat="1" applyFont="1" applyBorder="1" applyAlignment="1">
      <alignment vertical="center"/>
    </xf>
    <xf numFmtId="166" fontId="62" fillId="0" borderId="72" xfId="0" applyNumberFormat="1" applyFont="1" applyBorder="1" applyAlignment="1">
      <alignment vertical="center"/>
    </xf>
    <xf numFmtId="166" fontId="62" fillId="0" borderId="73" xfId="0" applyNumberFormat="1" applyFont="1" applyBorder="1" applyAlignment="1">
      <alignment vertical="center"/>
    </xf>
    <xf numFmtId="166" fontId="62" fillId="0" borderId="35" xfId="0" applyNumberFormat="1" applyFont="1" applyBorder="1" applyAlignment="1">
      <alignment vertical="center"/>
    </xf>
    <xf numFmtId="166" fontId="62" fillId="0" borderId="74" xfId="0" applyNumberFormat="1" applyFont="1" applyBorder="1" applyAlignment="1">
      <alignment vertical="center"/>
    </xf>
    <xf numFmtId="166" fontId="28" fillId="11" borderId="75" xfId="8" applyNumberFormat="1" applyFont="1" applyFill="1" applyBorder="1" applyAlignment="1">
      <alignment horizontal="center"/>
    </xf>
    <xf numFmtId="166" fontId="28" fillId="11" borderId="69" xfId="8" applyNumberFormat="1" applyFont="1" applyFill="1" applyBorder="1" applyAlignment="1">
      <alignment vertical="top"/>
    </xf>
    <xf numFmtId="0" fontId="32" fillId="0" borderId="8" xfId="0" applyFont="1" applyBorder="1" applyAlignment="1">
      <alignment horizontal="center" textRotation="90"/>
    </xf>
    <xf numFmtId="0" fontId="32" fillId="0" borderId="2" xfId="0" applyFont="1" applyBorder="1" applyAlignment="1">
      <alignment horizontal="center" textRotation="90"/>
    </xf>
    <xf numFmtId="0" fontId="32" fillId="0" borderId="7" xfId="0" applyFont="1" applyBorder="1" applyAlignment="1">
      <alignment horizontal="center" textRotation="90"/>
    </xf>
    <xf numFmtId="166" fontId="28" fillId="11" borderId="70" xfId="8" applyNumberFormat="1" applyFont="1" applyFill="1" applyBorder="1" applyAlignment="1">
      <alignment vertical="top"/>
    </xf>
    <xf numFmtId="166" fontId="16" fillId="9" borderId="78" xfId="8" applyNumberFormat="1" applyFont="1" applyFill="1" applyBorder="1" applyAlignment="1">
      <alignment horizontal="center" vertical="center" wrapText="1"/>
    </xf>
    <xf numFmtId="0" fontId="32" fillId="0" borderId="2" xfId="0" applyFont="1" applyBorder="1" applyAlignment="1">
      <alignment textRotation="90"/>
    </xf>
    <xf numFmtId="0" fontId="32" fillId="0" borderId="7" xfId="0" applyFont="1" applyBorder="1" applyAlignment="1">
      <alignment textRotation="90"/>
    </xf>
    <xf numFmtId="0" fontId="32" fillId="0" borderId="8" xfId="0" applyFont="1" applyBorder="1" applyAlignment="1">
      <alignment textRotation="90"/>
    </xf>
    <xf numFmtId="0" fontId="31" fillId="0" borderId="4" xfId="0" applyFont="1" applyBorder="1" applyAlignment="1">
      <alignment horizontal="center" textRotation="90"/>
    </xf>
    <xf numFmtId="3" fontId="32" fillId="0" borderId="4" xfId="0" applyNumberFormat="1" applyFont="1" applyBorder="1" applyAlignment="1">
      <alignment horizontal="center" textRotation="90"/>
    </xf>
    <xf numFmtId="0" fontId="32" fillId="0" borderId="60" xfId="0" applyFont="1" applyBorder="1" applyAlignment="1">
      <alignment horizontal="center" textRotation="90"/>
    </xf>
    <xf numFmtId="0" fontId="5" fillId="0" borderId="81" xfId="8" applyFont="1" applyBorder="1"/>
    <xf numFmtId="0" fontId="55" fillId="8" borderId="19" xfId="8" applyFont="1" applyFill="1" applyBorder="1" applyAlignment="1">
      <alignment vertical="center" wrapText="1"/>
    </xf>
    <xf numFmtId="0" fontId="23" fillId="4" borderId="19" xfId="0" applyFont="1" applyFill="1" applyBorder="1" applyAlignment="1">
      <alignment vertical="center"/>
    </xf>
    <xf numFmtId="0" fontId="23" fillId="4" borderId="42" xfId="0" applyFont="1" applyFill="1" applyBorder="1" applyAlignment="1">
      <alignment vertical="center"/>
    </xf>
    <xf numFmtId="165" fontId="78" fillId="0" borderId="79" xfId="8" applyNumberFormat="1" applyFont="1" applyBorder="1" applyAlignment="1">
      <alignment horizontal="center" vertical="center"/>
    </xf>
    <xf numFmtId="3" fontId="57" fillId="0" borderId="3" xfId="0" applyNumberFormat="1" applyFont="1" applyBorder="1" applyAlignment="1">
      <alignment horizontal="center" textRotation="90"/>
    </xf>
    <xf numFmtId="0" fontId="31" fillId="0" borderId="1" xfId="0" applyFont="1" applyBorder="1" applyAlignment="1">
      <alignment textRotation="90"/>
    </xf>
    <xf numFmtId="3" fontId="57" fillId="0" borderId="6" xfId="0" applyNumberFormat="1" applyFont="1" applyBorder="1" applyAlignment="1">
      <alignment horizontal="center" textRotation="90"/>
    </xf>
    <xf numFmtId="0" fontId="73" fillId="11" borderId="87" xfId="8" applyFont="1" applyFill="1" applyBorder="1" applyAlignment="1">
      <alignment horizontal="center" textRotation="90" wrapText="1"/>
    </xf>
    <xf numFmtId="166" fontId="28" fillId="11" borderId="88" xfId="8" applyNumberFormat="1" applyFont="1" applyFill="1" applyBorder="1" applyAlignment="1">
      <alignment horizontal="center"/>
    </xf>
    <xf numFmtId="166" fontId="28" fillId="11" borderId="89" xfId="8" applyNumberFormat="1" applyFont="1" applyFill="1" applyBorder="1" applyAlignment="1">
      <alignment horizontal="center"/>
    </xf>
    <xf numFmtId="166" fontId="28" fillId="11" borderId="90" xfId="8" applyNumberFormat="1" applyFont="1" applyFill="1" applyBorder="1" applyAlignment="1">
      <alignment horizontal="center"/>
    </xf>
    <xf numFmtId="0" fontId="31" fillId="0" borderId="5" xfId="0" applyFont="1" applyBorder="1" applyAlignment="1">
      <alignment textRotation="90"/>
    </xf>
    <xf numFmtId="0" fontId="74" fillId="11" borderId="87" xfId="8" applyFont="1" applyFill="1" applyBorder="1" applyAlignment="1">
      <alignment horizontal="center" vertical="center" textRotation="90" wrapText="1"/>
    </xf>
    <xf numFmtId="0" fontId="31" fillId="0" borderId="3" xfId="0" applyFont="1" applyBorder="1" applyAlignment="1">
      <alignment textRotation="90"/>
    </xf>
    <xf numFmtId="0" fontId="73" fillId="11" borderId="87" xfId="8" applyFont="1" applyFill="1" applyBorder="1" applyAlignment="1">
      <alignment horizontal="center" vertical="center" textRotation="90" wrapText="1"/>
    </xf>
    <xf numFmtId="166" fontId="28" fillId="11" borderId="88" xfId="8" applyNumberFormat="1" applyFont="1" applyFill="1" applyBorder="1" applyAlignment="1">
      <alignment vertical="top"/>
    </xf>
    <xf numFmtId="166" fontId="28" fillId="11" borderId="89" xfId="8" applyNumberFormat="1" applyFont="1" applyFill="1" applyBorder="1" applyAlignment="1">
      <alignment vertical="top"/>
    </xf>
    <xf numFmtId="166" fontId="28" fillId="11" borderId="90" xfId="8" applyNumberFormat="1" applyFont="1" applyFill="1" applyBorder="1" applyAlignment="1">
      <alignment vertical="top"/>
    </xf>
    <xf numFmtId="0" fontId="77" fillId="4" borderId="0" xfId="0" applyFont="1" applyFill="1" applyAlignment="1">
      <alignment vertical="center"/>
    </xf>
    <xf numFmtId="0" fontId="54" fillId="8" borderId="19" xfId="8" applyFont="1" applyFill="1" applyBorder="1" applyAlignment="1">
      <alignment vertical="center" wrapText="1"/>
    </xf>
    <xf numFmtId="0" fontId="52" fillId="12" borderId="0" xfId="8" applyFont="1" applyFill="1" applyAlignment="1">
      <alignment vertical="center" wrapText="1"/>
    </xf>
    <xf numFmtId="166" fontId="28" fillId="11" borderId="91" xfId="8" applyNumberFormat="1" applyFont="1" applyFill="1" applyBorder="1" applyAlignment="1">
      <alignment horizontal="center"/>
    </xf>
    <xf numFmtId="166" fontId="28" fillId="11" borderId="33" xfId="8" applyNumberFormat="1" applyFont="1" applyFill="1" applyBorder="1" applyAlignment="1">
      <alignment horizontal="center"/>
    </xf>
    <xf numFmtId="166" fontId="28" fillId="11" borderId="94" xfId="8" applyNumberFormat="1" applyFont="1" applyFill="1" applyBorder="1" applyAlignment="1">
      <alignment horizontal="center"/>
    </xf>
    <xf numFmtId="165" fontId="78" fillId="0" borderId="97" xfId="8" applyNumberFormat="1" applyFont="1" applyBorder="1" applyAlignment="1">
      <alignment horizontal="center" vertical="center"/>
    </xf>
    <xf numFmtId="166" fontId="28" fillId="11" borderId="98" xfId="8" applyNumberFormat="1" applyFont="1" applyFill="1" applyBorder="1" applyAlignment="1">
      <alignment horizontal="center"/>
    </xf>
    <xf numFmtId="166" fontId="28" fillId="11" borderId="99" xfId="8" applyNumberFormat="1" applyFont="1" applyFill="1" applyBorder="1" applyAlignment="1">
      <alignment horizontal="center"/>
    </xf>
    <xf numFmtId="0" fontId="32" fillId="0" borderId="1" xfId="2" applyFont="1" applyBorder="1" applyAlignment="1">
      <alignment textRotation="90"/>
    </xf>
    <xf numFmtId="0" fontId="32" fillId="0" borderId="7" xfId="2" applyFont="1" applyBorder="1" applyAlignment="1">
      <alignment horizontal="center" textRotation="90"/>
    </xf>
    <xf numFmtId="166" fontId="28" fillId="0" borderId="100" xfId="8" applyNumberFormat="1" applyFont="1" applyBorder="1" applyAlignment="1">
      <alignment horizontal="center"/>
    </xf>
    <xf numFmtId="166" fontId="28" fillId="0" borderId="101" xfId="8" applyNumberFormat="1" applyFont="1" applyBorder="1" applyAlignment="1">
      <alignment horizontal="center"/>
    </xf>
    <xf numFmtId="166" fontId="28" fillId="0" borderId="102" xfId="8" applyNumberFormat="1" applyFont="1" applyBorder="1" applyAlignment="1">
      <alignment horizontal="center"/>
    </xf>
    <xf numFmtId="0" fontId="53" fillId="0" borderId="0" xfId="0" applyFont="1" applyAlignment="1">
      <alignment vertical="center"/>
    </xf>
    <xf numFmtId="0" fontId="32" fillId="0" borderId="1" xfId="0" applyFont="1" applyBorder="1" applyAlignment="1">
      <alignment textRotation="90"/>
    </xf>
    <xf numFmtId="0" fontId="32" fillId="0" borderId="3" xfId="0" applyFont="1" applyBorder="1" applyAlignment="1">
      <alignment textRotation="90"/>
    </xf>
    <xf numFmtId="0" fontId="32" fillId="0" borderId="1" xfId="0" applyFont="1" applyBorder="1" applyAlignment="1">
      <alignment horizontal="center" textRotation="90"/>
    </xf>
    <xf numFmtId="166" fontId="28" fillId="11" borderId="108" xfId="8" applyNumberFormat="1" applyFont="1" applyFill="1" applyBorder="1" applyAlignment="1">
      <alignment horizontal="center"/>
    </xf>
    <xf numFmtId="0" fontId="56" fillId="0" borderId="60" xfId="8" applyFont="1" applyBorder="1" applyAlignment="1">
      <alignment horizontal="center" textRotation="180"/>
    </xf>
    <xf numFmtId="0" fontId="56" fillId="11" borderId="111" xfId="8" applyFont="1" applyFill="1" applyBorder="1" applyAlignment="1">
      <alignment horizontal="center" textRotation="180"/>
    </xf>
    <xf numFmtId="3" fontId="32" fillId="0" borderId="3" xfId="0" applyNumberFormat="1" applyFont="1" applyBorder="1" applyAlignment="1">
      <alignment horizontal="center" textRotation="90"/>
    </xf>
    <xf numFmtId="0" fontId="32" fillId="0" borderId="3" xfId="0" applyFont="1" applyBorder="1" applyAlignment="1">
      <alignment horizontal="center" textRotation="90"/>
    </xf>
    <xf numFmtId="0" fontId="56" fillId="0" borderId="2" xfId="8" applyFont="1" applyBorder="1" applyAlignment="1">
      <alignment horizontal="center" textRotation="180"/>
    </xf>
    <xf numFmtId="0" fontId="56" fillId="0" borderId="7" xfId="8" applyFont="1" applyBorder="1" applyAlignment="1">
      <alignment horizontal="center" textRotation="180"/>
    </xf>
    <xf numFmtId="0" fontId="27" fillId="6" borderId="1" xfId="0" applyFont="1" applyFill="1" applyBorder="1" applyAlignment="1">
      <alignment horizontal="center" vertical="center" wrapText="1"/>
    </xf>
    <xf numFmtId="0" fontId="52" fillId="12" borderId="18" xfId="8" applyFont="1" applyFill="1" applyBorder="1" applyAlignment="1">
      <alignment vertical="center" wrapText="1"/>
    </xf>
    <xf numFmtId="0" fontId="52" fillId="12" borderId="19" xfId="8" applyFont="1" applyFill="1" applyBorder="1" applyAlignment="1">
      <alignment vertical="center" wrapText="1"/>
    </xf>
    <xf numFmtId="0" fontId="51" fillId="12" borderId="0" xfId="8" applyFont="1" applyFill="1" applyAlignment="1">
      <alignment vertical="center" wrapText="1"/>
    </xf>
    <xf numFmtId="0" fontId="51" fillId="0" borderId="0" xfId="8" applyFont="1" applyAlignment="1">
      <alignment vertical="center" wrapText="1"/>
    </xf>
    <xf numFmtId="0" fontId="52" fillId="0" borderId="0" xfId="8" applyFont="1" applyAlignment="1">
      <alignment vertical="center" wrapText="1"/>
    </xf>
    <xf numFmtId="166" fontId="26" fillId="0" borderId="0" xfId="8" applyNumberFormat="1" applyFont="1" applyAlignment="1">
      <alignment vertical="center"/>
    </xf>
    <xf numFmtId="0" fontId="23" fillId="4" borderId="0" xfId="0" applyFont="1" applyFill="1" applyAlignment="1">
      <alignment vertical="center"/>
    </xf>
    <xf numFmtId="0" fontId="56" fillId="11" borderId="112" xfId="8" applyFont="1" applyFill="1" applyBorder="1" applyAlignment="1">
      <alignment horizontal="center" textRotation="180"/>
    </xf>
    <xf numFmtId="166" fontId="16" fillId="9" borderId="114" xfId="8" applyNumberFormat="1" applyFont="1" applyFill="1" applyBorder="1" applyAlignment="1">
      <alignment horizontal="center" vertical="center" wrapText="1"/>
    </xf>
    <xf numFmtId="0" fontId="55" fillId="8" borderId="115" xfId="8" applyFont="1" applyFill="1" applyBorder="1" applyAlignment="1">
      <alignment vertical="center" wrapText="1"/>
    </xf>
    <xf numFmtId="0" fontId="55" fillId="8" borderId="36" xfId="8" applyFont="1" applyFill="1" applyBorder="1" applyAlignment="1">
      <alignment vertical="center" wrapText="1"/>
    </xf>
    <xf numFmtId="0" fontId="23" fillId="4" borderId="36" xfId="0" applyFont="1" applyFill="1" applyBorder="1" applyAlignment="1">
      <alignment vertical="center"/>
    </xf>
    <xf numFmtId="0" fontId="81" fillId="9" borderId="20" xfId="8" applyFont="1" applyFill="1" applyBorder="1" applyAlignment="1">
      <alignment horizontal="center" vertical="center" wrapText="1"/>
    </xf>
    <xf numFmtId="0" fontId="81" fillId="9" borderId="19" xfId="8" applyFont="1" applyFill="1" applyBorder="1" applyAlignment="1">
      <alignment horizontal="center" vertical="center" wrapText="1"/>
    </xf>
    <xf numFmtId="3" fontId="57" fillId="0" borderId="112" xfId="0" applyNumberFormat="1" applyFont="1" applyBorder="1" applyAlignment="1">
      <alignment horizontal="center" textRotation="90"/>
    </xf>
    <xf numFmtId="0" fontId="32" fillId="0" borderId="5" xfId="0" applyFont="1" applyBorder="1" applyAlignment="1">
      <alignment horizontal="center" textRotation="90"/>
    </xf>
    <xf numFmtId="166" fontId="57" fillId="0" borderId="53" xfId="8" applyNumberFormat="1" applyFont="1" applyBorder="1" applyAlignment="1">
      <alignment horizontal="center" vertical="center"/>
    </xf>
    <xf numFmtId="166" fontId="57" fillId="0" borderId="34" xfId="8" applyNumberFormat="1" applyFont="1" applyBorder="1" applyAlignment="1">
      <alignment horizontal="center" vertical="center"/>
    </xf>
    <xf numFmtId="166" fontId="57" fillId="0" borderId="72" xfId="8" applyNumberFormat="1" applyFont="1" applyBorder="1" applyAlignment="1">
      <alignment horizontal="center" vertical="center"/>
    </xf>
    <xf numFmtId="166" fontId="57" fillId="0" borderId="95" xfId="8" applyNumberFormat="1" applyFont="1" applyBorder="1" applyAlignment="1">
      <alignment horizontal="center" vertical="center"/>
    </xf>
    <xf numFmtId="166" fontId="57" fillId="0" borderId="35" xfId="8" applyNumberFormat="1" applyFont="1" applyBorder="1" applyAlignment="1">
      <alignment horizontal="center" vertical="center"/>
    </xf>
    <xf numFmtId="166" fontId="57" fillId="0" borderId="123" xfId="8" applyNumberFormat="1" applyFont="1" applyBorder="1" applyAlignment="1">
      <alignment horizontal="center" vertical="center"/>
    </xf>
    <xf numFmtId="0" fontId="55" fillId="8" borderId="0" xfId="8" applyFont="1" applyFill="1" applyAlignment="1">
      <alignment vertical="center" wrapText="1"/>
    </xf>
    <xf numFmtId="166" fontId="28" fillId="11" borderId="122" xfId="8" applyNumberFormat="1" applyFont="1" applyFill="1" applyBorder="1" applyAlignment="1">
      <alignment horizontal="center"/>
    </xf>
    <xf numFmtId="166" fontId="57" fillId="0" borderId="124" xfId="8" applyNumberFormat="1" applyFont="1" applyBorder="1" applyAlignment="1">
      <alignment horizontal="center" vertical="center"/>
    </xf>
    <xf numFmtId="166" fontId="28" fillId="0" borderId="30" xfId="8" applyNumberFormat="1" applyFont="1" applyBorder="1" applyAlignment="1">
      <alignment horizontal="center"/>
    </xf>
    <xf numFmtId="166" fontId="28" fillId="0" borderId="29" xfId="8" applyNumberFormat="1" applyFont="1" applyBorder="1" applyAlignment="1">
      <alignment horizontal="center"/>
    </xf>
    <xf numFmtId="166" fontId="28" fillId="0" borderId="28" xfId="8" applyNumberFormat="1" applyFont="1" applyBorder="1" applyAlignment="1">
      <alignment horizontal="center"/>
    </xf>
    <xf numFmtId="166" fontId="57" fillId="0" borderId="64" xfId="8" applyNumberFormat="1" applyFont="1" applyBorder="1" applyAlignment="1">
      <alignment horizontal="center" vertical="center"/>
    </xf>
    <xf numFmtId="166" fontId="57" fillId="0" borderId="65" xfId="8" applyNumberFormat="1" applyFont="1" applyBorder="1" applyAlignment="1">
      <alignment horizontal="center" vertical="center"/>
    </xf>
    <xf numFmtId="166" fontId="57" fillId="0" borderId="66" xfId="8" applyNumberFormat="1" applyFont="1" applyBorder="1" applyAlignment="1">
      <alignment horizontal="center" vertical="center"/>
    </xf>
    <xf numFmtId="166" fontId="57" fillId="0" borderId="67" xfId="8" applyNumberFormat="1" applyFont="1" applyBorder="1" applyAlignment="1">
      <alignment horizontal="center" vertical="center"/>
    </xf>
    <xf numFmtId="166" fontId="57" fillId="0" borderId="68" xfId="8" applyNumberFormat="1" applyFont="1" applyBorder="1" applyAlignment="1">
      <alignment horizontal="center" vertical="center"/>
    </xf>
    <xf numFmtId="0" fontId="82" fillId="0" borderId="1" xfId="0" applyFont="1" applyBorder="1" applyAlignment="1">
      <alignment vertical="center"/>
    </xf>
    <xf numFmtId="166" fontId="57" fillId="0" borderId="125" xfId="8" applyNumberFormat="1" applyFont="1" applyBorder="1" applyAlignment="1">
      <alignment horizontal="center" vertical="center"/>
    </xf>
    <xf numFmtId="166" fontId="57" fillId="0" borderId="126" xfId="8" applyNumberFormat="1" applyFont="1" applyBorder="1" applyAlignment="1">
      <alignment horizontal="center" vertical="center"/>
    </xf>
    <xf numFmtId="166" fontId="57" fillId="0" borderId="106" xfId="8" applyNumberFormat="1" applyFont="1" applyBorder="1" applyAlignment="1">
      <alignment horizontal="center" vertical="center"/>
    </xf>
    <xf numFmtId="166" fontId="57" fillId="0" borderId="107" xfId="8" applyNumberFormat="1" applyFont="1" applyBorder="1" applyAlignment="1">
      <alignment horizontal="center" vertical="center"/>
    </xf>
    <xf numFmtId="0" fontId="56" fillId="11" borderId="26" xfId="8" applyFont="1" applyFill="1" applyBorder="1" applyAlignment="1">
      <alignment horizontal="center" textRotation="180"/>
    </xf>
    <xf numFmtId="166" fontId="28" fillId="0" borderId="127" xfId="8" applyNumberFormat="1" applyFont="1" applyBorder="1" applyAlignment="1">
      <alignment horizontal="center"/>
    </xf>
    <xf numFmtId="166" fontId="57" fillId="0" borderId="96" xfId="8" applyNumberFormat="1" applyFont="1" applyBorder="1" applyAlignment="1">
      <alignment horizontal="center" vertical="center"/>
    </xf>
    <xf numFmtId="166" fontId="57" fillId="0" borderId="73" xfId="8" applyNumberFormat="1" applyFont="1" applyBorder="1" applyAlignment="1">
      <alignment horizontal="center" vertical="center"/>
    </xf>
    <xf numFmtId="166" fontId="28" fillId="0" borderId="128" xfId="8" applyNumberFormat="1" applyFont="1" applyBorder="1" applyAlignment="1">
      <alignment horizontal="center"/>
    </xf>
    <xf numFmtId="166" fontId="57" fillId="0" borderId="129" xfId="8" applyNumberFormat="1" applyFont="1" applyBorder="1" applyAlignment="1">
      <alignment horizontal="center" vertical="center"/>
    </xf>
    <xf numFmtId="166" fontId="28" fillId="0" borderId="130" xfId="8" applyNumberFormat="1" applyFont="1" applyBorder="1" applyAlignment="1">
      <alignment horizontal="center"/>
    </xf>
    <xf numFmtId="0" fontId="32" fillId="0" borderId="6" xfId="0" applyFont="1" applyBorder="1" applyAlignment="1">
      <alignment horizontal="center" textRotation="90"/>
    </xf>
    <xf numFmtId="166" fontId="57" fillId="0" borderId="74" xfId="8" applyNumberFormat="1" applyFont="1" applyBorder="1" applyAlignment="1">
      <alignment horizontal="center" vertical="center"/>
    </xf>
    <xf numFmtId="166" fontId="57" fillId="0" borderId="131" xfId="8" applyNumberFormat="1" applyFont="1" applyBorder="1" applyAlignment="1">
      <alignment horizontal="center" vertical="center"/>
    </xf>
    <xf numFmtId="166" fontId="28" fillId="0" borderId="132" xfId="8" applyNumberFormat="1" applyFont="1" applyBorder="1" applyAlignment="1">
      <alignment horizontal="center"/>
    </xf>
    <xf numFmtId="166" fontId="57" fillId="0" borderId="133" xfId="8" applyNumberFormat="1" applyFont="1" applyBorder="1" applyAlignment="1">
      <alignment horizontal="center" vertical="center"/>
    </xf>
    <xf numFmtId="166" fontId="28" fillId="11" borderId="134" xfId="8" applyNumberFormat="1" applyFont="1" applyFill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49" fontId="27" fillId="17" borderId="1" xfId="2" applyNumberFormat="1" applyFont="1" applyFill="1" applyBorder="1" applyAlignment="1">
      <alignment horizontal="center" vertical="center" wrapText="1"/>
    </xf>
    <xf numFmtId="0" fontId="53" fillId="0" borderId="6" xfId="0" applyFont="1" applyBorder="1" applyAlignment="1">
      <alignment vertical="center"/>
    </xf>
    <xf numFmtId="166" fontId="57" fillId="0" borderId="136" xfId="8" applyNumberFormat="1" applyFont="1" applyBorder="1" applyAlignment="1">
      <alignment horizontal="center" vertical="center"/>
    </xf>
    <xf numFmtId="166" fontId="57" fillId="0" borderId="109" xfId="8" applyNumberFormat="1" applyFont="1" applyBorder="1" applyAlignment="1">
      <alignment horizontal="center" vertical="center"/>
    </xf>
    <xf numFmtId="166" fontId="57" fillId="0" borderId="105" xfId="8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56" fillId="11" borderId="137" xfId="8" applyFont="1" applyFill="1" applyBorder="1" applyAlignment="1">
      <alignment horizontal="center" textRotation="180"/>
    </xf>
    <xf numFmtId="0" fontId="32" fillId="0" borderId="4" xfId="0" applyFont="1" applyBorder="1" applyAlignment="1">
      <alignment horizontal="center" textRotation="90"/>
    </xf>
    <xf numFmtId="166" fontId="57" fillId="0" borderId="135" xfId="8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5" fillId="0" borderId="0" xfId="8" applyFont="1" applyAlignment="1">
      <alignment horizontal="center" vertical="center" wrapText="1"/>
    </xf>
    <xf numFmtId="0" fontId="16" fillId="0" borderId="0" xfId="8" applyFont="1" applyAlignment="1">
      <alignment horizontal="right" vertical="center" wrapText="1"/>
    </xf>
    <xf numFmtId="166" fontId="16" fillId="9" borderId="113" xfId="8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166" fontId="83" fillId="0" borderId="30" xfId="8" applyNumberFormat="1" applyFont="1" applyBorder="1" applyAlignment="1">
      <alignment horizontal="center"/>
    </xf>
    <xf numFmtId="166" fontId="83" fillId="11" borderId="45" xfId="8" applyNumberFormat="1" applyFont="1" applyFill="1" applyBorder="1" applyAlignment="1">
      <alignment horizontal="center"/>
    </xf>
    <xf numFmtId="166" fontId="32" fillId="0" borderId="34" xfId="8" applyNumberFormat="1" applyFont="1" applyBorder="1" applyAlignment="1">
      <alignment horizontal="center" vertical="center"/>
    </xf>
    <xf numFmtId="166" fontId="32" fillId="0" borderId="67" xfId="8" applyNumberFormat="1" applyFont="1" applyBorder="1" applyAlignment="1">
      <alignment horizontal="center" vertical="center"/>
    </xf>
    <xf numFmtId="166" fontId="32" fillId="0" borderId="35" xfId="8" applyNumberFormat="1" applyFont="1" applyBorder="1" applyAlignment="1">
      <alignment horizontal="center" vertical="center"/>
    </xf>
    <xf numFmtId="166" fontId="32" fillId="0" borderId="74" xfId="8" applyNumberFormat="1" applyFont="1" applyBorder="1" applyAlignment="1">
      <alignment horizontal="center" vertical="center"/>
    </xf>
    <xf numFmtId="166" fontId="83" fillId="11" borderId="69" xfId="8" applyNumberFormat="1" applyFont="1" applyFill="1" applyBorder="1" applyAlignment="1">
      <alignment horizontal="center"/>
    </xf>
    <xf numFmtId="166" fontId="83" fillId="11" borderId="70" xfId="8" applyNumberFormat="1" applyFont="1" applyFill="1" applyBorder="1" applyAlignment="1">
      <alignment horizontal="center"/>
    </xf>
    <xf numFmtId="166" fontId="32" fillId="0" borderId="72" xfId="8" applyNumberFormat="1" applyFont="1" applyBorder="1" applyAlignment="1">
      <alignment horizontal="center" vertical="center"/>
    </xf>
    <xf numFmtId="166" fontId="32" fillId="0" borderId="73" xfId="8" applyNumberFormat="1" applyFont="1" applyBorder="1" applyAlignment="1">
      <alignment horizontal="center" vertical="center"/>
    </xf>
    <xf numFmtId="166" fontId="83" fillId="0" borderId="31" xfId="8" applyNumberFormat="1" applyFont="1" applyBorder="1" applyAlignment="1">
      <alignment horizontal="center"/>
    </xf>
    <xf numFmtId="3" fontId="57" fillId="0" borderId="0" xfId="0" applyNumberFormat="1" applyFont="1" applyAlignment="1">
      <alignment textRotation="90"/>
    </xf>
    <xf numFmtId="0" fontId="57" fillId="0" borderId="46" xfId="0" applyFont="1" applyBorder="1" applyAlignment="1">
      <alignment textRotation="90"/>
    </xf>
    <xf numFmtId="3" fontId="57" fillId="0" borderId="46" xfId="0" applyNumberFormat="1" applyFont="1" applyBorder="1" applyAlignment="1">
      <alignment textRotation="90"/>
    </xf>
    <xf numFmtId="166" fontId="83" fillId="11" borderId="108" xfId="8" applyNumberFormat="1" applyFont="1" applyFill="1" applyBorder="1" applyAlignment="1">
      <alignment horizontal="center"/>
    </xf>
    <xf numFmtId="166" fontId="32" fillId="0" borderId="133" xfId="8" applyNumberFormat="1" applyFont="1" applyBorder="1" applyAlignment="1">
      <alignment horizontal="center" vertical="center"/>
    </xf>
    <xf numFmtId="166" fontId="32" fillId="0" borderId="106" xfId="8" applyNumberFormat="1" applyFont="1" applyBorder="1" applyAlignment="1">
      <alignment horizontal="center" vertical="center"/>
    </xf>
    <xf numFmtId="166" fontId="32" fillId="0" borderId="109" xfId="8" applyNumberFormat="1" applyFont="1" applyBorder="1" applyAlignment="1">
      <alignment horizontal="center" vertical="center"/>
    </xf>
    <xf numFmtId="166" fontId="32" fillId="0" borderId="135" xfId="8" applyNumberFormat="1" applyFont="1" applyBorder="1" applyAlignment="1">
      <alignment horizontal="center" vertical="center"/>
    </xf>
    <xf numFmtId="0" fontId="70" fillId="0" borderId="0" xfId="0" applyFont="1" applyAlignment="1">
      <alignment vertical="center"/>
    </xf>
    <xf numFmtId="0" fontId="3" fillId="0" borderId="7" xfId="0" applyFont="1" applyBorder="1"/>
    <xf numFmtId="0" fontId="3" fillId="0" borderId="2" xfId="0" applyFont="1" applyBorder="1"/>
    <xf numFmtId="0" fontId="3" fillId="0" borderId="4" xfId="0" applyFont="1" applyBorder="1"/>
    <xf numFmtId="0" fontId="1" fillId="0" borderId="8" xfId="0" applyFont="1" applyBorder="1"/>
    <xf numFmtId="0" fontId="3" fillId="0" borderId="2" xfId="2" applyBorder="1"/>
    <xf numFmtId="0" fontId="1" fillId="10" borderId="2" xfId="0" applyFont="1" applyFill="1" applyBorder="1" applyAlignment="1">
      <alignment horizontal="center" vertical="center"/>
    </xf>
    <xf numFmtId="14" fontId="36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0" fontId="3" fillId="0" borderId="4" xfId="2" applyBorder="1"/>
    <xf numFmtId="0" fontId="1" fillId="0" borderId="7" xfId="0" applyFont="1" applyBorder="1"/>
    <xf numFmtId="0" fontId="3" fillId="0" borderId="7" xfId="2" applyBorder="1"/>
    <xf numFmtId="0" fontId="1" fillId="0" borderId="8" xfId="0" quotePrefix="1" applyFont="1" applyBorder="1"/>
    <xf numFmtId="3" fontId="3" fillId="0" borderId="7" xfId="0" applyNumberFormat="1" applyFont="1" applyBorder="1"/>
    <xf numFmtId="0" fontId="3" fillId="0" borderId="8" xfId="0" applyFont="1" applyBorder="1"/>
    <xf numFmtId="0" fontId="1" fillId="0" borderId="7" xfId="0" applyFont="1" applyBorder="1" applyAlignment="1">
      <alignment horizontal="left"/>
    </xf>
    <xf numFmtId="1" fontId="27" fillId="16" borderId="1" xfId="0" applyNumberFormat="1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27" fillId="15" borderId="1" xfId="0" applyFont="1" applyFill="1" applyBorder="1" applyAlignment="1">
      <alignment horizontal="center" vertical="center" wrapText="1"/>
    </xf>
    <xf numFmtId="0" fontId="24" fillId="9" borderId="1" xfId="8" applyFont="1" applyFill="1" applyBorder="1" applyAlignment="1">
      <alignment vertical="center" wrapText="1"/>
    </xf>
    <xf numFmtId="166" fontId="83" fillId="11" borderId="139" xfId="8" applyNumberFormat="1" applyFont="1" applyFill="1" applyBorder="1" applyAlignment="1">
      <alignment horizontal="center"/>
    </xf>
    <xf numFmtId="166" fontId="83" fillId="11" borderId="57" xfId="8" applyNumberFormat="1" applyFont="1" applyFill="1" applyBorder="1" applyAlignment="1">
      <alignment horizontal="center"/>
    </xf>
    <xf numFmtId="0" fontId="2" fillId="18" borderId="0" xfId="8" applyFont="1" applyFill="1"/>
    <xf numFmtId="166" fontId="57" fillId="0" borderId="141" xfId="8" applyNumberFormat="1" applyFont="1" applyBorder="1" applyAlignment="1">
      <alignment horizontal="center" vertical="center"/>
    </xf>
    <xf numFmtId="166" fontId="57" fillId="0" borderId="86" xfId="8" applyNumberFormat="1" applyFont="1" applyBorder="1" applyAlignment="1">
      <alignment horizontal="center" vertical="center"/>
    </xf>
    <xf numFmtId="166" fontId="57" fillId="0" borderId="142" xfId="8" applyNumberFormat="1" applyFont="1" applyBorder="1" applyAlignment="1">
      <alignment horizontal="center" vertical="center"/>
    </xf>
    <xf numFmtId="0" fontId="5" fillId="0" borderId="143" xfId="8" applyFont="1" applyBorder="1"/>
    <xf numFmtId="166" fontId="28" fillId="0" borderId="144" xfId="8" applyNumberFormat="1" applyFont="1" applyBorder="1" applyAlignment="1">
      <alignment horizontal="center"/>
    </xf>
    <xf numFmtId="0" fontId="55" fillId="8" borderId="6" xfId="8" applyFont="1" applyFill="1" applyBorder="1" applyAlignment="1">
      <alignment vertical="center" wrapText="1"/>
    </xf>
    <xf numFmtId="0" fontId="24" fillId="9" borderId="6" xfId="8" applyFont="1" applyFill="1" applyBorder="1" applyAlignment="1">
      <alignment vertical="center" wrapText="1"/>
    </xf>
    <xf numFmtId="0" fontId="24" fillId="9" borderId="5" xfId="8" applyFont="1" applyFill="1" applyBorder="1" applyAlignment="1">
      <alignment vertical="center" wrapText="1"/>
    </xf>
    <xf numFmtId="0" fontId="5" fillId="0" borderId="16" xfId="2" applyFont="1" applyBorder="1"/>
    <xf numFmtId="0" fontId="15" fillId="0" borderId="24" xfId="8" applyFont="1" applyBorder="1" applyAlignment="1">
      <alignment vertical="center" wrapText="1"/>
    </xf>
    <xf numFmtId="0" fontId="35" fillId="0" borderId="0" xfId="0" applyFont="1" applyAlignment="1">
      <alignment horizontal="center" vertical="center" wrapText="1"/>
    </xf>
    <xf numFmtId="0" fontId="27" fillId="16" borderId="1" xfId="2" applyFont="1" applyFill="1" applyBorder="1" applyAlignment="1">
      <alignment horizontal="center" vertical="center" wrapText="1"/>
    </xf>
    <xf numFmtId="49" fontId="33" fillId="0" borderId="12" xfId="2" applyNumberFormat="1" applyFont="1" applyBorder="1" applyAlignment="1">
      <alignment horizontal="center" vertical="center" wrapText="1"/>
    </xf>
    <xf numFmtId="49" fontId="78" fillId="13" borderId="56" xfId="2" applyNumberFormat="1" applyFont="1" applyFill="1" applyBorder="1" applyAlignment="1">
      <alignment horizontal="center" vertical="center" wrapText="1"/>
    </xf>
    <xf numFmtId="0" fontId="77" fillId="0" borderId="0" xfId="0" applyFont="1" applyAlignment="1">
      <alignment vertical="center"/>
    </xf>
    <xf numFmtId="49" fontId="33" fillId="0" borderId="0" xfId="2" applyNumberFormat="1" applyFont="1" applyAlignment="1">
      <alignment vertical="center" wrapText="1"/>
    </xf>
    <xf numFmtId="49" fontId="78" fillId="13" borderId="37" xfId="2" applyNumberFormat="1" applyFont="1" applyFill="1" applyBorder="1" applyAlignment="1">
      <alignment horizontal="center" vertical="center" wrapText="1"/>
    </xf>
    <xf numFmtId="20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left" vertical="center"/>
      <protection locked="0"/>
    </xf>
    <xf numFmtId="49" fontId="27" fillId="17" borderId="21" xfId="2" applyNumberFormat="1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70" fillId="0" borderId="0" xfId="0" applyFont="1"/>
    <xf numFmtId="166" fontId="28" fillId="0" borderId="149" xfId="8" applyNumberFormat="1" applyFont="1" applyBorder="1" applyAlignment="1">
      <alignment horizontal="center"/>
    </xf>
    <xf numFmtId="3" fontId="32" fillId="0" borderId="6" xfId="0" applyNumberFormat="1" applyFont="1" applyBorder="1" applyAlignment="1">
      <alignment textRotation="90"/>
    </xf>
    <xf numFmtId="49" fontId="68" fillId="19" borderId="37" xfId="2" applyNumberFormat="1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167" fontId="45" fillId="0" borderId="0" xfId="0" applyNumberFormat="1" applyFont="1" applyAlignment="1" applyProtection="1">
      <alignment horizontal="center" vertical="center"/>
      <protection locked="0"/>
    </xf>
    <xf numFmtId="3" fontId="46" fillId="0" borderId="0" xfId="0" applyNumberFormat="1" applyFont="1" applyAlignment="1">
      <alignment horizontal="center"/>
    </xf>
    <xf numFmtId="2" fontId="45" fillId="0" borderId="0" xfId="0" applyNumberFormat="1" applyFont="1" applyAlignment="1">
      <alignment horizontal="center" vertical="center"/>
    </xf>
    <xf numFmtId="1" fontId="45" fillId="0" borderId="0" xfId="0" applyNumberFormat="1" applyFont="1" applyAlignment="1">
      <alignment horizontal="center" vertical="center"/>
    </xf>
    <xf numFmtId="0" fontId="70" fillId="0" borderId="5" xfId="0" applyFont="1" applyBorder="1" applyAlignment="1">
      <alignment vertical="center"/>
    </xf>
    <xf numFmtId="0" fontId="53" fillId="0" borderId="5" xfId="0" applyFont="1" applyBorder="1" applyAlignment="1">
      <alignment vertical="center"/>
    </xf>
    <xf numFmtId="49" fontId="27" fillId="0" borderId="0" xfId="0" applyNumberFormat="1" applyFont="1" applyAlignment="1">
      <alignment horizontal="center" vertical="center" wrapText="1"/>
    </xf>
    <xf numFmtId="49" fontId="27" fillId="17" borderId="21" xfId="0" applyNumberFormat="1" applyFont="1" applyFill="1" applyBorder="1" applyAlignment="1">
      <alignment horizontal="center" vertical="center" wrapText="1"/>
    </xf>
    <xf numFmtId="0" fontId="23" fillId="4" borderId="46" xfId="0" applyFont="1" applyFill="1" applyBorder="1" applyAlignment="1">
      <alignment vertical="center"/>
    </xf>
    <xf numFmtId="0" fontId="23" fillId="4" borderId="156" xfId="0" applyFont="1" applyFill="1" applyBorder="1" applyAlignment="1">
      <alignment vertical="center"/>
    </xf>
    <xf numFmtId="0" fontId="70" fillId="0" borderId="1" xfId="0" applyFont="1" applyBorder="1" applyAlignment="1">
      <alignment vertical="top"/>
    </xf>
    <xf numFmtId="0" fontId="24" fillId="9" borderId="160" xfId="8" applyFont="1" applyFill="1" applyBorder="1" applyAlignment="1">
      <alignment vertical="center" wrapText="1"/>
    </xf>
    <xf numFmtId="170" fontId="1" fillId="0" borderId="2" xfId="0" applyNumberFormat="1" applyFont="1" applyBorder="1" applyAlignment="1" applyProtection="1">
      <alignment horizontal="center" vertical="center"/>
      <protection locked="0"/>
    </xf>
    <xf numFmtId="0" fontId="27" fillId="17" borderId="159" xfId="0" applyFont="1" applyFill="1" applyBorder="1" applyAlignment="1">
      <alignment horizontal="center" vertical="center" wrapText="1"/>
    </xf>
    <xf numFmtId="0" fontId="89" fillId="11" borderId="59" xfId="8" applyFont="1" applyFill="1" applyBorder="1" applyAlignment="1">
      <alignment horizontal="center" vertical="center" textRotation="90" wrapText="1"/>
    </xf>
    <xf numFmtId="0" fontId="89" fillId="11" borderId="87" xfId="8" applyFont="1" applyFill="1" applyBorder="1" applyAlignment="1">
      <alignment horizontal="center" vertical="center" textRotation="90" wrapText="1"/>
    </xf>
    <xf numFmtId="0" fontId="90" fillId="11" borderId="87" xfId="8" applyFont="1" applyFill="1" applyBorder="1" applyAlignment="1">
      <alignment horizontal="center" vertical="center" textRotation="90" wrapText="1"/>
    </xf>
    <xf numFmtId="0" fontId="89" fillId="11" borderId="48" xfId="8" applyFont="1" applyFill="1" applyBorder="1" applyAlignment="1">
      <alignment horizontal="center" vertical="center" textRotation="90" wrapText="1"/>
    </xf>
    <xf numFmtId="0" fontId="89" fillId="11" borderId="76" xfId="8" applyFont="1" applyFill="1" applyBorder="1" applyAlignment="1">
      <alignment horizontal="center" vertical="center" textRotation="90" wrapText="1"/>
    </xf>
    <xf numFmtId="0" fontId="89" fillId="11" borderId="87" xfId="8" applyFont="1" applyFill="1" applyBorder="1" applyAlignment="1">
      <alignment horizontal="center" textRotation="90" wrapText="1"/>
    </xf>
    <xf numFmtId="0" fontId="89" fillId="11" borderId="59" xfId="8" applyFont="1" applyFill="1" applyBorder="1" applyAlignment="1">
      <alignment horizontal="center" textRotation="90" wrapText="1"/>
    </xf>
    <xf numFmtId="0" fontId="89" fillId="11" borderId="25" xfId="8" applyFont="1" applyFill="1" applyBorder="1" applyAlignment="1">
      <alignment textRotation="90" wrapText="1"/>
    </xf>
    <xf numFmtId="0" fontId="89" fillId="11" borderId="11" xfId="8" applyFont="1" applyFill="1" applyBorder="1" applyAlignment="1">
      <alignment textRotation="90" wrapText="1"/>
    </xf>
    <xf numFmtId="0" fontId="89" fillId="11" borderId="138" xfId="8" applyFont="1" applyFill="1" applyBorder="1" applyAlignment="1">
      <alignment horizontal="center" textRotation="90" wrapText="1"/>
    </xf>
    <xf numFmtId="0" fontId="89" fillId="11" borderId="38" xfId="8" applyFont="1" applyFill="1" applyBorder="1" applyAlignment="1">
      <alignment horizontal="center" textRotation="90" wrapText="1"/>
    </xf>
    <xf numFmtId="0" fontId="89" fillId="11" borderId="12" xfId="8" applyFont="1" applyFill="1" applyBorder="1" applyAlignment="1">
      <alignment horizontal="center" textRotation="90" wrapText="1"/>
    </xf>
    <xf numFmtId="0" fontId="80" fillId="9" borderId="19" xfId="8" applyFont="1" applyFill="1" applyBorder="1" applyAlignment="1">
      <alignment horizontal="center" vertical="center" wrapText="1"/>
    </xf>
    <xf numFmtId="0" fontId="80" fillId="9" borderId="20" xfId="8" applyFont="1" applyFill="1" applyBorder="1" applyAlignment="1">
      <alignment horizontal="center" vertical="center" wrapText="1"/>
    </xf>
    <xf numFmtId="0" fontId="68" fillId="0" borderId="152" xfId="0" applyFont="1" applyBorder="1" applyAlignment="1">
      <alignment horizontal="center" vertical="center"/>
    </xf>
    <xf numFmtId="0" fontId="92" fillId="0" borderId="23" xfId="0" applyFont="1" applyBorder="1" applyAlignment="1">
      <alignment horizontal="center" vertical="center" wrapText="1"/>
    </xf>
    <xf numFmtId="0" fontId="68" fillId="0" borderId="165" xfId="0" applyFont="1" applyBorder="1" applyAlignment="1">
      <alignment horizontal="center" vertical="center" wrapText="1"/>
    </xf>
    <xf numFmtId="0" fontId="68" fillId="0" borderId="164" xfId="0" applyFont="1" applyBorder="1" applyAlignment="1">
      <alignment horizontal="center" vertical="center" wrapText="1"/>
    </xf>
    <xf numFmtId="0" fontId="96" fillId="0" borderId="0" xfId="0" applyFont="1"/>
    <xf numFmtId="0" fontId="97" fillId="0" borderId="0" xfId="0" applyFont="1"/>
    <xf numFmtId="166" fontId="96" fillId="20" borderId="47" xfId="0" applyNumberFormat="1" applyFont="1" applyFill="1" applyBorder="1" applyAlignment="1">
      <alignment horizontal="center"/>
    </xf>
    <xf numFmtId="166" fontId="96" fillId="20" borderId="43" xfId="0" applyNumberFormat="1" applyFont="1" applyFill="1" applyBorder="1" applyAlignment="1">
      <alignment horizontal="center"/>
    </xf>
    <xf numFmtId="166" fontId="96" fillId="20" borderId="163" xfId="0" applyNumberFormat="1" applyFont="1" applyFill="1" applyBorder="1" applyAlignment="1">
      <alignment horizontal="center"/>
    </xf>
    <xf numFmtId="166" fontId="96" fillId="20" borderId="8" xfId="0" applyNumberFormat="1" applyFont="1" applyFill="1" applyBorder="1" applyAlignment="1">
      <alignment horizontal="center"/>
    </xf>
    <xf numFmtId="0" fontId="96" fillId="0" borderId="0" xfId="0" applyFont="1" applyAlignment="1">
      <alignment horizontal="center"/>
    </xf>
    <xf numFmtId="166" fontId="50" fillId="2" borderId="47" xfId="0" applyNumberFormat="1" applyFont="1" applyFill="1" applyBorder="1" applyAlignment="1">
      <alignment horizontal="center"/>
    </xf>
    <xf numFmtId="166" fontId="50" fillId="2" borderId="43" xfId="0" applyNumberFormat="1" applyFont="1" applyFill="1" applyBorder="1" applyAlignment="1">
      <alignment horizontal="center"/>
    </xf>
    <xf numFmtId="166" fontId="50" fillId="2" borderId="162" xfId="0" applyNumberFormat="1" applyFont="1" applyFill="1" applyBorder="1" applyAlignment="1">
      <alignment horizontal="center"/>
    </xf>
    <xf numFmtId="166" fontId="50" fillId="2" borderId="8" xfId="0" applyNumberFormat="1" applyFont="1" applyFill="1" applyBorder="1" applyAlignment="1">
      <alignment horizontal="center"/>
    </xf>
    <xf numFmtId="166" fontId="50" fillId="2" borderId="163" xfId="0" applyNumberFormat="1" applyFont="1" applyFill="1" applyBorder="1" applyAlignment="1">
      <alignment horizontal="center"/>
    </xf>
    <xf numFmtId="0" fontId="94" fillId="0" borderId="0" xfId="0" applyFont="1"/>
    <xf numFmtId="0" fontId="11" fillId="0" borderId="14" xfId="0" applyFont="1" applyBorder="1"/>
    <xf numFmtId="0" fontId="94" fillId="0" borderId="14" xfId="0" applyFont="1" applyBorder="1"/>
    <xf numFmtId="0" fontId="23" fillId="4" borderId="12" xfId="0" applyFont="1" applyFill="1" applyBorder="1" applyAlignment="1">
      <alignment vertical="center"/>
    </xf>
    <xf numFmtId="0" fontId="23" fillId="0" borderId="12" xfId="0" applyFont="1" applyBorder="1" applyAlignment="1">
      <alignment vertical="center"/>
    </xf>
    <xf numFmtId="166" fontId="96" fillId="0" borderId="18" xfId="0" applyNumberFormat="1" applyFont="1" applyBorder="1" applyAlignment="1">
      <alignment vertical="center"/>
    </xf>
    <xf numFmtId="166" fontId="96" fillId="0" borderId="22" xfId="0" applyNumberFormat="1" applyFont="1" applyBorder="1" applyAlignment="1">
      <alignment vertical="center"/>
    </xf>
    <xf numFmtId="166" fontId="96" fillId="0" borderId="20" xfId="0" applyNumberFormat="1" applyFont="1" applyBorder="1" applyAlignment="1">
      <alignment vertical="center"/>
    </xf>
    <xf numFmtId="0" fontId="100" fillId="0" borderId="18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49" fontId="78" fillId="13" borderId="1" xfId="2" applyNumberFormat="1" applyFont="1" applyFill="1" applyBorder="1" applyAlignment="1">
      <alignment horizontal="center" vertical="center" wrapText="1"/>
    </xf>
    <xf numFmtId="3" fontId="3" fillId="0" borderId="0" xfId="0" applyNumberFormat="1" applyFont="1"/>
    <xf numFmtId="3" fontId="3" fillId="0" borderId="1" xfId="0" applyNumberFormat="1" applyFont="1" applyBorder="1" applyAlignment="1">
      <alignment horizontal="center" vertical="center"/>
    </xf>
    <xf numFmtId="14" fontId="19" fillId="21" borderId="0" xfId="0" applyNumberFormat="1" applyFont="1" applyFill="1" applyAlignment="1">
      <alignment horizontal="left" vertical="center"/>
    </xf>
    <xf numFmtId="166" fontId="28" fillId="0" borderId="167" xfId="8" applyNumberFormat="1" applyFont="1" applyBorder="1" applyAlignment="1">
      <alignment horizontal="center"/>
    </xf>
    <xf numFmtId="166" fontId="28" fillId="0" borderId="168" xfId="8" applyNumberFormat="1" applyFont="1" applyBorder="1" applyAlignment="1">
      <alignment horizontal="center"/>
    </xf>
    <xf numFmtId="168" fontId="1" fillId="0" borderId="2" xfId="0" applyNumberFormat="1" applyFont="1" applyBorder="1" applyAlignment="1" applyProtection="1">
      <alignment horizontal="center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49" fontId="33" fillId="0" borderId="7" xfId="2" applyNumberFormat="1" applyFont="1" applyBorder="1" applyAlignment="1">
      <alignment horizontal="center" vertical="center" wrapText="1"/>
    </xf>
    <xf numFmtId="49" fontId="33" fillId="0" borderId="4" xfId="2" applyNumberFormat="1" applyFont="1" applyBorder="1" applyAlignment="1">
      <alignment vertical="center" wrapText="1"/>
    </xf>
    <xf numFmtId="170" fontId="1" fillId="0" borderId="2" xfId="0" applyNumberFormat="1" applyFont="1" applyBorder="1" applyAlignment="1" applyProtection="1">
      <alignment horizontal="left" vertical="center"/>
      <protection locked="0"/>
    </xf>
    <xf numFmtId="0" fontId="88" fillId="0" borderId="0" xfId="8" applyFont="1" applyAlignment="1">
      <alignment horizontal="center" vertical="center" textRotation="90" wrapText="1"/>
    </xf>
    <xf numFmtId="0" fontId="52" fillId="12" borderId="11" xfId="8" applyFont="1" applyFill="1" applyBorder="1" applyAlignment="1">
      <alignment vertical="center" wrapText="1"/>
    </xf>
    <xf numFmtId="0" fontId="52" fillId="12" borderId="10" xfId="8" applyFont="1" applyFill="1" applyBorder="1" applyAlignment="1">
      <alignment vertical="center" wrapText="1"/>
    </xf>
    <xf numFmtId="0" fontId="54" fillId="8" borderId="10" xfId="8" applyFont="1" applyFill="1" applyBorder="1" applyAlignment="1">
      <alignment vertical="center" wrapText="1"/>
    </xf>
    <xf numFmtId="0" fontId="56" fillId="0" borderId="43" xfId="8" applyFont="1" applyBorder="1" applyAlignment="1">
      <alignment horizontal="center" textRotation="180"/>
    </xf>
    <xf numFmtId="166" fontId="12" fillId="0" borderId="0" xfId="0" applyNumberFormat="1" applyFont="1" applyAlignment="1">
      <alignment vertical="center"/>
    </xf>
    <xf numFmtId="166" fontId="4" fillId="0" borderId="170" xfId="8" applyNumberFormat="1" applyFont="1" applyBorder="1" applyAlignment="1">
      <alignment horizontal="center"/>
    </xf>
    <xf numFmtId="166" fontId="4" fillId="0" borderId="171" xfId="8" applyNumberFormat="1" applyFont="1" applyBorder="1" applyAlignment="1">
      <alignment horizontal="center"/>
    </xf>
    <xf numFmtId="166" fontId="4" fillId="0" borderId="172" xfId="8" applyNumberFormat="1" applyFont="1" applyBorder="1" applyAlignment="1">
      <alignment horizontal="center"/>
    </xf>
    <xf numFmtId="166" fontId="4" fillId="0" borderId="174" xfId="0" applyNumberFormat="1" applyFont="1" applyBorder="1" applyAlignment="1">
      <alignment vertical="center"/>
    </xf>
    <xf numFmtId="166" fontId="4" fillId="0" borderId="50" xfId="0" applyNumberFormat="1" applyFont="1" applyBorder="1" applyAlignment="1">
      <alignment vertical="center"/>
    </xf>
    <xf numFmtId="166" fontId="4" fillId="0" borderId="145" xfId="0" applyNumberFormat="1" applyFont="1" applyBorder="1" applyAlignment="1">
      <alignment vertical="center"/>
    </xf>
    <xf numFmtId="166" fontId="4" fillId="0" borderId="51" xfId="0" applyNumberFormat="1" applyFont="1" applyBorder="1" applyAlignment="1">
      <alignment vertical="center"/>
    </xf>
    <xf numFmtId="166" fontId="4" fillId="0" borderId="52" xfId="0" applyNumberFormat="1" applyFont="1" applyBorder="1" applyAlignment="1">
      <alignment vertical="center"/>
    </xf>
    <xf numFmtId="166" fontId="4" fillId="0" borderId="53" xfId="0" applyNumberFormat="1" applyFont="1" applyBorder="1" applyAlignment="1">
      <alignment vertical="center"/>
    </xf>
    <xf numFmtId="166" fontId="4" fillId="0" borderId="146" xfId="0" applyNumberFormat="1" applyFont="1" applyBorder="1" applyAlignment="1">
      <alignment vertical="center"/>
    </xf>
    <xf numFmtId="166" fontId="4" fillId="0" borderId="147" xfId="0" applyNumberFormat="1" applyFont="1" applyBorder="1" applyAlignment="1">
      <alignment vertical="center"/>
    </xf>
    <xf numFmtId="166" fontId="4" fillId="0" borderId="148" xfId="0" applyNumberFormat="1" applyFont="1" applyBorder="1" applyAlignment="1">
      <alignment vertical="center"/>
    </xf>
    <xf numFmtId="0" fontId="16" fillId="11" borderId="59" xfId="8" applyFont="1" applyFill="1" applyBorder="1" applyAlignment="1">
      <alignment horizontal="center" textRotation="90" wrapText="1"/>
    </xf>
    <xf numFmtId="166" fontId="12" fillId="0" borderId="169" xfId="0" applyNumberFormat="1" applyFont="1" applyBorder="1" applyAlignment="1">
      <alignment vertical="center"/>
    </xf>
    <xf numFmtId="166" fontId="12" fillId="0" borderId="50" xfId="0" applyNumberFormat="1" applyFont="1" applyBorder="1" applyAlignment="1">
      <alignment vertical="center"/>
    </xf>
    <xf numFmtId="166" fontId="4" fillId="11" borderId="91" xfId="8" applyNumberFormat="1" applyFont="1" applyFill="1" applyBorder="1" applyAlignment="1">
      <alignment horizontal="center"/>
    </xf>
    <xf numFmtId="166" fontId="12" fillId="0" borderId="61" xfId="0" applyNumberFormat="1" applyFont="1" applyBorder="1" applyAlignment="1">
      <alignment vertical="center"/>
    </xf>
    <xf numFmtId="166" fontId="12" fillId="0" borderId="62" xfId="0" applyNumberFormat="1" applyFont="1" applyBorder="1" applyAlignment="1">
      <alignment vertical="center"/>
    </xf>
    <xf numFmtId="166" fontId="12" fillId="0" borderId="63" xfId="0" applyNumberFormat="1" applyFont="1" applyBorder="1" applyAlignment="1">
      <alignment vertical="center"/>
    </xf>
    <xf numFmtId="166" fontId="4" fillId="11" borderId="44" xfId="8" applyNumberFormat="1" applyFont="1" applyFill="1" applyBorder="1" applyAlignment="1">
      <alignment horizontal="center"/>
    </xf>
    <xf numFmtId="166" fontId="4" fillId="11" borderId="108" xfId="8" applyNumberFormat="1" applyFont="1" applyFill="1" applyBorder="1" applyAlignment="1">
      <alignment horizontal="center"/>
    </xf>
    <xf numFmtId="166" fontId="4" fillId="11" borderId="110" xfId="8" applyNumberFormat="1" applyFont="1" applyFill="1" applyBorder="1" applyAlignment="1">
      <alignment horizontal="center"/>
    </xf>
    <xf numFmtId="166" fontId="12" fillId="0" borderId="58" xfId="0" applyNumberFormat="1" applyFont="1" applyBorder="1" applyAlignment="1">
      <alignment vertical="center"/>
    </xf>
    <xf numFmtId="166" fontId="12" fillId="0" borderId="71" xfId="0" applyNumberFormat="1" applyFont="1" applyBorder="1" applyAlignment="1">
      <alignment vertical="center"/>
    </xf>
    <xf numFmtId="166" fontId="12" fillId="0" borderId="86" xfId="0" applyNumberFormat="1" applyFont="1" applyBorder="1" applyAlignment="1">
      <alignment vertical="center"/>
    </xf>
    <xf numFmtId="166" fontId="12" fillId="0" borderId="52" xfId="0" applyNumberFormat="1" applyFont="1" applyBorder="1" applyAlignment="1">
      <alignment vertical="center"/>
    </xf>
    <xf numFmtId="166" fontId="4" fillId="11" borderId="33" xfId="8" applyNumberFormat="1" applyFont="1" applyFill="1" applyBorder="1" applyAlignment="1">
      <alignment horizontal="center"/>
    </xf>
    <xf numFmtId="166" fontId="12" fillId="0" borderId="64" xfId="0" applyNumberFormat="1" applyFont="1" applyBorder="1" applyAlignment="1">
      <alignment vertical="center"/>
    </xf>
    <xf numFmtId="166" fontId="12" fillId="0" borderId="34" xfId="0" applyNumberFormat="1" applyFont="1" applyBorder="1" applyAlignment="1">
      <alignment vertical="center"/>
    </xf>
    <xf numFmtId="166" fontId="4" fillId="11" borderId="69" xfId="8" applyNumberFormat="1" applyFont="1" applyFill="1" applyBorder="1" applyAlignment="1">
      <alignment horizontal="center"/>
    </xf>
    <xf numFmtId="166" fontId="4" fillId="11" borderId="89" xfId="8" applyNumberFormat="1" applyFont="1" applyFill="1" applyBorder="1" applyAlignment="1">
      <alignment horizontal="center"/>
    </xf>
    <xf numFmtId="166" fontId="12" fillId="0" borderId="35" xfId="0" applyNumberFormat="1" applyFont="1" applyBorder="1" applyAlignment="1">
      <alignment vertical="center"/>
    </xf>
    <xf numFmtId="166" fontId="12" fillId="0" borderId="157" xfId="0" applyNumberFormat="1" applyFont="1" applyBorder="1" applyAlignment="1">
      <alignment vertical="center"/>
    </xf>
    <xf numFmtId="166" fontId="12" fillId="0" borderId="72" xfId="0" applyNumberFormat="1" applyFont="1" applyBorder="1" applyAlignment="1">
      <alignment vertical="center"/>
    </xf>
    <xf numFmtId="166" fontId="12" fillId="0" borderId="146" xfId="0" applyNumberFormat="1" applyFont="1" applyBorder="1" applyAlignment="1">
      <alignment vertical="center"/>
    </xf>
    <xf numFmtId="166" fontId="12" fillId="0" borderId="147" xfId="0" applyNumberFormat="1" applyFont="1" applyBorder="1" applyAlignment="1">
      <alignment vertical="center"/>
    </xf>
    <xf numFmtId="166" fontId="4" fillId="11" borderId="94" xfId="8" applyNumberFormat="1" applyFont="1" applyFill="1" applyBorder="1" applyAlignment="1">
      <alignment horizontal="center"/>
    </xf>
    <xf numFmtId="166" fontId="12" fillId="0" borderId="92" xfId="0" applyNumberFormat="1" applyFont="1" applyBorder="1" applyAlignment="1">
      <alignment vertical="center"/>
    </xf>
    <xf numFmtId="166" fontId="12" fillId="0" borderId="93" xfId="0" applyNumberFormat="1" applyFont="1" applyBorder="1" applyAlignment="1">
      <alignment vertical="center"/>
    </xf>
    <xf numFmtId="166" fontId="4" fillId="11" borderId="75" xfId="8" applyNumberFormat="1" applyFont="1" applyFill="1" applyBorder="1" applyAlignment="1">
      <alignment horizontal="center"/>
    </xf>
    <xf numFmtId="166" fontId="4" fillId="11" borderId="104" xfId="8" applyNumberFormat="1" applyFont="1" applyFill="1" applyBorder="1" applyAlignment="1">
      <alignment horizontal="center"/>
    </xf>
    <xf numFmtId="166" fontId="4" fillId="11" borderId="99" xfId="8" applyNumberFormat="1" applyFont="1" applyFill="1" applyBorder="1" applyAlignment="1">
      <alignment horizontal="center"/>
    </xf>
    <xf numFmtId="166" fontId="12" fillId="0" borderId="150" xfId="0" applyNumberFormat="1" applyFont="1" applyBorder="1" applyAlignment="1">
      <alignment vertical="center"/>
    </xf>
    <xf numFmtId="166" fontId="12" fillId="0" borderId="158" xfId="0" applyNumberFormat="1" applyFont="1" applyBorder="1" applyAlignment="1">
      <alignment vertical="center"/>
    </xf>
    <xf numFmtId="166" fontId="12" fillId="0" borderId="103" xfId="0" applyNumberFormat="1" applyFont="1" applyBorder="1" applyAlignment="1">
      <alignment vertical="center"/>
    </xf>
    <xf numFmtId="166" fontId="4" fillId="11" borderId="98" xfId="8" applyNumberFormat="1" applyFont="1" applyFill="1" applyBorder="1" applyAlignment="1">
      <alignment horizontal="center"/>
    </xf>
    <xf numFmtId="166" fontId="4" fillId="0" borderId="175" xfId="8" applyNumberFormat="1" applyFont="1" applyBorder="1" applyAlignment="1">
      <alignment horizontal="center"/>
    </xf>
    <xf numFmtId="166" fontId="4" fillId="0" borderId="176" xfId="8" applyNumberFormat="1" applyFont="1" applyBorder="1" applyAlignment="1">
      <alignment horizontal="center"/>
    </xf>
    <xf numFmtId="166" fontId="4" fillId="0" borderId="177" xfId="8" applyNumberFormat="1" applyFont="1" applyBorder="1" applyAlignment="1">
      <alignment horizontal="center"/>
    </xf>
    <xf numFmtId="0" fontId="69" fillId="0" borderId="1" xfId="0" applyFont="1" applyBorder="1" applyAlignment="1">
      <alignment vertical="center"/>
    </xf>
    <xf numFmtId="166" fontId="4" fillId="0" borderId="178" xfId="8" applyNumberFormat="1" applyFont="1" applyBorder="1" applyAlignment="1">
      <alignment horizontal="center"/>
    </xf>
    <xf numFmtId="166" fontId="4" fillId="0" borderId="179" xfId="8" applyNumberFormat="1" applyFont="1" applyBorder="1" applyAlignment="1">
      <alignment horizontal="center"/>
    </xf>
    <xf numFmtId="0" fontId="32" fillId="0" borderId="6" xfId="0" applyFont="1" applyBorder="1" applyAlignment="1">
      <alignment textRotation="90"/>
    </xf>
    <xf numFmtId="0" fontId="32" fillId="0" borderId="3" xfId="2" applyFont="1" applyBorder="1" applyAlignment="1">
      <alignment textRotation="90"/>
    </xf>
    <xf numFmtId="0" fontId="32" fillId="0" borderId="5" xfId="0" applyFont="1" applyBorder="1" applyAlignment="1">
      <alignment textRotation="90"/>
    </xf>
    <xf numFmtId="166" fontId="12" fillId="0" borderId="180" xfId="0" applyNumberFormat="1" applyFont="1" applyBorder="1" applyAlignment="1">
      <alignment vertical="center"/>
    </xf>
    <xf numFmtId="166" fontId="12" fillId="0" borderId="85" xfId="0" applyNumberFormat="1" applyFont="1" applyBorder="1" applyAlignment="1">
      <alignment vertical="center"/>
    </xf>
    <xf numFmtId="166" fontId="12" fillId="0" borderId="181" xfId="0" applyNumberFormat="1" applyFont="1" applyBorder="1" applyAlignment="1">
      <alignment vertical="center"/>
    </xf>
    <xf numFmtId="0" fontId="56" fillId="11" borderId="182" xfId="8" applyFont="1" applyFill="1" applyBorder="1" applyAlignment="1">
      <alignment horizontal="center" textRotation="180"/>
    </xf>
    <xf numFmtId="166" fontId="4" fillId="11" borderId="183" xfId="8" applyNumberFormat="1" applyFont="1" applyFill="1" applyBorder="1" applyAlignment="1">
      <alignment horizontal="center"/>
    </xf>
    <xf numFmtId="166" fontId="4" fillId="0" borderId="61" xfId="8" applyNumberFormat="1" applyFont="1" applyBorder="1" applyAlignment="1">
      <alignment horizontal="center"/>
    </xf>
    <xf numFmtId="166" fontId="4" fillId="0" borderId="62" xfId="8" applyNumberFormat="1" applyFont="1" applyBorder="1" applyAlignment="1">
      <alignment horizontal="center"/>
    </xf>
    <xf numFmtId="166" fontId="4" fillId="0" borderId="63" xfId="8" applyNumberFormat="1" applyFont="1" applyBorder="1" applyAlignment="1">
      <alignment horizontal="center"/>
    </xf>
    <xf numFmtId="166" fontId="4" fillId="0" borderId="64" xfId="8" applyNumberFormat="1" applyFont="1" applyBorder="1" applyAlignment="1">
      <alignment horizontal="center"/>
    </xf>
    <xf numFmtId="166" fontId="4" fillId="0" borderId="34" xfId="8" applyNumberFormat="1" applyFont="1" applyBorder="1" applyAlignment="1">
      <alignment horizontal="center"/>
    </xf>
    <xf numFmtId="166" fontId="4" fillId="0" borderId="65" xfId="8" applyNumberFormat="1" applyFont="1" applyBorder="1" applyAlignment="1">
      <alignment horizontal="center"/>
    </xf>
    <xf numFmtId="166" fontId="4" fillId="0" borderId="184" xfId="8" applyNumberFormat="1" applyFont="1" applyBorder="1" applyAlignment="1">
      <alignment horizontal="center"/>
    </xf>
    <xf numFmtId="166" fontId="4" fillId="0" borderId="95" xfId="8" applyNumberFormat="1" applyFont="1" applyBorder="1" applyAlignment="1">
      <alignment horizontal="center"/>
    </xf>
    <xf numFmtId="166" fontId="4" fillId="0" borderId="96" xfId="8" applyNumberFormat="1" applyFont="1" applyBorder="1" applyAlignment="1">
      <alignment horizontal="center"/>
    </xf>
    <xf numFmtId="166" fontId="12" fillId="0" borderId="184" xfId="0" applyNumberFormat="1" applyFont="1" applyBorder="1" applyAlignment="1">
      <alignment vertical="center"/>
    </xf>
    <xf numFmtId="166" fontId="12" fillId="0" borderId="95" xfId="0" applyNumberFormat="1" applyFont="1" applyBorder="1" applyAlignment="1">
      <alignment vertical="center"/>
    </xf>
    <xf numFmtId="166" fontId="12" fillId="0" borderId="185" xfId="0" applyNumberFormat="1" applyFont="1" applyBorder="1" applyAlignment="1">
      <alignment vertical="center"/>
    </xf>
    <xf numFmtId="166" fontId="12" fillId="0" borderId="186" xfId="0" applyNumberFormat="1" applyFont="1" applyBorder="1" applyAlignment="1">
      <alignment vertical="center"/>
    </xf>
    <xf numFmtId="166" fontId="12" fillId="0" borderId="187" xfId="0" applyNumberFormat="1" applyFont="1" applyBorder="1" applyAlignment="1">
      <alignment vertical="center"/>
    </xf>
    <xf numFmtId="166" fontId="12" fillId="0" borderId="188" xfId="0" applyNumberFormat="1" applyFont="1" applyBorder="1" applyAlignment="1">
      <alignment vertical="center"/>
    </xf>
    <xf numFmtId="166" fontId="12" fillId="0" borderId="166" xfId="0" applyNumberFormat="1" applyFont="1" applyBorder="1" applyAlignment="1">
      <alignment vertical="center"/>
    </xf>
    <xf numFmtId="166" fontId="16" fillId="9" borderId="190" xfId="8" applyNumberFormat="1" applyFont="1" applyFill="1" applyBorder="1" applyAlignment="1">
      <alignment horizontal="center" vertical="center" wrapText="1"/>
    </xf>
    <xf numFmtId="0" fontId="56" fillId="11" borderId="25" xfId="8" applyFont="1" applyFill="1" applyBorder="1" applyAlignment="1">
      <alignment horizontal="center" textRotation="180"/>
    </xf>
    <xf numFmtId="166" fontId="4" fillId="11" borderId="192" xfId="8" applyNumberFormat="1" applyFont="1" applyFill="1" applyBorder="1" applyAlignment="1">
      <alignment horizontal="center"/>
    </xf>
    <xf numFmtId="0" fontId="84" fillId="4" borderId="0" xfId="0" applyFont="1" applyFill="1" applyAlignment="1">
      <alignment vertical="center"/>
    </xf>
    <xf numFmtId="170" fontId="3" fillId="0" borderId="2" xfId="2" applyNumberFormat="1" applyBorder="1" applyAlignment="1">
      <alignment horizontal="center" vertical="center" wrapText="1"/>
    </xf>
    <xf numFmtId="0" fontId="56" fillId="0" borderId="193" xfId="8" applyFont="1" applyBorder="1" applyAlignment="1">
      <alignment horizontal="center" textRotation="180"/>
    </xf>
    <xf numFmtId="0" fontId="56" fillId="0" borderId="194" xfId="8" applyFont="1" applyBorder="1" applyAlignment="1">
      <alignment horizontal="center" textRotation="180"/>
    </xf>
    <xf numFmtId="166" fontId="1" fillId="0" borderId="2" xfId="0" applyNumberFormat="1" applyFont="1" applyBorder="1"/>
    <xf numFmtId="166" fontId="1" fillId="0" borderId="1" xfId="0" applyNumberFormat="1" applyFont="1" applyBorder="1"/>
    <xf numFmtId="0" fontId="0" fillId="0" borderId="5" xfId="0" applyBorder="1" applyAlignment="1">
      <alignment vertical="center"/>
    </xf>
    <xf numFmtId="166" fontId="28" fillId="0" borderId="135" xfId="8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1" fillId="0" borderId="1" xfId="0" applyNumberFormat="1" applyFont="1" applyBorder="1" applyAlignment="1" applyProtection="1">
      <alignment horizontal="left"/>
      <protection locked="0"/>
    </xf>
    <xf numFmtId="166" fontId="1" fillId="0" borderId="2" xfId="0" applyNumberFormat="1" applyFont="1" applyBorder="1" applyAlignment="1">
      <alignment horizontal="left"/>
    </xf>
    <xf numFmtId="166" fontId="1" fillId="0" borderId="1" xfId="0" applyNumberFormat="1" applyFont="1" applyBorder="1" applyAlignment="1">
      <alignment horizontal="left"/>
    </xf>
    <xf numFmtId="166" fontId="16" fillId="9" borderId="114" xfId="8" applyNumberFormat="1" applyFont="1" applyFill="1" applyBorder="1" applyAlignment="1">
      <alignment vertical="center" wrapText="1"/>
    </xf>
    <xf numFmtId="166" fontId="1" fillId="0" borderId="2" xfId="0" applyNumberFormat="1" applyFont="1" applyBorder="1" applyAlignment="1" applyProtection="1">
      <alignment horizontal="center" vertical="center"/>
      <protection locked="0"/>
    </xf>
    <xf numFmtId="0" fontId="27" fillId="6" borderId="41" xfId="0" applyFont="1" applyFill="1" applyBorder="1" applyAlignment="1">
      <alignment horizontal="center" vertical="center" wrapText="1"/>
    </xf>
    <xf numFmtId="49" fontId="3" fillId="0" borderId="2" xfId="2" applyNumberFormat="1" applyBorder="1" applyAlignment="1">
      <alignment horizontal="center" vertical="center" wrapText="1"/>
    </xf>
    <xf numFmtId="169" fontId="1" fillId="11" borderId="2" xfId="0" applyNumberFormat="1" applyFont="1" applyFill="1" applyBorder="1" applyAlignment="1" applyProtection="1">
      <alignment horizontal="center"/>
      <protection locked="0"/>
    </xf>
    <xf numFmtId="169" fontId="1" fillId="11" borderId="1" xfId="0" applyNumberFormat="1" applyFont="1" applyFill="1" applyBorder="1" applyAlignment="1" applyProtection="1">
      <alignment horizontal="center"/>
      <protection locked="0"/>
    </xf>
    <xf numFmtId="49" fontId="85" fillId="17" borderId="21" xfId="2" applyNumberFormat="1" applyFont="1" applyFill="1" applyBorder="1" applyAlignment="1">
      <alignment horizontal="center" vertical="center" wrapText="1"/>
    </xf>
    <xf numFmtId="0" fontId="85" fillId="16" borderId="1" xfId="2" applyFont="1" applyFill="1" applyBorder="1" applyAlignment="1">
      <alignment horizontal="center" vertical="center" wrapText="1"/>
    </xf>
    <xf numFmtId="0" fontId="85" fillId="15" borderId="1" xfId="2" applyFont="1" applyFill="1" applyBorder="1" applyAlignment="1">
      <alignment horizontal="center" vertical="center" wrapText="1"/>
    </xf>
    <xf numFmtId="0" fontId="91" fillId="15" borderId="1" xfId="2" applyFont="1" applyFill="1" applyBorder="1" applyAlignment="1">
      <alignment horizontal="center" vertical="center" wrapText="1"/>
    </xf>
    <xf numFmtId="49" fontId="91" fillId="17" borderId="21" xfId="2" applyNumberFormat="1" applyFont="1" applyFill="1" applyBorder="1" applyAlignment="1">
      <alignment horizontal="center" vertical="center" wrapText="1"/>
    </xf>
    <xf numFmtId="0" fontId="91" fillId="16" borderId="1" xfId="2" applyFont="1" applyFill="1" applyBorder="1" applyAlignment="1">
      <alignment horizontal="center" vertical="center" wrapText="1"/>
    </xf>
    <xf numFmtId="0" fontId="85" fillId="14" borderId="1" xfId="2" applyFont="1" applyFill="1" applyBorder="1" applyAlignment="1">
      <alignment horizontal="center" vertical="center" wrapText="1"/>
    </xf>
    <xf numFmtId="0" fontId="91" fillId="14" borderId="1" xfId="2" applyFont="1" applyFill="1" applyBorder="1" applyAlignment="1">
      <alignment horizontal="center" vertical="center" wrapText="1"/>
    </xf>
    <xf numFmtId="49" fontId="85" fillId="6" borderId="21" xfId="2" applyNumberFormat="1" applyFont="1" applyFill="1" applyBorder="1" applyAlignment="1">
      <alignment horizontal="center" vertical="center" wrapText="1"/>
    </xf>
    <xf numFmtId="49" fontId="91" fillId="6" borderId="21" xfId="2" applyNumberFormat="1" applyFont="1" applyFill="1" applyBorder="1" applyAlignment="1">
      <alignment horizontal="center" vertical="center" wrapText="1"/>
    </xf>
    <xf numFmtId="166" fontId="28" fillId="11" borderId="195" xfId="8" applyNumberFormat="1" applyFont="1" applyFill="1" applyBorder="1" applyAlignment="1">
      <alignment horizontal="center"/>
    </xf>
    <xf numFmtId="166" fontId="28" fillId="11" borderId="196" xfId="8" applyNumberFormat="1" applyFont="1" applyFill="1" applyBorder="1" applyAlignment="1">
      <alignment horizontal="center"/>
    </xf>
    <xf numFmtId="166" fontId="28" fillId="11" borderId="197" xfId="8" applyNumberFormat="1" applyFont="1" applyFill="1" applyBorder="1" applyAlignment="1">
      <alignment horizontal="center"/>
    </xf>
    <xf numFmtId="2" fontId="17" fillId="0" borderId="0" xfId="0" applyNumberFormat="1" applyFont="1" applyAlignment="1">
      <alignment vertical="center"/>
    </xf>
    <xf numFmtId="166" fontId="110" fillId="3" borderId="1" xfId="0" applyNumberFormat="1" applyFont="1" applyFill="1" applyBorder="1" applyProtection="1">
      <protection locked="0"/>
    </xf>
    <xf numFmtId="0" fontId="32" fillId="0" borderId="25" xfId="0" applyFont="1" applyBorder="1" applyAlignment="1">
      <alignment horizontal="right" indent="1"/>
    </xf>
    <xf numFmtId="0" fontId="32" fillId="0" borderId="26" xfId="0" applyFont="1" applyBorder="1" applyAlignment="1">
      <alignment horizontal="right" indent="1"/>
    </xf>
    <xf numFmtId="0" fontId="32" fillId="0" borderId="27" xfId="0" applyFont="1" applyBorder="1" applyAlignment="1">
      <alignment horizontal="right" indent="1"/>
    </xf>
    <xf numFmtId="1" fontId="1" fillId="11" borderId="1" xfId="0" applyNumberFormat="1" applyFont="1" applyFill="1" applyBorder="1" applyAlignment="1">
      <alignment horizontal="center"/>
    </xf>
    <xf numFmtId="166" fontId="28" fillId="0" borderId="198" xfId="8" applyNumberFormat="1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32" fillId="0" borderId="0" xfId="0" applyFont="1" applyAlignment="1">
      <alignment horizontal="center" textRotation="90"/>
    </xf>
    <xf numFmtId="166" fontId="16" fillId="9" borderId="113" xfId="8" applyNumberFormat="1" applyFont="1" applyFill="1" applyBorder="1" applyAlignment="1">
      <alignment vertical="center" wrapText="1"/>
    </xf>
    <xf numFmtId="166" fontId="16" fillId="9" borderId="191" xfId="8" applyNumberFormat="1" applyFont="1" applyFill="1" applyBorder="1" applyAlignment="1">
      <alignment horizontal="right" vertical="center" wrapText="1"/>
    </xf>
    <xf numFmtId="166" fontId="16" fillId="9" borderId="113" xfId="8" applyNumberFormat="1" applyFont="1" applyFill="1" applyBorder="1" applyAlignment="1">
      <alignment horizontal="right" vertical="center" wrapText="1"/>
    </xf>
    <xf numFmtId="166" fontId="16" fillId="9" borderId="77" xfId="8" applyNumberFormat="1" applyFont="1" applyFill="1" applyBorder="1" applyAlignment="1">
      <alignment horizontal="right" vertical="center" wrapText="1"/>
    </xf>
    <xf numFmtId="17" fontId="50" fillId="0" borderId="119" xfId="0" applyNumberFormat="1" applyFont="1" applyBorder="1" applyAlignment="1">
      <alignment horizontal="center" vertical="center"/>
    </xf>
    <xf numFmtId="17" fontId="50" fillId="0" borderId="120" xfId="0" applyNumberFormat="1" applyFont="1" applyBorder="1" applyAlignment="1">
      <alignment horizontal="center" vertical="center"/>
    </xf>
    <xf numFmtId="17" fontId="50" fillId="0" borderId="121" xfId="0" applyNumberFormat="1" applyFont="1" applyBorder="1" applyAlignment="1">
      <alignment horizontal="center" vertical="center"/>
    </xf>
    <xf numFmtId="17" fontId="50" fillId="0" borderId="199" xfId="0" applyNumberFormat="1" applyFont="1" applyBorder="1" applyAlignment="1">
      <alignment horizontal="center" vertical="center"/>
    </xf>
    <xf numFmtId="17" fontId="50" fillId="0" borderId="82" xfId="0" applyNumberFormat="1" applyFont="1" applyBorder="1" applyAlignment="1">
      <alignment horizontal="center" vertical="center"/>
    </xf>
    <xf numFmtId="17" fontId="50" fillId="0" borderId="83" xfId="0" applyNumberFormat="1" applyFont="1" applyBorder="1" applyAlignment="1">
      <alignment horizontal="center" vertical="center"/>
    </xf>
    <xf numFmtId="166" fontId="28" fillId="0" borderId="200" xfId="8" applyNumberFormat="1" applyFont="1" applyBorder="1" applyAlignment="1">
      <alignment horizontal="center"/>
    </xf>
    <xf numFmtId="17" fontId="50" fillId="0" borderId="84" xfId="0" applyNumberFormat="1" applyFont="1" applyBorder="1" applyAlignment="1">
      <alignment horizontal="center" vertical="center"/>
    </xf>
    <xf numFmtId="0" fontId="91" fillId="0" borderId="24" xfId="8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86" fillId="7" borderId="153" xfId="0" applyFont="1" applyFill="1" applyBorder="1" applyAlignment="1">
      <alignment horizontal="center" vertical="center" wrapText="1"/>
    </xf>
    <xf numFmtId="0" fontId="86" fillId="7" borderId="10" xfId="0" applyFont="1" applyFill="1" applyBorder="1" applyAlignment="1">
      <alignment horizontal="center" vertical="center" wrapText="1"/>
    </xf>
    <xf numFmtId="0" fontId="86" fillId="7" borderId="154" xfId="0" applyFont="1" applyFill="1" applyBorder="1" applyAlignment="1">
      <alignment horizontal="center" vertical="center" wrapText="1"/>
    </xf>
    <xf numFmtId="0" fontId="86" fillId="7" borderId="155" xfId="0" applyFont="1" applyFill="1" applyBorder="1" applyAlignment="1">
      <alignment horizontal="center" vertical="center" wrapText="1"/>
    </xf>
    <xf numFmtId="0" fontId="91" fillId="0" borderId="0" xfId="8" applyFont="1" applyAlignment="1">
      <alignment horizontal="center" vertical="center" wrapText="1"/>
    </xf>
    <xf numFmtId="0" fontId="84" fillId="4" borderId="0" xfId="0" applyFont="1" applyFill="1" applyAlignment="1">
      <alignment horizontal="center" vertical="center"/>
    </xf>
    <xf numFmtId="0" fontId="27" fillId="16" borderId="37" xfId="0" applyFont="1" applyFill="1" applyBorder="1" applyAlignment="1">
      <alignment horizontal="center" vertical="center" wrapText="1"/>
    </xf>
    <xf numFmtId="0" fontId="27" fillId="16" borderId="21" xfId="0" applyFont="1" applyFill="1" applyBorder="1" applyAlignment="1">
      <alignment horizontal="center" vertical="center" wrapText="1"/>
    </xf>
    <xf numFmtId="0" fontId="27" fillId="16" borderId="49" xfId="0" applyFont="1" applyFill="1" applyBorder="1" applyAlignment="1">
      <alignment horizontal="center" vertical="center" wrapText="1"/>
    </xf>
    <xf numFmtId="0" fontId="27" fillId="16" borderId="18" xfId="0" applyFont="1" applyFill="1" applyBorder="1" applyAlignment="1">
      <alignment horizontal="center" vertical="center" wrapText="1"/>
    </xf>
    <xf numFmtId="0" fontId="27" fillId="16" borderId="19" xfId="0" applyFont="1" applyFill="1" applyBorder="1" applyAlignment="1">
      <alignment horizontal="center" vertical="center" wrapText="1"/>
    </xf>
    <xf numFmtId="0" fontId="27" fillId="16" borderId="20" xfId="0" applyFont="1" applyFill="1" applyBorder="1" applyAlignment="1">
      <alignment horizontal="center" vertical="center" wrapText="1"/>
    </xf>
    <xf numFmtId="0" fontId="27" fillId="16" borderId="18" xfId="2" applyFont="1" applyFill="1" applyBorder="1" applyAlignment="1">
      <alignment horizontal="center" vertical="center" wrapText="1"/>
    </xf>
    <xf numFmtId="0" fontId="27" fillId="16" borderId="19" xfId="2" applyFont="1" applyFill="1" applyBorder="1" applyAlignment="1">
      <alignment horizontal="center" vertical="center" wrapText="1"/>
    </xf>
    <xf numFmtId="0" fontId="27" fillId="16" borderId="20" xfId="2" applyFont="1" applyFill="1" applyBorder="1" applyAlignment="1">
      <alignment horizontal="center" vertical="center" wrapText="1"/>
    </xf>
    <xf numFmtId="0" fontId="76" fillId="4" borderId="80" xfId="0" applyFont="1" applyFill="1" applyBorder="1" applyAlignment="1">
      <alignment horizontal="center" vertical="center" wrapText="1"/>
    </xf>
    <xf numFmtId="0" fontId="76" fillId="4" borderId="39" xfId="0" applyFont="1" applyFill="1" applyBorder="1" applyAlignment="1">
      <alignment horizontal="center" vertical="center" wrapText="1"/>
    </xf>
    <xf numFmtId="0" fontId="76" fillId="4" borderId="40" xfId="0" applyFont="1" applyFill="1" applyBorder="1" applyAlignment="1">
      <alignment horizontal="center" vertical="center" wrapText="1"/>
    </xf>
    <xf numFmtId="0" fontId="88" fillId="8" borderId="80" xfId="8" applyFont="1" applyFill="1" applyBorder="1" applyAlignment="1">
      <alignment horizontal="center" vertical="center" textRotation="90" wrapText="1"/>
    </xf>
    <xf numFmtId="0" fontId="88" fillId="8" borderId="39" xfId="8" applyFont="1" applyFill="1" applyBorder="1" applyAlignment="1">
      <alignment horizontal="center" vertical="center" textRotation="90" wrapText="1"/>
    </xf>
    <xf numFmtId="0" fontId="88" fillId="8" borderId="40" xfId="8" applyFont="1" applyFill="1" applyBorder="1" applyAlignment="1">
      <alignment horizontal="center" vertical="center" textRotation="90" wrapText="1"/>
    </xf>
    <xf numFmtId="0" fontId="68" fillId="5" borderId="11" xfId="0" applyFont="1" applyFill="1" applyBorder="1" applyAlignment="1">
      <alignment horizontal="center" vertical="center" wrapText="1"/>
    </xf>
    <xf numFmtId="0" fontId="92" fillId="5" borderId="10" xfId="0" applyFont="1" applyFill="1" applyBorder="1" applyAlignment="1">
      <alignment horizontal="center" vertical="center" wrapText="1"/>
    </xf>
    <xf numFmtId="0" fontId="92" fillId="5" borderId="15" xfId="0" applyFont="1" applyFill="1" applyBorder="1" applyAlignment="1">
      <alignment horizontal="center" vertical="center" wrapText="1"/>
    </xf>
    <xf numFmtId="0" fontId="92" fillId="5" borderId="13" xfId="0" applyFont="1" applyFill="1" applyBorder="1" applyAlignment="1">
      <alignment horizontal="center" vertical="center" wrapText="1"/>
    </xf>
    <xf numFmtId="0" fontId="92" fillId="5" borderId="14" xfId="0" applyFont="1" applyFill="1" applyBorder="1" applyAlignment="1">
      <alignment horizontal="center" vertical="center" wrapText="1"/>
    </xf>
    <xf numFmtId="0" fontId="92" fillId="5" borderId="17" xfId="0" applyFont="1" applyFill="1" applyBorder="1" applyAlignment="1">
      <alignment horizontal="center" vertical="center" wrapText="1"/>
    </xf>
    <xf numFmtId="0" fontId="27" fillId="0" borderId="116" xfId="8" applyFont="1" applyBorder="1" applyAlignment="1">
      <alignment horizontal="center" vertical="center" wrapText="1"/>
    </xf>
    <xf numFmtId="0" fontId="27" fillId="0" borderId="36" xfId="8" applyFont="1" applyBorder="1" applyAlignment="1">
      <alignment horizontal="center" vertical="center" wrapText="1"/>
    </xf>
    <xf numFmtId="0" fontId="27" fillId="16" borderId="18" xfId="0" applyFont="1" applyFill="1" applyBorder="1" applyAlignment="1">
      <alignment horizontal="center" wrapText="1"/>
    </xf>
    <xf numFmtId="0" fontId="27" fillId="16" borderId="19" xfId="0" applyFont="1" applyFill="1" applyBorder="1" applyAlignment="1">
      <alignment horizontal="center" wrapText="1"/>
    </xf>
    <xf numFmtId="0" fontId="27" fillId="16" borderId="20" xfId="0" applyFont="1" applyFill="1" applyBorder="1" applyAlignment="1">
      <alignment horizontal="center" wrapText="1"/>
    </xf>
    <xf numFmtId="0" fontId="27" fillId="6" borderId="41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101" fillId="6" borderId="41" xfId="0" applyFont="1" applyFill="1" applyBorder="1" applyAlignment="1">
      <alignment horizontal="center" vertical="center" wrapText="1"/>
    </xf>
    <xf numFmtId="0" fontId="101" fillId="6" borderId="19" xfId="0" applyFont="1" applyFill="1" applyBorder="1" applyAlignment="1">
      <alignment horizontal="center" vertical="center" wrapText="1"/>
    </xf>
    <xf numFmtId="0" fontId="101" fillId="6" borderId="42" xfId="0" applyFont="1" applyFill="1" applyBorder="1" applyAlignment="1">
      <alignment horizontal="center" vertical="center" wrapText="1"/>
    </xf>
    <xf numFmtId="0" fontId="85" fillId="12" borderId="0" xfId="8" applyFont="1" applyFill="1" applyAlignment="1">
      <alignment horizontal="center" vertical="center" wrapText="1"/>
    </xf>
    <xf numFmtId="0" fontId="27" fillId="0" borderId="19" xfId="8" applyFont="1" applyBorder="1" applyAlignment="1">
      <alignment horizontal="center" vertical="center" wrapText="1"/>
    </xf>
    <xf numFmtId="0" fontId="27" fillId="0" borderId="20" xfId="8" applyFont="1" applyBorder="1" applyAlignment="1">
      <alignment horizontal="center" vertical="center" wrapText="1"/>
    </xf>
    <xf numFmtId="0" fontId="27" fillId="6" borderId="18" xfId="0" applyFont="1" applyFill="1" applyBorder="1" applyAlignment="1">
      <alignment horizontal="center" vertical="center" wrapText="1"/>
    </xf>
    <xf numFmtId="0" fontId="27" fillId="6" borderId="20" xfId="0" applyFont="1" applyFill="1" applyBorder="1" applyAlignment="1">
      <alignment horizontal="center" vertical="center" wrapText="1"/>
    </xf>
    <xf numFmtId="0" fontId="68" fillId="5" borderId="18" xfId="0" applyFont="1" applyFill="1" applyBorder="1" applyAlignment="1">
      <alignment horizontal="center" vertical="center" wrapText="1"/>
    </xf>
    <xf numFmtId="0" fontId="92" fillId="5" borderId="19" xfId="0" applyFont="1" applyFill="1" applyBorder="1" applyAlignment="1">
      <alignment horizontal="center" vertical="center" wrapText="1"/>
    </xf>
    <xf numFmtId="0" fontId="92" fillId="5" borderId="20" xfId="0" applyFont="1" applyFill="1" applyBorder="1" applyAlignment="1">
      <alignment horizontal="center" vertical="center" wrapText="1"/>
    </xf>
    <xf numFmtId="0" fontId="88" fillId="8" borderId="80" xfId="8" applyFont="1" applyFill="1" applyBorder="1" applyAlignment="1">
      <alignment horizontal="center" vertical="center" wrapText="1"/>
    </xf>
    <xf numFmtId="0" fontId="88" fillId="8" borderId="173" xfId="8" applyFont="1" applyFill="1" applyBorder="1" applyAlignment="1">
      <alignment horizontal="center" vertical="center" wrapText="1"/>
    </xf>
    <xf numFmtId="0" fontId="88" fillId="8" borderId="39" xfId="8" applyFont="1" applyFill="1" applyBorder="1" applyAlignment="1">
      <alignment horizontal="center" vertical="center" wrapText="1"/>
    </xf>
    <xf numFmtId="0" fontId="88" fillId="8" borderId="151" xfId="8" applyFont="1" applyFill="1" applyBorder="1" applyAlignment="1">
      <alignment horizontal="center" vertical="center" wrapText="1"/>
    </xf>
    <xf numFmtId="0" fontId="76" fillId="4" borderId="117" xfId="0" applyFont="1" applyFill="1" applyBorder="1" applyAlignment="1">
      <alignment horizontal="center" vertical="center" wrapText="1"/>
    </xf>
    <xf numFmtId="0" fontId="76" fillId="4" borderId="118" xfId="0" applyFont="1" applyFill="1" applyBorder="1" applyAlignment="1">
      <alignment horizontal="center" vertical="center" wrapText="1"/>
    </xf>
    <xf numFmtId="0" fontId="76" fillId="4" borderId="189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17" borderId="18" xfId="0" applyFont="1" applyFill="1" applyBorder="1" applyAlignment="1">
      <alignment horizontal="center" vertical="center" wrapText="1"/>
    </xf>
    <xf numFmtId="0" fontId="27" fillId="17" borderId="19" xfId="0" applyFont="1" applyFill="1" applyBorder="1" applyAlignment="1">
      <alignment horizontal="center" vertical="center" wrapText="1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68" fillId="5" borderId="10" xfId="0" applyFont="1" applyFill="1" applyBorder="1" applyAlignment="1">
      <alignment horizontal="center" vertical="center" wrapText="1"/>
    </xf>
    <xf numFmtId="0" fontId="68" fillId="5" borderId="15" xfId="0" applyFont="1" applyFill="1" applyBorder="1" applyAlignment="1">
      <alignment horizontal="center" vertical="center" wrapText="1"/>
    </xf>
    <xf numFmtId="0" fontId="68" fillId="5" borderId="13" xfId="0" applyFont="1" applyFill="1" applyBorder="1" applyAlignment="1">
      <alignment horizontal="center" vertical="center" wrapText="1"/>
    </xf>
    <xf numFmtId="0" fontId="68" fillId="5" borderId="14" xfId="0" applyFont="1" applyFill="1" applyBorder="1" applyAlignment="1">
      <alignment horizontal="center" vertical="center" wrapText="1"/>
    </xf>
    <xf numFmtId="0" fontId="68" fillId="5" borderId="17" xfId="0" applyFont="1" applyFill="1" applyBorder="1" applyAlignment="1">
      <alignment horizontal="center" vertical="center" wrapText="1"/>
    </xf>
    <xf numFmtId="0" fontId="76" fillId="4" borderId="151" xfId="0" applyFont="1" applyFill="1" applyBorder="1" applyAlignment="1">
      <alignment horizontal="center" vertical="center" wrapText="1"/>
    </xf>
    <xf numFmtId="0" fontId="27" fillId="0" borderId="140" xfId="8" applyFont="1" applyBorder="1" applyAlignment="1">
      <alignment horizontal="center" vertical="center" wrapText="1"/>
    </xf>
    <xf numFmtId="0" fontId="88" fillId="18" borderId="80" xfId="8" applyFont="1" applyFill="1" applyBorder="1" applyAlignment="1">
      <alignment horizontal="center" vertical="center" textRotation="90" wrapText="1"/>
    </xf>
    <xf numFmtId="0" fontId="88" fillId="18" borderId="39" xfId="8" applyFont="1" applyFill="1" applyBorder="1" applyAlignment="1">
      <alignment horizontal="center" vertical="center" textRotation="90" wrapText="1"/>
    </xf>
    <xf numFmtId="49" fontId="27" fillId="17" borderId="14" xfId="2" applyNumberFormat="1" applyFont="1" applyFill="1" applyBorder="1" applyAlignment="1">
      <alignment horizontal="center" vertical="center" wrapText="1"/>
    </xf>
    <xf numFmtId="0" fontId="27" fillId="17" borderId="41" xfId="0" applyFont="1" applyFill="1" applyBorder="1" applyAlignment="1">
      <alignment horizontal="center" vertical="center" wrapText="1"/>
    </xf>
    <xf numFmtId="0" fontId="27" fillId="17" borderId="42" xfId="0" applyFont="1" applyFill="1" applyBorder="1" applyAlignment="1">
      <alignment horizontal="center" vertical="center" wrapText="1"/>
    </xf>
    <xf numFmtId="49" fontId="27" fillId="17" borderId="13" xfId="2" applyNumberFormat="1" applyFont="1" applyFill="1" applyBorder="1" applyAlignment="1">
      <alignment horizontal="center" vertical="center" wrapText="1"/>
    </xf>
    <xf numFmtId="49" fontId="27" fillId="17" borderId="20" xfId="2" applyNumberFormat="1" applyFont="1" applyFill="1" applyBorder="1" applyAlignment="1">
      <alignment horizontal="center" vertical="center" wrapText="1"/>
    </xf>
    <xf numFmtId="49" fontId="27" fillId="17" borderId="18" xfId="2" applyNumberFormat="1" applyFont="1" applyFill="1" applyBorder="1" applyAlignment="1">
      <alignment horizontal="center" vertical="center" wrapText="1"/>
    </xf>
    <xf numFmtId="49" fontId="27" fillId="17" borderId="19" xfId="2" applyNumberFormat="1" applyFont="1" applyFill="1" applyBorder="1" applyAlignment="1">
      <alignment horizontal="center" vertical="center" wrapText="1"/>
    </xf>
    <xf numFmtId="0" fontId="27" fillId="15" borderId="13" xfId="0" applyFont="1" applyFill="1" applyBorder="1" applyAlignment="1">
      <alignment horizontal="center" vertical="center" wrapText="1"/>
    </xf>
    <xf numFmtId="0" fontId="27" fillId="15" borderId="14" xfId="0" applyFont="1" applyFill="1" applyBorder="1" applyAlignment="1">
      <alignment horizontal="center" vertical="center" wrapText="1"/>
    </xf>
    <xf numFmtId="0" fontId="27" fillId="15" borderId="17" xfId="0" applyFont="1" applyFill="1" applyBorder="1" applyAlignment="1">
      <alignment horizontal="center" vertical="center" wrapText="1"/>
    </xf>
    <xf numFmtId="0" fontId="27" fillId="15" borderId="18" xfId="0" applyFont="1" applyFill="1" applyBorder="1" applyAlignment="1">
      <alignment horizontal="center" vertical="center" wrapText="1"/>
    </xf>
    <xf numFmtId="0" fontId="27" fillId="15" borderId="19" xfId="0" applyFont="1" applyFill="1" applyBorder="1" applyAlignment="1">
      <alignment horizontal="center" vertical="center" wrapText="1"/>
    </xf>
    <xf numFmtId="0" fontId="27" fillId="15" borderId="20" xfId="0" applyFont="1" applyFill="1" applyBorder="1" applyAlignment="1">
      <alignment horizontal="center" vertical="center" wrapText="1"/>
    </xf>
    <xf numFmtId="0" fontId="93" fillId="0" borderId="116" xfId="8" applyFont="1" applyBorder="1" applyAlignment="1">
      <alignment horizontal="center" vertical="center" wrapText="1"/>
    </xf>
    <xf numFmtId="0" fontId="93" fillId="0" borderId="36" xfId="8" applyFont="1" applyBorder="1" applyAlignment="1">
      <alignment horizontal="center" vertical="center" wrapText="1"/>
    </xf>
    <xf numFmtId="0" fontId="76" fillId="4" borderId="143" xfId="0" applyFont="1" applyFill="1" applyBorder="1" applyAlignment="1">
      <alignment horizontal="center" vertical="center" wrapText="1"/>
    </xf>
    <xf numFmtId="0" fontId="16" fillId="8" borderId="160" xfId="8" applyFont="1" applyFill="1" applyBorder="1" applyAlignment="1">
      <alignment horizontal="center" vertical="center" wrapText="1"/>
    </xf>
    <xf numFmtId="0" fontId="16" fillId="8" borderId="9" xfId="8" applyFont="1" applyFill="1" applyBorder="1" applyAlignment="1">
      <alignment horizontal="center" vertical="center" wrapText="1"/>
    </xf>
    <xf numFmtId="0" fontId="76" fillId="4" borderId="161" xfId="0" applyFont="1" applyFill="1" applyBorder="1" applyAlignment="1">
      <alignment horizontal="center" vertical="center" wrapText="1"/>
    </xf>
    <xf numFmtId="0" fontId="27" fillId="14" borderId="13" xfId="0" applyFont="1" applyFill="1" applyBorder="1" applyAlignment="1">
      <alignment horizontal="center" vertical="center" wrapText="1"/>
    </xf>
    <xf numFmtId="0" fontId="27" fillId="14" borderId="14" xfId="0" applyFont="1" applyFill="1" applyBorder="1" applyAlignment="1">
      <alignment horizontal="center" vertical="center" wrapText="1"/>
    </xf>
    <xf numFmtId="0" fontId="27" fillId="14" borderId="132" xfId="0" applyFont="1" applyFill="1" applyBorder="1" applyAlignment="1">
      <alignment horizontal="center" vertical="center" wrapText="1"/>
    </xf>
    <xf numFmtId="0" fontId="27" fillId="14" borderId="130" xfId="0" applyFont="1" applyFill="1" applyBorder="1" applyAlignment="1">
      <alignment horizontal="center" vertical="center" wrapText="1"/>
    </xf>
    <xf numFmtId="0" fontId="27" fillId="0" borderId="18" xfId="8" applyFont="1" applyBorder="1" applyAlignment="1">
      <alignment horizontal="center" vertical="center" wrapText="1"/>
    </xf>
    <xf numFmtId="0" fontId="101" fillId="14" borderId="18" xfId="0" applyFont="1" applyFill="1" applyBorder="1" applyAlignment="1">
      <alignment horizontal="center" vertical="center" wrapText="1"/>
    </xf>
    <xf numFmtId="0" fontId="101" fillId="14" borderId="19" xfId="0" applyFont="1" applyFill="1" applyBorder="1" applyAlignment="1">
      <alignment horizontal="center" vertical="center" wrapText="1"/>
    </xf>
    <xf numFmtId="0" fontId="101" fillId="14" borderId="17" xfId="0" applyFont="1" applyFill="1" applyBorder="1" applyAlignment="1">
      <alignment horizontal="center" vertical="center" wrapText="1"/>
    </xf>
    <xf numFmtId="0" fontId="27" fillId="14" borderId="17" xfId="0" applyFont="1" applyFill="1" applyBorder="1" applyAlignment="1">
      <alignment horizontal="center" vertical="center" wrapText="1"/>
    </xf>
  </cellXfs>
  <cellStyles count="10">
    <cellStyle name="Milliers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Normal 8" xfId="8" xr:uid="{00000000-0005-0000-0000-000008000000}"/>
    <cellStyle name="Percent" xfId="9" builtinId="5"/>
  </cellStyles>
  <dxfs count="1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49</xdr:col>
      <xdr:colOff>0</xdr:colOff>
      <xdr:row>11</xdr:row>
      <xdr:rowOff>26670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526220" y="26327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474114</xdr:colOff>
      <xdr:row>0</xdr:row>
      <xdr:rowOff>0</xdr:rowOff>
    </xdr:from>
    <xdr:to>
      <xdr:col>8</xdr:col>
      <xdr:colOff>282758</xdr:colOff>
      <xdr:row>4</xdr:row>
      <xdr:rowOff>245006</xdr:rowOff>
    </xdr:to>
    <xdr:pic>
      <xdr:nvPicPr>
        <xdr:cNvPr id="19" name="Picture 18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82890" y="0"/>
          <a:ext cx="4256235" cy="100700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155510</xdr:colOff>
      <xdr:row>3</xdr:row>
      <xdr:rowOff>139959</xdr:rowOff>
    </xdr:from>
    <xdr:to>
      <xdr:col>0</xdr:col>
      <xdr:colOff>1767140</xdr:colOff>
      <xdr:row>8</xdr:row>
      <xdr:rowOff>28847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510" y="723122"/>
          <a:ext cx="1611630" cy="10629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85724</xdr:rowOff>
    </xdr:from>
    <xdr:to>
      <xdr:col>9</xdr:col>
      <xdr:colOff>438150</xdr:colOff>
      <xdr:row>21</xdr:row>
      <xdr:rowOff>22859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8100" y="268604"/>
          <a:ext cx="5886450" cy="3594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>
              <a:latin typeface="Tempus Sans ITC" panose="04020404030D07020202" pitchFamily="82" charset="0"/>
              <a:ea typeface="+mn-lt"/>
              <a:cs typeface="+mn-lt"/>
            </a:rPr>
            <a:t>Thank you for taking the time to fill Midwifery Services Data Collection Form!</a:t>
          </a:r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l"/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ctr"/>
          <a:r>
            <a:rPr lang="en-US" sz="1100">
              <a:latin typeface="Tempus Sans ITC" panose="04020404030D07020202" pitchFamily="82" charset="0"/>
              <a:ea typeface="+mn-lt"/>
              <a:cs typeface="+mn-lt"/>
            </a:rPr>
            <a:t>For any question, suggestions or modification request, do not hesitate to contact Katia Lessard, PPRO-MIdwifery Katia.Lessard.reg18@ssss.gouv.qc.ca</a:t>
          </a:r>
          <a:endParaRPr lang="en-US" sz="1100" b="1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l"/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l"/>
          <a:r>
            <a:rPr lang="en-US" sz="1100">
              <a:latin typeface="Tempus Sans ITC" panose="04020404030D07020202" pitchFamily="82" charset="0"/>
              <a:ea typeface="+mn-lt"/>
              <a:cs typeface="+mn-lt"/>
            </a:rPr>
            <a:t>This tool has been created in order to support constant amelioration and provision of high-quality Midwifery care in Eeyou Istchee. It will allow us to operate a constant follow up of services, outcomes ant impacts of Midwifery Services amongst our clientele.</a:t>
          </a:r>
        </a:p>
        <a:p>
          <a:pPr marL="0" indent="0" algn="l"/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l"/>
          <a:r>
            <a:rPr lang="en-US" sz="1100">
              <a:latin typeface="Tempus Sans ITC" panose="04020404030D07020202" pitchFamily="82" charset="0"/>
              <a:ea typeface="+mn-lt"/>
              <a:cs typeface="+mn-lt"/>
            </a:rPr>
            <a:t>Some variables</a:t>
          </a:r>
          <a:r>
            <a:rPr lang="en-US" sz="1100" baseline="0">
              <a:latin typeface="Tempus Sans ITC" panose="04020404030D07020202" pitchFamily="82" charset="0"/>
              <a:ea typeface="+mn-lt"/>
              <a:cs typeface="+mn-lt"/>
            </a:rPr>
            <a:t> </a:t>
          </a:r>
          <a:r>
            <a:rPr lang="en-US" sz="1100">
              <a:latin typeface="Tempus Sans ITC" panose="04020404030D07020202" pitchFamily="82" charset="0"/>
              <a:ea typeface="+mn-lt"/>
              <a:cs typeface="+mn-lt"/>
            </a:rPr>
            <a:t>collected here where specifically requested by Nishiyuu. Other variables selected come from various consultations with Midwifery Services and are isnpired by different databases and organizations: National Idigenous Association of Midwife, I-CLSC, Care 4, CHB, RSFQ, Canadian Midwifery Minimum Database  and MSSS.</a:t>
          </a:r>
        </a:p>
        <a:p>
          <a:pPr marL="0" indent="0" algn="l"/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l"/>
          <a:r>
            <a:rPr lang="en-US" sz="1100">
              <a:latin typeface="Tempus Sans ITC" panose="04020404030D07020202" pitchFamily="82" charset="0"/>
              <a:ea typeface="+mn-lt"/>
              <a:cs typeface="+mn-lt"/>
            </a:rPr>
            <a:t>Data analysis is a public matter and will be reported back yearly to Eeyou Istchee Communities via the Midwifery Services'  and Cree Health Board Annual Report.</a:t>
          </a:r>
        </a:p>
        <a:p>
          <a:pPr marL="0" indent="0" algn="l"/>
          <a:endParaRPr lang="en-US" sz="1100">
            <a:latin typeface="Tempus Sans ITC" panose="04020404030D07020202" pitchFamily="82" charset="0"/>
            <a:ea typeface="+mn-lt"/>
            <a:cs typeface="+mn-lt"/>
          </a:endParaRPr>
        </a:p>
        <a:p>
          <a:pPr marL="0" indent="0" algn="ctr"/>
          <a:r>
            <a:rPr lang="en-US" sz="1100" b="1">
              <a:latin typeface="Tempus Sans ITC" panose="04020404030D07020202" pitchFamily="82" charset="0"/>
              <a:ea typeface="+mn-lt"/>
              <a:cs typeface="+mn-lt"/>
            </a:rPr>
            <a:t>Thank you all for your commitement into providing high quality Midwifery care to families in Eeyou Istchee.</a:t>
          </a:r>
        </a:p>
        <a:p>
          <a:pPr marL="0" indent="0" algn="l"/>
          <a:endParaRPr lang="en-US" sz="1100">
            <a:latin typeface="+mn-lt"/>
            <a:ea typeface="+mn-lt"/>
            <a:cs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411480</xdr:colOff>
      <xdr:row>3</xdr:row>
      <xdr:rowOff>198120</xdr:rowOff>
    </xdr:from>
    <xdr:to>
      <xdr:col>16</xdr:col>
      <xdr:colOff>53340</xdr:colOff>
      <xdr:row>3</xdr:row>
      <xdr:rowOff>998220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79600" y="762000"/>
          <a:ext cx="1226820" cy="8001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251461</xdr:colOff>
      <xdr:row>3</xdr:row>
      <xdr:rowOff>152400</xdr:rowOff>
    </xdr:from>
    <xdr:to>
      <xdr:col>21</xdr:col>
      <xdr:colOff>716280</xdr:colOff>
      <xdr:row>3</xdr:row>
      <xdr:rowOff>1089660</xdr:rowOff>
    </xdr:to>
    <xdr:pic>
      <xdr:nvPicPr>
        <xdr:cNvPr id="6" name="Picture 5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04541" y="716280"/>
          <a:ext cx="4427219" cy="9372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99061</xdr:colOff>
      <xdr:row>3</xdr:row>
      <xdr:rowOff>45720</xdr:rowOff>
    </xdr:from>
    <xdr:to>
      <xdr:col>44</xdr:col>
      <xdr:colOff>274321</xdr:colOff>
      <xdr:row>3</xdr:row>
      <xdr:rowOff>1082040</xdr:rowOff>
    </xdr:to>
    <xdr:pic>
      <xdr:nvPicPr>
        <xdr:cNvPr id="3" name="Picture 2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38021" y="609600"/>
          <a:ext cx="4930140" cy="10363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35</xdr:col>
      <xdr:colOff>640080</xdr:colOff>
      <xdr:row>3</xdr:row>
      <xdr:rowOff>68580</xdr:rowOff>
    </xdr:from>
    <xdr:to>
      <xdr:col>37</xdr:col>
      <xdr:colOff>163830</xdr:colOff>
      <xdr:row>3</xdr:row>
      <xdr:rowOff>777240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2160" y="807720"/>
          <a:ext cx="1108710" cy="7086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533401</xdr:colOff>
      <xdr:row>3</xdr:row>
      <xdr:rowOff>0</xdr:rowOff>
    </xdr:from>
    <xdr:to>
      <xdr:col>69</xdr:col>
      <xdr:colOff>160020</xdr:colOff>
      <xdr:row>3</xdr:row>
      <xdr:rowOff>1051560</xdr:rowOff>
    </xdr:to>
    <xdr:pic>
      <xdr:nvPicPr>
        <xdr:cNvPr id="3" name="Picture 2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91561" y="563880"/>
          <a:ext cx="5173979" cy="10515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60</xdr:col>
      <xdr:colOff>320040</xdr:colOff>
      <xdr:row>2</xdr:row>
      <xdr:rowOff>731520</xdr:rowOff>
    </xdr:from>
    <xdr:to>
      <xdr:col>62</xdr:col>
      <xdr:colOff>533400</xdr:colOff>
      <xdr:row>3</xdr:row>
      <xdr:rowOff>1104900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60020" y="731520"/>
          <a:ext cx="1798320" cy="1104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1417321</xdr:colOff>
      <xdr:row>3</xdr:row>
      <xdr:rowOff>30480</xdr:rowOff>
    </xdr:from>
    <xdr:to>
      <xdr:col>23</xdr:col>
      <xdr:colOff>140971</xdr:colOff>
      <xdr:row>3</xdr:row>
      <xdr:rowOff>1043940</xdr:rowOff>
    </xdr:to>
    <xdr:pic>
      <xdr:nvPicPr>
        <xdr:cNvPr id="3" name="Picture 2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58181" y="594360"/>
          <a:ext cx="4598670" cy="10134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17</xdr:col>
      <xdr:colOff>182880</xdr:colOff>
      <xdr:row>3</xdr:row>
      <xdr:rowOff>160020</xdr:rowOff>
    </xdr:from>
    <xdr:to>
      <xdr:col>17</xdr:col>
      <xdr:colOff>1291590</xdr:colOff>
      <xdr:row>3</xdr:row>
      <xdr:rowOff>1082040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8380" y="723900"/>
          <a:ext cx="1108710" cy="9220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1684021</xdr:colOff>
      <xdr:row>3</xdr:row>
      <xdr:rowOff>30480</xdr:rowOff>
    </xdr:from>
    <xdr:to>
      <xdr:col>17</xdr:col>
      <xdr:colOff>140971</xdr:colOff>
      <xdr:row>3</xdr:row>
      <xdr:rowOff>1005840</xdr:rowOff>
    </xdr:to>
    <xdr:pic>
      <xdr:nvPicPr>
        <xdr:cNvPr id="2" name="Picture 1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4141" y="594360"/>
          <a:ext cx="4972050" cy="9753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373380</xdr:colOff>
      <xdr:row>3</xdr:row>
      <xdr:rowOff>53340</xdr:rowOff>
    </xdr:from>
    <xdr:to>
      <xdr:col>10</xdr:col>
      <xdr:colOff>1664970</xdr:colOff>
      <xdr:row>3</xdr:row>
      <xdr:rowOff>1059180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617220"/>
          <a:ext cx="1291590" cy="1005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457200</xdr:colOff>
      <xdr:row>1</xdr:row>
      <xdr:rowOff>365760</xdr:rowOff>
    </xdr:from>
    <xdr:to>
      <xdr:col>74</xdr:col>
      <xdr:colOff>358139</xdr:colOff>
      <xdr:row>5</xdr:row>
      <xdr:rowOff>30480</xdr:rowOff>
    </xdr:to>
    <xdr:pic>
      <xdr:nvPicPr>
        <xdr:cNvPr id="2" name="Picture 1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48340" y="632460"/>
          <a:ext cx="4305299" cy="11277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297</xdr:col>
      <xdr:colOff>617220</xdr:colOff>
      <xdr:row>2</xdr:row>
      <xdr:rowOff>228600</xdr:rowOff>
    </xdr:from>
    <xdr:to>
      <xdr:col>305</xdr:col>
      <xdr:colOff>518159</xdr:colOff>
      <xdr:row>5</xdr:row>
      <xdr:rowOff>266700</xdr:rowOff>
    </xdr:to>
    <xdr:pic>
      <xdr:nvPicPr>
        <xdr:cNvPr id="2" name="Picture 1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41480" y="845820"/>
          <a:ext cx="4305299" cy="144018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263</xdr:col>
      <xdr:colOff>365760</xdr:colOff>
      <xdr:row>1</xdr:row>
      <xdr:rowOff>373380</xdr:rowOff>
    </xdr:from>
    <xdr:to>
      <xdr:col>271</xdr:col>
      <xdr:colOff>266699</xdr:colOff>
      <xdr:row>4</xdr:row>
      <xdr:rowOff>647700</xdr:rowOff>
    </xdr:to>
    <xdr:pic>
      <xdr:nvPicPr>
        <xdr:cNvPr id="2" name="Picture 1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55880" y="640080"/>
          <a:ext cx="4305299" cy="100584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91440</xdr:colOff>
      <xdr:row>2</xdr:row>
      <xdr:rowOff>129540</xdr:rowOff>
    </xdr:from>
    <xdr:to>
      <xdr:col>59</xdr:col>
      <xdr:colOff>607694</xdr:colOff>
      <xdr:row>4</xdr:row>
      <xdr:rowOff>899160</xdr:rowOff>
    </xdr:to>
    <xdr:pic>
      <xdr:nvPicPr>
        <xdr:cNvPr id="4" name="Picture 3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8360" y="586740"/>
          <a:ext cx="4305299" cy="11277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320040</xdr:colOff>
      <xdr:row>2</xdr:row>
      <xdr:rowOff>0</xdr:rowOff>
    </xdr:from>
    <xdr:to>
      <xdr:col>40</xdr:col>
      <xdr:colOff>220979</xdr:colOff>
      <xdr:row>5</xdr:row>
      <xdr:rowOff>541020</xdr:rowOff>
    </xdr:to>
    <xdr:pic>
      <xdr:nvPicPr>
        <xdr:cNvPr id="2" name="Picture 1" descr="C:\Users\sagjoe01\Pictures\Pictures\Pictures\logo\CBHSSJB Logo_RGB.png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13280" y="464820"/>
          <a:ext cx="4305299" cy="159258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sss365.sharepoint.com/Users/manogr01/Desktop/SAGES-FEMMES-Midwifery/NOUVEAUX/2-%20FICHIER%20DE%20TRAVAIL%20-%20Midwifery%20stats%202024-2025%20%20-%20Community%20-%20R18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  <sheetName val="Controls"/>
      <sheetName val="Demographics"/>
      <sheetName val="Prenatal"/>
      <sheetName val="Intrapartum"/>
      <sheetName val="Postnatal"/>
      <sheetName val="All Referrals"/>
      <sheetName val="Labour-Birth in Territory"/>
      <sheetName val="OtherStats"/>
      <sheetName val="Report1"/>
      <sheetName val="Report2"/>
      <sheetName val="Annual Statistics Template"/>
      <sheetName val="User Note"/>
      <sheetName val="Report SLP"/>
      <sheetName val="Report Waiting"/>
      <sheetName val="HC - Home Care Services"/>
      <sheetName val="HC - Client Information"/>
      <sheetName val="2- FICHIER DE TRAVAIL - Midwif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A3"/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0B050"/>
  </sheetPr>
  <dimension ref="A1:CS35"/>
  <sheetViews>
    <sheetView workbookViewId="0">
      <selection activeCell="Q18" sqref="Q18"/>
    </sheetView>
  </sheetViews>
  <sheetFormatPr defaultColWidth="11.5546875" defaultRowHeight="14.4" x14ac:dyDescent="0.3"/>
  <cols>
    <col min="1" max="6" width="8" style="14" customWidth="1"/>
    <col min="7" max="9" width="9.44140625" style="14" customWidth="1"/>
    <col min="10" max="10" width="11" style="14" customWidth="1"/>
    <col min="11" max="11" width="8" style="14" customWidth="1"/>
    <col min="12" max="14" width="16.88671875" style="14" customWidth="1"/>
    <col min="15" max="15" width="16.109375" style="14" customWidth="1"/>
    <col min="16" max="16" width="24.88671875" style="14" bestFit="1" customWidth="1"/>
    <col min="17" max="17" width="23.44140625" style="14" bestFit="1" customWidth="1"/>
    <col min="18" max="18" width="17.5546875" customWidth="1"/>
    <col min="19" max="19" width="18.5546875" style="14" bestFit="1" customWidth="1"/>
    <col min="20" max="22" width="18.5546875" style="14" customWidth="1"/>
    <col min="23" max="23" width="25" style="14" bestFit="1" customWidth="1"/>
    <col min="24" max="25" width="18.5546875" style="14" customWidth="1"/>
    <col min="26" max="26" width="19.6640625" style="14" bestFit="1" customWidth="1"/>
    <col min="27" max="27" width="19.6640625" style="14" customWidth="1"/>
    <col min="28" max="28" width="21.88671875" style="14" bestFit="1" customWidth="1"/>
    <col min="29" max="29" width="19.88671875" style="14" bestFit="1" customWidth="1"/>
    <col min="30" max="30" width="6.6640625" style="14" bestFit="1" customWidth="1"/>
    <col min="31" max="32" width="10.33203125" style="13" bestFit="1" customWidth="1"/>
    <col min="33" max="33" width="9.6640625" style="8" bestFit="1" customWidth="1"/>
    <col min="34" max="34" width="18.6640625" style="8" bestFit="1" customWidth="1"/>
    <col min="35" max="35" width="13.33203125" style="8" customWidth="1"/>
    <col min="36" max="36" width="11.5546875" style="8" customWidth="1"/>
    <col min="37" max="37" width="25.6640625" style="8" bestFit="1" customWidth="1"/>
    <col min="38" max="38" width="25.5546875" style="8" bestFit="1" customWidth="1"/>
    <col min="39" max="40" width="25.5546875" style="8" customWidth="1"/>
    <col min="41" max="41" width="25" style="8" bestFit="1" customWidth="1"/>
    <col min="42" max="42" width="36.6640625" style="8" bestFit="1" customWidth="1"/>
    <col min="43" max="43" width="25.5546875" style="8" customWidth="1"/>
    <col min="44" max="44" width="13.44140625" style="8" bestFit="1" customWidth="1"/>
    <col min="45" max="46" width="58.33203125" style="8" bestFit="1" customWidth="1"/>
    <col min="47" max="47" width="19.5546875" style="8" bestFit="1" customWidth="1"/>
    <col min="48" max="48" width="23.109375" style="8" bestFit="1" customWidth="1"/>
    <col min="49" max="49" width="13.33203125" style="8" bestFit="1" customWidth="1"/>
    <col min="50" max="50" width="16.33203125" style="13" bestFit="1" customWidth="1"/>
    <col min="51" max="51" width="12.6640625" style="13" bestFit="1" customWidth="1"/>
    <col min="52" max="52" width="13.33203125" style="13" bestFit="1" customWidth="1"/>
    <col min="53" max="53" width="16.33203125" style="13" bestFit="1" customWidth="1"/>
    <col min="54" max="54" width="19.5546875" style="13" bestFit="1" customWidth="1"/>
    <col min="55" max="55" width="28.5546875" style="13" bestFit="1" customWidth="1"/>
    <col min="56" max="58" width="28.5546875" style="13" customWidth="1"/>
    <col min="59" max="59" width="12.5546875" style="13" bestFit="1" customWidth="1"/>
    <col min="60" max="60" width="15.5546875" style="13" bestFit="1" customWidth="1"/>
    <col min="61" max="65" width="15.5546875" style="13" customWidth="1"/>
    <col min="66" max="66" width="26.33203125" style="13" bestFit="1" customWidth="1"/>
    <col min="67" max="67" width="24.6640625" style="13" bestFit="1" customWidth="1"/>
    <col min="68" max="68" width="19.44140625" style="13" bestFit="1" customWidth="1"/>
    <col min="69" max="69" width="25.6640625" style="13" bestFit="1" customWidth="1"/>
    <col min="70" max="70" width="17.44140625" style="13" bestFit="1" customWidth="1"/>
    <col min="71" max="71" width="29.5546875" style="13" bestFit="1" customWidth="1"/>
    <col min="72" max="72" width="25" style="13" bestFit="1" customWidth="1"/>
    <col min="73" max="73" width="16" style="13" bestFit="1" customWidth="1"/>
    <col min="74" max="77" width="16" style="13" customWidth="1"/>
    <col min="78" max="78" width="18.44140625" style="13" customWidth="1"/>
    <col min="79" max="80" width="23.109375" style="13" bestFit="1" customWidth="1"/>
    <col min="81" max="81" width="23.109375" style="13" customWidth="1"/>
    <col min="82" max="82" width="42.6640625" style="13" bestFit="1" customWidth="1"/>
    <col min="83" max="83" width="26.44140625" style="13" customWidth="1"/>
    <col min="84" max="84" width="33.33203125" style="13" bestFit="1" customWidth="1"/>
    <col min="85" max="85" width="23.109375" style="13" bestFit="1" customWidth="1"/>
    <col min="86" max="87" width="19.33203125" style="13" bestFit="1" customWidth="1"/>
    <col min="88" max="88" width="11.6640625" style="13" bestFit="1" customWidth="1"/>
    <col min="89" max="89" width="13.33203125" style="13" bestFit="1" customWidth="1"/>
    <col min="90" max="90" width="21.5546875" style="13" bestFit="1" customWidth="1"/>
    <col min="91" max="91" width="35.33203125" style="13" bestFit="1" customWidth="1"/>
    <col min="92" max="92" width="35.33203125" style="13" customWidth="1"/>
    <col min="93" max="93" width="27.5546875" style="13" bestFit="1" customWidth="1"/>
    <col min="94" max="94" width="27" style="13" bestFit="1" customWidth="1"/>
    <col min="95" max="95" width="46.5546875" style="13" bestFit="1" customWidth="1"/>
    <col min="96" max="96" width="35.33203125" style="13" bestFit="1" customWidth="1"/>
    <col min="97" max="97" width="14.33203125" style="13" bestFit="1" customWidth="1"/>
    <col min="98" max="98" width="23.109375" style="13" bestFit="1" customWidth="1"/>
    <col min="99" max="99" width="25.33203125" style="13" bestFit="1" customWidth="1"/>
    <col min="100" max="16384" width="11.5546875" style="13"/>
  </cols>
  <sheetData>
    <row r="1" spans="1:97" ht="57" customHeight="1" thickBot="1" x14ac:dyDescent="0.3">
      <c r="A1" s="85" t="s">
        <v>0</v>
      </c>
      <c r="B1" s="85" t="s">
        <v>1</v>
      </c>
      <c r="C1" s="85" t="s">
        <v>2</v>
      </c>
      <c r="D1" s="85" t="s">
        <v>3</v>
      </c>
      <c r="E1" s="364" t="s">
        <v>4</v>
      </c>
      <c r="F1" s="384" t="s">
        <v>5</v>
      </c>
      <c r="G1" s="85" t="s">
        <v>6</v>
      </c>
      <c r="H1" s="338" t="s">
        <v>7</v>
      </c>
      <c r="I1" s="338" t="s">
        <v>8</v>
      </c>
      <c r="J1" s="85" t="s">
        <v>9</v>
      </c>
      <c r="K1" s="85" t="s">
        <v>10</v>
      </c>
      <c r="L1" s="85" t="s">
        <v>11</v>
      </c>
      <c r="M1" s="337" t="s">
        <v>12</v>
      </c>
      <c r="N1" s="337" t="s">
        <v>13</v>
      </c>
      <c r="O1" s="337" t="s">
        <v>14</v>
      </c>
      <c r="P1" s="337" t="s">
        <v>15</v>
      </c>
      <c r="Q1" s="337" t="s">
        <v>16</v>
      </c>
      <c r="R1" s="337" t="s">
        <v>17</v>
      </c>
      <c r="S1" s="337" t="s">
        <v>18</v>
      </c>
      <c r="T1" s="337" t="s">
        <v>19</v>
      </c>
      <c r="U1" s="337" t="s">
        <v>20</v>
      </c>
      <c r="V1" s="337" t="s">
        <v>21</v>
      </c>
      <c r="W1" s="337" t="s">
        <v>22</v>
      </c>
      <c r="X1" s="337" t="s">
        <v>23</v>
      </c>
      <c r="Y1" s="337" t="s">
        <v>24</v>
      </c>
      <c r="Z1" s="337" t="s">
        <v>25</v>
      </c>
      <c r="AA1" s="337" t="s">
        <v>26</v>
      </c>
      <c r="AB1" s="86" t="s">
        <v>27</v>
      </c>
      <c r="AC1" s="338" t="s">
        <v>28</v>
      </c>
      <c r="AD1" s="86" t="s">
        <v>29</v>
      </c>
      <c r="AE1" s="69" t="s">
        <v>30</v>
      </c>
      <c r="AF1" s="69" t="s">
        <v>31</v>
      </c>
      <c r="AG1" s="69" t="s">
        <v>32</v>
      </c>
      <c r="AH1" s="234" t="s">
        <v>33</v>
      </c>
      <c r="AI1" s="234" t="s">
        <v>34</v>
      </c>
      <c r="AJ1" s="234" t="s">
        <v>35</v>
      </c>
      <c r="AK1" s="234" t="s">
        <v>36</v>
      </c>
      <c r="AL1" s="234" t="s">
        <v>37</v>
      </c>
      <c r="AM1" s="234" t="s">
        <v>38</v>
      </c>
      <c r="AN1" s="234" t="s">
        <v>39</v>
      </c>
      <c r="AO1" s="234" t="s">
        <v>40</v>
      </c>
      <c r="AP1" s="234" t="s">
        <v>41</v>
      </c>
      <c r="AQ1" s="234" t="s">
        <v>42</v>
      </c>
      <c r="AR1" s="234" t="s">
        <v>43</v>
      </c>
      <c r="AS1" s="234" t="s">
        <v>44</v>
      </c>
      <c r="AT1" s="234" t="s">
        <v>45</v>
      </c>
      <c r="AU1" s="234" t="s">
        <v>46</v>
      </c>
      <c r="AV1" s="234" t="s">
        <v>47</v>
      </c>
      <c r="AW1" s="69" t="s">
        <v>48</v>
      </c>
      <c r="AX1" s="12" t="s">
        <v>49</v>
      </c>
      <c r="AY1" s="12" t="s">
        <v>50</v>
      </c>
      <c r="AZ1" s="12" t="s">
        <v>51</v>
      </c>
      <c r="BA1" s="89" t="s">
        <v>52</v>
      </c>
      <c r="BB1" s="89" t="s">
        <v>53</v>
      </c>
      <c r="BC1" s="287" t="s">
        <v>54</v>
      </c>
      <c r="BD1" s="287" t="s">
        <v>55</v>
      </c>
      <c r="BE1" s="287" t="s">
        <v>56</v>
      </c>
      <c r="BF1" s="287" t="s">
        <v>57</v>
      </c>
      <c r="BG1" s="287" t="s">
        <v>58</v>
      </c>
      <c r="BH1" s="287" t="s">
        <v>59</v>
      </c>
      <c r="BI1" s="287" t="s">
        <v>60</v>
      </c>
      <c r="BJ1" s="287" t="s">
        <v>61</v>
      </c>
      <c r="BK1" s="287" t="s">
        <v>62</v>
      </c>
      <c r="BL1" s="287" t="s">
        <v>63</v>
      </c>
      <c r="BM1" s="287" t="s">
        <v>64</v>
      </c>
      <c r="BN1" s="287" t="s">
        <v>65</v>
      </c>
      <c r="BO1" s="287" t="s">
        <v>66</v>
      </c>
      <c r="BP1" s="287" t="s">
        <v>67</v>
      </c>
      <c r="BQ1" s="287" t="s">
        <v>68</v>
      </c>
      <c r="BR1" s="287" t="s">
        <v>69</v>
      </c>
      <c r="BS1" s="287" t="s">
        <v>70</v>
      </c>
      <c r="BT1" s="287" t="s">
        <v>71</v>
      </c>
      <c r="BU1" s="287" t="s">
        <v>72</v>
      </c>
      <c r="BV1" s="287" t="s">
        <v>73</v>
      </c>
      <c r="BW1" s="287" t="s">
        <v>74</v>
      </c>
      <c r="BX1" s="287" t="s">
        <v>75</v>
      </c>
      <c r="BY1" s="287" t="s">
        <v>76</v>
      </c>
      <c r="BZ1" s="287" t="s">
        <v>77</v>
      </c>
      <c r="CA1" s="287" t="s">
        <v>78</v>
      </c>
      <c r="CB1" s="287" t="s">
        <v>79</v>
      </c>
      <c r="CC1" s="287" t="s">
        <v>80</v>
      </c>
      <c r="CD1" s="287" t="s">
        <v>81</v>
      </c>
      <c r="CE1" s="287" t="s">
        <v>82</v>
      </c>
      <c r="CF1" s="287" t="s">
        <v>83</v>
      </c>
      <c r="CG1" s="287" t="s">
        <v>84</v>
      </c>
      <c r="CH1" s="287" t="s">
        <v>85</v>
      </c>
      <c r="CI1" s="287" t="s">
        <v>86</v>
      </c>
      <c r="CJ1" s="90" t="s">
        <v>87</v>
      </c>
      <c r="CK1" s="90" t="s">
        <v>88</v>
      </c>
      <c r="CL1" s="339" t="s">
        <v>89</v>
      </c>
      <c r="CM1" s="339" t="s">
        <v>90</v>
      </c>
      <c r="CN1" s="339" t="s">
        <v>91</v>
      </c>
      <c r="CO1" s="339" t="s">
        <v>92</v>
      </c>
      <c r="CP1" s="123" t="s">
        <v>93</v>
      </c>
      <c r="CQ1" s="90" t="s">
        <v>94</v>
      </c>
      <c r="CR1" s="89" t="s">
        <v>95</v>
      </c>
      <c r="CS1" s="338"/>
    </row>
    <row r="2" spans="1:97" s="37" customFormat="1" ht="15" customHeight="1" x14ac:dyDescent="0.25">
      <c r="A2" s="322"/>
      <c r="B2" s="323"/>
      <c r="C2" s="322"/>
      <c r="D2" s="51"/>
      <c r="E2" s="50"/>
      <c r="F2" s="51"/>
      <c r="G2" s="51"/>
      <c r="H2" s="51"/>
      <c r="I2" s="51"/>
      <c r="J2" s="335"/>
      <c r="K2" s="51"/>
      <c r="L2" s="427"/>
      <c r="M2" s="51"/>
      <c r="N2" s="51"/>
      <c r="O2" s="323"/>
      <c r="P2" s="51"/>
      <c r="Q2" s="72"/>
      <c r="R2" s="35" t="s">
        <v>194</v>
      </c>
      <c r="S2" s="323"/>
      <c r="T2" s="325"/>
      <c r="U2" s="322"/>
      <c r="V2" s="51"/>
      <c r="W2" s="51"/>
      <c r="X2" s="325"/>
      <c r="Y2" s="80"/>
      <c r="Z2" s="326"/>
      <c r="AA2" s="326"/>
      <c r="AB2" s="324"/>
      <c r="AC2" s="80"/>
      <c r="AD2" s="327">
        <v>1</v>
      </c>
      <c r="AE2" s="328">
        <v>45748</v>
      </c>
      <c r="AF2" s="329">
        <v>45777</v>
      </c>
      <c r="AG2" s="330"/>
      <c r="AH2" s="331"/>
      <c r="AI2" s="332"/>
      <c r="AJ2" s="326"/>
      <c r="AK2" s="80"/>
      <c r="AL2" s="326"/>
      <c r="AM2" s="80"/>
      <c r="AN2" s="331"/>
      <c r="AO2" s="35"/>
      <c r="AP2" s="118"/>
      <c r="AQ2" s="35"/>
      <c r="AR2" s="80"/>
      <c r="AS2" s="80"/>
      <c r="AT2" s="80"/>
      <c r="AU2" s="134"/>
      <c r="AV2" s="325"/>
      <c r="AW2" s="326"/>
      <c r="AX2" s="333" t="s">
        <v>843</v>
      </c>
      <c r="AY2" s="328">
        <v>45748</v>
      </c>
      <c r="AZ2" s="329">
        <v>45777</v>
      </c>
      <c r="BA2" s="80"/>
      <c r="BC2" s="334"/>
      <c r="BD2" s="424"/>
      <c r="BE2" s="325"/>
      <c r="BF2" s="323"/>
      <c r="BG2" s="326"/>
      <c r="BH2" s="326"/>
      <c r="BI2" s="330"/>
      <c r="BJ2" s="80"/>
      <c r="BK2" s="80"/>
      <c r="BL2" s="331"/>
      <c r="BM2" s="80"/>
      <c r="BN2" s="335"/>
      <c r="BO2" s="80"/>
      <c r="BP2" s="80"/>
      <c r="BQ2" s="80"/>
      <c r="BR2" s="335"/>
      <c r="BS2" s="335"/>
      <c r="BT2" s="80"/>
      <c r="BU2" s="331"/>
      <c r="BV2" s="51"/>
      <c r="BW2" s="51"/>
      <c r="BX2" s="80"/>
      <c r="BY2" s="336"/>
      <c r="BZ2" s="80"/>
      <c r="CA2" s="322"/>
      <c r="CB2" s="117"/>
      <c r="CC2" s="35"/>
      <c r="CD2" s="323"/>
      <c r="CE2" s="322"/>
      <c r="CF2" s="323"/>
      <c r="CG2" s="323"/>
      <c r="CH2" s="323"/>
      <c r="CI2" s="323"/>
      <c r="CJ2" s="80"/>
      <c r="CK2" s="331"/>
      <c r="CL2" s="323"/>
      <c r="CM2" s="323"/>
      <c r="CN2" s="51"/>
      <c r="CO2" s="72"/>
      <c r="CP2" s="140"/>
      <c r="CQ2" s="54"/>
      <c r="CR2" s="35"/>
    </row>
    <row r="3" spans="1:97" s="37" customFormat="1" ht="15" customHeight="1" x14ac:dyDescent="0.25">
      <c r="A3" s="55" t="s">
        <v>0</v>
      </c>
      <c r="B3" s="56" t="s">
        <v>0</v>
      </c>
      <c r="C3" s="55" t="s">
        <v>0</v>
      </c>
      <c r="D3" s="56" t="s">
        <v>0</v>
      </c>
      <c r="E3" s="55" t="s">
        <v>0</v>
      </c>
      <c r="F3" s="56" t="s">
        <v>0</v>
      </c>
      <c r="G3" s="56" t="s">
        <v>0</v>
      </c>
      <c r="H3" s="56" t="s">
        <v>0</v>
      </c>
      <c r="I3" s="56" t="s">
        <v>0</v>
      </c>
      <c r="J3" s="52" t="s">
        <v>96</v>
      </c>
      <c r="K3" s="56" t="s">
        <v>0</v>
      </c>
      <c r="L3" s="56" t="s">
        <v>97</v>
      </c>
      <c r="M3" s="56" t="s">
        <v>0</v>
      </c>
      <c r="N3" s="56" t="s">
        <v>0</v>
      </c>
      <c r="O3" s="73" t="s">
        <v>98</v>
      </c>
      <c r="P3" s="73" t="s">
        <v>99</v>
      </c>
      <c r="Q3" s="141" t="s">
        <v>100</v>
      </c>
      <c r="R3" s="35" t="s">
        <v>100</v>
      </c>
      <c r="S3" s="73" t="s">
        <v>101</v>
      </c>
      <c r="T3" s="87" t="s">
        <v>0</v>
      </c>
      <c r="U3" s="55" t="s">
        <v>0</v>
      </c>
      <c r="V3" s="134" t="s">
        <v>102</v>
      </c>
      <c r="W3" s="73" t="s">
        <v>103</v>
      </c>
      <c r="X3" s="87" t="s">
        <v>0</v>
      </c>
      <c r="Y3" s="35" t="s">
        <v>104</v>
      </c>
      <c r="Z3" s="35" t="s">
        <v>105</v>
      </c>
      <c r="AA3" s="57" t="s">
        <v>106</v>
      </c>
      <c r="AB3" s="72" t="s">
        <v>107</v>
      </c>
      <c r="AC3" s="35" t="s">
        <v>108</v>
      </c>
      <c r="AD3" s="62">
        <v>2</v>
      </c>
      <c r="AE3" s="63">
        <v>45778</v>
      </c>
      <c r="AF3" s="64">
        <v>45808</v>
      </c>
      <c r="AG3" s="53" t="s">
        <v>109</v>
      </c>
      <c r="AH3" s="54" t="s">
        <v>104</v>
      </c>
      <c r="AI3" s="84" t="s">
        <v>110</v>
      </c>
      <c r="AJ3" s="73" t="s">
        <v>110</v>
      </c>
      <c r="AK3" s="35" t="s">
        <v>104</v>
      </c>
      <c r="AL3" s="131" t="s">
        <v>111</v>
      </c>
      <c r="AM3" s="131" t="s">
        <v>104</v>
      </c>
      <c r="AN3" s="37" t="s">
        <v>112</v>
      </c>
      <c r="AO3" s="491" t="s">
        <v>113</v>
      </c>
      <c r="AP3" s="131" t="s">
        <v>114</v>
      </c>
      <c r="AQ3" s="35" t="s">
        <v>114</v>
      </c>
      <c r="AR3" s="132" t="s">
        <v>114</v>
      </c>
      <c r="AS3" s="35"/>
      <c r="AT3" s="131" t="s">
        <v>104</v>
      </c>
      <c r="AU3" s="134" t="s">
        <v>114</v>
      </c>
      <c r="AV3" s="376" t="s">
        <v>104</v>
      </c>
      <c r="AW3" s="34" t="s">
        <v>115</v>
      </c>
      <c r="AX3" s="88" t="s">
        <v>844</v>
      </c>
      <c r="AY3" s="63">
        <v>45778</v>
      </c>
      <c r="AZ3" s="64">
        <v>45808</v>
      </c>
      <c r="BA3" s="59" t="s">
        <v>843</v>
      </c>
      <c r="BC3" s="132" t="s">
        <v>116</v>
      </c>
      <c r="BD3" s="424" t="s">
        <v>117</v>
      </c>
      <c r="BE3" s="375" t="s">
        <v>118</v>
      </c>
      <c r="BF3" s="268" t="s">
        <v>119</v>
      </c>
      <c r="BG3" s="131" t="s">
        <v>120</v>
      </c>
      <c r="BH3" s="131" t="s">
        <v>121</v>
      </c>
      <c r="BI3" s="288" t="s">
        <v>0</v>
      </c>
      <c r="BJ3" s="35" t="s">
        <v>110</v>
      </c>
      <c r="BK3" s="35" t="s">
        <v>110</v>
      </c>
      <c r="BL3" s="135" t="s">
        <v>122</v>
      </c>
      <c r="BM3" s="134" t="s">
        <v>122</v>
      </c>
      <c r="BN3" s="138" t="s">
        <v>122</v>
      </c>
      <c r="BO3" s="134" t="s">
        <v>122</v>
      </c>
      <c r="BP3" s="35" t="s">
        <v>110</v>
      </c>
      <c r="BQ3" s="121" t="s">
        <v>122</v>
      </c>
      <c r="BR3" s="141" t="s">
        <v>123</v>
      </c>
      <c r="BS3" s="491" t="s">
        <v>114</v>
      </c>
      <c r="BT3" s="87" t="s">
        <v>110</v>
      </c>
      <c r="BU3" s="135" t="s">
        <v>122</v>
      </c>
      <c r="BV3" s="134" t="s">
        <v>122</v>
      </c>
      <c r="BW3" s="134" t="s">
        <v>122</v>
      </c>
      <c r="BX3" s="134" t="s">
        <v>122</v>
      </c>
      <c r="BY3" s="137" t="s">
        <v>122</v>
      </c>
      <c r="BZ3" s="131" t="s">
        <v>124</v>
      </c>
      <c r="CA3" s="132" t="s">
        <v>125</v>
      </c>
      <c r="CB3" s="122" t="s">
        <v>126</v>
      </c>
      <c r="CC3" s="35" t="s">
        <v>0</v>
      </c>
      <c r="CD3" s="134" t="s">
        <v>127</v>
      </c>
      <c r="CE3" s="76" t="s">
        <v>114</v>
      </c>
      <c r="CF3" s="134" t="s">
        <v>128</v>
      </c>
      <c r="CG3" s="134" t="s">
        <v>129</v>
      </c>
      <c r="CH3" s="73" t="s">
        <v>104</v>
      </c>
      <c r="CI3" s="73" t="s">
        <v>104</v>
      </c>
      <c r="CJ3" s="35" t="s">
        <v>104</v>
      </c>
      <c r="CK3" s="54" t="s">
        <v>130</v>
      </c>
      <c r="CL3" s="134" t="s">
        <v>131</v>
      </c>
      <c r="CM3" s="134" t="s">
        <v>114</v>
      </c>
      <c r="CN3" s="135" t="s">
        <v>114</v>
      </c>
      <c r="CO3" s="134" t="s">
        <v>114</v>
      </c>
      <c r="CP3" s="141" t="s">
        <v>132</v>
      </c>
      <c r="CQ3" s="54" t="s">
        <v>133</v>
      </c>
      <c r="CR3" s="35" t="s">
        <v>134</v>
      </c>
    </row>
    <row r="4" spans="1:97" s="37" customFormat="1" ht="15" customHeight="1" x14ac:dyDescent="0.25">
      <c r="A4" s="14"/>
      <c r="B4" s="51" t="s">
        <v>114</v>
      </c>
      <c r="C4" s="50" t="s">
        <v>104</v>
      </c>
      <c r="D4" s="51" t="s">
        <v>104</v>
      </c>
      <c r="E4" s="50" t="s">
        <v>104</v>
      </c>
      <c r="F4" s="51" t="s">
        <v>104</v>
      </c>
      <c r="G4" s="51" t="s">
        <v>104</v>
      </c>
      <c r="H4" s="51" t="s">
        <v>104</v>
      </c>
      <c r="I4" s="51" t="s">
        <v>104</v>
      </c>
      <c r="K4" s="51" t="s">
        <v>104</v>
      </c>
      <c r="L4" s="426"/>
      <c r="M4" s="51" t="s">
        <v>104</v>
      </c>
      <c r="N4" s="51" t="s">
        <v>104</v>
      </c>
      <c r="O4" s="120" t="s">
        <v>135</v>
      </c>
      <c r="P4" s="73" t="s">
        <v>136</v>
      </c>
      <c r="Q4" s="141" t="s">
        <v>137</v>
      </c>
      <c r="R4" s="35" t="s">
        <v>138</v>
      </c>
      <c r="S4" s="73" t="s">
        <v>139</v>
      </c>
      <c r="T4" s="87" t="s">
        <v>140</v>
      </c>
      <c r="U4" s="50" t="s">
        <v>104</v>
      </c>
      <c r="V4" s="134" t="s">
        <v>141</v>
      </c>
      <c r="W4" s="73" t="s">
        <v>142</v>
      </c>
      <c r="X4" s="87" t="s">
        <v>104</v>
      </c>
      <c r="Y4" s="35" t="s">
        <v>143</v>
      </c>
      <c r="Z4" s="34" t="s">
        <v>144</v>
      </c>
      <c r="AA4" s="57" t="s">
        <v>145</v>
      </c>
      <c r="AB4" s="72" t="s">
        <v>146</v>
      </c>
      <c r="AC4" s="35" t="s">
        <v>147</v>
      </c>
      <c r="AD4" s="62">
        <v>3</v>
      </c>
      <c r="AE4" s="63">
        <v>45809</v>
      </c>
      <c r="AF4" s="64">
        <v>45838</v>
      </c>
      <c r="AG4" s="53" t="s">
        <v>148</v>
      </c>
      <c r="AH4" s="54" t="s">
        <v>149</v>
      </c>
      <c r="AI4" s="84" t="s">
        <v>150</v>
      </c>
      <c r="AJ4" s="73" t="s">
        <v>150</v>
      </c>
      <c r="AK4" s="34" t="s">
        <v>151</v>
      </c>
      <c r="AL4" s="131" t="s">
        <v>106</v>
      </c>
      <c r="AM4" s="131" t="s">
        <v>152</v>
      </c>
      <c r="AN4" s="132" t="s">
        <v>104</v>
      </c>
      <c r="AO4" s="131" t="s">
        <v>153</v>
      </c>
      <c r="AP4" s="131" t="s">
        <v>154</v>
      </c>
      <c r="AQ4" s="381" t="s">
        <v>155</v>
      </c>
      <c r="AR4" s="132" t="s">
        <v>104</v>
      </c>
      <c r="AS4" s="131" t="s">
        <v>156</v>
      </c>
      <c r="AT4" s="131" t="s">
        <v>157</v>
      </c>
      <c r="AU4" s="134" t="s">
        <v>155</v>
      </c>
      <c r="AV4" s="376" t="s">
        <v>158</v>
      </c>
      <c r="AW4" s="34" t="s">
        <v>159</v>
      </c>
      <c r="AX4" s="88" t="s">
        <v>845</v>
      </c>
      <c r="AY4" s="63">
        <v>45809</v>
      </c>
      <c r="AZ4" s="64">
        <v>45838</v>
      </c>
      <c r="BA4" s="59" t="s">
        <v>844</v>
      </c>
      <c r="BC4" s="132" t="s">
        <v>160</v>
      </c>
      <c r="BD4" s="292" t="s">
        <v>161</v>
      </c>
      <c r="BE4" s="375" t="s">
        <v>162</v>
      </c>
      <c r="BF4" s="268" t="s">
        <v>163</v>
      </c>
      <c r="BG4" s="131" t="s">
        <v>164</v>
      </c>
      <c r="BH4" s="131" t="s">
        <v>165</v>
      </c>
      <c r="BI4" s="288" t="s">
        <v>104</v>
      </c>
      <c r="BJ4" s="35" t="s">
        <v>132</v>
      </c>
      <c r="BK4" s="35" t="s">
        <v>166</v>
      </c>
      <c r="BL4" s="135" t="s">
        <v>167</v>
      </c>
      <c r="BM4" s="134" t="s">
        <v>167</v>
      </c>
      <c r="BN4" s="138" t="s">
        <v>168</v>
      </c>
      <c r="BO4" s="134" t="s">
        <v>168</v>
      </c>
      <c r="BP4" s="35" t="s">
        <v>169</v>
      </c>
      <c r="BQ4" s="121" t="s">
        <v>170</v>
      </c>
      <c r="BR4" s="141" t="s">
        <v>171</v>
      </c>
      <c r="BS4" s="491" t="s">
        <v>172</v>
      </c>
      <c r="BT4" s="527" t="s">
        <v>173</v>
      </c>
      <c r="BU4" s="135" t="s">
        <v>174</v>
      </c>
      <c r="BV4" s="134" t="s">
        <v>175</v>
      </c>
      <c r="BW4" s="134" t="s">
        <v>176</v>
      </c>
      <c r="BX4" s="134" t="s">
        <v>175</v>
      </c>
      <c r="BY4" s="137" t="s">
        <v>176</v>
      </c>
      <c r="BZ4" s="131" t="s">
        <v>177</v>
      </c>
      <c r="CA4" s="132" t="s">
        <v>178</v>
      </c>
      <c r="CB4" s="122" t="s">
        <v>179</v>
      </c>
      <c r="CC4" s="35" t="s">
        <v>180</v>
      </c>
      <c r="CD4" s="37" t="s">
        <v>181</v>
      </c>
      <c r="CE4" s="76" t="s">
        <v>182</v>
      </c>
      <c r="CF4" s="134" t="s">
        <v>183</v>
      </c>
      <c r="CG4" s="134" t="s">
        <v>184</v>
      </c>
      <c r="CH4" s="73" t="s">
        <v>185</v>
      </c>
      <c r="CI4" s="73" t="s">
        <v>186</v>
      </c>
      <c r="CJ4" s="35" t="s">
        <v>187</v>
      </c>
      <c r="CK4" s="54" t="s">
        <v>104</v>
      </c>
      <c r="CL4" s="134" t="s">
        <v>188</v>
      </c>
      <c r="CM4" s="134" t="s">
        <v>182</v>
      </c>
      <c r="CN4" s="135" t="s">
        <v>182</v>
      </c>
      <c r="CO4" s="134" t="s">
        <v>182</v>
      </c>
      <c r="CP4" s="141" t="s">
        <v>133</v>
      </c>
      <c r="CQ4" s="54" t="s">
        <v>189</v>
      </c>
      <c r="CR4" s="35" t="s">
        <v>190</v>
      </c>
    </row>
    <row r="5" spans="1:97" s="37" customFormat="1" ht="15" customHeight="1" x14ac:dyDescent="0.3">
      <c r="A5" s="14"/>
      <c r="B5" s="14"/>
      <c r="C5" s="14"/>
      <c r="D5" s="51" t="s">
        <v>114</v>
      </c>
      <c r="E5" s="14"/>
      <c r="F5" s="51" t="s">
        <v>114</v>
      </c>
      <c r="G5" s="51" t="s">
        <v>114</v>
      </c>
      <c r="H5" s="51" t="s">
        <v>114</v>
      </c>
      <c r="I5" s="51" t="s">
        <v>114</v>
      </c>
      <c r="K5" s="51" t="s">
        <v>191</v>
      </c>
      <c r="L5" s="14"/>
      <c r="M5" s="51" t="s">
        <v>191</v>
      </c>
      <c r="N5" s="51" t="s">
        <v>191</v>
      </c>
      <c r="O5" s="120" t="s">
        <v>192</v>
      </c>
      <c r="P5" s="35" t="s">
        <v>193</v>
      </c>
      <c r="Q5" s="140" t="s">
        <v>194</v>
      </c>
      <c r="R5" s="35" t="s">
        <v>137</v>
      </c>
      <c r="S5" s="73" t="s">
        <v>195</v>
      </c>
      <c r="T5" s="125"/>
      <c r="U5" s="50" t="s">
        <v>196</v>
      </c>
      <c r="V5" s="134" t="s">
        <v>197</v>
      </c>
      <c r="W5" s="73" t="s">
        <v>198</v>
      </c>
      <c r="X5" s="87" t="s">
        <v>191</v>
      </c>
      <c r="Y5" s="35" t="s">
        <v>199</v>
      </c>
      <c r="Z5" s="35" t="s">
        <v>200</v>
      </c>
      <c r="AA5" s="57" t="s">
        <v>201</v>
      </c>
      <c r="AB5" s="72" t="s">
        <v>202</v>
      </c>
      <c r="AC5" s="35" t="s">
        <v>203</v>
      </c>
      <c r="AD5" s="62">
        <v>4</v>
      </c>
      <c r="AE5" s="63">
        <v>45839</v>
      </c>
      <c r="AF5" s="64">
        <v>45869</v>
      </c>
      <c r="AG5" s="53" t="s">
        <v>204</v>
      </c>
      <c r="AH5" s="54" t="s">
        <v>205</v>
      </c>
      <c r="AI5" s="58" t="s">
        <v>206</v>
      </c>
      <c r="AJ5" s="73" t="s">
        <v>206</v>
      </c>
      <c r="AK5" s="365" t="s">
        <v>207</v>
      </c>
      <c r="AL5" s="131" t="s">
        <v>208</v>
      </c>
      <c r="AM5" s="131" t="s">
        <v>209</v>
      </c>
      <c r="AN5" s="132" t="s">
        <v>210</v>
      </c>
      <c r="AO5" s="131" t="s">
        <v>211</v>
      </c>
      <c r="AP5" s="131" t="s">
        <v>212</v>
      </c>
      <c r="AQ5" s="381" t="s">
        <v>213</v>
      </c>
      <c r="AR5" s="132" t="s">
        <v>214</v>
      </c>
      <c r="AS5" s="131" t="s">
        <v>215</v>
      </c>
      <c r="AT5" s="131" t="s">
        <v>216</v>
      </c>
      <c r="AU5" s="134" t="s">
        <v>213</v>
      </c>
      <c r="AV5" s="376" t="s">
        <v>217</v>
      </c>
      <c r="AW5" s="34" t="s">
        <v>218</v>
      </c>
      <c r="AX5" s="88" t="s">
        <v>846</v>
      </c>
      <c r="AY5" s="63">
        <v>45839</v>
      </c>
      <c r="AZ5" s="64">
        <v>45869</v>
      </c>
      <c r="BA5" s="59" t="s">
        <v>845</v>
      </c>
      <c r="BC5" s="125"/>
      <c r="BD5" s="292" t="s">
        <v>219</v>
      </c>
      <c r="BE5" s="375" t="s">
        <v>220</v>
      </c>
      <c r="BF5" s="268" t="s">
        <v>221</v>
      </c>
      <c r="BG5" s="131" t="s">
        <v>222</v>
      </c>
      <c r="BH5" s="131" t="s">
        <v>191</v>
      </c>
      <c r="BI5" s="288" t="s">
        <v>223</v>
      </c>
      <c r="BJ5" s="35" t="s">
        <v>224</v>
      </c>
      <c r="BK5" s="35" t="s">
        <v>225</v>
      </c>
      <c r="BL5" s="135" t="s">
        <v>226</v>
      </c>
      <c r="BM5" s="134" t="s">
        <v>227</v>
      </c>
      <c r="BN5" s="138" t="s">
        <v>228</v>
      </c>
      <c r="BO5" s="134" t="s">
        <v>229</v>
      </c>
      <c r="BP5" s="35" t="s">
        <v>230</v>
      </c>
      <c r="BQ5" s="121" t="s">
        <v>231</v>
      </c>
      <c r="BR5" s="141" t="s">
        <v>232</v>
      </c>
      <c r="BS5" s="491" t="s">
        <v>233</v>
      </c>
      <c r="BT5" s="527" t="s">
        <v>234</v>
      </c>
      <c r="BU5" s="135" t="s">
        <v>235</v>
      </c>
      <c r="BV5" s="134" t="s">
        <v>236</v>
      </c>
      <c r="BW5" s="134" t="s">
        <v>237</v>
      </c>
      <c r="BX5" s="134" t="s">
        <v>236</v>
      </c>
      <c r="BY5" s="137" t="s">
        <v>237</v>
      </c>
      <c r="BZ5" s="131" t="s">
        <v>238</v>
      </c>
      <c r="CA5" s="132" t="s">
        <v>239</v>
      </c>
      <c r="CB5" s="122" t="s">
        <v>240</v>
      </c>
      <c r="CC5" s="35" t="s">
        <v>241</v>
      </c>
      <c r="CD5" s="37" t="s">
        <v>242</v>
      </c>
      <c r="CE5" s="76" t="s">
        <v>213</v>
      </c>
      <c r="CF5" s="134" t="s">
        <v>243</v>
      </c>
      <c r="CG5" s="134" t="s">
        <v>244</v>
      </c>
      <c r="CH5" s="142" t="s">
        <v>245</v>
      </c>
      <c r="CI5" s="73" t="s">
        <v>185</v>
      </c>
      <c r="CJ5" s="35" t="s">
        <v>191</v>
      </c>
      <c r="CK5" s="54" t="s">
        <v>191</v>
      </c>
      <c r="CL5" s="134" t="s">
        <v>177</v>
      </c>
      <c r="CM5" s="134" t="s">
        <v>213</v>
      </c>
      <c r="CN5" s="135" t="s">
        <v>246</v>
      </c>
      <c r="CO5" s="134" t="s">
        <v>213</v>
      </c>
      <c r="CP5" s="141" t="s">
        <v>247</v>
      </c>
      <c r="CQ5" s="54" t="s">
        <v>248</v>
      </c>
      <c r="CR5" s="35" t="s">
        <v>132</v>
      </c>
    </row>
    <row r="6" spans="1:97" s="37" customFormat="1" ht="15" customHeight="1" x14ac:dyDescent="0.3">
      <c r="A6" s="14"/>
      <c r="B6" s="14"/>
      <c r="C6" s="14"/>
      <c r="D6" s="14"/>
      <c r="E6" s="14"/>
      <c r="F6" s="14"/>
      <c r="G6" s="14"/>
      <c r="I6" s="14"/>
      <c r="K6" s="14"/>
      <c r="L6" s="14"/>
      <c r="M6" s="51" t="s">
        <v>114</v>
      </c>
      <c r="N6" s="14"/>
      <c r="O6" s="120" t="s">
        <v>249</v>
      </c>
      <c r="P6" s="73" t="s">
        <v>250</v>
      </c>
      <c r="Q6" s="125"/>
      <c r="R6" s="35" t="s">
        <v>251</v>
      </c>
      <c r="S6" s="14"/>
      <c r="T6" s="14"/>
      <c r="U6" s="50" t="s">
        <v>114</v>
      </c>
      <c r="V6" s="134" t="s">
        <v>252</v>
      </c>
      <c r="W6" s="73" t="s">
        <v>253</v>
      </c>
      <c r="X6" s="87" t="s">
        <v>114</v>
      </c>
      <c r="Y6" s="35" t="s">
        <v>254</v>
      </c>
      <c r="Z6" s="35" t="s">
        <v>255</v>
      </c>
      <c r="AA6" s="57" t="s">
        <v>256</v>
      </c>
      <c r="AB6" s="72" t="s">
        <v>257</v>
      </c>
      <c r="AC6" s="35" t="s">
        <v>114</v>
      </c>
      <c r="AD6" s="62">
        <v>5</v>
      </c>
      <c r="AE6" s="63">
        <v>45870</v>
      </c>
      <c r="AF6" s="64">
        <v>45900</v>
      </c>
      <c r="AG6" s="8"/>
      <c r="AH6" s="54" t="s">
        <v>114</v>
      </c>
      <c r="AI6" s="84" t="s">
        <v>258</v>
      </c>
      <c r="AJ6" s="73" t="s">
        <v>258</v>
      </c>
      <c r="AK6" s="34" t="s">
        <v>191</v>
      </c>
      <c r="AL6" s="131" t="s">
        <v>259</v>
      </c>
      <c r="AM6" s="131" t="s">
        <v>260</v>
      </c>
      <c r="AN6" s="132" t="s">
        <v>261</v>
      </c>
      <c r="AO6" s="131" t="s">
        <v>262</v>
      </c>
      <c r="AP6" s="131" t="s">
        <v>263</v>
      </c>
      <c r="AQ6" s="381" t="s">
        <v>264</v>
      </c>
      <c r="AR6" s="132" t="s">
        <v>265</v>
      </c>
      <c r="AS6" s="131" t="s">
        <v>266</v>
      </c>
      <c r="AT6" s="131" t="s">
        <v>267</v>
      </c>
      <c r="AU6" s="134" t="s">
        <v>264</v>
      </c>
      <c r="AV6" s="376" t="s">
        <v>268</v>
      </c>
      <c r="AW6" s="34" t="s">
        <v>269</v>
      </c>
      <c r="AX6" s="88" t="s">
        <v>847</v>
      </c>
      <c r="AY6" s="63">
        <v>45870</v>
      </c>
      <c r="AZ6" s="64">
        <v>45900</v>
      </c>
      <c r="BA6" s="59" t="s">
        <v>846</v>
      </c>
      <c r="BC6" s="223"/>
      <c r="BD6" s="223"/>
      <c r="BE6" s="134" t="s">
        <v>184</v>
      </c>
      <c r="BF6" s="268" t="s">
        <v>270</v>
      </c>
      <c r="BG6" s="131" t="s">
        <v>271</v>
      </c>
      <c r="BH6" s="131" t="s">
        <v>106</v>
      </c>
      <c r="BI6" s="223"/>
      <c r="BJ6" s="35" t="s">
        <v>272</v>
      </c>
      <c r="BK6" s="35" t="s">
        <v>114</v>
      </c>
      <c r="BL6" s="135" t="s">
        <v>273</v>
      </c>
      <c r="BM6" s="134" t="s">
        <v>274</v>
      </c>
      <c r="BN6" s="139" t="s">
        <v>275</v>
      </c>
      <c r="BO6" s="134" t="s">
        <v>276</v>
      </c>
      <c r="BP6" s="35" t="s">
        <v>277</v>
      </c>
      <c r="BQ6" s="121" t="s">
        <v>278</v>
      </c>
      <c r="BR6" s="141" t="s">
        <v>279</v>
      </c>
      <c r="BS6" s="491" t="s">
        <v>280</v>
      </c>
      <c r="BU6" s="136" t="s">
        <v>281</v>
      </c>
      <c r="BV6" s="134" t="s">
        <v>282</v>
      </c>
      <c r="BW6" s="321"/>
      <c r="BX6" s="375" t="s">
        <v>282</v>
      </c>
      <c r="BZ6" s="131" t="s">
        <v>191</v>
      </c>
      <c r="CA6" s="132" t="s">
        <v>283</v>
      </c>
      <c r="CB6" s="122" t="s">
        <v>284</v>
      </c>
      <c r="CC6" s="560" t="s">
        <v>114</v>
      </c>
      <c r="CD6" s="134" t="s">
        <v>285</v>
      </c>
      <c r="CE6" s="76" t="s">
        <v>286</v>
      </c>
      <c r="CF6" s="134" t="s">
        <v>287</v>
      </c>
      <c r="CG6" s="134" t="s">
        <v>288</v>
      </c>
      <c r="CH6" s="35" t="s">
        <v>114</v>
      </c>
      <c r="CI6" s="142" t="s">
        <v>245</v>
      </c>
      <c r="CJ6" s="35" t="s">
        <v>0</v>
      </c>
      <c r="CK6" s="54" t="s">
        <v>0</v>
      </c>
      <c r="CL6" s="134" t="s">
        <v>114</v>
      </c>
      <c r="CM6" s="134" t="s">
        <v>286</v>
      </c>
      <c r="CN6" s="135" t="s">
        <v>289</v>
      </c>
      <c r="CO6" s="134" t="s">
        <v>286</v>
      </c>
      <c r="CP6" s="141" t="s">
        <v>290</v>
      </c>
      <c r="CQ6" s="54" t="s">
        <v>291</v>
      </c>
      <c r="CR6" s="35" t="s">
        <v>292</v>
      </c>
    </row>
    <row r="7" spans="1:97" s="37" customFormat="1" ht="13.95" customHeight="1" x14ac:dyDescent="0.3">
      <c r="A7" s="14"/>
      <c r="B7" s="14"/>
      <c r="C7" s="14"/>
      <c r="D7" s="14"/>
      <c r="E7" s="14"/>
      <c r="F7" s="14"/>
      <c r="G7" s="14"/>
      <c r="H7" s="14"/>
      <c r="I7" s="14"/>
      <c r="K7" s="14"/>
      <c r="L7" s="14"/>
      <c r="M7" s="14"/>
      <c r="N7" s="14"/>
      <c r="O7" s="73" t="s">
        <v>293</v>
      </c>
      <c r="P7" s="73" t="s">
        <v>294</v>
      </c>
      <c r="Q7" s="125"/>
      <c r="R7" s="35" t="s">
        <v>295</v>
      </c>
      <c r="S7" s="14"/>
      <c r="T7" s="14"/>
      <c r="U7" s="14"/>
      <c r="V7" s="134" t="s">
        <v>296</v>
      </c>
      <c r="W7" s="73" t="s">
        <v>297</v>
      </c>
      <c r="X7" s="14"/>
      <c r="Y7" s="35" t="s">
        <v>247</v>
      </c>
      <c r="Z7" s="35" t="s">
        <v>298</v>
      </c>
      <c r="AA7" s="57" t="s">
        <v>247</v>
      </c>
      <c r="AB7" s="14"/>
      <c r="AD7" s="62">
        <v>6</v>
      </c>
      <c r="AE7" s="63">
        <v>45901</v>
      </c>
      <c r="AF7" s="64">
        <v>45930</v>
      </c>
      <c r="AG7" s="8"/>
      <c r="AH7" s="8"/>
      <c r="AI7" s="58" t="s">
        <v>299</v>
      </c>
      <c r="AJ7" s="73" t="s">
        <v>300</v>
      </c>
      <c r="AK7" s="34" t="s">
        <v>114</v>
      </c>
      <c r="AL7" s="131" t="s">
        <v>301</v>
      </c>
      <c r="AM7" s="131" t="s">
        <v>114</v>
      </c>
      <c r="AN7" s="132" t="s">
        <v>302</v>
      </c>
      <c r="AO7" s="131" t="s">
        <v>303</v>
      </c>
      <c r="AP7" s="131" t="s">
        <v>304</v>
      </c>
      <c r="AQ7" s="381" t="s">
        <v>305</v>
      </c>
      <c r="AR7" s="132" t="s">
        <v>191</v>
      </c>
      <c r="AS7" s="131" t="s">
        <v>133</v>
      </c>
      <c r="AT7" s="131" t="s">
        <v>266</v>
      </c>
      <c r="AU7" s="134" t="s">
        <v>306</v>
      </c>
      <c r="AV7" s="376" t="s">
        <v>114</v>
      </c>
      <c r="AW7" s="34" t="s">
        <v>307</v>
      </c>
      <c r="AX7" s="88" t="s">
        <v>848</v>
      </c>
      <c r="AY7" s="63">
        <v>45901</v>
      </c>
      <c r="AZ7" s="64">
        <v>45930</v>
      </c>
      <c r="BA7" s="59" t="s">
        <v>847</v>
      </c>
      <c r="BC7" s="223"/>
      <c r="BD7" s="223"/>
      <c r="BE7" s="134" t="s">
        <v>308</v>
      </c>
      <c r="BF7" s="268" t="s">
        <v>309</v>
      </c>
      <c r="BG7" s="131" t="s">
        <v>310</v>
      </c>
      <c r="BH7" s="223"/>
      <c r="BI7" s="223"/>
      <c r="BJ7" s="35" t="s">
        <v>114</v>
      </c>
      <c r="BK7" s="223"/>
      <c r="BM7" s="131" t="s">
        <v>311</v>
      </c>
      <c r="BN7" s="87" t="s">
        <v>114</v>
      </c>
      <c r="BO7" s="134" t="s">
        <v>312</v>
      </c>
      <c r="BP7" s="35" t="s">
        <v>313</v>
      </c>
      <c r="BQ7" s="121" t="s">
        <v>314</v>
      </c>
      <c r="BR7" s="141" t="s">
        <v>315</v>
      </c>
      <c r="BS7" s="491" t="s">
        <v>316</v>
      </c>
      <c r="BU7" s="136" t="s">
        <v>317</v>
      </c>
      <c r="BV7" s="134" t="s">
        <v>318</v>
      </c>
      <c r="BW7" s="321"/>
      <c r="BX7" s="375" t="s">
        <v>318</v>
      </c>
      <c r="BZ7" s="131" t="s">
        <v>114</v>
      </c>
      <c r="CB7" s="122" t="s">
        <v>319</v>
      </c>
      <c r="CC7" s="296"/>
      <c r="CD7" s="134" t="s">
        <v>320</v>
      </c>
      <c r="CE7" s="76" t="s">
        <v>264</v>
      </c>
      <c r="CF7" s="134" t="s">
        <v>321</v>
      </c>
      <c r="CG7" s="134" t="s">
        <v>322</v>
      </c>
      <c r="CI7" s="35" t="s">
        <v>114</v>
      </c>
      <c r="CJ7" s="35" t="s">
        <v>323</v>
      </c>
      <c r="CM7" s="134" t="s">
        <v>264</v>
      </c>
      <c r="CN7" s="135" t="s">
        <v>324</v>
      </c>
      <c r="CO7" s="134" t="s">
        <v>264</v>
      </c>
      <c r="CP7" s="141" t="s">
        <v>325</v>
      </c>
      <c r="CQ7" s="54" t="s">
        <v>326</v>
      </c>
      <c r="CR7" s="35" t="s">
        <v>327</v>
      </c>
    </row>
    <row r="8" spans="1:97" s="37" customFormat="1" ht="15" customHeight="1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73" t="s">
        <v>328</v>
      </c>
      <c r="P8" s="35" t="s">
        <v>329</v>
      </c>
      <c r="R8" s="35" t="s">
        <v>194</v>
      </c>
      <c r="S8" s="14"/>
      <c r="T8" s="14"/>
      <c r="U8" s="14"/>
      <c r="V8" s="134" t="s">
        <v>330</v>
      </c>
      <c r="W8" s="35" t="s">
        <v>191</v>
      </c>
      <c r="X8" s="14"/>
      <c r="Y8" s="35" t="s">
        <v>331</v>
      </c>
      <c r="Z8" s="34" t="s">
        <v>332</v>
      </c>
      <c r="AA8" s="57" t="s">
        <v>114</v>
      </c>
      <c r="AB8" s="14"/>
      <c r="AD8" s="62">
        <v>7</v>
      </c>
      <c r="AE8" s="63">
        <v>45931</v>
      </c>
      <c r="AF8" s="64">
        <v>45961</v>
      </c>
      <c r="AG8" s="8"/>
      <c r="AH8" s="8"/>
      <c r="AI8" s="8"/>
      <c r="AJ8" s="73" t="s">
        <v>333</v>
      </c>
      <c r="AK8" s="125"/>
      <c r="AL8" s="131" t="s">
        <v>114</v>
      </c>
      <c r="AM8" s="223"/>
      <c r="AN8" s="132" t="s">
        <v>334</v>
      </c>
      <c r="AO8" s="131" t="s">
        <v>335</v>
      </c>
      <c r="AP8" s="131" t="s">
        <v>336</v>
      </c>
      <c r="AQ8" s="381" t="s">
        <v>337</v>
      </c>
      <c r="AS8" s="131" t="s">
        <v>338</v>
      </c>
      <c r="AT8" s="131" t="s">
        <v>133</v>
      </c>
      <c r="AU8" s="134" t="s">
        <v>305</v>
      </c>
      <c r="AW8" s="34" t="s">
        <v>339</v>
      </c>
      <c r="AX8" s="88" t="s">
        <v>849</v>
      </c>
      <c r="AY8" s="63">
        <v>45931</v>
      </c>
      <c r="AZ8" s="64">
        <v>45961</v>
      </c>
      <c r="BA8" s="59" t="s">
        <v>848</v>
      </c>
      <c r="BE8" s="134" t="s">
        <v>340</v>
      </c>
      <c r="BF8" s="268" t="s">
        <v>341</v>
      </c>
      <c r="BG8" s="131" t="s">
        <v>342</v>
      </c>
      <c r="BH8" s="223"/>
      <c r="BI8" s="223"/>
      <c r="BJ8" s="223"/>
      <c r="BK8" s="223"/>
      <c r="BL8" s="223"/>
      <c r="BM8" s="223"/>
      <c r="BN8" s="223"/>
      <c r="BO8" s="134" t="s">
        <v>343</v>
      </c>
      <c r="BP8" s="35" t="s">
        <v>114</v>
      </c>
      <c r="BQ8" s="121" t="s">
        <v>344</v>
      </c>
      <c r="BR8" s="141" t="s">
        <v>191</v>
      </c>
      <c r="BS8" s="491" t="s">
        <v>345</v>
      </c>
      <c r="BV8" s="131" t="s">
        <v>346</v>
      </c>
      <c r="BW8" s="223"/>
      <c r="BX8" s="376" t="s">
        <v>346</v>
      </c>
      <c r="CB8" s="122" t="s">
        <v>347</v>
      </c>
      <c r="CC8" s="296"/>
      <c r="CD8" s="134" t="s">
        <v>348</v>
      </c>
      <c r="CE8" s="76" t="s">
        <v>349</v>
      </c>
      <c r="CF8" s="134" t="s">
        <v>350</v>
      </c>
      <c r="CG8" s="134" t="s">
        <v>351</v>
      </c>
      <c r="CJ8" s="35" t="s">
        <v>352</v>
      </c>
      <c r="CM8" s="134" t="s">
        <v>349</v>
      </c>
      <c r="CN8" s="135" t="s">
        <v>353</v>
      </c>
      <c r="CO8" s="134" t="s">
        <v>349</v>
      </c>
      <c r="CP8" s="141" t="s">
        <v>354</v>
      </c>
      <c r="CQ8" s="54" t="s">
        <v>355</v>
      </c>
      <c r="CR8" s="35" t="s">
        <v>133</v>
      </c>
    </row>
    <row r="9" spans="1:97" s="37" customFormat="1" ht="15" customHeigh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73" t="s">
        <v>356</v>
      </c>
      <c r="P9" s="35" t="s">
        <v>357</v>
      </c>
      <c r="R9" s="35" t="s">
        <v>358</v>
      </c>
      <c r="S9" s="14"/>
      <c r="T9" s="14"/>
      <c r="U9" s="14"/>
      <c r="V9" s="131" t="s">
        <v>359</v>
      </c>
      <c r="W9" s="73" t="s">
        <v>114</v>
      </c>
      <c r="X9" s="14"/>
      <c r="Y9" s="35" t="s">
        <v>114</v>
      </c>
      <c r="Z9" s="34" t="s">
        <v>114</v>
      </c>
      <c r="AA9" s="8"/>
      <c r="AB9" s="14"/>
      <c r="AD9" s="75">
        <v>8</v>
      </c>
      <c r="AE9" s="63">
        <v>45962</v>
      </c>
      <c r="AF9" s="64">
        <v>45991</v>
      </c>
      <c r="AG9" s="8"/>
      <c r="AH9" s="8"/>
      <c r="AI9" s="8"/>
      <c r="AJ9" s="8"/>
      <c r="AK9" s="8"/>
      <c r="AM9" s="223"/>
      <c r="AN9" s="132" t="s">
        <v>360</v>
      </c>
      <c r="AO9" s="131" t="s">
        <v>293</v>
      </c>
      <c r="AP9" s="131" t="s">
        <v>361</v>
      </c>
      <c r="AQ9" s="381" t="s">
        <v>362</v>
      </c>
      <c r="AR9" s="8"/>
      <c r="AS9" s="131" t="s">
        <v>363</v>
      </c>
      <c r="AT9" s="131" t="s">
        <v>364</v>
      </c>
      <c r="AU9" s="134" t="s">
        <v>337</v>
      </c>
      <c r="AV9" s="8"/>
      <c r="AW9" s="34" t="s">
        <v>365</v>
      </c>
      <c r="AX9" s="88" t="s">
        <v>850</v>
      </c>
      <c r="AY9" s="63">
        <v>45962</v>
      </c>
      <c r="AZ9" s="64">
        <v>45991</v>
      </c>
      <c r="BA9" s="59" t="s">
        <v>849</v>
      </c>
      <c r="BE9" s="134" t="s">
        <v>366</v>
      </c>
      <c r="BF9" s="268" t="s">
        <v>367</v>
      </c>
      <c r="BG9" s="131" t="s">
        <v>368</v>
      </c>
      <c r="BH9" s="223"/>
      <c r="BI9" s="223"/>
      <c r="BJ9" s="223"/>
      <c r="BK9" s="223"/>
      <c r="BL9" s="223"/>
      <c r="BM9" s="223"/>
      <c r="BN9" s="223"/>
      <c r="BO9" s="134" t="s">
        <v>114</v>
      </c>
      <c r="BP9" s="223"/>
      <c r="BQ9" s="121" t="s">
        <v>369</v>
      </c>
      <c r="BR9" s="141" t="s">
        <v>114</v>
      </c>
      <c r="BS9" s="491" t="s">
        <v>370</v>
      </c>
      <c r="CD9" s="134" t="s">
        <v>371</v>
      </c>
      <c r="CE9" s="76" t="s">
        <v>305</v>
      </c>
      <c r="CF9" s="134" t="s">
        <v>372</v>
      </c>
      <c r="CG9" s="134" t="s">
        <v>373</v>
      </c>
      <c r="CM9" s="134" t="s">
        <v>305</v>
      </c>
      <c r="CO9" s="134" t="s">
        <v>305</v>
      </c>
      <c r="CP9" s="141" t="s">
        <v>374</v>
      </c>
      <c r="CQ9" s="54" t="s">
        <v>375</v>
      </c>
      <c r="CR9" s="35" t="s">
        <v>376</v>
      </c>
    </row>
    <row r="10" spans="1:97" s="37" customFormat="1" ht="1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73" t="s">
        <v>377</v>
      </c>
      <c r="Q10" s="125"/>
      <c r="R10" s="35" t="s">
        <v>378</v>
      </c>
      <c r="S10" s="14"/>
      <c r="T10" s="14"/>
      <c r="U10" s="14"/>
      <c r="V10" s="14"/>
      <c r="W10" s="14"/>
      <c r="X10" s="14"/>
      <c r="Y10" s="14"/>
      <c r="AA10" s="8"/>
      <c r="AB10" s="14"/>
      <c r="AD10" s="75">
        <v>9</v>
      </c>
      <c r="AE10" s="63">
        <v>45992</v>
      </c>
      <c r="AF10" s="64">
        <v>46022</v>
      </c>
      <c r="AG10" s="8"/>
      <c r="AH10" s="8"/>
      <c r="AI10" s="8"/>
      <c r="AJ10" s="8"/>
      <c r="AK10" s="8"/>
      <c r="AL10" s="8"/>
      <c r="AM10" s="8"/>
      <c r="AN10" s="132" t="s">
        <v>247</v>
      </c>
      <c r="AO10" s="131" t="s">
        <v>379</v>
      </c>
      <c r="AP10" s="131" t="s">
        <v>380</v>
      </c>
      <c r="AQ10" s="381" t="s">
        <v>381</v>
      </c>
      <c r="AR10" s="8"/>
      <c r="AS10" s="131" t="s">
        <v>382</v>
      </c>
      <c r="AT10" s="131" t="s">
        <v>338</v>
      </c>
      <c r="AU10" s="134" t="s">
        <v>383</v>
      </c>
      <c r="AV10" s="8"/>
      <c r="AW10" s="34" t="s">
        <v>384</v>
      </c>
      <c r="AX10" s="88" t="s">
        <v>851</v>
      </c>
      <c r="AY10" s="63">
        <v>45992</v>
      </c>
      <c r="AZ10" s="64">
        <v>46022</v>
      </c>
      <c r="BA10" s="59" t="s">
        <v>850</v>
      </c>
      <c r="BE10" s="134" t="s">
        <v>385</v>
      </c>
      <c r="BF10" s="73" t="s">
        <v>386</v>
      </c>
      <c r="BQ10" s="121" t="s">
        <v>387</v>
      </c>
      <c r="BS10" s="491" t="s">
        <v>388</v>
      </c>
      <c r="CD10" s="134" t="s">
        <v>389</v>
      </c>
      <c r="CE10" s="76" t="s">
        <v>324</v>
      </c>
      <c r="CF10" s="134" t="s">
        <v>390</v>
      </c>
      <c r="CM10" s="134" t="s">
        <v>353</v>
      </c>
      <c r="CN10" s="321"/>
      <c r="CO10" s="134" t="s">
        <v>353</v>
      </c>
      <c r="CP10" s="125"/>
      <c r="CQ10" s="54" t="s">
        <v>391</v>
      </c>
      <c r="CR10" s="35" t="s">
        <v>392</v>
      </c>
    </row>
    <row r="11" spans="1:97" s="37" customFormat="1" ht="1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73" t="s">
        <v>393</v>
      </c>
      <c r="Q11" s="125"/>
      <c r="R11" s="35" t="s">
        <v>394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D11" s="75">
        <v>10</v>
      </c>
      <c r="AE11" s="63">
        <v>46023</v>
      </c>
      <c r="AF11" s="64">
        <v>46053</v>
      </c>
      <c r="AG11" s="8"/>
      <c r="AH11" s="8"/>
      <c r="AI11" s="8"/>
      <c r="AJ11" s="8"/>
      <c r="AK11" s="8"/>
      <c r="AL11" s="8"/>
      <c r="AM11" s="8"/>
      <c r="AN11" s="132" t="s">
        <v>191</v>
      </c>
      <c r="AO11" s="131" t="s">
        <v>395</v>
      </c>
      <c r="AP11" s="131" t="s">
        <v>396</v>
      </c>
      <c r="AQ11" s="381" t="s">
        <v>324</v>
      </c>
      <c r="AR11" s="8"/>
      <c r="AS11" s="131" t="s">
        <v>397</v>
      </c>
      <c r="AT11" s="131" t="s">
        <v>382</v>
      </c>
      <c r="AU11" s="134" t="s">
        <v>398</v>
      </c>
      <c r="AV11" s="8"/>
      <c r="AW11" s="34" t="s">
        <v>399</v>
      </c>
      <c r="AX11" s="59" t="s">
        <v>852</v>
      </c>
      <c r="AY11" s="63">
        <v>46023</v>
      </c>
      <c r="AZ11" s="64">
        <v>46053</v>
      </c>
      <c r="BA11" s="59" t="s">
        <v>851</v>
      </c>
      <c r="BE11" s="134" t="s">
        <v>400</v>
      </c>
      <c r="BF11" s="73" t="s">
        <v>129</v>
      </c>
      <c r="BS11" s="491" t="s">
        <v>247</v>
      </c>
      <c r="CD11" s="134" t="s">
        <v>401</v>
      </c>
      <c r="CE11" s="76" t="s">
        <v>246</v>
      </c>
      <c r="CF11" s="134" t="s">
        <v>402</v>
      </c>
      <c r="CN11" s="321"/>
      <c r="CP11" s="125"/>
      <c r="CR11" s="35" t="s">
        <v>403</v>
      </c>
    </row>
    <row r="12" spans="1:97" s="37" customFormat="1" ht="1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73" t="s">
        <v>404</v>
      </c>
      <c r="Q12" s="125"/>
      <c r="R12" s="35" t="s">
        <v>247</v>
      </c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62">
        <v>11</v>
      </c>
      <c r="AE12" s="63">
        <v>46054</v>
      </c>
      <c r="AF12" s="64">
        <v>46081</v>
      </c>
      <c r="AG12" s="8"/>
      <c r="AH12" s="8"/>
      <c r="AI12" s="8"/>
      <c r="AJ12" s="8"/>
      <c r="AK12" s="8"/>
      <c r="AL12" s="8"/>
      <c r="AM12" s="8"/>
      <c r="AN12" s="132" t="s">
        <v>114</v>
      </c>
      <c r="AO12" s="131" t="s">
        <v>247</v>
      </c>
      <c r="AP12" s="131" t="s">
        <v>405</v>
      </c>
      <c r="AQ12" s="381" t="s">
        <v>246</v>
      </c>
      <c r="AR12" s="8"/>
      <c r="AS12" s="131" t="s">
        <v>406</v>
      </c>
      <c r="AT12" s="131" t="s">
        <v>397</v>
      </c>
      <c r="AU12" s="134" t="s">
        <v>407</v>
      </c>
      <c r="AV12" s="8"/>
      <c r="AW12" s="34" t="s">
        <v>247</v>
      </c>
      <c r="AX12" s="59" t="s">
        <v>853</v>
      </c>
      <c r="AY12" s="63">
        <v>46054</v>
      </c>
      <c r="AZ12" s="64">
        <v>46081</v>
      </c>
      <c r="BA12" s="59" t="s">
        <v>852</v>
      </c>
      <c r="BE12" s="134" t="s">
        <v>408</v>
      </c>
      <c r="CD12" s="134" t="s">
        <v>409</v>
      </c>
      <c r="CE12" s="76" t="s">
        <v>410</v>
      </c>
      <c r="CF12" s="134" t="s">
        <v>409</v>
      </c>
      <c r="CP12" s="125"/>
      <c r="CR12" s="35" t="s">
        <v>411</v>
      </c>
    </row>
    <row r="13" spans="1:97" s="37" customFormat="1" ht="15" customHeight="1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73" t="s">
        <v>412</v>
      </c>
      <c r="Q13" s="125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62">
        <v>12</v>
      </c>
      <c r="AE13" s="63">
        <v>46082</v>
      </c>
      <c r="AF13" s="64">
        <v>46112</v>
      </c>
      <c r="AG13" s="8"/>
      <c r="AH13" s="8"/>
      <c r="AI13" s="8"/>
      <c r="AJ13" s="8"/>
      <c r="AK13" s="8"/>
      <c r="AL13" s="8"/>
      <c r="AM13" s="8"/>
      <c r="AN13" s="8"/>
      <c r="AO13" s="8"/>
      <c r="AP13" s="131" t="s">
        <v>413</v>
      </c>
      <c r="AQ13" s="381" t="s">
        <v>410</v>
      </c>
      <c r="AR13" s="8"/>
      <c r="AS13" s="131" t="s">
        <v>414</v>
      </c>
      <c r="AT13" s="131" t="s">
        <v>406</v>
      </c>
      <c r="AU13" s="35" t="s">
        <v>415</v>
      </c>
      <c r="AV13" s="8"/>
      <c r="AW13" s="8"/>
      <c r="AX13" s="59" t="s">
        <v>854</v>
      </c>
      <c r="AY13" s="63">
        <v>46082</v>
      </c>
      <c r="AZ13" s="64">
        <v>46112</v>
      </c>
      <c r="BA13" s="59" t="s">
        <v>853</v>
      </c>
      <c r="BE13" s="134" t="s">
        <v>244</v>
      </c>
      <c r="CD13" s="134" t="s">
        <v>416</v>
      </c>
      <c r="CE13" s="124" t="s">
        <v>417</v>
      </c>
      <c r="CF13" s="134" t="s">
        <v>418</v>
      </c>
      <c r="CP13" s="125"/>
      <c r="CR13" s="35" t="s">
        <v>419</v>
      </c>
    </row>
    <row r="14" spans="1:97" s="37" customFormat="1" ht="15" customHeigh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73" t="s">
        <v>420</v>
      </c>
      <c r="Q14" s="125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65"/>
      <c r="AE14" s="66"/>
      <c r="AF14" s="67"/>
      <c r="AG14" s="8"/>
      <c r="AH14" s="8"/>
      <c r="AI14" s="8"/>
      <c r="AJ14" s="8"/>
      <c r="AK14" s="8"/>
      <c r="AL14" s="8"/>
      <c r="AM14" s="8"/>
      <c r="AN14" s="8"/>
      <c r="AO14" s="8"/>
      <c r="AP14" s="131" t="s">
        <v>421</v>
      </c>
      <c r="AQ14" s="381" t="s">
        <v>422</v>
      </c>
      <c r="AR14" s="8"/>
      <c r="AS14" s="131" t="s">
        <v>423</v>
      </c>
      <c r="AT14" s="131" t="s">
        <v>424</v>
      </c>
      <c r="AV14" s="8"/>
      <c r="AW14" s="8"/>
      <c r="BA14" s="59" t="s">
        <v>854</v>
      </c>
      <c r="BE14" s="134" t="s">
        <v>425</v>
      </c>
      <c r="CD14" s="134" t="s">
        <v>426</v>
      </c>
      <c r="CF14" s="134" t="s">
        <v>380</v>
      </c>
      <c r="CP14" s="125"/>
      <c r="CR14" s="35" t="s">
        <v>427</v>
      </c>
    </row>
    <row r="15" spans="1:97" s="37" customFormat="1" ht="15" customHeight="1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73" t="s">
        <v>428</v>
      </c>
      <c r="Q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G15" s="8"/>
      <c r="AH15" s="8"/>
      <c r="AI15" s="8"/>
      <c r="AJ15" s="8"/>
      <c r="AK15" s="8"/>
      <c r="AL15" s="8"/>
      <c r="AM15" s="8"/>
      <c r="AN15" s="8"/>
      <c r="AO15" s="8"/>
      <c r="AP15" s="131" t="s">
        <v>429</v>
      </c>
      <c r="AQ15" s="381" t="s">
        <v>353</v>
      </c>
      <c r="AR15" s="8"/>
      <c r="AS15" s="131" t="s">
        <v>430</v>
      </c>
      <c r="AT15" s="131" t="s">
        <v>431</v>
      </c>
      <c r="AV15" s="8"/>
      <c r="AW15" s="8"/>
      <c r="BE15" s="134" t="s">
        <v>288</v>
      </c>
      <c r="BI15" s="286"/>
      <c r="BJ15" s="286"/>
      <c r="BK15" s="286"/>
      <c r="BL15" s="286"/>
      <c r="BM15" s="286"/>
      <c r="BN15" s="286"/>
      <c r="BO15" s="286"/>
      <c r="BP15" s="286"/>
      <c r="BQ15" s="286"/>
      <c r="BR15" s="286"/>
      <c r="BS15" s="286"/>
      <c r="CD15" s="134" t="s">
        <v>432</v>
      </c>
      <c r="CF15" s="134" t="s">
        <v>433</v>
      </c>
      <c r="CP15" s="125"/>
      <c r="CR15" s="35" t="s">
        <v>434</v>
      </c>
    </row>
    <row r="16" spans="1:97" s="37" customFormat="1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14"/>
      <c r="M16" s="14"/>
      <c r="N16" s="14"/>
      <c r="O16" s="14"/>
      <c r="P16" s="73" t="s">
        <v>435</v>
      </c>
      <c r="Q16" s="14"/>
      <c r="S16" s="14"/>
      <c r="T16" s="14"/>
      <c r="U16" s="14"/>
      <c r="V16" s="14"/>
      <c r="W16" s="14"/>
      <c r="X16" s="14"/>
      <c r="Y16" s="14"/>
      <c r="Z16" s="14"/>
      <c r="AA16" s="14"/>
      <c r="AB16" s="60"/>
      <c r="AC16" s="14"/>
      <c r="AD16" s="14"/>
      <c r="AG16" s="8"/>
      <c r="AH16" s="8"/>
      <c r="AI16" s="8"/>
      <c r="AJ16" s="31"/>
      <c r="AK16" s="31"/>
      <c r="AL16" s="31"/>
      <c r="AM16" s="31"/>
      <c r="AN16" s="31"/>
      <c r="AO16" s="31"/>
      <c r="AP16" s="131" t="s">
        <v>436</v>
      </c>
      <c r="AR16" s="31"/>
      <c r="AS16" s="35" t="s">
        <v>247</v>
      </c>
      <c r="AT16" s="131" t="s">
        <v>414</v>
      </c>
      <c r="AU16" s="31"/>
      <c r="AV16" s="31"/>
      <c r="AW16" s="8"/>
      <c r="BE16" s="134" t="s">
        <v>437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CD16" s="134" t="s">
        <v>438</v>
      </c>
      <c r="CF16" s="134" t="s">
        <v>439</v>
      </c>
      <c r="CP16" s="125"/>
      <c r="CR16" s="35" t="s">
        <v>440</v>
      </c>
    </row>
    <row r="17" spans="1:96" s="37" customFormat="1" ht="15" customHeight="1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73" t="s">
        <v>441</v>
      </c>
      <c r="Q17" s="14"/>
      <c r="S17" s="14"/>
      <c r="T17" s="14"/>
      <c r="U17" s="14"/>
      <c r="V17" s="14"/>
      <c r="W17" s="14"/>
      <c r="X17" s="14"/>
      <c r="Y17" s="14"/>
      <c r="Z17" s="14"/>
      <c r="AA17" s="14"/>
      <c r="AB17" s="60"/>
      <c r="AC17" s="14"/>
      <c r="AD17" s="14"/>
      <c r="AG17" s="8"/>
      <c r="AH17" s="8"/>
      <c r="AI17" s="8"/>
      <c r="AJ17" s="74"/>
      <c r="AK17" s="74"/>
      <c r="AL17" s="74"/>
      <c r="AM17" s="74"/>
      <c r="AN17" s="74"/>
      <c r="AO17" s="74"/>
      <c r="AP17" s="131" t="s">
        <v>382</v>
      </c>
      <c r="AR17" s="74"/>
      <c r="AS17" s="74"/>
      <c r="AT17" s="131" t="s">
        <v>423</v>
      </c>
      <c r="AU17" s="74"/>
      <c r="AV17" s="74"/>
      <c r="AW17" s="8"/>
      <c r="BE17" s="134" t="s">
        <v>442</v>
      </c>
      <c r="BI17" s="223"/>
      <c r="BJ17" s="223"/>
      <c r="BK17" s="223"/>
      <c r="BL17" s="223"/>
      <c r="BM17" s="223"/>
      <c r="BN17" s="223"/>
      <c r="BO17" s="223"/>
      <c r="BP17" s="223"/>
      <c r="BQ17" s="223"/>
      <c r="BR17" s="223"/>
      <c r="BS17" s="223"/>
      <c r="CD17" s="134" t="s">
        <v>443</v>
      </c>
      <c r="CF17" s="134" t="s">
        <v>444</v>
      </c>
      <c r="CP17" s="125"/>
      <c r="CR17" s="35" t="s">
        <v>291</v>
      </c>
    </row>
    <row r="18" spans="1:96" s="37" customFormat="1" ht="15" customHeight="1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73" t="s">
        <v>445</v>
      </c>
      <c r="Q18" s="14"/>
      <c r="S18" s="14"/>
      <c r="T18" s="14"/>
      <c r="U18" s="14"/>
      <c r="V18" s="14"/>
      <c r="W18" s="14"/>
      <c r="X18" s="14"/>
      <c r="Y18" s="14"/>
      <c r="Z18" s="14"/>
      <c r="AA18" s="14"/>
      <c r="AB18" s="60"/>
      <c r="AC18" s="14"/>
      <c r="AD18" s="14"/>
      <c r="AF18" s="10"/>
      <c r="AG18" s="8"/>
      <c r="AH18" s="8"/>
      <c r="AI18" s="8"/>
      <c r="AJ18" s="83"/>
      <c r="AK18" s="83"/>
      <c r="AL18" s="83"/>
      <c r="AM18" s="83"/>
      <c r="AN18" s="83"/>
      <c r="AO18" s="83"/>
      <c r="AP18" s="131" t="s">
        <v>446</v>
      </c>
      <c r="AQ18" s="83"/>
      <c r="AR18" s="83"/>
      <c r="AS18" s="83"/>
      <c r="AT18" s="131" t="s">
        <v>447</v>
      </c>
      <c r="AU18" s="83"/>
      <c r="AV18" s="83"/>
      <c r="AW18" s="8"/>
      <c r="BE18" s="134" t="s">
        <v>322</v>
      </c>
      <c r="BI18" s="223"/>
      <c r="BJ18" s="223"/>
      <c r="BK18" s="223"/>
      <c r="BL18" s="223"/>
      <c r="BM18" s="223"/>
      <c r="BN18" s="223"/>
      <c r="BO18" s="223"/>
      <c r="BP18" s="223"/>
      <c r="BQ18" s="223"/>
      <c r="BR18" s="223"/>
      <c r="BS18" s="223"/>
      <c r="CD18" s="134" t="s">
        <v>448</v>
      </c>
      <c r="CF18" s="134" t="s">
        <v>389</v>
      </c>
      <c r="CP18" s="125"/>
      <c r="CR18" s="35" t="s">
        <v>449</v>
      </c>
    </row>
    <row r="19" spans="1:96" s="37" customFormat="1" ht="15" customHeight="1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S19" s="14"/>
      <c r="T19" s="14"/>
      <c r="U19" s="14"/>
      <c r="V19" s="14"/>
      <c r="W19" s="14"/>
      <c r="X19" s="14"/>
      <c r="Y19" s="14"/>
      <c r="Z19" s="14"/>
      <c r="AA19" s="14"/>
      <c r="AB19" s="60"/>
      <c r="AC19" s="14"/>
      <c r="AD19" s="14"/>
      <c r="AF19" s="10"/>
      <c r="AG19" s="8"/>
      <c r="AH19" s="8"/>
      <c r="AI19" s="8"/>
      <c r="AJ19" s="83"/>
      <c r="AK19" s="83"/>
      <c r="AL19" s="83"/>
      <c r="AM19" s="83"/>
      <c r="AN19" s="83"/>
      <c r="AO19" s="83"/>
      <c r="AP19" s="131" t="s">
        <v>406</v>
      </c>
      <c r="AQ19" s="83"/>
      <c r="AR19" s="83"/>
      <c r="AS19" s="83"/>
      <c r="AT19" s="131" t="s">
        <v>374</v>
      </c>
      <c r="AU19" s="83"/>
      <c r="AV19" s="83"/>
      <c r="AW19" s="8"/>
      <c r="BE19" s="134" t="s">
        <v>351</v>
      </c>
      <c r="CD19" s="134" t="s">
        <v>375</v>
      </c>
      <c r="CF19" s="134" t="s">
        <v>450</v>
      </c>
      <c r="CP19" s="125"/>
    </row>
    <row r="20" spans="1:96" s="37" customFormat="1" ht="15" customHeight="1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S20" s="14"/>
      <c r="T20" s="14"/>
      <c r="U20" s="14"/>
      <c r="V20" s="14"/>
      <c r="W20" s="14"/>
      <c r="X20" s="14"/>
      <c r="Y20" s="14"/>
      <c r="Z20" s="14"/>
      <c r="AA20" s="14"/>
      <c r="AB20" s="60"/>
      <c r="AC20" s="14"/>
      <c r="AD20" s="14"/>
      <c r="AF20" s="10"/>
      <c r="AG20" s="8"/>
      <c r="AH20" s="8"/>
      <c r="AI20" s="8"/>
      <c r="AJ20" s="8"/>
      <c r="AK20" s="8"/>
      <c r="AL20" s="8"/>
      <c r="AM20" s="8"/>
      <c r="AN20" s="8"/>
      <c r="AO20" s="8"/>
      <c r="AP20" s="131" t="s">
        <v>451</v>
      </c>
      <c r="AQ20" s="8"/>
      <c r="AR20" s="8"/>
      <c r="AS20" s="8"/>
      <c r="AT20" s="131" t="s">
        <v>430</v>
      </c>
      <c r="AU20" s="8"/>
      <c r="AV20" s="8"/>
      <c r="AW20" s="8"/>
      <c r="BE20" s="134" t="s">
        <v>452</v>
      </c>
      <c r="CD20" s="134" t="s">
        <v>453</v>
      </c>
      <c r="CF20" s="134" t="s">
        <v>454</v>
      </c>
      <c r="CP20" s="125"/>
    </row>
    <row r="21" spans="1:96" s="37" customFormat="1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1"/>
      <c r="Q21" s="61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F21" s="10"/>
      <c r="AG21" s="8"/>
      <c r="AH21" s="8"/>
      <c r="AI21" s="8"/>
      <c r="AJ21" s="8"/>
      <c r="AK21" s="8"/>
      <c r="AL21" s="8"/>
      <c r="AM21" s="8"/>
      <c r="AN21" s="8"/>
      <c r="AO21" s="8"/>
      <c r="AP21" s="131" t="s">
        <v>414</v>
      </c>
      <c r="AQ21" s="8"/>
      <c r="AR21" s="8"/>
      <c r="AS21" s="8"/>
      <c r="AT21" s="131" t="s">
        <v>455</v>
      </c>
      <c r="AU21" s="8"/>
      <c r="AV21" s="8"/>
      <c r="AW21" s="8"/>
      <c r="BE21" s="134" t="s">
        <v>373</v>
      </c>
      <c r="CD21" s="134" t="s">
        <v>247</v>
      </c>
      <c r="CF21" s="134" t="s">
        <v>456</v>
      </c>
      <c r="CP21" s="125"/>
    </row>
    <row r="22" spans="1:96" s="37" customFormat="1" ht="15" customHeight="1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F22" s="10"/>
      <c r="AG22" s="8"/>
      <c r="AH22" s="8"/>
      <c r="AI22" s="8"/>
      <c r="AJ22" s="8"/>
      <c r="AK22" s="8"/>
      <c r="AL22" s="8"/>
      <c r="AM22" s="8"/>
      <c r="AN22" s="8"/>
      <c r="AO22" s="8"/>
      <c r="AP22" s="131" t="s">
        <v>457</v>
      </c>
      <c r="AQ22" s="8"/>
      <c r="AR22" s="8"/>
      <c r="AS22" s="8"/>
      <c r="AT22" s="131" t="s">
        <v>458</v>
      </c>
      <c r="AU22" s="8"/>
      <c r="AV22" s="8"/>
      <c r="AW22" s="8"/>
      <c r="BE22" s="134" t="s">
        <v>129</v>
      </c>
      <c r="CF22" s="134" t="s">
        <v>375</v>
      </c>
      <c r="CP22" s="125"/>
    </row>
    <row r="23" spans="1:96" s="37" customFormat="1" ht="15" customHeight="1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F23" s="10"/>
      <c r="AG23" s="8"/>
      <c r="AH23" s="8"/>
      <c r="AI23" s="8"/>
      <c r="AJ23" s="8"/>
      <c r="AK23" s="8"/>
      <c r="AL23" s="8"/>
      <c r="AM23" s="8"/>
      <c r="AN23" s="8"/>
      <c r="AO23" s="8"/>
      <c r="AP23" s="131" t="s">
        <v>459</v>
      </c>
      <c r="AQ23" s="8"/>
      <c r="AR23" s="8"/>
      <c r="AS23" s="8"/>
      <c r="AT23" s="131" t="s">
        <v>114</v>
      </c>
      <c r="AU23" s="8"/>
      <c r="AV23" s="8"/>
      <c r="AW23" s="8"/>
      <c r="CF23" s="134" t="s">
        <v>460</v>
      </c>
      <c r="CP23" s="125"/>
    </row>
    <row r="24" spans="1:96" s="37" customFormat="1" ht="15" customHeight="1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F24" s="10"/>
      <c r="AG24" s="8"/>
      <c r="AH24" s="8"/>
      <c r="AI24" s="8"/>
      <c r="AJ24" s="8"/>
      <c r="AK24" s="8"/>
      <c r="AL24" s="8"/>
      <c r="AM24" s="8"/>
      <c r="AN24" s="8"/>
      <c r="AO24" s="8"/>
      <c r="AP24" s="131" t="s">
        <v>461</v>
      </c>
      <c r="AQ24" s="8"/>
      <c r="AR24" s="8"/>
      <c r="AS24" s="8"/>
      <c r="AT24" s="8"/>
      <c r="AU24" s="8"/>
      <c r="AV24" s="8"/>
      <c r="AW24" s="8"/>
      <c r="CF24" s="134" t="s">
        <v>462</v>
      </c>
      <c r="CP24" s="125"/>
    </row>
    <row r="25" spans="1:96" s="37" customFormat="1" ht="15" customHeight="1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F25" s="10"/>
      <c r="AG25" s="8"/>
      <c r="AH25" s="8"/>
      <c r="AI25" s="8"/>
      <c r="AJ25" s="8"/>
      <c r="AK25" s="8"/>
      <c r="AL25" s="8"/>
      <c r="AM25" s="8"/>
      <c r="AN25" s="8"/>
      <c r="AO25" s="8"/>
      <c r="AP25" s="131" t="s">
        <v>463</v>
      </c>
      <c r="AQ25" s="8"/>
      <c r="AR25" s="8"/>
      <c r="AS25" s="8"/>
      <c r="AT25" s="8"/>
      <c r="AU25" s="8"/>
      <c r="AV25" s="8"/>
      <c r="AW25" s="8"/>
      <c r="CF25" s="134" t="s">
        <v>464</v>
      </c>
      <c r="CP25" s="125"/>
    </row>
    <row r="26" spans="1:96" s="37" customFormat="1" ht="15" customHeight="1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F26" s="10"/>
      <c r="AG26" s="8"/>
      <c r="AH26" s="8"/>
      <c r="AI26" s="8"/>
      <c r="AJ26" s="8"/>
      <c r="AK26" s="8"/>
      <c r="AL26" s="8"/>
      <c r="AM26" s="8"/>
      <c r="AN26" s="8"/>
      <c r="AO26" s="8"/>
      <c r="AP26" s="131" t="s">
        <v>465</v>
      </c>
      <c r="AQ26" s="8"/>
      <c r="AR26" s="8"/>
      <c r="AS26" s="8"/>
      <c r="AT26" s="8"/>
      <c r="AU26" s="8"/>
      <c r="AV26" s="8"/>
      <c r="AW26" s="8"/>
      <c r="CF26" s="134" t="s">
        <v>466</v>
      </c>
      <c r="CP26" s="125"/>
    </row>
    <row r="27" spans="1:96" s="37" customFormat="1" ht="15" customHeight="1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F27" s="10"/>
      <c r="AG27" s="8"/>
      <c r="AH27" s="8"/>
      <c r="AI27" s="8"/>
      <c r="AJ27" s="8"/>
      <c r="AK27" s="8"/>
      <c r="AL27" s="8"/>
      <c r="AM27" s="8"/>
      <c r="AN27" s="8"/>
      <c r="AO27" s="8"/>
      <c r="AP27" s="131" t="s">
        <v>247</v>
      </c>
      <c r="AQ27" s="8"/>
      <c r="AR27" s="8"/>
      <c r="AS27" s="8"/>
      <c r="AT27" s="8"/>
      <c r="AU27" s="8"/>
      <c r="AV27" s="8"/>
      <c r="AW27" s="8"/>
      <c r="CF27" s="134" t="s">
        <v>467</v>
      </c>
      <c r="CP27" s="125"/>
    </row>
    <row r="28" spans="1:96" s="37" customFormat="1" ht="15" customHeight="1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F28" s="10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CF28" s="134" t="s">
        <v>468</v>
      </c>
      <c r="CP28" s="125"/>
    </row>
    <row r="29" spans="1:96" s="37" customFormat="1" ht="13.8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F29" s="10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CF29" s="134" t="s">
        <v>469</v>
      </c>
    </row>
    <row r="30" spans="1:96" s="37" customFormat="1" ht="13.8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F30" s="10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CF30" s="134" t="s">
        <v>247</v>
      </c>
    </row>
    <row r="31" spans="1:96" s="37" customFormat="1" ht="13.8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F31" s="10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1:96" s="37" customFormat="1" ht="13.8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F32" s="10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1:49" s="37" customFormat="1" ht="13.2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1:49" s="37" customFormat="1" ht="13.2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</row>
    <row r="35" spans="1:49" s="37" customFormat="1" ht="13.2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</row>
  </sheetData>
  <sheetProtection selectLockedCells="1"/>
  <dataValidations disablePrompts="1" count="1">
    <dataValidation operator="greaterThanOrEqual" allowBlank="1" showInputMessage="1" showErrorMessage="1" sqref="AC28" xr:uid="{00000000-0002-0000-0000-000000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00B0F0"/>
  </sheetPr>
  <dimension ref="A1:O34"/>
  <sheetViews>
    <sheetView tabSelected="1" zoomScale="98" workbookViewId="0">
      <selection activeCell="B18" sqref="B18"/>
    </sheetView>
  </sheetViews>
  <sheetFormatPr defaultColWidth="11.5546875" defaultRowHeight="13.8" x14ac:dyDescent="0.25"/>
  <cols>
    <col min="1" max="1" width="38.33203125" style="10" customWidth="1"/>
    <col min="2" max="2" width="34.5546875" style="10" customWidth="1"/>
    <col min="3" max="3" width="5" style="10" customWidth="1"/>
    <col min="4" max="4" width="38.88671875" style="10" customWidth="1"/>
    <col min="5" max="5" width="19.33203125" style="10" bestFit="1" customWidth="1"/>
    <col min="6" max="6" width="15.88671875" style="10" bestFit="1" customWidth="1"/>
    <col min="7" max="7" width="18.44140625" style="10" bestFit="1" customWidth="1"/>
    <col min="8" max="8" width="11.109375" style="10" bestFit="1" customWidth="1"/>
    <col min="9" max="9" width="15.88671875" style="10" bestFit="1" customWidth="1"/>
    <col min="10" max="10" width="12.33203125" style="10" bestFit="1" customWidth="1"/>
    <col min="11" max="11" width="15.88671875" style="10" bestFit="1" customWidth="1"/>
    <col min="12" max="13" width="4.6640625" style="10" customWidth="1"/>
    <col min="14" max="14" width="12.33203125" style="10" bestFit="1" customWidth="1"/>
    <col min="15" max="16384" width="11.5546875" style="10"/>
  </cols>
  <sheetData>
    <row r="1" spans="1:13" ht="15" customHeight="1" x14ac:dyDescent="0.35">
      <c r="A1" s="555" t="s">
        <v>470</v>
      </c>
      <c r="B1" s="554" t="s">
        <v>471</v>
      </c>
      <c r="H1" s="17"/>
      <c r="I1" s="17"/>
      <c r="J1" s="17"/>
    </row>
    <row r="2" spans="1:13" ht="15" customHeight="1" x14ac:dyDescent="0.35">
      <c r="A2" s="556" t="s">
        <v>11</v>
      </c>
      <c r="B2" s="554" t="s">
        <v>97</v>
      </c>
      <c r="H2" s="18"/>
      <c r="L2" s="575"/>
      <c r="M2" s="575"/>
    </row>
    <row r="3" spans="1:13" ht="15" customHeight="1" thickBot="1" x14ac:dyDescent="0.4">
      <c r="A3" s="557" t="s">
        <v>472</v>
      </c>
      <c r="B3" s="554" t="s">
        <v>194</v>
      </c>
      <c r="L3" s="575"/>
      <c r="M3" s="575"/>
    </row>
    <row r="5" spans="1:13" ht="20.25" customHeight="1" x14ac:dyDescent="0.25"/>
    <row r="6" spans="1:13" ht="20.25" customHeight="1" x14ac:dyDescent="0.25"/>
    <row r="7" spans="1:13" ht="20.25" customHeight="1" x14ac:dyDescent="0.25"/>
    <row r="8" spans="1:13" ht="20.25" customHeight="1" x14ac:dyDescent="0.25"/>
    <row r="9" spans="1:13" ht="20.25" customHeight="1" x14ac:dyDescent="0.25"/>
    <row r="10" spans="1:13" ht="15" x14ac:dyDescent="0.25">
      <c r="F10" s="553"/>
      <c r="G10" s="553"/>
    </row>
    <row r="12" spans="1:13" ht="22.95" customHeight="1" x14ac:dyDescent="0.25">
      <c r="D12" s="369"/>
      <c r="E12" s="370"/>
      <c r="F12" s="369"/>
      <c r="G12" s="369"/>
    </row>
    <row r="13" spans="1:13" ht="15" x14ac:dyDescent="0.25">
      <c r="B13" s="42"/>
      <c r="C13" s="19"/>
      <c r="D13" s="371"/>
      <c r="E13" s="372"/>
      <c r="F13" s="373"/>
      <c r="G13" s="374"/>
    </row>
    <row r="14" spans="1:13" ht="15" x14ac:dyDescent="0.25">
      <c r="B14" s="19"/>
      <c r="C14" s="19"/>
      <c r="D14" s="46"/>
      <c r="E14" s="45"/>
      <c r="F14" s="45"/>
      <c r="G14" s="45"/>
    </row>
    <row r="15" spans="1:13" ht="22.8" thickBot="1" x14ac:dyDescent="0.35">
      <c r="A15" s="43" t="s">
        <v>473</v>
      </c>
      <c r="B15" s="20"/>
      <c r="D15" s="574" t="s">
        <v>471</v>
      </c>
      <c r="E15" s="574"/>
      <c r="F15" s="574"/>
      <c r="G15" s="574"/>
    </row>
    <row r="16" spans="1:13" ht="15" customHeight="1" thickTop="1" x14ac:dyDescent="0.25">
      <c r="A16" s="44" t="s">
        <v>474</v>
      </c>
      <c r="B16" s="45"/>
      <c r="C16" s="45"/>
    </row>
    <row r="17" spans="1:15" ht="15" customHeight="1" thickBot="1" x14ac:dyDescent="0.3">
      <c r="A17" s="44" t="s">
        <v>475</v>
      </c>
      <c r="B17" s="45"/>
      <c r="C17" s="45"/>
    </row>
    <row r="18" spans="1:15" ht="27.6" customHeight="1" thickBot="1" x14ac:dyDescent="0.3">
      <c r="A18" s="44" t="s">
        <v>476</v>
      </c>
      <c r="B18" s="45"/>
      <c r="C18" s="45"/>
      <c r="G18" s="576" t="s">
        <v>477</v>
      </c>
      <c r="H18" s="577"/>
      <c r="I18" s="577"/>
      <c r="J18" s="578"/>
      <c r="K18" s="579"/>
      <c r="L18" s="418"/>
      <c r="M18" s="241"/>
    </row>
    <row r="19" spans="1:15" ht="66.599999999999994" thickTop="1" thickBot="1" x14ac:dyDescent="0.3">
      <c r="A19" s="44" t="s">
        <v>478</v>
      </c>
      <c r="B19" s="45"/>
      <c r="C19" s="45"/>
      <c r="E19" s="400" t="s">
        <v>479</v>
      </c>
      <c r="F19" s="399" t="s">
        <v>480</v>
      </c>
      <c r="G19" s="401" t="s">
        <v>481</v>
      </c>
      <c r="H19" s="402" t="s">
        <v>482</v>
      </c>
      <c r="I19" s="402" t="s">
        <v>483</v>
      </c>
      <c r="J19" s="402" t="s">
        <v>484</v>
      </c>
      <c r="K19" s="402" t="s">
        <v>485</v>
      </c>
      <c r="L19" s="419"/>
      <c r="M19" s="300"/>
    </row>
    <row r="20" spans="1:15" ht="15" customHeight="1" thickTop="1" x14ac:dyDescent="0.4">
      <c r="A20" s="44" t="s">
        <v>486</v>
      </c>
      <c r="B20" s="45"/>
      <c r="C20" s="45"/>
      <c r="E20" s="409">
        <v>2025</v>
      </c>
      <c r="F20" s="409">
        <v>1</v>
      </c>
      <c r="G20" s="410">
        <f>SUMPRODUCT((MONTH(Demographics!$D$7:$D$770)=F20)*(YEAR(Demographics!$D$7:$D$770)=$E$20))</f>
        <v>0</v>
      </c>
      <c r="H20" s="411">
        <f>SUMPRODUCT((MONTH('Prenatal Care'!$C$7:$C$787)=F20)*(YEAR('Prenatal Care'!$C$7:$C$787)=$E$20))</f>
        <v>0</v>
      </c>
      <c r="I20" s="411">
        <f>SUMPRODUCT((MONTH('Intrapartum Care'!$F$7:$F$768)=F20)*(YEAR('Intrapartum Care'!$F$7:$F$768)=$E$20))</f>
        <v>0</v>
      </c>
      <c r="J20" s="412">
        <f>SUMPRODUCT((MONTH('Postnatal Care'!$C$7:$C$769)=F20)*(YEAR('Postnatal Care'!$C$7:$C$769)=$E$20))</f>
        <v>0</v>
      </c>
      <c r="K20" s="413">
        <f>SUMPRODUCT((MONTH('Throughout Midwifery Care'!$C$7:$C$784)=F20)*(YEAR('Throughout Midwifery Care'!C$7:$C$784)=$E$20))</f>
        <v>0</v>
      </c>
    </row>
    <row r="21" spans="1:15" ht="15" customHeight="1" x14ac:dyDescent="0.4">
      <c r="A21" s="20"/>
      <c r="B21" s="20"/>
      <c r="E21" s="403"/>
      <c r="F21" s="409">
        <v>2</v>
      </c>
      <c r="G21" s="410">
        <f>SUMPRODUCT((MONTH(Demographics!$D$7:$D$770)=F21)*(YEAR(Demographics!$D$7:$D$770)=$E$20))</f>
        <v>0</v>
      </c>
      <c r="H21" s="411">
        <f>SUMPRODUCT((MONTH('Prenatal Care'!$C$7:$C$787)=F21)*(YEAR('Prenatal Care'!$C$7:$C$787)=$E$20))</f>
        <v>0</v>
      </c>
      <c r="I21" s="411">
        <f>SUMPRODUCT((MONTH('Intrapartum Care'!$F$7:$F$768)=F21)*(YEAR('Intrapartum Care'!$F$7:$F$768)=$E$20))</f>
        <v>0</v>
      </c>
      <c r="J21" s="414">
        <f>SUMPRODUCT((MONTH('Postnatal Care'!$C$7:$C$769)=F21)*(YEAR('Postnatal Care'!$C$7:$C$769)=$E$20))</f>
        <v>0</v>
      </c>
      <c r="K21" s="413">
        <f>SUMPRODUCT((MONTH('Throughout Midwifery Care'!$C$7:$C$784)=F21)*(YEAR('Throughout Midwifery Care'!C$7:$C$784)=$E$20))</f>
        <v>0</v>
      </c>
    </row>
    <row r="22" spans="1:15" ht="15" customHeight="1" x14ac:dyDescent="0.4">
      <c r="A22" s="43" t="s">
        <v>487</v>
      </c>
      <c r="B22" s="20"/>
      <c r="E22" s="403"/>
      <c r="F22" s="409">
        <v>3</v>
      </c>
      <c r="G22" s="410">
        <f>SUMPRODUCT((MONTH(Demographics!$D$7:$D$770)=F22)*(YEAR(Demographics!$D$7:$D$770)=$E$20))</f>
        <v>0</v>
      </c>
      <c r="H22" s="411">
        <f>SUMPRODUCT((MONTH('Prenatal Care'!$C$7:$C$787)=F22)*(YEAR('Prenatal Care'!$C$7:$C$787)=$E$20))</f>
        <v>0</v>
      </c>
      <c r="I22" s="411">
        <f>SUMPRODUCT((MONTH('Intrapartum Care'!$F$7:$F$768)=F22)*(YEAR('Intrapartum Care'!$F$7:$F$768)=$E$20))</f>
        <v>0</v>
      </c>
      <c r="J22" s="414">
        <f>SUMPRODUCT((MONTH('Postnatal Care'!$C$7:$C$769)=F22)*(YEAR('Postnatal Care'!$C$7:$C$769)=$E$20))</f>
        <v>0</v>
      </c>
      <c r="K22" s="413">
        <f>SUMPRODUCT((MONTH('Throughout Midwifery Care'!$C$7:$C$784)=F22)*(YEAR('Throughout Midwifery Care'!C$7:$C$784)=$E$20))</f>
        <v>0</v>
      </c>
    </row>
    <row r="23" spans="1:15" ht="15" customHeight="1" thickBot="1" x14ac:dyDescent="0.45">
      <c r="A23" s="44" t="s">
        <v>488</v>
      </c>
      <c r="B23" s="45"/>
      <c r="E23" s="403"/>
      <c r="F23" s="409">
        <v>4</v>
      </c>
      <c r="G23" s="405">
        <f>SUMPRODUCT((MONTH(Demographics!$D$7:$D$770)=F23)*(YEAR(Demographics!$D$7:$D$770)=$E$20))</f>
        <v>0</v>
      </c>
      <c r="H23" s="406">
        <f>SUMPRODUCT((MONTH('Prenatal Care'!$C$7:$C$787)=F23)*(YEAR('Prenatal Care'!$C$7:$C$787)=$E$20))</f>
        <v>0</v>
      </c>
      <c r="I23" s="406">
        <f>SUMPRODUCT((MONTH('Intrapartum Care'!$F$7:$F$768)=F23)*(YEAR('Intrapartum Care'!$F$7:$F$768)=$E$20))</f>
        <v>0</v>
      </c>
      <c r="J23" s="407">
        <f>SUMPRODUCT((MONTH('Postnatal Care'!$C$7:$C$769)=F23)*(YEAR('Postnatal Care'!$C$7:$C$769)=$E$20))</f>
        <v>0</v>
      </c>
      <c r="K23" s="408">
        <f>SUMPRODUCT((MONTH('Throughout Midwifery Care'!$C$7:$C$784)=F23)*(YEAR('Throughout Midwifery Care'!C$7:$C$784)=$E$20))</f>
        <v>0</v>
      </c>
      <c r="N23" s="417" t="s">
        <v>489</v>
      </c>
      <c r="O23" s="416"/>
    </row>
    <row r="24" spans="1:15" ht="15" customHeight="1" x14ac:dyDescent="0.4">
      <c r="A24" s="44" t="s">
        <v>490</v>
      </c>
      <c r="B24" s="45"/>
      <c r="E24" s="403"/>
      <c r="F24" s="409">
        <v>5</v>
      </c>
      <c r="G24" s="405">
        <f>SUMPRODUCT((MONTH(Demographics!$D$7:$D$770)=F24)*(YEAR(Demographics!$D$7:$D$770)=$E$20))</f>
        <v>0</v>
      </c>
      <c r="H24" s="406">
        <f>SUMPRODUCT((MONTH('Prenatal Care'!$C$7:$C$787)=F24)*(YEAR('Prenatal Care'!$C$7:$C$787)=$E$20))</f>
        <v>0</v>
      </c>
      <c r="I24" s="406">
        <f>SUMPRODUCT((MONTH('Intrapartum Care'!$F$7:$F$768)=F24)*(YEAR('Intrapartum Care'!$F$7:$F$768)=$E$20))</f>
        <v>0</v>
      </c>
      <c r="J24" s="407">
        <f>SUMPRODUCT((MONTH('Postnatal Care'!$C$7:$C$769)=F24)*(YEAR('Postnatal Care'!$C$7:$C$769)=$E$20))</f>
        <v>0</v>
      </c>
      <c r="K24" s="408">
        <f>SUMPRODUCT((MONTH('Throughout Midwifery Care'!$C$7:$C$784)=F24)*(YEAR('Throughout Midwifery Care'!C$7:$C$784)=$E$20))</f>
        <v>0</v>
      </c>
      <c r="N24" s="39" t="s">
        <v>491</v>
      </c>
    </row>
    <row r="25" spans="1:15" ht="15" customHeight="1" x14ac:dyDescent="0.4">
      <c r="A25" s="44" t="s">
        <v>492</v>
      </c>
      <c r="B25" s="45"/>
      <c r="E25" s="403"/>
      <c r="F25" s="409">
        <v>6</v>
      </c>
      <c r="G25" s="405">
        <f>SUMPRODUCT((MONTH(Demographics!$D$7:$D$770)=F25)*(YEAR(Demographics!$D$7:$D$770)=$E$20))</f>
        <v>0</v>
      </c>
      <c r="H25" s="406">
        <f>SUMPRODUCT((MONTH('Prenatal Care'!$C$7:$C$787)=F25)*(YEAR('Prenatal Care'!$C$7:$C$787)=$E$20))</f>
        <v>0</v>
      </c>
      <c r="I25" s="406">
        <f>SUMPRODUCT((MONTH('Intrapartum Care'!$F$7:$F$768)=F25)*(YEAR('Intrapartum Care'!$F$7:$F$768)=$E$20))</f>
        <v>0</v>
      </c>
      <c r="J25" s="407">
        <f>SUMPRODUCT((MONTH('Postnatal Care'!$C$7:$C$769)=F25)*(YEAR('Postnatal Care'!$C$7:$C$769)=$E$20))</f>
        <v>0</v>
      </c>
      <c r="K25" s="408">
        <f>SUMPRODUCT((MONTH('Throughout Midwifery Care'!$C$7:$C$784)=F25)*(YEAR('Throughout Midwifery Care'!C$7:$C$784)=$E$20))</f>
        <v>0</v>
      </c>
      <c r="N25" s="415" t="s">
        <v>493</v>
      </c>
    </row>
    <row r="26" spans="1:15" ht="15" customHeight="1" x14ac:dyDescent="0.4">
      <c r="A26" s="44" t="s">
        <v>494</v>
      </c>
      <c r="B26" s="45"/>
      <c r="E26" s="403"/>
      <c r="F26" s="409">
        <v>7</v>
      </c>
      <c r="G26" s="405">
        <f>SUMPRODUCT((MONTH(Demographics!$D$7:$D$770)=F26)*(YEAR(Demographics!$D$7:$D$770)=$E$20))</f>
        <v>0</v>
      </c>
      <c r="H26" s="406">
        <f>SUMPRODUCT((MONTH('Prenatal Care'!$C$7:$C$787)=F26)*(YEAR('Prenatal Care'!$C$7:$C$787)=$E$20))</f>
        <v>0</v>
      </c>
      <c r="I26" s="406">
        <f>SUMPRODUCT((MONTH('Intrapartum Care'!$F$7:$F$768)=F26)*(YEAR('Intrapartum Care'!$F$7:$F$768)=$E$20))</f>
        <v>0</v>
      </c>
      <c r="J26" s="407">
        <f>SUMPRODUCT((MONTH('Postnatal Care'!$C$7:$C$769)=F26)*(YEAR('Postnatal Care'!$C$7:$C$769)=$E$20))</f>
        <v>0</v>
      </c>
      <c r="K26" s="408">
        <f>SUMPRODUCT((MONTH('Throughout Midwifery Care'!$C$7:$C$784)=F26)*(YEAR('Throughout Midwifery Care'!C$7:$C$784)=$E$20))</f>
        <v>0</v>
      </c>
    </row>
    <row r="27" spans="1:15" ht="15" customHeight="1" x14ac:dyDescent="0.4">
      <c r="A27" s="44" t="s">
        <v>495</v>
      </c>
      <c r="B27" s="45"/>
      <c r="E27" s="403"/>
      <c r="F27" s="409">
        <v>8</v>
      </c>
      <c r="G27" s="405">
        <f>SUMPRODUCT((MONTH(Demographics!$D$7:$D$770)=F27)*(YEAR(Demographics!$D$7:$D$770)=$E$20))</f>
        <v>0</v>
      </c>
      <c r="H27" s="406">
        <f>SUMPRODUCT((MONTH('Prenatal Care'!$C$7:$C$787)=F27)*(YEAR('Prenatal Care'!$C$7:$C$787)=$E$20))</f>
        <v>0</v>
      </c>
      <c r="I27" s="406">
        <f>SUMPRODUCT((MONTH('Intrapartum Care'!$F$7:$F$768)=F27)*(YEAR('Intrapartum Care'!$F$7:$F$768)=$E$20))</f>
        <v>0</v>
      </c>
      <c r="J27" s="407">
        <f>SUMPRODUCT((MONTH('Postnatal Care'!$C$7:$C$769)=F27)*(YEAR('Postnatal Care'!$C$7:$C$769)=$E$20))</f>
        <v>0</v>
      </c>
      <c r="K27" s="408">
        <f>SUMPRODUCT((MONTH('Throughout Midwifery Care'!$C$7:$C$784)=F27)*(YEAR('Throughout Midwifery Care'!C$7:$C$784)=$E$20))</f>
        <v>0</v>
      </c>
    </row>
    <row r="28" spans="1:15" ht="15" customHeight="1" x14ac:dyDescent="0.4">
      <c r="A28" s="20"/>
      <c r="B28" s="20"/>
      <c r="E28" s="403"/>
      <c r="F28" s="409">
        <v>9</v>
      </c>
      <c r="G28" s="405">
        <f>SUMPRODUCT((MONTH(Demographics!$D$7:$D$770)=F28)*(YEAR(Demographics!$D$7:$D$770)=$E$20))</f>
        <v>0</v>
      </c>
      <c r="H28" s="406">
        <f>SUMPRODUCT((MONTH('Prenatal Care'!$C$7:$C$787)=F28)*(YEAR('Prenatal Care'!$C$7:$C$787)=$E$20))</f>
        <v>0</v>
      </c>
      <c r="I28" s="406">
        <f>SUMPRODUCT((MONTH('Intrapartum Care'!$F$7:$F$768)=F28)*(YEAR('Intrapartum Care'!$F$7:$F$768)=$E$20))</f>
        <v>0</v>
      </c>
      <c r="J28" s="407">
        <f>SUMPRODUCT((MONTH('Postnatal Care'!$C$7:$C$769)=F28)*(YEAR('Postnatal Care'!$C$7:$C$769)=$E$20))</f>
        <v>0</v>
      </c>
      <c r="K28" s="408">
        <f>SUMPRODUCT((MONTH('Throughout Midwifery Care'!$C$7:$C$784)=F28)*(YEAR('Throughout Midwifery Care'!C$7:$C$784)=$E$20))</f>
        <v>0</v>
      </c>
    </row>
    <row r="29" spans="1:15" ht="15" customHeight="1" x14ac:dyDescent="0.4">
      <c r="A29" s="20"/>
      <c r="B29" s="20"/>
      <c r="E29" s="403"/>
      <c r="F29" s="409">
        <v>10</v>
      </c>
      <c r="G29" s="405">
        <f>SUMPRODUCT((MONTH(Demographics!$D$7:$D$770)=F29)*(YEAR(Demographics!$D$7:$D$770)=$E$20))</f>
        <v>0</v>
      </c>
      <c r="H29" s="406">
        <f>SUMPRODUCT((MONTH('Prenatal Care'!$C$7:$C$787)=F29)*(YEAR('Prenatal Care'!$C$7:$C$787)=$E$20))</f>
        <v>0</v>
      </c>
      <c r="I29" s="406">
        <f>SUMPRODUCT((MONTH('Intrapartum Care'!$F$7:$F$768)=F29)*(YEAR('Intrapartum Care'!$F$7:$F$768)=$E$20))</f>
        <v>0</v>
      </c>
      <c r="J29" s="407">
        <f>SUMPRODUCT((MONTH('Postnatal Care'!$C$7:$C$769)=F29)*(YEAR('Postnatal Care'!$C$7:$C$769)=$E$20))</f>
        <v>0</v>
      </c>
      <c r="K29" s="408">
        <f>SUMPRODUCT((MONTH('Throughout Midwifery Care'!$C$7:$C$784)=F29)*(YEAR('Throughout Midwifery Care'!C$7:$C$784)=$E$20))</f>
        <v>0</v>
      </c>
    </row>
    <row r="30" spans="1:15" ht="15" customHeight="1" x14ac:dyDescent="0.4">
      <c r="A30" s="22" t="s">
        <v>496</v>
      </c>
      <c r="B30" s="23" t="s">
        <v>497</v>
      </c>
      <c r="E30" s="403"/>
      <c r="F30" s="409">
        <v>11</v>
      </c>
      <c r="G30" s="405">
        <f>SUMPRODUCT((MONTH(Demographics!$D$7:$D$770)=F30)*(YEAR(Demographics!$D$7:$D$770)=$E$20))</f>
        <v>0</v>
      </c>
      <c r="H30" s="406">
        <f>SUMPRODUCT((MONTH('Prenatal Care'!$C$7:$C$787)=F30)*(YEAR('Prenatal Care'!$C$7:$C$787)=$E$20))</f>
        <v>0</v>
      </c>
      <c r="I30" s="406">
        <f>SUMPRODUCT((MONTH('Intrapartum Care'!$F$7:$F$768)=F30)*(YEAR('Intrapartum Care'!$F$7:$F$768)=$E$20))</f>
        <v>0</v>
      </c>
      <c r="J30" s="407">
        <f>SUMPRODUCT((MONTH('Postnatal Care'!$C$7:$C$769)=F30)*(YEAR('Postnatal Care'!$C$7:$C$769)=$E$20))</f>
        <v>0</v>
      </c>
      <c r="K30" s="408">
        <f>SUMPRODUCT((MONTH('Throughout Midwifery Care'!$C$7:$C$784)=F30)*(YEAR('Throughout Midwifery Care'!C$7:$C$784)=$E$20))</f>
        <v>0</v>
      </c>
    </row>
    <row r="31" spans="1:15" ht="15" customHeight="1" thickBot="1" x14ac:dyDescent="0.45">
      <c r="A31" s="22" t="s">
        <v>498</v>
      </c>
      <c r="B31" s="428">
        <v>45681</v>
      </c>
      <c r="E31" s="403"/>
      <c r="F31" s="409">
        <v>12</v>
      </c>
      <c r="G31" s="405">
        <f>SUMPRODUCT((MONTH(Demographics!$D$7:$D$770)=F31)*(YEAR(Demographics!$D$7:$D$770)=$E$20))</f>
        <v>0</v>
      </c>
      <c r="H31" s="406">
        <f>SUMPRODUCT((MONTH('Prenatal Care'!$C$7:$C$787)=F31)*(YEAR('Prenatal Care'!$C$7:$C$787)=$E$20))</f>
        <v>0</v>
      </c>
      <c r="I31" s="406">
        <f>SUMPRODUCT((MONTH('Intrapartum Care'!$F$7:$F$768)=F31)*(YEAR('Intrapartum Care'!$F$7:$F$768)=$E$20))</f>
        <v>0</v>
      </c>
      <c r="J31" s="407">
        <f>SUMPRODUCT((MONTH('Postnatal Care'!$C$7:$C$769)=F31)*(YEAR('Postnatal Care'!$C$7:$C$769)=$E$20))</f>
        <v>0</v>
      </c>
      <c r="K31" s="408">
        <f>SUMPRODUCT((MONTH('Throughout Midwifery Care'!$C$7:$C$784)=F31)*(YEAR('Throughout Midwifery Care'!C$7:$C$784)=$E$20))</f>
        <v>0</v>
      </c>
    </row>
    <row r="32" spans="1:15" ht="31.95" customHeight="1" thickBot="1" x14ac:dyDescent="0.45">
      <c r="A32" s="24"/>
      <c r="B32" s="20"/>
      <c r="E32" s="403"/>
      <c r="F32" s="423" t="s">
        <v>499</v>
      </c>
      <c r="G32" s="420">
        <f>SUM(G20:G31)</f>
        <v>0</v>
      </c>
      <c r="H32" s="421">
        <f t="shared" ref="H32:K32" si="0">SUM(H20:H31)</f>
        <v>0</v>
      </c>
      <c r="I32" s="421">
        <f t="shared" si="0"/>
        <v>0</v>
      </c>
      <c r="J32" s="422">
        <f t="shared" si="0"/>
        <v>0</v>
      </c>
      <c r="K32" s="422">
        <f t="shared" si="0"/>
        <v>0</v>
      </c>
    </row>
    <row r="33" spans="1:9" ht="15" x14ac:dyDescent="0.3">
      <c r="A33" s="25" t="s">
        <v>500</v>
      </c>
      <c r="B33" s="20"/>
      <c r="H33" s="21"/>
      <c r="I33" s="21"/>
    </row>
    <row r="34" spans="1:9" ht="14.4" x14ac:dyDescent="0.3">
      <c r="A34" s="11"/>
      <c r="F34" s="404" t="s">
        <v>501</v>
      </c>
    </row>
  </sheetData>
  <sheetProtection selectLockedCells="1"/>
  <mergeCells count="4">
    <mergeCell ref="D15:G15"/>
    <mergeCell ref="M2:M3"/>
    <mergeCell ref="L2:L3"/>
    <mergeCell ref="G18:K18"/>
  </mergeCells>
  <dataValidations count="2">
    <dataValidation type="list" allowBlank="1" showInputMessage="1" showErrorMessage="1" sqref="B3" xr:uid="{B2C6B9C9-5FAC-4C37-A09A-38AE87AE1269}">
      <formula1>Poles</formula1>
    </dataValidation>
    <dataValidation type="list" allowBlank="1" showInputMessage="1" showErrorMessage="1" sqref="B2" xr:uid="{61DC57B9-A57E-411E-88BB-DF56845920D3}">
      <formula1>Program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0AC1-4E78-494D-B370-716DDC1F6C12}">
  <sheetPr codeName="Sheet1">
    <tabColor rgb="FFFFFF00"/>
  </sheetPr>
  <dimension ref="A1"/>
  <sheetViews>
    <sheetView workbookViewId="0">
      <selection activeCell="I28" sqref="I2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A8298-5F54-4FF0-A4E9-63997659528B}">
  <sheetPr codeName="Sheet8">
    <tabColor rgb="FFFFFF00"/>
  </sheetPr>
  <dimension ref="A1:I29"/>
  <sheetViews>
    <sheetView workbookViewId="0">
      <selection activeCell="F23" sqref="F23"/>
    </sheetView>
  </sheetViews>
  <sheetFormatPr defaultRowHeight="14.4" x14ac:dyDescent="0.3"/>
  <cols>
    <col min="1" max="1" width="27.33203125" customWidth="1"/>
  </cols>
  <sheetData>
    <row r="1" spans="1:9" ht="18" x14ac:dyDescent="0.35">
      <c r="A1" s="103" t="s">
        <v>502</v>
      </c>
    </row>
    <row r="2" spans="1:9" ht="18" x14ac:dyDescent="0.35">
      <c r="A2" s="103"/>
    </row>
    <row r="3" spans="1:9" x14ac:dyDescent="0.3">
      <c r="A3" s="104" t="s">
        <v>503</v>
      </c>
      <c r="E3" s="105" t="s">
        <v>504</v>
      </c>
    </row>
    <row r="4" spans="1:9" x14ac:dyDescent="0.3">
      <c r="A4" t="s">
        <v>505</v>
      </c>
      <c r="E4" t="s">
        <v>506</v>
      </c>
    </row>
    <row r="5" spans="1:9" x14ac:dyDescent="0.3">
      <c r="A5" t="s">
        <v>507</v>
      </c>
      <c r="E5" t="s">
        <v>508</v>
      </c>
    </row>
    <row r="6" spans="1:9" x14ac:dyDescent="0.3">
      <c r="A6" t="s">
        <v>509</v>
      </c>
      <c r="E6" t="s">
        <v>510</v>
      </c>
    </row>
    <row r="7" spans="1:9" x14ac:dyDescent="0.3">
      <c r="A7" t="s">
        <v>511</v>
      </c>
      <c r="E7" t="s">
        <v>512</v>
      </c>
    </row>
    <row r="8" spans="1:9" x14ac:dyDescent="0.3">
      <c r="A8" t="s">
        <v>513</v>
      </c>
      <c r="E8" t="s">
        <v>514</v>
      </c>
    </row>
    <row r="9" spans="1:9" x14ac:dyDescent="0.3">
      <c r="A9" t="s">
        <v>515</v>
      </c>
      <c r="E9" t="s">
        <v>516</v>
      </c>
    </row>
    <row r="10" spans="1:9" x14ac:dyDescent="0.3">
      <c r="A10" t="s">
        <v>517</v>
      </c>
    </row>
    <row r="13" spans="1:9" x14ac:dyDescent="0.3">
      <c r="I13" s="104" t="s">
        <v>518</v>
      </c>
    </row>
    <row r="14" spans="1:9" x14ac:dyDescent="0.3">
      <c r="I14" t="s">
        <v>519</v>
      </c>
    </row>
    <row r="15" spans="1:9" x14ac:dyDescent="0.3">
      <c r="A15" s="104" t="s">
        <v>520</v>
      </c>
      <c r="I15" t="s">
        <v>521</v>
      </c>
    </row>
    <row r="16" spans="1:9" x14ac:dyDescent="0.3">
      <c r="A16" t="s">
        <v>522</v>
      </c>
      <c r="I16" t="s">
        <v>523</v>
      </c>
    </row>
    <row r="17" spans="1:9" x14ac:dyDescent="0.3">
      <c r="A17" t="s">
        <v>524</v>
      </c>
      <c r="I17" t="s">
        <v>525</v>
      </c>
    </row>
    <row r="18" spans="1:9" x14ac:dyDescent="0.3">
      <c r="A18" t="s">
        <v>526</v>
      </c>
      <c r="I18" t="s">
        <v>527</v>
      </c>
    </row>
    <row r="19" spans="1:9" x14ac:dyDescent="0.3">
      <c r="A19" t="s">
        <v>528</v>
      </c>
    </row>
    <row r="20" spans="1:9" x14ac:dyDescent="0.3">
      <c r="A20" t="s">
        <v>529</v>
      </c>
    </row>
    <row r="21" spans="1:9" x14ac:dyDescent="0.3">
      <c r="A21" t="s">
        <v>530</v>
      </c>
    </row>
    <row r="24" spans="1:9" x14ac:dyDescent="0.3">
      <c r="H24" s="105" t="s">
        <v>531</v>
      </c>
    </row>
    <row r="25" spans="1:9" x14ac:dyDescent="0.3">
      <c r="H25" t="s">
        <v>532</v>
      </c>
    </row>
    <row r="26" spans="1:9" x14ac:dyDescent="0.3">
      <c r="H26" t="s">
        <v>533</v>
      </c>
    </row>
    <row r="28" spans="1:9" x14ac:dyDescent="0.3">
      <c r="A28" t="s">
        <v>534</v>
      </c>
    </row>
    <row r="29" spans="1:9" x14ac:dyDescent="0.3">
      <c r="A29" t="s">
        <v>535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3" tint="0.79998168889431442"/>
  </sheetPr>
  <dimension ref="A2:Z804"/>
  <sheetViews>
    <sheetView zoomScaleNormal="100" workbookViewId="0">
      <selection activeCell="G16" sqref="G16"/>
    </sheetView>
  </sheetViews>
  <sheetFormatPr defaultColWidth="11.5546875" defaultRowHeight="14.4" x14ac:dyDescent="0.3"/>
  <cols>
    <col min="1" max="1" width="6.6640625" style="47" bestFit="1" customWidth="1"/>
    <col min="2" max="2" width="11.109375" bestFit="1" customWidth="1"/>
    <col min="3" max="3" width="11.109375" customWidth="1"/>
    <col min="4" max="4" width="16.44140625" style="49" customWidth="1"/>
    <col min="5" max="5" width="7.5546875" bestFit="1" customWidth="1"/>
    <col min="6" max="6" width="16.44140625" bestFit="1" customWidth="1"/>
    <col min="7" max="7" width="20.33203125" bestFit="1" customWidth="1"/>
    <col min="8" max="8" width="14.6640625" bestFit="1" customWidth="1"/>
    <col min="9" max="9" width="26" bestFit="1" customWidth="1"/>
    <col min="10" max="10" width="13.33203125" style="49" customWidth="1"/>
    <col min="11" max="11" width="13.109375" customWidth="1"/>
    <col min="12" max="12" width="40.109375" customWidth="1"/>
    <col min="13" max="13" width="16.44140625" customWidth="1"/>
    <col min="14" max="14" width="25.6640625" bestFit="1" customWidth="1"/>
  </cols>
  <sheetData>
    <row r="2" spans="1:26" ht="15" customHeight="1" x14ac:dyDescent="0.3">
      <c r="C2" s="209"/>
      <c r="D2" s="209"/>
      <c r="E2" s="581" t="s">
        <v>481</v>
      </c>
      <c r="F2" s="581"/>
      <c r="G2" s="581"/>
      <c r="H2" s="581"/>
      <c r="I2" s="581"/>
      <c r="J2" s="581"/>
      <c r="K2" s="581"/>
      <c r="L2" s="521"/>
      <c r="M2" s="209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</row>
    <row r="3" spans="1:26" s="7" customFormat="1" ht="15" customHeight="1" x14ac:dyDescent="0.3">
      <c r="A3" s="356"/>
      <c r="B3" s="106"/>
      <c r="C3" s="106"/>
      <c r="D3" s="106"/>
      <c r="E3" s="359"/>
      <c r="F3" s="359"/>
      <c r="G3" s="359"/>
      <c r="H3" s="433"/>
      <c r="I3" s="434"/>
      <c r="J3" s="106"/>
      <c r="K3" s="359"/>
      <c r="L3" s="359"/>
      <c r="M3" s="359"/>
      <c r="N3" s="359"/>
      <c r="O3" s="580" t="s">
        <v>471</v>
      </c>
      <c r="P3" s="580"/>
      <c r="Q3" s="580"/>
      <c r="R3" s="580"/>
      <c r="S3" s="580"/>
    </row>
    <row r="4" spans="1:26" s="40" customFormat="1" ht="96" customHeight="1" x14ac:dyDescent="0.35">
      <c r="A4" s="357" t="s">
        <v>536</v>
      </c>
      <c r="B4" s="541" t="s">
        <v>537</v>
      </c>
      <c r="C4" s="337" t="s">
        <v>538</v>
      </c>
      <c r="D4" s="545" t="s">
        <v>539</v>
      </c>
      <c r="E4" s="337" t="s">
        <v>540</v>
      </c>
      <c r="F4" s="337" t="s">
        <v>541</v>
      </c>
      <c r="G4" s="337" t="s">
        <v>18</v>
      </c>
      <c r="H4" s="355" t="s">
        <v>542</v>
      </c>
      <c r="I4" s="337" t="s">
        <v>543</v>
      </c>
      <c r="J4" s="355" t="s">
        <v>544</v>
      </c>
      <c r="K4" s="337" t="s">
        <v>545</v>
      </c>
      <c r="L4" s="337" t="s">
        <v>546</v>
      </c>
      <c r="M4" s="355" t="s">
        <v>547</v>
      </c>
      <c r="N4" s="337" t="s">
        <v>548</v>
      </c>
      <c r="O4" s="39"/>
      <c r="P4" s="39"/>
      <c r="Q4" s="39"/>
    </row>
    <row r="5" spans="1:26" s="37" customFormat="1" ht="15" hidden="1" customHeight="1" x14ac:dyDescent="0.25">
      <c r="A5" s="77"/>
      <c r="B5" s="77"/>
      <c r="C5" s="431"/>
      <c r="D5" s="78"/>
      <c r="E5" s="558" t="str">
        <f t="shared" ref="E5:E6" si="0">DATEDIF(C5,D5,"Y")&amp;""</f>
        <v>0</v>
      </c>
      <c r="F5" s="48" t="s">
        <v>194</v>
      </c>
      <c r="G5" s="48"/>
      <c r="H5" s="48"/>
      <c r="I5" s="48"/>
      <c r="J5" s="129"/>
      <c r="K5" s="79" t="str">
        <f t="shared" ref="K5:K6" si="1">IF(OR($J5="Never reached", $J5="N/A"), "N/A","")</f>
        <v/>
      </c>
      <c r="L5" s="111" t="str">
        <f t="shared" ref="L5:N6" si="2">IF(OR($J5="Never reached", $K5="No"), "N/A","")</f>
        <v/>
      </c>
      <c r="M5" s="111" t="str">
        <f t="shared" si="2"/>
        <v/>
      </c>
      <c r="N5" s="111" t="str">
        <f t="shared" si="2"/>
        <v/>
      </c>
    </row>
    <row r="6" spans="1:26" s="37" customFormat="1" ht="15" hidden="1" customHeight="1" x14ac:dyDescent="0.25">
      <c r="A6" s="77"/>
      <c r="B6" s="41" t="str">
        <f>IF(ISERROR(VLOOKUP(A6,#REF!,2,0)),"",VLOOKUP(A6,#REF!,2,0))</f>
        <v/>
      </c>
      <c r="C6" s="432"/>
      <c r="D6" s="78"/>
      <c r="E6" s="558" t="str">
        <f t="shared" si="0"/>
        <v>0</v>
      </c>
      <c r="F6" s="48" t="s">
        <v>194</v>
      </c>
      <c r="G6" s="48"/>
      <c r="H6" s="48"/>
      <c r="I6" s="48"/>
      <c r="J6" s="129"/>
      <c r="K6" s="79" t="str">
        <f t="shared" si="1"/>
        <v/>
      </c>
      <c r="L6" s="111" t="str">
        <f t="shared" si="2"/>
        <v/>
      </c>
      <c r="M6" s="111" t="str">
        <f t="shared" si="2"/>
        <v/>
      </c>
      <c r="N6" s="111" t="str">
        <f t="shared" si="2"/>
        <v/>
      </c>
    </row>
    <row r="7" spans="1:26" s="37" customFormat="1" ht="13.2" x14ac:dyDescent="0.25">
      <c r="A7" s="77" t="s">
        <v>0</v>
      </c>
      <c r="B7" s="77"/>
      <c r="C7" s="431"/>
      <c r="D7" s="78"/>
      <c r="E7" s="558" t="str">
        <f t="shared" ref="E7:E9" si="3">DATEDIF(C7,D7,"Y")&amp;""</f>
        <v>0</v>
      </c>
      <c r="F7" s="48" t="s">
        <v>194</v>
      </c>
      <c r="G7" s="48"/>
      <c r="H7" s="48"/>
      <c r="I7" s="48"/>
      <c r="J7" s="129"/>
      <c r="K7" s="79" t="str">
        <f t="shared" ref="K7:K9" si="4">IF(OR($J7="Never reached", $J7="N/A"), "N/A","")</f>
        <v/>
      </c>
      <c r="L7" s="111" t="str">
        <f t="shared" ref="L7:N9" si="5">IF(OR($J7="Never reached", $K7="No"), "N/A","")</f>
        <v/>
      </c>
      <c r="M7" s="111" t="str">
        <f t="shared" si="5"/>
        <v/>
      </c>
      <c r="N7" s="111" t="str">
        <f t="shared" si="5"/>
        <v/>
      </c>
    </row>
    <row r="8" spans="1:26" s="37" customFormat="1" ht="13.2" x14ac:dyDescent="0.25">
      <c r="A8" s="77" t="s">
        <v>0</v>
      </c>
      <c r="B8" s="77"/>
      <c r="C8" s="431"/>
      <c r="D8" s="78"/>
      <c r="E8" s="558" t="str">
        <f t="shared" si="3"/>
        <v>0</v>
      </c>
      <c r="F8" s="48" t="s">
        <v>194</v>
      </c>
      <c r="G8" s="48"/>
      <c r="H8" s="48"/>
      <c r="I8" s="48"/>
      <c r="J8" s="129"/>
      <c r="K8" s="79" t="str">
        <f t="shared" si="4"/>
        <v/>
      </c>
      <c r="L8" s="111" t="str">
        <f t="shared" si="5"/>
        <v/>
      </c>
      <c r="M8" s="111" t="str">
        <f t="shared" si="5"/>
        <v/>
      </c>
      <c r="N8" s="111" t="str">
        <f t="shared" si="5"/>
        <v/>
      </c>
    </row>
    <row r="9" spans="1:26" s="37" customFormat="1" ht="13.2" x14ac:dyDescent="0.25">
      <c r="A9" s="77" t="s">
        <v>0</v>
      </c>
      <c r="B9" s="77"/>
      <c r="C9" s="431"/>
      <c r="D9" s="78"/>
      <c r="E9" s="558" t="str">
        <f t="shared" si="3"/>
        <v>0</v>
      </c>
      <c r="F9" s="48" t="s">
        <v>194</v>
      </c>
      <c r="G9" s="48"/>
      <c r="H9" s="48"/>
      <c r="I9" s="48"/>
      <c r="J9" s="129"/>
      <c r="K9" s="79" t="str">
        <f t="shared" si="4"/>
        <v/>
      </c>
      <c r="L9" s="111" t="str">
        <f t="shared" si="5"/>
        <v/>
      </c>
      <c r="M9" s="111" t="str">
        <f t="shared" si="5"/>
        <v/>
      </c>
      <c r="N9" s="111" t="str">
        <f t="shared" si="5"/>
        <v/>
      </c>
    </row>
    <row r="10" spans="1:26" s="37" customFormat="1" ht="13.2" x14ac:dyDescent="0.25">
      <c r="A10" s="77"/>
      <c r="D10" s="17"/>
      <c r="J10" s="17"/>
    </row>
    <row r="11" spans="1:26" s="37" customFormat="1" ht="13.2" x14ac:dyDescent="0.25">
      <c r="A11" s="77"/>
      <c r="D11" s="17"/>
      <c r="J11" s="17"/>
    </row>
    <row r="12" spans="1:26" s="37" customFormat="1" ht="13.2" x14ac:dyDescent="0.25">
      <c r="A12" s="77"/>
      <c r="D12" s="17"/>
      <c r="J12" s="17"/>
    </row>
    <row r="13" spans="1:26" s="37" customFormat="1" ht="13.2" x14ac:dyDescent="0.25">
      <c r="A13" s="77"/>
      <c r="D13" s="17"/>
      <c r="J13" s="17"/>
    </row>
    <row r="14" spans="1:26" s="37" customFormat="1" ht="13.2" x14ac:dyDescent="0.25">
      <c r="A14" s="77"/>
      <c r="D14" s="17"/>
      <c r="J14" s="17"/>
    </row>
    <row r="15" spans="1:26" s="37" customFormat="1" ht="13.2" x14ac:dyDescent="0.25">
      <c r="A15" s="77"/>
      <c r="D15" s="17"/>
      <c r="J15" s="17"/>
    </row>
    <row r="16" spans="1:26" s="37" customFormat="1" ht="13.2" x14ac:dyDescent="0.25">
      <c r="A16" s="77"/>
      <c r="D16" s="17"/>
      <c r="J16" s="17"/>
    </row>
    <row r="17" spans="1:10" s="37" customFormat="1" ht="13.2" x14ac:dyDescent="0.25">
      <c r="A17" s="77"/>
      <c r="D17" s="17"/>
      <c r="J17" s="17"/>
    </row>
    <row r="18" spans="1:10" s="37" customFormat="1" ht="13.2" x14ac:dyDescent="0.25">
      <c r="A18" s="77"/>
      <c r="D18" s="17"/>
      <c r="J18" s="17"/>
    </row>
    <row r="19" spans="1:10" s="37" customFormat="1" ht="13.2" x14ac:dyDescent="0.25">
      <c r="A19" s="77"/>
      <c r="D19" s="17"/>
      <c r="J19" s="17"/>
    </row>
    <row r="20" spans="1:10" s="37" customFormat="1" ht="13.2" x14ac:dyDescent="0.25">
      <c r="A20" s="77"/>
      <c r="D20" s="17"/>
      <c r="J20" s="17"/>
    </row>
    <row r="21" spans="1:10" s="37" customFormat="1" ht="13.2" x14ac:dyDescent="0.25">
      <c r="A21" s="77"/>
      <c r="D21" s="17"/>
      <c r="J21" s="17"/>
    </row>
    <row r="22" spans="1:10" s="37" customFormat="1" ht="13.2" x14ac:dyDescent="0.25">
      <c r="A22" s="77"/>
      <c r="D22" s="17"/>
      <c r="J22" s="17"/>
    </row>
    <row r="23" spans="1:10" s="37" customFormat="1" ht="13.2" x14ac:dyDescent="0.25">
      <c r="A23" s="77"/>
      <c r="D23" s="17"/>
      <c r="J23" s="17"/>
    </row>
    <row r="24" spans="1:10" s="37" customFormat="1" ht="13.2" x14ac:dyDescent="0.25">
      <c r="A24" s="77"/>
      <c r="D24" s="17"/>
      <c r="J24" s="17"/>
    </row>
    <row r="25" spans="1:10" s="37" customFormat="1" ht="13.2" x14ac:dyDescent="0.25">
      <c r="A25" s="77"/>
      <c r="D25" s="17"/>
      <c r="J25" s="17"/>
    </row>
    <row r="26" spans="1:10" s="37" customFormat="1" ht="13.2" x14ac:dyDescent="0.25">
      <c r="A26" s="77"/>
      <c r="D26" s="17"/>
      <c r="J26" s="17"/>
    </row>
    <row r="27" spans="1:10" s="37" customFormat="1" ht="13.2" x14ac:dyDescent="0.25">
      <c r="A27" s="77"/>
      <c r="D27" s="17"/>
      <c r="J27" s="17"/>
    </row>
    <row r="28" spans="1:10" s="37" customFormat="1" ht="13.2" x14ac:dyDescent="0.25">
      <c r="A28" s="77"/>
      <c r="D28" s="17"/>
      <c r="J28" s="17"/>
    </row>
    <row r="29" spans="1:10" s="37" customFormat="1" ht="13.2" x14ac:dyDescent="0.25">
      <c r="A29" s="77"/>
      <c r="D29" s="17"/>
      <c r="J29" s="17"/>
    </row>
    <row r="30" spans="1:10" s="37" customFormat="1" ht="13.2" x14ac:dyDescent="0.25">
      <c r="A30" s="77"/>
      <c r="D30" s="17"/>
      <c r="J30" s="17"/>
    </row>
    <row r="31" spans="1:10" s="37" customFormat="1" ht="13.2" x14ac:dyDescent="0.25">
      <c r="A31" s="77"/>
      <c r="D31" s="17"/>
      <c r="J31" s="17"/>
    </row>
    <row r="32" spans="1:10" s="37" customFormat="1" ht="13.2" x14ac:dyDescent="0.25">
      <c r="A32" s="77"/>
      <c r="D32" s="17"/>
      <c r="J32" s="17"/>
    </row>
    <row r="33" spans="1:10" s="37" customFormat="1" ht="13.2" x14ac:dyDescent="0.25">
      <c r="A33" s="77"/>
      <c r="D33" s="17"/>
      <c r="J33" s="17"/>
    </row>
    <row r="34" spans="1:10" s="37" customFormat="1" ht="13.2" x14ac:dyDescent="0.25">
      <c r="A34" s="77"/>
      <c r="D34" s="17"/>
      <c r="J34" s="17"/>
    </row>
    <row r="35" spans="1:10" s="37" customFormat="1" ht="13.2" x14ac:dyDescent="0.25">
      <c r="A35" s="77"/>
      <c r="D35" s="17"/>
      <c r="J35" s="17"/>
    </row>
    <row r="36" spans="1:10" s="37" customFormat="1" ht="13.2" x14ac:dyDescent="0.25">
      <c r="A36" s="77"/>
      <c r="D36" s="17"/>
      <c r="J36" s="17"/>
    </row>
    <row r="37" spans="1:10" s="37" customFormat="1" ht="13.2" x14ac:dyDescent="0.25">
      <c r="A37" s="77"/>
      <c r="D37" s="17"/>
      <c r="J37" s="17"/>
    </row>
    <row r="38" spans="1:10" s="37" customFormat="1" ht="13.2" x14ac:dyDescent="0.25">
      <c r="A38" s="77"/>
      <c r="D38" s="17"/>
      <c r="J38" s="17"/>
    </row>
    <row r="39" spans="1:10" s="37" customFormat="1" ht="13.2" x14ac:dyDescent="0.25">
      <c r="A39" s="77"/>
      <c r="D39" s="17"/>
      <c r="J39" s="17"/>
    </row>
    <row r="40" spans="1:10" s="37" customFormat="1" ht="13.2" x14ac:dyDescent="0.25">
      <c r="A40" s="77"/>
      <c r="D40" s="17"/>
      <c r="J40" s="17"/>
    </row>
    <row r="41" spans="1:10" s="37" customFormat="1" ht="13.2" x14ac:dyDescent="0.25">
      <c r="A41" s="77"/>
      <c r="D41" s="17"/>
      <c r="J41" s="17"/>
    </row>
    <row r="42" spans="1:10" s="37" customFormat="1" ht="13.2" x14ac:dyDescent="0.25">
      <c r="A42" s="77"/>
      <c r="D42" s="17"/>
      <c r="J42" s="17"/>
    </row>
    <row r="43" spans="1:10" s="37" customFormat="1" ht="13.2" x14ac:dyDescent="0.25">
      <c r="A43" s="77"/>
      <c r="D43" s="17"/>
      <c r="J43" s="17"/>
    </row>
    <row r="44" spans="1:10" s="37" customFormat="1" ht="13.2" x14ac:dyDescent="0.25">
      <c r="A44" s="77"/>
      <c r="D44" s="17"/>
      <c r="J44" s="17"/>
    </row>
    <row r="45" spans="1:10" s="37" customFormat="1" ht="13.2" x14ac:dyDescent="0.25">
      <c r="A45" s="77"/>
      <c r="D45" s="17"/>
      <c r="J45" s="17"/>
    </row>
    <row r="46" spans="1:10" s="37" customFormat="1" ht="13.2" x14ac:dyDescent="0.25">
      <c r="A46" s="77"/>
      <c r="D46" s="17"/>
      <c r="J46" s="17"/>
    </row>
    <row r="47" spans="1:10" s="37" customFormat="1" ht="13.2" x14ac:dyDescent="0.25">
      <c r="A47" s="77"/>
      <c r="D47" s="17"/>
      <c r="J47" s="17"/>
    </row>
    <row r="48" spans="1:10" s="37" customFormat="1" ht="13.2" x14ac:dyDescent="0.25">
      <c r="A48" s="77"/>
      <c r="D48" s="17"/>
      <c r="J48" s="17"/>
    </row>
    <row r="49" spans="1:10" s="37" customFormat="1" ht="13.2" x14ac:dyDescent="0.25">
      <c r="A49" s="77"/>
      <c r="D49" s="17"/>
      <c r="J49" s="17"/>
    </row>
    <row r="50" spans="1:10" s="37" customFormat="1" ht="13.2" x14ac:dyDescent="0.25">
      <c r="A50" s="77"/>
      <c r="D50" s="17"/>
      <c r="J50" s="17"/>
    </row>
    <row r="51" spans="1:10" s="37" customFormat="1" ht="13.2" x14ac:dyDescent="0.25">
      <c r="A51" s="77"/>
      <c r="D51" s="17"/>
      <c r="J51" s="17"/>
    </row>
    <row r="52" spans="1:10" s="37" customFormat="1" ht="13.2" x14ac:dyDescent="0.25">
      <c r="A52" s="77"/>
      <c r="D52" s="17"/>
      <c r="J52" s="17"/>
    </row>
    <row r="53" spans="1:10" s="37" customFormat="1" ht="13.2" x14ac:dyDescent="0.25">
      <c r="A53" s="77"/>
      <c r="D53" s="17"/>
      <c r="J53" s="17"/>
    </row>
    <row r="54" spans="1:10" s="37" customFormat="1" ht="13.2" x14ac:dyDescent="0.25">
      <c r="A54" s="77"/>
      <c r="D54" s="17"/>
      <c r="J54" s="17"/>
    </row>
    <row r="55" spans="1:10" s="37" customFormat="1" ht="13.2" x14ac:dyDescent="0.25">
      <c r="A55" s="77"/>
      <c r="D55" s="17"/>
      <c r="J55" s="17"/>
    </row>
    <row r="56" spans="1:10" s="37" customFormat="1" ht="13.2" x14ac:dyDescent="0.25">
      <c r="A56" s="77"/>
      <c r="D56" s="17"/>
      <c r="J56" s="17"/>
    </row>
    <row r="57" spans="1:10" s="37" customFormat="1" ht="13.2" x14ac:dyDescent="0.25">
      <c r="A57" s="77"/>
      <c r="D57" s="17"/>
      <c r="J57" s="17"/>
    </row>
    <row r="58" spans="1:10" s="37" customFormat="1" ht="13.2" x14ac:dyDescent="0.25">
      <c r="A58" s="77"/>
      <c r="D58" s="17"/>
      <c r="J58" s="17"/>
    </row>
    <row r="59" spans="1:10" s="37" customFormat="1" ht="13.2" x14ac:dyDescent="0.25">
      <c r="A59" s="77"/>
      <c r="D59" s="17"/>
      <c r="J59" s="17"/>
    </row>
    <row r="60" spans="1:10" s="37" customFormat="1" ht="13.2" x14ac:dyDescent="0.25">
      <c r="A60" s="77"/>
      <c r="D60" s="17"/>
      <c r="J60" s="17"/>
    </row>
    <row r="61" spans="1:10" s="37" customFormat="1" ht="13.2" x14ac:dyDescent="0.25">
      <c r="A61" s="77"/>
      <c r="D61" s="17"/>
      <c r="J61" s="17"/>
    </row>
    <row r="62" spans="1:10" s="37" customFormat="1" ht="13.2" x14ac:dyDescent="0.25">
      <c r="A62" s="77"/>
      <c r="D62" s="17"/>
      <c r="J62" s="17"/>
    </row>
    <row r="63" spans="1:10" s="37" customFormat="1" ht="13.2" x14ac:dyDescent="0.25">
      <c r="A63" s="77"/>
      <c r="D63" s="17"/>
      <c r="J63" s="17"/>
    </row>
    <row r="64" spans="1:10" s="37" customFormat="1" ht="13.2" x14ac:dyDescent="0.25">
      <c r="A64" s="77"/>
      <c r="D64" s="17"/>
      <c r="J64" s="17"/>
    </row>
    <row r="65" spans="1:10" s="37" customFormat="1" ht="13.2" x14ac:dyDescent="0.25">
      <c r="A65" s="77"/>
      <c r="D65" s="17"/>
      <c r="J65" s="17"/>
    </row>
    <row r="66" spans="1:10" s="37" customFormat="1" ht="13.2" x14ac:dyDescent="0.25">
      <c r="A66" s="77"/>
      <c r="D66" s="17"/>
      <c r="J66" s="17"/>
    </row>
    <row r="67" spans="1:10" s="37" customFormat="1" ht="13.2" x14ac:dyDescent="0.25">
      <c r="A67" s="77"/>
      <c r="D67" s="17"/>
      <c r="J67" s="17"/>
    </row>
    <row r="68" spans="1:10" s="37" customFormat="1" ht="13.2" x14ac:dyDescent="0.25">
      <c r="A68" s="77"/>
      <c r="D68" s="17"/>
      <c r="J68" s="17"/>
    </row>
    <row r="69" spans="1:10" s="37" customFormat="1" ht="13.2" x14ac:dyDescent="0.25">
      <c r="A69" s="77"/>
      <c r="D69" s="17"/>
      <c r="J69" s="17"/>
    </row>
    <row r="70" spans="1:10" s="37" customFormat="1" ht="13.2" x14ac:dyDescent="0.25">
      <c r="A70" s="77"/>
      <c r="D70" s="17"/>
      <c r="J70" s="17"/>
    </row>
    <row r="71" spans="1:10" s="37" customFormat="1" ht="13.2" x14ac:dyDescent="0.25">
      <c r="A71" s="77"/>
      <c r="D71" s="17"/>
      <c r="J71" s="17"/>
    </row>
    <row r="72" spans="1:10" s="37" customFormat="1" ht="13.2" x14ac:dyDescent="0.25">
      <c r="A72" s="77"/>
      <c r="D72" s="17"/>
      <c r="J72" s="17"/>
    </row>
    <row r="73" spans="1:10" s="37" customFormat="1" ht="13.2" x14ac:dyDescent="0.25">
      <c r="A73" s="77"/>
      <c r="D73" s="17"/>
      <c r="J73" s="17"/>
    </row>
    <row r="74" spans="1:10" s="37" customFormat="1" ht="13.2" x14ac:dyDescent="0.25">
      <c r="A74" s="77"/>
      <c r="D74" s="17"/>
      <c r="J74" s="17"/>
    </row>
    <row r="75" spans="1:10" s="37" customFormat="1" ht="13.2" x14ac:dyDescent="0.25">
      <c r="A75" s="77"/>
      <c r="D75" s="17"/>
      <c r="J75" s="17"/>
    </row>
    <row r="76" spans="1:10" s="37" customFormat="1" ht="13.2" x14ac:dyDescent="0.25">
      <c r="A76" s="77"/>
      <c r="D76" s="17"/>
      <c r="J76" s="17"/>
    </row>
    <row r="77" spans="1:10" s="37" customFormat="1" ht="13.2" x14ac:dyDescent="0.25">
      <c r="A77" s="77"/>
      <c r="D77" s="17"/>
      <c r="J77" s="17"/>
    </row>
    <row r="78" spans="1:10" s="37" customFormat="1" ht="13.2" x14ac:dyDescent="0.25">
      <c r="A78" s="77"/>
      <c r="D78" s="17"/>
      <c r="J78" s="17"/>
    </row>
    <row r="79" spans="1:10" s="37" customFormat="1" ht="13.2" x14ac:dyDescent="0.25">
      <c r="A79" s="77"/>
      <c r="D79" s="17"/>
      <c r="J79" s="17"/>
    </row>
    <row r="80" spans="1:10" s="37" customFormat="1" ht="13.2" x14ac:dyDescent="0.25">
      <c r="A80" s="77"/>
      <c r="D80" s="17"/>
      <c r="J80" s="17"/>
    </row>
    <row r="81" spans="1:10" s="37" customFormat="1" ht="13.2" x14ac:dyDescent="0.25">
      <c r="A81" s="77"/>
      <c r="D81" s="17"/>
      <c r="J81" s="17"/>
    </row>
    <row r="82" spans="1:10" s="37" customFormat="1" ht="13.2" x14ac:dyDescent="0.25">
      <c r="A82" s="77"/>
      <c r="D82" s="17"/>
      <c r="J82" s="17"/>
    </row>
    <row r="83" spans="1:10" s="37" customFormat="1" ht="13.2" x14ac:dyDescent="0.25">
      <c r="A83" s="77"/>
      <c r="D83" s="17"/>
      <c r="J83" s="17"/>
    </row>
    <row r="84" spans="1:10" s="37" customFormat="1" ht="13.2" x14ac:dyDescent="0.25">
      <c r="A84" s="77"/>
      <c r="D84" s="17"/>
      <c r="J84" s="17"/>
    </row>
    <row r="85" spans="1:10" s="37" customFormat="1" ht="13.2" x14ac:dyDescent="0.25">
      <c r="A85" s="77"/>
      <c r="D85" s="17"/>
      <c r="J85" s="17"/>
    </row>
    <row r="86" spans="1:10" s="37" customFormat="1" ht="13.2" x14ac:dyDescent="0.25">
      <c r="A86" s="77"/>
      <c r="D86" s="17"/>
      <c r="J86" s="17"/>
    </row>
    <row r="87" spans="1:10" s="37" customFormat="1" ht="13.2" x14ac:dyDescent="0.25">
      <c r="A87" s="77"/>
      <c r="D87" s="17"/>
      <c r="J87" s="17"/>
    </row>
    <row r="88" spans="1:10" s="37" customFormat="1" ht="13.2" x14ac:dyDescent="0.25">
      <c r="A88" s="77"/>
      <c r="D88" s="17"/>
      <c r="J88" s="17"/>
    </row>
    <row r="89" spans="1:10" s="37" customFormat="1" ht="13.2" x14ac:dyDescent="0.25">
      <c r="A89" s="77"/>
      <c r="D89" s="17"/>
      <c r="J89" s="17"/>
    </row>
    <row r="90" spans="1:10" s="37" customFormat="1" ht="13.2" x14ac:dyDescent="0.25">
      <c r="A90" s="77"/>
      <c r="D90" s="17"/>
      <c r="J90" s="17"/>
    </row>
    <row r="91" spans="1:10" s="37" customFormat="1" ht="13.2" x14ac:dyDescent="0.25">
      <c r="A91" s="77"/>
      <c r="D91" s="17"/>
      <c r="J91" s="17"/>
    </row>
    <row r="92" spans="1:10" s="37" customFormat="1" ht="13.2" x14ac:dyDescent="0.25">
      <c r="A92" s="77"/>
      <c r="D92" s="17"/>
      <c r="J92" s="17"/>
    </row>
    <row r="93" spans="1:10" s="37" customFormat="1" ht="13.2" x14ac:dyDescent="0.25">
      <c r="A93" s="77"/>
      <c r="D93" s="17"/>
      <c r="J93" s="17"/>
    </row>
    <row r="94" spans="1:10" s="37" customFormat="1" ht="13.2" x14ac:dyDescent="0.25">
      <c r="A94" s="77"/>
      <c r="D94" s="17"/>
      <c r="J94" s="17"/>
    </row>
    <row r="95" spans="1:10" s="37" customFormat="1" ht="13.2" x14ac:dyDescent="0.25">
      <c r="A95" s="77"/>
      <c r="D95" s="17"/>
      <c r="J95" s="17"/>
    </row>
    <row r="96" spans="1:10" s="37" customFormat="1" ht="13.2" x14ac:dyDescent="0.25">
      <c r="A96" s="77"/>
      <c r="D96" s="17"/>
      <c r="J96" s="17"/>
    </row>
    <row r="97" spans="1:10" s="37" customFormat="1" ht="13.2" x14ac:dyDescent="0.25">
      <c r="A97" s="77"/>
      <c r="D97" s="17"/>
      <c r="J97" s="17"/>
    </row>
    <row r="98" spans="1:10" s="37" customFormat="1" ht="13.2" x14ac:dyDescent="0.25">
      <c r="A98" s="77"/>
      <c r="D98" s="17"/>
      <c r="J98" s="17"/>
    </row>
    <row r="99" spans="1:10" s="37" customFormat="1" ht="13.2" x14ac:dyDescent="0.25">
      <c r="A99" s="77"/>
      <c r="D99" s="17"/>
      <c r="J99" s="17"/>
    </row>
    <row r="100" spans="1:10" s="37" customFormat="1" ht="13.2" x14ac:dyDescent="0.25">
      <c r="A100" s="77"/>
      <c r="D100" s="17"/>
      <c r="J100" s="17"/>
    </row>
    <row r="101" spans="1:10" s="37" customFormat="1" ht="13.2" x14ac:dyDescent="0.25">
      <c r="A101" s="77"/>
      <c r="D101" s="17"/>
      <c r="J101" s="17"/>
    </row>
    <row r="102" spans="1:10" s="37" customFormat="1" ht="13.2" x14ac:dyDescent="0.25">
      <c r="A102" s="77"/>
      <c r="D102" s="17"/>
      <c r="J102" s="17"/>
    </row>
    <row r="103" spans="1:10" s="37" customFormat="1" ht="13.2" x14ac:dyDescent="0.25">
      <c r="A103" s="77"/>
      <c r="D103" s="17"/>
      <c r="J103" s="17"/>
    </row>
    <row r="104" spans="1:10" s="37" customFormat="1" ht="13.2" x14ac:dyDescent="0.25">
      <c r="A104" s="77"/>
      <c r="D104" s="17"/>
      <c r="J104" s="17"/>
    </row>
    <row r="105" spans="1:10" s="37" customFormat="1" ht="13.2" x14ac:dyDescent="0.25">
      <c r="A105" s="77"/>
      <c r="D105" s="17"/>
      <c r="J105" s="17"/>
    </row>
    <row r="106" spans="1:10" s="37" customFormat="1" ht="13.2" x14ac:dyDescent="0.25">
      <c r="A106" s="77"/>
      <c r="D106" s="17"/>
      <c r="J106" s="17"/>
    </row>
    <row r="107" spans="1:10" s="37" customFormat="1" ht="13.2" x14ac:dyDescent="0.25">
      <c r="A107" s="77"/>
      <c r="D107" s="17"/>
      <c r="J107" s="17"/>
    </row>
    <row r="108" spans="1:10" s="37" customFormat="1" ht="13.2" x14ac:dyDescent="0.25">
      <c r="A108" s="77"/>
      <c r="D108" s="17"/>
      <c r="J108" s="17"/>
    </row>
    <row r="109" spans="1:10" s="37" customFormat="1" ht="13.2" x14ac:dyDescent="0.25">
      <c r="A109" s="77"/>
      <c r="D109" s="17"/>
      <c r="J109" s="17"/>
    </row>
    <row r="110" spans="1:10" s="37" customFormat="1" ht="13.2" x14ac:dyDescent="0.25">
      <c r="A110" s="77"/>
      <c r="D110" s="17"/>
      <c r="J110" s="17"/>
    </row>
    <row r="111" spans="1:10" s="37" customFormat="1" ht="13.2" x14ac:dyDescent="0.25">
      <c r="A111" s="77"/>
      <c r="D111" s="17"/>
      <c r="J111" s="17"/>
    </row>
    <row r="112" spans="1:10" s="37" customFormat="1" ht="13.2" x14ac:dyDescent="0.25">
      <c r="A112" s="77"/>
      <c r="D112" s="17"/>
      <c r="J112" s="17"/>
    </row>
    <row r="113" spans="1:10" s="37" customFormat="1" ht="13.2" x14ac:dyDescent="0.25">
      <c r="A113" s="77"/>
      <c r="D113" s="17"/>
      <c r="J113" s="17"/>
    </row>
    <row r="114" spans="1:10" s="37" customFormat="1" ht="13.2" x14ac:dyDescent="0.25">
      <c r="A114" s="77"/>
      <c r="D114" s="17"/>
      <c r="J114" s="17"/>
    </row>
    <row r="115" spans="1:10" s="37" customFormat="1" ht="13.2" x14ac:dyDescent="0.25">
      <c r="A115" s="77"/>
      <c r="D115" s="17"/>
      <c r="J115" s="17"/>
    </row>
    <row r="116" spans="1:10" s="37" customFormat="1" ht="13.2" x14ac:dyDescent="0.25">
      <c r="A116" s="77"/>
      <c r="D116" s="17"/>
      <c r="J116" s="17"/>
    </row>
    <row r="117" spans="1:10" s="37" customFormat="1" ht="13.2" x14ac:dyDescent="0.25">
      <c r="A117" s="77"/>
      <c r="D117" s="17"/>
      <c r="J117" s="17"/>
    </row>
    <row r="118" spans="1:10" s="37" customFormat="1" ht="13.2" x14ac:dyDescent="0.25">
      <c r="A118" s="77"/>
      <c r="D118" s="17"/>
      <c r="J118" s="17"/>
    </row>
    <row r="119" spans="1:10" s="37" customFormat="1" ht="13.2" x14ac:dyDescent="0.25">
      <c r="A119" s="77"/>
      <c r="D119" s="17"/>
      <c r="J119" s="17"/>
    </row>
    <row r="120" spans="1:10" s="37" customFormat="1" ht="13.2" x14ac:dyDescent="0.25">
      <c r="A120" s="77"/>
      <c r="D120" s="17"/>
      <c r="J120" s="17"/>
    </row>
    <row r="121" spans="1:10" s="37" customFormat="1" ht="13.2" x14ac:dyDescent="0.25">
      <c r="A121" s="77"/>
      <c r="D121" s="17"/>
      <c r="J121" s="17"/>
    </row>
    <row r="122" spans="1:10" s="37" customFormat="1" ht="13.2" x14ac:dyDescent="0.25">
      <c r="A122" s="77"/>
      <c r="D122" s="17"/>
      <c r="J122" s="17"/>
    </row>
    <row r="123" spans="1:10" s="37" customFormat="1" ht="13.2" x14ac:dyDescent="0.25">
      <c r="A123" s="77"/>
      <c r="D123" s="17"/>
      <c r="J123" s="17"/>
    </row>
    <row r="124" spans="1:10" s="37" customFormat="1" ht="13.2" x14ac:dyDescent="0.25">
      <c r="A124" s="77"/>
      <c r="D124" s="17"/>
      <c r="J124" s="17"/>
    </row>
    <row r="125" spans="1:10" s="37" customFormat="1" ht="13.2" x14ac:dyDescent="0.25">
      <c r="A125" s="77"/>
      <c r="D125" s="17"/>
      <c r="J125" s="17"/>
    </row>
    <row r="126" spans="1:10" s="37" customFormat="1" ht="13.2" x14ac:dyDescent="0.25">
      <c r="A126" s="77"/>
      <c r="D126" s="17"/>
      <c r="J126" s="17"/>
    </row>
    <row r="127" spans="1:10" s="37" customFormat="1" ht="13.2" x14ac:dyDescent="0.25">
      <c r="A127" s="77"/>
      <c r="D127" s="17"/>
      <c r="J127" s="17"/>
    </row>
    <row r="128" spans="1:10" s="37" customFormat="1" ht="13.2" x14ac:dyDescent="0.25">
      <c r="A128" s="77"/>
      <c r="D128" s="17"/>
      <c r="J128" s="17"/>
    </row>
    <row r="129" spans="1:10" s="37" customFormat="1" ht="13.2" x14ac:dyDescent="0.25">
      <c r="A129" s="77"/>
      <c r="D129" s="17"/>
      <c r="J129" s="17"/>
    </row>
    <row r="130" spans="1:10" s="37" customFormat="1" ht="13.2" x14ac:dyDescent="0.25">
      <c r="A130" s="77"/>
      <c r="D130" s="17"/>
      <c r="J130" s="17"/>
    </row>
    <row r="131" spans="1:10" s="37" customFormat="1" ht="13.2" x14ac:dyDescent="0.25">
      <c r="A131" s="77"/>
      <c r="D131" s="17"/>
      <c r="J131" s="17"/>
    </row>
    <row r="132" spans="1:10" s="37" customFormat="1" ht="13.2" x14ac:dyDescent="0.25">
      <c r="A132" s="77"/>
      <c r="D132" s="17"/>
      <c r="J132" s="17"/>
    </row>
    <row r="133" spans="1:10" s="37" customFormat="1" ht="13.2" x14ac:dyDescent="0.25">
      <c r="A133" s="77"/>
      <c r="D133" s="17"/>
      <c r="J133" s="17"/>
    </row>
    <row r="134" spans="1:10" s="37" customFormat="1" ht="13.2" x14ac:dyDescent="0.25">
      <c r="A134" s="77"/>
      <c r="D134" s="17"/>
      <c r="J134" s="17"/>
    </row>
    <row r="135" spans="1:10" s="37" customFormat="1" ht="13.2" x14ac:dyDescent="0.25">
      <c r="A135" s="77"/>
      <c r="D135" s="17"/>
      <c r="J135" s="17"/>
    </row>
    <row r="136" spans="1:10" s="37" customFormat="1" ht="13.2" x14ac:dyDescent="0.25">
      <c r="A136" s="77"/>
      <c r="D136" s="17"/>
      <c r="J136" s="17"/>
    </row>
    <row r="137" spans="1:10" s="37" customFormat="1" ht="13.2" x14ac:dyDescent="0.25">
      <c r="A137" s="77"/>
      <c r="D137" s="17"/>
      <c r="J137" s="17"/>
    </row>
    <row r="138" spans="1:10" s="37" customFormat="1" ht="13.2" x14ac:dyDescent="0.25">
      <c r="A138" s="77"/>
      <c r="D138" s="17"/>
      <c r="J138" s="17"/>
    </row>
    <row r="139" spans="1:10" s="37" customFormat="1" ht="13.2" x14ac:dyDescent="0.25">
      <c r="A139" s="77"/>
      <c r="D139" s="17"/>
      <c r="J139" s="17"/>
    </row>
    <row r="140" spans="1:10" s="37" customFormat="1" ht="13.2" x14ac:dyDescent="0.25">
      <c r="A140" s="77"/>
      <c r="D140" s="17"/>
      <c r="J140" s="17"/>
    </row>
    <row r="141" spans="1:10" s="37" customFormat="1" ht="13.2" x14ac:dyDescent="0.25">
      <c r="A141" s="77"/>
      <c r="D141" s="17"/>
      <c r="J141" s="17"/>
    </row>
    <row r="142" spans="1:10" s="37" customFormat="1" ht="13.2" x14ac:dyDescent="0.25">
      <c r="A142" s="77"/>
      <c r="D142" s="17"/>
      <c r="J142" s="17"/>
    </row>
    <row r="143" spans="1:10" s="37" customFormat="1" ht="13.2" x14ac:dyDescent="0.25">
      <c r="A143" s="77"/>
      <c r="D143" s="17"/>
      <c r="J143" s="17"/>
    </row>
    <row r="144" spans="1:10" s="37" customFormat="1" ht="13.2" x14ac:dyDescent="0.25">
      <c r="A144" s="77"/>
      <c r="D144" s="17"/>
      <c r="J144" s="17"/>
    </row>
    <row r="145" spans="1:10" s="37" customFormat="1" ht="13.2" x14ac:dyDescent="0.25">
      <c r="A145" s="77"/>
      <c r="D145" s="17"/>
      <c r="J145" s="17"/>
    </row>
    <row r="146" spans="1:10" s="37" customFormat="1" ht="13.2" x14ac:dyDescent="0.25">
      <c r="A146" s="77"/>
      <c r="D146" s="17"/>
      <c r="J146" s="17"/>
    </row>
    <row r="147" spans="1:10" s="37" customFormat="1" ht="13.2" x14ac:dyDescent="0.25">
      <c r="A147" s="77"/>
      <c r="D147" s="17"/>
      <c r="J147" s="17"/>
    </row>
    <row r="148" spans="1:10" s="37" customFormat="1" ht="13.2" x14ac:dyDescent="0.25">
      <c r="A148" s="77"/>
      <c r="D148" s="17"/>
      <c r="J148" s="17"/>
    </row>
    <row r="149" spans="1:10" s="37" customFormat="1" ht="13.2" x14ac:dyDescent="0.25">
      <c r="A149" s="77"/>
      <c r="D149" s="17"/>
      <c r="J149" s="17"/>
    </row>
    <row r="150" spans="1:10" s="37" customFormat="1" ht="13.2" x14ac:dyDescent="0.25">
      <c r="A150" s="77"/>
      <c r="D150" s="17"/>
      <c r="J150" s="17"/>
    </row>
    <row r="151" spans="1:10" s="37" customFormat="1" ht="13.2" x14ac:dyDescent="0.25">
      <c r="A151" s="77"/>
      <c r="D151" s="17"/>
      <c r="J151" s="17"/>
    </row>
    <row r="152" spans="1:10" s="37" customFormat="1" ht="13.2" x14ac:dyDescent="0.25">
      <c r="A152" s="77"/>
      <c r="D152" s="17"/>
      <c r="J152" s="17"/>
    </row>
    <row r="153" spans="1:10" s="37" customFormat="1" ht="13.2" x14ac:dyDescent="0.25">
      <c r="A153" s="77"/>
      <c r="D153" s="17"/>
      <c r="J153" s="17"/>
    </row>
    <row r="154" spans="1:10" s="37" customFormat="1" ht="13.2" x14ac:dyDescent="0.25">
      <c r="A154" s="77"/>
      <c r="D154" s="17"/>
      <c r="J154" s="17"/>
    </row>
    <row r="155" spans="1:10" s="37" customFormat="1" ht="13.2" x14ac:dyDescent="0.25">
      <c r="A155" s="77"/>
      <c r="D155" s="17"/>
      <c r="J155" s="17"/>
    </row>
    <row r="156" spans="1:10" s="37" customFormat="1" ht="13.2" x14ac:dyDescent="0.25">
      <c r="A156" s="77"/>
      <c r="D156" s="17"/>
      <c r="J156" s="17"/>
    </row>
    <row r="157" spans="1:10" s="37" customFormat="1" ht="13.2" x14ac:dyDescent="0.25">
      <c r="A157" s="77"/>
      <c r="D157" s="17"/>
      <c r="J157" s="17"/>
    </row>
    <row r="158" spans="1:10" s="37" customFormat="1" ht="13.2" x14ac:dyDescent="0.25">
      <c r="A158" s="77"/>
      <c r="D158" s="17"/>
      <c r="J158" s="17"/>
    </row>
    <row r="159" spans="1:10" s="37" customFormat="1" ht="13.2" x14ac:dyDescent="0.25">
      <c r="A159" s="77"/>
      <c r="D159" s="17"/>
      <c r="J159" s="17"/>
    </row>
    <row r="160" spans="1:10" s="37" customFormat="1" ht="13.2" x14ac:dyDescent="0.25">
      <c r="A160" s="77"/>
      <c r="D160" s="17"/>
      <c r="J160" s="17"/>
    </row>
    <row r="161" spans="1:10" s="37" customFormat="1" ht="13.2" x14ac:dyDescent="0.25">
      <c r="A161" s="77"/>
      <c r="D161" s="17"/>
      <c r="J161" s="17"/>
    </row>
    <row r="162" spans="1:10" s="37" customFormat="1" ht="13.2" x14ac:dyDescent="0.25">
      <c r="A162" s="77"/>
      <c r="D162" s="17"/>
      <c r="J162" s="17"/>
    </row>
    <row r="163" spans="1:10" s="37" customFormat="1" ht="13.2" x14ac:dyDescent="0.25">
      <c r="A163" s="77"/>
      <c r="D163" s="17"/>
      <c r="J163" s="17"/>
    </row>
    <row r="164" spans="1:10" s="37" customFormat="1" ht="13.2" x14ac:dyDescent="0.25">
      <c r="A164" s="77"/>
      <c r="D164" s="17"/>
      <c r="J164" s="17"/>
    </row>
    <row r="165" spans="1:10" s="37" customFormat="1" ht="13.2" x14ac:dyDescent="0.25">
      <c r="A165" s="77"/>
      <c r="D165" s="17"/>
      <c r="J165" s="17"/>
    </row>
    <row r="166" spans="1:10" s="37" customFormat="1" ht="13.2" x14ac:dyDescent="0.25">
      <c r="A166" s="77"/>
      <c r="D166" s="17"/>
      <c r="J166" s="17"/>
    </row>
    <row r="167" spans="1:10" s="37" customFormat="1" ht="13.2" x14ac:dyDescent="0.25">
      <c r="A167" s="77"/>
      <c r="D167" s="17"/>
      <c r="J167" s="17"/>
    </row>
    <row r="168" spans="1:10" s="37" customFormat="1" ht="13.2" x14ac:dyDescent="0.25">
      <c r="A168" s="77"/>
      <c r="D168" s="17"/>
      <c r="J168" s="17"/>
    </row>
    <row r="169" spans="1:10" s="37" customFormat="1" ht="13.2" x14ac:dyDescent="0.25">
      <c r="A169" s="77"/>
      <c r="D169" s="17"/>
      <c r="J169" s="17"/>
    </row>
    <row r="170" spans="1:10" s="37" customFormat="1" ht="13.2" x14ac:dyDescent="0.25">
      <c r="A170" s="77"/>
      <c r="D170" s="17"/>
      <c r="J170" s="17"/>
    </row>
    <row r="171" spans="1:10" s="37" customFormat="1" ht="13.2" x14ac:dyDescent="0.25">
      <c r="A171" s="77"/>
      <c r="D171" s="17"/>
      <c r="J171" s="17"/>
    </row>
    <row r="172" spans="1:10" s="37" customFormat="1" ht="13.2" x14ac:dyDescent="0.25">
      <c r="A172" s="77"/>
      <c r="D172" s="17"/>
      <c r="J172" s="17"/>
    </row>
    <row r="173" spans="1:10" s="37" customFormat="1" ht="13.2" x14ac:dyDescent="0.25">
      <c r="A173" s="77"/>
      <c r="D173" s="17"/>
      <c r="J173" s="17"/>
    </row>
    <row r="174" spans="1:10" s="37" customFormat="1" ht="13.2" x14ac:dyDescent="0.25">
      <c r="A174" s="77"/>
      <c r="D174" s="17"/>
      <c r="J174" s="17"/>
    </row>
    <row r="175" spans="1:10" s="37" customFormat="1" ht="13.2" x14ac:dyDescent="0.25">
      <c r="A175" s="77"/>
      <c r="D175" s="17"/>
      <c r="J175" s="17"/>
    </row>
    <row r="176" spans="1:10" s="37" customFormat="1" ht="13.2" x14ac:dyDescent="0.25">
      <c r="A176" s="77"/>
      <c r="D176" s="17"/>
      <c r="J176" s="17"/>
    </row>
    <row r="177" spans="1:10" s="37" customFormat="1" ht="13.2" x14ac:dyDescent="0.25">
      <c r="A177" s="77"/>
      <c r="D177" s="17"/>
      <c r="J177" s="17"/>
    </row>
    <row r="178" spans="1:10" s="37" customFormat="1" ht="13.2" x14ac:dyDescent="0.25">
      <c r="A178" s="77"/>
      <c r="D178" s="17"/>
      <c r="J178" s="17"/>
    </row>
    <row r="179" spans="1:10" s="37" customFormat="1" ht="13.2" x14ac:dyDescent="0.25">
      <c r="A179" s="77"/>
      <c r="D179" s="17"/>
      <c r="J179" s="17"/>
    </row>
    <row r="180" spans="1:10" s="37" customFormat="1" ht="13.2" x14ac:dyDescent="0.25">
      <c r="A180" s="77"/>
      <c r="D180" s="17"/>
      <c r="J180" s="17"/>
    </row>
    <row r="181" spans="1:10" s="37" customFormat="1" ht="13.2" x14ac:dyDescent="0.25">
      <c r="A181" s="77"/>
      <c r="D181" s="17"/>
      <c r="J181" s="17"/>
    </row>
    <row r="182" spans="1:10" s="37" customFormat="1" ht="13.2" x14ac:dyDescent="0.25">
      <c r="A182" s="77"/>
      <c r="D182" s="17"/>
      <c r="J182" s="17"/>
    </row>
    <row r="183" spans="1:10" s="37" customFormat="1" ht="13.2" x14ac:dyDescent="0.25">
      <c r="A183" s="77"/>
      <c r="D183" s="17"/>
      <c r="J183" s="17"/>
    </row>
    <row r="184" spans="1:10" s="37" customFormat="1" ht="13.2" x14ac:dyDescent="0.25">
      <c r="A184" s="77"/>
      <c r="D184" s="17"/>
      <c r="J184" s="17"/>
    </row>
    <row r="185" spans="1:10" s="37" customFormat="1" ht="13.2" x14ac:dyDescent="0.25">
      <c r="A185" s="77"/>
      <c r="D185" s="17"/>
      <c r="J185" s="17"/>
    </row>
    <row r="186" spans="1:10" s="37" customFormat="1" ht="13.2" x14ac:dyDescent="0.25">
      <c r="A186" s="77"/>
      <c r="D186" s="17"/>
      <c r="J186" s="17"/>
    </row>
    <row r="187" spans="1:10" s="37" customFormat="1" ht="13.2" x14ac:dyDescent="0.25">
      <c r="A187" s="77"/>
      <c r="D187" s="17"/>
      <c r="J187" s="17"/>
    </row>
    <row r="188" spans="1:10" s="37" customFormat="1" ht="13.2" x14ac:dyDescent="0.25">
      <c r="A188" s="77"/>
      <c r="D188" s="17"/>
      <c r="J188" s="17"/>
    </row>
    <row r="189" spans="1:10" s="37" customFormat="1" ht="13.2" x14ac:dyDescent="0.25">
      <c r="A189" s="77"/>
      <c r="D189" s="17"/>
      <c r="J189" s="17"/>
    </row>
    <row r="190" spans="1:10" s="37" customFormat="1" ht="13.2" x14ac:dyDescent="0.25">
      <c r="A190" s="77"/>
      <c r="D190" s="17"/>
      <c r="J190" s="17"/>
    </row>
    <row r="191" spans="1:10" s="37" customFormat="1" ht="13.2" x14ac:dyDescent="0.25">
      <c r="A191" s="77"/>
      <c r="D191" s="17"/>
      <c r="J191" s="17"/>
    </row>
    <row r="192" spans="1:10" s="37" customFormat="1" ht="13.2" x14ac:dyDescent="0.25">
      <c r="A192" s="77"/>
      <c r="D192" s="17"/>
      <c r="J192" s="17"/>
    </row>
    <row r="193" spans="1:10" s="37" customFormat="1" ht="13.2" x14ac:dyDescent="0.25">
      <c r="A193" s="77"/>
      <c r="D193" s="17"/>
      <c r="J193" s="17"/>
    </row>
    <row r="194" spans="1:10" s="37" customFormat="1" ht="13.2" x14ac:dyDescent="0.25">
      <c r="A194" s="77"/>
      <c r="D194" s="17"/>
      <c r="J194" s="17"/>
    </row>
    <row r="195" spans="1:10" s="37" customFormat="1" ht="13.2" x14ac:dyDescent="0.25">
      <c r="A195" s="77"/>
      <c r="D195" s="17"/>
      <c r="J195" s="17"/>
    </row>
    <row r="196" spans="1:10" s="37" customFormat="1" ht="13.2" x14ac:dyDescent="0.25">
      <c r="A196" s="77"/>
      <c r="D196" s="17"/>
      <c r="J196" s="17"/>
    </row>
    <row r="197" spans="1:10" s="37" customFormat="1" ht="13.2" x14ac:dyDescent="0.25">
      <c r="A197" s="77"/>
      <c r="D197" s="17"/>
      <c r="J197" s="17"/>
    </row>
    <row r="198" spans="1:10" s="37" customFormat="1" ht="13.2" x14ac:dyDescent="0.25">
      <c r="A198" s="77"/>
      <c r="D198" s="17"/>
      <c r="J198" s="17"/>
    </row>
    <row r="199" spans="1:10" s="37" customFormat="1" ht="13.2" x14ac:dyDescent="0.25">
      <c r="A199" s="77"/>
      <c r="D199" s="17"/>
      <c r="J199" s="17"/>
    </row>
    <row r="200" spans="1:10" s="37" customFormat="1" ht="13.2" x14ac:dyDescent="0.25">
      <c r="A200" s="77"/>
      <c r="D200" s="17"/>
      <c r="J200" s="17"/>
    </row>
    <row r="201" spans="1:10" s="37" customFormat="1" ht="13.2" x14ac:dyDescent="0.25">
      <c r="A201" s="77"/>
      <c r="D201" s="17"/>
      <c r="J201" s="17"/>
    </row>
    <row r="202" spans="1:10" s="37" customFormat="1" ht="13.2" x14ac:dyDescent="0.25">
      <c r="A202" s="77"/>
      <c r="D202" s="17"/>
      <c r="J202" s="17"/>
    </row>
    <row r="203" spans="1:10" s="37" customFormat="1" ht="13.2" x14ac:dyDescent="0.25">
      <c r="A203" s="77"/>
      <c r="D203" s="17"/>
      <c r="J203" s="17"/>
    </row>
    <row r="204" spans="1:10" s="37" customFormat="1" ht="13.2" x14ac:dyDescent="0.25">
      <c r="A204" s="77"/>
      <c r="D204" s="17"/>
      <c r="J204" s="17"/>
    </row>
    <row r="205" spans="1:10" s="37" customFormat="1" ht="13.2" x14ac:dyDescent="0.25">
      <c r="A205" s="77"/>
      <c r="D205" s="17"/>
      <c r="J205" s="17"/>
    </row>
    <row r="206" spans="1:10" s="37" customFormat="1" ht="13.2" x14ac:dyDescent="0.25">
      <c r="A206" s="77"/>
      <c r="D206" s="17"/>
      <c r="J206" s="17"/>
    </row>
    <row r="207" spans="1:10" s="37" customFormat="1" ht="13.2" x14ac:dyDescent="0.25">
      <c r="A207" s="77"/>
      <c r="D207" s="17"/>
      <c r="J207" s="17"/>
    </row>
    <row r="208" spans="1:10" s="37" customFormat="1" ht="13.2" x14ac:dyDescent="0.25">
      <c r="A208" s="77"/>
      <c r="D208" s="17"/>
      <c r="J208" s="17"/>
    </row>
    <row r="209" spans="1:10" s="37" customFormat="1" ht="13.2" x14ac:dyDescent="0.25">
      <c r="A209" s="77"/>
      <c r="D209" s="17"/>
      <c r="J209" s="17"/>
    </row>
    <row r="210" spans="1:10" s="37" customFormat="1" ht="13.2" x14ac:dyDescent="0.25">
      <c r="A210" s="77"/>
      <c r="D210" s="17"/>
      <c r="J210" s="17"/>
    </row>
    <row r="211" spans="1:10" s="37" customFormat="1" ht="13.2" x14ac:dyDescent="0.25">
      <c r="A211" s="77"/>
      <c r="D211" s="17"/>
      <c r="J211" s="17"/>
    </row>
    <row r="212" spans="1:10" s="37" customFormat="1" ht="13.2" x14ac:dyDescent="0.25">
      <c r="A212" s="77"/>
      <c r="D212" s="17"/>
      <c r="J212" s="17"/>
    </row>
    <row r="213" spans="1:10" s="37" customFormat="1" ht="13.2" x14ac:dyDescent="0.25">
      <c r="A213" s="77"/>
      <c r="D213" s="17"/>
      <c r="J213" s="17"/>
    </row>
    <row r="214" spans="1:10" s="37" customFormat="1" ht="13.2" x14ac:dyDescent="0.25">
      <c r="A214" s="77"/>
      <c r="D214" s="17"/>
      <c r="J214" s="17"/>
    </row>
    <row r="215" spans="1:10" s="37" customFormat="1" ht="13.2" x14ac:dyDescent="0.25">
      <c r="A215" s="77"/>
      <c r="D215" s="17"/>
      <c r="J215" s="17"/>
    </row>
    <row r="216" spans="1:10" s="37" customFormat="1" ht="13.2" x14ac:dyDescent="0.25">
      <c r="A216" s="77"/>
      <c r="D216" s="17"/>
      <c r="J216" s="17"/>
    </row>
    <row r="217" spans="1:10" s="37" customFormat="1" ht="13.2" x14ac:dyDescent="0.25">
      <c r="A217" s="77"/>
      <c r="D217" s="17"/>
      <c r="J217" s="17"/>
    </row>
    <row r="218" spans="1:10" s="37" customFormat="1" ht="13.2" x14ac:dyDescent="0.25">
      <c r="A218" s="77"/>
      <c r="D218" s="17"/>
      <c r="J218" s="17"/>
    </row>
    <row r="219" spans="1:10" s="37" customFormat="1" ht="13.2" x14ac:dyDescent="0.25">
      <c r="A219" s="77"/>
      <c r="D219" s="17"/>
      <c r="J219" s="17"/>
    </row>
    <row r="220" spans="1:10" s="37" customFormat="1" ht="13.2" x14ac:dyDescent="0.25">
      <c r="A220" s="77"/>
      <c r="D220" s="17"/>
      <c r="J220" s="17"/>
    </row>
    <row r="221" spans="1:10" s="37" customFormat="1" ht="13.2" x14ac:dyDescent="0.25">
      <c r="A221" s="77"/>
      <c r="D221" s="17"/>
      <c r="J221" s="17"/>
    </row>
    <row r="222" spans="1:10" s="37" customFormat="1" ht="13.2" x14ac:dyDescent="0.25">
      <c r="A222" s="77"/>
      <c r="D222" s="17"/>
      <c r="J222" s="17"/>
    </row>
    <row r="223" spans="1:10" s="37" customFormat="1" ht="13.2" x14ac:dyDescent="0.25">
      <c r="A223" s="77"/>
      <c r="D223" s="17"/>
      <c r="J223" s="17"/>
    </row>
    <row r="224" spans="1:10" s="37" customFormat="1" ht="13.2" x14ac:dyDescent="0.25">
      <c r="A224" s="77"/>
      <c r="D224" s="17"/>
      <c r="J224" s="17"/>
    </row>
    <row r="225" spans="1:10" s="37" customFormat="1" ht="13.2" x14ac:dyDescent="0.25">
      <c r="A225" s="77"/>
      <c r="D225" s="17"/>
      <c r="J225" s="17"/>
    </row>
    <row r="226" spans="1:10" s="37" customFormat="1" ht="13.2" x14ac:dyDescent="0.25">
      <c r="A226" s="77"/>
      <c r="D226" s="17"/>
      <c r="J226" s="17"/>
    </row>
    <row r="227" spans="1:10" s="37" customFormat="1" ht="13.2" x14ac:dyDescent="0.25">
      <c r="A227" s="77"/>
      <c r="D227" s="17"/>
      <c r="J227" s="17"/>
    </row>
    <row r="228" spans="1:10" s="37" customFormat="1" ht="13.2" x14ac:dyDescent="0.25">
      <c r="A228" s="77"/>
      <c r="D228" s="17"/>
      <c r="J228" s="17"/>
    </row>
    <row r="229" spans="1:10" s="37" customFormat="1" ht="13.2" x14ac:dyDescent="0.25">
      <c r="A229" s="77"/>
      <c r="D229" s="17"/>
      <c r="J229" s="17"/>
    </row>
    <row r="230" spans="1:10" s="37" customFormat="1" ht="13.2" x14ac:dyDescent="0.25">
      <c r="A230" s="77"/>
      <c r="D230" s="17"/>
      <c r="J230" s="17"/>
    </row>
    <row r="231" spans="1:10" s="37" customFormat="1" ht="13.2" x14ac:dyDescent="0.25">
      <c r="A231" s="77"/>
      <c r="D231" s="17"/>
      <c r="J231" s="17"/>
    </row>
    <row r="232" spans="1:10" s="37" customFormat="1" ht="13.2" x14ac:dyDescent="0.25">
      <c r="A232" s="77"/>
      <c r="D232" s="17"/>
      <c r="J232" s="17"/>
    </row>
    <row r="233" spans="1:10" s="37" customFormat="1" ht="13.2" x14ac:dyDescent="0.25">
      <c r="A233" s="77"/>
      <c r="D233" s="17"/>
      <c r="J233" s="17"/>
    </row>
    <row r="234" spans="1:10" s="37" customFormat="1" ht="13.2" x14ac:dyDescent="0.25">
      <c r="A234" s="77"/>
      <c r="D234" s="17"/>
      <c r="J234" s="17"/>
    </row>
    <row r="235" spans="1:10" s="37" customFormat="1" ht="13.2" x14ac:dyDescent="0.25">
      <c r="A235" s="77"/>
      <c r="D235" s="17"/>
      <c r="J235" s="17"/>
    </row>
    <row r="236" spans="1:10" s="37" customFormat="1" ht="13.2" x14ac:dyDescent="0.25">
      <c r="A236" s="77"/>
      <c r="D236" s="17"/>
      <c r="J236" s="17"/>
    </row>
    <row r="237" spans="1:10" s="37" customFormat="1" ht="13.2" x14ac:dyDescent="0.25">
      <c r="A237" s="77"/>
      <c r="D237" s="17"/>
      <c r="J237" s="17"/>
    </row>
    <row r="238" spans="1:10" s="37" customFormat="1" ht="13.2" x14ac:dyDescent="0.25">
      <c r="A238" s="77"/>
      <c r="D238" s="17"/>
      <c r="J238" s="17"/>
    </row>
    <row r="239" spans="1:10" s="37" customFormat="1" ht="13.2" x14ac:dyDescent="0.25">
      <c r="A239" s="77"/>
      <c r="D239" s="17"/>
      <c r="J239" s="17"/>
    </row>
    <row r="240" spans="1:10" s="37" customFormat="1" ht="13.2" x14ac:dyDescent="0.25">
      <c r="A240" s="77"/>
      <c r="D240" s="17"/>
      <c r="J240" s="17"/>
    </row>
    <row r="241" spans="1:10" s="37" customFormat="1" ht="13.2" x14ac:dyDescent="0.25">
      <c r="A241" s="77"/>
      <c r="D241" s="17"/>
      <c r="J241" s="17"/>
    </row>
    <row r="242" spans="1:10" s="37" customFormat="1" ht="13.2" x14ac:dyDescent="0.25">
      <c r="A242" s="77"/>
      <c r="D242" s="17"/>
      <c r="J242" s="17"/>
    </row>
    <row r="243" spans="1:10" s="37" customFormat="1" ht="13.2" x14ac:dyDescent="0.25">
      <c r="A243" s="77"/>
      <c r="D243" s="17"/>
      <c r="J243" s="17"/>
    </row>
    <row r="244" spans="1:10" s="37" customFormat="1" ht="13.2" x14ac:dyDescent="0.25">
      <c r="A244" s="77"/>
      <c r="D244" s="17"/>
      <c r="J244" s="17"/>
    </row>
    <row r="245" spans="1:10" s="37" customFormat="1" ht="13.2" x14ac:dyDescent="0.25">
      <c r="A245" s="77"/>
      <c r="D245" s="17"/>
      <c r="J245" s="17"/>
    </row>
    <row r="246" spans="1:10" s="37" customFormat="1" ht="13.2" x14ac:dyDescent="0.25">
      <c r="A246" s="77"/>
      <c r="D246" s="17"/>
      <c r="J246" s="17"/>
    </row>
    <row r="247" spans="1:10" s="37" customFormat="1" ht="13.2" x14ac:dyDescent="0.25">
      <c r="A247" s="77"/>
      <c r="D247" s="17"/>
      <c r="J247" s="17"/>
    </row>
    <row r="248" spans="1:10" s="37" customFormat="1" ht="13.2" x14ac:dyDescent="0.25">
      <c r="A248" s="77"/>
      <c r="D248" s="17"/>
      <c r="J248" s="17"/>
    </row>
    <row r="249" spans="1:10" s="37" customFormat="1" ht="13.2" x14ac:dyDescent="0.25">
      <c r="A249" s="77"/>
      <c r="D249" s="17"/>
      <c r="J249" s="17"/>
    </row>
    <row r="250" spans="1:10" s="37" customFormat="1" ht="13.2" x14ac:dyDescent="0.25">
      <c r="A250" s="77"/>
      <c r="D250" s="17"/>
      <c r="J250" s="17"/>
    </row>
    <row r="251" spans="1:10" s="37" customFormat="1" ht="13.2" x14ac:dyDescent="0.25">
      <c r="A251" s="77"/>
      <c r="D251" s="17"/>
      <c r="J251" s="17"/>
    </row>
    <row r="252" spans="1:10" s="37" customFormat="1" ht="13.2" x14ac:dyDescent="0.25">
      <c r="A252" s="77"/>
      <c r="D252" s="17"/>
      <c r="J252" s="17"/>
    </row>
    <row r="253" spans="1:10" s="37" customFormat="1" ht="13.2" x14ac:dyDescent="0.25">
      <c r="A253" s="77"/>
      <c r="D253" s="17"/>
      <c r="J253" s="17"/>
    </row>
    <row r="254" spans="1:10" s="37" customFormat="1" ht="13.2" x14ac:dyDescent="0.25">
      <c r="A254" s="77"/>
      <c r="D254" s="17"/>
      <c r="J254" s="17"/>
    </row>
    <row r="255" spans="1:10" s="37" customFormat="1" ht="13.2" x14ac:dyDescent="0.25">
      <c r="A255" s="77"/>
      <c r="D255" s="17"/>
      <c r="J255" s="17"/>
    </row>
    <row r="256" spans="1:10" s="37" customFormat="1" ht="13.2" x14ac:dyDescent="0.25">
      <c r="A256" s="77"/>
      <c r="D256" s="17"/>
      <c r="J256" s="17"/>
    </row>
    <row r="257" spans="1:10" s="37" customFormat="1" ht="13.2" x14ac:dyDescent="0.25">
      <c r="A257" s="77"/>
      <c r="D257" s="17"/>
      <c r="J257" s="17"/>
    </row>
    <row r="258" spans="1:10" s="37" customFormat="1" ht="13.2" x14ac:dyDescent="0.25">
      <c r="A258" s="77"/>
      <c r="D258" s="17"/>
      <c r="J258" s="17"/>
    </row>
    <row r="259" spans="1:10" s="37" customFormat="1" ht="13.2" x14ac:dyDescent="0.25">
      <c r="A259" s="77"/>
      <c r="D259" s="17"/>
      <c r="J259" s="17"/>
    </row>
    <row r="260" spans="1:10" s="37" customFormat="1" ht="13.2" x14ac:dyDescent="0.25">
      <c r="A260" s="77"/>
      <c r="D260" s="17"/>
      <c r="J260" s="17"/>
    </row>
    <row r="261" spans="1:10" s="37" customFormat="1" ht="13.2" x14ac:dyDescent="0.25">
      <c r="A261" s="77"/>
      <c r="D261" s="17"/>
      <c r="J261" s="17"/>
    </row>
    <row r="262" spans="1:10" s="37" customFormat="1" ht="13.2" x14ac:dyDescent="0.25">
      <c r="A262" s="77"/>
      <c r="D262" s="17"/>
      <c r="J262" s="17"/>
    </row>
    <row r="263" spans="1:10" s="37" customFormat="1" ht="13.2" x14ac:dyDescent="0.25">
      <c r="A263" s="77"/>
      <c r="D263" s="17"/>
      <c r="J263" s="17"/>
    </row>
    <row r="264" spans="1:10" s="37" customFormat="1" ht="13.2" x14ac:dyDescent="0.25">
      <c r="A264" s="77"/>
      <c r="D264" s="17"/>
      <c r="J264" s="17"/>
    </row>
    <row r="265" spans="1:10" s="37" customFormat="1" ht="13.2" x14ac:dyDescent="0.25">
      <c r="A265" s="77"/>
      <c r="D265" s="17"/>
      <c r="J265" s="17"/>
    </row>
    <row r="266" spans="1:10" s="37" customFormat="1" ht="13.2" x14ac:dyDescent="0.25">
      <c r="A266" s="77"/>
      <c r="D266" s="17"/>
      <c r="J266" s="17"/>
    </row>
    <row r="267" spans="1:10" s="37" customFormat="1" ht="13.2" x14ac:dyDescent="0.25">
      <c r="A267" s="77"/>
      <c r="D267" s="17"/>
      <c r="J267" s="17"/>
    </row>
    <row r="268" spans="1:10" s="37" customFormat="1" ht="13.2" x14ac:dyDescent="0.25">
      <c r="A268" s="77"/>
      <c r="D268" s="17"/>
      <c r="J268" s="17"/>
    </row>
    <row r="269" spans="1:10" s="37" customFormat="1" ht="13.2" x14ac:dyDescent="0.25">
      <c r="A269" s="77"/>
      <c r="D269" s="17"/>
      <c r="J269" s="17"/>
    </row>
    <row r="270" spans="1:10" s="37" customFormat="1" ht="13.2" x14ac:dyDescent="0.25">
      <c r="A270" s="77"/>
      <c r="D270" s="17"/>
      <c r="J270" s="17"/>
    </row>
    <row r="271" spans="1:10" s="37" customFormat="1" ht="13.2" x14ac:dyDescent="0.25">
      <c r="A271" s="77"/>
      <c r="D271" s="17"/>
      <c r="J271" s="17"/>
    </row>
    <row r="272" spans="1:10" s="37" customFormat="1" ht="13.2" x14ac:dyDescent="0.25">
      <c r="A272" s="77"/>
      <c r="D272" s="17"/>
      <c r="J272" s="17"/>
    </row>
    <row r="273" spans="1:10" s="37" customFormat="1" ht="13.2" x14ac:dyDescent="0.25">
      <c r="A273" s="77"/>
      <c r="D273" s="17"/>
      <c r="J273" s="17"/>
    </row>
    <row r="274" spans="1:10" s="37" customFormat="1" ht="13.2" x14ac:dyDescent="0.25">
      <c r="A274" s="77"/>
      <c r="D274" s="17"/>
      <c r="J274" s="17"/>
    </row>
    <row r="275" spans="1:10" s="37" customFormat="1" ht="13.2" x14ac:dyDescent="0.25">
      <c r="A275" s="77"/>
      <c r="D275" s="17"/>
      <c r="J275" s="17"/>
    </row>
    <row r="276" spans="1:10" s="37" customFormat="1" ht="13.2" x14ac:dyDescent="0.25">
      <c r="A276" s="77"/>
      <c r="D276" s="17"/>
      <c r="J276" s="17"/>
    </row>
    <row r="277" spans="1:10" s="37" customFormat="1" ht="13.2" x14ac:dyDescent="0.25">
      <c r="A277" s="77"/>
      <c r="D277" s="17"/>
      <c r="J277" s="17"/>
    </row>
    <row r="278" spans="1:10" s="37" customFormat="1" ht="13.2" x14ac:dyDescent="0.25">
      <c r="A278" s="77"/>
      <c r="D278" s="17"/>
      <c r="J278" s="17"/>
    </row>
    <row r="279" spans="1:10" s="37" customFormat="1" ht="13.2" x14ac:dyDescent="0.25">
      <c r="A279" s="77"/>
      <c r="D279" s="17"/>
      <c r="J279" s="17"/>
    </row>
    <row r="280" spans="1:10" s="37" customFormat="1" ht="13.2" x14ac:dyDescent="0.25">
      <c r="A280" s="77"/>
      <c r="D280" s="17"/>
      <c r="J280" s="17"/>
    </row>
    <row r="281" spans="1:10" s="37" customFormat="1" ht="13.2" x14ac:dyDescent="0.25">
      <c r="A281" s="77"/>
      <c r="D281" s="17"/>
      <c r="J281" s="17"/>
    </row>
    <row r="282" spans="1:10" s="37" customFormat="1" ht="13.2" x14ac:dyDescent="0.25">
      <c r="A282" s="77"/>
      <c r="D282" s="17"/>
      <c r="J282" s="17"/>
    </row>
    <row r="283" spans="1:10" s="37" customFormat="1" ht="13.2" x14ac:dyDescent="0.25">
      <c r="A283" s="77"/>
      <c r="D283" s="17"/>
      <c r="J283" s="17"/>
    </row>
    <row r="284" spans="1:10" s="37" customFormat="1" ht="13.2" x14ac:dyDescent="0.25">
      <c r="A284" s="77"/>
      <c r="D284" s="17"/>
      <c r="J284" s="17"/>
    </row>
    <row r="285" spans="1:10" s="37" customFormat="1" ht="13.2" x14ac:dyDescent="0.25">
      <c r="A285" s="77"/>
      <c r="D285" s="17"/>
      <c r="J285" s="17"/>
    </row>
    <row r="286" spans="1:10" s="37" customFormat="1" ht="13.2" x14ac:dyDescent="0.25">
      <c r="A286" s="77"/>
      <c r="D286" s="17"/>
      <c r="J286" s="17"/>
    </row>
    <row r="287" spans="1:10" s="37" customFormat="1" ht="13.2" x14ac:dyDescent="0.25">
      <c r="A287" s="77"/>
      <c r="D287" s="17"/>
      <c r="J287" s="17"/>
    </row>
    <row r="288" spans="1:10" s="37" customFormat="1" ht="13.2" x14ac:dyDescent="0.25">
      <c r="A288" s="77"/>
      <c r="D288" s="17"/>
      <c r="J288" s="17"/>
    </row>
    <row r="289" spans="1:10" s="37" customFormat="1" ht="13.2" x14ac:dyDescent="0.25">
      <c r="A289" s="77"/>
      <c r="D289" s="17"/>
      <c r="J289" s="17"/>
    </row>
    <row r="290" spans="1:10" s="37" customFormat="1" ht="13.2" x14ac:dyDescent="0.25">
      <c r="A290" s="77"/>
      <c r="D290" s="17"/>
      <c r="J290" s="17"/>
    </row>
    <row r="291" spans="1:10" s="37" customFormat="1" ht="13.2" x14ac:dyDescent="0.25">
      <c r="A291" s="77"/>
      <c r="D291" s="17"/>
      <c r="J291" s="17"/>
    </row>
    <row r="292" spans="1:10" s="37" customFormat="1" ht="13.2" x14ac:dyDescent="0.25">
      <c r="A292" s="77"/>
      <c r="D292" s="17"/>
      <c r="J292" s="17"/>
    </row>
    <row r="293" spans="1:10" s="37" customFormat="1" ht="13.2" x14ac:dyDescent="0.25">
      <c r="A293" s="77"/>
      <c r="D293" s="17"/>
      <c r="J293" s="17"/>
    </row>
    <row r="294" spans="1:10" s="37" customFormat="1" ht="13.2" x14ac:dyDescent="0.25">
      <c r="A294" s="77"/>
      <c r="D294" s="17"/>
      <c r="J294" s="17"/>
    </row>
    <row r="295" spans="1:10" s="37" customFormat="1" ht="13.2" x14ac:dyDescent="0.25">
      <c r="A295" s="77"/>
      <c r="D295" s="17"/>
      <c r="J295" s="17"/>
    </row>
    <row r="296" spans="1:10" s="37" customFormat="1" ht="13.2" x14ac:dyDescent="0.25">
      <c r="A296" s="77"/>
      <c r="D296" s="17"/>
      <c r="J296" s="17"/>
    </row>
    <row r="297" spans="1:10" s="37" customFormat="1" ht="13.2" x14ac:dyDescent="0.25">
      <c r="A297" s="77"/>
      <c r="D297" s="17"/>
      <c r="J297" s="17"/>
    </row>
    <row r="298" spans="1:10" s="37" customFormat="1" ht="13.2" x14ac:dyDescent="0.25">
      <c r="A298" s="77"/>
      <c r="D298" s="17"/>
      <c r="J298" s="17"/>
    </row>
    <row r="299" spans="1:10" s="37" customFormat="1" ht="13.2" x14ac:dyDescent="0.25">
      <c r="A299" s="77"/>
      <c r="D299" s="17"/>
      <c r="J299" s="17"/>
    </row>
    <row r="300" spans="1:10" s="37" customFormat="1" ht="13.2" x14ac:dyDescent="0.25">
      <c r="A300" s="77"/>
      <c r="D300" s="17"/>
      <c r="J300" s="17"/>
    </row>
    <row r="301" spans="1:10" s="37" customFormat="1" ht="13.2" x14ac:dyDescent="0.25">
      <c r="A301" s="77"/>
      <c r="D301" s="17"/>
      <c r="J301" s="17"/>
    </row>
    <row r="302" spans="1:10" s="37" customFormat="1" ht="13.2" x14ac:dyDescent="0.25">
      <c r="A302" s="77"/>
      <c r="D302" s="17"/>
      <c r="J302" s="17"/>
    </row>
    <row r="303" spans="1:10" s="37" customFormat="1" ht="13.2" x14ac:dyDescent="0.25">
      <c r="A303" s="77"/>
      <c r="D303" s="17"/>
      <c r="J303" s="17"/>
    </row>
    <row r="304" spans="1:10" s="37" customFormat="1" ht="13.2" x14ac:dyDescent="0.25">
      <c r="A304" s="77"/>
      <c r="D304" s="17"/>
      <c r="J304" s="17"/>
    </row>
    <row r="305" spans="1:10" s="37" customFormat="1" ht="13.2" x14ac:dyDescent="0.25">
      <c r="A305" s="77"/>
      <c r="D305" s="17"/>
      <c r="J305" s="17"/>
    </row>
    <row r="306" spans="1:10" s="37" customFormat="1" ht="13.2" x14ac:dyDescent="0.25">
      <c r="A306" s="77"/>
      <c r="D306" s="17"/>
      <c r="J306" s="17"/>
    </row>
    <row r="307" spans="1:10" s="37" customFormat="1" ht="13.2" x14ac:dyDescent="0.25">
      <c r="A307" s="77"/>
      <c r="D307" s="17"/>
      <c r="J307" s="17"/>
    </row>
    <row r="308" spans="1:10" s="37" customFormat="1" ht="13.2" x14ac:dyDescent="0.25">
      <c r="A308" s="77"/>
      <c r="D308" s="17"/>
      <c r="J308" s="17"/>
    </row>
    <row r="309" spans="1:10" s="37" customFormat="1" ht="13.2" x14ac:dyDescent="0.25">
      <c r="A309" s="77"/>
      <c r="D309" s="17"/>
      <c r="J309" s="17"/>
    </row>
    <row r="310" spans="1:10" s="37" customFormat="1" ht="13.2" x14ac:dyDescent="0.25">
      <c r="A310" s="77"/>
      <c r="D310" s="17"/>
      <c r="J310" s="17"/>
    </row>
    <row r="311" spans="1:10" s="37" customFormat="1" ht="13.2" x14ac:dyDescent="0.25">
      <c r="A311" s="77"/>
      <c r="D311" s="17"/>
      <c r="J311" s="17"/>
    </row>
    <row r="312" spans="1:10" s="37" customFormat="1" ht="13.2" x14ac:dyDescent="0.25">
      <c r="A312" s="77"/>
      <c r="D312" s="17"/>
      <c r="J312" s="17"/>
    </row>
    <row r="313" spans="1:10" s="37" customFormat="1" ht="13.2" x14ac:dyDescent="0.25">
      <c r="A313" s="77"/>
      <c r="D313" s="17"/>
      <c r="J313" s="17"/>
    </row>
    <row r="314" spans="1:10" s="37" customFormat="1" ht="13.2" x14ac:dyDescent="0.25">
      <c r="A314" s="77"/>
      <c r="D314" s="17"/>
      <c r="J314" s="17"/>
    </row>
    <row r="315" spans="1:10" s="37" customFormat="1" ht="13.2" x14ac:dyDescent="0.25">
      <c r="A315" s="77"/>
      <c r="D315" s="17"/>
      <c r="J315" s="17"/>
    </row>
    <row r="316" spans="1:10" s="37" customFormat="1" ht="13.2" x14ac:dyDescent="0.25">
      <c r="A316" s="77"/>
      <c r="D316" s="17"/>
      <c r="J316" s="17"/>
    </row>
    <row r="317" spans="1:10" s="37" customFormat="1" ht="13.2" x14ac:dyDescent="0.25">
      <c r="A317" s="77"/>
      <c r="D317" s="17"/>
      <c r="J317" s="17"/>
    </row>
    <row r="318" spans="1:10" s="37" customFormat="1" ht="13.2" x14ac:dyDescent="0.25">
      <c r="A318" s="77"/>
      <c r="D318" s="17"/>
      <c r="J318" s="17"/>
    </row>
    <row r="319" spans="1:10" s="37" customFormat="1" ht="13.2" x14ac:dyDescent="0.25">
      <c r="A319" s="77"/>
      <c r="D319" s="17"/>
      <c r="J319" s="17"/>
    </row>
    <row r="320" spans="1:10" s="37" customFormat="1" ht="13.2" x14ac:dyDescent="0.25">
      <c r="A320" s="77"/>
      <c r="D320" s="17"/>
      <c r="J320" s="17"/>
    </row>
    <row r="321" spans="1:10" s="37" customFormat="1" ht="13.2" x14ac:dyDescent="0.25">
      <c r="A321" s="77"/>
      <c r="D321" s="17"/>
      <c r="J321" s="17"/>
    </row>
    <row r="322" spans="1:10" s="37" customFormat="1" ht="13.2" x14ac:dyDescent="0.25">
      <c r="A322" s="77"/>
      <c r="D322" s="17"/>
      <c r="J322" s="17"/>
    </row>
    <row r="323" spans="1:10" s="37" customFormat="1" ht="13.2" x14ac:dyDescent="0.25">
      <c r="A323" s="77"/>
      <c r="D323" s="17"/>
      <c r="J323" s="17"/>
    </row>
    <row r="324" spans="1:10" s="37" customFormat="1" ht="13.2" x14ac:dyDescent="0.25">
      <c r="A324" s="77"/>
      <c r="D324" s="17"/>
      <c r="J324" s="17"/>
    </row>
    <row r="325" spans="1:10" s="37" customFormat="1" ht="13.2" x14ac:dyDescent="0.25">
      <c r="A325" s="77"/>
      <c r="D325" s="17"/>
      <c r="J325" s="17"/>
    </row>
    <row r="326" spans="1:10" s="37" customFormat="1" ht="13.2" x14ac:dyDescent="0.25">
      <c r="A326" s="77"/>
      <c r="D326" s="17"/>
      <c r="J326" s="17"/>
    </row>
    <row r="327" spans="1:10" s="37" customFormat="1" ht="13.2" x14ac:dyDescent="0.25">
      <c r="A327" s="77"/>
      <c r="D327" s="17"/>
      <c r="J327" s="17"/>
    </row>
    <row r="328" spans="1:10" s="37" customFormat="1" ht="13.2" x14ac:dyDescent="0.25">
      <c r="A328" s="77"/>
      <c r="D328" s="17"/>
      <c r="J328" s="17"/>
    </row>
    <row r="329" spans="1:10" s="37" customFormat="1" ht="13.2" x14ac:dyDescent="0.25">
      <c r="A329" s="77"/>
      <c r="D329" s="17"/>
      <c r="J329" s="17"/>
    </row>
    <row r="330" spans="1:10" s="37" customFormat="1" ht="13.2" x14ac:dyDescent="0.25">
      <c r="A330" s="77"/>
      <c r="D330" s="17"/>
      <c r="J330" s="17"/>
    </row>
    <row r="331" spans="1:10" s="37" customFormat="1" ht="13.2" x14ac:dyDescent="0.25">
      <c r="A331" s="77"/>
      <c r="D331" s="17"/>
      <c r="J331" s="17"/>
    </row>
    <row r="332" spans="1:10" s="37" customFormat="1" ht="13.2" x14ac:dyDescent="0.25">
      <c r="A332" s="77"/>
      <c r="D332" s="17"/>
      <c r="J332" s="17"/>
    </row>
    <row r="333" spans="1:10" s="37" customFormat="1" ht="13.2" x14ac:dyDescent="0.25">
      <c r="A333" s="77"/>
      <c r="D333" s="17"/>
      <c r="J333" s="17"/>
    </row>
    <row r="334" spans="1:10" s="37" customFormat="1" ht="13.2" x14ac:dyDescent="0.25">
      <c r="A334" s="77"/>
      <c r="D334" s="17"/>
      <c r="J334" s="17"/>
    </row>
    <row r="335" spans="1:10" s="37" customFormat="1" ht="13.2" x14ac:dyDescent="0.25">
      <c r="A335" s="77"/>
      <c r="D335" s="17"/>
      <c r="J335" s="17"/>
    </row>
    <row r="336" spans="1:10" s="37" customFormat="1" ht="13.2" x14ac:dyDescent="0.25">
      <c r="A336" s="77"/>
      <c r="D336" s="17"/>
      <c r="J336" s="17"/>
    </row>
    <row r="337" spans="1:10" s="37" customFormat="1" ht="13.2" x14ac:dyDescent="0.25">
      <c r="A337" s="77"/>
      <c r="D337" s="17"/>
      <c r="J337" s="17"/>
    </row>
    <row r="338" spans="1:10" s="37" customFormat="1" ht="13.2" x14ac:dyDescent="0.25">
      <c r="A338" s="77"/>
      <c r="D338" s="17"/>
      <c r="J338" s="17"/>
    </row>
    <row r="339" spans="1:10" s="37" customFormat="1" ht="13.2" x14ac:dyDescent="0.25">
      <c r="A339" s="77"/>
      <c r="D339" s="17"/>
      <c r="J339" s="17"/>
    </row>
    <row r="340" spans="1:10" s="37" customFormat="1" ht="13.2" x14ac:dyDescent="0.25">
      <c r="A340" s="77"/>
      <c r="D340" s="17"/>
      <c r="J340" s="17"/>
    </row>
    <row r="341" spans="1:10" s="37" customFormat="1" ht="13.2" x14ac:dyDescent="0.25">
      <c r="A341" s="77"/>
      <c r="D341" s="17"/>
      <c r="J341" s="17"/>
    </row>
    <row r="342" spans="1:10" s="37" customFormat="1" ht="13.2" x14ac:dyDescent="0.25">
      <c r="A342" s="77"/>
      <c r="D342" s="17"/>
      <c r="J342" s="17"/>
    </row>
    <row r="343" spans="1:10" s="37" customFormat="1" ht="13.2" x14ac:dyDescent="0.25">
      <c r="A343" s="77"/>
      <c r="D343" s="17"/>
      <c r="J343" s="17"/>
    </row>
    <row r="344" spans="1:10" s="37" customFormat="1" ht="13.2" x14ac:dyDescent="0.25">
      <c r="A344" s="77"/>
      <c r="D344" s="17"/>
      <c r="J344" s="17"/>
    </row>
    <row r="345" spans="1:10" s="37" customFormat="1" ht="13.2" x14ac:dyDescent="0.25">
      <c r="A345" s="77"/>
      <c r="D345" s="17"/>
      <c r="J345" s="17"/>
    </row>
    <row r="346" spans="1:10" s="37" customFormat="1" ht="13.2" x14ac:dyDescent="0.25">
      <c r="A346" s="77"/>
      <c r="D346" s="17"/>
      <c r="J346" s="17"/>
    </row>
    <row r="347" spans="1:10" s="37" customFormat="1" ht="13.2" x14ac:dyDescent="0.25">
      <c r="A347" s="77"/>
      <c r="D347" s="17"/>
      <c r="J347" s="17"/>
    </row>
    <row r="348" spans="1:10" s="37" customFormat="1" ht="13.2" x14ac:dyDescent="0.25">
      <c r="A348" s="77"/>
      <c r="D348" s="17"/>
      <c r="J348" s="17"/>
    </row>
    <row r="349" spans="1:10" s="37" customFormat="1" ht="13.2" x14ac:dyDescent="0.25">
      <c r="A349" s="77"/>
      <c r="D349" s="17"/>
      <c r="J349" s="17"/>
    </row>
    <row r="350" spans="1:10" s="37" customFormat="1" ht="13.2" x14ac:dyDescent="0.25">
      <c r="A350" s="77"/>
      <c r="D350" s="17"/>
      <c r="J350" s="17"/>
    </row>
    <row r="351" spans="1:10" s="37" customFormat="1" ht="13.2" x14ac:dyDescent="0.25">
      <c r="A351" s="77"/>
      <c r="D351" s="17"/>
      <c r="J351" s="17"/>
    </row>
    <row r="352" spans="1:10" s="37" customFormat="1" ht="13.2" x14ac:dyDescent="0.25">
      <c r="A352" s="77"/>
      <c r="D352" s="17"/>
      <c r="J352" s="17"/>
    </row>
    <row r="353" spans="1:10" s="37" customFormat="1" ht="13.2" x14ac:dyDescent="0.25">
      <c r="A353" s="77"/>
      <c r="D353" s="17"/>
      <c r="J353" s="17"/>
    </row>
    <row r="354" spans="1:10" s="37" customFormat="1" ht="13.2" x14ac:dyDescent="0.25">
      <c r="A354" s="77"/>
      <c r="D354" s="17"/>
      <c r="J354" s="17"/>
    </row>
    <row r="355" spans="1:10" s="37" customFormat="1" ht="13.2" x14ac:dyDescent="0.25">
      <c r="A355" s="77"/>
      <c r="D355" s="17"/>
      <c r="J355" s="17"/>
    </row>
    <row r="356" spans="1:10" s="37" customFormat="1" ht="13.2" x14ac:dyDescent="0.25">
      <c r="A356" s="77"/>
      <c r="D356" s="17"/>
      <c r="J356" s="17"/>
    </row>
    <row r="357" spans="1:10" s="37" customFormat="1" ht="13.2" x14ac:dyDescent="0.25">
      <c r="A357" s="77"/>
      <c r="D357" s="17"/>
      <c r="J357" s="17"/>
    </row>
    <row r="358" spans="1:10" s="37" customFormat="1" ht="13.2" x14ac:dyDescent="0.25">
      <c r="A358" s="77"/>
      <c r="D358" s="17"/>
      <c r="J358" s="17"/>
    </row>
    <row r="359" spans="1:10" s="37" customFormat="1" ht="13.2" x14ac:dyDescent="0.25">
      <c r="A359" s="77"/>
      <c r="D359" s="17"/>
      <c r="J359" s="17"/>
    </row>
    <row r="360" spans="1:10" s="37" customFormat="1" ht="13.2" x14ac:dyDescent="0.25">
      <c r="A360" s="77"/>
      <c r="D360" s="17"/>
      <c r="J360" s="17"/>
    </row>
    <row r="361" spans="1:10" s="37" customFormat="1" ht="13.2" x14ac:dyDescent="0.25">
      <c r="A361" s="77"/>
      <c r="D361" s="17"/>
      <c r="J361" s="17"/>
    </row>
    <row r="362" spans="1:10" s="37" customFormat="1" ht="13.2" x14ac:dyDescent="0.25">
      <c r="A362" s="77"/>
      <c r="D362" s="17"/>
      <c r="J362" s="17"/>
    </row>
    <row r="363" spans="1:10" s="37" customFormat="1" ht="13.2" x14ac:dyDescent="0.25">
      <c r="A363" s="77"/>
      <c r="D363" s="17"/>
      <c r="J363" s="17"/>
    </row>
    <row r="364" spans="1:10" s="37" customFormat="1" ht="13.2" x14ac:dyDescent="0.25">
      <c r="A364" s="77"/>
      <c r="D364" s="17"/>
      <c r="J364" s="17"/>
    </row>
    <row r="365" spans="1:10" s="37" customFormat="1" ht="13.2" x14ac:dyDescent="0.25">
      <c r="A365" s="77"/>
      <c r="D365" s="17"/>
      <c r="J365" s="17"/>
    </row>
    <row r="366" spans="1:10" s="37" customFormat="1" ht="13.2" x14ac:dyDescent="0.25">
      <c r="A366" s="77"/>
      <c r="D366" s="17"/>
      <c r="J366" s="17"/>
    </row>
    <row r="367" spans="1:10" s="37" customFormat="1" ht="13.2" x14ac:dyDescent="0.25">
      <c r="A367" s="77"/>
      <c r="D367" s="17"/>
      <c r="J367" s="17"/>
    </row>
    <row r="368" spans="1:10" s="37" customFormat="1" ht="13.2" x14ac:dyDescent="0.25">
      <c r="A368" s="77"/>
      <c r="D368" s="17"/>
      <c r="J368" s="17"/>
    </row>
    <row r="369" spans="1:10" s="37" customFormat="1" ht="13.2" x14ac:dyDescent="0.25">
      <c r="A369" s="77"/>
      <c r="D369" s="17"/>
      <c r="J369" s="17"/>
    </row>
    <row r="370" spans="1:10" s="37" customFormat="1" ht="13.2" x14ac:dyDescent="0.25">
      <c r="A370" s="77"/>
      <c r="D370" s="17"/>
      <c r="J370" s="17"/>
    </row>
    <row r="371" spans="1:10" s="37" customFormat="1" ht="13.2" x14ac:dyDescent="0.25">
      <c r="A371" s="77"/>
      <c r="D371" s="17"/>
      <c r="J371" s="17"/>
    </row>
    <row r="372" spans="1:10" s="37" customFormat="1" ht="13.2" x14ac:dyDescent="0.25">
      <c r="A372" s="77"/>
      <c r="D372" s="17"/>
      <c r="J372" s="17"/>
    </row>
    <row r="373" spans="1:10" s="37" customFormat="1" ht="13.2" x14ac:dyDescent="0.25">
      <c r="A373" s="77"/>
      <c r="D373" s="17"/>
      <c r="J373" s="17"/>
    </row>
    <row r="374" spans="1:10" s="37" customFormat="1" ht="13.2" x14ac:dyDescent="0.25">
      <c r="A374" s="77"/>
      <c r="D374" s="17"/>
      <c r="J374" s="17"/>
    </row>
    <row r="375" spans="1:10" s="37" customFormat="1" ht="13.2" x14ac:dyDescent="0.25">
      <c r="A375" s="77"/>
      <c r="D375" s="17"/>
      <c r="J375" s="17"/>
    </row>
    <row r="376" spans="1:10" s="37" customFormat="1" ht="13.2" x14ac:dyDescent="0.25">
      <c r="A376" s="77"/>
      <c r="D376" s="17"/>
      <c r="J376" s="17"/>
    </row>
    <row r="377" spans="1:10" s="37" customFormat="1" ht="13.2" x14ac:dyDescent="0.25">
      <c r="A377" s="77"/>
      <c r="D377" s="17"/>
      <c r="J377" s="17"/>
    </row>
    <row r="378" spans="1:10" s="37" customFormat="1" ht="13.2" x14ac:dyDescent="0.25">
      <c r="A378" s="77"/>
      <c r="D378" s="17"/>
      <c r="J378" s="17"/>
    </row>
    <row r="379" spans="1:10" s="37" customFormat="1" ht="13.2" x14ac:dyDescent="0.25">
      <c r="A379" s="77"/>
      <c r="D379" s="17"/>
      <c r="J379" s="17"/>
    </row>
    <row r="380" spans="1:10" s="37" customFormat="1" ht="13.2" x14ac:dyDescent="0.25">
      <c r="A380" s="77"/>
      <c r="D380" s="17"/>
      <c r="J380" s="17"/>
    </row>
    <row r="381" spans="1:10" s="37" customFormat="1" ht="13.2" x14ac:dyDescent="0.25">
      <c r="A381" s="77"/>
      <c r="D381" s="17"/>
      <c r="J381" s="17"/>
    </row>
    <row r="382" spans="1:10" s="37" customFormat="1" ht="13.2" x14ac:dyDescent="0.25">
      <c r="A382" s="77"/>
      <c r="D382" s="17"/>
      <c r="J382" s="17"/>
    </row>
    <row r="383" spans="1:10" s="37" customFormat="1" ht="13.2" x14ac:dyDescent="0.25">
      <c r="A383" s="77"/>
      <c r="D383" s="17"/>
      <c r="J383" s="17"/>
    </row>
    <row r="384" spans="1:10" s="37" customFormat="1" ht="13.2" x14ac:dyDescent="0.25">
      <c r="A384" s="77"/>
      <c r="D384" s="17"/>
      <c r="J384" s="17"/>
    </row>
    <row r="385" spans="1:10" s="37" customFormat="1" ht="13.2" x14ac:dyDescent="0.25">
      <c r="A385" s="77"/>
      <c r="D385" s="17"/>
      <c r="J385" s="17"/>
    </row>
    <row r="386" spans="1:10" s="37" customFormat="1" ht="13.2" x14ac:dyDescent="0.25">
      <c r="A386" s="77"/>
      <c r="D386" s="17"/>
      <c r="J386" s="17"/>
    </row>
    <row r="387" spans="1:10" s="37" customFormat="1" ht="13.2" x14ac:dyDescent="0.25">
      <c r="A387" s="77"/>
      <c r="D387" s="17"/>
      <c r="J387" s="17"/>
    </row>
    <row r="388" spans="1:10" s="37" customFormat="1" ht="13.2" x14ac:dyDescent="0.25">
      <c r="A388" s="77"/>
      <c r="D388" s="17"/>
      <c r="J388" s="17"/>
    </row>
    <row r="389" spans="1:10" s="37" customFormat="1" ht="13.2" x14ac:dyDescent="0.25">
      <c r="A389" s="77"/>
      <c r="D389" s="17"/>
      <c r="J389" s="17"/>
    </row>
    <row r="390" spans="1:10" s="37" customFormat="1" ht="13.2" x14ac:dyDescent="0.25">
      <c r="A390" s="77"/>
      <c r="D390" s="17"/>
      <c r="J390" s="17"/>
    </row>
    <row r="391" spans="1:10" s="37" customFormat="1" ht="13.2" x14ac:dyDescent="0.25">
      <c r="A391" s="77"/>
      <c r="D391" s="17"/>
      <c r="J391" s="17"/>
    </row>
    <row r="392" spans="1:10" s="37" customFormat="1" ht="13.2" x14ac:dyDescent="0.25">
      <c r="A392" s="77"/>
      <c r="D392" s="17"/>
      <c r="J392" s="17"/>
    </row>
    <row r="393" spans="1:10" s="37" customFormat="1" ht="13.2" x14ac:dyDescent="0.25">
      <c r="A393" s="77"/>
      <c r="D393" s="17"/>
      <c r="J393" s="17"/>
    </row>
    <row r="394" spans="1:10" s="37" customFormat="1" ht="13.2" x14ac:dyDescent="0.25">
      <c r="A394" s="77"/>
      <c r="D394" s="17"/>
      <c r="J394" s="17"/>
    </row>
    <row r="395" spans="1:10" s="37" customFormat="1" ht="13.2" x14ac:dyDescent="0.25">
      <c r="A395" s="77"/>
      <c r="D395" s="17"/>
      <c r="J395" s="17"/>
    </row>
    <row r="396" spans="1:10" s="37" customFormat="1" ht="13.2" x14ac:dyDescent="0.25">
      <c r="A396" s="77"/>
      <c r="D396" s="17"/>
      <c r="J396" s="17"/>
    </row>
    <row r="397" spans="1:10" s="37" customFormat="1" ht="13.2" x14ac:dyDescent="0.25">
      <c r="A397" s="77"/>
      <c r="D397" s="17"/>
      <c r="J397" s="17"/>
    </row>
    <row r="398" spans="1:10" s="37" customFormat="1" ht="13.2" x14ac:dyDescent="0.25">
      <c r="A398" s="77"/>
      <c r="D398" s="17"/>
      <c r="J398" s="17"/>
    </row>
    <row r="399" spans="1:10" s="37" customFormat="1" ht="13.2" x14ac:dyDescent="0.25">
      <c r="A399" s="77"/>
      <c r="D399" s="17"/>
      <c r="J399" s="17"/>
    </row>
    <row r="400" spans="1:10" s="37" customFormat="1" ht="13.2" x14ac:dyDescent="0.25">
      <c r="A400" s="77"/>
      <c r="D400" s="17"/>
      <c r="J400" s="17"/>
    </row>
    <row r="401" spans="1:10" s="37" customFormat="1" ht="13.2" x14ac:dyDescent="0.25">
      <c r="A401" s="77"/>
      <c r="D401" s="17"/>
      <c r="J401" s="17"/>
    </row>
    <row r="402" spans="1:10" s="37" customFormat="1" ht="13.2" x14ac:dyDescent="0.25">
      <c r="A402" s="77"/>
      <c r="D402" s="17"/>
      <c r="J402" s="17"/>
    </row>
    <row r="403" spans="1:10" s="37" customFormat="1" ht="13.2" x14ac:dyDescent="0.25">
      <c r="A403" s="77"/>
      <c r="D403" s="17"/>
      <c r="J403" s="17"/>
    </row>
    <row r="404" spans="1:10" s="37" customFormat="1" ht="13.2" x14ac:dyDescent="0.25">
      <c r="A404" s="77"/>
      <c r="D404" s="17"/>
      <c r="J404" s="17"/>
    </row>
    <row r="405" spans="1:10" s="37" customFormat="1" ht="13.2" x14ac:dyDescent="0.25">
      <c r="A405" s="77"/>
      <c r="D405" s="17"/>
      <c r="J405" s="17"/>
    </row>
    <row r="406" spans="1:10" s="37" customFormat="1" ht="13.2" x14ac:dyDescent="0.25">
      <c r="A406" s="77"/>
      <c r="D406" s="17"/>
      <c r="J406" s="17"/>
    </row>
    <row r="407" spans="1:10" s="37" customFormat="1" ht="13.2" x14ac:dyDescent="0.25">
      <c r="A407" s="77"/>
      <c r="D407" s="17"/>
      <c r="J407" s="17"/>
    </row>
    <row r="408" spans="1:10" s="37" customFormat="1" ht="13.2" x14ac:dyDescent="0.25">
      <c r="A408" s="77"/>
      <c r="D408" s="17"/>
      <c r="J408" s="17"/>
    </row>
    <row r="409" spans="1:10" s="37" customFormat="1" ht="13.2" x14ac:dyDescent="0.25">
      <c r="A409" s="77"/>
      <c r="D409" s="17"/>
      <c r="J409" s="17"/>
    </row>
    <row r="410" spans="1:10" s="37" customFormat="1" ht="13.2" x14ac:dyDescent="0.25">
      <c r="A410" s="77"/>
      <c r="D410" s="17"/>
      <c r="J410" s="17"/>
    </row>
    <row r="411" spans="1:10" s="37" customFormat="1" ht="13.2" x14ac:dyDescent="0.25">
      <c r="A411" s="77"/>
      <c r="D411" s="17"/>
      <c r="J411" s="17"/>
    </row>
    <row r="412" spans="1:10" s="37" customFormat="1" ht="13.2" x14ac:dyDescent="0.25">
      <c r="A412" s="77"/>
      <c r="D412" s="17"/>
      <c r="J412" s="17"/>
    </row>
    <row r="413" spans="1:10" s="37" customFormat="1" ht="13.2" x14ac:dyDescent="0.25">
      <c r="A413" s="77"/>
      <c r="D413" s="17"/>
      <c r="J413" s="17"/>
    </row>
    <row r="414" spans="1:10" s="37" customFormat="1" ht="13.2" x14ac:dyDescent="0.25">
      <c r="A414" s="77"/>
      <c r="D414" s="17"/>
      <c r="J414" s="17"/>
    </row>
    <row r="415" spans="1:10" s="37" customFormat="1" ht="13.2" x14ac:dyDescent="0.25">
      <c r="A415" s="77"/>
      <c r="D415" s="17"/>
      <c r="J415" s="17"/>
    </row>
    <row r="416" spans="1:10" s="37" customFormat="1" ht="13.2" x14ac:dyDescent="0.25">
      <c r="A416" s="77"/>
      <c r="D416" s="17"/>
      <c r="J416" s="17"/>
    </row>
    <row r="417" spans="1:10" s="37" customFormat="1" ht="13.2" x14ac:dyDescent="0.25">
      <c r="A417" s="77"/>
      <c r="D417" s="17"/>
      <c r="J417" s="17"/>
    </row>
    <row r="418" spans="1:10" s="37" customFormat="1" ht="13.2" x14ac:dyDescent="0.25">
      <c r="A418" s="77"/>
      <c r="D418" s="17"/>
      <c r="J418" s="17"/>
    </row>
    <row r="419" spans="1:10" s="37" customFormat="1" ht="13.2" x14ac:dyDescent="0.25">
      <c r="A419" s="77"/>
      <c r="D419" s="17"/>
      <c r="J419" s="17"/>
    </row>
    <row r="420" spans="1:10" s="37" customFormat="1" ht="13.2" x14ac:dyDescent="0.25">
      <c r="A420" s="77"/>
      <c r="D420" s="17"/>
      <c r="J420" s="17"/>
    </row>
    <row r="421" spans="1:10" s="37" customFormat="1" ht="13.2" x14ac:dyDescent="0.25">
      <c r="A421" s="77"/>
      <c r="D421" s="17"/>
      <c r="J421" s="17"/>
    </row>
    <row r="422" spans="1:10" s="37" customFormat="1" ht="13.2" x14ac:dyDescent="0.25">
      <c r="A422" s="77"/>
      <c r="D422" s="17"/>
      <c r="J422" s="17"/>
    </row>
    <row r="423" spans="1:10" s="37" customFormat="1" ht="13.2" x14ac:dyDescent="0.25">
      <c r="A423" s="77"/>
      <c r="D423" s="17"/>
      <c r="J423" s="17"/>
    </row>
    <row r="424" spans="1:10" s="37" customFormat="1" ht="13.2" x14ac:dyDescent="0.25">
      <c r="A424" s="77"/>
      <c r="D424" s="17"/>
      <c r="J424" s="17"/>
    </row>
    <row r="425" spans="1:10" s="37" customFormat="1" ht="13.2" x14ac:dyDescent="0.25">
      <c r="A425" s="77"/>
      <c r="D425" s="17"/>
      <c r="J425" s="17"/>
    </row>
    <row r="426" spans="1:10" s="37" customFormat="1" ht="13.2" x14ac:dyDescent="0.25">
      <c r="A426" s="77"/>
      <c r="D426" s="17"/>
      <c r="J426" s="17"/>
    </row>
    <row r="427" spans="1:10" s="37" customFormat="1" ht="13.2" x14ac:dyDescent="0.25">
      <c r="A427" s="77"/>
      <c r="D427" s="17"/>
      <c r="J427" s="17"/>
    </row>
    <row r="428" spans="1:10" s="37" customFormat="1" ht="13.2" x14ac:dyDescent="0.25">
      <c r="A428" s="77"/>
      <c r="D428" s="17"/>
      <c r="J428" s="17"/>
    </row>
    <row r="429" spans="1:10" s="37" customFormat="1" ht="13.2" x14ac:dyDescent="0.25">
      <c r="A429" s="77"/>
      <c r="D429" s="17"/>
      <c r="J429" s="17"/>
    </row>
    <row r="430" spans="1:10" s="37" customFormat="1" ht="13.2" x14ac:dyDescent="0.25">
      <c r="A430" s="77"/>
      <c r="D430" s="17"/>
      <c r="J430" s="17"/>
    </row>
    <row r="431" spans="1:10" s="37" customFormat="1" ht="13.2" x14ac:dyDescent="0.25">
      <c r="A431" s="77"/>
      <c r="D431" s="17"/>
      <c r="J431" s="17"/>
    </row>
    <row r="432" spans="1:10" s="37" customFormat="1" ht="13.2" x14ac:dyDescent="0.25">
      <c r="A432" s="77"/>
      <c r="D432" s="17"/>
      <c r="J432" s="17"/>
    </row>
    <row r="433" spans="1:10" s="37" customFormat="1" ht="13.2" x14ac:dyDescent="0.25">
      <c r="A433" s="77"/>
      <c r="D433" s="17"/>
      <c r="J433" s="17"/>
    </row>
    <row r="434" spans="1:10" s="37" customFormat="1" ht="13.2" x14ac:dyDescent="0.25">
      <c r="A434" s="77"/>
      <c r="D434" s="17"/>
      <c r="J434" s="17"/>
    </row>
    <row r="435" spans="1:10" s="37" customFormat="1" ht="13.2" x14ac:dyDescent="0.25">
      <c r="A435" s="77"/>
      <c r="D435" s="17"/>
      <c r="J435" s="17"/>
    </row>
    <row r="436" spans="1:10" s="37" customFormat="1" ht="13.2" x14ac:dyDescent="0.25">
      <c r="A436" s="77"/>
      <c r="D436" s="17"/>
      <c r="J436" s="17"/>
    </row>
    <row r="437" spans="1:10" s="37" customFormat="1" ht="13.2" x14ac:dyDescent="0.25">
      <c r="A437" s="77"/>
      <c r="D437" s="17"/>
      <c r="J437" s="17"/>
    </row>
    <row r="438" spans="1:10" s="37" customFormat="1" ht="13.2" x14ac:dyDescent="0.25">
      <c r="A438" s="77"/>
      <c r="D438" s="17"/>
      <c r="J438" s="17"/>
    </row>
    <row r="439" spans="1:10" s="37" customFormat="1" ht="13.2" x14ac:dyDescent="0.25">
      <c r="A439" s="77"/>
      <c r="D439" s="17"/>
      <c r="J439" s="17"/>
    </row>
    <row r="440" spans="1:10" s="37" customFormat="1" ht="13.2" x14ac:dyDescent="0.25">
      <c r="A440" s="77"/>
      <c r="D440" s="17"/>
      <c r="J440" s="17"/>
    </row>
    <row r="441" spans="1:10" s="37" customFormat="1" ht="13.2" x14ac:dyDescent="0.25">
      <c r="A441" s="77"/>
      <c r="D441" s="17"/>
      <c r="J441" s="17"/>
    </row>
    <row r="442" spans="1:10" s="37" customFormat="1" ht="13.2" x14ac:dyDescent="0.25">
      <c r="A442" s="77"/>
      <c r="D442" s="17"/>
      <c r="J442" s="17"/>
    </row>
    <row r="443" spans="1:10" s="37" customFormat="1" ht="13.2" x14ac:dyDescent="0.25">
      <c r="A443" s="77"/>
      <c r="D443" s="17"/>
      <c r="J443" s="17"/>
    </row>
    <row r="444" spans="1:10" s="37" customFormat="1" ht="13.2" x14ac:dyDescent="0.25">
      <c r="A444" s="77"/>
      <c r="D444" s="17"/>
      <c r="J444" s="17"/>
    </row>
    <row r="445" spans="1:10" s="37" customFormat="1" ht="13.2" x14ac:dyDescent="0.25">
      <c r="A445" s="77"/>
      <c r="D445" s="17"/>
      <c r="J445" s="17"/>
    </row>
    <row r="446" spans="1:10" s="37" customFormat="1" ht="13.2" x14ac:dyDescent="0.25">
      <c r="A446" s="77"/>
      <c r="D446" s="17"/>
      <c r="J446" s="17"/>
    </row>
    <row r="447" spans="1:10" s="37" customFormat="1" ht="13.2" x14ac:dyDescent="0.25">
      <c r="A447" s="77"/>
      <c r="D447" s="17"/>
      <c r="J447" s="17"/>
    </row>
    <row r="448" spans="1:10" s="37" customFormat="1" ht="13.2" x14ac:dyDescent="0.25">
      <c r="A448" s="77"/>
      <c r="D448" s="17"/>
      <c r="J448" s="17"/>
    </row>
    <row r="449" spans="1:10" s="37" customFormat="1" ht="13.2" x14ac:dyDescent="0.25">
      <c r="A449" s="77"/>
      <c r="D449" s="17"/>
      <c r="J449" s="17"/>
    </row>
    <row r="450" spans="1:10" s="37" customFormat="1" ht="13.2" x14ac:dyDescent="0.25">
      <c r="A450" s="77"/>
      <c r="D450" s="17"/>
      <c r="J450" s="17"/>
    </row>
    <row r="451" spans="1:10" s="37" customFormat="1" ht="13.2" x14ac:dyDescent="0.25">
      <c r="A451" s="77"/>
      <c r="D451" s="17"/>
      <c r="J451" s="17"/>
    </row>
    <row r="452" spans="1:10" s="37" customFormat="1" ht="13.2" x14ac:dyDescent="0.25">
      <c r="A452" s="77"/>
      <c r="D452" s="17"/>
      <c r="J452" s="17"/>
    </row>
    <row r="453" spans="1:10" s="37" customFormat="1" ht="13.2" x14ac:dyDescent="0.25">
      <c r="A453" s="77"/>
      <c r="D453" s="17"/>
      <c r="J453" s="17"/>
    </row>
    <row r="454" spans="1:10" s="37" customFormat="1" ht="13.2" x14ac:dyDescent="0.25">
      <c r="A454" s="77"/>
      <c r="D454" s="17"/>
      <c r="J454" s="17"/>
    </row>
    <row r="455" spans="1:10" s="37" customFormat="1" ht="13.2" x14ac:dyDescent="0.25">
      <c r="A455" s="77"/>
      <c r="D455" s="17"/>
      <c r="J455" s="17"/>
    </row>
    <row r="456" spans="1:10" s="37" customFormat="1" ht="13.2" x14ac:dyDescent="0.25">
      <c r="A456" s="77"/>
      <c r="D456" s="17"/>
      <c r="J456" s="17"/>
    </row>
    <row r="457" spans="1:10" s="37" customFormat="1" ht="13.2" x14ac:dyDescent="0.25">
      <c r="A457" s="77"/>
      <c r="D457" s="17"/>
      <c r="J457" s="17"/>
    </row>
    <row r="458" spans="1:10" s="37" customFormat="1" ht="13.2" x14ac:dyDescent="0.25">
      <c r="A458" s="77"/>
      <c r="D458" s="17"/>
      <c r="J458" s="17"/>
    </row>
    <row r="459" spans="1:10" s="37" customFormat="1" ht="13.2" x14ac:dyDescent="0.25">
      <c r="A459" s="77"/>
      <c r="D459" s="17"/>
      <c r="J459" s="17"/>
    </row>
    <row r="460" spans="1:10" s="37" customFormat="1" ht="13.2" x14ac:dyDescent="0.25">
      <c r="A460" s="77"/>
      <c r="D460" s="17"/>
      <c r="J460" s="17"/>
    </row>
    <row r="461" spans="1:10" s="37" customFormat="1" ht="13.2" x14ac:dyDescent="0.25">
      <c r="A461" s="77"/>
      <c r="D461" s="17"/>
      <c r="J461" s="17"/>
    </row>
    <row r="462" spans="1:10" s="37" customFormat="1" ht="13.2" x14ac:dyDescent="0.25">
      <c r="A462" s="77"/>
      <c r="D462" s="17"/>
      <c r="J462" s="17"/>
    </row>
    <row r="463" spans="1:10" s="37" customFormat="1" ht="13.2" x14ac:dyDescent="0.25">
      <c r="A463" s="77"/>
      <c r="D463" s="17"/>
      <c r="J463" s="17"/>
    </row>
    <row r="464" spans="1:10" s="37" customFormat="1" ht="13.2" x14ac:dyDescent="0.25">
      <c r="A464" s="77"/>
      <c r="D464" s="17"/>
      <c r="J464" s="17"/>
    </row>
    <row r="465" spans="1:10" s="37" customFormat="1" ht="13.2" x14ac:dyDescent="0.25">
      <c r="A465" s="77"/>
      <c r="D465" s="17"/>
      <c r="J465" s="17"/>
    </row>
    <row r="466" spans="1:10" s="37" customFormat="1" ht="13.2" x14ac:dyDescent="0.25">
      <c r="A466" s="77"/>
      <c r="D466" s="17"/>
      <c r="J466" s="17"/>
    </row>
    <row r="467" spans="1:10" s="37" customFormat="1" ht="13.2" x14ac:dyDescent="0.25">
      <c r="A467" s="77"/>
      <c r="D467" s="17"/>
      <c r="J467" s="17"/>
    </row>
    <row r="468" spans="1:10" s="37" customFormat="1" ht="13.2" x14ac:dyDescent="0.25">
      <c r="A468" s="77"/>
      <c r="D468" s="17"/>
      <c r="J468" s="17"/>
    </row>
    <row r="469" spans="1:10" s="37" customFormat="1" ht="13.2" x14ac:dyDescent="0.25">
      <c r="A469" s="77"/>
      <c r="D469" s="17"/>
      <c r="J469" s="17"/>
    </row>
    <row r="470" spans="1:10" s="37" customFormat="1" ht="13.2" x14ac:dyDescent="0.25">
      <c r="A470" s="77"/>
      <c r="D470" s="17"/>
      <c r="J470" s="17"/>
    </row>
    <row r="471" spans="1:10" s="37" customFormat="1" ht="13.2" x14ac:dyDescent="0.25">
      <c r="A471" s="77"/>
      <c r="D471" s="17"/>
      <c r="J471" s="17"/>
    </row>
    <row r="472" spans="1:10" s="37" customFormat="1" ht="13.2" x14ac:dyDescent="0.25">
      <c r="A472" s="77"/>
      <c r="D472" s="17"/>
      <c r="J472" s="17"/>
    </row>
    <row r="473" spans="1:10" s="37" customFormat="1" ht="13.2" x14ac:dyDescent="0.25">
      <c r="A473" s="77"/>
      <c r="D473" s="17"/>
      <c r="J473" s="17"/>
    </row>
    <row r="474" spans="1:10" s="37" customFormat="1" ht="13.2" x14ac:dyDescent="0.25">
      <c r="A474" s="77"/>
      <c r="D474" s="17"/>
      <c r="J474" s="17"/>
    </row>
    <row r="475" spans="1:10" s="37" customFormat="1" ht="13.2" x14ac:dyDescent="0.25">
      <c r="A475" s="77"/>
      <c r="D475" s="17"/>
      <c r="J475" s="17"/>
    </row>
    <row r="476" spans="1:10" s="37" customFormat="1" ht="13.2" x14ac:dyDescent="0.25">
      <c r="A476" s="77"/>
      <c r="D476" s="17"/>
      <c r="J476" s="17"/>
    </row>
    <row r="477" spans="1:10" s="37" customFormat="1" ht="13.2" x14ac:dyDescent="0.25">
      <c r="A477" s="77"/>
      <c r="D477" s="17"/>
      <c r="J477" s="17"/>
    </row>
    <row r="478" spans="1:10" s="37" customFormat="1" ht="13.2" x14ac:dyDescent="0.25">
      <c r="A478" s="77"/>
      <c r="D478" s="17"/>
      <c r="J478" s="17"/>
    </row>
    <row r="479" spans="1:10" s="37" customFormat="1" ht="13.2" x14ac:dyDescent="0.25">
      <c r="A479" s="77"/>
      <c r="D479" s="17"/>
      <c r="J479" s="17"/>
    </row>
    <row r="480" spans="1:10" s="37" customFormat="1" ht="13.2" x14ac:dyDescent="0.25">
      <c r="A480" s="77"/>
      <c r="D480" s="17"/>
      <c r="J480" s="17"/>
    </row>
    <row r="481" spans="1:10" s="37" customFormat="1" ht="13.2" x14ac:dyDescent="0.25">
      <c r="A481" s="77"/>
      <c r="D481" s="17"/>
      <c r="J481" s="17"/>
    </row>
    <row r="482" spans="1:10" s="37" customFormat="1" ht="13.2" x14ac:dyDescent="0.25">
      <c r="A482" s="77"/>
      <c r="D482" s="17"/>
      <c r="J482" s="17"/>
    </row>
    <row r="483" spans="1:10" s="37" customFormat="1" ht="13.2" x14ac:dyDescent="0.25">
      <c r="A483" s="77"/>
      <c r="D483" s="17"/>
      <c r="J483" s="17"/>
    </row>
    <row r="484" spans="1:10" s="37" customFormat="1" ht="13.2" x14ac:dyDescent="0.25">
      <c r="A484" s="77"/>
      <c r="D484" s="17"/>
      <c r="J484" s="17"/>
    </row>
    <row r="485" spans="1:10" s="37" customFormat="1" ht="13.2" x14ac:dyDescent="0.25">
      <c r="A485" s="77"/>
      <c r="D485" s="17"/>
      <c r="J485" s="17"/>
    </row>
    <row r="486" spans="1:10" s="37" customFormat="1" ht="13.2" x14ac:dyDescent="0.25">
      <c r="A486" s="77"/>
      <c r="D486" s="17"/>
      <c r="J486" s="17"/>
    </row>
    <row r="487" spans="1:10" s="37" customFormat="1" ht="13.2" x14ac:dyDescent="0.25">
      <c r="A487" s="77"/>
      <c r="D487" s="17"/>
      <c r="J487" s="17"/>
    </row>
    <row r="488" spans="1:10" s="37" customFormat="1" ht="13.2" x14ac:dyDescent="0.25">
      <c r="A488" s="77"/>
      <c r="D488" s="17"/>
      <c r="J488" s="17"/>
    </row>
    <row r="489" spans="1:10" s="37" customFormat="1" ht="13.2" x14ac:dyDescent="0.25">
      <c r="A489" s="77"/>
      <c r="D489" s="17"/>
      <c r="J489" s="17"/>
    </row>
    <row r="490" spans="1:10" s="37" customFormat="1" ht="13.2" x14ac:dyDescent="0.25">
      <c r="A490" s="77"/>
      <c r="D490" s="17"/>
      <c r="J490" s="17"/>
    </row>
    <row r="491" spans="1:10" s="37" customFormat="1" ht="13.2" x14ac:dyDescent="0.25">
      <c r="A491" s="77"/>
      <c r="D491" s="17"/>
      <c r="J491" s="17"/>
    </row>
    <row r="492" spans="1:10" s="37" customFormat="1" ht="13.2" x14ac:dyDescent="0.25">
      <c r="A492" s="77"/>
      <c r="D492" s="17"/>
      <c r="J492" s="17"/>
    </row>
    <row r="493" spans="1:10" s="37" customFormat="1" ht="13.2" x14ac:dyDescent="0.25">
      <c r="A493" s="77"/>
      <c r="D493" s="17"/>
      <c r="J493" s="17"/>
    </row>
    <row r="494" spans="1:10" s="37" customFormat="1" ht="13.2" x14ac:dyDescent="0.25">
      <c r="A494" s="77"/>
      <c r="D494" s="17"/>
      <c r="J494" s="17"/>
    </row>
    <row r="495" spans="1:10" s="37" customFormat="1" ht="13.2" x14ac:dyDescent="0.25">
      <c r="A495" s="77"/>
      <c r="D495" s="17"/>
      <c r="J495" s="17"/>
    </row>
    <row r="496" spans="1:10" s="37" customFormat="1" ht="13.2" x14ac:dyDescent="0.25">
      <c r="A496" s="77"/>
      <c r="D496" s="17"/>
      <c r="J496" s="17"/>
    </row>
    <row r="497" spans="1:10" s="37" customFormat="1" ht="13.2" x14ac:dyDescent="0.25">
      <c r="A497" s="77"/>
      <c r="D497" s="17"/>
      <c r="J497" s="17"/>
    </row>
    <row r="498" spans="1:10" s="37" customFormat="1" ht="13.2" x14ac:dyDescent="0.25">
      <c r="A498" s="77"/>
      <c r="D498" s="17"/>
      <c r="J498" s="17"/>
    </row>
    <row r="499" spans="1:10" s="37" customFormat="1" ht="13.2" x14ac:dyDescent="0.25">
      <c r="A499" s="77"/>
      <c r="D499" s="17"/>
      <c r="J499" s="17"/>
    </row>
    <row r="500" spans="1:10" s="37" customFormat="1" ht="13.2" x14ac:dyDescent="0.25">
      <c r="A500" s="77"/>
      <c r="D500" s="17"/>
      <c r="J500" s="17"/>
    </row>
    <row r="501" spans="1:10" s="37" customFormat="1" ht="13.2" x14ac:dyDescent="0.25">
      <c r="A501" s="77"/>
      <c r="D501" s="17"/>
      <c r="J501" s="17"/>
    </row>
    <row r="502" spans="1:10" s="37" customFormat="1" ht="13.2" x14ac:dyDescent="0.25">
      <c r="A502" s="77"/>
      <c r="D502" s="17"/>
      <c r="J502" s="17"/>
    </row>
    <row r="503" spans="1:10" s="37" customFormat="1" ht="13.2" x14ac:dyDescent="0.25">
      <c r="A503" s="77"/>
      <c r="D503" s="17"/>
      <c r="J503" s="17"/>
    </row>
    <row r="504" spans="1:10" s="37" customFormat="1" ht="13.2" x14ac:dyDescent="0.25">
      <c r="A504" s="77"/>
      <c r="D504" s="17"/>
      <c r="J504" s="17"/>
    </row>
    <row r="505" spans="1:10" s="37" customFormat="1" ht="13.2" x14ac:dyDescent="0.25">
      <c r="A505" s="77"/>
      <c r="D505" s="17"/>
      <c r="J505" s="17"/>
    </row>
    <row r="506" spans="1:10" s="37" customFormat="1" ht="13.2" x14ac:dyDescent="0.25">
      <c r="A506" s="77"/>
      <c r="D506" s="17"/>
      <c r="J506" s="17"/>
    </row>
    <row r="507" spans="1:10" s="37" customFormat="1" ht="13.2" x14ac:dyDescent="0.25">
      <c r="A507" s="77"/>
      <c r="D507" s="17"/>
      <c r="J507" s="17"/>
    </row>
    <row r="508" spans="1:10" s="37" customFormat="1" ht="13.2" x14ac:dyDescent="0.25">
      <c r="A508" s="77"/>
      <c r="D508" s="17"/>
      <c r="J508" s="17"/>
    </row>
    <row r="509" spans="1:10" s="37" customFormat="1" ht="13.2" x14ac:dyDescent="0.25">
      <c r="A509" s="77"/>
      <c r="D509" s="17"/>
      <c r="J509" s="17"/>
    </row>
    <row r="510" spans="1:10" s="37" customFormat="1" ht="13.2" x14ac:dyDescent="0.25">
      <c r="A510" s="77"/>
      <c r="D510" s="17"/>
      <c r="J510" s="17"/>
    </row>
    <row r="511" spans="1:10" s="37" customFormat="1" ht="13.2" x14ac:dyDescent="0.25">
      <c r="A511" s="77"/>
      <c r="D511" s="17"/>
      <c r="J511" s="17"/>
    </row>
    <row r="512" spans="1:10" s="37" customFormat="1" ht="13.2" x14ac:dyDescent="0.25">
      <c r="A512" s="77"/>
      <c r="D512" s="17"/>
      <c r="J512" s="17"/>
    </row>
    <row r="513" spans="1:10" s="37" customFormat="1" ht="13.2" x14ac:dyDescent="0.25">
      <c r="A513" s="77"/>
      <c r="D513" s="17"/>
      <c r="J513" s="17"/>
    </row>
    <row r="514" spans="1:10" s="37" customFormat="1" ht="13.2" x14ac:dyDescent="0.25">
      <c r="A514" s="77"/>
      <c r="D514" s="17"/>
      <c r="J514" s="17"/>
    </row>
    <row r="515" spans="1:10" s="37" customFormat="1" ht="13.2" x14ac:dyDescent="0.25">
      <c r="A515" s="77"/>
      <c r="D515" s="17"/>
      <c r="J515" s="17"/>
    </row>
    <row r="516" spans="1:10" s="37" customFormat="1" ht="13.2" x14ac:dyDescent="0.25">
      <c r="A516" s="77"/>
      <c r="D516" s="17"/>
      <c r="J516" s="17"/>
    </row>
    <row r="517" spans="1:10" s="37" customFormat="1" ht="13.2" x14ac:dyDescent="0.25">
      <c r="A517" s="77"/>
      <c r="D517" s="17"/>
      <c r="J517" s="17"/>
    </row>
    <row r="518" spans="1:10" s="37" customFormat="1" ht="13.2" x14ac:dyDescent="0.25">
      <c r="A518" s="77"/>
      <c r="D518" s="17"/>
      <c r="J518" s="17"/>
    </row>
    <row r="519" spans="1:10" s="37" customFormat="1" ht="13.2" x14ac:dyDescent="0.25">
      <c r="A519" s="77"/>
      <c r="D519" s="17"/>
      <c r="J519" s="17"/>
    </row>
    <row r="520" spans="1:10" s="37" customFormat="1" ht="13.2" x14ac:dyDescent="0.25">
      <c r="A520" s="77"/>
      <c r="D520" s="17"/>
      <c r="J520" s="17"/>
    </row>
    <row r="521" spans="1:10" s="37" customFormat="1" ht="13.2" x14ac:dyDescent="0.25">
      <c r="A521" s="77"/>
      <c r="D521" s="17"/>
      <c r="J521" s="17"/>
    </row>
    <row r="522" spans="1:10" s="37" customFormat="1" ht="13.2" x14ac:dyDescent="0.25">
      <c r="A522" s="77"/>
      <c r="D522" s="17"/>
      <c r="J522" s="17"/>
    </row>
    <row r="523" spans="1:10" s="37" customFormat="1" ht="13.2" x14ac:dyDescent="0.25">
      <c r="A523" s="77"/>
      <c r="D523" s="17"/>
      <c r="J523" s="17"/>
    </row>
    <row r="524" spans="1:10" s="37" customFormat="1" ht="13.2" x14ac:dyDescent="0.25">
      <c r="A524" s="77"/>
      <c r="D524" s="17"/>
      <c r="J524" s="17"/>
    </row>
    <row r="525" spans="1:10" s="37" customFormat="1" ht="13.2" x14ac:dyDescent="0.25">
      <c r="A525" s="77"/>
      <c r="D525" s="17"/>
      <c r="J525" s="17"/>
    </row>
    <row r="526" spans="1:10" s="37" customFormat="1" ht="13.2" x14ac:dyDescent="0.25">
      <c r="A526" s="77"/>
      <c r="D526" s="17"/>
      <c r="J526" s="17"/>
    </row>
    <row r="527" spans="1:10" s="37" customFormat="1" ht="13.2" x14ac:dyDescent="0.25">
      <c r="A527" s="77"/>
      <c r="D527" s="17"/>
      <c r="J527" s="17"/>
    </row>
    <row r="528" spans="1:10" s="37" customFormat="1" ht="13.2" x14ac:dyDescent="0.25">
      <c r="A528" s="77"/>
      <c r="D528" s="17"/>
      <c r="J528" s="17"/>
    </row>
    <row r="529" spans="1:10" s="37" customFormat="1" ht="13.2" x14ac:dyDescent="0.25">
      <c r="A529" s="77"/>
      <c r="D529" s="17"/>
      <c r="J529" s="17"/>
    </row>
    <row r="530" spans="1:10" s="37" customFormat="1" ht="13.2" x14ac:dyDescent="0.25">
      <c r="A530" s="77"/>
      <c r="D530" s="17"/>
      <c r="J530" s="17"/>
    </row>
    <row r="531" spans="1:10" s="37" customFormat="1" ht="13.2" x14ac:dyDescent="0.25">
      <c r="A531" s="77"/>
      <c r="D531" s="17"/>
      <c r="J531" s="17"/>
    </row>
    <row r="532" spans="1:10" s="37" customFormat="1" ht="13.2" x14ac:dyDescent="0.25">
      <c r="A532" s="77"/>
      <c r="D532" s="17"/>
      <c r="J532" s="17"/>
    </row>
    <row r="533" spans="1:10" s="37" customFormat="1" ht="13.2" x14ac:dyDescent="0.25">
      <c r="A533" s="77"/>
      <c r="D533" s="17"/>
      <c r="J533" s="17"/>
    </row>
    <row r="534" spans="1:10" s="37" customFormat="1" ht="13.2" x14ac:dyDescent="0.25">
      <c r="A534" s="77"/>
      <c r="D534" s="17"/>
      <c r="J534" s="17"/>
    </row>
    <row r="535" spans="1:10" s="37" customFormat="1" ht="13.2" x14ac:dyDescent="0.25">
      <c r="A535" s="77"/>
      <c r="D535" s="17"/>
      <c r="J535" s="17"/>
    </row>
    <row r="536" spans="1:10" s="37" customFormat="1" ht="13.2" x14ac:dyDescent="0.25">
      <c r="A536" s="77"/>
      <c r="D536" s="17"/>
      <c r="J536" s="17"/>
    </row>
    <row r="537" spans="1:10" s="37" customFormat="1" ht="13.2" x14ac:dyDescent="0.25">
      <c r="A537" s="77"/>
      <c r="D537" s="17"/>
      <c r="J537" s="17"/>
    </row>
    <row r="538" spans="1:10" s="37" customFormat="1" ht="13.2" x14ac:dyDescent="0.25">
      <c r="A538" s="77"/>
      <c r="D538" s="17"/>
      <c r="J538" s="17"/>
    </row>
    <row r="539" spans="1:10" s="37" customFormat="1" ht="13.2" x14ac:dyDescent="0.25">
      <c r="A539" s="77"/>
      <c r="D539" s="17"/>
      <c r="J539" s="17"/>
    </row>
    <row r="540" spans="1:10" s="37" customFormat="1" ht="13.2" x14ac:dyDescent="0.25">
      <c r="A540" s="77"/>
      <c r="D540" s="17"/>
      <c r="J540" s="17"/>
    </row>
    <row r="541" spans="1:10" s="37" customFormat="1" ht="13.2" x14ac:dyDescent="0.25">
      <c r="A541" s="77"/>
      <c r="D541" s="17"/>
      <c r="J541" s="17"/>
    </row>
    <row r="542" spans="1:10" s="37" customFormat="1" ht="13.2" x14ac:dyDescent="0.25">
      <c r="A542" s="77"/>
      <c r="D542" s="17"/>
      <c r="J542" s="17"/>
    </row>
    <row r="543" spans="1:10" s="37" customFormat="1" ht="13.2" x14ac:dyDescent="0.25">
      <c r="A543" s="77"/>
      <c r="D543" s="17"/>
      <c r="J543" s="17"/>
    </row>
    <row r="544" spans="1:10" s="37" customFormat="1" ht="13.2" x14ac:dyDescent="0.25">
      <c r="A544" s="77"/>
      <c r="D544" s="17"/>
      <c r="J544" s="17"/>
    </row>
    <row r="545" spans="1:10" s="37" customFormat="1" ht="13.2" x14ac:dyDescent="0.25">
      <c r="A545" s="77"/>
      <c r="D545" s="17"/>
      <c r="J545" s="17"/>
    </row>
    <row r="546" spans="1:10" s="37" customFormat="1" ht="13.2" x14ac:dyDescent="0.25">
      <c r="A546" s="77"/>
      <c r="D546" s="17"/>
      <c r="J546" s="17"/>
    </row>
    <row r="547" spans="1:10" s="37" customFormat="1" ht="13.2" x14ac:dyDescent="0.25">
      <c r="A547" s="77"/>
      <c r="D547" s="17"/>
      <c r="J547" s="17"/>
    </row>
    <row r="548" spans="1:10" s="37" customFormat="1" ht="13.2" x14ac:dyDescent="0.25">
      <c r="A548" s="77"/>
      <c r="D548" s="17"/>
      <c r="J548" s="17"/>
    </row>
    <row r="549" spans="1:10" s="37" customFormat="1" ht="13.2" x14ac:dyDescent="0.25">
      <c r="A549" s="77"/>
      <c r="D549" s="17"/>
      <c r="J549" s="17"/>
    </row>
    <row r="550" spans="1:10" s="37" customFormat="1" ht="13.2" x14ac:dyDescent="0.25">
      <c r="A550" s="77"/>
      <c r="D550" s="17"/>
      <c r="J550" s="17"/>
    </row>
    <row r="551" spans="1:10" s="37" customFormat="1" ht="13.2" x14ac:dyDescent="0.25">
      <c r="A551" s="77"/>
      <c r="D551" s="17"/>
      <c r="J551" s="17"/>
    </row>
    <row r="552" spans="1:10" s="37" customFormat="1" ht="13.2" x14ac:dyDescent="0.25">
      <c r="A552" s="77"/>
      <c r="D552" s="17"/>
      <c r="J552" s="17"/>
    </row>
    <row r="553" spans="1:10" s="37" customFormat="1" ht="13.2" x14ac:dyDescent="0.25">
      <c r="A553" s="77"/>
      <c r="D553" s="17"/>
      <c r="J553" s="17"/>
    </row>
    <row r="554" spans="1:10" s="37" customFormat="1" ht="13.2" x14ac:dyDescent="0.25">
      <c r="A554" s="77"/>
      <c r="D554" s="17"/>
      <c r="J554" s="17"/>
    </row>
    <row r="555" spans="1:10" s="37" customFormat="1" ht="13.2" x14ac:dyDescent="0.25">
      <c r="A555" s="77"/>
      <c r="D555" s="17"/>
      <c r="J555" s="17"/>
    </row>
    <row r="556" spans="1:10" s="37" customFormat="1" ht="13.2" x14ac:dyDescent="0.25">
      <c r="A556" s="77"/>
      <c r="D556" s="17"/>
      <c r="J556" s="17"/>
    </row>
    <row r="557" spans="1:10" s="37" customFormat="1" ht="13.2" x14ac:dyDescent="0.25">
      <c r="A557" s="77"/>
      <c r="D557" s="17"/>
      <c r="J557" s="17"/>
    </row>
    <row r="558" spans="1:10" s="37" customFormat="1" ht="13.2" x14ac:dyDescent="0.25">
      <c r="A558" s="77"/>
      <c r="D558" s="17"/>
      <c r="J558" s="17"/>
    </row>
    <row r="559" spans="1:10" s="37" customFormat="1" ht="13.2" x14ac:dyDescent="0.25">
      <c r="A559" s="77"/>
      <c r="D559" s="17"/>
      <c r="J559" s="17"/>
    </row>
    <row r="560" spans="1:10" s="37" customFormat="1" ht="13.2" x14ac:dyDescent="0.25">
      <c r="A560" s="77"/>
      <c r="D560" s="17"/>
      <c r="J560" s="17"/>
    </row>
    <row r="561" spans="1:10" s="37" customFormat="1" ht="13.2" x14ac:dyDescent="0.25">
      <c r="A561" s="77"/>
      <c r="D561" s="17"/>
      <c r="J561" s="17"/>
    </row>
    <row r="562" spans="1:10" s="37" customFormat="1" ht="13.2" x14ac:dyDescent="0.25">
      <c r="A562" s="77"/>
      <c r="D562" s="17"/>
      <c r="J562" s="17"/>
    </row>
    <row r="563" spans="1:10" s="37" customFormat="1" ht="13.2" x14ac:dyDescent="0.25">
      <c r="A563" s="77"/>
      <c r="D563" s="17"/>
      <c r="J563" s="17"/>
    </row>
    <row r="564" spans="1:10" s="37" customFormat="1" ht="13.2" x14ac:dyDescent="0.25">
      <c r="A564" s="77"/>
      <c r="D564" s="17"/>
      <c r="J564" s="17"/>
    </row>
    <row r="565" spans="1:10" s="37" customFormat="1" ht="13.2" x14ac:dyDescent="0.25">
      <c r="A565" s="77"/>
      <c r="D565" s="17"/>
      <c r="J565" s="17"/>
    </row>
    <row r="566" spans="1:10" s="37" customFormat="1" ht="13.2" x14ac:dyDescent="0.25">
      <c r="A566" s="77"/>
      <c r="D566" s="17"/>
      <c r="J566" s="17"/>
    </row>
    <row r="567" spans="1:10" s="37" customFormat="1" ht="13.2" x14ac:dyDescent="0.25">
      <c r="A567" s="77"/>
      <c r="D567" s="17"/>
      <c r="J567" s="17"/>
    </row>
    <row r="568" spans="1:10" s="37" customFormat="1" ht="13.2" x14ac:dyDescent="0.25">
      <c r="A568" s="77"/>
      <c r="D568" s="17"/>
      <c r="J568" s="17"/>
    </row>
    <row r="569" spans="1:10" s="37" customFormat="1" ht="13.2" x14ac:dyDescent="0.25">
      <c r="A569" s="77"/>
      <c r="D569" s="17"/>
      <c r="J569" s="17"/>
    </row>
    <row r="570" spans="1:10" s="37" customFormat="1" ht="13.2" x14ac:dyDescent="0.25">
      <c r="A570" s="77"/>
      <c r="D570" s="17"/>
      <c r="J570" s="17"/>
    </row>
    <row r="571" spans="1:10" s="37" customFormat="1" ht="13.2" x14ac:dyDescent="0.25">
      <c r="A571" s="77"/>
      <c r="D571" s="17"/>
      <c r="J571" s="17"/>
    </row>
    <row r="572" spans="1:10" s="37" customFormat="1" ht="13.2" x14ac:dyDescent="0.25">
      <c r="A572" s="77"/>
      <c r="D572" s="17"/>
      <c r="J572" s="17"/>
    </row>
    <row r="573" spans="1:10" s="37" customFormat="1" ht="13.2" x14ac:dyDescent="0.25">
      <c r="A573" s="77"/>
      <c r="D573" s="17"/>
      <c r="J573" s="17"/>
    </row>
    <row r="574" spans="1:10" s="37" customFormat="1" ht="13.2" x14ac:dyDescent="0.25">
      <c r="A574" s="77"/>
      <c r="D574" s="17"/>
      <c r="J574" s="17"/>
    </row>
    <row r="575" spans="1:10" s="37" customFormat="1" ht="13.2" x14ac:dyDescent="0.25">
      <c r="A575" s="77"/>
      <c r="D575" s="17"/>
      <c r="J575" s="17"/>
    </row>
    <row r="576" spans="1:10" s="37" customFormat="1" ht="13.2" x14ac:dyDescent="0.25">
      <c r="A576" s="77"/>
      <c r="D576" s="17"/>
      <c r="J576" s="17"/>
    </row>
    <row r="577" spans="1:10" s="37" customFormat="1" ht="13.2" x14ac:dyDescent="0.25">
      <c r="A577" s="77"/>
      <c r="D577" s="17"/>
      <c r="J577" s="17"/>
    </row>
    <row r="578" spans="1:10" s="37" customFormat="1" ht="13.2" x14ac:dyDescent="0.25">
      <c r="A578" s="77"/>
      <c r="D578" s="17"/>
      <c r="J578" s="17"/>
    </row>
    <row r="579" spans="1:10" s="37" customFormat="1" ht="13.2" x14ac:dyDescent="0.25">
      <c r="A579" s="77"/>
      <c r="D579" s="17"/>
      <c r="J579" s="17"/>
    </row>
    <row r="580" spans="1:10" s="37" customFormat="1" ht="13.2" x14ac:dyDescent="0.25">
      <c r="A580" s="77"/>
      <c r="D580" s="17"/>
      <c r="J580" s="17"/>
    </row>
    <row r="581" spans="1:10" s="37" customFormat="1" ht="13.2" x14ac:dyDescent="0.25">
      <c r="A581" s="77"/>
      <c r="D581" s="17"/>
      <c r="J581" s="17"/>
    </row>
    <row r="582" spans="1:10" s="37" customFormat="1" ht="13.2" x14ac:dyDescent="0.25">
      <c r="A582" s="77"/>
      <c r="D582" s="17"/>
      <c r="J582" s="17"/>
    </row>
    <row r="583" spans="1:10" s="37" customFormat="1" ht="13.2" x14ac:dyDescent="0.25">
      <c r="A583" s="77"/>
      <c r="D583" s="17"/>
      <c r="J583" s="17"/>
    </row>
    <row r="584" spans="1:10" s="37" customFormat="1" ht="13.2" x14ac:dyDescent="0.25">
      <c r="A584" s="77"/>
      <c r="D584" s="17"/>
      <c r="J584" s="17"/>
    </row>
    <row r="585" spans="1:10" s="37" customFormat="1" ht="13.2" x14ac:dyDescent="0.25">
      <c r="A585" s="77"/>
      <c r="D585" s="17"/>
      <c r="J585" s="17"/>
    </row>
    <row r="586" spans="1:10" s="37" customFormat="1" ht="13.2" x14ac:dyDescent="0.25">
      <c r="A586" s="77"/>
      <c r="D586" s="17"/>
      <c r="J586" s="17"/>
    </row>
    <row r="587" spans="1:10" s="37" customFormat="1" ht="13.2" x14ac:dyDescent="0.25">
      <c r="A587" s="77"/>
      <c r="D587" s="17"/>
      <c r="J587" s="17"/>
    </row>
    <row r="588" spans="1:10" s="37" customFormat="1" ht="13.2" x14ac:dyDescent="0.25">
      <c r="A588" s="77"/>
      <c r="D588" s="17"/>
      <c r="J588" s="17"/>
    </row>
    <row r="589" spans="1:10" s="37" customFormat="1" ht="13.2" x14ac:dyDescent="0.25">
      <c r="A589" s="77"/>
      <c r="D589" s="17"/>
      <c r="J589" s="17"/>
    </row>
    <row r="590" spans="1:10" s="37" customFormat="1" ht="13.2" x14ac:dyDescent="0.25">
      <c r="A590" s="77"/>
      <c r="D590" s="17"/>
      <c r="J590" s="17"/>
    </row>
    <row r="591" spans="1:10" s="37" customFormat="1" ht="13.2" x14ac:dyDescent="0.25">
      <c r="A591" s="77"/>
      <c r="D591" s="17"/>
      <c r="J591" s="17"/>
    </row>
    <row r="592" spans="1:10" s="37" customFormat="1" ht="13.2" x14ac:dyDescent="0.25">
      <c r="A592" s="77"/>
      <c r="D592" s="17"/>
      <c r="J592" s="17"/>
    </row>
    <row r="593" spans="1:10" s="37" customFormat="1" ht="13.2" x14ac:dyDescent="0.25">
      <c r="A593" s="77"/>
      <c r="D593" s="17"/>
      <c r="J593" s="17"/>
    </row>
    <row r="594" spans="1:10" s="37" customFormat="1" ht="13.2" x14ac:dyDescent="0.25">
      <c r="A594" s="77"/>
      <c r="D594" s="17"/>
      <c r="J594" s="17"/>
    </row>
    <row r="595" spans="1:10" s="37" customFormat="1" ht="13.2" x14ac:dyDescent="0.25">
      <c r="A595" s="77"/>
      <c r="D595" s="17"/>
      <c r="J595" s="17"/>
    </row>
    <row r="596" spans="1:10" s="37" customFormat="1" ht="13.2" x14ac:dyDescent="0.25">
      <c r="A596" s="77"/>
      <c r="D596" s="17"/>
      <c r="J596" s="17"/>
    </row>
    <row r="597" spans="1:10" s="37" customFormat="1" ht="13.2" x14ac:dyDescent="0.25">
      <c r="A597" s="77"/>
      <c r="D597" s="17"/>
      <c r="J597" s="17"/>
    </row>
    <row r="598" spans="1:10" s="37" customFormat="1" ht="13.2" x14ac:dyDescent="0.25">
      <c r="A598" s="77"/>
      <c r="D598" s="17"/>
      <c r="J598" s="17"/>
    </row>
    <row r="599" spans="1:10" s="37" customFormat="1" ht="13.2" x14ac:dyDescent="0.25">
      <c r="A599" s="77"/>
      <c r="D599" s="17"/>
      <c r="J599" s="17"/>
    </row>
    <row r="600" spans="1:10" s="37" customFormat="1" ht="13.2" x14ac:dyDescent="0.25">
      <c r="A600" s="77"/>
      <c r="D600" s="17"/>
      <c r="J600" s="17"/>
    </row>
    <row r="601" spans="1:10" s="37" customFormat="1" ht="13.2" x14ac:dyDescent="0.25">
      <c r="A601" s="77"/>
      <c r="D601" s="17"/>
      <c r="J601" s="17"/>
    </row>
    <row r="602" spans="1:10" s="37" customFormat="1" ht="13.2" x14ac:dyDescent="0.25">
      <c r="A602" s="77"/>
      <c r="D602" s="17"/>
      <c r="J602" s="17"/>
    </row>
    <row r="603" spans="1:10" s="37" customFormat="1" ht="13.2" x14ac:dyDescent="0.25">
      <c r="A603" s="77"/>
      <c r="D603" s="17"/>
      <c r="J603" s="17"/>
    </row>
    <row r="604" spans="1:10" s="37" customFormat="1" ht="13.2" x14ac:dyDescent="0.25">
      <c r="A604" s="77"/>
      <c r="D604" s="17"/>
      <c r="J604" s="17"/>
    </row>
    <row r="605" spans="1:10" s="37" customFormat="1" ht="13.2" x14ac:dyDescent="0.25">
      <c r="A605" s="77"/>
      <c r="D605" s="17"/>
      <c r="J605" s="17"/>
    </row>
    <row r="606" spans="1:10" s="37" customFormat="1" ht="13.2" x14ac:dyDescent="0.25">
      <c r="A606" s="77"/>
      <c r="D606" s="17"/>
      <c r="J606" s="17"/>
    </row>
    <row r="607" spans="1:10" s="37" customFormat="1" ht="13.2" x14ac:dyDescent="0.25">
      <c r="A607" s="77"/>
      <c r="D607" s="17"/>
      <c r="J607" s="17"/>
    </row>
    <row r="608" spans="1:10" s="37" customFormat="1" ht="13.2" x14ac:dyDescent="0.25">
      <c r="A608" s="77"/>
      <c r="D608" s="17"/>
      <c r="J608" s="17"/>
    </row>
    <row r="609" spans="1:10" s="37" customFormat="1" ht="13.2" x14ac:dyDescent="0.25">
      <c r="A609" s="77"/>
      <c r="D609" s="17"/>
      <c r="J609" s="17"/>
    </row>
    <row r="610" spans="1:10" s="37" customFormat="1" ht="13.2" x14ac:dyDescent="0.25">
      <c r="A610" s="77"/>
      <c r="D610" s="17"/>
      <c r="J610" s="17"/>
    </row>
    <row r="611" spans="1:10" s="37" customFormat="1" ht="13.2" x14ac:dyDescent="0.25">
      <c r="A611" s="77"/>
      <c r="D611" s="17"/>
      <c r="J611" s="17"/>
    </row>
    <row r="612" spans="1:10" s="37" customFormat="1" ht="13.2" x14ac:dyDescent="0.25">
      <c r="A612" s="77"/>
      <c r="D612" s="17"/>
      <c r="J612" s="17"/>
    </row>
    <row r="613" spans="1:10" s="37" customFormat="1" ht="13.2" x14ac:dyDescent="0.25">
      <c r="A613" s="77"/>
      <c r="D613" s="17"/>
      <c r="J613" s="17"/>
    </row>
    <row r="614" spans="1:10" s="37" customFormat="1" ht="13.2" x14ac:dyDescent="0.25">
      <c r="A614" s="77"/>
      <c r="D614" s="17"/>
      <c r="J614" s="17"/>
    </row>
    <row r="615" spans="1:10" s="37" customFormat="1" ht="13.2" x14ac:dyDescent="0.25">
      <c r="A615" s="77"/>
      <c r="D615" s="17"/>
      <c r="J615" s="17"/>
    </row>
    <row r="616" spans="1:10" s="37" customFormat="1" ht="13.2" x14ac:dyDescent="0.25">
      <c r="A616" s="77"/>
      <c r="D616" s="17"/>
      <c r="J616" s="17"/>
    </row>
    <row r="617" spans="1:10" s="37" customFormat="1" ht="13.2" x14ac:dyDescent="0.25">
      <c r="A617" s="77"/>
      <c r="D617" s="17"/>
      <c r="J617" s="17"/>
    </row>
    <row r="618" spans="1:10" s="37" customFormat="1" ht="13.2" x14ac:dyDescent="0.25">
      <c r="A618" s="77"/>
      <c r="D618" s="17"/>
      <c r="J618" s="17"/>
    </row>
    <row r="619" spans="1:10" s="37" customFormat="1" ht="13.2" x14ac:dyDescent="0.25">
      <c r="A619" s="77"/>
      <c r="D619" s="17"/>
      <c r="J619" s="17"/>
    </row>
    <row r="620" spans="1:10" s="37" customFormat="1" ht="13.2" x14ac:dyDescent="0.25">
      <c r="A620" s="77"/>
      <c r="D620" s="17"/>
      <c r="J620" s="17"/>
    </row>
    <row r="621" spans="1:10" s="37" customFormat="1" ht="13.2" x14ac:dyDescent="0.25">
      <c r="A621" s="77"/>
      <c r="D621" s="17"/>
      <c r="J621" s="17"/>
    </row>
    <row r="622" spans="1:10" s="37" customFormat="1" ht="13.2" x14ac:dyDescent="0.25">
      <c r="A622" s="77"/>
      <c r="D622" s="17"/>
      <c r="J622" s="17"/>
    </row>
    <row r="623" spans="1:10" s="37" customFormat="1" ht="13.2" x14ac:dyDescent="0.25">
      <c r="A623" s="77"/>
      <c r="D623" s="17"/>
      <c r="J623" s="17"/>
    </row>
    <row r="624" spans="1:10" s="37" customFormat="1" ht="13.2" x14ac:dyDescent="0.25">
      <c r="A624" s="77"/>
      <c r="D624" s="17"/>
      <c r="J624" s="17"/>
    </row>
    <row r="625" spans="1:10" s="37" customFormat="1" ht="13.2" x14ac:dyDescent="0.25">
      <c r="A625" s="77"/>
      <c r="D625" s="17"/>
      <c r="J625" s="17"/>
    </row>
    <row r="626" spans="1:10" s="37" customFormat="1" ht="13.2" x14ac:dyDescent="0.25">
      <c r="A626" s="77"/>
      <c r="D626" s="17"/>
      <c r="J626" s="17"/>
    </row>
    <row r="627" spans="1:10" s="37" customFormat="1" ht="13.2" x14ac:dyDescent="0.25">
      <c r="A627" s="77"/>
      <c r="D627" s="17"/>
      <c r="J627" s="17"/>
    </row>
    <row r="628" spans="1:10" s="37" customFormat="1" ht="13.2" x14ac:dyDescent="0.25">
      <c r="A628" s="77"/>
      <c r="D628" s="17"/>
      <c r="J628" s="17"/>
    </row>
    <row r="629" spans="1:10" s="37" customFormat="1" ht="13.2" x14ac:dyDescent="0.25">
      <c r="A629" s="77"/>
      <c r="D629" s="17"/>
      <c r="J629" s="17"/>
    </row>
    <row r="630" spans="1:10" s="37" customFormat="1" ht="13.2" x14ac:dyDescent="0.25">
      <c r="A630" s="77"/>
      <c r="D630" s="17"/>
      <c r="J630" s="17"/>
    </row>
    <row r="631" spans="1:10" s="37" customFormat="1" ht="13.2" x14ac:dyDescent="0.25">
      <c r="A631" s="77"/>
      <c r="D631" s="17"/>
      <c r="J631" s="17"/>
    </row>
    <row r="632" spans="1:10" s="37" customFormat="1" ht="13.2" x14ac:dyDescent="0.25">
      <c r="A632" s="77"/>
      <c r="D632" s="17"/>
      <c r="J632" s="17"/>
    </row>
    <row r="633" spans="1:10" s="37" customFormat="1" ht="13.2" x14ac:dyDescent="0.25">
      <c r="A633" s="77"/>
      <c r="D633" s="17"/>
      <c r="J633" s="17"/>
    </row>
    <row r="634" spans="1:10" s="37" customFormat="1" ht="13.2" x14ac:dyDescent="0.25">
      <c r="A634" s="77"/>
      <c r="D634" s="17"/>
      <c r="J634" s="17"/>
    </row>
    <row r="635" spans="1:10" s="37" customFormat="1" ht="13.2" x14ac:dyDescent="0.25">
      <c r="A635" s="77"/>
      <c r="D635" s="17"/>
      <c r="J635" s="17"/>
    </row>
    <row r="636" spans="1:10" s="37" customFormat="1" ht="13.2" x14ac:dyDescent="0.25">
      <c r="A636" s="77"/>
      <c r="D636" s="17"/>
      <c r="J636" s="17"/>
    </row>
    <row r="637" spans="1:10" s="37" customFormat="1" ht="13.2" x14ac:dyDescent="0.25">
      <c r="A637" s="77"/>
      <c r="D637" s="17"/>
      <c r="J637" s="17"/>
    </row>
    <row r="638" spans="1:10" s="37" customFormat="1" ht="13.2" x14ac:dyDescent="0.25">
      <c r="A638" s="77"/>
      <c r="D638" s="17"/>
      <c r="J638" s="17"/>
    </row>
    <row r="639" spans="1:10" s="37" customFormat="1" ht="13.2" x14ac:dyDescent="0.25">
      <c r="A639" s="77"/>
      <c r="D639" s="17"/>
      <c r="J639" s="17"/>
    </row>
    <row r="640" spans="1:10" s="37" customFormat="1" ht="13.2" x14ac:dyDescent="0.25">
      <c r="A640" s="77"/>
      <c r="D640" s="17"/>
      <c r="J640" s="17"/>
    </row>
    <row r="641" spans="1:10" s="37" customFormat="1" ht="13.2" x14ac:dyDescent="0.25">
      <c r="A641" s="77"/>
      <c r="D641" s="17"/>
      <c r="J641" s="17"/>
    </row>
    <row r="642" spans="1:10" s="37" customFormat="1" ht="13.2" x14ac:dyDescent="0.25">
      <c r="A642" s="77"/>
      <c r="D642" s="17"/>
      <c r="J642" s="17"/>
    </row>
    <row r="643" spans="1:10" s="37" customFormat="1" ht="13.2" x14ac:dyDescent="0.25">
      <c r="A643" s="77"/>
      <c r="D643" s="17"/>
      <c r="J643" s="17"/>
    </row>
    <row r="644" spans="1:10" s="37" customFormat="1" ht="13.2" x14ac:dyDescent="0.25">
      <c r="A644" s="77"/>
      <c r="D644" s="17"/>
      <c r="J644" s="17"/>
    </row>
    <row r="645" spans="1:10" s="37" customFormat="1" ht="13.2" x14ac:dyDescent="0.25">
      <c r="A645" s="77"/>
      <c r="D645" s="17"/>
      <c r="J645" s="17"/>
    </row>
    <row r="646" spans="1:10" s="37" customFormat="1" ht="13.2" x14ac:dyDescent="0.25">
      <c r="A646" s="77"/>
      <c r="D646" s="17"/>
      <c r="J646" s="17"/>
    </row>
    <row r="647" spans="1:10" s="37" customFormat="1" ht="13.2" x14ac:dyDescent="0.25">
      <c r="A647" s="77"/>
      <c r="D647" s="17"/>
      <c r="J647" s="17"/>
    </row>
    <row r="648" spans="1:10" s="37" customFormat="1" ht="13.2" x14ac:dyDescent="0.25">
      <c r="A648" s="77"/>
      <c r="D648" s="17"/>
      <c r="J648" s="17"/>
    </row>
    <row r="649" spans="1:10" s="37" customFormat="1" ht="13.2" x14ac:dyDescent="0.25">
      <c r="A649" s="77"/>
      <c r="D649" s="17"/>
      <c r="J649" s="17"/>
    </row>
    <row r="650" spans="1:10" s="37" customFormat="1" ht="13.2" x14ac:dyDescent="0.25">
      <c r="A650" s="77"/>
      <c r="D650" s="17"/>
      <c r="J650" s="17"/>
    </row>
    <row r="651" spans="1:10" s="37" customFormat="1" ht="13.2" x14ac:dyDescent="0.25">
      <c r="A651" s="77"/>
      <c r="D651" s="17"/>
      <c r="J651" s="17"/>
    </row>
    <row r="652" spans="1:10" s="37" customFormat="1" ht="13.2" x14ac:dyDescent="0.25">
      <c r="A652" s="77"/>
      <c r="D652" s="17"/>
      <c r="J652" s="17"/>
    </row>
    <row r="653" spans="1:10" s="37" customFormat="1" ht="13.2" x14ac:dyDescent="0.25">
      <c r="A653" s="77"/>
      <c r="D653" s="17"/>
      <c r="J653" s="17"/>
    </row>
    <row r="654" spans="1:10" s="37" customFormat="1" ht="13.2" x14ac:dyDescent="0.25">
      <c r="A654" s="77"/>
      <c r="D654" s="17"/>
      <c r="J654" s="17"/>
    </row>
    <row r="655" spans="1:10" s="37" customFormat="1" ht="13.2" x14ac:dyDescent="0.25">
      <c r="A655" s="77"/>
      <c r="D655" s="17"/>
      <c r="J655" s="17"/>
    </row>
    <row r="656" spans="1:10" s="37" customFormat="1" ht="13.2" x14ac:dyDescent="0.25">
      <c r="A656" s="77"/>
      <c r="D656" s="17"/>
      <c r="J656" s="17"/>
    </row>
    <row r="657" spans="1:10" s="37" customFormat="1" ht="13.2" x14ac:dyDescent="0.25">
      <c r="A657" s="77"/>
      <c r="D657" s="17"/>
      <c r="J657" s="17"/>
    </row>
    <row r="658" spans="1:10" s="37" customFormat="1" ht="13.2" x14ac:dyDescent="0.25">
      <c r="A658" s="77"/>
      <c r="D658" s="17"/>
      <c r="J658" s="17"/>
    </row>
    <row r="659" spans="1:10" s="37" customFormat="1" ht="13.2" x14ac:dyDescent="0.25">
      <c r="A659" s="77"/>
      <c r="D659" s="17"/>
      <c r="J659" s="17"/>
    </row>
    <row r="660" spans="1:10" s="37" customFormat="1" ht="13.2" x14ac:dyDescent="0.25">
      <c r="A660" s="77"/>
      <c r="D660" s="17"/>
      <c r="J660" s="17"/>
    </row>
    <row r="661" spans="1:10" s="37" customFormat="1" ht="13.2" x14ac:dyDescent="0.25">
      <c r="A661" s="77"/>
      <c r="D661" s="17"/>
      <c r="J661" s="17"/>
    </row>
    <row r="662" spans="1:10" s="37" customFormat="1" ht="13.2" x14ac:dyDescent="0.25">
      <c r="A662" s="77"/>
      <c r="D662" s="17"/>
      <c r="J662" s="17"/>
    </row>
    <row r="663" spans="1:10" s="37" customFormat="1" ht="13.2" x14ac:dyDescent="0.25">
      <c r="A663" s="77"/>
      <c r="D663" s="17"/>
      <c r="J663" s="17"/>
    </row>
    <row r="664" spans="1:10" s="37" customFormat="1" ht="13.2" x14ac:dyDescent="0.25">
      <c r="A664" s="77"/>
      <c r="D664" s="17"/>
      <c r="J664" s="17"/>
    </row>
    <row r="665" spans="1:10" s="37" customFormat="1" ht="13.2" x14ac:dyDescent="0.25">
      <c r="A665" s="77"/>
      <c r="D665" s="17"/>
      <c r="J665" s="17"/>
    </row>
    <row r="666" spans="1:10" s="37" customFormat="1" ht="13.2" x14ac:dyDescent="0.25">
      <c r="A666" s="77"/>
      <c r="D666" s="17"/>
      <c r="J666" s="17"/>
    </row>
    <row r="667" spans="1:10" s="37" customFormat="1" ht="13.2" x14ac:dyDescent="0.25">
      <c r="A667" s="77"/>
      <c r="D667" s="17"/>
      <c r="J667" s="17"/>
    </row>
    <row r="668" spans="1:10" s="37" customFormat="1" ht="13.2" x14ac:dyDescent="0.25">
      <c r="A668" s="77"/>
      <c r="D668" s="17"/>
      <c r="J668" s="17"/>
    </row>
    <row r="669" spans="1:10" s="37" customFormat="1" ht="13.2" x14ac:dyDescent="0.25">
      <c r="A669" s="77"/>
      <c r="D669" s="17"/>
      <c r="J669" s="17"/>
    </row>
    <row r="670" spans="1:10" s="37" customFormat="1" ht="13.2" x14ac:dyDescent="0.25">
      <c r="A670" s="77"/>
      <c r="D670" s="17"/>
      <c r="J670" s="17"/>
    </row>
    <row r="671" spans="1:10" s="37" customFormat="1" ht="13.2" x14ac:dyDescent="0.25">
      <c r="A671" s="77"/>
      <c r="D671" s="17"/>
      <c r="J671" s="17"/>
    </row>
    <row r="672" spans="1:10" s="37" customFormat="1" ht="13.2" x14ac:dyDescent="0.25">
      <c r="A672" s="77"/>
      <c r="D672" s="17"/>
      <c r="J672" s="17"/>
    </row>
    <row r="673" spans="1:10" s="37" customFormat="1" ht="13.2" x14ac:dyDescent="0.25">
      <c r="A673" s="77"/>
      <c r="D673" s="17"/>
      <c r="J673" s="17"/>
    </row>
    <row r="674" spans="1:10" s="37" customFormat="1" ht="13.2" x14ac:dyDescent="0.25">
      <c r="A674" s="77"/>
      <c r="D674" s="17"/>
      <c r="J674" s="17"/>
    </row>
    <row r="675" spans="1:10" s="37" customFormat="1" ht="13.2" x14ac:dyDescent="0.25">
      <c r="A675" s="77"/>
      <c r="D675" s="17"/>
      <c r="J675" s="17"/>
    </row>
    <row r="676" spans="1:10" s="37" customFormat="1" ht="13.2" x14ac:dyDescent="0.25">
      <c r="A676" s="77"/>
      <c r="D676" s="17"/>
      <c r="J676" s="17"/>
    </row>
    <row r="677" spans="1:10" s="37" customFormat="1" ht="13.2" x14ac:dyDescent="0.25">
      <c r="A677" s="77"/>
      <c r="D677" s="17"/>
      <c r="J677" s="17"/>
    </row>
    <row r="678" spans="1:10" s="37" customFormat="1" ht="13.2" x14ac:dyDescent="0.25">
      <c r="A678" s="77"/>
      <c r="D678" s="17"/>
      <c r="J678" s="17"/>
    </row>
    <row r="679" spans="1:10" s="37" customFormat="1" ht="13.2" x14ac:dyDescent="0.25">
      <c r="A679" s="77"/>
      <c r="D679" s="17"/>
      <c r="J679" s="17"/>
    </row>
    <row r="680" spans="1:10" s="37" customFormat="1" ht="13.2" x14ac:dyDescent="0.25">
      <c r="A680" s="77"/>
      <c r="D680" s="17"/>
      <c r="J680" s="17"/>
    </row>
    <row r="681" spans="1:10" s="37" customFormat="1" ht="13.2" x14ac:dyDescent="0.25">
      <c r="A681" s="77"/>
      <c r="D681" s="17"/>
      <c r="J681" s="17"/>
    </row>
    <row r="682" spans="1:10" s="37" customFormat="1" ht="13.2" x14ac:dyDescent="0.25">
      <c r="A682" s="77"/>
      <c r="D682" s="17"/>
      <c r="J682" s="17"/>
    </row>
    <row r="683" spans="1:10" s="37" customFormat="1" ht="13.2" x14ac:dyDescent="0.25">
      <c r="A683" s="77"/>
      <c r="D683" s="17"/>
      <c r="J683" s="17"/>
    </row>
    <row r="684" spans="1:10" s="37" customFormat="1" ht="13.2" x14ac:dyDescent="0.25">
      <c r="A684" s="77"/>
      <c r="D684" s="17"/>
      <c r="J684" s="17"/>
    </row>
    <row r="685" spans="1:10" s="37" customFormat="1" ht="13.2" x14ac:dyDescent="0.25">
      <c r="A685" s="77"/>
      <c r="D685" s="17"/>
      <c r="J685" s="17"/>
    </row>
    <row r="686" spans="1:10" s="37" customFormat="1" ht="13.2" x14ac:dyDescent="0.25">
      <c r="A686" s="77"/>
      <c r="D686" s="17"/>
      <c r="J686" s="17"/>
    </row>
    <row r="687" spans="1:10" s="37" customFormat="1" ht="13.2" x14ac:dyDescent="0.25">
      <c r="A687" s="77"/>
      <c r="D687" s="17"/>
      <c r="J687" s="17"/>
    </row>
    <row r="688" spans="1:10" s="37" customFormat="1" ht="13.2" x14ac:dyDescent="0.25">
      <c r="A688" s="77"/>
      <c r="D688" s="17"/>
      <c r="J688" s="17"/>
    </row>
    <row r="689" spans="1:10" s="37" customFormat="1" ht="13.2" x14ac:dyDescent="0.25">
      <c r="A689" s="77"/>
      <c r="D689" s="17"/>
      <c r="J689" s="17"/>
    </row>
    <row r="690" spans="1:10" s="37" customFormat="1" ht="13.2" x14ac:dyDescent="0.25">
      <c r="A690" s="77"/>
      <c r="D690" s="17"/>
      <c r="J690" s="17"/>
    </row>
    <row r="691" spans="1:10" s="37" customFormat="1" ht="13.2" x14ac:dyDescent="0.25">
      <c r="A691" s="77"/>
      <c r="D691" s="17"/>
      <c r="J691" s="17"/>
    </row>
    <row r="692" spans="1:10" s="37" customFormat="1" ht="13.2" x14ac:dyDescent="0.25">
      <c r="A692" s="77"/>
      <c r="D692" s="17"/>
      <c r="J692" s="17"/>
    </row>
    <row r="693" spans="1:10" s="37" customFormat="1" ht="13.2" x14ac:dyDescent="0.25">
      <c r="A693" s="77"/>
      <c r="D693" s="17"/>
      <c r="J693" s="17"/>
    </row>
    <row r="694" spans="1:10" s="37" customFormat="1" ht="13.2" x14ac:dyDescent="0.25">
      <c r="A694" s="77"/>
      <c r="D694" s="17"/>
      <c r="J694" s="17"/>
    </row>
    <row r="695" spans="1:10" s="37" customFormat="1" ht="13.2" x14ac:dyDescent="0.25">
      <c r="A695" s="77"/>
      <c r="D695" s="17"/>
      <c r="J695" s="17"/>
    </row>
    <row r="696" spans="1:10" s="37" customFormat="1" ht="13.2" x14ac:dyDescent="0.25">
      <c r="A696" s="77"/>
      <c r="D696" s="17"/>
      <c r="J696" s="17"/>
    </row>
    <row r="697" spans="1:10" s="37" customFormat="1" ht="13.2" x14ac:dyDescent="0.25">
      <c r="A697" s="77"/>
      <c r="D697" s="17"/>
      <c r="J697" s="17"/>
    </row>
    <row r="698" spans="1:10" s="37" customFormat="1" ht="13.2" x14ac:dyDescent="0.25">
      <c r="A698" s="77"/>
      <c r="D698" s="17"/>
      <c r="J698" s="17"/>
    </row>
    <row r="699" spans="1:10" s="37" customFormat="1" ht="13.2" x14ac:dyDescent="0.25">
      <c r="A699" s="77"/>
      <c r="D699" s="17"/>
      <c r="J699" s="17"/>
    </row>
    <row r="700" spans="1:10" s="37" customFormat="1" ht="13.2" x14ac:dyDescent="0.25">
      <c r="A700" s="77"/>
      <c r="D700" s="17"/>
      <c r="J700" s="17"/>
    </row>
    <row r="701" spans="1:10" s="37" customFormat="1" ht="13.2" x14ac:dyDescent="0.25">
      <c r="A701" s="77"/>
      <c r="D701" s="17"/>
      <c r="J701" s="17"/>
    </row>
    <row r="702" spans="1:10" s="37" customFormat="1" ht="13.2" x14ac:dyDescent="0.25">
      <c r="A702" s="77"/>
      <c r="D702" s="17"/>
      <c r="J702" s="17"/>
    </row>
    <row r="703" spans="1:10" s="37" customFormat="1" ht="13.2" x14ac:dyDescent="0.25">
      <c r="A703" s="77"/>
      <c r="D703" s="17"/>
      <c r="J703" s="17"/>
    </row>
    <row r="704" spans="1:10" s="37" customFormat="1" ht="13.2" x14ac:dyDescent="0.25">
      <c r="A704" s="77"/>
      <c r="D704" s="17"/>
      <c r="J704" s="17"/>
    </row>
    <row r="705" spans="1:10" s="37" customFormat="1" ht="13.2" x14ac:dyDescent="0.25">
      <c r="A705" s="77"/>
      <c r="D705" s="17"/>
      <c r="J705" s="17"/>
    </row>
    <row r="706" spans="1:10" s="37" customFormat="1" ht="13.2" x14ac:dyDescent="0.25">
      <c r="A706" s="77"/>
      <c r="D706" s="17"/>
      <c r="J706" s="17"/>
    </row>
    <row r="707" spans="1:10" s="37" customFormat="1" ht="13.2" x14ac:dyDescent="0.25">
      <c r="A707" s="77"/>
      <c r="D707" s="17"/>
      <c r="J707" s="17"/>
    </row>
    <row r="708" spans="1:10" s="37" customFormat="1" ht="13.2" x14ac:dyDescent="0.25">
      <c r="A708" s="77"/>
      <c r="D708" s="17"/>
      <c r="J708" s="17"/>
    </row>
    <row r="709" spans="1:10" s="37" customFormat="1" ht="13.2" x14ac:dyDescent="0.25">
      <c r="A709" s="77"/>
      <c r="D709" s="17"/>
      <c r="J709" s="17"/>
    </row>
    <row r="710" spans="1:10" s="37" customFormat="1" ht="13.2" x14ac:dyDescent="0.25">
      <c r="A710" s="77"/>
      <c r="D710" s="17"/>
      <c r="J710" s="17"/>
    </row>
    <row r="711" spans="1:10" s="37" customFormat="1" ht="13.2" x14ac:dyDescent="0.25">
      <c r="A711" s="77"/>
      <c r="D711" s="17"/>
      <c r="J711" s="17"/>
    </row>
    <row r="712" spans="1:10" s="37" customFormat="1" ht="13.2" x14ac:dyDescent="0.25">
      <c r="A712" s="77"/>
      <c r="D712" s="17"/>
      <c r="J712" s="17"/>
    </row>
    <row r="713" spans="1:10" s="37" customFormat="1" ht="13.2" x14ac:dyDescent="0.25">
      <c r="A713" s="77"/>
      <c r="D713" s="17"/>
      <c r="J713" s="17"/>
    </row>
    <row r="714" spans="1:10" s="37" customFormat="1" ht="13.2" x14ac:dyDescent="0.25">
      <c r="A714" s="77"/>
      <c r="D714" s="17"/>
      <c r="J714" s="17"/>
    </row>
    <row r="715" spans="1:10" s="37" customFormat="1" ht="13.2" x14ac:dyDescent="0.25">
      <c r="A715" s="77"/>
      <c r="D715" s="17"/>
      <c r="J715" s="17"/>
    </row>
    <row r="716" spans="1:10" s="37" customFormat="1" ht="13.2" x14ac:dyDescent="0.25">
      <c r="A716" s="77"/>
      <c r="D716" s="17"/>
      <c r="J716" s="17"/>
    </row>
    <row r="717" spans="1:10" s="37" customFormat="1" ht="13.2" x14ac:dyDescent="0.25">
      <c r="A717" s="77"/>
      <c r="D717" s="17"/>
      <c r="J717" s="17"/>
    </row>
    <row r="718" spans="1:10" s="37" customFormat="1" ht="13.2" x14ac:dyDescent="0.25">
      <c r="A718" s="77"/>
      <c r="D718" s="17"/>
      <c r="J718" s="17"/>
    </row>
    <row r="719" spans="1:10" s="37" customFormat="1" ht="13.2" x14ac:dyDescent="0.25">
      <c r="A719" s="77"/>
      <c r="D719" s="17"/>
      <c r="J719" s="17"/>
    </row>
    <row r="720" spans="1:10" s="37" customFormat="1" ht="13.2" x14ac:dyDescent="0.25">
      <c r="A720" s="77"/>
      <c r="D720" s="17"/>
      <c r="J720" s="17"/>
    </row>
    <row r="721" spans="1:10" s="37" customFormat="1" ht="13.2" x14ac:dyDescent="0.25">
      <c r="A721" s="77"/>
      <c r="D721" s="17"/>
      <c r="J721" s="17"/>
    </row>
    <row r="722" spans="1:10" s="37" customFormat="1" ht="13.2" x14ac:dyDescent="0.25">
      <c r="A722" s="77"/>
      <c r="D722" s="17"/>
      <c r="J722" s="17"/>
    </row>
    <row r="723" spans="1:10" s="37" customFormat="1" ht="13.2" x14ac:dyDescent="0.25">
      <c r="A723" s="77"/>
      <c r="D723" s="17"/>
      <c r="J723" s="17"/>
    </row>
    <row r="724" spans="1:10" s="37" customFormat="1" ht="13.2" x14ac:dyDescent="0.25">
      <c r="A724" s="77"/>
      <c r="D724" s="17"/>
      <c r="J724" s="17"/>
    </row>
    <row r="725" spans="1:10" s="37" customFormat="1" ht="13.2" x14ac:dyDescent="0.25">
      <c r="A725" s="77"/>
      <c r="D725" s="17"/>
      <c r="J725" s="17"/>
    </row>
    <row r="726" spans="1:10" s="37" customFormat="1" ht="13.2" x14ac:dyDescent="0.25">
      <c r="A726" s="77"/>
      <c r="D726" s="17"/>
      <c r="J726" s="17"/>
    </row>
    <row r="727" spans="1:10" s="37" customFormat="1" ht="13.2" x14ac:dyDescent="0.25">
      <c r="A727" s="77"/>
      <c r="D727" s="17"/>
      <c r="J727" s="17"/>
    </row>
    <row r="728" spans="1:10" s="37" customFormat="1" ht="13.2" x14ac:dyDescent="0.25">
      <c r="A728" s="77"/>
      <c r="D728" s="17"/>
      <c r="J728" s="17"/>
    </row>
    <row r="729" spans="1:10" s="37" customFormat="1" ht="13.2" x14ac:dyDescent="0.25">
      <c r="A729" s="77"/>
      <c r="D729" s="17"/>
      <c r="J729" s="17"/>
    </row>
    <row r="730" spans="1:10" s="37" customFormat="1" ht="13.2" x14ac:dyDescent="0.25">
      <c r="A730" s="77"/>
      <c r="D730" s="17"/>
      <c r="J730" s="17"/>
    </row>
    <row r="731" spans="1:10" s="37" customFormat="1" ht="13.2" x14ac:dyDescent="0.25">
      <c r="A731" s="77"/>
      <c r="D731" s="17"/>
      <c r="J731" s="17"/>
    </row>
    <row r="732" spans="1:10" s="37" customFormat="1" ht="13.2" x14ac:dyDescent="0.25">
      <c r="A732" s="77"/>
      <c r="D732" s="17"/>
      <c r="J732" s="17"/>
    </row>
    <row r="733" spans="1:10" s="37" customFormat="1" ht="13.2" x14ac:dyDescent="0.25">
      <c r="A733" s="77"/>
      <c r="D733" s="17"/>
      <c r="J733" s="17"/>
    </row>
    <row r="734" spans="1:10" s="37" customFormat="1" ht="13.2" x14ac:dyDescent="0.25">
      <c r="A734" s="77"/>
      <c r="D734" s="17"/>
      <c r="J734" s="17"/>
    </row>
    <row r="735" spans="1:10" s="37" customFormat="1" ht="13.2" x14ac:dyDescent="0.25">
      <c r="A735" s="77"/>
      <c r="D735" s="17"/>
      <c r="J735" s="17"/>
    </row>
    <row r="736" spans="1:10" s="37" customFormat="1" ht="13.2" x14ac:dyDescent="0.25">
      <c r="A736" s="77"/>
      <c r="D736" s="17"/>
      <c r="J736" s="17"/>
    </row>
    <row r="737" spans="1:10" s="37" customFormat="1" ht="13.2" x14ac:dyDescent="0.25">
      <c r="A737" s="77"/>
      <c r="D737" s="17"/>
      <c r="J737" s="17"/>
    </row>
    <row r="738" spans="1:10" s="37" customFormat="1" ht="13.2" x14ac:dyDescent="0.25">
      <c r="A738" s="77"/>
      <c r="D738" s="17"/>
      <c r="J738" s="17"/>
    </row>
    <row r="739" spans="1:10" s="37" customFormat="1" ht="13.2" x14ac:dyDescent="0.25">
      <c r="A739" s="77"/>
      <c r="D739" s="17"/>
      <c r="J739" s="17"/>
    </row>
    <row r="740" spans="1:10" s="37" customFormat="1" ht="13.2" x14ac:dyDescent="0.25">
      <c r="A740" s="77"/>
      <c r="D740" s="17"/>
      <c r="J740" s="17"/>
    </row>
    <row r="741" spans="1:10" s="37" customFormat="1" ht="13.2" x14ac:dyDescent="0.25">
      <c r="A741" s="77"/>
      <c r="D741" s="17"/>
      <c r="J741" s="17"/>
    </row>
    <row r="742" spans="1:10" s="37" customFormat="1" ht="13.2" x14ac:dyDescent="0.25">
      <c r="A742" s="77"/>
      <c r="D742" s="17"/>
      <c r="J742" s="17"/>
    </row>
    <row r="743" spans="1:10" s="37" customFormat="1" ht="13.2" x14ac:dyDescent="0.25">
      <c r="A743" s="77"/>
      <c r="D743" s="17"/>
      <c r="J743" s="17"/>
    </row>
    <row r="744" spans="1:10" s="37" customFormat="1" ht="13.2" x14ac:dyDescent="0.25">
      <c r="A744" s="77"/>
      <c r="D744" s="17"/>
      <c r="J744" s="17"/>
    </row>
    <row r="745" spans="1:10" s="37" customFormat="1" ht="13.2" x14ac:dyDescent="0.25">
      <c r="A745" s="77"/>
      <c r="D745" s="17"/>
      <c r="J745" s="17"/>
    </row>
    <row r="746" spans="1:10" s="37" customFormat="1" ht="13.2" x14ac:dyDescent="0.25">
      <c r="A746" s="77"/>
      <c r="D746" s="17"/>
      <c r="J746" s="17"/>
    </row>
    <row r="747" spans="1:10" s="37" customFormat="1" ht="13.2" x14ac:dyDescent="0.25">
      <c r="A747" s="77"/>
      <c r="D747" s="17"/>
      <c r="J747" s="17"/>
    </row>
    <row r="748" spans="1:10" s="37" customFormat="1" ht="13.2" x14ac:dyDescent="0.25">
      <c r="A748" s="77"/>
      <c r="D748" s="17"/>
      <c r="J748" s="17"/>
    </row>
    <row r="749" spans="1:10" s="37" customFormat="1" ht="13.2" x14ac:dyDescent="0.25">
      <c r="A749" s="77"/>
      <c r="D749" s="17"/>
      <c r="J749" s="17"/>
    </row>
    <row r="750" spans="1:10" x14ac:dyDescent="0.3">
      <c r="A750" s="77"/>
    </row>
    <row r="751" spans="1:10" x14ac:dyDescent="0.3">
      <c r="A751" s="77"/>
    </row>
    <row r="752" spans="1:10" x14ac:dyDescent="0.3">
      <c r="A752" s="77"/>
    </row>
    <row r="753" spans="1:1" x14ac:dyDescent="0.3">
      <c r="A753" s="77"/>
    </row>
    <row r="754" spans="1:1" x14ac:dyDescent="0.3">
      <c r="A754" s="77"/>
    </row>
    <row r="755" spans="1:1" x14ac:dyDescent="0.3">
      <c r="A755" s="77"/>
    </row>
    <row r="756" spans="1:1" x14ac:dyDescent="0.3">
      <c r="A756" s="77"/>
    </row>
    <row r="757" spans="1:1" x14ac:dyDescent="0.3">
      <c r="A757" s="77"/>
    </row>
    <row r="758" spans="1:1" x14ac:dyDescent="0.3">
      <c r="A758" s="77"/>
    </row>
    <row r="759" spans="1:1" x14ac:dyDescent="0.3">
      <c r="A759" s="77"/>
    </row>
    <row r="760" spans="1:1" x14ac:dyDescent="0.3">
      <c r="A760" s="77"/>
    </row>
    <row r="761" spans="1:1" x14ac:dyDescent="0.3">
      <c r="A761" s="77"/>
    </row>
    <row r="762" spans="1:1" x14ac:dyDescent="0.3">
      <c r="A762" s="77"/>
    </row>
    <row r="763" spans="1:1" x14ac:dyDescent="0.3">
      <c r="A763" s="77"/>
    </row>
    <row r="764" spans="1:1" x14ac:dyDescent="0.3">
      <c r="A764" s="77"/>
    </row>
    <row r="765" spans="1:1" x14ac:dyDescent="0.3">
      <c r="A765" s="77"/>
    </row>
    <row r="766" spans="1:1" x14ac:dyDescent="0.3">
      <c r="A766" s="77"/>
    </row>
    <row r="767" spans="1:1" x14ac:dyDescent="0.3">
      <c r="A767" s="77"/>
    </row>
    <row r="768" spans="1:1" x14ac:dyDescent="0.3">
      <c r="A768" s="77"/>
    </row>
    <row r="769" spans="1:1" x14ac:dyDescent="0.3">
      <c r="A769" s="77"/>
    </row>
    <row r="770" spans="1:1" x14ac:dyDescent="0.3">
      <c r="A770" s="77"/>
    </row>
    <row r="771" spans="1:1" x14ac:dyDescent="0.3">
      <c r="A771" s="77"/>
    </row>
    <row r="772" spans="1:1" x14ac:dyDescent="0.3">
      <c r="A772" s="77"/>
    </row>
    <row r="773" spans="1:1" x14ac:dyDescent="0.3">
      <c r="A773" s="77"/>
    </row>
    <row r="774" spans="1:1" x14ac:dyDescent="0.3">
      <c r="A774" s="77"/>
    </row>
    <row r="775" spans="1:1" x14ac:dyDescent="0.3">
      <c r="A775" s="77"/>
    </row>
    <row r="776" spans="1:1" x14ac:dyDescent="0.3">
      <c r="A776" s="77"/>
    </row>
    <row r="777" spans="1:1" x14ac:dyDescent="0.3">
      <c r="A777" s="77"/>
    </row>
    <row r="778" spans="1:1" x14ac:dyDescent="0.3">
      <c r="A778" s="77"/>
    </row>
    <row r="779" spans="1:1" x14ac:dyDescent="0.3">
      <c r="A779" s="77"/>
    </row>
    <row r="780" spans="1:1" x14ac:dyDescent="0.3">
      <c r="A780" s="77"/>
    </row>
    <row r="781" spans="1:1" x14ac:dyDescent="0.3">
      <c r="A781" s="77"/>
    </row>
    <row r="782" spans="1:1" x14ac:dyDescent="0.3">
      <c r="A782" s="77"/>
    </row>
    <row r="783" spans="1:1" x14ac:dyDescent="0.3">
      <c r="A783" s="77"/>
    </row>
    <row r="784" spans="1:1" x14ac:dyDescent="0.3">
      <c r="A784" s="77"/>
    </row>
    <row r="785" spans="1:1" x14ac:dyDescent="0.3">
      <c r="A785" s="77"/>
    </row>
    <row r="786" spans="1:1" x14ac:dyDescent="0.3">
      <c r="A786" s="77"/>
    </row>
    <row r="787" spans="1:1" x14ac:dyDescent="0.3">
      <c r="A787" s="77"/>
    </row>
    <row r="788" spans="1:1" x14ac:dyDescent="0.3">
      <c r="A788" s="77"/>
    </row>
    <row r="789" spans="1:1" x14ac:dyDescent="0.3">
      <c r="A789" s="77"/>
    </row>
    <row r="790" spans="1:1" x14ac:dyDescent="0.3">
      <c r="A790" s="77"/>
    </row>
    <row r="791" spans="1:1" x14ac:dyDescent="0.3">
      <c r="A791" s="77"/>
    </row>
    <row r="792" spans="1:1" x14ac:dyDescent="0.3">
      <c r="A792" s="77"/>
    </row>
    <row r="793" spans="1:1" x14ac:dyDescent="0.3">
      <c r="A793" s="77"/>
    </row>
    <row r="794" spans="1:1" x14ac:dyDescent="0.3">
      <c r="A794" s="77"/>
    </row>
    <row r="795" spans="1:1" x14ac:dyDescent="0.3">
      <c r="A795" s="77"/>
    </row>
    <row r="796" spans="1:1" x14ac:dyDescent="0.3">
      <c r="A796" s="77"/>
    </row>
    <row r="797" spans="1:1" x14ac:dyDescent="0.3">
      <c r="A797" s="77"/>
    </row>
    <row r="798" spans="1:1" x14ac:dyDescent="0.3">
      <c r="A798" s="77"/>
    </row>
    <row r="799" spans="1:1" x14ac:dyDescent="0.3">
      <c r="A799" s="77"/>
    </row>
    <row r="800" spans="1:1" x14ac:dyDescent="0.3">
      <c r="A800" s="77"/>
    </row>
    <row r="801" spans="1:1" x14ac:dyDescent="0.3">
      <c r="A801" s="77"/>
    </row>
    <row r="802" spans="1:1" x14ac:dyDescent="0.3">
      <c r="A802" s="77"/>
    </row>
    <row r="803" spans="1:1" x14ac:dyDescent="0.3">
      <c r="A803" s="77"/>
    </row>
    <row r="804" spans="1:1" x14ac:dyDescent="0.3">
      <c r="A804" s="77"/>
    </row>
  </sheetData>
  <sheetProtection selectLockedCells="1" selectUnlockedCells="1"/>
  <mergeCells count="2">
    <mergeCell ref="O3:S3"/>
    <mergeCell ref="E2:K2"/>
  </mergeCells>
  <conditionalFormatting sqref="B10:C764">
    <cfRule type="expression" dxfId="12" priority="29634">
      <formula>#REF!=""</formula>
    </cfRule>
  </conditionalFormatting>
  <dataValidations xWindow="218" yWindow="397" count="13">
    <dataValidation type="list" allowBlank="1" showInputMessage="1" showErrorMessage="1" sqref="H5:H9" xr:uid="{3EB07FD7-DB9E-4973-B961-AE566A7A32A6}">
      <formula1>Referred_by</formula1>
    </dataValidation>
    <dataValidation type="list" allowBlank="1" showInputMessage="1" showErrorMessage="1" sqref="I5:I9" xr:uid="{1CA31B2D-E32D-4FA9-A73E-3518575B7D3A}">
      <formula1>Reason_Referral</formula1>
    </dataValidation>
    <dataValidation type="list" allowBlank="1" showInputMessage="1" showErrorMessage="1" sqref="G5:G9" xr:uid="{B0A2289B-C185-4D2B-BB5E-9E16A9FB25FE}">
      <formula1>Status</formula1>
    </dataValidation>
    <dataValidation type="list" allowBlank="1" showInputMessage="1" showErrorMessage="1" sqref="J5:J9" xr:uid="{B02FD786-3933-40A4-82B9-EB0E22D6D4F7}">
      <formula1>First_Contact</formula1>
    </dataValidation>
    <dataValidation type="list" allowBlank="1" showInputMessage="1" showErrorMessage="1" sqref="K5:K9" xr:uid="{0E129FF0-8E1C-4368-BACB-C4BD5E52E7E7}">
      <formula1>Eligible</formula1>
    </dataValidation>
    <dataValidation type="list" allowBlank="1" showInputMessage="1" showErrorMessage="1" sqref="M5:M9" xr:uid="{529CBC94-822F-4B68-86C2-ECF003BD98CF}">
      <formula1>First_Appointment</formula1>
    </dataValidation>
    <dataValidation type="list" allowBlank="1" showInputMessage="1" showErrorMessage="1" sqref="N5:N9" xr:uid="{B5FEB57E-A113-4BE0-9299-CC676059C708}">
      <formula1>Never_Seen</formula1>
    </dataValidation>
    <dataValidation type="list" allowBlank="1" showInputMessage="1" showErrorMessage="1" sqref="F5:F9" xr:uid="{EAF2B0D9-21B2-458E-837F-B993F0F1A179}">
      <formula1>Community</formula1>
    </dataValidation>
    <dataValidation allowBlank="1" showInputMessage="1" errorTitle="AUTOMATIC" error="The age is calculated automatically" promptTitle="DO NOT MODIFY" prompt="The age is calculated automatically" sqref="E5:E9" xr:uid="{6D160929-6CFE-46A5-A585-F96E250C6748}"/>
    <dataValidation allowBlank="1" showErrorMessage="1" prompt="Enter or select the reference number that is associated with the client in the Individuals Identification sheet" sqref="B5:B764 C6:C764" xr:uid="{E470A5F6-75B3-45C4-A358-74FEAE848893}"/>
    <dataValidation type="list" allowBlank="1" showErrorMessage="1" prompt="Enter or select the reference number that is associated with the client in the Individuals Identification sheet" sqref="A5:A804" xr:uid="{4713A187-C731-4C5D-9251-38CAD22C6FC2}">
      <formula1>Yes</formula1>
    </dataValidation>
    <dataValidation type="date" allowBlank="1" showErrorMessage="1" error="This date is invalid. Please write a date in the proper format and between 2025-04-01 and 2026-03-31." promptTitle="Invalid date" prompt="." sqref="D5:D9" xr:uid="{4F397184-696F-4262-8AD1-916FC95D45F5}">
      <formula1>45748</formula1>
      <formula2>46112</formula2>
    </dataValidation>
    <dataValidation allowBlank="1" prompt="Enter or select the reference number that is associated with the client in the Individuals Identification sheet" sqref="C5" xr:uid="{2B11296E-CF71-41EF-81F6-9597BDE03F70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0F30-C5B7-4C2F-B5F4-4DF5381F69DB}">
  <sheetPr codeName="Sheet2">
    <tabColor theme="7" tint="0.79998168889431442"/>
  </sheetPr>
  <dimension ref="A2:AN782"/>
  <sheetViews>
    <sheetView workbookViewId="0">
      <selection activeCell="E7" sqref="E7"/>
    </sheetView>
  </sheetViews>
  <sheetFormatPr defaultColWidth="11.5546875" defaultRowHeight="14.4" x14ac:dyDescent="0.3"/>
  <cols>
    <col min="1" max="1" width="6.6640625" bestFit="1" customWidth="1"/>
    <col min="2" max="2" width="11.109375" style="47" bestFit="1" customWidth="1"/>
    <col min="3" max="3" width="16.44140625" style="47" customWidth="1"/>
    <col min="4" max="4" width="17.77734375" style="47" customWidth="1"/>
    <col min="5" max="6" width="14.44140625" style="47" customWidth="1"/>
    <col min="7" max="7" width="16.44140625" style="47" customWidth="1"/>
    <col min="8" max="8" width="19.6640625" style="47" bestFit="1" customWidth="1"/>
    <col min="9" max="9" width="18.33203125" style="47" bestFit="1" customWidth="1"/>
    <col min="10" max="10" width="18.33203125" style="47" customWidth="1"/>
    <col min="11" max="11" width="18.44140625" style="47" bestFit="1" customWidth="1"/>
    <col min="12" max="12" width="14" style="47" bestFit="1" customWidth="1"/>
    <col min="13" max="13" width="18.6640625" bestFit="1" customWidth="1"/>
    <col min="14" max="14" width="13.6640625" bestFit="1" customWidth="1"/>
    <col min="15" max="15" width="16.44140625" bestFit="1" customWidth="1"/>
    <col min="16" max="16" width="27.109375" bestFit="1" customWidth="1"/>
    <col min="17" max="17" width="27" bestFit="1" customWidth="1"/>
    <col min="18" max="18" width="20.33203125" bestFit="1" customWidth="1"/>
    <col min="19" max="19" width="22.33203125" bestFit="1" customWidth="1"/>
    <col min="20" max="20" width="17" customWidth="1"/>
    <col min="21" max="21" width="18.88671875" bestFit="1" customWidth="1"/>
    <col min="22" max="22" width="16.33203125" customWidth="1"/>
    <col min="23" max="23" width="38.6640625" bestFit="1" customWidth="1"/>
    <col min="24" max="24" width="40.109375" customWidth="1"/>
    <col min="25" max="25" width="38.6640625" bestFit="1" customWidth="1"/>
    <col min="26" max="26" width="72.33203125" customWidth="1"/>
    <col min="27" max="28" width="24.44140625" bestFit="1" customWidth="1"/>
    <col min="29" max="29" width="22.5546875" bestFit="1" customWidth="1"/>
    <col min="30" max="30" width="15.109375" bestFit="1" customWidth="1"/>
    <col min="31" max="32" width="64.33203125" bestFit="1" customWidth="1"/>
    <col min="33" max="33" width="54" customWidth="1"/>
    <col min="34" max="34" width="22.5546875" bestFit="1" customWidth="1"/>
    <col min="35" max="35" width="25.6640625" bestFit="1" customWidth="1"/>
  </cols>
  <sheetData>
    <row r="2" spans="1:40" ht="15" customHeight="1" x14ac:dyDescent="0.3">
      <c r="C2" s="209"/>
      <c r="D2" s="209"/>
      <c r="E2" s="581" t="s">
        <v>549</v>
      </c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1"/>
      <c r="AB2" s="581"/>
      <c r="AC2" s="581"/>
      <c r="AD2" s="581"/>
      <c r="AE2" s="581"/>
      <c r="AF2" s="581"/>
      <c r="AG2" s="209"/>
      <c r="AH2" s="209"/>
    </row>
    <row r="3" spans="1:40" s="7" customFormat="1" ht="15" customHeight="1" thickBot="1" x14ac:dyDescent="0.35"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8"/>
      <c r="AB3" s="108"/>
      <c r="AC3" s="108"/>
      <c r="AD3" s="108"/>
      <c r="AE3" s="108"/>
      <c r="AF3" s="108"/>
      <c r="AG3" s="108"/>
      <c r="AH3" s="108"/>
      <c r="AI3" s="108"/>
      <c r="AJ3" s="580" t="s">
        <v>471</v>
      </c>
      <c r="AK3" s="580"/>
      <c r="AL3" s="580"/>
      <c r="AM3" s="580"/>
      <c r="AN3" s="580"/>
    </row>
    <row r="4" spans="1:40" s="40" customFormat="1" ht="91.2" customHeight="1" thickBot="1" x14ac:dyDescent="0.4">
      <c r="A4" s="368" t="s">
        <v>536</v>
      </c>
      <c r="B4" s="548" t="s">
        <v>550</v>
      </c>
      <c r="C4" s="549" t="s">
        <v>551</v>
      </c>
      <c r="D4" s="82" t="s">
        <v>552</v>
      </c>
      <c r="E4" s="82" t="s">
        <v>553</v>
      </c>
      <c r="F4" s="82" t="s">
        <v>554</v>
      </c>
      <c r="G4" s="82" t="s">
        <v>555</v>
      </c>
      <c r="H4" s="82" t="s">
        <v>25</v>
      </c>
      <c r="I4" s="82" t="s">
        <v>556</v>
      </c>
      <c r="J4" s="82" t="s">
        <v>557</v>
      </c>
      <c r="K4" s="82" t="s">
        <v>558</v>
      </c>
      <c r="L4" s="82" t="s">
        <v>559</v>
      </c>
      <c r="M4" s="82" t="s">
        <v>33</v>
      </c>
      <c r="N4" s="82" t="s">
        <v>560</v>
      </c>
      <c r="O4" s="82" t="s">
        <v>561</v>
      </c>
      <c r="P4" s="82" t="s">
        <v>562</v>
      </c>
      <c r="Q4" s="536" t="s">
        <v>37</v>
      </c>
      <c r="R4" s="82" t="s">
        <v>563</v>
      </c>
      <c r="S4" s="82" t="s">
        <v>564</v>
      </c>
      <c r="T4" s="82" t="s">
        <v>565</v>
      </c>
      <c r="U4" s="82" t="s">
        <v>566</v>
      </c>
      <c r="V4" s="82" t="s">
        <v>567</v>
      </c>
      <c r="W4" s="81" t="s">
        <v>568</v>
      </c>
      <c r="X4" s="81" t="s">
        <v>569</v>
      </c>
      <c r="Y4" s="81" t="s">
        <v>570</v>
      </c>
      <c r="Z4" s="81" t="s">
        <v>571</v>
      </c>
      <c r="AA4" s="82" t="s">
        <v>572</v>
      </c>
      <c r="AB4" s="82" t="s">
        <v>573</v>
      </c>
      <c r="AC4" s="82" t="s">
        <v>574</v>
      </c>
      <c r="AD4" s="82" t="s">
        <v>575</v>
      </c>
      <c r="AE4" s="82" t="s">
        <v>576</v>
      </c>
      <c r="AF4" s="82" t="s">
        <v>577</v>
      </c>
      <c r="AG4" s="82" t="s">
        <v>578</v>
      </c>
      <c r="AH4" s="82" t="s">
        <v>579</v>
      </c>
      <c r="AI4" s="82" t="s">
        <v>580</v>
      </c>
      <c r="AJ4" s="39"/>
      <c r="AK4" s="39"/>
      <c r="AL4" s="39"/>
      <c r="AM4" s="39"/>
      <c r="AN4" s="39"/>
    </row>
    <row r="5" spans="1:40" s="37" customFormat="1" ht="15" hidden="1" customHeight="1" x14ac:dyDescent="0.25">
      <c r="A5" s="80"/>
      <c r="B5" s="77" t="s">
        <v>581</v>
      </c>
      <c r="C5" s="78"/>
      <c r="D5" s="535"/>
      <c r="E5" s="383"/>
      <c r="F5" s="435"/>
      <c r="G5" s="435"/>
      <c r="H5" s="435"/>
      <c r="I5" s="435"/>
      <c r="J5" s="435"/>
      <c r="K5" s="435"/>
      <c r="L5" s="435"/>
      <c r="M5" s="129"/>
      <c r="N5" s="48"/>
      <c r="O5" s="48"/>
      <c r="P5" s="48"/>
      <c r="Q5" s="109"/>
      <c r="R5" s="110"/>
      <c r="S5" s="110"/>
      <c r="T5" s="110"/>
      <c r="U5" s="110"/>
      <c r="V5" s="435"/>
      <c r="W5" s="111" t="str">
        <f>IF(OR($V5="No", $V5="Unknown"), "N/A","")</f>
        <v/>
      </c>
      <c r="X5" s="111" t="str">
        <f t="shared" ref="X5:AA9" si="0">IF(OR($V5="No", $V5="Unknown"), "N/A","")</f>
        <v/>
      </c>
      <c r="Y5" s="111" t="str">
        <f t="shared" si="0"/>
        <v/>
      </c>
      <c r="Z5" s="133" t="str">
        <f>IF(OR($V5="No", $V5="Unknown"), "N/A","")</f>
        <v/>
      </c>
      <c r="AA5" s="111" t="str">
        <f>IF(OR($V5="No", $V5="Unknown"), "N/A","")</f>
        <v/>
      </c>
      <c r="AB5" s="111" t="str">
        <f t="shared" ref="AB5:AF9" si="1">IF(OR($V5="No", $V5="Unknown"), "N/A","")</f>
        <v/>
      </c>
      <c r="AC5" s="111" t="str">
        <f t="shared" si="1"/>
        <v/>
      </c>
      <c r="AD5" s="111" t="str">
        <f t="shared" ref="AD5:AF5" si="2">IF(OR($V5="No", $V5="Unknown"), "N/A","")</f>
        <v/>
      </c>
      <c r="AE5" s="111" t="str">
        <f t="shared" si="2"/>
        <v/>
      </c>
      <c r="AF5" s="111" t="str">
        <f t="shared" si="2"/>
        <v/>
      </c>
      <c r="AG5" s="111" t="str">
        <f>IF(OR($AF5="No", $AF5="Unknown"), "N/A","")</f>
        <v/>
      </c>
      <c r="AH5" s="111" t="str">
        <f>IF(OR($AF5="No", $AF5="Unknown"), "N/A","")</f>
        <v/>
      </c>
      <c r="AI5" s="111"/>
    </row>
    <row r="6" spans="1:40" s="37" customFormat="1" ht="15" hidden="1" customHeight="1" x14ac:dyDescent="0.25">
      <c r="A6" s="80"/>
      <c r="B6" s="41" t="s">
        <v>581</v>
      </c>
      <c r="C6" s="78"/>
      <c r="D6" s="535"/>
      <c r="E6" s="383"/>
      <c r="F6" s="435"/>
      <c r="G6" s="435"/>
      <c r="H6" s="435"/>
      <c r="I6" s="435"/>
      <c r="J6" s="435"/>
      <c r="K6" s="435"/>
      <c r="L6" s="435"/>
      <c r="M6" s="129"/>
      <c r="N6" s="48"/>
      <c r="O6" s="48"/>
      <c r="P6" s="48"/>
      <c r="Q6" s="109"/>
      <c r="R6" s="110"/>
      <c r="S6" s="110"/>
      <c r="T6" s="110"/>
      <c r="U6" s="110"/>
      <c r="V6" s="435"/>
      <c r="W6" s="111" t="str">
        <f t="shared" ref="W6" si="3">IF(OR($V6="No", $V6="Unknown"), "N/A","")</f>
        <v/>
      </c>
      <c r="X6" s="111" t="str">
        <f t="shared" si="0"/>
        <v/>
      </c>
      <c r="Y6" s="111" t="str">
        <f t="shared" si="0"/>
        <v/>
      </c>
      <c r="Z6" s="133" t="str">
        <f t="shared" si="0"/>
        <v/>
      </c>
      <c r="AA6" s="111" t="str">
        <f t="shared" si="0"/>
        <v/>
      </c>
      <c r="AB6" s="111" t="str">
        <f t="shared" si="1"/>
        <v/>
      </c>
      <c r="AC6" s="111" t="str">
        <f t="shared" si="1"/>
        <v/>
      </c>
      <c r="AD6" s="111" t="str">
        <f t="shared" si="1"/>
        <v/>
      </c>
      <c r="AE6" s="111" t="str">
        <f t="shared" si="1"/>
        <v/>
      </c>
      <c r="AF6" s="111" t="str">
        <f t="shared" si="1"/>
        <v/>
      </c>
      <c r="AG6" s="111" t="str">
        <f t="shared" ref="AG6" si="4">IF(OR($AF6="No", $AF6="Unknown"), "N/A","")</f>
        <v/>
      </c>
      <c r="AH6" s="111" t="str">
        <f t="shared" ref="AH6" si="5">IF(OR($AF6="No", $AF6="Unknown"), "N/A","")</f>
        <v/>
      </c>
      <c r="AI6" s="111"/>
    </row>
    <row r="7" spans="1:40" s="37" customFormat="1" ht="13.2" x14ac:dyDescent="0.25">
      <c r="A7" s="80" t="s">
        <v>0</v>
      </c>
      <c r="B7" s="77" t="s">
        <v>581</v>
      </c>
      <c r="C7" s="78"/>
      <c r="D7" s="535"/>
      <c r="E7" s="383"/>
      <c r="F7" s="435"/>
      <c r="G7" s="435"/>
      <c r="H7" s="435"/>
      <c r="I7" s="435"/>
      <c r="J7" s="435"/>
      <c r="K7" s="435"/>
      <c r="L7" s="435"/>
      <c r="M7" s="129"/>
      <c r="N7" s="48"/>
      <c r="O7" s="48"/>
      <c r="P7" s="48"/>
      <c r="Q7" s="109"/>
      <c r="R7" s="110"/>
      <c r="S7" s="110"/>
      <c r="T7" s="110"/>
      <c r="U7" s="110"/>
      <c r="V7" s="435"/>
      <c r="W7" s="111" t="str">
        <f>IF(OR($V7="No", $V7="Unknown"), "N/A","")</f>
        <v/>
      </c>
      <c r="X7" s="111" t="str">
        <f t="shared" si="0"/>
        <v/>
      </c>
      <c r="Y7" s="111" t="str">
        <f t="shared" si="0"/>
        <v/>
      </c>
      <c r="Z7" s="133" t="str">
        <f t="shared" ref="Z7:AA9" si="6">IF(OR($V7="No", $V7="Unknown"), "N/A","")</f>
        <v/>
      </c>
      <c r="AA7" s="111" t="str">
        <f t="shared" si="6"/>
        <v/>
      </c>
      <c r="AB7" s="111" t="str">
        <f t="shared" si="1"/>
        <v/>
      </c>
      <c r="AC7" s="111" t="str">
        <f t="shared" si="1"/>
        <v/>
      </c>
      <c r="AD7" s="111" t="str">
        <f t="shared" si="1"/>
        <v/>
      </c>
      <c r="AE7" s="111" t="str">
        <f t="shared" si="1"/>
        <v/>
      </c>
      <c r="AF7" s="111" t="str">
        <f t="shared" si="1"/>
        <v/>
      </c>
      <c r="AG7" s="111" t="str">
        <f t="shared" ref="AG7:AH9" si="7">IF(OR($AF7="No", $AF7="Unknown"), "N/A","")</f>
        <v/>
      </c>
      <c r="AH7" s="111" t="str">
        <f t="shared" si="7"/>
        <v/>
      </c>
      <c r="AI7" s="111"/>
    </row>
    <row r="8" spans="1:40" s="37" customFormat="1" ht="13.2" x14ac:dyDescent="0.25">
      <c r="A8" s="80" t="s">
        <v>0</v>
      </c>
      <c r="B8" s="77" t="s">
        <v>581</v>
      </c>
      <c r="C8" s="78"/>
      <c r="D8" s="535"/>
      <c r="E8" s="383"/>
      <c r="F8" s="435"/>
      <c r="G8" s="435"/>
      <c r="H8" s="435"/>
      <c r="I8" s="435"/>
      <c r="J8" s="435"/>
      <c r="K8" s="435"/>
      <c r="L8" s="435"/>
      <c r="M8" s="129"/>
      <c r="N8" s="48"/>
      <c r="O8" s="48"/>
      <c r="P8" s="48"/>
      <c r="Q8" s="109"/>
      <c r="R8" s="110"/>
      <c r="S8" s="110"/>
      <c r="T8" s="110"/>
      <c r="U8" s="110"/>
      <c r="V8" s="435"/>
      <c r="W8" s="111" t="str">
        <f>IF(OR($V8="No", $V8="Unknown"), "N/A","")</f>
        <v/>
      </c>
      <c r="X8" s="111" t="str">
        <f t="shared" si="0"/>
        <v/>
      </c>
      <c r="Y8" s="111" t="str">
        <f t="shared" si="0"/>
        <v/>
      </c>
      <c r="Z8" s="133" t="str">
        <f t="shared" si="6"/>
        <v/>
      </c>
      <c r="AA8" s="111" t="str">
        <f t="shared" si="6"/>
        <v/>
      </c>
      <c r="AB8" s="111" t="str">
        <f t="shared" si="1"/>
        <v/>
      </c>
      <c r="AC8" s="111" t="str">
        <f t="shared" si="1"/>
        <v/>
      </c>
      <c r="AD8" s="111" t="str">
        <f t="shared" si="1"/>
        <v/>
      </c>
      <c r="AE8" s="111" t="str">
        <f t="shared" si="1"/>
        <v/>
      </c>
      <c r="AF8" s="111" t="str">
        <f t="shared" si="1"/>
        <v/>
      </c>
      <c r="AG8" s="111" t="str">
        <f t="shared" si="7"/>
        <v/>
      </c>
      <c r="AH8" s="111" t="str">
        <f t="shared" si="7"/>
        <v/>
      </c>
      <c r="AI8" s="111"/>
    </row>
    <row r="9" spans="1:40" s="37" customFormat="1" ht="13.2" x14ac:dyDescent="0.25">
      <c r="A9" s="80" t="s">
        <v>0</v>
      </c>
      <c r="B9" s="77" t="s">
        <v>581</v>
      </c>
      <c r="C9" s="78"/>
      <c r="D9" s="535"/>
      <c r="E9" s="383"/>
      <c r="F9" s="435"/>
      <c r="G9" s="435"/>
      <c r="H9" s="435"/>
      <c r="I9" s="435"/>
      <c r="J9" s="435"/>
      <c r="K9" s="435"/>
      <c r="L9" s="435"/>
      <c r="M9" s="129"/>
      <c r="N9" s="48"/>
      <c r="O9" s="48"/>
      <c r="P9" s="48"/>
      <c r="Q9" s="109"/>
      <c r="R9" s="110"/>
      <c r="S9" s="110"/>
      <c r="T9" s="110"/>
      <c r="U9" s="110"/>
      <c r="V9" s="435"/>
      <c r="W9" s="111" t="str">
        <f>IF(OR($V9="No", $V9="Unknown"), "N/A","")</f>
        <v/>
      </c>
      <c r="X9" s="111" t="str">
        <f t="shared" si="0"/>
        <v/>
      </c>
      <c r="Y9" s="111" t="str">
        <f t="shared" si="0"/>
        <v/>
      </c>
      <c r="Z9" s="133" t="str">
        <f t="shared" si="6"/>
        <v/>
      </c>
      <c r="AA9" s="111" t="str">
        <f t="shared" si="6"/>
        <v/>
      </c>
      <c r="AB9" s="111" t="str">
        <f t="shared" si="1"/>
        <v/>
      </c>
      <c r="AC9" s="111" t="str">
        <f t="shared" si="1"/>
        <v/>
      </c>
      <c r="AD9" s="111" t="str">
        <f t="shared" si="1"/>
        <v/>
      </c>
      <c r="AE9" s="111" t="str">
        <f t="shared" si="1"/>
        <v/>
      </c>
      <c r="AF9" s="111"/>
      <c r="AG9" s="111" t="str">
        <f t="shared" si="7"/>
        <v/>
      </c>
      <c r="AH9" s="111" t="str">
        <f t="shared" si="7"/>
        <v/>
      </c>
      <c r="AI9" s="111"/>
    </row>
    <row r="10" spans="1:40" s="37" customFormat="1" ht="13.2" x14ac:dyDescent="0.25">
      <c r="A10" s="8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</row>
    <row r="11" spans="1:40" s="37" customFormat="1" ht="13.2" x14ac:dyDescent="0.25">
      <c r="A11" s="80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</row>
    <row r="12" spans="1:40" s="37" customFormat="1" ht="13.2" x14ac:dyDescent="0.25">
      <c r="A12" s="80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</row>
    <row r="13" spans="1:40" s="37" customFormat="1" ht="13.2" x14ac:dyDescent="0.25">
      <c r="A13" s="8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40" s="37" customFormat="1" ht="13.2" x14ac:dyDescent="0.25">
      <c r="A14" s="8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</row>
    <row r="15" spans="1:40" s="37" customFormat="1" ht="13.2" x14ac:dyDescent="0.25">
      <c r="A15" s="8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</row>
    <row r="16" spans="1:40" s="37" customFormat="1" ht="13.2" x14ac:dyDescent="0.25">
      <c r="A16" s="8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s="37" customFormat="1" ht="13.2" x14ac:dyDescent="0.25">
      <c r="A17" s="8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s="37" customFormat="1" ht="13.2" x14ac:dyDescent="0.25">
      <c r="A18" s="8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</row>
    <row r="19" spans="1:12" s="37" customFormat="1" ht="13.2" x14ac:dyDescent="0.25">
      <c r="A19" s="80"/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</row>
    <row r="20" spans="1:12" s="37" customFormat="1" ht="13.2" x14ac:dyDescent="0.25">
      <c r="A20" s="8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</row>
    <row r="21" spans="1:12" s="37" customFormat="1" ht="13.2" x14ac:dyDescent="0.25">
      <c r="A21" s="8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</row>
    <row r="22" spans="1:12" s="37" customFormat="1" ht="13.2" x14ac:dyDescent="0.25">
      <c r="A22" s="8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s="37" customFormat="1" ht="13.2" x14ac:dyDescent="0.25">
      <c r="A23" s="8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</row>
    <row r="24" spans="1:12" s="37" customFormat="1" ht="13.2" x14ac:dyDescent="0.25">
      <c r="A24" s="8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</row>
    <row r="25" spans="1:12" s="37" customFormat="1" ht="13.2" x14ac:dyDescent="0.25">
      <c r="A25" s="80"/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s="37" customFormat="1" ht="13.2" x14ac:dyDescent="0.25">
      <c r="A26" s="80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</row>
    <row r="27" spans="1:12" s="37" customFormat="1" ht="13.2" x14ac:dyDescent="0.25">
      <c r="A27" s="80"/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</row>
    <row r="28" spans="1:12" s="37" customFormat="1" ht="13.2" x14ac:dyDescent="0.25">
      <c r="A28" s="8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</row>
    <row r="29" spans="1:12" s="37" customFormat="1" ht="13.2" x14ac:dyDescent="0.25">
      <c r="A29" s="8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</row>
    <row r="30" spans="1:12" s="37" customFormat="1" ht="13.2" x14ac:dyDescent="0.25">
      <c r="A30" s="8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</row>
    <row r="31" spans="1:12" s="37" customFormat="1" ht="13.2" x14ac:dyDescent="0.25">
      <c r="A31" s="80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</row>
    <row r="32" spans="1:12" s="37" customFormat="1" ht="13.2" x14ac:dyDescent="0.25">
      <c r="A32" s="80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</row>
    <row r="33" spans="1:12" s="37" customFormat="1" ht="13.2" x14ac:dyDescent="0.25">
      <c r="A33" s="80"/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</row>
    <row r="34" spans="1:12" s="37" customFormat="1" ht="13.2" x14ac:dyDescent="0.25">
      <c r="A34" s="8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</row>
    <row r="35" spans="1:12" s="37" customFormat="1" ht="13.2" x14ac:dyDescent="0.25">
      <c r="A35" s="8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</row>
    <row r="36" spans="1:12" s="37" customFormat="1" ht="13.2" x14ac:dyDescent="0.25">
      <c r="A36" s="80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</row>
    <row r="37" spans="1:12" s="37" customFormat="1" ht="13.2" x14ac:dyDescent="0.25">
      <c r="A37" s="80"/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</row>
    <row r="38" spans="1:12" s="37" customFormat="1" ht="13.2" x14ac:dyDescent="0.25">
      <c r="A38" s="80"/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</row>
    <row r="39" spans="1:12" s="37" customFormat="1" ht="13.2" x14ac:dyDescent="0.25">
      <c r="A39" s="8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</row>
    <row r="40" spans="1:12" s="37" customFormat="1" ht="13.2" x14ac:dyDescent="0.25">
      <c r="A40" s="80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</row>
    <row r="41" spans="1:12" s="37" customFormat="1" ht="13.2" x14ac:dyDescent="0.25">
      <c r="A41" s="80"/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</row>
    <row r="42" spans="1:12" s="37" customFormat="1" ht="13.2" x14ac:dyDescent="0.25">
      <c r="A42" s="80"/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</row>
    <row r="43" spans="1:12" s="37" customFormat="1" ht="13.2" x14ac:dyDescent="0.25">
      <c r="A43" s="80"/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</row>
    <row r="44" spans="1:12" s="37" customFormat="1" ht="13.2" x14ac:dyDescent="0.25">
      <c r="A44" s="80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2" s="37" customFormat="1" ht="13.2" x14ac:dyDescent="0.25">
      <c r="A45" s="80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</row>
    <row r="46" spans="1:12" s="37" customFormat="1" ht="13.2" x14ac:dyDescent="0.25">
      <c r="A46" s="80"/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</row>
    <row r="47" spans="1:12" s="37" customFormat="1" ht="13.2" x14ac:dyDescent="0.25">
      <c r="A47" s="80"/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</row>
    <row r="48" spans="1:12" s="37" customFormat="1" ht="13.2" x14ac:dyDescent="0.25">
      <c r="A48" s="80"/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</row>
    <row r="49" spans="1:12" s="37" customFormat="1" ht="13.2" x14ac:dyDescent="0.25">
      <c r="A49" s="80"/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0" spans="1:12" s="37" customFormat="1" ht="13.2" x14ac:dyDescent="0.25">
      <c r="A50" s="80"/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</row>
    <row r="51" spans="1:12" s="37" customFormat="1" ht="13.2" x14ac:dyDescent="0.25">
      <c r="A51" s="80"/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</row>
    <row r="52" spans="1:12" s="37" customFormat="1" ht="13.2" x14ac:dyDescent="0.25">
      <c r="A52" s="80"/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</row>
    <row r="53" spans="1:12" s="37" customFormat="1" ht="13.2" x14ac:dyDescent="0.25">
      <c r="A53" s="80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</row>
    <row r="54" spans="1:12" s="37" customFormat="1" ht="13.2" x14ac:dyDescent="0.25">
      <c r="A54" s="80"/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</row>
    <row r="55" spans="1:12" s="37" customFormat="1" ht="13.2" x14ac:dyDescent="0.25">
      <c r="A55" s="80"/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s="37" customFormat="1" ht="13.2" x14ac:dyDescent="0.25">
      <c r="A56" s="80"/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</row>
    <row r="57" spans="1:12" s="37" customFormat="1" ht="13.2" x14ac:dyDescent="0.25">
      <c r="A57" s="80"/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</row>
    <row r="58" spans="1:12" s="37" customFormat="1" ht="13.2" x14ac:dyDescent="0.25">
      <c r="A58" s="80"/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</row>
    <row r="59" spans="1:12" s="37" customFormat="1" ht="13.2" x14ac:dyDescent="0.25">
      <c r="A59" s="80"/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</row>
    <row r="60" spans="1:12" s="37" customFormat="1" ht="13.2" x14ac:dyDescent="0.25">
      <c r="A60" s="80"/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</row>
    <row r="61" spans="1:12" s="37" customFormat="1" ht="13.2" x14ac:dyDescent="0.25">
      <c r="A61" s="80"/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</row>
    <row r="62" spans="1:12" s="37" customFormat="1" ht="13.2" x14ac:dyDescent="0.25">
      <c r="A62" s="80"/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</row>
    <row r="63" spans="1:12" s="37" customFormat="1" ht="13.2" x14ac:dyDescent="0.25">
      <c r="A63" s="80"/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</row>
    <row r="64" spans="1:12" s="37" customFormat="1" ht="13.2" x14ac:dyDescent="0.25">
      <c r="A64" s="80"/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</row>
    <row r="65" spans="1:12" s="37" customFormat="1" ht="13.2" x14ac:dyDescent="0.25">
      <c r="A65" s="80"/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</row>
    <row r="66" spans="1:12" s="37" customFormat="1" ht="13.2" x14ac:dyDescent="0.25">
      <c r="A66" s="80"/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</row>
    <row r="67" spans="1:12" s="37" customFormat="1" ht="13.2" x14ac:dyDescent="0.25">
      <c r="A67" s="80"/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</row>
    <row r="68" spans="1:12" s="37" customFormat="1" ht="13.2" x14ac:dyDescent="0.25">
      <c r="A68" s="80"/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</row>
    <row r="69" spans="1:12" s="37" customFormat="1" ht="13.2" x14ac:dyDescent="0.25">
      <c r="A69" s="80"/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</row>
    <row r="70" spans="1:12" s="37" customFormat="1" ht="13.2" x14ac:dyDescent="0.25">
      <c r="A70" s="80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</row>
    <row r="71" spans="1:12" s="37" customFormat="1" ht="13.2" x14ac:dyDescent="0.25">
      <c r="A71" s="80"/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</row>
    <row r="72" spans="1:12" s="37" customFormat="1" ht="13.2" x14ac:dyDescent="0.25">
      <c r="A72" s="80"/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</row>
    <row r="73" spans="1:12" s="37" customFormat="1" ht="13.2" x14ac:dyDescent="0.25">
      <c r="A73" s="80"/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</row>
    <row r="74" spans="1:12" s="37" customFormat="1" ht="13.2" x14ac:dyDescent="0.25">
      <c r="A74" s="80"/>
      <c r="B74" s="130"/>
      <c r="C74" s="130"/>
      <c r="D74" s="130"/>
      <c r="E74" s="130"/>
      <c r="F74" s="130"/>
      <c r="G74" s="130"/>
      <c r="H74" s="130"/>
      <c r="I74" s="130"/>
      <c r="J74" s="130"/>
      <c r="K74" s="130"/>
      <c r="L74" s="130"/>
    </row>
    <row r="75" spans="1:12" s="37" customFormat="1" ht="13.2" x14ac:dyDescent="0.25">
      <c r="A75" s="80"/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</row>
    <row r="76" spans="1:12" s="37" customFormat="1" ht="13.2" x14ac:dyDescent="0.25">
      <c r="A76" s="80"/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</row>
    <row r="77" spans="1:12" s="37" customFormat="1" ht="13.2" x14ac:dyDescent="0.25">
      <c r="A77" s="80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</row>
    <row r="78" spans="1:12" s="37" customFormat="1" ht="13.2" x14ac:dyDescent="0.25">
      <c r="A78" s="80"/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</row>
    <row r="79" spans="1:12" s="37" customFormat="1" ht="13.2" x14ac:dyDescent="0.25">
      <c r="A79" s="80"/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</row>
    <row r="80" spans="1:12" s="37" customFormat="1" ht="13.2" x14ac:dyDescent="0.25">
      <c r="A80" s="80"/>
      <c r="B80" s="130"/>
      <c r="C80" s="130"/>
      <c r="D80" s="130"/>
      <c r="E80" s="130"/>
      <c r="F80" s="130"/>
      <c r="G80" s="130"/>
      <c r="H80" s="130"/>
      <c r="I80" s="130"/>
      <c r="J80" s="130"/>
      <c r="K80" s="130"/>
      <c r="L80" s="130"/>
    </row>
    <row r="81" spans="1:12" s="37" customFormat="1" ht="13.2" x14ac:dyDescent="0.25">
      <c r="A81" s="80"/>
      <c r="B81" s="130"/>
      <c r="C81" s="130"/>
      <c r="D81" s="130"/>
      <c r="E81" s="130"/>
      <c r="F81" s="130"/>
      <c r="G81" s="130"/>
      <c r="H81" s="130"/>
      <c r="I81" s="130"/>
      <c r="J81" s="130"/>
      <c r="K81" s="130"/>
      <c r="L81" s="130"/>
    </row>
    <row r="82" spans="1:12" s="37" customFormat="1" ht="13.2" x14ac:dyDescent="0.25">
      <c r="A82" s="80"/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</row>
    <row r="83" spans="1:12" s="37" customFormat="1" ht="13.2" x14ac:dyDescent="0.25">
      <c r="A83" s="80"/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</row>
    <row r="84" spans="1:12" s="37" customFormat="1" ht="13.2" x14ac:dyDescent="0.25">
      <c r="A84" s="80"/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</row>
    <row r="85" spans="1:12" s="37" customFormat="1" ht="13.2" x14ac:dyDescent="0.25">
      <c r="A85" s="80"/>
      <c r="B85" s="130"/>
      <c r="C85" s="130"/>
      <c r="D85" s="130"/>
      <c r="E85" s="130"/>
      <c r="F85" s="130"/>
      <c r="G85" s="130"/>
      <c r="H85" s="130"/>
      <c r="I85" s="130"/>
      <c r="J85" s="130"/>
      <c r="K85" s="130"/>
      <c r="L85" s="130"/>
    </row>
    <row r="86" spans="1:12" s="37" customFormat="1" ht="13.2" x14ac:dyDescent="0.25">
      <c r="A86" s="80"/>
      <c r="B86" s="130"/>
      <c r="C86" s="130"/>
      <c r="D86" s="130"/>
      <c r="E86" s="130"/>
      <c r="F86" s="130"/>
      <c r="G86" s="130"/>
      <c r="H86" s="130"/>
      <c r="I86" s="130"/>
      <c r="J86" s="130"/>
      <c r="K86" s="130"/>
      <c r="L86" s="130"/>
    </row>
    <row r="87" spans="1:12" s="37" customFormat="1" ht="13.2" x14ac:dyDescent="0.25">
      <c r="A87" s="80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</row>
    <row r="88" spans="1:12" s="37" customFormat="1" ht="13.2" x14ac:dyDescent="0.25">
      <c r="A88" s="80"/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</row>
    <row r="89" spans="1:12" s="37" customFormat="1" ht="13.2" x14ac:dyDescent="0.25">
      <c r="A89" s="80"/>
      <c r="B89" s="130"/>
      <c r="C89" s="130"/>
      <c r="D89" s="130"/>
      <c r="E89" s="130"/>
      <c r="F89" s="130"/>
      <c r="G89" s="130"/>
      <c r="H89" s="130"/>
      <c r="I89" s="130"/>
      <c r="J89" s="130"/>
      <c r="K89" s="130"/>
      <c r="L89" s="130"/>
    </row>
    <row r="90" spans="1:12" s="37" customFormat="1" ht="13.2" x14ac:dyDescent="0.25">
      <c r="A90" s="80"/>
      <c r="B90" s="130"/>
      <c r="C90" s="130"/>
      <c r="D90" s="130"/>
      <c r="E90" s="130"/>
      <c r="F90" s="130"/>
      <c r="G90" s="130"/>
      <c r="H90" s="130"/>
      <c r="I90" s="130"/>
      <c r="J90" s="130"/>
      <c r="K90" s="130"/>
      <c r="L90" s="130"/>
    </row>
    <row r="91" spans="1:12" s="37" customFormat="1" ht="13.2" x14ac:dyDescent="0.25">
      <c r="A91" s="80"/>
      <c r="B91" s="130"/>
      <c r="C91" s="130"/>
      <c r="D91" s="130"/>
      <c r="E91" s="130"/>
      <c r="F91" s="130"/>
      <c r="G91" s="130"/>
      <c r="H91" s="130"/>
      <c r="I91" s="130"/>
      <c r="J91" s="130"/>
      <c r="K91" s="130"/>
      <c r="L91" s="130"/>
    </row>
    <row r="92" spans="1:12" s="37" customFormat="1" ht="13.2" x14ac:dyDescent="0.25">
      <c r="A92" s="80"/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</row>
    <row r="93" spans="1:12" s="37" customFormat="1" ht="13.2" x14ac:dyDescent="0.25">
      <c r="A93" s="80"/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</row>
    <row r="94" spans="1:12" s="37" customFormat="1" ht="13.2" x14ac:dyDescent="0.25">
      <c r="A94" s="80"/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</row>
    <row r="95" spans="1:12" s="37" customFormat="1" ht="13.2" x14ac:dyDescent="0.25">
      <c r="A95" s="80"/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</row>
    <row r="96" spans="1:12" s="37" customFormat="1" ht="13.2" x14ac:dyDescent="0.25">
      <c r="A96" s="80"/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</row>
    <row r="97" spans="1:12" s="37" customFormat="1" ht="13.2" x14ac:dyDescent="0.25">
      <c r="A97" s="8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</row>
    <row r="98" spans="1:12" s="37" customFormat="1" ht="13.2" x14ac:dyDescent="0.25">
      <c r="A98" s="80"/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</row>
    <row r="99" spans="1:12" s="37" customFormat="1" ht="13.2" x14ac:dyDescent="0.25">
      <c r="A99" s="80"/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</row>
    <row r="100" spans="1:12" s="37" customFormat="1" ht="13.2" x14ac:dyDescent="0.25">
      <c r="A100" s="80"/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</row>
    <row r="101" spans="1:12" s="37" customFormat="1" ht="13.2" x14ac:dyDescent="0.25">
      <c r="A101" s="8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</row>
    <row r="102" spans="1:12" s="37" customFormat="1" ht="13.2" x14ac:dyDescent="0.25">
      <c r="A102" s="80"/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</row>
    <row r="103" spans="1:12" s="37" customFormat="1" ht="13.2" x14ac:dyDescent="0.25">
      <c r="A103" s="80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</row>
    <row r="104" spans="1:12" s="37" customFormat="1" ht="13.2" x14ac:dyDescent="0.25">
      <c r="A104" s="80"/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</row>
    <row r="105" spans="1:12" s="37" customFormat="1" ht="13.2" x14ac:dyDescent="0.25">
      <c r="A105" s="80"/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</row>
    <row r="106" spans="1:12" s="37" customFormat="1" ht="13.2" x14ac:dyDescent="0.25">
      <c r="A106" s="80"/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</row>
    <row r="107" spans="1:12" s="37" customFormat="1" ht="13.2" x14ac:dyDescent="0.25">
      <c r="A107" s="80"/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</row>
    <row r="108" spans="1:12" s="37" customFormat="1" ht="13.2" x14ac:dyDescent="0.25">
      <c r="A108" s="80"/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</row>
    <row r="109" spans="1:12" s="37" customFormat="1" ht="13.2" x14ac:dyDescent="0.25">
      <c r="A109" s="80"/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</row>
    <row r="110" spans="1:12" s="37" customFormat="1" ht="13.2" x14ac:dyDescent="0.25">
      <c r="A110" s="80"/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</row>
    <row r="111" spans="1:12" s="37" customFormat="1" ht="13.2" x14ac:dyDescent="0.25">
      <c r="A111" s="80"/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</row>
    <row r="112" spans="1:12" s="37" customFormat="1" ht="13.2" x14ac:dyDescent="0.25">
      <c r="A112" s="80"/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</row>
    <row r="113" spans="1:12" s="37" customFormat="1" ht="13.2" x14ac:dyDescent="0.25">
      <c r="A113" s="80"/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</row>
    <row r="114" spans="1:12" s="37" customFormat="1" ht="13.2" x14ac:dyDescent="0.25">
      <c r="A114" s="80"/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</row>
    <row r="115" spans="1:12" s="37" customFormat="1" ht="13.2" x14ac:dyDescent="0.25">
      <c r="A115" s="80"/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</row>
    <row r="116" spans="1:12" s="37" customFormat="1" ht="13.2" x14ac:dyDescent="0.25">
      <c r="A116" s="80"/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</row>
    <row r="117" spans="1:12" s="37" customFormat="1" ht="13.2" x14ac:dyDescent="0.25">
      <c r="A117" s="80"/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</row>
    <row r="118" spans="1:12" s="37" customFormat="1" ht="13.2" x14ac:dyDescent="0.25">
      <c r="A118" s="80"/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</row>
    <row r="119" spans="1:12" s="37" customFormat="1" ht="13.2" x14ac:dyDescent="0.25">
      <c r="A119" s="80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</row>
    <row r="120" spans="1:12" s="37" customFormat="1" ht="13.2" x14ac:dyDescent="0.25">
      <c r="A120" s="80"/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</row>
    <row r="121" spans="1:12" s="37" customFormat="1" ht="13.2" x14ac:dyDescent="0.25">
      <c r="A121" s="80"/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</row>
    <row r="122" spans="1:12" s="37" customFormat="1" ht="13.2" x14ac:dyDescent="0.25">
      <c r="A122" s="80"/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</row>
    <row r="123" spans="1:12" s="37" customFormat="1" ht="13.2" x14ac:dyDescent="0.25">
      <c r="A123" s="80"/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</row>
    <row r="124" spans="1:12" s="37" customFormat="1" ht="13.2" x14ac:dyDescent="0.25">
      <c r="A124" s="80"/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</row>
    <row r="125" spans="1:12" s="37" customFormat="1" ht="13.2" x14ac:dyDescent="0.25">
      <c r="A125" s="80"/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</row>
    <row r="126" spans="1:12" s="37" customFormat="1" ht="13.2" x14ac:dyDescent="0.25">
      <c r="A126" s="80"/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</row>
    <row r="127" spans="1:12" s="37" customFormat="1" ht="13.2" x14ac:dyDescent="0.25">
      <c r="A127" s="80"/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</row>
    <row r="128" spans="1:12" s="37" customFormat="1" ht="13.2" x14ac:dyDescent="0.25">
      <c r="A128" s="80"/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</row>
    <row r="129" spans="1:12" s="37" customFormat="1" ht="13.2" x14ac:dyDescent="0.25">
      <c r="A129" s="80"/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</row>
    <row r="130" spans="1:12" s="37" customFormat="1" ht="13.2" x14ac:dyDescent="0.25">
      <c r="A130" s="80"/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</row>
    <row r="131" spans="1:12" s="37" customFormat="1" ht="13.2" x14ac:dyDescent="0.25">
      <c r="A131" s="80"/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</row>
    <row r="132" spans="1:12" s="37" customFormat="1" ht="13.2" x14ac:dyDescent="0.25">
      <c r="A132" s="80"/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</row>
    <row r="133" spans="1:12" s="37" customFormat="1" ht="13.2" x14ac:dyDescent="0.25">
      <c r="A133" s="80"/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</row>
    <row r="134" spans="1:12" s="37" customFormat="1" ht="13.2" x14ac:dyDescent="0.25">
      <c r="A134" s="80"/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</row>
    <row r="135" spans="1:12" s="37" customFormat="1" ht="13.2" x14ac:dyDescent="0.25">
      <c r="A135" s="8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</row>
    <row r="136" spans="1:12" s="37" customFormat="1" ht="13.2" x14ac:dyDescent="0.25">
      <c r="A136" s="8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</row>
    <row r="137" spans="1:12" s="37" customFormat="1" ht="13.2" x14ac:dyDescent="0.25">
      <c r="A137" s="8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</row>
    <row r="138" spans="1:12" s="37" customFormat="1" ht="13.2" x14ac:dyDescent="0.25">
      <c r="A138" s="8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</row>
    <row r="139" spans="1:12" s="37" customFormat="1" ht="13.2" x14ac:dyDescent="0.25">
      <c r="A139" s="80"/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</row>
    <row r="140" spans="1:12" s="37" customFormat="1" ht="13.2" x14ac:dyDescent="0.25">
      <c r="A140" s="80"/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</row>
    <row r="141" spans="1:12" s="37" customFormat="1" ht="13.2" x14ac:dyDescent="0.25">
      <c r="A141" s="80"/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</row>
    <row r="142" spans="1:12" s="37" customFormat="1" ht="13.2" x14ac:dyDescent="0.25">
      <c r="A142" s="80"/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</row>
    <row r="143" spans="1:12" s="37" customFormat="1" ht="13.2" x14ac:dyDescent="0.25">
      <c r="A143" s="80"/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</row>
    <row r="144" spans="1:12" s="37" customFormat="1" ht="13.2" x14ac:dyDescent="0.25">
      <c r="A144" s="80"/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</row>
    <row r="145" spans="1:12" s="37" customFormat="1" ht="13.2" x14ac:dyDescent="0.25">
      <c r="A145" s="80"/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</row>
    <row r="146" spans="1:12" s="37" customFormat="1" ht="13.2" x14ac:dyDescent="0.25">
      <c r="A146" s="80"/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</row>
    <row r="147" spans="1:12" s="37" customFormat="1" ht="13.2" x14ac:dyDescent="0.25">
      <c r="A147" s="80"/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</row>
    <row r="148" spans="1:12" s="37" customFormat="1" ht="13.2" x14ac:dyDescent="0.25">
      <c r="A148" s="80"/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</row>
    <row r="149" spans="1:12" s="37" customFormat="1" ht="13.2" x14ac:dyDescent="0.25">
      <c r="A149" s="80"/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</row>
    <row r="150" spans="1:12" s="37" customFormat="1" ht="13.2" x14ac:dyDescent="0.25">
      <c r="A150" s="80"/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</row>
    <row r="151" spans="1:12" s="37" customFormat="1" ht="13.2" x14ac:dyDescent="0.25">
      <c r="A151" s="80"/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</row>
    <row r="152" spans="1:12" s="37" customFormat="1" ht="13.2" x14ac:dyDescent="0.25">
      <c r="A152" s="80"/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</row>
    <row r="153" spans="1:12" s="37" customFormat="1" ht="13.2" x14ac:dyDescent="0.25">
      <c r="A153" s="80"/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</row>
    <row r="154" spans="1:12" s="37" customFormat="1" ht="13.2" x14ac:dyDescent="0.25">
      <c r="A154" s="80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</row>
    <row r="155" spans="1:12" s="37" customFormat="1" ht="13.2" x14ac:dyDescent="0.25">
      <c r="A155" s="80"/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</row>
    <row r="156" spans="1:12" s="37" customFormat="1" ht="13.2" x14ac:dyDescent="0.25">
      <c r="A156" s="80"/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</row>
    <row r="157" spans="1:12" s="37" customFormat="1" ht="13.2" x14ac:dyDescent="0.25">
      <c r="A157" s="80"/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</row>
    <row r="158" spans="1:12" s="37" customFormat="1" ht="13.2" x14ac:dyDescent="0.25">
      <c r="A158" s="80"/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</row>
    <row r="159" spans="1:12" s="37" customFormat="1" ht="13.2" x14ac:dyDescent="0.25">
      <c r="A159" s="80"/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</row>
    <row r="160" spans="1:12" s="37" customFormat="1" ht="13.2" x14ac:dyDescent="0.25">
      <c r="A160" s="80"/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</row>
    <row r="161" spans="1:12" s="37" customFormat="1" ht="13.2" x14ac:dyDescent="0.25">
      <c r="A161" s="80"/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</row>
    <row r="162" spans="1:12" s="37" customFormat="1" ht="13.2" x14ac:dyDescent="0.25">
      <c r="A162" s="80"/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</row>
    <row r="163" spans="1:12" s="37" customFormat="1" ht="13.2" x14ac:dyDescent="0.25">
      <c r="A163" s="80"/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</row>
    <row r="164" spans="1:12" s="37" customFormat="1" ht="13.2" x14ac:dyDescent="0.25">
      <c r="A164" s="80"/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</row>
    <row r="165" spans="1:12" s="37" customFormat="1" ht="13.2" x14ac:dyDescent="0.25">
      <c r="A165" s="80"/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</row>
    <row r="166" spans="1:12" s="37" customFormat="1" ht="13.2" x14ac:dyDescent="0.25">
      <c r="A166" s="80"/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</row>
    <row r="167" spans="1:12" s="37" customFormat="1" ht="13.2" x14ac:dyDescent="0.25">
      <c r="A167" s="80"/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</row>
    <row r="168" spans="1:12" s="37" customFormat="1" ht="13.2" x14ac:dyDescent="0.25">
      <c r="A168" s="80"/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</row>
    <row r="169" spans="1:12" s="37" customFormat="1" ht="13.2" x14ac:dyDescent="0.25">
      <c r="A169" s="80"/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</row>
    <row r="170" spans="1:12" s="37" customFormat="1" ht="13.2" x14ac:dyDescent="0.25">
      <c r="A170" s="80"/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</row>
    <row r="171" spans="1:12" s="37" customFormat="1" ht="13.2" x14ac:dyDescent="0.25">
      <c r="A171" s="80"/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</row>
    <row r="172" spans="1:12" s="37" customFormat="1" ht="13.2" x14ac:dyDescent="0.25">
      <c r="A172" s="80"/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</row>
    <row r="173" spans="1:12" s="37" customFormat="1" ht="13.2" x14ac:dyDescent="0.25">
      <c r="A173" s="80"/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</row>
    <row r="174" spans="1:12" s="37" customFormat="1" ht="13.2" x14ac:dyDescent="0.25">
      <c r="A174" s="80"/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</row>
    <row r="175" spans="1:12" s="37" customFormat="1" ht="13.2" x14ac:dyDescent="0.25">
      <c r="A175" s="80"/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</row>
    <row r="176" spans="1:12" s="37" customFormat="1" ht="13.2" x14ac:dyDescent="0.25">
      <c r="A176" s="80"/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</row>
    <row r="177" spans="1:12" s="37" customFormat="1" ht="13.2" x14ac:dyDescent="0.25">
      <c r="A177" s="80"/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</row>
    <row r="178" spans="1:12" s="37" customFormat="1" ht="13.2" x14ac:dyDescent="0.25">
      <c r="A178" s="80"/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</row>
    <row r="179" spans="1:12" s="37" customFormat="1" ht="13.2" x14ac:dyDescent="0.25">
      <c r="A179" s="80"/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</row>
    <row r="180" spans="1:12" s="37" customFormat="1" ht="13.2" x14ac:dyDescent="0.25">
      <c r="A180" s="80"/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</row>
    <row r="181" spans="1:12" s="37" customFormat="1" ht="13.2" x14ac:dyDescent="0.25">
      <c r="A181" s="80"/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</row>
    <row r="182" spans="1:12" s="37" customFormat="1" ht="13.2" x14ac:dyDescent="0.25">
      <c r="A182" s="80"/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</row>
    <row r="183" spans="1:12" s="37" customFormat="1" ht="13.2" x14ac:dyDescent="0.25">
      <c r="A183" s="80"/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</row>
    <row r="184" spans="1:12" s="37" customFormat="1" ht="13.2" x14ac:dyDescent="0.25">
      <c r="A184" s="80"/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</row>
    <row r="185" spans="1:12" s="37" customFormat="1" ht="13.2" x14ac:dyDescent="0.25">
      <c r="A185" s="80"/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</row>
    <row r="186" spans="1:12" s="37" customFormat="1" ht="13.2" x14ac:dyDescent="0.25">
      <c r="A186" s="80"/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</row>
    <row r="187" spans="1:12" s="37" customFormat="1" ht="13.2" x14ac:dyDescent="0.25">
      <c r="A187" s="80"/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</row>
    <row r="188" spans="1:12" s="37" customFormat="1" ht="13.2" x14ac:dyDescent="0.25">
      <c r="A188" s="80"/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</row>
    <row r="189" spans="1:12" s="37" customFormat="1" ht="13.2" x14ac:dyDescent="0.25">
      <c r="A189" s="80"/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</row>
    <row r="190" spans="1:12" s="37" customFormat="1" ht="13.2" x14ac:dyDescent="0.25">
      <c r="A190" s="80"/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</row>
    <row r="191" spans="1:12" s="37" customFormat="1" ht="13.2" x14ac:dyDescent="0.25">
      <c r="A191" s="80"/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</row>
    <row r="192" spans="1:12" s="37" customFormat="1" ht="13.2" x14ac:dyDescent="0.25">
      <c r="A192" s="80"/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</row>
    <row r="193" spans="1:12" s="37" customFormat="1" ht="13.2" x14ac:dyDescent="0.25">
      <c r="A193" s="80"/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</row>
    <row r="194" spans="1:12" s="37" customFormat="1" ht="13.2" x14ac:dyDescent="0.25">
      <c r="A194" s="80"/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</row>
    <row r="195" spans="1:12" s="37" customFormat="1" ht="13.2" x14ac:dyDescent="0.25">
      <c r="A195" s="80"/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</row>
    <row r="196" spans="1:12" s="37" customFormat="1" ht="13.2" x14ac:dyDescent="0.25">
      <c r="A196" s="80"/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</row>
    <row r="197" spans="1:12" s="37" customFormat="1" ht="13.2" x14ac:dyDescent="0.25">
      <c r="A197" s="80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</row>
    <row r="198" spans="1:12" s="37" customFormat="1" ht="13.2" x14ac:dyDescent="0.25">
      <c r="A198" s="80"/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</row>
    <row r="199" spans="1:12" s="37" customFormat="1" ht="13.2" x14ac:dyDescent="0.25">
      <c r="A199" s="80"/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</row>
    <row r="200" spans="1:12" s="37" customFormat="1" ht="13.2" x14ac:dyDescent="0.25">
      <c r="A200" s="80"/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</row>
    <row r="201" spans="1:12" s="37" customFormat="1" ht="13.2" x14ac:dyDescent="0.25">
      <c r="A201" s="80"/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</row>
    <row r="202" spans="1:12" s="37" customFormat="1" ht="13.2" x14ac:dyDescent="0.25">
      <c r="A202" s="80"/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</row>
    <row r="203" spans="1:12" s="37" customFormat="1" ht="13.2" x14ac:dyDescent="0.25">
      <c r="A203" s="80"/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</row>
    <row r="204" spans="1:12" s="37" customFormat="1" ht="13.2" x14ac:dyDescent="0.25">
      <c r="A204" s="80"/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</row>
    <row r="205" spans="1:12" s="37" customFormat="1" ht="13.2" x14ac:dyDescent="0.25">
      <c r="A205" s="8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</row>
    <row r="206" spans="1:12" s="37" customFormat="1" ht="13.2" x14ac:dyDescent="0.25">
      <c r="A206" s="80"/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</row>
    <row r="207" spans="1:12" s="37" customFormat="1" ht="13.2" x14ac:dyDescent="0.25">
      <c r="A207" s="80"/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</row>
    <row r="208" spans="1:12" s="37" customFormat="1" ht="13.2" x14ac:dyDescent="0.25">
      <c r="A208" s="80"/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</row>
    <row r="209" spans="1:12" s="37" customFormat="1" ht="13.2" x14ac:dyDescent="0.25">
      <c r="A209" s="80"/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</row>
    <row r="210" spans="1:12" s="37" customFormat="1" ht="13.2" x14ac:dyDescent="0.25">
      <c r="A210" s="80"/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</row>
    <row r="211" spans="1:12" s="37" customFormat="1" ht="13.2" x14ac:dyDescent="0.25">
      <c r="A211" s="80"/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</row>
    <row r="212" spans="1:12" s="37" customFormat="1" ht="13.2" x14ac:dyDescent="0.25">
      <c r="A212" s="80"/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</row>
    <row r="213" spans="1:12" s="37" customFormat="1" ht="13.2" x14ac:dyDescent="0.25">
      <c r="A213" s="80"/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</row>
    <row r="214" spans="1:12" s="37" customFormat="1" ht="13.2" x14ac:dyDescent="0.25">
      <c r="A214" s="80"/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</row>
    <row r="215" spans="1:12" s="37" customFormat="1" ht="13.2" x14ac:dyDescent="0.25">
      <c r="A215" s="80"/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</row>
    <row r="216" spans="1:12" s="37" customFormat="1" ht="13.2" x14ac:dyDescent="0.25">
      <c r="A216" s="80"/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</row>
    <row r="217" spans="1:12" s="37" customFormat="1" ht="13.2" x14ac:dyDescent="0.25">
      <c r="A217" s="80"/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</row>
    <row r="218" spans="1:12" s="37" customFormat="1" ht="13.2" x14ac:dyDescent="0.25">
      <c r="A218" s="80"/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</row>
    <row r="219" spans="1:12" s="37" customFormat="1" ht="13.2" x14ac:dyDescent="0.25">
      <c r="A219" s="80"/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</row>
    <row r="220" spans="1:12" s="37" customFormat="1" ht="13.2" x14ac:dyDescent="0.25">
      <c r="A220" s="80"/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</row>
    <row r="221" spans="1:12" s="37" customFormat="1" ht="13.2" x14ac:dyDescent="0.25">
      <c r="A221" s="80"/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</row>
    <row r="222" spans="1:12" s="37" customFormat="1" ht="13.2" x14ac:dyDescent="0.25">
      <c r="A222" s="80"/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</row>
    <row r="223" spans="1:12" s="37" customFormat="1" ht="13.2" x14ac:dyDescent="0.25">
      <c r="A223" s="80"/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</row>
    <row r="224" spans="1:12" s="37" customFormat="1" ht="13.2" x14ac:dyDescent="0.25">
      <c r="A224" s="80"/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</row>
    <row r="225" spans="1:12" s="37" customFormat="1" ht="13.2" x14ac:dyDescent="0.25">
      <c r="A225" s="80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</row>
    <row r="226" spans="1:12" s="37" customFormat="1" ht="13.2" x14ac:dyDescent="0.25">
      <c r="A226" s="80"/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</row>
    <row r="227" spans="1:12" s="37" customFormat="1" ht="13.2" x14ac:dyDescent="0.25">
      <c r="A227" s="80"/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</row>
    <row r="228" spans="1:12" s="37" customFormat="1" ht="13.2" x14ac:dyDescent="0.25">
      <c r="A228" s="80"/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</row>
    <row r="229" spans="1:12" s="37" customFormat="1" ht="13.2" x14ac:dyDescent="0.25">
      <c r="A229" s="80"/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</row>
    <row r="230" spans="1:12" s="37" customFormat="1" ht="13.2" x14ac:dyDescent="0.25">
      <c r="A230" s="80"/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</row>
    <row r="231" spans="1:12" s="37" customFormat="1" ht="13.2" x14ac:dyDescent="0.25">
      <c r="A231" s="80"/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</row>
    <row r="232" spans="1:12" s="37" customFormat="1" ht="13.2" x14ac:dyDescent="0.25">
      <c r="A232" s="80"/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</row>
    <row r="233" spans="1:12" s="37" customFormat="1" ht="13.2" x14ac:dyDescent="0.25">
      <c r="A233" s="80"/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</row>
    <row r="234" spans="1:12" s="37" customFormat="1" ht="13.2" x14ac:dyDescent="0.25">
      <c r="A234" s="80"/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</row>
    <row r="235" spans="1:12" s="37" customFormat="1" ht="13.2" x14ac:dyDescent="0.25">
      <c r="A235" s="80"/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</row>
    <row r="236" spans="1:12" s="37" customFormat="1" ht="13.2" x14ac:dyDescent="0.25">
      <c r="A236" s="80"/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</row>
    <row r="237" spans="1:12" s="37" customFormat="1" ht="13.2" x14ac:dyDescent="0.25">
      <c r="A237" s="80"/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</row>
    <row r="238" spans="1:12" s="37" customFormat="1" ht="13.2" x14ac:dyDescent="0.25">
      <c r="A238" s="80"/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</row>
    <row r="239" spans="1:12" s="37" customFormat="1" ht="13.2" x14ac:dyDescent="0.25">
      <c r="A239" s="80"/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</row>
    <row r="240" spans="1:12" s="37" customFormat="1" ht="13.2" x14ac:dyDescent="0.25">
      <c r="A240" s="80"/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</row>
    <row r="241" spans="1:12" s="37" customFormat="1" ht="13.2" x14ac:dyDescent="0.25">
      <c r="A241" s="80"/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</row>
    <row r="242" spans="1:12" s="37" customFormat="1" ht="13.2" x14ac:dyDescent="0.25">
      <c r="A242" s="80"/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</row>
    <row r="243" spans="1:12" s="37" customFormat="1" ht="13.2" x14ac:dyDescent="0.25">
      <c r="A243" s="80"/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</row>
    <row r="244" spans="1:12" s="37" customFormat="1" ht="13.2" x14ac:dyDescent="0.25">
      <c r="A244" s="80"/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</row>
    <row r="245" spans="1:12" s="37" customFormat="1" ht="13.2" x14ac:dyDescent="0.25">
      <c r="A245" s="80"/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</row>
    <row r="246" spans="1:12" s="37" customFormat="1" ht="13.2" x14ac:dyDescent="0.25">
      <c r="A246" s="80"/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</row>
    <row r="247" spans="1:12" s="37" customFormat="1" ht="13.2" x14ac:dyDescent="0.25">
      <c r="A247" s="80"/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</row>
    <row r="248" spans="1:12" s="37" customFormat="1" ht="13.2" x14ac:dyDescent="0.25">
      <c r="A248" s="80"/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</row>
    <row r="249" spans="1:12" s="37" customFormat="1" ht="13.2" x14ac:dyDescent="0.25">
      <c r="A249" s="80"/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</row>
    <row r="250" spans="1:12" s="37" customFormat="1" ht="13.2" x14ac:dyDescent="0.25">
      <c r="A250" s="80"/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</row>
    <row r="251" spans="1:12" s="37" customFormat="1" ht="13.2" x14ac:dyDescent="0.25">
      <c r="A251" s="80"/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</row>
    <row r="252" spans="1:12" s="37" customFormat="1" ht="13.2" x14ac:dyDescent="0.25">
      <c r="A252" s="80"/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</row>
    <row r="253" spans="1:12" s="37" customFormat="1" ht="13.2" x14ac:dyDescent="0.25">
      <c r="A253" s="80"/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</row>
    <row r="254" spans="1:12" s="37" customFormat="1" ht="13.2" x14ac:dyDescent="0.25">
      <c r="A254" s="80"/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</row>
    <row r="255" spans="1:12" s="37" customFormat="1" ht="13.2" x14ac:dyDescent="0.25">
      <c r="A255" s="80"/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</row>
    <row r="256" spans="1:12" s="37" customFormat="1" ht="13.2" x14ac:dyDescent="0.25">
      <c r="A256" s="80"/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</row>
    <row r="257" spans="1:12" s="37" customFormat="1" ht="13.2" x14ac:dyDescent="0.25">
      <c r="A257" s="80"/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</row>
    <row r="258" spans="1:12" s="37" customFormat="1" ht="13.2" x14ac:dyDescent="0.25">
      <c r="A258" s="80"/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</row>
    <row r="259" spans="1:12" s="37" customFormat="1" ht="13.2" x14ac:dyDescent="0.25">
      <c r="A259" s="80"/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</row>
    <row r="260" spans="1:12" s="37" customFormat="1" ht="13.2" x14ac:dyDescent="0.25">
      <c r="A260" s="80"/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</row>
    <row r="261" spans="1:12" s="37" customFormat="1" ht="13.2" x14ac:dyDescent="0.25">
      <c r="A261" s="80"/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</row>
    <row r="262" spans="1:12" s="37" customFormat="1" ht="13.2" x14ac:dyDescent="0.25">
      <c r="A262" s="80"/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</row>
    <row r="263" spans="1:12" s="37" customFormat="1" ht="13.2" x14ac:dyDescent="0.25">
      <c r="A263" s="80"/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</row>
    <row r="264" spans="1:12" s="37" customFormat="1" ht="13.2" x14ac:dyDescent="0.25">
      <c r="A264" s="80"/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</row>
    <row r="265" spans="1:12" s="37" customFormat="1" ht="13.2" x14ac:dyDescent="0.25">
      <c r="A265" s="80"/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</row>
    <row r="266" spans="1:12" s="37" customFormat="1" ht="13.2" x14ac:dyDescent="0.25">
      <c r="A266" s="80"/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</row>
    <row r="267" spans="1:12" s="37" customFormat="1" ht="13.2" x14ac:dyDescent="0.25">
      <c r="A267" s="80"/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</row>
    <row r="268" spans="1:12" s="37" customFormat="1" ht="13.2" x14ac:dyDescent="0.25">
      <c r="A268" s="80"/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</row>
    <row r="269" spans="1:12" s="37" customFormat="1" ht="13.2" x14ac:dyDescent="0.25">
      <c r="A269" s="80"/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</row>
    <row r="270" spans="1:12" s="37" customFormat="1" ht="13.2" x14ac:dyDescent="0.25">
      <c r="A270" s="80"/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</row>
    <row r="271" spans="1:12" s="37" customFormat="1" ht="13.2" x14ac:dyDescent="0.25">
      <c r="A271" s="80"/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</row>
    <row r="272" spans="1:12" s="37" customFormat="1" ht="13.2" x14ac:dyDescent="0.25">
      <c r="A272" s="80"/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</row>
    <row r="273" spans="1:12" s="37" customFormat="1" ht="13.2" x14ac:dyDescent="0.25">
      <c r="A273" s="8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</row>
    <row r="274" spans="1:12" s="37" customFormat="1" ht="13.2" x14ac:dyDescent="0.25">
      <c r="A274" s="80"/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</row>
    <row r="275" spans="1:12" s="37" customFormat="1" ht="13.2" x14ac:dyDescent="0.25">
      <c r="A275" s="80"/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</row>
    <row r="276" spans="1:12" s="37" customFormat="1" ht="13.2" x14ac:dyDescent="0.25">
      <c r="A276" s="80"/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</row>
    <row r="277" spans="1:12" s="37" customFormat="1" ht="13.2" x14ac:dyDescent="0.25">
      <c r="A277" s="80"/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</row>
    <row r="278" spans="1:12" s="37" customFormat="1" ht="13.2" x14ac:dyDescent="0.25">
      <c r="A278" s="80"/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</row>
    <row r="279" spans="1:12" s="37" customFormat="1" ht="13.2" x14ac:dyDescent="0.25">
      <c r="A279" s="80"/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</row>
    <row r="280" spans="1:12" s="37" customFormat="1" ht="13.2" x14ac:dyDescent="0.25">
      <c r="A280" s="80"/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</row>
    <row r="281" spans="1:12" s="37" customFormat="1" ht="13.2" x14ac:dyDescent="0.25">
      <c r="A281" s="80"/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</row>
    <row r="282" spans="1:12" s="37" customFormat="1" ht="13.2" x14ac:dyDescent="0.25">
      <c r="A282" s="80"/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</row>
    <row r="283" spans="1:12" s="37" customFormat="1" ht="13.2" x14ac:dyDescent="0.25">
      <c r="A283" s="80"/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</row>
    <row r="284" spans="1:12" s="37" customFormat="1" ht="13.2" x14ac:dyDescent="0.25">
      <c r="A284" s="80"/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</row>
    <row r="285" spans="1:12" s="37" customFormat="1" ht="13.2" x14ac:dyDescent="0.25">
      <c r="A285" s="80"/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</row>
    <row r="286" spans="1:12" s="37" customFormat="1" ht="13.2" x14ac:dyDescent="0.25">
      <c r="A286" s="80"/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</row>
    <row r="287" spans="1:12" s="37" customFormat="1" ht="13.2" x14ac:dyDescent="0.25">
      <c r="A287" s="80"/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</row>
    <row r="288" spans="1:12" s="37" customFormat="1" ht="13.2" x14ac:dyDescent="0.25">
      <c r="A288" s="80"/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</row>
    <row r="289" spans="1:12" s="37" customFormat="1" ht="13.2" x14ac:dyDescent="0.25">
      <c r="A289" s="80"/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</row>
    <row r="290" spans="1:12" s="37" customFormat="1" ht="13.2" x14ac:dyDescent="0.25">
      <c r="A290" s="80"/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</row>
    <row r="291" spans="1:12" s="37" customFormat="1" ht="13.2" x14ac:dyDescent="0.25">
      <c r="A291" s="80"/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</row>
    <row r="292" spans="1:12" s="37" customFormat="1" ht="13.2" x14ac:dyDescent="0.25">
      <c r="A292" s="80"/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</row>
    <row r="293" spans="1:12" s="37" customFormat="1" ht="13.2" x14ac:dyDescent="0.25">
      <c r="A293" s="80"/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</row>
    <row r="294" spans="1:12" s="37" customFormat="1" ht="13.2" x14ac:dyDescent="0.25">
      <c r="A294" s="80"/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</row>
    <row r="295" spans="1:12" s="37" customFormat="1" ht="13.2" x14ac:dyDescent="0.25">
      <c r="A295" s="80"/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</row>
    <row r="296" spans="1:12" s="37" customFormat="1" ht="13.2" x14ac:dyDescent="0.25">
      <c r="A296" s="80"/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</row>
    <row r="297" spans="1:12" s="37" customFormat="1" ht="13.2" x14ac:dyDescent="0.25">
      <c r="A297" s="80"/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</row>
    <row r="298" spans="1:12" s="37" customFormat="1" ht="13.2" x14ac:dyDescent="0.25">
      <c r="A298" s="80"/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</row>
    <row r="299" spans="1:12" s="37" customFormat="1" ht="13.2" x14ac:dyDescent="0.25">
      <c r="A299" s="80"/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</row>
    <row r="300" spans="1:12" s="37" customFormat="1" ht="13.2" x14ac:dyDescent="0.25">
      <c r="A300" s="80"/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</row>
    <row r="301" spans="1:12" s="37" customFormat="1" ht="13.2" x14ac:dyDescent="0.25">
      <c r="A301" s="80"/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</row>
    <row r="302" spans="1:12" s="37" customFormat="1" ht="13.2" x14ac:dyDescent="0.25">
      <c r="A302" s="80"/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</row>
    <row r="303" spans="1:12" s="37" customFormat="1" ht="13.2" x14ac:dyDescent="0.25">
      <c r="A303" s="80"/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</row>
    <row r="304" spans="1:12" s="37" customFormat="1" ht="13.2" x14ac:dyDescent="0.25">
      <c r="A304" s="80"/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</row>
    <row r="305" spans="1:12" s="37" customFormat="1" ht="13.2" x14ac:dyDescent="0.25">
      <c r="A305" s="80"/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</row>
    <row r="306" spans="1:12" s="37" customFormat="1" ht="13.2" x14ac:dyDescent="0.25">
      <c r="A306" s="80"/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</row>
    <row r="307" spans="1:12" s="37" customFormat="1" ht="13.2" x14ac:dyDescent="0.25">
      <c r="A307" s="80"/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</row>
    <row r="308" spans="1:12" s="37" customFormat="1" ht="13.2" x14ac:dyDescent="0.25">
      <c r="A308" s="80"/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</row>
    <row r="309" spans="1:12" s="37" customFormat="1" ht="13.2" x14ac:dyDescent="0.25">
      <c r="A309" s="80"/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</row>
    <row r="310" spans="1:12" s="37" customFormat="1" ht="13.2" x14ac:dyDescent="0.25">
      <c r="A310" s="80"/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</row>
    <row r="311" spans="1:12" s="37" customFormat="1" ht="13.2" x14ac:dyDescent="0.25">
      <c r="A311" s="80"/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</row>
    <row r="312" spans="1:12" s="37" customFormat="1" ht="13.2" x14ac:dyDescent="0.25">
      <c r="A312" s="80"/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</row>
    <row r="313" spans="1:12" s="37" customFormat="1" ht="13.2" x14ac:dyDescent="0.25">
      <c r="A313" s="80"/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</row>
    <row r="314" spans="1:12" s="37" customFormat="1" ht="13.2" x14ac:dyDescent="0.25">
      <c r="A314" s="80"/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</row>
    <row r="315" spans="1:12" s="37" customFormat="1" ht="13.2" x14ac:dyDescent="0.25">
      <c r="A315" s="80"/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</row>
    <row r="316" spans="1:12" s="37" customFormat="1" ht="13.2" x14ac:dyDescent="0.25">
      <c r="A316" s="80"/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</row>
    <row r="317" spans="1:12" s="37" customFormat="1" ht="13.2" x14ac:dyDescent="0.25">
      <c r="A317" s="80"/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</row>
    <row r="318" spans="1:12" s="37" customFormat="1" ht="13.2" x14ac:dyDescent="0.25">
      <c r="A318" s="80"/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</row>
    <row r="319" spans="1:12" s="37" customFormat="1" ht="13.2" x14ac:dyDescent="0.25">
      <c r="A319" s="80"/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</row>
    <row r="320" spans="1:12" s="37" customFormat="1" ht="13.2" x14ac:dyDescent="0.25">
      <c r="A320" s="80"/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</row>
    <row r="321" spans="1:12" s="37" customFormat="1" ht="13.2" x14ac:dyDescent="0.25">
      <c r="A321" s="80"/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</row>
    <row r="322" spans="1:12" s="37" customFormat="1" ht="13.2" x14ac:dyDescent="0.25">
      <c r="A322" s="80"/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</row>
    <row r="323" spans="1:12" s="37" customFormat="1" ht="13.2" x14ac:dyDescent="0.25">
      <c r="A323" s="80"/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</row>
    <row r="324" spans="1:12" s="37" customFormat="1" ht="13.2" x14ac:dyDescent="0.25">
      <c r="A324" s="80"/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</row>
    <row r="325" spans="1:12" s="37" customFormat="1" ht="13.2" x14ac:dyDescent="0.25">
      <c r="A325" s="80"/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</row>
    <row r="326" spans="1:12" s="37" customFormat="1" ht="13.2" x14ac:dyDescent="0.25">
      <c r="A326" s="80"/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</row>
    <row r="327" spans="1:12" s="37" customFormat="1" ht="13.2" x14ac:dyDescent="0.25">
      <c r="A327" s="80"/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</row>
    <row r="328" spans="1:12" s="37" customFormat="1" ht="13.2" x14ac:dyDescent="0.25">
      <c r="A328" s="80"/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</row>
    <row r="329" spans="1:12" s="37" customFormat="1" ht="13.2" x14ac:dyDescent="0.25">
      <c r="A329" s="80"/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</row>
    <row r="330" spans="1:12" s="37" customFormat="1" ht="13.2" x14ac:dyDescent="0.25">
      <c r="A330" s="80"/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</row>
    <row r="331" spans="1:12" s="37" customFormat="1" ht="13.2" x14ac:dyDescent="0.25">
      <c r="A331" s="80"/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</row>
    <row r="332" spans="1:12" s="37" customFormat="1" ht="13.2" x14ac:dyDescent="0.25">
      <c r="A332" s="80"/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</row>
    <row r="333" spans="1:12" s="37" customFormat="1" ht="13.2" x14ac:dyDescent="0.25">
      <c r="A333" s="80"/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</row>
    <row r="334" spans="1:12" s="37" customFormat="1" ht="13.2" x14ac:dyDescent="0.25">
      <c r="A334" s="80"/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</row>
    <row r="335" spans="1:12" s="37" customFormat="1" ht="13.2" x14ac:dyDescent="0.25">
      <c r="A335" s="80"/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</row>
    <row r="336" spans="1:12" s="37" customFormat="1" ht="13.2" x14ac:dyDescent="0.25">
      <c r="A336" s="80"/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</row>
    <row r="337" spans="1:12" s="37" customFormat="1" ht="13.2" x14ac:dyDescent="0.25">
      <c r="A337" s="80"/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</row>
    <row r="338" spans="1:12" s="37" customFormat="1" ht="13.2" x14ac:dyDescent="0.25">
      <c r="A338" s="80"/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</row>
    <row r="339" spans="1:12" s="37" customFormat="1" ht="13.2" x14ac:dyDescent="0.25">
      <c r="A339" s="80"/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</row>
    <row r="340" spans="1:12" s="37" customFormat="1" ht="13.2" x14ac:dyDescent="0.25">
      <c r="A340" s="80"/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</row>
    <row r="341" spans="1:12" s="37" customFormat="1" ht="13.2" x14ac:dyDescent="0.25">
      <c r="A341" s="8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</row>
    <row r="342" spans="1:12" s="37" customFormat="1" ht="13.2" x14ac:dyDescent="0.25">
      <c r="A342" s="80"/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</row>
    <row r="343" spans="1:12" s="37" customFormat="1" ht="13.2" x14ac:dyDescent="0.25">
      <c r="A343" s="80"/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</row>
    <row r="344" spans="1:12" s="37" customFormat="1" ht="13.2" x14ac:dyDescent="0.25">
      <c r="A344" s="80"/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</row>
    <row r="345" spans="1:12" s="37" customFormat="1" ht="13.2" x14ac:dyDescent="0.25">
      <c r="A345" s="80"/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</row>
    <row r="346" spans="1:12" s="37" customFormat="1" ht="13.2" x14ac:dyDescent="0.25">
      <c r="A346" s="80"/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</row>
    <row r="347" spans="1:12" s="37" customFormat="1" ht="13.2" x14ac:dyDescent="0.25">
      <c r="A347" s="80"/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</row>
    <row r="348" spans="1:12" s="37" customFormat="1" ht="13.2" x14ac:dyDescent="0.25">
      <c r="A348" s="80"/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</row>
    <row r="349" spans="1:12" s="37" customFormat="1" ht="13.2" x14ac:dyDescent="0.25">
      <c r="A349" s="80"/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</row>
    <row r="350" spans="1:12" s="37" customFormat="1" ht="13.2" x14ac:dyDescent="0.25">
      <c r="A350" s="80"/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</row>
    <row r="351" spans="1:12" s="37" customFormat="1" ht="13.2" x14ac:dyDescent="0.25">
      <c r="A351" s="80"/>
      <c r="B351" s="130"/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</row>
    <row r="352" spans="1:12" s="37" customFormat="1" ht="13.2" x14ac:dyDescent="0.25">
      <c r="A352" s="80"/>
      <c r="B352" s="130"/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</row>
    <row r="353" spans="1:12" s="37" customFormat="1" ht="13.2" x14ac:dyDescent="0.25">
      <c r="A353" s="80"/>
      <c r="B353" s="130"/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</row>
    <row r="354" spans="1:12" s="37" customFormat="1" ht="13.2" x14ac:dyDescent="0.25">
      <c r="A354" s="80"/>
      <c r="B354" s="130"/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</row>
    <row r="355" spans="1:12" s="37" customFormat="1" ht="13.2" x14ac:dyDescent="0.25">
      <c r="A355" s="80"/>
      <c r="B355" s="130"/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</row>
    <row r="356" spans="1:12" s="37" customFormat="1" ht="13.2" x14ac:dyDescent="0.25">
      <c r="A356" s="80"/>
      <c r="B356" s="130"/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</row>
    <row r="357" spans="1:12" s="37" customFormat="1" ht="13.2" x14ac:dyDescent="0.25">
      <c r="A357" s="80"/>
      <c r="B357" s="130"/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</row>
    <row r="358" spans="1:12" s="37" customFormat="1" ht="13.2" x14ac:dyDescent="0.25">
      <c r="A358" s="80"/>
      <c r="B358" s="130"/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</row>
    <row r="359" spans="1:12" s="37" customFormat="1" ht="13.2" x14ac:dyDescent="0.25">
      <c r="A359" s="80"/>
      <c r="B359" s="130"/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</row>
    <row r="360" spans="1:12" s="37" customFormat="1" ht="13.2" x14ac:dyDescent="0.25">
      <c r="A360" s="80"/>
      <c r="B360" s="130"/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</row>
    <row r="361" spans="1:12" s="37" customFormat="1" ht="13.2" x14ac:dyDescent="0.25">
      <c r="A361" s="80"/>
      <c r="B361" s="130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</row>
    <row r="362" spans="1:12" s="37" customFormat="1" ht="13.2" x14ac:dyDescent="0.25">
      <c r="A362" s="80"/>
      <c r="B362" s="130"/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</row>
    <row r="363" spans="1:12" s="37" customFormat="1" ht="13.2" x14ac:dyDescent="0.25">
      <c r="A363" s="80"/>
      <c r="B363" s="130"/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</row>
    <row r="364" spans="1:12" s="37" customFormat="1" ht="13.2" x14ac:dyDescent="0.25">
      <c r="A364" s="80"/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</row>
    <row r="365" spans="1:12" s="37" customFormat="1" ht="13.2" x14ac:dyDescent="0.25">
      <c r="A365" s="80"/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</row>
    <row r="366" spans="1:12" s="37" customFormat="1" ht="13.2" x14ac:dyDescent="0.25">
      <c r="A366" s="80"/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</row>
    <row r="367" spans="1:12" s="37" customFormat="1" ht="13.2" x14ac:dyDescent="0.25">
      <c r="A367" s="80"/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</row>
    <row r="368" spans="1:12" s="37" customFormat="1" ht="13.2" x14ac:dyDescent="0.25">
      <c r="A368" s="80"/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</row>
    <row r="369" spans="1:12" s="37" customFormat="1" ht="13.2" x14ac:dyDescent="0.25">
      <c r="A369" s="80"/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</row>
    <row r="370" spans="1:12" s="37" customFormat="1" ht="13.2" x14ac:dyDescent="0.25">
      <c r="A370" s="80"/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</row>
    <row r="371" spans="1:12" s="37" customFormat="1" ht="13.2" x14ac:dyDescent="0.25">
      <c r="A371" s="80"/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</row>
    <row r="372" spans="1:12" s="37" customFormat="1" ht="13.2" x14ac:dyDescent="0.25">
      <c r="A372" s="80"/>
      <c r="B372" s="130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</row>
    <row r="373" spans="1:12" s="37" customFormat="1" ht="13.2" x14ac:dyDescent="0.25">
      <c r="A373" s="80"/>
      <c r="B373" s="130"/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</row>
    <row r="374" spans="1:12" s="37" customFormat="1" ht="13.2" x14ac:dyDescent="0.25">
      <c r="A374" s="80"/>
      <c r="B374" s="130"/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</row>
    <row r="375" spans="1:12" s="37" customFormat="1" ht="13.2" x14ac:dyDescent="0.25">
      <c r="A375" s="80"/>
      <c r="B375" s="130"/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</row>
    <row r="376" spans="1:12" s="37" customFormat="1" ht="13.2" x14ac:dyDescent="0.25">
      <c r="A376" s="80"/>
      <c r="B376" s="130"/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</row>
    <row r="377" spans="1:12" s="37" customFormat="1" ht="13.2" x14ac:dyDescent="0.25">
      <c r="A377" s="80"/>
      <c r="B377" s="130"/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</row>
    <row r="378" spans="1:12" s="37" customFormat="1" ht="13.2" x14ac:dyDescent="0.25">
      <c r="A378" s="80"/>
      <c r="B378" s="130"/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</row>
    <row r="379" spans="1:12" s="37" customFormat="1" ht="13.2" x14ac:dyDescent="0.25">
      <c r="A379" s="80"/>
      <c r="B379" s="130"/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</row>
    <row r="380" spans="1:12" s="37" customFormat="1" ht="13.2" x14ac:dyDescent="0.25">
      <c r="A380" s="80"/>
      <c r="B380" s="130"/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</row>
    <row r="381" spans="1:12" s="37" customFormat="1" ht="13.2" x14ac:dyDescent="0.25">
      <c r="A381" s="80"/>
      <c r="B381" s="130"/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</row>
    <row r="382" spans="1:12" s="37" customFormat="1" ht="13.2" x14ac:dyDescent="0.25">
      <c r="A382" s="80"/>
      <c r="B382" s="130"/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</row>
    <row r="383" spans="1:12" s="37" customFormat="1" ht="13.2" x14ac:dyDescent="0.25">
      <c r="A383" s="80"/>
      <c r="B383" s="130"/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</row>
    <row r="384" spans="1:12" s="37" customFormat="1" ht="13.2" x14ac:dyDescent="0.25">
      <c r="A384" s="80"/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</row>
    <row r="385" spans="1:12" s="37" customFormat="1" ht="13.2" x14ac:dyDescent="0.25">
      <c r="A385" s="80"/>
      <c r="B385" s="130"/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</row>
    <row r="386" spans="1:12" s="37" customFormat="1" ht="13.2" x14ac:dyDescent="0.25">
      <c r="A386" s="80"/>
      <c r="B386" s="130"/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</row>
    <row r="387" spans="1:12" s="37" customFormat="1" ht="13.2" x14ac:dyDescent="0.25">
      <c r="A387" s="80"/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</row>
    <row r="388" spans="1:12" s="37" customFormat="1" ht="13.2" x14ac:dyDescent="0.25">
      <c r="A388" s="80"/>
      <c r="B388" s="130"/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</row>
    <row r="389" spans="1:12" s="37" customFormat="1" ht="13.2" x14ac:dyDescent="0.25">
      <c r="A389" s="80"/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</row>
    <row r="390" spans="1:12" s="37" customFormat="1" ht="13.2" x14ac:dyDescent="0.25">
      <c r="A390" s="80"/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</row>
    <row r="391" spans="1:12" s="37" customFormat="1" ht="13.2" x14ac:dyDescent="0.25">
      <c r="A391" s="80"/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</row>
    <row r="392" spans="1:12" s="37" customFormat="1" ht="13.2" x14ac:dyDescent="0.25">
      <c r="A392" s="80"/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</row>
    <row r="393" spans="1:12" s="37" customFormat="1" ht="13.2" x14ac:dyDescent="0.25">
      <c r="A393" s="80"/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</row>
    <row r="394" spans="1:12" s="37" customFormat="1" ht="13.2" x14ac:dyDescent="0.25">
      <c r="A394" s="80"/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</row>
    <row r="395" spans="1:12" s="37" customFormat="1" ht="13.2" x14ac:dyDescent="0.25">
      <c r="A395" s="80"/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</row>
    <row r="396" spans="1:12" s="37" customFormat="1" ht="13.2" x14ac:dyDescent="0.25">
      <c r="A396" s="80"/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</row>
    <row r="397" spans="1:12" s="37" customFormat="1" ht="13.2" x14ac:dyDescent="0.25">
      <c r="A397" s="80"/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</row>
    <row r="398" spans="1:12" s="37" customFormat="1" ht="13.2" x14ac:dyDescent="0.25">
      <c r="A398" s="80"/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</row>
    <row r="399" spans="1:12" s="37" customFormat="1" ht="13.2" x14ac:dyDescent="0.25">
      <c r="A399" s="80"/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</row>
    <row r="400" spans="1:12" s="37" customFormat="1" ht="13.2" x14ac:dyDescent="0.25">
      <c r="A400" s="80"/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</row>
    <row r="401" spans="1:12" s="37" customFormat="1" ht="13.2" x14ac:dyDescent="0.25">
      <c r="A401" s="80"/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</row>
    <row r="402" spans="1:12" s="37" customFormat="1" ht="13.2" x14ac:dyDescent="0.25">
      <c r="A402" s="80"/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</row>
    <row r="403" spans="1:12" s="37" customFormat="1" ht="13.2" x14ac:dyDescent="0.25">
      <c r="A403" s="80"/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</row>
    <row r="404" spans="1:12" s="37" customFormat="1" ht="13.2" x14ac:dyDescent="0.25">
      <c r="A404" s="80"/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</row>
    <row r="405" spans="1:12" s="37" customFormat="1" ht="13.2" x14ac:dyDescent="0.25">
      <c r="A405" s="80"/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</row>
    <row r="406" spans="1:12" s="37" customFormat="1" ht="13.2" x14ac:dyDescent="0.25">
      <c r="A406" s="80"/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</row>
    <row r="407" spans="1:12" s="37" customFormat="1" ht="13.2" x14ac:dyDescent="0.25">
      <c r="A407" s="80"/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</row>
    <row r="408" spans="1:12" s="37" customFormat="1" ht="13.2" x14ac:dyDescent="0.25">
      <c r="A408" s="80"/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</row>
    <row r="409" spans="1:12" s="37" customFormat="1" ht="13.2" x14ac:dyDescent="0.25">
      <c r="A409" s="8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</row>
    <row r="410" spans="1:12" s="37" customFormat="1" ht="13.2" x14ac:dyDescent="0.25">
      <c r="A410" s="80"/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</row>
    <row r="411" spans="1:12" s="37" customFormat="1" ht="13.2" x14ac:dyDescent="0.25">
      <c r="A411" s="80"/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</row>
    <row r="412" spans="1:12" s="37" customFormat="1" ht="13.2" x14ac:dyDescent="0.25">
      <c r="A412" s="80"/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</row>
    <row r="413" spans="1:12" s="37" customFormat="1" ht="13.2" x14ac:dyDescent="0.25">
      <c r="A413" s="80"/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</row>
    <row r="414" spans="1:12" s="37" customFormat="1" ht="13.2" x14ac:dyDescent="0.25">
      <c r="A414" s="80"/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</row>
    <row r="415" spans="1:12" s="37" customFormat="1" ht="13.2" x14ac:dyDescent="0.25">
      <c r="A415" s="80"/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</row>
    <row r="416" spans="1:12" s="37" customFormat="1" ht="13.2" x14ac:dyDescent="0.25">
      <c r="A416" s="80"/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</row>
    <row r="417" spans="1:12" s="37" customFormat="1" ht="13.2" x14ac:dyDescent="0.25">
      <c r="A417" s="80"/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</row>
    <row r="418" spans="1:12" s="37" customFormat="1" ht="13.2" x14ac:dyDescent="0.25">
      <c r="A418" s="80"/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</row>
    <row r="419" spans="1:12" s="37" customFormat="1" ht="13.2" x14ac:dyDescent="0.25">
      <c r="A419" s="80"/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</row>
    <row r="420" spans="1:12" s="37" customFormat="1" ht="13.2" x14ac:dyDescent="0.25">
      <c r="A420" s="80"/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</row>
    <row r="421" spans="1:12" s="37" customFormat="1" ht="13.2" x14ac:dyDescent="0.25">
      <c r="A421" s="80"/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</row>
    <row r="422" spans="1:12" s="37" customFormat="1" ht="13.2" x14ac:dyDescent="0.25">
      <c r="A422" s="80"/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</row>
    <row r="423" spans="1:12" s="37" customFormat="1" ht="13.2" x14ac:dyDescent="0.25">
      <c r="A423" s="80"/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</row>
    <row r="424" spans="1:12" s="37" customFormat="1" ht="13.2" x14ac:dyDescent="0.25">
      <c r="A424" s="80"/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</row>
    <row r="425" spans="1:12" s="37" customFormat="1" ht="13.2" x14ac:dyDescent="0.25">
      <c r="A425" s="80"/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</row>
    <row r="426" spans="1:12" s="37" customFormat="1" ht="13.2" x14ac:dyDescent="0.25">
      <c r="A426" s="80"/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</row>
    <row r="427" spans="1:12" s="37" customFormat="1" ht="13.2" x14ac:dyDescent="0.25">
      <c r="A427" s="80"/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</row>
    <row r="428" spans="1:12" s="37" customFormat="1" ht="13.2" x14ac:dyDescent="0.25">
      <c r="A428" s="80"/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</row>
    <row r="429" spans="1:12" s="37" customFormat="1" ht="13.2" x14ac:dyDescent="0.25">
      <c r="A429" s="80"/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</row>
    <row r="430" spans="1:12" s="37" customFormat="1" ht="13.2" x14ac:dyDescent="0.25">
      <c r="A430" s="80"/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</row>
    <row r="431" spans="1:12" s="37" customFormat="1" ht="13.2" x14ac:dyDescent="0.25">
      <c r="A431" s="80"/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</row>
    <row r="432" spans="1:12" s="37" customFormat="1" ht="13.2" x14ac:dyDescent="0.25">
      <c r="A432" s="80"/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</row>
    <row r="433" spans="1:12" s="37" customFormat="1" ht="13.2" x14ac:dyDescent="0.25">
      <c r="A433" s="80"/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</row>
    <row r="434" spans="1:12" s="37" customFormat="1" ht="13.2" x14ac:dyDescent="0.25">
      <c r="A434" s="80"/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</row>
    <row r="435" spans="1:12" s="37" customFormat="1" ht="13.2" x14ac:dyDescent="0.25">
      <c r="A435" s="80"/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</row>
    <row r="436" spans="1:12" s="37" customFormat="1" ht="13.2" x14ac:dyDescent="0.25">
      <c r="A436" s="80"/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</row>
    <row r="437" spans="1:12" s="37" customFormat="1" ht="13.2" x14ac:dyDescent="0.25">
      <c r="A437" s="80"/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</row>
    <row r="438" spans="1:12" s="37" customFormat="1" ht="13.2" x14ac:dyDescent="0.25">
      <c r="A438" s="80"/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</row>
    <row r="439" spans="1:12" s="37" customFormat="1" ht="13.2" x14ac:dyDescent="0.25">
      <c r="A439" s="80"/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</row>
    <row r="440" spans="1:12" s="37" customFormat="1" ht="13.2" x14ac:dyDescent="0.25">
      <c r="A440" s="80"/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</row>
    <row r="441" spans="1:12" s="37" customFormat="1" ht="13.2" x14ac:dyDescent="0.25">
      <c r="A441" s="80"/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</row>
    <row r="442" spans="1:12" s="37" customFormat="1" ht="13.2" x14ac:dyDescent="0.25">
      <c r="A442" s="80"/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</row>
    <row r="443" spans="1:12" s="37" customFormat="1" ht="13.2" x14ac:dyDescent="0.25">
      <c r="A443" s="80"/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</row>
    <row r="444" spans="1:12" s="37" customFormat="1" ht="13.2" x14ac:dyDescent="0.25">
      <c r="A444" s="80"/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</row>
    <row r="445" spans="1:12" s="37" customFormat="1" ht="13.2" x14ac:dyDescent="0.25">
      <c r="A445" s="80"/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</row>
    <row r="446" spans="1:12" s="37" customFormat="1" ht="13.2" x14ac:dyDescent="0.25">
      <c r="A446" s="80"/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</row>
    <row r="447" spans="1:12" s="37" customFormat="1" ht="13.2" x14ac:dyDescent="0.25">
      <c r="A447" s="80"/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</row>
    <row r="448" spans="1:12" s="37" customFormat="1" ht="13.2" x14ac:dyDescent="0.25">
      <c r="A448" s="80"/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</row>
    <row r="449" spans="1:12" s="37" customFormat="1" ht="13.2" x14ac:dyDescent="0.25">
      <c r="A449" s="80"/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</row>
    <row r="450" spans="1:12" s="37" customFormat="1" ht="13.2" x14ac:dyDescent="0.25">
      <c r="A450" s="80"/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</row>
    <row r="451" spans="1:12" s="37" customFormat="1" ht="13.2" x14ac:dyDescent="0.25">
      <c r="A451" s="80"/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</row>
    <row r="452" spans="1:12" s="37" customFormat="1" ht="13.2" x14ac:dyDescent="0.25">
      <c r="A452" s="80"/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</row>
    <row r="453" spans="1:12" s="37" customFormat="1" ht="13.2" x14ac:dyDescent="0.25">
      <c r="A453" s="80"/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</row>
    <row r="454" spans="1:12" s="37" customFormat="1" ht="13.2" x14ac:dyDescent="0.25">
      <c r="A454" s="80"/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</row>
    <row r="455" spans="1:12" s="37" customFormat="1" ht="13.2" x14ac:dyDescent="0.25">
      <c r="A455" s="80"/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</row>
    <row r="456" spans="1:12" s="37" customFormat="1" ht="13.2" x14ac:dyDescent="0.25">
      <c r="A456" s="80"/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</row>
    <row r="457" spans="1:12" s="37" customFormat="1" ht="13.2" x14ac:dyDescent="0.25">
      <c r="A457" s="80"/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</row>
    <row r="458" spans="1:12" s="37" customFormat="1" ht="13.2" x14ac:dyDescent="0.25">
      <c r="A458" s="80"/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</row>
    <row r="459" spans="1:12" s="37" customFormat="1" ht="13.2" x14ac:dyDescent="0.25">
      <c r="A459" s="80"/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</row>
    <row r="460" spans="1:12" s="37" customFormat="1" ht="13.2" x14ac:dyDescent="0.25">
      <c r="A460" s="80"/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</row>
    <row r="461" spans="1:12" s="37" customFormat="1" ht="13.2" x14ac:dyDescent="0.25">
      <c r="A461" s="80"/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</row>
    <row r="462" spans="1:12" s="37" customFormat="1" ht="13.2" x14ac:dyDescent="0.25">
      <c r="A462" s="80"/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</row>
    <row r="463" spans="1:12" s="37" customFormat="1" ht="13.2" x14ac:dyDescent="0.25">
      <c r="A463" s="80"/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</row>
    <row r="464" spans="1:12" s="37" customFormat="1" ht="13.2" x14ac:dyDescent="0.25">
      <c r="A464" s="80"/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</row>
    <row r="465" spans="1:12" s="37" customFormat="1" ht="13.2" x14ac:dyDescent="0.25">
      <c r="A465" s="80"/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</row>
    <row r="466" spans="1:12" s="37" customFormat="1" ht="13.2" x14ac:dyDescent="0.25">
      <c r="A466" s="80"/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</row>
    <row r="467" spans="1:12" s="37" customFormat="1" ht="13.2" x14ac:dyDescent="0.25">
      <c r="A467" s="80"/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</row>
    <row r="468" spans="1:12" s="37" customFormat="1" ht="13.2" x14ac:dyDescent="0.25">
      <c r="A468" s="80"/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</row>
    <row r="469" spans="1:12" s="37" customFormat="1" ht="13.2" x14ac:dyDescent="0.25">
      <c r="A469" s="80"/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</row>
    <row r="470" spans="1:12" s="37" customFormat="1" ht="13.2" x14ac:dyDescent="0.25">
      <c r="A470" s="80"/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</row>
    <row r="471" spans="1:12" s="37" customFormat="1" ht="13.2" x14ac:dyDescent="0.25">
      <c r="A471" s="80"/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</row>
    <row r="472" spans="1:12" s="37" customFormat="1" ht="13.2" x14ac:dyDescent="0.25">
      <c r="A472" s="80"/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</row>
    <row r="473" spans="1:12" s="37" customFormat="1" ht="13.2" x14ac:dyDescent="0.25">
      <c r="A473" s="80"/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</row>
    <row r="474" spans="1:12" s="37" customFormat="1" ht="13.2" x14ac:dyDescent="0.25">
      <c r="A474" s="80"/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</row>
    <row r="475" spans="1:12" s="37" customFormat="1" ht="13.2" x14ac:dyDescent="0.25">
      <c r="A475" s="80"/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</row>
    <row r="476" spans="1:12" s="37" customFormat="1" ht="13.2" x14ac:dyDescent="0.25">
      <c r="A476" s="80"/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</row>
    <row r="477" spans="1:12" s="37" customFormat="1" ht="13.2" x14ac:dyDescent="0.25">
      <c r="A477" s="8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</row>
    <row r="478" spans="1:12" s="37" customFormat="1" ht="13.2" x14ac:dyDescent="0.25">
      <c r="A478" s="80"/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</row>
    <row r="479" spans="1:12" s="37" customFormat="1" ht="13.2" x14ac:dyDescent="0.25">
      <c r="A479" s="80"/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</row>
    <row r="480" spans="1:12" s="37" customFormat="1" ht="13.2" x14ac:dyDescent="0.25">
      <c r="A480" s="80"/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</row>
    <row r="481" spans="1:12" s="37" customFormat="1" ht="13.2" x14ac:dyDescent="0.25">
      <c r="A481" s="80"/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</row>
    <row r="482" spans="1:12" s="37" customFormat="1" ht="13.2" x14ac:dyDescent="0.25">
      <c r="A482" s="80"/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</row>
    <row r="483" spans="1:12" s="37" customFormat="1" ht="13.2" x14ac:dyDescent="0.25">
      <c r="A483" s="80"/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</row>
    <row r="484" spans="1:12" s="37" customFormat="1" ht="13.2" x14ac:dyDescent="0.25">
      <c r="A484" s="80"/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</row>
    <row r="485" spans="1:12" s="37" customFormat="1" ht="13.2" x14ac:dyDescent="0.25">
      <c r="A485" s="80"/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</row>
    <row r="486" spans="1:12" s="37" customFormat="1" ht="13.2" x14ac:dyDescent="0.25">
      <c r="A486" s="80"/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</row>
    <row r="487" spans="1:12" s="37" customFormat="1" ht="13.2" x14ac:dyDescent="0.25">
      <c r="A487" s="80"/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</row>
    <row r="488" spans="1:12" s="37" customFormat="1" ht="13.2" x14ac:dyDescent="0.25">
      <c r="A488" s="80"/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</row>
    <row r="489" spans="1:12" s="37" customFormat="1" ht="13.2" x14ac:dyDescent="0.25">
      <c r="A489" s="80"/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</row>
    <row r="490" spans="1:12" s="37" customFormat="1" ht="13.2" x14ac:dyDescent="0.25">
      <c r="A490" s="80"/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</row>
    <row r="491" spans="1:12" s="37" customFormat="1" ht="13.2" x14ac:dyDescent="0.25">
      <c r="A491" s="80"/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</row>
    <row r="492" spans="1:12" s="37" customFormat="1" ht="13.2" x14ac:dyDescent="0.25">
      <c r="A492" s="80"/>
      <c r="B492" s="130"/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</row>
    <row r="493" spans="1:12" s="37" customFormat="1" ht="13.2" x14ac:dyDescent="0.25">
      <c r="A493" s="80"/>
      <c r="B493" s="130"/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</row>
    <row r="494" spans="1:12" s="37" customFormat="1" ht="13.2" x14ac:dyDescent="0.25">
      <c r="A494" s="80"/>
      <c r="B494" s="130"/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</row>
    <row r="495" spans="1:12" s="37" customFormat="1" ht="13.2" x14ac:dyDescent="0.25">
      <c r="A495" s="80"/>
      <c r="B495" s="130"/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</row>
    <row r="496" spans="1:12" s="37" customFormat="1" ht="13.2" x14ac:dyDescent="0.25">
      <c r="A496" s="80"/>
      <c r="B496" s="130"/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</row>
    <row r="497" spans="1:12" s="37" customFormat="1" ht="13.2" x14ac:dyDescent="0.25">
      <c r="A497" s="80"/>
      <c r="B497" s="130"/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</row>
    <row r="498" spans="1:12" s="37" customFormat="1" ht="13.2" x14ac:dyDescent="0.25">
      <c r="A498" s="80"/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</row>
    <row r="499" spans="1:12" s="37" customFormat="1" ht="13.2" x14ac:dyDescent="0.25">
      <c r="A499" s="80"/>
      <c r="B499" s="130"/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</row>
    <row r="500" spans="1:12" s="37" customFormat="1" ht="13.2" x14ac:dyDescent="0.25">
      <c r="A500" s="80"/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</row>
    <row r="501" spans="1:12" s="37" customFormat="1" ht="13.2" x14ac:dyDescent="0.25">
      <c r="A501" s="80"/>
      <c r="B501" s="130"/>
      <c r="C501" s="130"/>
      <c r="D501" s="130"/>
      <c r="E501" s="130"/>
      <c r="F501" s="130"/>
      <c r="G501" s="130"/>
      <c r="H501" s="130"/>
      <c r="I501" s="130"/>
      <c r="J501" s="130"/>
      <c r="K501" s="130"/>
      <c r="L501" s="130"/>
    </row>
    <row r="502" spans="1:12" s="37" customFormat="1" ht="13.2" x14ac:dyDescent="0.25">
      <c r="A502" s="80"/>
      <c r="B502" s="130"/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</row>
    <row r="503" spans="1:12" s="37" customFormat="1" ht="13.2" x14ac:dyDescent="0.25">
      <c r="A503" s="80"/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</row>
    <row r="504" spans="1:12" s="37" customFormat="1" ht="13.2" x14ac:dyDescent="0.25">
      <c r="A504" s="80"/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</row>
    <row r="505" spans="1:12" s="37" customFormat="1" ht="13.2" x14ac:dyDescent="0.25">
      <c r="A505" s="80"/>
      <c r="B505" s="130"/>
      <c r="C505" s="130"/>
      <c r="D505" s="130"/>
      <c r="E505" s="130"/>
      <c r="F505" s="130"/>
      <c r="G505" s="130"/>
      <c r="H505" s="130"/>
      <c r="I505" s="130"/>
      <c r="J505" s="130"/>
      <c r="K505" s="130"/>
      <c r="L505" s="130"/>
    </row>
    <row r="506" spans="1:12" s="37" customFormat="1" ht="13.2" x14ac:dyDescent="0.25">
      <c r="A506" s="80"/>
      <c r="B506" s="130"/>
      <c r="C506" s="130"/>
      <c r="D506" s="130"/>
      <c r="E506" s="130"/>
      <c r="F506" s="130"/>
      <c r="G506" s="130"/>
      <c r="H506" s="130"/>
      <c r="I506" s="130"/>
      <c r="J506" s="130"/>
      <c r="K506" s="130"/>
      <c r="L506" s="130"/>
    </row>
    <row r="507" spans="1:12" s="37" customFormat="1" ht="13.2" x14ac:dyDescent="0.25">
      <c r="A507" s="80"/>
      <c r="B507" s="130"/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</row>
    <row r="508" spans="1:12" s="37" customFormat="1" ht="13.2" x14ac:dyDescent="0.25">
      <c r="A508" s="80"/>
      <c r="B508" s="130"/>
      <c r="C508" s="130"/>
      <c r="D508" s="130"/>
      <c r="E508" s="130"/>
      <c r="F508" s="130"/>
      <c r="G508" s="130"/>
      <c r="H508" s="130"/>
      <c r="I508" s="130"/>
      <c r="J508" s="130"/>
      <c r="K508" s="130"/>
      <c r="L508" s="130"/>
    </row>
    <row r="509" spans="1:12" s="37" customFormat="1" ht="13.2" x14ac:dyDescent="0.25">
      <c r="A509" s="80"/>
      <c r="B509" s="130"/>
      <c r="C509" s="130"/>
      <c r="D509" s="130"/>
      <c r="E509" s="130"/>
      <c r="F509" s="130"/>
      <c r="G509" s="130"/>
      <c r="H509" s="130"/>
      <c r="I509" s="130"/>
      <c r="J509" s="130"/>
      <c r="K509" s="130"/>
      <c r="L509" s="130"/>
    </row>
    <row r="510" spans="1:12" s="37" customFormat="1" ht="13.2" x14ac:dyDescent="0.25">
      <c r="A510" s="80"/>
      <c r="B510" s="130"/>
      <c r="C510" s="130"/>
      <c r="D510" s="130"/>
      <c r="E510" s="130"/>
      <c r="F510" s="130"/>
      <c r="G510" s="130"/>
      <c r="H510" s="130"/>
      <c r="I510" s="130"/>
      <c r="J510" s="130"/>
      <c r="K510" s="130"/>
      <c r="L510" s="130"/>
    </row>
    <row r="511" spans="1:12" s="37" customFormat="1" ht="13.2" x14ac:dyDescent="0.25">
      <c r="A511" s="80"/>
      <c r="B511" s="130"/>
      <c r="C511" s="130"/>
      <c r="D511" s="130"/>
      <c r="E511" s="130"/>
      <c r="F511" s="130"/>
      <c r="G511" s="130"/>
      <c r="H511" s="130"/>
      <c r="I511" s="130"/>
      <c r="J511" s="130"/>
      <c r="K511" s="130"/>
      <c r="L511" s="130"/>
    </row>
    <row r="512" spans="1:12" s="37" customFormat="1" ht="13.2" x14ac:dyDescent="0.25">
      <c r="A512" s="80"/>
      <c r="B512" s="130"/>
      <c r="C512" s="130"/>
      <c r="D512" s="130"/>
      <c r="E512" s="130"/>
      <c r="F512" s="130"/>
      <c r="G512" s="130"/>
      <c r="H512" s="130"/>
      <c r="I512" s="130"/>
      <c r="J512" s="130"/>
      <c r="K512" s="130"/>
      <c r="L512" s="130"/>
    </row>
    <row r="513" spans="1:12" s="37" customFormat="1" ht="13.2" x14ac:dyDescent="0.25">
      <c r="A513" s="80"/>
      <c r="B513" s="130"/>
      <c r="C513" s="130"/>
      <c r="D513" s="130"/>
      <c r="E513" s="130"/>
      <c r="F513" s="130"/>
      <c r="G513" s="130"/>
      <c r="H513" s="130"/>
      <c r="I513" s="130"/>
      <c r="J513" s="130"/>
      <c r="K513" s="130"/>
      <c r="L513" s="130"/>
    </row>
    <row r="514" spans="1:12" s="37" customFormat="1" ht="13.2" x14ac:dyDescent="0.25">
      <c r="A514" s="80"/>
      <c r="B514" s="130"/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</row>
    <row r="515" spans="1:12" s="37" customFormat="1" ht="13.2" x14ac:dyDescent="0.25">
      <c r="A515" s="80"/>
      <c r="B515" s="130"/>
      <c r="C515" s="130"/>
      <c r="D515" s="130"/>
      <c r="E515" s="130"/>
      <c r="F515" s="130"/>
      <c r="G515" s="130"/>
      <c r="H515" s="130"/>
      <c r="I515" s="130"/>
      <c r="J515" s="130"/>
      <c r="K515" s="130"/>
      <c r="L515" s="130"/>
    </row>
    <row r="516" spans="1:12" s="37" customFormat="1" ht="13.2" x14ac:dyDescent="0.25">
      <c r="A516" s="80"/>
      <c r="B516" s="130"/>
      <c r="C516" s="130"/>
      <c r="D516" s="130"/>
      <c r="E516" s="130"/>
      <c r="F516" s="130"/>
      <c r="G516" s="130"/>
      <c r="H516" s="130"/>
      <c r="I516" s="130"/>
      <c r="J516" s="130"/>
      <c r="K516" s="130"/>
      <c r="L516" s="130"/>
    </row>
    <row r="517" spans="1:12" s="37" customFormat="1" ht="13.2" x14ac:dyDescent="0.25">
      <c r="A517" s="80"/>
      <c r="B517" s="130"/>
      <c r="C517" s="130"/>
      <c r="D517" s="130"/>
      <c r="E517" s="130"/>
      <c r="F517" s="130"/>
      <c r="G517" s="130"/>
      <c r="H517" s="130"/>
      <c r="I517" s="130"/>
      <c r="J517" s="130"/>
      <c r="K517" s="130"/>
      <c r="L517" s="130"/>
    </row>
    <row r="518" spans="1:12" s="37" customFormat="1" ht="13.2" x14ac:dyDescent="0.25">
      <c r="A518" s="80"/>
      <c r="B518" s="130"/>
      <c r="C518" s="130"/>
      <c r="D518" s="130"/>
      <c r="E518" s="130"/>
      <c r="F518" s="130"/>
      <c r="G518" s="130"/>
      <c r="H518" s="130"/>
      <c r="I518" s="130"/>
      <c r="J518" s="130"/>
      <c r="K518" s="130"/>
      <c r="L518" s="130"/>
    </row>
    <row r="519" spans="1:12" s="37" customFormat="1" ht="13.2" x14ac:dyDescent="0.25">
      <c r="A519" s="80"/>
      <c r="B519" s="130"/>
      <c r="C519" s="130"/>
      <c r="D519" s="130"/>
      <c r="E519" s="130"/>
      <c r="F519" s="130"/>
      <c r="G519" s="130"/>
      <c r="H519" s="130"/>
      <c r="I519" s="130"/>
      <c r="J519" s="130"/>
      <c r="K519" s="130"/>
      <c r="L519" s="130"/>
    </row>
    <row r="520" spans="1:12" s="37" customFormat="1" ht="13.2" x14ac:dyDescent="0.25">
      <c r="A520" s="80"/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</row>
    <row r="521" spans="1:12" s="37" customFormat="1" ht="13.2" x14ac:dyDescent="0.25">
      <c r="A521" s="80"/>
      <c r="B521" s="130"/>
      <c r="C521" s="130"/>
      <c r="D521" s="130"/>
      <c r="E521" s="130"/>
      <c r="F521" s="130"/>
      <c r="G521" s="130"/>
      <c r="H521" s="130"/>
      <c r="I521" s="130"/>
      <c r="J521" s="130"/>
      <c r="K521" s="130"/>
      <c r="L521" s="130"/>
    </row>
    <row r="522" spans="1:12" s="37" customFormat="1" ht="13.2" x14ac:dyDescent="0.25">
      <c r="A522" s="80"/>
      <c r="B522" s="130"/>
      <c r="C522" s="130"/>
      <c r="D522" s="130"/>
      <c r="E522" s="130"/>
      <c r="F522" s="130"/>
      <c r="G522" s="130"/>
      <c r="H522" s="130"/>
      <c r="I522" s="130"/>
      <c r="J522" s="130"/>
      <c r="K522" s="130"/>
      <c r="L522" s="130"/>
    </row>
    <row r="523" spans="1:12" s="37" customFormat="1" ht="13.2" x14ac:dyDescent="0.25">
      <c r="A523" s="80"/>
      <c r="B523" s="130"/>
      <c r="C523" s="130"/>
      <c r="D523" s="130"/>
      <c r="E523" s="130"/>
      <c r="F523" s="130"/>
      <c r="G523" s="130"/>
      <c r="H523" s="130"/>
      <c r="I523" s="130"/>
      <c r="J523" s="130"/>
      <c r="K523" s="130"/>
      <c r="L523" s="130"/>
    </row>
    <row r="524" spans="1:12" s="37" customFormat="1" ht="13.2" x14ac:dyDescent="0.25">
      <c r="A524" s="80"/>
      <c r="B524" s="130"/>
      <c r="C524" s="130"/>
      <c r="D524" s="130"/>
      <c r="E524" s="130"/>
      <c r="F524" s="130"/>
      <c r="G524" s="130"/>
      <c r="H524" s="130"/>
      <c r="I524" s="130"/>
      <c r="J524" s="130"/>
      <c r="K524" s="130"/>
      <c r="L524" s="130"/>
    </row>
    <row r="525" spans="1:12" s="37" customFormat="1" ht="13.2" x14ac:dyDescent="0.25">
      <c r="A525" s="80"/>
      <c r="B525" s="130"/>
      <c r="C525" s="130"/>
      <c r="D525" s="130"/>
      <c r="E525" s="130"/>
      <c r="F525" s="130"/>
      <c r="G525" s="130"/>
      <c r="H525" s="130"/>
      <c r="I525" s="130"/>
      <c r="J525" s="130"/>
      <c r="K525" s="130"/>
      <c r="L525" s="130"/>
    </row>
    <row r="526" spans="1:12" s="37" customFormat="1" ht="13.2" x14ac:dyDescent="0.25">
      <c r="A526" s="80"/>
      <c r="B526" s="130"/>
      <c r="C526" s="130"/>
      <c r="D526" s="130"/>
      <c r="E526" s="130"/>
      <c r="F526" s="130"/>
      <c r="G526" s="130"/>
      <c r="H526" s="130"/>
      <c r="I526" s="130"/>
      <c r="J526" s="130"/>
      <c r="K526" s="130"/>
      <c r="L526" s="130"/>
    </row>
    <row r="527" spans="1:12" s="37" customFormat="1" ht="13.2" x14ac:dyDescent="0.25">
      <c r="A527" s="80"/>
      <c r="B527" s="130"/>
      <c r="C527" s="130"/>
      <c r="D527" s="130"/>
      <c r="E527" s="130"/>
      <c r="F527" s="130"/>
      <c r="G527" s="130"/>
      <c r="H527" s="130"/>
      <c r="I527" s="130"/>
      <c r="J527" s="130"/>
      <c r="K527" s="130"/>
      <c r="L527" s="130"/>
    </row>
    <row r="528" spans="1:12" s="37" customFormat="1" ht="13.2" x14ac:dyDescent="0.25">
      <c r="A528" s="80"/>
      <c r="B528" s="130"/>
      <c r="C528" s="130"/>
      <c r="D528" s="130"/>
      <c r="E528" s="130"/>
      <c r="F528" s="130"/>
      <c r="G528" s="130"/>
      <c r="H528" s="130"/>
      <c r="I528" s="130"/>
      <c r="J528" s="130"/>
      <c r="K528" s="130"/>
      <c r="L528" s="130"/>
    </row>
    <row r="529" spans="1:12" s="37" customFormat="1" ht="13.2" x14ac:dyDescent="0.25">
      <c r="A529" s="80"/>
      <c r="B529" s="130"/>
      <c r="C529" s="130"/>
      <c r="D529" s="130"/>
      <c r="E529" s="130"/>
      <c r="F529" s="130"/>
      <c r="G529" s="130"/>
      <c r="H529" s="130"/>
      <c r="I529" s="130"/>
      <c r="J529" s="130"/>
      <c r="K529" s="130"/>
      <c r="L529" s="130"/>
    </row>
    <row r="530" spans="1:12" s="37" customFormat="1" ht="13.2" x14ac:dyDescent="0.25">
      <c r="A530" s="80"/>
      <c r="B530" s="130"/>
      <c r="C530" s="130"/>
      <c r="D530" s="130"/>
      <c r="E530" s="130"/>
      <c r="F530" s="130"/>
      <c r="G530" s="130"/>
      <c r="H530" s="130"/>
      <c r="I530" s="130"/>
      <c r="J530" s="130"/>
      <c r="K530" s="130"/>
      <c r="L530" s="130"/>
    </row>
    <row r="531" spans="1:12" s="37" customFormat="1" ht="13.2" x14ac:dyDescent="0.25">
      <c r="A531" s="80"/>
      <c r="B531" s="130"/>
      <c r="C531" s="130"/>
      <c r="D531" s="130"/>
      <c r="E531" s="130"/>
      <c r="F531" s="130"/>
      <c r="G531" s="130"/>
      <c r="H531" s="130"/>
      <c r="I531" s="130"/>
      <c r="J531" s="130"/>
      <c r="K531" s="130"/>
      <c r="L531" s="130"/>
    </row>
    <row r="532" spans="1:12" s="37" customFormat="1" ht="13.2" x14ac:dyDescent="0.25">
      <c r="A532" s="80"/>
      <c r="B532" s="130"/>
      <c r="C532" s="130"/>
      <c r="D532" s="130"/>
      <c r="E532" s="130"/>
      <c r="F532" s="130"/>
      <c r="G532" s="130"/>
      <c r="H532" s="130"/>
      <c r="I532" s="130"/>
      <c r="J532" s="130"/>
      <c r="K532" s="130"/>
      <c r="L532" s="130"/>
    </row>
    <row r="533" spans="1:12" s="37" customFormat="1" ht="13.2" x14ac:dyDescent="0.25">
      <c r="A533" s="80"/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</row>
    <row r="534" spans="1:12" s="37" customFormat="1" ht="13.2" x14ac:dyDescent="0.25">
      <c r="A534" s="80"/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</row>
    <row r="535" spans="1:12" s="37" customFormat="1" ht="13.2" x14ac:dyDescent="0.25">
      <c r="A535" s="80"/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</row>
    <row r="536" spans="1:12" s="37" customFormat="1" ht="13.2" x14ac:dyDescent="0.25">
      <c r="A536" s="80"/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</row>
    <row r="537" spans="1:12" s="37" customFormat="1" ht="13.2" x14ac:dyDescent="0.25">
      <c r="A537" s="80"/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</row>
    <row r="538" spans="1:12" s="37" customFormat="1" ht="13.2" x14ac:dyDescent="0.25">
      <c r="A538" s="80"/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</row>
    <row r="539" spans="1:12" s="37" customFormat="1" ht="13.2" x14ac:dyDescent="0.25">
      <c r="A539" s="80"/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</row>
    <row r="540" spans="1:12" s="37" customFormat="1" ht="13.2" x14ac:dyDescent="0.25">
      <c r="A540" s="80"/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</row>
    <row r="541" spans="1:12" s="37" customFormat="1" ht="13.2" x14ac:dyDescent="0.25">
      <c r="A541" s="80"/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</row>
    <row r="542" spans="1:12" s="37" customFormat="1" ht="13.2" x14ac:dyDescent="0.25">
      <c r="A542" s="80"/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</row>
    <row r="543" spans="1:12" s="37" customFormat="1" ht="13.2" x14ac:dyDescent="0.25">
      <c r="A543" s="80"/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</row>
    <row r="544" spans="1:12" s="37" customFormat="1" ht="13.2" x14ac:dyDescent="0.25">
      <c r="A544" s="80"/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</row>
    <row r="545" spans="1:12" s="37" customFormat="1" ht="13.2" x14ac:dyDescent="0.25">
      <c r="A545" s="80"/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</row>
    <row r="546" spans="1:12" s="37" customFormat="1" ht="13.2" x14ac:dyDescent="0.25">
      <c r="A546" s="80"/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</row>
    <row r="547" spans="1:12" s="37" customFormat="1" ht="13.2" x14ac:dyDescent="0.25">
      <c r="A547" s="80"/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</row>
    <row r="548" spans="1:12" s="37" customFormat="1" ht="13.2" x14ac:dyDescent="0.25">
      <c r="A548" s="80"/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</row>
    <row r="549" spans="1:12" s="37" customFormat="1" ht="13.2" x14ac:dyDescent="0.25">
      <c r="A549" s="80"/>
      <c r="B549" s="130"/>
      <c r="C549" s="130"/>
      <c r="D549" s="130"/>
      <c r="E549" s="130"/>
      <c r="F549" s="130"/>
      <c r="G549" s="130"/>
      <c r="H549" s="130"/>
      <c r="I549" s="130"/>
      <c r="J549" s="130"/>
      <c r="K549" s="130"/>
      <c r="L549" s="130"/>
    </row>
    <row r="550" spans="1:12" s="37" customFormat="1" ht="13.2" x14ac:dyDescent="0.25">
      <c r="A550" s="80"/>
      <c r="B550" s="130"/>
      <c r="C550" s="130"/>
      <c r="D550" s="130"/>
      <c r="E550" s="130"/>
      <c r="F550" s="130"/>
      <c r="G550" s="130"/>
      <c r="H550" s="130"/>
      <c r="I550" s="130"/>
      <c r="J550" s="130"/>
      <c r="K550" s="130"/>
      <c r="L550" s="130"/>
    </row>
    <row r="551" spans="1:12" s="37" customFormat="1" ht="13.2" x14ac:dyDescent="0.25">
      <c r="A551" s="80"/>
      <c r="B551" s="130"/>
      <c r="C551" s="130"/>
      <c r="D551" s="130"/>
      <c r="E551" s="130"/>
      <c r="F551" s="130"/>
      <c r="G551" s="130"/>
      <c r="H551" s="130"/>
      <c r="I551" s="130"/>
      <c r="J551" s="130"/>
      <c r="K551" s="130"/>
      <c r="L551" s="130"/>
    </row>
    <row r="552" spans="1:12" s="37" customFormat="1" ht="13.2" x14ac:dyDescent="0.25">
      <c r="A552" s="80"/>
      <c r="B552" s="130"/>
      <c r="C552" s="130"/>
      <c r="D552" s="130"/>
      <c r="E552" s="130"/>
      <c r="F552" s="130"/>
      <c r="G552" s="130"/>
      <c r="H552" s="130"/>
      <c r="I552" s="130"/>
      <c r="J552" s="130"/>
      <c r="K552" s="130"/>
      <c r="L552" s="130"/>
    </row>
    <row r="553" spans="1:12" s="37" customFormat="1" ht="13.2" x14ac:dyDescent="0.25">
      <c r="A553" s="80"/>
      <c r="B553" s="130"/>
      <c r="C553" s="130"/>
      <c r="D553" s="130"/>
      <c r="E553" s="130"/>
      <c r="F553" s="130"/>
      <c r="G553" s="130"/>
      <c r="H553" s="130"/>
      <c r="I553" s="130"/>
      <c r="J553" s="130"/>
      <c r="K553" s="130"/>
      <c r="L553" s="130"/>
    </row>
    <row r="554" spans="1:12" s="37" customFormat="1" ht="13.2" x14ac:dyDescent="0.25">
      <c r="A554" s="80"/>
      <c r="B554" s="130"/>
      <c r="C554" s="130"/>
      <c r="D554" s="130"/>
      <c r="E554" s="130"/>
      <c r="F554" s="130"/>
      <c r="G554" s="130"/>
      <c r="H554" s="130"/>
      <c r="I554" s="130"/>
      <c r="J554" s="130"/>
      <c r="K554" s="130"/>
      <c r="L554" s="130"/>
    </row>
    <row r="555" spans="1:12" s="37" customFormat="1" ht="13.2" x14ac:dyDescent="0.25">
      <c r="A555" s="80"/>
      <c r="B555" s="130"/>
      <c r="C555" s="130"/>
      <c r="D555" s="130"/>
      <c r="E555" s="130"/>
      <c r="F555" s="130"/>
      <c r="G555" s="130"/>
      <c r="H555" s="130"/>
      <c r="I555" s="130"/>
      <c r="J555" s="130"/>
      <c r="K555" s="130"/>
      <c r="L555" s="130"/>
    </row>
    <row r="556" spans="1:12" s="37" customFormat="1" ht="13.2" x14ac:dyDescent="0.25">
      <c r="A556" s="80"/>
      <c r="B556" s="130"/>
      <c r="C556" s="130"/>
      <c r="D556" s="130"/>
      <c r="E556" s="130"/>
      <c r="F556" s="130"/>
      <c r="G556" s="130"/>
      <c r="H556" s="130"/>
      <c r="I556" s="130"/>
      <c r="J556" s="130"/>
      <c r="K556" s="130"/>
      <c r="L556" s="130"/>
    </row>
    <row r="557" spans="1:12" s="37" customFormat="1" ht="13.2" x14ac:dyDescent="0.25">
      <c r="A557" s="80"/>
      <c r="B557" s="130"/>
      <c r="C557" s="130"/>
      <c r="D557" s="130"/>
      <c r="E557" s="130"/>
      <c r="F557" s="130"/>
      <c r="G557" s="130"/>
      <c r="H557" s="130"/>
      <c r="I557" s="130"/>
      <c r="J557" s="130"/>
      <c r="K557" s="130"/>
      <c r="L557" s="130"/>
    </row>
    <row r="558" spans="1:12" s="37" customFormat="1" ht="13.2" x14ac:dyDescent="0.25">
      <c r="A558" s="80"/>
      <c r="B558" s="130"/>
      <c r="C558" s="130"/>
      <c r="D558" s="130"/>
      <c r="E558" s="130"/>
      <c r="F558" s="130"/>
      <c r="G558" s="130"/>
      <c r="H558" s="130"/>
      <c r="I558" s="130"/>
      <c r="J558" s="130"/>
      <c r="K558" s="130"/>
      <c r="L558" s="130"/>
    </row>
    <row r="559" spans="1:12" s="37" customFormat="1" ht="13.2" x14ac:dyDescent="0.25">
      <c r="A559" s="80"/>
      <c r="B559" s="130"/>
      <c r="C559" s="130"/>
      <c r="D559" s="130"/>
      <c r="E559" s="130"/>
      <c r="F559" s="130"/>
      <c r="G559" s="130"/>
      <c r="H559" s="130"/>
      <c r="I559" s="130"/>
      <c r="J559" s="130"/>
      <c r="K559" s="130"/>
      <c r="L559" s="130"/>
    </row>
    <row r="560" spans="1:12" s="37" customFormat="1" ht="13.2" x14ac:dyDescent="0.25">
      <c r="A560" s="80"/>
      <c r="B560" s="130"/>
      <c r="C560" s="130"/>
      <c r="D560" s="130"/>
      <c r="E560" s="130"/>
      <c r="F560" s="130"/>
      <c r="G560" s="130"/>
      <c r="H560" s="130"/>
      <c r="I560" s="130"/>
      <c r="J560" s="130"/>
      <c r="K560" s="130"/>
      <c r="L560" s="130"/>
    </row>
    <row r="561" spans="1:12" s="37" customFormat="1" ht="13.2" x14ac:dyDescent="0.25">
      <c r="A561" s="80"/>
      <c r="B561" s="130"/>
      <c r="C561" s="130"/>
      <c r="D561" s="130"/>
      <c r="E561" s="130"/>
      <c r="F561" s="130"/>
      <c r="G561" s="130"/>
      <c r="H561" s="130"/>
      <c r="I561" s="130"/>
      <c r="J561" s="130"/>
      <c r="K561" s="130"/>
      <c r="L561" s="130"/>
    </row>
    <row r="562" spans="1:12" s="37" customFormat="1" ht="13.2" x14ac:dyDescent="0.25">
      <c r="A562" s="80"/>
      <c r="B562" s="130"/>
      <c r="C562" s="130"/>
      <c r="D562" s="130"/>
      <c r="E562" s="130"/>
      <c r="F562" s="130"/>
      <c r="G562" s="130"/>
      <c r="H562" s="130"/>
      <c r="I562" s="130"/>
      <c r="J562" s="130"/>
      <c r="K562" s="130"/>
      <c r="L562" s="130"/>
    </row>
    <row r="563" spans="1:12" s="37" customFormat="1" ht="13.2" x14ac:dyDescent="0.25">
      <c r="A563" s="80"/>
      <c r="B563" s="130"/>
      <c r="C563" s="130"/>
      <c r="D563" s="130"/>
      <c r="E563" s="130"/>
      <c r="F563" s="130"/>
      <c r="G563" s="130"/>
      <c r="H563" s="130"/>
      <c r="I563" s="130"/>
      <c r="J563" s="130"/>
      <c r="K563" s="130"/>
      <c r="L563" s="130"/>
    </row>
    <row r="564" spans="1:12" s="37" customFormat="1" ht="13.2" x14ac:dyDescent="0.25">
      <c r="A564" s="80"/>
      <c r="B564" s="130"/>
      <c r="C564" s="130"/>
      <c r="D564" s="130"/>
      <c r="E564" s="130"/>
      <c r="F564" s="130"/>
      <c r="G564" s="130"/>
      <c r="H564" s="130"/>
      <c r="I564" s="130"/>
      <c r="J564" s="130"/>
      <c r="K564" s="130"/>
      <c r="L564" s="130"/>
    </row>
    <row r="565" spans="1:12" s="37" customFormat="1" ht="13.2" x14ac:dyDescent="0.25">
      <c r="A565" s="80"/>
      <c r="B565" s="130"/>
      <c r="C565" s="130"/>
      <c r="D565" s="130"/>
      <c r="E565" s="130"/>
      <c r="F565" s="130"/>
      <c r="G565" s="130"/>
      <c r="H565" s="130"/>
      <c r="I565" s="130"/>
      <c r="J565" s="130"/>
      <c r="K565" s="130"/>
      <c r="L565" s="130"/>
    </row>
    <row r="566" spans="1:12" s="37" customFormat="1" ht="13.2" x14ac:dyDescent="0.25">
      <c r="A566" s="80"/>
      <c r="B566" s="130"/>
      <c r="C566" s="130"/>
      <c r="D566" s="130"/>
      <c r="E566" s="130"/>
      <c r="F566" s="130"/>
      <c r="G566" s="130"/>
      <c r="H566" s="130"/>
      <c r="I566" s="130"/>
      <c r="J566" s="130"/>
      <c r="K566" s="130"/>
      <c r="L566" s="130"/>
    </row>
    <row r="567" spans="1:12" s="37" customFormat="1" ht="13.2" x14ac:dyDescent="0.25">
      <c r="A567" s="80"/>
      <c r="B567" s="130"/>
      <c r="C567" s="130"/>
      <c r="D567" s="130"/>
      <c r="E567" s="130"/>
      <c r="F567" s="130"/>
      <c r="G567" s="130"/>
      <c r="H567" s="130"/>
      <c r="I567" s="130"/>
      <c r="J567" s="130"/>
      <c r="K567" s="130"/>
      <c r="L567" s="130"/>
    </row>
    <row r="568" spans="1:12" s="37" customFormat="1" ht="13.2" x14ac:dyDescent="0.25">
      <c r="A568" s="80"/>
      <c r="B568" s="130"/>
      <c r="C568" s="130"/>
      <c r="D568" s="130"/>
      <c r="E568" s="130"/>
      <c r="F568" s="130"/>
      <c r="G568" s="130"/>
      <c r="H568" s="130"/>
      <c r="I568" s="130"/>
      <c r="J568" s="130"/>
      <c r="K568" s="130"/>
      <c r="L568" s="130"/>
    </row>
    <row r="569" spans="1:12" s="37" customFormat="1" ht="13.2" x14ac:dyDescent="0.25">
      <c r="A569" s="80"/>
      <c r="B569" s="130"/>
      <c r="C569" s="130"/>
      <c r="D569" s="130"/>
      <c r="E569" s="130"/>
      <c r="F569" s="130"/>
      <c r="G569" s="130"/>
      <c r="H569" s="130"/>
      <c r="I569" s="130"/>
      <c r="J569" s="130"/>
      <c r="K569" s="130"/>
      <c r="L569" s="130"/>
    </row>
    <row r="570" spans="1:12" s="37" customFormat="1" ht="13.2" x14ac:dyDescent="0.25">
      <c r="A570" s="80"/>
      <c r="B570" s="130"/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</row>
    <row r="571" spans="1:12" s="37" customFormat="1" ht="13.2" x14ac:dyDescent="0.25">
      <c r="A571" s="80"/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</row>
    <row r="572" spans="1:12" s="37" customFormat="1" ht="13.2" x14ac:dyDescent="0.25">
      <c r="A572" s="80"/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</row>
    <row r="573" spans="1:12" s="37" customFormat="1" ht="13.2" x14ac:dyDescent="0.25">
      <c r="A573" s="80"/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</row>
    <row r="574" spans="1:12" s="37" customFormat="1" ht="13.2" x14ac:dyDescent="0.25">
      <c r="A574" s="80"/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</row>
    <row r="575" spans="1:12" s="37" customFormat="1" ht="13.2" x14ac:dyDescent="0.25">
      <c r="A575" s="80"/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</row>
    <row r="576" spans="1:12" s="37" customFormat="1" ht="13.2" x14ac:dyDescent="0.25">
      <c r="A576" s="80"/>
      <c r="B576" s="130"/>
      <c r="C576" s="130"/>
      <c r="D576" s="130"/>
      <c r="E576" s="130"/>
      <c r="F576" s="130"/>
      <c r="G576" s="130"/>
      <c r="H576" s="130"/>
      <c r="I576" s="130"/>
      <c r="J576" s="130"/>
      <c r="K576" s="130"/>
      <c r="L576" s="130"/>
    </row>
    <row r="577" spans="1:12" s="37" customFormat="1" ht="13.2" x14ac:dyDescent="0.25">
      <c r="A577" s="80"/>
      <c r="B577" s="130"/>
      <c r="C577" s="130"/>
      <c r="D577" s="130"/>
      <c r="E577" s="130"/>
      <c r="F577" s="130"/>
      <c r="G577" s="130"/>
      <c r="H577" s="130"/>
      <c r="I577" s="130"/>
      <c r="J577" s="130"/>
      <c r="K577" s="130"/>
      <c r="L577" s="130"/>
    </row>
    <row r="578" spans="1:12" s="37" customFormat="1" ht="13.2" x14ac:dyDescent="0.25">
      <c r="A578" s="80"/>
      <c r="B578" s="130"/>
      <c r="C578" s="130"/>
      <c r="D578" s="130"/>
      <c r="E578" s="130"/>
      <c r="F578" s="130"/>
      <c r="G578" s="130"/>
      <c r="H578" s="130"/>
      <c r="I578" s="130"/>
      <c r="J578" s="130"/>
      <c r="K578" s="130"/>
      <c r="L578" s="130"/>
    </row>
    <row r="579" spans="1:12" s="37" customFormat="1" ht="13.2" x14ac:dyDescent="0.25">
      <c r="A579" s="80"/>
      <c r="B579" s="130"/>
      <c r="C579" s="130"/>
      <c r="D579" s="130"/>
      <c r="E579" s="130"/>
      <c r="F579" s="130"/>
      <c r="G579" s="130"/>
      <c r="H579" s="130"/>
      <c r="I579" s="130"/>
      <c r="J579" s="130"/>
      <c r="K579" s="130"/>
      <c r="L579" s="130"/>
    </row>
    <row r="580" spans="1:12" s="37" customFormat="1" ht="13.2" x14ac:dyDescent="0.25">
      <c r="A580" s="80"/>
      <c r="B580" s="130"/>
      <c r="C580" s="130"/>
      <c r="D580" s="130"/>
      <c r="E580" s="130"/>
      <c r="F580" s="130"/>
      <c r="G580" s="130"/>
      <c r="H580" s="130"/>
      <c r="I580" s="130"/>
      <c r="J580" s="130"/>
      <c r="K580" s="130"/>
      <c r="L580" s="130"/>
    </row>
    <row r="581" spans="1:12" s="37" customFormat="1" ht="13.2" x14ac:dyDescent="0.25">
      <c r="A581" s="80"/>
      <c r="B581" s="130"/>
      <c r="C581" s="130"/>
      <c r="D581" s="130"/>
      <c r="E581" s="130"/>
      <c r="F581" s="130"/>
      <c r="G581" s="130"/>
      <c r="H581" s="130"/>
      <c r="I581" s="130"/>
      <c r="J581" s="130"/>
      <c r="K581" s="130"/>
      <c r="L581" s="130"/>
    </row>
    <row r="582" spans="1:12" s="37" customFormat="1" ht="13.2" x14ac:dyDescent="0.25">
      <c r="A582" s="80"/>
      <c r="B582" s="130"/>
      <c r="C582" s="130"/>
      <c r="D582" s="130"/>
      <c r="E582" s="130"/>
      <c r="F582" s="130"/>
      <c r="G582" s="130"/>
      <c r="H582" s="130"/>
      <c r="I582" s="130"/>
      <c r="J582" s="130"/>
      <c r="K582" s="130"/>
      <c r="L582" s="130"/>
    </row>
    <row r="583" spans="1:12" s="37" customFormat="1" ht="13.2" x14ac:dyDescent="0.25">
      <c r="A583" s="80"/>
      <c r="B583" s="130"/>
      <c r="C583" s="130"/>
      <c r="D583" s="130"/>
      <c r="E583" s="130"/>
      <c r="F583" s="130"/>
      <c r="G583" s="130"/>
      <c r="H583" s="130"/>
      <c r="I583" s="130"/>
      <c r="J583" s="130"/>
      <c r="K583" s="130"/>
      <c r="L583" s="130"/>
    </row>
    <row r="584" spans="1:12" s="37" customFormat="1" ht="13.2" x14ac:dyDescent="0.25">
      <c r="A584" s="80"/>
      <c r="B584" s="130"/>
      <c r="C584" s="130"/>
      <c r="D584" s="130"/>
      <c r="E584" s="130"/>
      <c r="F584" s="130"/>
      <c r="G584" s="130"/>
      <c r="H584" s="130"/>
      <c r="I584" s="130"/>
      <c r="J584" s="130"/>
      <c r="K584" s="130"/>
      <c r="L584" s="130"/>
    </row>
    <row r="585" spans="1:12" s="37" customFormat="1" ht="13.2" x14ac:dyDescent="0.25">
      <c r="A585" s="80"/>
      <c r="B585" s="130"/>
      <c r="C585" s="130"/>
      <c r="D585" s="130"/>
      <c r="E585" s="130"/>
      <c r="F585" s="130"/>
      <c r="G585" s="130"/>
      <c r="H585" s="130"/>
      <c r="I585" s="130"/>
      <c r="J585" s="130"/>
      <c r="K585" s="130"/>
      <c r="L585" s="130"/>
    </row>
    <row r="586" spans="1:12" s="37" customFormat="1" ht="13.2" x14ac:dyDescent="0.25">
      <c r="A586" s="80"/>
      <c r="B586" s="130"/>
      <c r="C586" s="130"/>
      <c r="D586" s="130"/>
      <c r="E586" s="130"/>
      <c r="F586" s="130"/>
      <c r="G586" s="130"/>
      <c r="H586" s="130"/>
      <c r="I586" s="130"/>
      <c r="J586" s="130"/>
      <c r="K586" s="130"/>
      <c r="L586" s="130"/>
    </row>
    <row r="587" spans="1:12" s="37" customFormat="1" ht="13.2" x14ac:dyDescent="0.25">
      <c r="A587" s="80"/>
      <c r="B587" s="130"/>
      <c r="C587" s="130"/>
      <c r="D587" s="130"/>
      <c r="E587" s="130"/>
      <c r="F587" s="130"/>
      <c r="G587" s="130"/>
      <c r="H587" s="130"/>
      <c r="I587" s="130"/>
      <c r="J587" s="130"/>
      <c r="K587" s="130"/>
      <c r="L587" s="130"/>
    </row>
    <row r="588" spans="1:12" s="37" customFormat="1" ht="13.2" x14ac:dyDescent="0.25">
      <c r="A588" s="80"/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</row>
    <row r="589" spans="1:12" s="37" customFormat="1" ht="13.2" x14ac:dyDescent="0.25">
      <c r="A589" s="80"/>
      <c r="B589" s="130"/>
      <c r="C589" s="130"/>
      <c r="D589" s="130"/>
      <c r="E589" s="130"/>
      <c r="F589" s="130"/>
      <c r="G589" s="130"/>
      <c r="H589" s="130"/>
      <c r="I589" s="130"/>
      <c r="J589" s="130"/>
      <c r="K589" s="130"/>
      <c r="L589" s="130"/>
    </row>
    <row r="590" spans="1:12" s="37" customFormat="1" ht="13.2" x14ac:dyDescent="0.25">
      <c r="A590" s="80"/>
      <c r="B590" s="130"/>
      <c r="C590" s="130"/>
      <c r="D590" s="130"/>
      <c r="E590" s="130"/>
      <c r="F590" s="130"/>
      <c r="G590" s="130"/>
      <c r="H590" s="130"/>
      <c r="I590" s="130"/>
      <c r="J590" s="130"/>
      <c r="K590" s="130"/>
      <c r="L590" s="130"/>
    </row>
    <row r="591" spans="1:12" s="37" customFormat="1" ht="13.2" x14ac:dyDescent="0.25">
      <c r="A591" s="80"/>
      <c r="B591" s="130"/>
      <c r="C591" s="130"/>
      <c r="D591" s="130"/>
      <c r="E591" s="130"/>
      <c r="F591" s="130"/>
      <c r="G591" s="130"/>
      <c r="H591" s="130"/>
      <c r="I591" s="130"/>
      <c r="J591" s="130"/>
      <c r="K591" s="130"/>
      <c r="L591" s="130"/>
    </row>
    <row r="592" spans="1:12" s="37" customFormat="1" ht="13.2" x14ac:dyDescent="0.25">
      <c r="A592" s="80"/>
      <c r="B592" s="130"/>
      <c r="C592" s="130"/>
      <c r="D592" s="130"/>
      <c r="E592" s="130"/>
      <c r="F592" s="130"/>
      <c r="G592" s="130"/>
      <c r="H592" s="130"/>
      <c r="I592" s="130"/>
      <c r="J592" s="130"/>
      <c r="K592" s="130"/>
      <c r="L592" s="130"/>
    </row>
    <row r="593" spans="1:12" s="37" customFormat="1" ht="13.2" x14ac:dyDescent="0.25">
      <c r="A593" s="80"/>
      <c r="B593" s="130"/>
      <c r="C593" s="130"/>
      <c r="D593" s="130"/>
      <c r="E593" s="130"/>
      <c r="F593" s="130"/>
      <c r="G593" s="130"/>
      <c r="H593" s="130"/>
      <c r="I593" s="130"/>
      <c r="J593" s="130"/>
      <c r="K593" s="130"/>
      <c r="L593" s="130"/>
    </row>
    <row r="594" spans="1:12" s="37" customFormat="1" ht="13.2" x14ac:dyDescent="0.25">
      <c r="A594" s="80"/>
      <c r="B594" s="130"/>
      <c r="C594" s="130"/>
      <c r="D594" s="130"/>
      <c r="E594" s="130"/>
      <c r="F594" s="130"/>
      <c r="G594" s="130"/>
      <c r="H594" s="130"/>
      <c r="I594" s="130"/>
      <c r="J594" s="130"/>
      <c r="K594" s="130"/>
      <c r="L594" s="130"/>
    </row>
    <row r="595" spans="1:12" s="37" customFormat="1" ht="13.2" x14ac:dyDescent="0.25">
      <c r="A595" s="80"/>
      <c r="B595" s="130"/>
      <c r="C595" s="130"/>
      <c r="D595" s="130"/>
      <c r="E595" s="130"/>
      <c r="F595" s="130"/>
      <c r="G595" s="130"/>
      <c r="H595" s="130"/>
      <c r="I595" s="130"/>
      <c r="J595" s="130"/>
      <c r="K595" s="130"/>
      <c r="L595" s="130"/>
    </row>
    <row r="596" spans="1:12" s="37" customFormat="1" ht="13.2" x14ac:dyDescent="0.25">
      <c r="A596" s="80"/>
      <c r="B596" s="130"/>
      <c r="C596" s="130"/>
      <c r="D596" s="130"/>
      <c r="E596" s="130"/>
      <c r="F596" s="130"/>
      <c r="G596" s="130"/>
      <c r="H596" s="130"/>
      <c r="I596" s="130"/>
      <c r="J596" s="130"/>
      <c r="K596" s="130"/>
      <c r="L596" s="130"/>
    </row>
    <row r="597" spans="1:12" s="37" customFormat="1" ht="13.2" x14ac:dyDescent="0.25">
      <c r="A597" s="80"/>
      <c r="B597" s="130"/>
      <c r="C597" s="130"/>
      <c r="D597" s="130"/>
      <c r="E597" s="130"/>
      <c r="F597" s="130"/>
      <c r="G597" s="130"/>
      <c r="H597" s="130"/>
      <c r="I597" s="130"/>
      <c r="J597" s="130"/>
      <c r="K597" s="130"/>
      <c r="L597" s="130"/>
    </row>
    <row r="598" spans="1:12" s="37" customFormat="1" ht="13.2" x14ac:dyDescent="0.25">
      <c r="A598" s="80"/>
      <c r="B598" s="130"/>
      <c r="C598" s="130"/>
      <c r="D598" s="130"/>
      <c r="E598" s="130"/>
      <c r="F598" s="130"/>
      <c r="G598" s="130"/>
      <c r="H598" s="130"/>
      <c r="I598" s="130"/>
      <c r="J598" s="130"/>
      <c r="K598" s="130"/>
      <c r="L598" s="130"/>
    </row>
    <row r="599" spans="1:12" s="37" customFormat="1" ht="13.2" x14ac:dyDescent="0.25">
      <c r="A599" s="80"/>
      <c r="B599" s="130"/>
      <c r="C599" s="130"/>
      <c r="D599" s="130"/>
      <c r="E599" s="130"/>
      <c r="F599" s="130"/>
      <c r="G599" s="130"/>
      <c r="H599" s="130"/>
      <c r="I599" s="130"/>
      <c r="J599" s="130"/>
      <c r="K599" s="130"/>
      <c r="L599" s="130"/>
    </row>
    <row r="600" spans="1:12" s="37" customFormat="1" ht="13.2" x14ac:dyDescent="0.25">
      <c r="A600" s="80"/>
      <c r="B600" s="130"/>
      <c r="C600" s="130"/>
      <c r="D600" s="130"/>
      <c r="E600" s="130"/>
      <c r="F600" s="130"/>
      <c r="G600" s="130"/>
      <c r="H600" s="130"/>
      <c r="I600" s="130"/>
      <c r="J600" s="130"/>
      <c r="K600" s="130"/>
      <c r="L600" s="130"/>
    </row>
    <row r="601" spans="1:12" s="37" customFormat="1" ht="13.2" x14ac:dyDescent="0.25">
      <c r="A601" s="80"/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</row>
    <row r="602" spans="1:12" s="37" customFormat="1" ht="13.2" x14ac:dyDescent="0.25">
      <c r="A602" s="80"/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</row>
    <row r="603" spans="1:12" s="37" customFormat="1" ht="13.2" x14ac:dyDescent="0.25">
      <c r="A603" s="80"/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</row>
    <row r="604" spans="1:12" s="37" customFormat="1" ht="13.2" x14ac:dyDescent="0.25">
      <c r="A604" s="80"/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</row>
    <row r="605" spans="1:12" s="37" customFormat="1" ht="13.2" x14ac:dyDescent="0.25">
      <c r="A605" s="80"/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</row>
    <row r="606" spans="1:12" s="37" customFormat="1" ht="13.2" x14ac:dyDescent="0.25">
      <c r="A606" s="80"/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</row>
    <row r="607" spans="1:12" s="37" customFormat="1" ht="13.2" x14ac:dyDescent="0.25">
      <c r="A607" s="80"/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</row>
    <row r="608" spans="1:12" s="37" customFormat="1" ht="13.2" x14ac:dyDescent="0.25">
      <c r="A608" s="80"/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</row>
    <row r="609" spans="1:12" s="37" customFormat="1" ht="13.2" x14ac:dyDescent="0.25">
      <c r="A609" s="80"/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</row>
    <row r="610" spans="1:12" s="37" customFormat="1" ht="13.2" x14ac:dyDescent="0.25">
      <c r="A610" s="80"/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</row>
    <row r="611" spans="1:12" s="37" customFormat="1" ht="13.2" x14ac:dyDescent="0.25">
      <c r="A611" s="80"/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</row>
    <row r="612" spans="1:12" s="37" customFormat="1" ht="13.2" x14ac:dyDescent="0.25">
      <c r="A612" s="80"/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</row>
    <row r="613" spans="1:12" s="37" customFormat="1" ht="13.2" x14ac:dyDescent="0.25">
      <c r="A613" s="80"/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</row>
    <row r="614" spans="1:12" s="37" customFormat="1" ht="13.2" x14ac:dyDescent="0.25">
      <c r="A614" s="80"/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</row>
    <row r="615" spans="1:12" s="37" customFormat="1" ht="13.2" x14ac:dyDescent="0.25">
      <c r="A615" s="80"/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</row>
    <row r="616" spans="1:12" s="37" customFormat="1" ht="13.2" x14ac:dyDescent="0.25">
      <c r="A616" s="80"/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</row>
    <row r="617" spans="1:12" s="37" customFormat="1" ht="13.2" x14ac:dyDescent="0.25">
      <c r="A617" s="80"/>
      <c r="B617" s="130"/>
      <c r="C617" s="130"/>
      <c r="D617" s="130"/>
      <c r="E617" s="130"/>
      <c r="F617" s="130"/>
      <c r="G617" s="130"/>
      <c r="H617" s="130"/>
      <c r="I617" s="130"/>
      <c r="J617" s="130"/>
      <c r="K617" s="130"/>
      <c r="L617" s="130"/>
    </row>
    <row r="618" spans="1:12" s="37" customFormat="1" ht="13.2" x14ac:dyDescent="0.25">
      <c r="A618" s="80"/>
      <c r="B618" s="130"/>
      <c r="C618" s="130"/>
      <c r="D618" s="130"/>
      <c r="E618" s="130"/>
      <c r="F618" s="130"/>
      <c r="G618" s="130"/>
      <c r="H618" s="130"/>
      <c r="I618" s="130"/>
      <c r="J618" s="130"/>
      <c r="K618" s="130"/>
      <c r="L618" s="130"/>
    </row>
    <row r="619" spans="1:12" s="37" customFormat="1" ht="13.2" x14ac:dyDescent="0.25">
      <c r="A619" s="80"/>
      <c r="B619" s="130"/>
      <c r="C619" s="130"/>
      <c r="D619" s="130"/>
      <c r="E619" s="130"/>
      <c r="F619" s="130"/>
      <c r="G619" s="130"/>
      <c r="H619" s="130"/>
      <c r="I619" s="130"/>
      <c r="J619" s="130"/>
      <c r="K619" s="130"/>
      <c r="L619" s="130"/>
    </row>
    <row r="620" spans="1:12" s="37" customFormat="1" ht="13.2" x14ac:dyDescent="0.25">
      <c r="A620" s="80"/>
      <c r="B620" s="130"/>
      <c r="C620" s="130"/>
      <c r="D620" s="130"/>
      <c r="E620" s="130"/>
      <c r="F620" s="130"/>
      <c r="G620" s="130"/>
      <c r="H620" s="130"/>
      <c r="I620" s="130"/>
      <c r="J620" s="130"/>
      <c r="K620" s="130"/>
      <c r="L620" s="130"/>
    </row>
    <row r="621" spans="1:12" s="37" customFormat="1" ht="13.2" x14ac:dyDescent="0.25">
      <c r="A621" s="80"/>
      <c r="B621" s="130"/>
      <c r="C621" s="130"/>
      <c r="D621" s="130"/>
      <c r="E621" s="130"/>
      <c r="F621" s="130"/>
      <c r="G621" s="130"/>
      <c r="H621" s="130"/>
      <c r="I621" s="130"/>
      <c r="J621" s="130"/>
      <c r="K621" s="130"/>
      <c r="L621" s="130"/>
    </row>
    <row r="622" spans="1:12" s="37" customFormat="1" ht="13.2" x14ac:dyDescent="0.25">
      <c r="A622" s="80"/>
      <c r="B622" s="130"/>
      <c r="C622" s="130"/>
      <c r="D622" s="130"/>
      <c r="E622" s="130"/>
      <c r="F622" s="130"/>
      <c r="G622" s="130"/>
      <c r="H622" s="130"/>
      <c r="I622" s="130"/>
      <c r="J622" s="130"/>
      <c r="K622" s="130"/>
      <c r="L622" s="130"/>
    </row>
    <row r="623" spans="1:12" s="37" customFormat="1" ht="13.2" x14ac:dyDescent="0.25">
      <c r="A623" s="80"/>
      <c r="B623" s="130"/>
      <c r="C623" s="130"/>
      <c r="D623" s="130"/>
      <c r="E623" s="130"/>
      <c r="F623" s="130"/>
      <c r="G623" s="130"/>
      <c r="H623" s="130"/>
      <c r="I623" s="130"/>
      <c r="J623" s="130"/>
      <c r="K623" s="130"/>
      <c r="L623" s="130"/>
    </row>
    <row r="624" spans="1:12" s="37" customFormat="1" ht="13.2" x14ac:dyDescent="0.25">
      <c r="A624" s="80"/>
      <c r="B624" s="130"/>
      <c r="C624" s="130"/>
      <c r="D624" s="130"/>
      <c r="E624" s="130"/>
      <c r="F624" s="130"/>
      <c r="G624" s="130"/>
      <c r="H624" s="130"/>
      <c r="I624" s="130"/>
      <c r="J624" s="130"/>
      <c r="K624" s="130"/>
      <c r="L624" s="130"/>
    </row>
    <row r="625" spans="1:12" s="37" customFormat="1" ht="13.2" x14ac:dyDescent="0.25">
      <c r="A625" s="80"/>
      <c r="B625" s="130"/>
      <c r="C625" s="130"/>
      <c r="D625" s="130"/>
      <c r="E625" s="130"/>
      <c r="F625" s="130"/>
      <c r="G625" s="130"/>
      <c r="H625" s="130"/>
      <c r="I625" s="130"/>
      <c r="J625" s="130"/>
      <c r="K625" s="130"/>
      <c r="L625" s="130"/>
    </row>
    <row r="626" spans="1:12" s="37" customFormat="1" ht="13.2" x14ac:dyDescent="0.25">
      <c r="A626" s="80"/>
      <c r="B626" s="130"/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</row>
    <row r="627" spans="1:12" s="37" customFormat="1" ht="13.2" x14ac:dyDescent="0.25">
      <c r="A627" s="80"/>
      <c r="B627" s="130"/>
      <c r="C627" s="130"/>
      <c r="D627" s="130"/>
      <c r="E627" s="130"/>
      <c r="F627" s="130"/>
      <c r="G627" s="130"/>
      <c r="H627" s="130"/>
      <c r="I627" s="130"/>
      <c r="J627" s="130"/>
      <c r="K627" s="130"/>
      <c r="L627" s="130"/>
    </row>
    <row r="628" spans="1:12" s="37" customFormat="1" ht="13.2" x14ac:dyDescent="0.25">
      <c r="A628" s="80"/>
      <c r="B628" s="130"/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</row>
    <row r="629" spans="1:12" s="37" customFormat="1" ht="13.2" x14ac:dyDescent="0.25">
      <c r="A629" s="80"/>
      <c r="B629" s="130"/>
      <c r="C629" s="130"/>
      <c r="D629" s="130"/>
      <c r="E629" s="130"/>
      <c r="F629" s="130"/>
      <c r="G629" s="130"/>
      <c r="H629" s="130"/>
      <c r="I629" s="130"/>
      <c r="J629" s="130"/>
      <c r="K629" s="130"/>
      <c r="L629" s="130"/>
    </row>
    <row r="630" spans="1:12" s="37" customFormat="1" ht="13.2" x14ac:dyDescent="0.25">
      <c r="A630" s="80"/>
      <c r="B630" s="130"/>
      <c r="C630" s="130"/>
      <c r="D630" s="130"/>
      <c r="E630" s="130"/>
      <c r="F630" s="130"/>
      <c r="G630" s="130"/>
      <c r="H630" s="130"/>
      <c r="I630" s="130"/>
      <c r="J630" s="130"/>
      <c r="K630" s="130"/>
      <c r="L630" s="130"/>
    </row>
    <row r="631" spans="1:12" s="37" customFormat="1" ht="13.2" x14ac:dyDescent="0.25">
      <c r="A631" s="80"/>
      <c r="B631" s="130"/>
      <c r="C631" s="130"/>
      <c r="D631" s="130"/>
      <c r="E631" s="130"/>
      <c r="F631" s="130"/>
      <c r="G631" s="130"/>
      <c r="H631" s="130"/>
      <c r="I631" s="130"/>
      <c r="J631" s="130"/>
      <c r="K631" s="130"/>
      <c r="L631" s="130"/>
    </row>
    <row r="632" spans="1:12" s="37" customFormat="1" ht="13.2" x14ac:dyDescent="0.25">
      <c r="A632" s="80"/>
      <c r="B632" s="130"/>
      <c r="C632" s="130"/>
      <c r="D632" s="130"/>
      <c r="E632" s="130"/>
      <c r="F632" s="130"/>
      <c r="G632" s="130"/>
      <c r="H632" s="130"/>
      <c r="I632" s="130"/>
      <c r="J632" s="130"/>
      <c r="K632" s="130"/>
      <c r="L632" s="130"/>
    </row>
    <row r="633" spans="1:12" s="37" customFormat="1" ht="13.2" x14ac:dyDescent="0.25">
      <c r="A633" s="80"/>
      <c r="B633" s="130"/>
      <c r="C633" s="130"/>
      <c r="D633" s="130"/>
      <c r="E633" s="130"/>
      <c r="F633" s="130"/>
      <c r="G633" s="130"/>
      <c r="H633" s="130"/>
      <c r="I633" s="130"/>
      <c r="J633" s="130"/>
      <c r="K633" s="130"/>
      <c r="L633" s="130"/>
    </row>
    <row r="634" spans="1:12" s="37" customFormat="1" ht="13.2" x14ac:dyDescent="0.25">
      <c r="A634" s="80"/>
      <c r="B634" s="130"/>
      <c r="C634" s="130"/>
      <c r="D634" s="130"/>
      <c r="E634" s="130"/>
      <c r="F634" s="130"/>
      <c r="G634" s="130"/>
      <c r="H634" s="130"/>
      <c r="I634" s="130"/>
      <c r="J634" s="130"/>
      <c r="K634" s="130"/>
      <c r="L634" s="130"/>
    </row>
    <row r="635" spans="1:12" s="37" customFormat="1" ht="13.2" x14ac:dyDescent="0.25">
      <c r="A635" s="80"/>
      <c r="B635" s="130"/>
      <c r="C635" s="130"/>
      <c r="D635" s="130"/>
      <c r="E635" s="130"/>
      <c r="F635" s="130"/>
      <c r="G635" s="130"/>
      <c r="H635" s="130"/>
      <c r="I635" s="130"/>
      <c r="J635" s="130"/>
      <c r="K635" s="130"/>
      <c r="L635" s="130"/>
    </row>
    <row r="636" spans="1:12" s="37" customFormat="1" ht="13.2" x14ac:dyDescent="0.25">
      <c r="A636" s="80"/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</row>
    <row r="637" spans="1:12" s="37" customFormat="1" ht="13.2" x14ac:dyDescent="0.25">
      <c r="A637" s="80"/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</row>
    <row r="638" spans="1:12" s="37" customFormat="1" ht="13.2" x14ac:dyDescent="0.25">
      <c r="A638" s="80"/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</row>
    <row r="639" spans="1:12" s="37" customFormat="1" ht="13.2" x14ac:dyDescent="0.25">
      <c r="A639" s="80"/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</row>
    <row r="640" spans="1:12" s="37" customFormat="1" ht="13.2" x14ac:dyDescent="0.25">
      <c r="A640" s="80"/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</row>
    <row r="641" spans="1:12" s="37" customFormat="1" ht="13.2" x14ac:dyDescent="0.25">
      <c r="A641" s="80"/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</row>
    <row r="642" spans="1:12" s="37" customFormat="1" ht="13.2" x14ac:dyDescent="0.25">
      <c r="A642" s="80"/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</row>
    <row r="643" spans="1:12" s="37" customFormat="1" ht="13.2" x14ac:dyDescent="0.25">
      <c r="A643" s="80"/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</row>
    <row r="644" spans="1:12" s="37" customFormat="1" ht="13.2" x14ac:dyDescent="0.25">
      <c r="A644" s="80"/>
      <c r="B644" s="130"/>
      <c r="C644" s="130"/>
      <c r="D644" s="130"/>
      <c r="E644" s="130"/>
      <c r="F644" s="130"/>
      <c r="G644" s="130"/>
      <c r="H644" s="130"/>
      <c r="I644" s="130"/>
      <c r="J644" s="130"/>
      <c r="K644" s="130"/>
      <c r="L644" s="130"/>
    </row>
    <row r="645" spans="1:12" s="37" customFormat="1" ht="13.2" x14ac:dyDescent="0.25">
      <c r="A645" s="80"/>
      <c r="B645" s="130"/>
      <c r="C645" s="130"/>
      <c r="D645" s="130"/>
      <c r="E645" s="130"/>
      <c r="F645" s="130"/>
      <c r="G645" s="130"/>
      <c r="H645" s="130"/>
      <c r="I645" s="130"/>
      <c r="J645" s="130"/>
      <c r="K645" s="130"/>
      <c r="L645" s="130"/>
    </row>
    <row r="646" spans="1:12" s="37" customFormat="1" ht="13.2" x14ac:dyDescent="0.25">
      <c r="A646" s="80"/>
      <c r="B646" s="130"/>
      <c r="C646" s="130"/>
      <c r="D646" s="130"/>
      <c r="E646" s="130"/>
      <c r="F646" s="130"/>
      <c r="G646" s="130"/>
      <c r="H646" s="130"/>
      <c r="I646" s="130"/>
      <c r="J646" s="130"/>
      <c r="K646" s="130"/>
      <c r="L646" s="130"/>
    </row>
    <row r="647" spans="1:12" s="37" customFormat="1" ht="13.2" x14ac:dyDescent="0.25">
      <c r="A647" s="80"/>
      <c r="B647" s="130"/>
      <c r="C647" s="130"/>
      <c r="D647" s="130"/>
      <c r="E647" s="130"/>
      <c r="F647" s="130"/>
      <c r="G647" s="130"/>
      <c r="H647" s="130"/>
      <c r="I647" s="130"/>
      <c r="J647" s="130"/>
      <c r="K647" s="130"/>
      <c r="L647" s="130"/>
    </row>
    <row r="648" spans="1:12" s="37" customFormat="1" ht="13.2" x14ac:dyDescent="0.25">
      <c r="A648" s="80"/>
      <c r="B648" s="130"/>
      <c r="C648" s="130"/>
      <c r="D648" s="130"/>
      <c r="E648" s="130"/>
      <c r="F648" s="130"/>
      <c r="G648" s="130"/>
      <c r="H648" s="130"/>
      <c r="I648" s="130"/>
      <c r="J648" s="130"/>
      <c r="K648" s="130"/>
      <c r="L648" s="130"/>
    </row>
    <row r="649" spans="1:12" s="37" customFormat="1" ht="13.2" x14ac:dyDescent="0.25">
      <c r="A649" s="80"/>
      <c r="B649" s="130"/>
      <c r="C649" s="130"/>
      <c r="D649" s="130"/>
      <c r="E649" s="130"/>
      <c r="F649" s="130"/>
      <c r="G649" s="130"/>
      <c r="H649" s="130"/>
      <c r="I649" s="130"/>
      <c r="J649" s="130"/>
      <c r="K649" s="130"/>
      <c r="L649" s="130"/>
    </row>
    <row r="650" spans="1:12" s="37" customFormat="1" ht="13.2" x14ac:dyDescent="0.25">
      <c r="A650" s="80"/>
      <c r="B650" s="130"/>
      <c r="C650" s="130"/>
      <c r="D650" s="130"/>
      <c r="E650" s="130"/>
      <c r="F650" s="130"/>
      <c r="G650" s="130"/>
      <c r="H650" s="130"/>
      <c r="I650" s="130"/>
      <c r="J650" s="130"/>
      <c r="K650" s="130"/>
      <c r="L650" s="130"/>
    </row>
    <row r="651" spans="1:12" s="37" customFormat="1" ht="13.2" x14ac:dyDescent="0.25">
      <c r="A651" s="80"/>
      <c r="B651" s="130"/>
      <c r="C651" s="130"/>
      <c r="D651" s="130"/>
      <c r="E651" s="130"/>
      <c r="F651" s="130"/>
      <c r="G651" s="130"/>
      <c r="H651" s="130"/>
      <c r="I651" s="130"/>
      <c r="J651" s="130"/>
      <c r="K651" s="130"/>
      <c r="L651" s="130"/>
    </row>
    <row r="652" spans="1:12" s="37" customFormat="1" ht="13.2" x14ac:dyDescent="0.25">
      <c r="A652" s="80"/>
      <c r="B652" s="130"/>
      <c r="C652" s="130"/>
      <c r="D652" s="130"/>
      <c r="E652" s="130"/>
      <c r="F652" s="130"/>
      <c r="G652" s="130"/>
      <c r="H652" s="130"/>
      <c r="I652" s="130"/>
      <c r="J652" s="130"/>
      <c r="K652" s="130"/>
      <c r="L652" s="130"/>
    </row>
    <row r="653" spans="1:12" s="37" customFormat="1" ht="13.2" x14ac:dyDescent="0.25">
      <c r="A653" s="80"/>
      <c r="B653" s="130"/>
      <c r="C653" s="130"/>
      <c r="D653" s="130"/>
      <c r="E653" s="130"/>
      <c r="F653" s="130"/>
      <c r="G653" s="130"/>
      <c r="H653" s="130"/>
      <c r="I653" s="130"/>
      <c r="J653" s="130"/>
      <c r="K653" s="130"/>
      <c r="L653" s="130"/>
    </row>
    <row r="654" spans="1:12" s="37" customFormat="1" ht="13.2" x14ac:dyDescent="0.25">
      <c r="A654" s="80"/>
      <c r="B654" s="130"/>
      <c r="C654" s="130"/>
      <c r="D654" s="130"/>
      <c r="E654" s="130"/>
      <c r="F654" s="130"/>
      <c r="G654" s="130"/>
      <c r="H654" s="130"/>
      <c r="I654" s="130"/>
      <c r="J654" s="130"/>
      <c r="K654" s="130"/>
      <c r="L654" s="130"/>
    </row>
    <row r="655" spans="1:12" s="37" customFormat="1" ht="13.2" x14ac:dyDescent="0.25">
      <c r="A655" s="80"/>
      <c r="B655" s="130"/>
      <c r="C655" s="130"/>
      <c r="D655" s="130"/>
      <c r="E655" s="130"/>
      <c r="F655" s="130"/>
      <c r="G655" s="130"/>
      <c r="H655" s="130"/>
      <c r="I655" s="130"/>
      <c r="J655" s="130"/>
      <c r="K655" s="130"/>
      <c r="L655" s="130"/>
    </row>
    <row r="656" spans="1:12" s="37" customFormat="1" ht="13.2" x14ac:dyDescent="0.25">
      <c r="A656" s="80"/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</row>
    <row r="657" spans="1:12" s="37" customFormat="1" ht="13.2" x14ac:dyDescent="0.25">
      <c r="A657" s="80"/>
      <c r="B657" s="130"/>
      <c r="C657" s="130"/>
      <c r="D657" s="130"/>
      <c r="E657" s="130"/>
      <c r="F657" s="130"/>
      <c r="G657" s="130"/>
      <c r="H657" s="130"/>
      <c r="I657" s="130"/>
      <c r="J657" s="130"/>
      <c r="K657" s="130"/>
      <c r="L657" s="130"/>
    </row>
    <row r="658" spans="1:12" s="37" customFormat="1" ht="13.2" x14ac:dyDescent="0.25">
      <c r="A658" s="80"/>
      <c r="B658" s="130"/>
      <c r="C658" s="130"/>
      <c r="D658" s="130"/>
      <c r="E658" s="130"/>
      <c r="F658" s="130"/>
      <c r="G658" s="130"/>
      <c r="H658" s="130"/>
      <c r="I658" s="130"/>
      <c r="J658" s="130"/>
      <c r="K658" s="130"/>
      <c r="L658" s="130"/>
    </row>
    <row r="659" spans="1:12" s="37" customFormat="1" ht="13.2" x14ac:dyDescent="0.25">
      <c r="A659" s="80"/>
      <c r="B659" s="130"/>
      <c r="C659" s="130"/>
      <c r="D659" s="130"/>
      <c r="E659" s="130"/>
      <c r="F659" s="130"/>
      <c r="G659" s="130"/>
      <c r="H659" s="130"/>
      <c r="I659" s="130"/>
      <c r="J659" s="130"/>
      <c r="K659" s="130"/>
      <c r="L659" s="130"/>
    </row>
    <row r="660" spans="1:12" s="37" customFormat="1" ht="13.2" x14ac:dyDescent="0.25">
      <c r="A660" s="80"/>
      <c r="B660" s="130"/>
      <c r="C660" s="130"/>
      <c r="D660" s="130"/>
      <c r="E660" s="130"/>
      <c r="F660" s="130"/>
      <c r="G660" s="130"/>
      <c r="H660" s="130"/>
      <c r="I660" s="130"/>
      <c r="J660" s="130"/>
      <c r="K660" s="130"/>
      <c r="L660" s="130"/>
    </row>
    <row r="661" spans="1:12" s="37" customFormat="1" ht="13.2" x14ac:dyDescent="0.25">
      <c r="A661" s="80"/>
      <c r="B661" s="130"/>
      <c r="C661" s="130"/>
      <c r="D661" s="130"/>
      <c r="E661" s="130"/>
      <c r="F661" s="130"/>
      <c r="G661" s="130"/>
      <c r="H661" s="130"/>
      <c r="I661" s="130"/>
      <c r="J661" s="130"/>
      <c r="K661" s="130"/>
      <c r="L661" s="130"/>
    </row>
    <row r="662" spans="1:12" s="37" customFormat="1" ht="13.2" x14ac:dyDescent="0.25">
      <c r="A662" s="80"/>
      <c r="B662" s="130"/>
      <c r="C662" s="130"/>
      <c r="D662" s="130"/>
      <c r="E662" s="130"/>
      <c r="F662" s="130"/>
      <c r="G662" s="130"/>
      <c r="H662" s="130"/>
      <c r="I662" s="130"/>
      <c r="J662" s="130"/>
      <c r="K662" s="130"/>
      <c r="L662" s="130"/>
    </row>
    <row r="663" spans="1:12" s="37" customFormat="1" ht="13.2" x14ac:dyDescent="0.25">
      <c r="A663" s="80"/>
      <c r="B663" s="130"/>
      <c r="C663" s="130"/>
      <c r="D663" s="130"/>
      <c r="E663" s="130"/>
      <c r="F663" s="130"/>
      <c r="G663" s="130"/>
      <c r="H663" s="130"/>
      <c r="I663" s="130"/>
      <c r="J663" s="130"/>
      <c r="K663" s="130"/>
      <c r="L663" s="130"/>
    </row>
    <row r="664" spans="1:12" s="37" customFormat="1" ht="13.2" x14ac:dyDescent="0.25">
      <c r="A664" s="80"/>
      <c r="B664" s="130"/>
      <c r="C664" s="130"/>
      <c r="D664" s="130"/>
      <c r="E664" s="130"/>
      <c r="F664" s="130"/>
      <c r="G664" s="130"/>
      <c r="H664" s="130"/>
      <c r="I664" s="130"/>
      <c r="J664" s="130"/>
      <c r="K664" s="130"/>
      <c r="L664" s="130"/>
    </row>
    <row r="665" spans="1:12" s="37" customFormat="1" ht="13.2" x14ac:dyDescent="0.25">
      <c r="A665" s="80"/>
      <c r="B665" s="130"/>
      <c r="C665" s="130"/>
      <c r="D665" s="130"/>
      <c r="E665" s="130"/>
      <c r="F665" s="130"/>
      <c r="G665" s="130"/>
      <c r="H665" s="130"/>
      <c r="I665" s="130"/>
      <c r="J665" s="130"/>
      <c r="K665" s="130"/>
      <c r="L665" s="130"/>
    </row>
    <row r="666" spans="1:12" s="37" customFormat="1" ht="13.2" x14ac:dyDescent="0.25">
      <c r="A666" s="80"/>
      <c r="B666" s="130"/>
      <c r="C666" s="130"/>
      <c r="D666" s="130"/>
      <c r="E666" s="130"/>
      <c r="F666" s="130"/>
      <c r="G666" s="130"/>
      <c r="H666" s="130"/>
      <c r="I666" s="130"/>
      <c r="J666" s="130"/>
      <c r="K666" s="130"/>
      <c r="L666" s="130"/>
    </row>
    <row r="667" spans="1:12" s="37" customFormat="1" ht="13.2" x14ac:dyDescent="0.25">
      <c r="A667" s="80"/>
      <c r="B667" s="130"/>
      <c r="C667" s="130"/>
      <c r="D667" s="130"/>
      <c r="E667" s="130"/>
      <c r="F667" s="130"/>
      <c r="G667" s="130"/>
      <c r="H667" s="130"/>
      <c r="I667" s="130"/>
      <c r="J667" s="130"/>
      <c r="K667" s="130"/>
      <c r="L667" s="130"/>
    </row>
    <row r="668" spans="1:12" s="37" customFormat="1" ht="13.2" x14ac:dyDescent="0.25">
      <c r="A668" s="80"/>
      <c r="B668" s="130"/>
      <c r="C668" s="130"/>
      <c r="D668" s="130"/>
      <c r="E668" s="130"/>
      <c r="F668" s="130"/>
      <c r="G668" s="130"/>
      <c r="H668" s="130"/>
      <c r="I668" s="130"/>
      <c r="J668" s="130"/>
      <c r="K668" s="130"/>
      <c r="L668" s="130"/>
    </row>
    <row r="669" spans="1:12" s="37" customFormat="1" ht="13.2" x14ac:dyDescent="0.25">
      <c r="A669" s="80"/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</row>
    <row r="670" spans="1:12" s="37" customFormat="1" ht="13.2" x14ac:dyDescent="0.25">
      <c r="A670" s="80"/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</row>
    <row r="671" spans="1:12" s="37" customFormat="1" ht="13.2" x14ac:dyDescent="0.25">
      <c r="A671" s="80"/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</row>
    <row r="672" spans="1:12" s="37" customFormat="1" ht="13.2" x14ac:dyDescent="0.25">
      <c r="A672" s="80"/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</row>
    <row r="673" spans="1:12" s="37" customFormat="1" ht="13.2" x14ac:dyDescent="0.25">
      <c r="A673" s="80"/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</row>
    <row r="674" spans="1:12" s="37" customFormat="1" ht="13.2" x14ac:dyDescent="0.25">
      <c r="A674" s="80"/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</row>
    <row r="675" spans="1:12" s="37" customFormat="1" ht="13.2" x14ac:dyDescent="0.25">
      <c r="A675" s="80"/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</row>
    <row r="676" spans="1:12" s="37" customFormat="1" ht="13.2" x14ac:dyDescent="0.25">
      <c r="A676" s="80"/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</row>
    <row r="677" spans="1:12" s="37" customFormat="1" ht="13.2" x14ac:dyDescent="0.25">
      <c r="A677" s="80"/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</row>
    <row r="678" spans="1:12" s="37" customFormat="1" ht="13.2" x14ac:dyDescent="0.25">
      <c r="A678" s="80"/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</row>
    <row r="679" spans="1:12" s="37" customFormat="1" ht="13.2" x14ac:dyDescent="0.25">
      <c r="A679" s="80"/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</row>
    <row r="680" spans="1:12" s="37" customFormat="1" ht="13.2" x14ac:dyDescent="0.25">
      <c r="A680" s="80"/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</row>
    <row r="681" spans="1:12" s="37" customFormat="1" ht="13.2" x14ac:dyDescent="0.25">
      <c r="A681" s="80"/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</row>
    <row r="682" spans="1:12" s="37" customFormat="1" ht="13.2" x14ac:dyDescent="0.25">
      <c r="A682" s="80"/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</row>
    <row r="683" spans="1:12" s="37" customFormat="1" ht="13.2" x14ac:dyDescent="0.25">
      <c r="A683" s="80"/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</row>
    <row r="684" spans="1:12" s="37" customFormat="1" ht="13.2" x14ac:dyDescent="0.25">
      <c r="A684" s="80"/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</row>
    <row r="685" spans="1:12" s="37" customFormat="1" ht="13.2" x14ac:dyDescent="0.25">
      <c r="A685" s="80"/>
      <c r="B685" s="130"/>
      <c r="C685" s="130"/>
      <c r="D685" s="130"/>
      <c r="E685" s="130"/>
      <c r="F685" s="130"/>
      <c r="G685" s="130"/>
      <c r="H685" s="130"/>
      <c r="I685" s="130"/>
      <c r="J685" s="130"/>
      <c r="K685" s="130"/>
      <c r="L685" s="130"/>
    </row>
    <row r="686" spans="1:12" s="37" customFormat="1" ht="13.2" x14ac:dyDescent="0.25">
      <c r="A686" s="80"/>
      <c r="B686" s="130"/>
      <c r="C686" s="130"/>
      <c r="D686" s="130"/>
      <c r="E686" s="130"/>
      <c r="F686" s="130"/>
      <c r="G686" s="130"/>
      <c r="H686" s="130"/>
      <c r="I686" s="130"/>
      <c r="J686" s="130"/>
      <c r="K686" s="130"/>
      <c r="L686" s="130"/>
    </row>
    <row r="687" spans="1:12" s="37" customFormat="1" ht="13.2" x14ac:dyDescent="0.25">
      <c r="A687" s="80"/>
      <c r="B687" s="130"/>
      <c r="C687" s="130"/>
      <c r="D687" s="130"/>
      <c r="E687" s="130"/>
      <c r="F687" s="130"/>
      <c r="G687" s="130"/>
      <c r="H687" s="130"/>
      <c r="I687" s="130"/>
      <c r="J687" s="130"/>
      <c r="K687" s="130"/>
      <c r="L687" s="130"/>
    </row>
    <row r="688" spans="1:12" s="37" customFormat="1" ht="13.2" x14ac:dyDescent="0.25">
      <c r="A688" s="80"/>
      <c r="B688" s="130"/>
      <c r="C688" s="130"/>
      <c r="D688" s="130"/>
      <c r="E688" s="130"/>
      <c r="F688" s="130"/>
      <c r="G688" s="130"/>
      <c r="H688" s="130"/>
      <c r="I688" s="130"/>
      <c r="J688" s="130"/>
      <c r="K688" s="130"/>
      <c r="L688" s="130"/>
    </row>
    <row r="689" spans="1:12" s="37" customFormat="1" ht="13.2" x14ac:dyDescent="0.25">
      <c r="A689" s="80"/>
      <c r="B689" s="130"/>
      <c r="C689" s="130"/>
      <c r="D689" s="130"/>
      <c r="E689" s="130"/>
      <c r="F689" s="130"/>
      <c r="G689" s="130"/>
      <c r="H689" s="130"/>
      <c r="I689" s="130"/>
      <c r="J689" s="130"/>
      <c r="K689" s="130"/>
      <c r="L689" s="130"/>
    </row>
    <row r="690" spans="1:12" s="37" customFormat="1" ht="13.2" x14ac:dyDescent="0.25">
      <c r="A690" s="80"/>
      <c r="B690" s="130"/>
      <c r="C690" s="130"/>
      <c r="D690" s="130"/>
      <c r="E690" s="130"/>
      <c r="F690" s="130"/>
      <c r="G690" s="130"/>
      <c r="H690" s="130"/>
      <c r="I690" s="130"/>
      <c r="J690" s="130"/>
      <c r="K690" s="130"/>
      <c r="L690" s="130"/>
    </row>
    <row r="691" spans="1:12" s="37" customFormat="1" ht="13.2" x14ac:dyDescent="0.25">
      <c r="A691" s="80"/>
      <c r="B691" s="130"/>
      <c r="C691" s="130"/>
      <c r="D691" s="130"/>
      <c r="E691" s="130"/>
      <c r="F691" s="130"/>
      <c r="G691" s="130"/>
      <c r="H691" s="130"/>
      <c r="I691" s="130"/>
      <c r="J691" s="130"/>
      <c r="K691" s="130"/>
      <c r="L691" s="130"/>
    </row>
    <row r="692" spans="1:12" s="37" customFormat="1" ht="13.2" x14ac:dyDescent="0.25">
      <c r="A692" s="80"/>
      <c r="B692" s="130"/>
      <c r="C692" s="130"/>
      <c r="D692" s="130"/>
      <c r="E692" s="130"/>
      <c r="F692" s="130"/>
      <c r="G692" s="130"/>
      <c r="H692" s="130"/>
      <c r="I692" s="130"/>
      <c r="J692" s="130"/>
      <c r="K692" s="130"/>
      <c r="L692" s="130"/>
    </row>
    <row r="693" spans="1:12" s="37" customFormat="1" ht="13.2" x14ac:dyDescent="0.25">
      <c r="A693" s="80"/>
      <c r="B693" s="130"/>
      <c r="C693" s="130"/>
      <c r="D693" s="130"/>
      <c r="E693" s="130"/>
      <c r="F693" s="130"/>
      <c r="G693" s="130"/>
      <c r="H693" s="130"/>
      <c r="I693" s="130"/>
      <c r="J693" s="130"/>
      <c r="K693" s="130"/>
      <c r="L693" s="130"/>
    </row>
    <row r="694" spans="1:12" s="37" customFormat="1" ht="13.2" x14ac:dyDescent="0.25">
      <c r="A694" s="80"/>
      <c r="B694" s="130"/>
      <c r="C694" s="130"/>
      <c r="D694" s="130"/>
      <c r="E694" s="130"/>
      <c r="F694" s="130"/>
      <c r="G694" s="130"/>
      <c r="H694" s="130"/>
      <c r="I694" s="130"/>
      <c r="J694" s="130"/>
      <c r="K694" s="130"/>
      <c r="L694" s="130"/>
    </row>
    <row r="695" spans="1:12" s="37" customFormat="1" ht="13.2" x14ac:dyDescent="0.25">
      <c r="A695" s="80"/>
      <c r="B695" s="130"/>
      <c r="C695" s="130"/>
      <c r="D695" s="130"/>
      <c r="E695" s="130"/>
      <c r="F695" s="130"/>
      <c r="G695" s="130"/>
      <c r="H695" s="130"/>
      <c r="I695" s="130"/>
      <c r="J695" s="130"/>
      <c r="K695" s="130"/>
      <c r="L695" s="130"/>
    </row>
    <row r="696" spans="1:12" s="37" customFormat="1" ht="13.2" x14ac:dyDescent="0.25">
      <c r="A696" s="80"/>
      <c r="B696" s="130"/>
      <c r="C696" s="130"/>
      <c r="D696" s="130"/>
      <c r="E696" s="130"/>
      <c r="F696" s="130"/>
      <c r="G696" s="130"/>
      <c r="H696" s="130"/>
      <c r="I696" s="130"/>
      <c r="J696" s="130"/>
      <c r="K696" s="130"/>
      <c r="L696" s="130"/>
    </row>
    <row r="697" spans="1:12" s="37" customFormat="1" ht="13.2" x14ac:dyDescent="0.25">
      <c r="A697" s="80"/>
      <c r="B697" s="130"/>
      <c r="C697" s="130"/>
      <c r="D697" s="130"/>
      <c r="E697" s="130"/>
      <c r="F697" s="130"/>
      <c r="G697" s="130"/>
      <c r="H697" s="130"/>
      <c r="I697" s="130"/>
      <c r="J697" s="130"/>
      <c r="K697" s="130"/>
      <c r="L697" s="130"/>
    </row>
    <row r="698" spans="1:12" s="37" customFormat="1" ht="13.2" x14ac:dyDescent="0.25">
      <c r="A698" s="80"/>
      <c r="B698" s="130"/>
      <c r="C698" s="130"/>
      <c r="D698" s="130"/>
      <c r="E698" s="130"/>
      <c r="F698" s="130"/>
      <c r="G698" s="130"/>
      <c r="H698" s="130"/>
      <c r="I698" s="130"/>
      <c r="J698" s="130"/>
      <c r="K698" s="130"/>
      <c r="L698" s="130"/>
    </row>
    <row r="699" spans="1:12" s="37" customFormat="1" ht="13.2" x14ac:dyDescent="0.25">
      <c r="A699" s="80"/>
      <c r="B699" s="130"/>
      <c r="C699" s="130"/>
      <c r="D699" s="130"/>
      <c r="E699" s="130"/>
      <c r="F699" s="130"/>
      <c r="G699" s="130"/>
      <c r="H699" s="130"/>
      <c r="I699" s="130"/>
      <c r="J699" s="130"/>
      <c r="K699" s="130"/>
      <c r="L699" s="130"/>
    </row>
    <row r="700" spans="1:12" s="37" customFormat="1" ht="13.2" x14ac:dyDescent="0.25">
      <c r="A700" s="80"/>
      <c r="B700" s="130"/>
      <c r="C700" s="130"/>
      <c r="D700" s="130"/>
      <c r="E700" s="130"/>
      <c r="F700" s="130"/>
      <c r="G700" s="130"/>
      <c r="H700" s="130"/>
      <c r="I700" s="130"/>
      <c r="J700" s="130"/>
      <c r="K700" s="130"/>
      <c r="L700" s="130"/>
    </row>
    <row r="701" spans="1:12" s="37" customFormat="1" ht="13.2" x14ac:dyDescent="0.25">
      <c r="A701" s="80"/>
      <c r="B701" s="130"/>
      <c r="C701" s="130"/>
      <c r="D701" s="130"/>
      <c r="E701" s="130"/>
      <c r="F701" s="130"/>
      <c r="G701" s="130"/>
      <c r="H701" s="130"/>
      <c r="I701" s="130"/>
      <c r="J701" s="130"/>
      <c r="K701" s="130"/>
      <c r="L701" s="130"/>
    </row>
    <row r="702" spans="1:12" s="37" customFormat="1" ht="13.2" x14ac:dyDescent="0.25">
      <c r="A702" s="80"/>
      <c r="B702" s="130"/>
      <c r="C702" s="130"/>
      <c r="D702" s="130"/>
      <c r="E702" s="130"/>
      <c r="F702" s="130"/>
      <c r="G702" s="130"/>
      <c r="H702" s="130"/>
      <c r="I702" s="130"/>
      <c r="J702" s="130"/>
      <c r="K702" s="130"/>
      <c r="L702" s="130"/>
    </row>
    <row r="703" spans="1:12" s="37" customFormat="1" ht="13.2" x14ac:dyDescent="0.25">
      <c r="A703" s="80"/>
      <c r="B703" s="130"/>
      <c r="C703" s="130"/>
      <c r="D703" s="130"/>
      <c r="E703" s="130"/>
      <c r="F703" s="130"/>
      <c r="G703" s="130"/>
      <c r="H703" s="130"/>
      <c r="I703" s="130"/>
      <c r="J703" s="130"/>
      <c r="K703" s="130"/>
      <c r="L703" s="130"/>
    </row>
    <row r="704" spans="1:12" s="37" customFormat="1" ht="13.2" x14ac:dyDescent="0.25">
      <c r="A704" s="80"/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</row>
    <row r="705" spans="1:12" s="37" customFormat="1" ht="13.2" x14ac:dyDescent="0.25">
      <c r="A705" s="80"/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</row>
    <row r="706" spans="1:12" s="37" customFormat="1" ht="13.2" x14ac:dyDescent="0.25">
      <c r="A706" s="80"/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</row>
    <row r="707" spans="1:12" s="37" customFormat="1" ht="13.2" x14ac:dyDescent="0.25">
      <c r="A707" s="80"/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</row>
    <row r="708" spans="1:12" s="37" customFormat="1" ht="13.2" x14ac:dyDescent="0.25">
      <c r="A708" s="80"/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</row>
    <row r="709" spans="1:12" s="37" customFormat="1" ht="13.2" x14ac:dyDescent="0.25">
      <c r="A709" s="80"/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</row>
    <row r="710" spans="1:12" s="37" customFormat="1" ht="13.2" x14ac:dyDescent="0.25">
      <c r="A710" s="80"/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</row>
    <row r="711" spans="1:12" s="37" customFormat="1" ht="13.2" x14ac:dyDescent="0.25">
      <c r="A711" s="80"/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</row>
    <row r="712" spans="1:12" s="37" customFormat="1" ht="13.2" x14ac:dyDescent="0.25">
      <c r="A712" s="80"/>
      <c r="B712" s="130"/>
      <c r="C712" s="130"/>
      <c r="D712" s="130"/>
      <c r="E712" s="130"/>
      <c r="F712" s="130"/>
      <c r="G712" s="130"/>
      <c r="H712" s="130"/>
      <c r="I712" s="130"/>
      <c r="J712" s="130"/>
      <c r="K712" s="130"/>
      <c r="L712" s="130"/>
    </row>
    <row r="713" spans="1:12" s="37" customFormat="1" ht="13.2" x14ac:dyDescent="0.25">
      <c r="A713" s="80"/>
      <c r="B713" s="130"/>
      <c r="C713" s="130"/>
      <c r="D713" s="130"/>
      <c r="E713" s="130"/>
      <c r="F713" s="130"/>
      <c r="G713" s="130"/>
      <c r="H713" s="130"/>
      <c r="I713" s="130"/>
      <c r="J713" s="130"/>
      <c r="K713" s="130"/>
      <c r="L713" s="130"/>
    </row>
    <row r="714" spans="1:12" s="37" customFormat="1" ht="13.2" x14ac:dyDescent="0.25">
      <c r="A714" s="80"/>
      <c r="B714" s="130"/>
      <c r="C714" s="130"/>
      <c r="D714" s="130"/>
      <c r="E714" s="130"/>
      <c r="F714" s="130"/>
      <c r="G714" s="130"/>
      <c r="H714" s="130"/>
      <c r="I714" s="130"/>
      <c r="J714" s="130"/>
      <c r="K714" s="130"/>
      <c r="L714" s="130"/>
    </row>
    <row r="715" spans="1:12" s="37" customFormat="1" ht="13.2" x14ac:dyDescent="0.25">
      <c r="A715" s="80"/>
      <c r="B715" s="130"/>
      <c r="C715" s="130"/>
      <c r="D715" s="130"/>
      <c r="E715" s="130"/>
      <c r="F715" s="130"/>
      <c r="G715" s="130"/>
      <c r="H715" s="130"/>
      <c r="I715" s="130"/>
      <c r="J715" s="130"/>
      <c r="K715" s="130"/>
      <c r="L715" s="130"/>
    </row>
    <row r="716" spans="1:12" s="37" customFormat="1" ht="13.2" x14ac:dyDescent="0.25">
      <c r="A716" s="80"/>
      <c r="B716" s="130"/>
      <c r="C716" s="130"/>
      <c r="D716" s="130"/>
      <c r="E716" s="130"/>
      <c r="F716" s="130"/>
      <c r="G716" s="130"/>
      <c r="H716" s="130"/>
      <c r="I716" s="130"/>
      <c r="J716" s="130"/>
      <c r="K716" s="130"/>
      <c r="L716" s="130"/>
    </row>
    <row r="717" spans="1:12" s="37" customFormat="1" ht="13.2" x14ac:dyDescent="0.25">
      <c r="A717" s="80"/>
      <c r="B717" s="130"/>
      <c r="C717" s="130"/>
      <c r="D717" s="130"/>
      <c r="E717" s="130"/>
      <c r="F717" s="130"/>
      <c r="G717" s="130"/>
      <c r="H717" s="130"/>
      <c r="I717" s="130"/>
      <c r="J717" s="130"/>
      <c r="K717" s="130"/>
      <c r="L717" s="130"/>
    </row>
    <row r="718" spans="1:12" s="37" customFormat="1" ht="13.2" x14ac:dyDescent="0.25">
      <c r="A718" s="80"/>
      <c r="B718" s="130"/>
      <c r="C718" s="130"/>
      <c r="D718" s="130"/>
      <c r="E718" s="130"/>
      <c r="F718" s="130"/>
      <c r="G718" s="130"/>
      <c r="H718" s="130"/>
      <c r="I718" s="130"/>
      <c r="J718" s="130"/>
      <c r="K718" s="130"/>
      <c r="L718" s="130"/>
    </row>
    <row r="719" spans="1:12" s="37" customFormat="1" ht="13.2" x14ac:dyDescent="0.25">
      <c r="A719" s="80"/>
      <c r="B719" s="130"/>
      <c r="C719" s="130"/>
      <c r="D719" s="130"/>
      <c r="E719" s="130"/>
      <c r="F719" s="130"/>
      <c r="G719" s="130"/>
      <c r="H719" s="130"/>
      <c r="I719" s="130"/>
      <c r="J719" s="130"/>
      <c r="K719" s="130"/>
      <c r="L719" s="130"/>
    </row>
    <row r="720" spans="1:12" s="37" customFormat="1" ht="13.2" x14ac:dyDescent="0.25">
      <c r="A720" s="80"/>
      <c r="B720" s="130"/>
      <c r="C720" s="130"/>
      <c r="D720" s="130"/>
      <c r="E720" s="130"/>
      <c r="F720" s="130"/>
      <c r="G720" s="130"/>
      <c r="H720" s="130"/>
      <c r="I720" s="130"/>
      <c r="J720" s="130"/>
      <c r="K720" s="130"/>
      <c r="L720" s="130"/>
    </row>
    <row r="721" spans="1:12" s="37" customFormat="1" ht="13.2" x14ac:dyDescent="0.25">
      <c r="A721" s="80"/>
      <c r="B721" s="130"/>
      <c r="C721" s="130"/>
      <c r="D721" s="130"/>
      <c r="E721" s="130"/>
      <c r="F721" s="130"/>
      <c r="G721" s="130"/>
      <c r="H721" s="130"/>
      <c r="I721" s="130"/>
      <c r="J721" s="130"/>
      <c r="K721" s="130"/>
      <c r="L721" s="130"/>
    </row>
    <row r="722" spans="1:12" s="37" customFormat="1" ht="13.2" x14ac:dyDescent="0.25">
      <c r="A722" s="80"/>
      <c r="B722" s="130"/>
      <c r="C722" s="130"/>
      <c r="D722" s="130"/>
      <c r="E722" s="130"/>
      <c r="F722" s="130"/>
      <c r="G722" s="130"/>
      <c r="H722" s="130"/>
      <c r="I722" s="130"/>
      <c r="J722" s="130"/>
      <c r="K722" s="130"/>
      <c r="L722" s="130"/>
    </row>
    <row r="723" spans="1:12" s="37" customFormat="1" ht="13.2" x14ac:dyDescent="0.25">
      <c r="A723" s="80"/>
      <c r="B723" s="130"/>
      <c r="C723" s="130"/>
      <c r="D723" s="130"/>
      <c r="E723" s="130"/>
      <c r="F723" s="130"/>
      <c r="G723" s="130"/>
      <c r="H723" s="130"/>
      <c r="I723" s="130"/>
      <c r="J723" s="130"/>
      <c r="K723" s="130"/>
      <c r="L723" s="130"/>
    </row>
    <row r="724" spans="1:12" s="37" customFormat="1" ht="13.2" x14ac:dyDescent="0.25">
      <c r="A724" s="80"/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</row>
    <row r="725" spans="1:12" s="37" customFormat="1" ht="13.2" x14ac:dyDescent="0.25">
      <c r="A725" s="80"/>
      <c r="B725" s="130"/>
      <c r="C725" s="130"/>
      <c r="D725" s="130"/>
      <c r="E725" s="130"/>
      <c r="F725" s="130"/>
      <c r="G725" s="130"/>
      <c r="H725" s="130"/>
      <c r="I725" s="130"/>
      <c r="J725" s="130"/>
      <c r="K725" s="130"/>
      <c r="L725" s="130"/>
    </row>
    <row r="726" spans="1:12" s="37" customFormat="1" ht="13.2" x14ac:dyDescent="0.25">
      <c r="A726" s="80"/>
      <c r="B726" s="130"/>
      <c r="C726" s="130"/>
      <c r="D726" s="130"/>
      <c r="E726" s="130"/>
      <c r="F726" s="130"/>
      <c r="G726" s="130"/>
      <c r="H726" s="130"/>
      <c r="I726" s="130"/>
      <c r="J726" s="130"/>
      <c r="K726" s="130"/>
      <c r="L726" s="130"/>
    </row>
    <row r="727" spans="1:12" s="37" customFormat="1" ht="13.2" x14ac:dyDescent="0.25">
      <c r="A727" s="80"/>
      <c r="B727" s="130"/>
      <c r="C727" s="130"/>
      <c r="D727" s="130"/>
      <c r="E727" s="130"/>
      <c r="F727" s="130"/>
      <c r="G727" s="130"/>
      <c r="H727" s="130"/>
      <c r="I727" s="130"/>
      <c r="J727" s="130"/>
      <c r="K727" s="130"/>
      <c r="L727" s="130"/>
    </row>
    <row r="728" spans="1:12" s="37" customFormat="1" ht="13.2" x14ac:dyDescent="0.25">
      <c r="A728" s="80"/>
      <c r="B728" s="130"/>
      <c r="C728" s="130"/>
      <c r="D728" s="130"/>
      <c r="E728" s="130"/>
      <c r="F728" s="130"/>
      <c r="G728" s="130"/>
      <c r="H728" s="130"/>
      <c r="I728" s="130"/>
      <c r="J728" s="130"/>
      <c r="K728" s="130"/>
      <c r="L728" s="130"/>
    </row>
    <row r="729" spans="1:12" s="37" customFormat="1" ht="13.2" x14ac:dyDescent="0.25">
      <c r="A729" s="80"/>
      <c r="B729" s="130"/>
      <c r="C729" s="130"/>
      <c r="D729" s="130"/>
      <c r="E729" s="130"/>
      <c r="F729" s="130"/>
      <c r="G729" s="130"/>
      <c r="H729" s="130"/>
      <c r="I729" s="130"/>
      <c r="J729" s="130"/>
      <c r="K729" s="130"/>
      <c r="L729" s="130"/>
    </row>
    <row r="730" spans="1:12" s="37" customFormat="1" ht="13.2" x14ac:dyDescent="0.25">
      <c r="A730" s="80"/>
      <c r="B730" s="130"/>
      <c r="C730" s="130"/>
      <c r="D730" s="130"/>
      <c r="E730" s="130"/>
      <c r="F730" s="130"/>
      <c r="G730" s="130"/>
      <c r="H730" s="130"/>
      <c r="I730" s="130"/>
      <c r="J730" s="130"/>
      <c r="K730" s="130"/>
      <c r="L730" s="130"/>
    </row>
    <row r="731" spans="1:12" s="37" customFormat="1" ht="13.2" x14ac:dyDescent="0.25">
      <c r="A731" s="80"/>
      <c r="B731" s="130"/>
      <c r="C731" s="130"/>
      <c r="D731" s="130"/>
      <c r="E731" s="130"/>
      <c r="F731" s="130"/>
      <c r="G731" s="130"/>
      <c r="H731" s="130"/>
      <c r="I731" s="130"/>
      <c r="J731" s="130"/>
      <c r="K731" s="130"/>
      <c r="L731" s="130"/>
    </row>
    <row r="732" spans="1:12" s="37" customFormat="1" ht="13.2" x14ac:dyDescent="0.25">
      <c r="A732" s="80"/>
      <c r="B732" s="130"/>
      <c r="C732" s="130"/>
      <c r="D732" s="130"/>
      <c r="E732" s="130"/>
      <c r="F732" s="130"/>
      <c r="G732" s="130"/>
      <c r="H732" s="130"/>
      <c r="I732" s="130"/>
      <c r="J732" s="130"/>
      <c r="K732" s="130"/>
      <c r="L732" s="130"/>
    </row>
    <row r="733" spans="1:12" s="37" customFormat="1" ht="13.2" x14ac:dyDescent="0.25">
      <c r="A733" s="80"/>
      <c r="B733" s="130"/>
      <c r="C733" s="130"/>
      <c r="D733" s="130"/>
      <c r="E733" s="130"/>
      <c r="F733" s="130"/>
      <c r="G733" s="130"/>
      <c r="H733" s="130"/>
      <c r="I733" s="130"/>
      <c r="J733" s="130"/>
      <c r="K733" s="130"/>
      <c r="L733" s="130"/>
    </row>
    <row r="734" spans="1:12" s="37" customFormat="1" ht="13.2" x14ac:dyDescent="0.25">
      <c r="A734" s="80"/>
      <c r="B734" s="130"/>
      <c r="C734" s="130"/>
      <c r="D734" s="130"/>
      <c r="E734" s="130"/>
      <c r="F734" s="130"/>
      <c r="G734" s="130"/>
      <c r="H734" s="130"/>
      <c r="I734" s="130"/>
      <c r="J734" s="130"/>
      <c r="K734" s="130"/>
      <c r="L734" s="130"/>
    </row>
    <row r="735" spans="1:12" s="37" customFormat="1" ht="13.2" x14ac:dyDescent="0.25">
      <c r="A735" s="80"/>
      <c r="B735" s="130"/>
      <c r="C735" s="130"/>
      <c r="D735" s="130"/>
      <c r="E735" s="130"/>
      <c r="F735" s="130"/>
      <c r="G735" s="130"/>
      <c r="H735" s="130"/>
      <c r="I735" s="130"/>
      <c r="J735" s="130"/>
      <c r="K735" s="130"/>
      <c r="L735" s="130"/>
    </row>
    <row r="736" spans="1:12" s="37" customFormat="1" ht="13.2" x14ac:dyDescent="0.25">
      <c r="A736" s="80"/>
      <c r="B736" s="130"/>
      <c r="C736" s="130"/>
      <c r="D736" s="130"/>
      <c r="E736" s="130"/>
      <c r="F736" s="130"/>
      <c r="G736" s="130"/>
      <c r="H736" s="130"/>
      <c r="I736" s="130"/>
      <c r="J736" s="130"/>
      <c r="K736" s="130"/>
      <c r="L736" s="130"/>
    </row>
    <row r="737" spans="1:12" s="37" customFormat="1" ht="13.2" x14ac:dyDescent="0.25">
      <c r="A737" s="80"/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</row>
    <row r="738" spans="1:12" s="37" customFormat="1" ht="13.2" x14ac:dyDescent="0.25">
      <c r="A738" s="80"/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</row>
    <row r="739" spans="1:12" s="37" customFormat="1" ht="13.2" x14ac:dyDescent="0.25">
      <c r="A739" s="80"/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</row>
    <row r="740" spans="1:12" s="37" customFormat="1" ht="13.2" x14ac:dyDescent="0.25">
      <c r="A740" s="80"/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</row>
    <row r="741" spans="1:12" s="37" customFormat="1" ht="13.2" x14ac:dyDescent="0.25">
      <c r="A741" s="80"/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</row>
    <row r="742" spans="1:12" s="37" customFormat="1" ht="13.2" x14ac:dyDescent="0.25">
      <c r="A742" s="80"/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</row>
    <row r="743" spans="1:12" s="37" customFormat="1" ht="13.2" x14ac:dyDescent="0.25">
      <c r="A743" s="80"/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</row>
    <row r="744" spans="1:12" s="37" customFormat="1" ht="13.2" x14ac:dyDescent="0.25">
      <c r="A744" s="80"/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</row>
    <row r="745" spans="1:12" s="37" customFormat="1" ht="13.2" x14ac:dyDescent="0.25">
      <c r="A745" s="80"/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</row>
    <row r="746" spans="1:12" s="37" customFormat="1" ht="13.2" x14ac:dyDescent="0.25">
      <c r="A746" s="80"/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</row>
    <row r="747" spans="1:12" s="37" customFormat="1" ht="13.2" x14ac:dyDescent="0.25">
      <c r="A747" s="80"/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</row>
    <row r="748" spans="1:12" s="37" customFormat="1" ht="13.2" x14ac:dyDescent="0.25">
      <c r="A748" s="80"/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</row>
    <row r="749" spans="1:12" s="37" customFormat="1" ht="13.2" x14ac:dyDescent="0.25">
      <c r="A749" s="80"/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</row>
    <row r="750" spans="1:12" s="37" customFormat="1" ht="13.2" x14ac:dyDescent="0.25">
      <c r="A750" s="80"/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</row>
    <row r="751" spans="1:12" s="37" customFormat="1" ht="13.2" x14ac:dyDescent="0.25">
      <c r="A751" s="80"/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</row>
    <row r="752" spans="1:12" s="37" customFormat="1" ht="13.2" x14ac:dyDescent="0.25">
      <c r="A752" s="80"/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</row>
    <row r="753" spans="1:12" s="37" customFormat="1" ht="13.2" x14ac:dyDescent="0.25">
      <c r="A753" s="80"/>
      <c r="B753" s="130"/>
      <c r="C753" s="130"/>
      <c r="D753" s="130"/>
      <c r="E753" s="130"/>
      <c r="F753" s="130"/>
      <c r="G753" s="130"/>
      <c r="H753" s="130"/>
      <c r="I753" s="130"/>
      <c r="J753" s="130"/>
      <c r="K753" s="130"/>
      <c r="L753" s="130"/>
    </row>
    <row r="754" spans="1:12" s="37" customFormat="1" ht="13.2" x14ac:dyDescent="0.25">
      <c r="A754" s="80"/>
      <c r="B754" s="130"/>
      <c r="C754" s="130"/>
      <c r="D754" s="130"/>
      <c r="E754" s="130"/>
      <c r="F754" s="130"/>
      <c r="G754" s="130"/>
      <c r="H754" s="130"/>
      <c r="I754" s="130"/>
      <c r="J754" s="130"/>
      <c r="K754" s="130"/>
      <c r="L754" s="130"/>
    </row>
    <row r="755" spans="1:12" s="37" customFormat="1" ht="13.2" x14ac:dyDescent="0.25">
      <c r="A755" s="80"/>
      <c r="B755" s="130"/>
      <c r="C755" s="130"/>
      <c r="D755" s="130"/>
      <c r="E755" s="130"/>
      <c r="F755" s="130"/>
      <c r="G755" s="130"/>
      <c r="H755" s="130"/>
      <c r="I755" s="130"/>
      <c r="J755" s="130"/>
      <c r="K755" s="130"/>
      <c r="L755" s="130"/>
    </row>
    <row r="756" spans="1:12" s="37" customFormat="1" ht="13.2" x14ac:dyDescent="0.25">
      <c r="A756" s="80"/>
      <c r="B756" s="130"/>
      <c r="C756" s="130"/>
      <c r="D756" s="130"/>
      <c r="E756" s="130"/>
      <c r="F756" s="130"/>
      <c r="G756" s="130"/>
      <c r="H756" s="130"/>
      <c r="I756" s="130"/>
      <c r="J756" s="130"/>
      <c r="K756" s="130"/>
      <c r="L756" s="130"/>
    </row>
    <row r="757" spans="1:12" s="37" customFormat="1" ht="13.2" x14ac:dyDescent="0.25">
      <c r="A757" s="80"/>
      <c r="B757" s="130"/>
      <c r="C757" s="130"/>
      <c r="D757" s="130"/>
      <c r="E757" s="130"/>
      <c r="F757" s="130"/>
      <c r="G757" s="130"/>
      <c r="H757" s="130"/>
      <c r="I757" s="130"/>
      <c r="J757" s="130"/>
      <c r="K757" s="130"/>
      <c r="L757" s="130"/>
    </row>
    <row r="758" spans="1:12" s="37" customFormat="1" ht="13.2" x14ac:dyDescent="0.25">
      <c r="A758" s="80"/>
      <c r="B758" s="130"/>
      <c r="C758" s="130"/>
      <c r="D758" s="130"/>
      <c r="E758" s="130"/>
      <c r="F758" s="130"/>
      <c r="G758" s="130"/>
      <c r="H758" s="130"/>
      <c r="I758" s="130"/>
      <c r="J758" s="130"/>
      <c r="K758" s="130"/>
      <c r="L758" s="130"/>
    </row>
    <row r="759" spans="1:12" s="37" customFormat="1" ht="13.2" x14ac:dyDescent="0.25">
      <c r="A759" s="80"/>
      <c r="B759" s="130"/>
      <c r="C759" s="130"/>
      <c r="D759" s="130"/>
      <c r="E759" s="130"/>
      <c r="F759" s="130"/>
      <c r="G759" s="130"/>
      <c r="H759" s="130"/>
      <c r="I759" s="130"/>
      <c r="J759" s="130"/>
      <c r="K759" s="130"/>
      <c r="L759" s="130"/>
    </row>
    <row r="760" spans="1:12" s="37" customFormat="1" ht="13.2" x14ac:dyDescent="0.25">
      <c r="A760" s="80"/>
      <c r="B760" s="130"/>
      <c r="C760" s="130"/>
      <c r="D760" s="130"/>
      <c r="E760" s="130"/>
      <c r="F760" s="130"/>
      <c r="G760" s="130"/>
      <c r="H760" s="130"/>
      <c r="I760" s="130"/>
      <c r="J760" s="130"/>
      <c r="K760" s="130"/>
      <c r="L760" s="130"/>
    </row>
    <row r="761" spans="1:12" s="37" customFormat="1" ht="13.2" x14ac:dyDescent="0.25">
      <c r="A761" s="80"/>
      <c r="B761" s="130"/>
      <c r="C761" s="130"/>
      <c r="D761" s="130"/>
      <c r="E761" s="130"/>
      <c r="F761" s="130"/>
      <c r="G761" s="130"/>
      <c r="H761" s="130"/>
      <c r="I761" s="130"/>
      <c r="J761" s="130"/>
      <c r="K761" s="130"/>
      <c r="L761" s="130"/>
    </row>
    <row r="762" spans="1:12" s="37" customFormat="1" ht="13.2" x14ac:dyDescent="0.25">
      <c r="A762" s="80"/>
      <c r="B762" s="130"/>
      <c r="C762" s="130"/>
      <c r="D762" s="130"/>
      <c r="E762" s="130"/>
      <c r="F762" s="130"/>
      <c r="G762" s="130"/>
      <c r="H762" s="130"/>
      <c r="I762" s="130"/>
      <c r="J762" s="130"/>
      <c r="K762" s="130"/>
      <c r="L762" s="130"/>
    </row>
    <row r="763" spans="1:12" s="37" customFormat="1" ht="13.2" x14ac:dyDescent="0.25">
      <c r="A763" s="80"/>
      <c r="B763" s="130"/>
      <c r="C763" s="130"/>
      <c r="D763" s="130"/>
      <c r="E763" s="130"/>
      <c r="F763" s="130"/>
      <c r="G763" s="130"/>
      <c r="H763" s="130"/>
      <c r="I763" s="130"/>
      <c r="J763" s="130"/>
      <c r="K763" s="130"/>
      <c r="L763" s="130"/>
    </row>
    <row r="764" spans="1:12" s="37" customFormat="1" ht="13.2" x14ac:dyDescent="0.25">
      <c r="A764" s="80"/>
      <c r="B764" s="130"/>
      <c r="C764" s="130"/>
      <c r="D764" s="130"/>
      <c r="E764" s="130"/>
      <c r="F764" s="130"/>
      <c r="G764" s="130"/>
      <c r="H764" s="130"/>
      <c r="I764" s="130"/>
      <c r="J764" s="130"/>
      <c r="K764" s="130"/>
      <c r="L764" s="130"/>
    </row>
    <row r="765" spans="1:12" s="37" customFormat="1" ht="13.2" x14ac:dyDescent="0.25">
      <c r="A765" s="80"/>
      <c r="B765" s="130"/>
      <c r="C765" s="130"/>
      <c r="D765" s="130"/>
      <c r="E765" s="130"/>
      <c r="F765" s="130"/>
      <c r="G765" s="130"/>
      <c r="H765" s="130"/>
      <c r="I765" s="130"/>
      <c r="J765" s="130"/>
      <c r="K765" s="130"/>
      <c r="L765" s="130"/>
    </row>
    <row r="766" spans="1:12" s="37" customFormat="1" ht="13.2" x14ac:dyDescent="0.25">
      <c r="A766" s="80"/>
      <c r="B766" s="130"/>
      <c r="C766" s="130"/>
      <c r="D766" s="130"/>
      <c r="E766" s="130"/>
      <c r="F766" s="130"/>
      <c r="G766" s="130"/>
      <c r="H766" s="130"/>
      <c r="I766" s="130"/>
      <c r="J766" s="130"/>
      <c r="K766" s="130"/>
      <c r="L766" s="130"/>
    </row>
    <row r="767" spans="1:12" x14ac:dyDescent="0.3">
      <c r="A767" s="80"/>
    </row>
    <row r="768" spans="1:12" x14ac:dyDescent="0.3">
      <c r="A768" s="80"/>
    </row>
    <row r="769" spans="1:1" x14ac:dyDescent="0.3">
      <c r="A769" s="80"/>
    </row>
    <row r="770" spans="1:1" x14ac:dyDescent="0.3">
      <c r="A770" s="80"/>
    </row>
    <row r="771" spans="1:1" x14ac:dyDescent="0.3">
      <c r="A771" s="80"/>
    </row>
    <row r="772" spans="1:1" x14ac:dyDescent="0.3">
      <c r="A772" s="80"/>
    </row>
    <row r="773" spans="1:1" x14ac:dyDescent="0.3">
      <c r="A773" s="80"/>
    </row>
    <row r="774" spans="1:1" x14ac:dyDescent="0.3">
      <c r="A774" s="80"/>
    </row>
    <row r="775" spans="1:1" x14ac:dyDescent="0.3">
      <c r="A775" s="80"/>
    </row>
    <row r="776" spans="1:1" x14ac:dyDescent="0.3">
      <c r="A776" s="80"/>
    </row>
    <row r="777" spans="1:1" x14ac:dyDescent="0.3">
      <c r="A777" s="80"/>
    </row>
    <row r="778" spans="1:1" x14ac:dyDescent="0.3">
      <c r="A778" s="80"/>
    </row>
    <row r="779" spans="1:1" x14ac:dyDescent="0.3">
      <c r="A779" s="80"/>
    </row>
    <row r="780" spans="1:1" x14ac:dyDescent="0.3">
      <c r="A780" s="80"/>
    </row>
    <row r="781" spans="1:1" x14ac:dyDescent="0.3">
      <c r="A781" s="80"/>
    </row>
    <row r="782" spans="1:1" x14ac:dyDescent="0.3">
      <c r="A782" s="80"/>
    </row>
  </sheetData>
  <mergeCells count="2">
    <mergeCell ref="AJ3:AN3"/>
    <mergeCell ref="E2:AF2"/>
  </mergeCells>
  <dataValidations count="25">
    <dataValidation allowBlank="1" showErrorMessage="1" prompt="Enter or select the reference number that is associated with the client in the Individuals Identification sheet" sqref="B10:F781 B5:B9" xr:uid="{33830DFF-4F6F-464A-8DBD-BD72DCB9C902}"/>
    <dataValidation type="list" allowBlank="1" showInputMessage="1" showErrorMessage="1" sqref="N5:N9" xr:uid="{18151CE0-DFC7-47AA-85C7-52A834FF255A}">
      <formula1>C_Section</formula1>
    </dataValidation>
    <dataValidation type="list" allowBlank="1" showInputMessage="1" showErrorMessage="1" sqref="O5:O9" xr:uid="{09469921-2089-4A4F-85A3-F3C0B42837B1}">
      <formula1>P_VBAC</formula1>
    </dataValidation>
    <dataValidation type="list" allowBlank="1" showInputMessage="1" showErrorMessage="1" sqref="P5:P9" xr:uid="{99361960-7E05-4245-B536-179E3879FF0D}">
      <formula1>High_Risk</formula1>
    </dataValidation>
    <dataValidation type="list" allowBlank="1" showInputMessage="1" showErrorMessage="1" sqref="Q5:Q9" xr:uid="{9A0F944D-31EE-4744-A6DB-EE5417FADDBE}">
      <formula1>GDM</formula1>
    </dataValidation>
    <dataValidation type="list" allowBlank="1" showInputMessage="1" showErrorMessage="1" sqref="R5:R9" xr:uid="{E007163C-4ADF-44E1-8AD2-B23A9E8F734E}">
      <formula1>Anemia</formula1>
    </dataValidation>
    <dataValidation type="list" allowBlank="1" showInputMessage="1" showErrorMessage="1" sqref="S5:S9" xr:uid="{08D2B394-2439-4611-919F-C951690DB24F}">
      <formula1>STBBIs</formula1>
    </dataValidation>
    <dataValidation type="list" allowBlank="1" showInputMessage="1" showErrorMessage="1" sqref="W5:Y9" xr:uid="{A778C0F5-C9A7-443E-8996-6C203E74849D}">
      <formula1>Consultation_1</formula1>
    </dataValidation>
    <dataValidation type="list" allowBlank="1" showInputMessage="1" showErrorMessage="1" sqref="AA5:AC9" xr:uid="{F3793F22-EC40-4D1A-B610-AFB06E05B459}">
      <formula1>Cons_Made</formula1>
    </dataValidation>
    <dataValidation type="list" allowBlank="1" showInputMessage="1" showErrorMessage="1" sqref="AD5:AD9" xr:uid="{190A1B31-C410-4FE8-86B6-19C80F55420B}">
      <formula1>Telehealth</formula1>
    </dataValidation>
    <dataValidation type="list" allowBlank="1" showInputMessage="1" showErrorMessage="1" sqref="AF5:AF9" xr:uid="{EAF2F523-2CA6-4948-A2EF-6D785E60077A}">
      <formula1>Pre_Transfer</formula1>
    </dataValidation>
    <dataValidation type="list" allowBlank="1" showInputMessage="1" showErrorMessage="1" sqref="AI5:AI9" xr:uid="{087FCFEA-D44B-40E7-B6A9-78046497A15A}">
      <formula1>Care_Ending</formula1>
    </dataValidation>
    <dataValidation type="list" allowBlank="1" showInputMessage="1" showErrorMessage="1" sqref="M5:M9" xr:uid="{64A9FF6C-356F-4398-9C49-8FA7C8A72C72}">
      <formula1>Pregnancy_Loss</formula1>
    </dataValidation>
    <dataValidation type="list" allowBlank="1" showInputMessage="1" showErrorMessage="1" sqref="T5:T9" xr:uid="{A86E85D1-8A6B-4ED5-A40D-9417DE4E5762}">
      <formula1>N_A</formula1>
    </dataValidation>
    <dataValidation type="list" allowBlank="1" showInputMessage="1" showErrorMessage="1" sqref="AE5:AE9" xr:uid="{483A6952-6D6E-4582-98BD-B6913F70E3AF}">
      <formula1>Share_Care</formula1>
    </dataValidation>
    <dataValidation type="list" allowBlank="1" showInputMessage="1" showErrorMessage="1" sqref="F5:F9" xr:uid="{65B5EE7B-5A8E-457B-A52A-8F491B1FD9B7}">
      <formula1>Tobacco_Use</formula1>
    </dataValidation>
    <dataValidation type="list" allowBlank="1" showInputMessage="1" showErrorMessage="1" sqref="G5:G9" xr:uid="{A09BE815-FDC3-4D21-9921-A94BA9B16290}">
      <formula1>Sub_Use</formula1>
    </dataValidation>
    <dataValidation type="list" allowBlank="1" showInputMessage="1" showErrorMessage="1" sqref="H5:H9" xr:uid="{79F3CBEA-0F75-4BF5-A4D1-41F17852A7EF}">
      <formula1>BMI</formula1>
    </dataValidation>
    <dataValidation type="list" allowBlank="1" showInputMessage="1" showErrorMessage="1" sqref="I5:I9" xr:uid="{C026CE72-FB66-495B-BAA3-23EFEA8F180F}">
      <formula1>CE_CLE</formula1>
    </dataValidation>
    <dataValidation type="list" allowBlank="1" showInputMessage="1" showErrorMessage="1" sqref="J5:L9" xr:uid="{C879959F-A749-476A-ACC2-A51C5217C63E}">
      <formula1>Disclosed</formula1>
    </dataValidation>
    <dataValidation type="list" allowBlank="1" showInputMessage="1" showErrorMessage="1" sqref="U5:U9" xr:uid="{6A0B462E-669F-40AA-82D9-1C45E4B0DAA2}">
      <formula1>Refererral_To_Other</formula1>
    </dataValidation>
    <dataValidation type="list" allowBlank="1" showInputMessage="1" showErrorMessage="1" sqref="AH5:AH9" xr:uid="{7D2BE591-DA1C-456B-B82A-7C9EB0BC47DB}">
      <formula1>Transfer_To</formula1>
    </dataValidation>
    <dataValidation type="list" allowBlank="1" showInputMessage="1" showErrorMessage="1" sqref="V5:V9" xr:uid="{0D757FE9-B4C4-4497-B9E4-F4AB7994448C}">
      <formula1>Med_Pre_cons</formula1>
    </dataValidation>
    <dataValidation type="list" allowBlank="1" showInputMessage="1" showErrorMessage="1" sqref="A5:A782" xr:uid="{91C72485-7FD4-428B-B9FD-ACDC99FA49C1}">
      <formula1>Yes</formula1>
    </dataValidation>
    <dataValidation type="date" allowBlank="1" showErrorMessage="1" error="This date is invalid. Please write a date in the proper format and between 2025-04-01 and 2026-03-31." promptTitle="Invalid date" prompt="." sqref="C5:C6 C8:C9 C7" xr:uid="{51A79B32-FFF3-454D-99BB-26DDF19635D4}">
      <formula1>45748</formula1>
      <formula2>46112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1008F6C-CDAE-49E0-8DA8-BFF02FE4D033}">
            <xm:f>'https://msss365.sharepoint.com/Users/manogr01/Desktop/SAGES-FEMMES-Midwifery/NOUVEAUX/[2- FICHIER DE TRAVAIL - Midwifery stats 2024-2025  - Community - R18V1.xlsm]All Referrals'!#REF!=""</xm:f>
            <x14:dxf>
              <font>
                <b/>
                <i val="0"/>
                <color rgb="FFFF0000"/>
              </font>
            </x14:dxf>
          </x14:cfRule>
          <xm:sqref>B10:M781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F58D-DA16-44EC-BDD1-CEC662BBF024}">
  <sheetPr codeName="Sheet3">
    <tabColor rgb="FF00B050"/>
  </sheetPr>
  <dimension ref="A2:BR804"/>
  <sheetViews>
    <sheetView workbookViewId="0">
      <selection activeCell="F7" sqref="F7"/>
    </sheetView>
  </sheetViews>
  <sheetFormatPr defaultColWidth="11.5546875" defaultRowHeight="14.4" x14ac:dyDescent="0.3"/>
  <cols>
    <col min="1" max="1" width="6.6640625" style="47" bestFit="1" customWidth="1"/>
    <col min="2" max="2" width="11.109375" customWidth="1"/>
    <col min="3" max="3" width="17.33203125" bestFit="1" customWidth="1"/>
    <col min="4" max="4" width="25.88671875" bestFit="1" customWidth="1"/>
    <col min="5" max="5" width="30.33203125" customWidth="1"/>
    <col min="6" max="6" width="16.44140625" customWidth="1"/>
    <col min="7" max="7" width="17.44140625" customWidth="1"/>
    <col min="8" max="8" width="16.44140625" customWidth="1"/>
    <col min="9" max="9" width="20.33203125" hidden="1" customWidth="1"/>
    <col min="10" max="10" width="13.109375" hidden="1" customWidth="1"/>
    <col min="11" max="11" width="17" hidden="1" customWidth="1"/>
    <col min="12" max="12" width="13.33203125" hidden="1" customWidth="1"/>
    <col min="13" max="13" width="13.109375" hidden="1" customWidth="1"/>
    <col min="14" max="14" width="15.109375" hidden="1" customWidth="1"/>
    <col min="15" max="15" width="15.6640625" hidden="1" customWidth="1"/>
    <col min="16" max="16" width="15.109375" hidden="1" customWidth="1"/>
    <col min="17" max="17" width="37" hidden="1" customWidth="1"/>
    <col min="18" max="18" width="17.33203125" hidden="1" customWidth="1"/>
    <col min="19" max="19" width="14.33203125" hidden="1" customWidth="1"/>
    <col min="20" max="20" width="18.33203125" hidden="1" customWidth="1"/>
    <col min="21" max="22" width="15.6640625" hidden="1" customWidth="1"/>
    <col min="23" max="23" width="27.33203125" hidden="1" customWidth="1"/>
    <col min="24" max="24" width="28.33203125" hidden="1" customWidth="1"/>
    <col min="25" max="25" width="15.44140625" hidden="1" customWidth="1"/>
    <col min="26" max="26" width="27.5546875" hidden="1" customWidth="1"/>
    <col min="27" max="27" width="8.88671875" hidden="1" customWidth="1"/>
    <col min="28" max="28" width="19.33203125" customWidth="1"/>
    <col min="29" max="29" width="31.6640625" hidden="1" customWidth="1"/>
    <col min="30" max="30" width="44.44140625" hidden="1" customWidth="1"/>
    <col min="31" max="31" width="27.109375" hidden="1" customWidth="1"/>
    <col min="32" max="32" width="18.6640625" hidden="1" customWidth="1"/>
    <col min="33" max="33" width="17" hidden="1" customWidth="1"/>
    <col min="34" max="34" width="18.6640625" hidden="1" customWidth="1"/>
    <col min="35" max="35" width="13.5546875" customWidth="1"/>
    <col min="36" max="36" width="10.6640625" customWidth="1"/>
    <col min="37" max="37" width="14.6640625" hidden="1" customWidth="1"/>
    <col min="38" max="38" width="16.6640625" hidden="1" customWidth="1"/>
    <col min="39" max="39" width="10.5546875" customWidth="1"/>
    <col min="40" max="40" width="24.33203125" hidden="1" customWidth="1"/>
    <col min="41" max="43" width="27.109375" hidden="1" customWidth="1"/>
    <col min="44" max="44" width="20.44140625" style="47" hidden="1" customWidth="1"/>
    <col min="45" max="45" width="19.109375" hidden="1" customWidth="1"/>
    <col min="46" max="49" width="27.109375" hidden="1" customWidth="1"/>
    <col min="50" max="50" width="16" hidden="1" customWidth="1"/>
    <col min="51" max="51" width="36.5546875" hidden="1" customWidth="1"/>
    <col min="52" max="52" width="12.33203125" hidden="1" customWidth="1"/>
    <col min="53" max="53" width="16" hidden="1" customWidth="1"/>
    <col min="54" max="54" width="43.88671875" hidden="1" customWidth="1"/>
    <col min="55" max="55" width="27.109375" hidden="1" customWidth="1"/>
    <col min="56" max="56" width="35.6640625" hidden="1" customWidth="1"/>
    <col min="57" max="57" width="27.109375" hidden="1" customWidth="1"/>
    <col min="58" max="59" width="17.33203125" hidden="1" customWidth="1"/>
    <col min="60" max="60" width="19.5546875" hidden="1" customWidth="1"/>
    <col min="61" max="62" width="11.5546875" customWidth="1"/>
  </cols>
  <sheetData>
    <row r="2" spans="1:70" ht="15" customHeight="1" x14ac:dyDescent="0.3">
      <c r="C2" s="209"/>
      <c r="D2" s="209"/>
      <c r="E2" s="581" t="s">
        <v>582</v>
      </c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1"/>
      <c r="AB2" s="581"/>
      <c r="AC2" s="581"/>
      <c r="AD2" s="581"/>
      <c r="AE2" s="581"/>
      <c r="AF2" s="581"/>
      <c r="AG2" s="581"/>
      <c r="AH2" s="581"/>
      <c r="AI2" s="581"/>
      <c r="AJ2" s="581"/>
      <c r="AK2" s="581"/>
      <c r="AL2" s="581"/>
      <c r="AM2" s="581"/>
      <c r="AN2" s="581"/>
      <c r="AO2" s="581"/>
      <c r="AP2" s="581"/>
      <c r="AQ2" s="581"/>
      <c r="AR2" s="581"/>
      <c r="AS2" s="581"/>
      <c r="AT2" s="581"/>
      <c r="AU2" s="581"/>
      <c r="AV2" s="581"/>
      <c r="AW2" s="581"/>
      <c r="AX2" s="581"/>
      <c r="AY2" s="581"/>
      <c r="AZ2" s="581"/>
      <c r="BA2" s="581"/>
      <c r="BB2" s="581"/>
      <c r="BC2" s="581"/>
      <c r="BD2" s="209"/>
      <c r="BE2" s="209"/>
    </row>
    <row r="3" spans="1:70" s="7" customFormat="1" ht="15" customHeight="1" thickBot="1" x14ac:dyDescent="0.35">
      <c r="A3" s="113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5"/>
      <c r="AB3" s="114"/>
      <c r="AC3" s="114"/>
      <c r="AD3" s="114"/>
      <c r="AE3" s="114"/>
      <c r="AF3" s="114"/>
      <c r="AG3" s="115"/>
      <c r="AH3" s="115"/>
      <c r="AI3" s="114"/>
      <c r="AJ3" s="114"/>
      <c r="AK3" s="114"/>
      <c r="AL3" s="114"/>
      <c r="AM3" s="114"/>
      <c r="AN3" s="114"/>
      <c r="AO3" s="108"/>
      <c r="AP3" s="108"/>
      <c r="AQ3" s="108"/>
      <c r="AR3" s="377"/>
      <c r="AS3" s="108"/>
      <c r="AT3" s="108"/>
      <c r="AU3" s="108"/>
      <c r="AV3" s="108"/>
      <c r="AW3" s="108"/>
      <c r="AX3" s="108"/>
      <c r="AY3" s="108"/>
      <c r="AZ3" s="108"/>
      <c r="BA3" s="108"/>
      <c r="BB3" s="115"/>
      <c r="BC3" s="115"/>
      <c r="BD3" s="115"/>
      <c r="BE3" s="115"/>
      <c r="BF3" s="115"/>
      <c r="BG3" s="115"/>
      <c r="BH3" s="115"/>
      <c r="BI3" s="580" t="s">
        <v>471</v>
      </c>
      <c r="BJ3" s="580"/>
      <c r="BK3" s="580"/>
      <c r="BL3" s="580"/>
      <c r="BM3" s="580"/>
      <c r="BN3" s="580"/>
      <c r="BO3"/>
      <c r="BP3"/>
      <c r="BQ3"/>
      <c r="BR3"/>
    </row>
    <row r="4" spans="1:70" s="40" customFormat="1" ht="102.6" thickBot="1" x14ac:dyDescent="0.4">
      <c r="A4" s="360" t="s">
        <v>536</v>
      </c>
      <c r="B4" s="540" t="s">
        <v>583</v>
      </c>
      <c r="C4" s="363" t="s">
        <v>584</v>
      </c>
      <c r="D4" s="363" t="s">
        <v>585</v>
      </c>
      <c r="E4" s="363" t="s">
        <v>586</v>
      </c>
      <c r="F4" s="544" t="s">
        <v>587</v>
      </c>
      <c r="G4" s="363" t="s">
        <v>588</v>
      </c>
      <c r="H4" s="364" t="s">
        <v>589</v>
      </c>
      <c r="I4" s="364" t="s">
        <v>590</v>
      </c>
      <c r="J4" s="364" t="s">
        <v>591</v>
      </c>
      <c r="K4" s="364" t="s">
        <v>592</v>
      </c>
      <c r="L4" s="364" t="s">
        <v>593</v>
      </c>
      <c r="M4" s="364" t="s">
        <v>594</v>
      </c>
      <c r="N4" s="364" t="s">
        <v>595</v>
      </c>
      <c r="O4" s="364" t="s">
        <v>596</v>
      </c>
      <c r="P4" s="364" t="s">
        <v>597</v>
      </c>
      <c r="Q4" s="364" t="s">
        <v>598</v>
      </c>
      <c r="R4" s="364" t="s">
        <v>599</v>
      </c>
      <c r="S4" s="364" t="s">
        <v>600</v>
      </c>
      <c r="T4" s="364" t="s">
        <v>601</v>
      </c>
      <c r="U4" s="364" t="s">
        <v>602</v>
      </c>
      <c r="V4" s="364" t="s">
        <v>603</v>
      </c>
      <c r="W4" s="364" t="s">
        <v>604</v>
      </c>
      <c r="X4" s="364" t="s">
        <v>66</v>
      </c>
      <c r="Y4" s="364" t="s">
        <v>605</v>
      </c>
      <c r="Z4" s="364" t="s">
        <v>606</v>
      </c>
      <c r="AA4" s="364" t="s">
        <v>607</v>
      </c>
      <c r="AB4" s="364" t="s">
        <v>608</v>
      </c>
      <c r="AC4" s="364" t="s">
        <v>609</v>
      </c>
      <c r="AD4" s="364" t="s">
        <v>610</v>
      </c>
      <c r="AE4" s="364" t="s">
        <v>611</v>
      </c>
      <c r="AF4" s="364" t="s">
        <v>612</v>
      </c>
      <c r="AG4" s="364" t="s">
        <v>613</v>
      </c>
      <c r="AH4" s="364" t="s">
        <v>614</v>
      </c>
      <c r="AI4" s="364" t="s">
        <v>615</v>
      </c>
      <c r="AJ4" s="364" t="s">
        <v>616</v>
      </c>
      <c r="AK4" s="364" t="s">
        <v>617</v>
      </c>
      <c r="AL4" s="364" t="s">
        <v>618</v>
      </c>
      <c r="AM4" s="364" t="s">
        <v>619</v>
      </c>
      <c r="AN4" s="364" t="s">
        <v>78</v>
      </c>
      <c r="AO4" s="364" t="s">
        <v>620</v>
      </c>
      <c r="AP4" s="364" t="s">
        <v>621</v>
      </c>
      <c r="AQ4" s="364" t="s">
        <v>622</v>
      </c>
      <c r="AR4" s="378" t="s">
        <v>623</v>
      </c>
      <c r="AS4" s="364" t="s">
        <v>624</v>
      </c>
      <c r="AT4" s="364" t="s">
        <v>625</v>
      </c>
      <c r="AU4" s="364" t="s">
        <v>626</v>
      </c>
      <c r="AV4" s="364" t="s">
        <v>627</v>
      </c>
      <c r="AW4" s="364" t="s">
        <v>628</v>
      </c>
      <c r="AX4" s="364" t="s">
        <v>629</v>
      </c>
      <c r="AY4" s="364" t="s">
        <v>630</v>
      </c>
      <c r="AZ4" s="364" t="s">
        <v>631</v>
      </c>
      <c r="BA4" s="364" t="s">
        <v>632</v>
      </c>
      <c r="BB4" s="364" t="s">
        <v>633</v>
      </c>
      <c r="BC4" s="364" t="s">
        <v>634</v>
      </c>
      <c r="BD4" s="364" t="s">
        <v>635</v>
      </c>
      <c r="BE4" s="364" t="s">
        <v>636</v>
      </c>
      <c r="BF4" s="364" t="s">
        <v>637</v>
      </c>
      <c r="BG4" s="364" t="s">
        <v>638</v>
      </c>
      <c r="BH4" s="364" t="s">
        <v>639</v>
      </c>
      <c r="BI4" s="39"/>
      <c r="BJ4" s="39"/>
      <c r="BK4" s="39"/>
      <c r="BL4" s="39"/>
      <c r="BM4" s="354"/>
      <c r="BN4" s="354"/>
      <c r="BO4" s="354"/>
      <c r="BP4" s="354"/>
      <c r="BQ4" s="354"/>
      <c r="BR4" s="39"/>
    </row>
    <row r="5" spans="1:70" s="37" customFormat="1" ht="15" hidden="1" customHeight="1" x14ac:dyDescent="0.25">
      <c r="A5" s="77"/>
      <c r="B5" s="77" t="s">
        <v>581</v>
      </c>
      <c r="C5" s="129"/>
      <c r="D5" s="129"/>
      <c r="E5" s="111"/>
      <c r="F5" s="78"/>
      <c r="G5" s="70"/>
      <c r="H5" s="48"/>
      <c r="I5" s="80"/>
      <c r="J5" s="117"/>
      <c r="K5" s="70"/>
      <c r="L5" s="71"/>
      <c r="M5" s="71"/>
      <c r="N5" s="71"/>
      <c r="O5" s="538">
        <f t="shared" ref="O5:O6" si="0">L5+M5+N5</f>
        <v>0</v>
      </c>
      <c r="P5" s="71"/>
      <c r="Q5" s="111"/>
      <c r="R5" s="116"/>
      <c r="S5" s="116"/>
      <c r="T5" s="116"/>
      <c r="U5" s="116"/>
      <c r="V5" s="116"/>
      <c r="W5" s="110"/>
      <c r="X5" s="110"/>
      <c r="Y5" s="110"/>
      <c r="Z5" s="110"/>
      <c r="AA5" s="110"/>
      <c r="AB5" s="111"/>
      <c r="AC5" s="111"/>
      <c r="AD5" s="111"/>
      <c r="AE5" s="111"/>
      <c r="AF5" s="110"/>
      <c r="AG5" s="110"/>
      <c r="AH5" s="110"/>
      <c r="AI5" s="77"/>
      <c r="AJ5" s="70"/>
      <c r="AK5" s="71"/>
      <c r="AL5" s="71"/>
      <c r="AM5" s="116"/>
      <c r="AN5" s="118"/>
      <c r="AO5" s="529"/>
      <c r="AP5" s="525"/>
      <c r="AQ5" s="111"/>
      <c r="AR5" s="70"/>
      <c r="AS5" s="119"/>
      <c r="AT5" s="110"/>
      <c r="AU5" s="110"/>
      <c r="AV5" s="110"/>
      <c r="AW5" s="110"/>
      <c r="AX5" s="70"/>
      <c r="AY5" s="532"/>
      <c r="AZ5" s="117"/>
      <c r="BA5" s="117"/>
      <c r="BB5" s="118"/>
      <c r="BC5" s="118" t="str">
        <f t="shared" ref="BC5:BC10" si="1">IF(OR($BB5="No Intrapartum Medical Consultation"), "N/A","")</f>
        <v/>
      </c>
      <c r="BD5" s="118"/>
      <c r="BE5" s="118" t="str">
        <f>IF(OR($BD5="No intrapartum Medical Transfer"), "N/A","")</f>
        <v/>
      </c>
      <c r="BF5" s="118" t="str">
        <f>IF(OR($BD5="No intrapartum Medical Transfer"), "N/A","")</f>
        <v/>
      </c>
      <c r="BG5" s="71" t="str">
        <f>IF(OR($BD5="No intrapartum Medical Transfer"), "N/A","")</f>
        <v/>
      </c>
      <c r="BH5" s="118" t="str">
        <f>IF(OR($BD5="No intrapartum Medical Transfer"), "N/A","")</f>
        <v/>
      </c>
      <c r="BM5" s="38"/>
      <c r="BN5" s="38"/>
      <c r="BO5" s="38"/>
      <c r="BP5" s="38"/>
      <c r="BQ5" s="38"/>
    </row>
    <row r="6" spans="1:70" s="37" customFormat="1" ht="15" hidden="1" customHeight="1" x14ac:dyDescent="0.25">
      <c r="A6" s="41"/>
      <c r="B6" s="41" t="s">
        <v>581</v>
      </c>
      <c r="C6" s="129"/>
      <c r="D6" s="129"/>
      <c r="E6" s="111"/>
      <c r="F6" s="78"/>
      <c r="G6" s="68"/>
      <c r="H6" s="48"/>
      <c r="I6" s="80"/>
      <c r="J6" s="117"/>
      <c r="K6" s="68"/>
      <c r="L6" s="361"/>
      <c r="M6" s="361"/>
      <c r="N6" s="361"/>
      <c r="O6" s="539">
        <f t="shared" si="0"/>
        <v>0</v>
      </c>
      <c r="P6" s="361"/>
      <c r="Q6" s="531"/>
      <c r="R6" s="116"/>
      <c r="S6" s="116"/>
      <c r="T6" s="116"/>
      <c r="U6" s="116"/>
      <c r="V6" s="116"/>
      <c r="W6" s="110"/>
      <c r="X6" s="110"/>
      <c r="Y6" s="110"/>
      <c r="Z6" s="362"/>
      <c r="AA6" s="110"/>
      <c r="AB6" s="111"/>
      <c r="AC6" s="111"/>
      <c r="AD6" s="111"/>
      <c r="AE6" s="111"/>
      <c r="AF6" s="110"/>
      <c r="AG6" s="110"/>
      <c r="AH6" s="110"/>
      <c r="AI6" s="41"/>
      <c r="AJ6" s="68"/>
      <c r="AK6" s="71"/>
      <c r="AL6" s="71"/>
      <c r="AM6" s="116"/>
      <c r="AN6" s="118"/>
      <c r="AO6" s="530"/>
      <c r="AP6" s="526"/>
      <c r="AQ6" s="531"/>
      <c r="AR6" s="68"/>
      <c r="AS6" s="119"/>
      <c r="AT6" s="362"/>
      <c r="AU6" s="362"/>
      <c r="AV6" s="362"/>
      <c r="AW6" s="362"/>
      <c r="AX6" s="68"/>
      <c r="AY6" s="533"/>
      <c r="AZ6" s="117"/>
      <c r="BA6" s="117"/>
      <c r="BB6" s="118"/>
      <c r="BC6" s="118" t="str">
        <f t="shared" si="1"/>
        <v/>
      </c>
      <c r="BD6" s="118"/>
      <c r="BE6" s="118" t="str">
        <f t="shared" ref="BE6" si="2">IF(OR($BD6="No intrapartum Medical Transfer"), "N/A","")</f>
        <v/>
      </c>
      <c r="BF6" s="118" t="str">
        <f t="shared" ref="BF6:BH6" si="3">IF(OR($BD6="No intrapartum Medical Transfer"), "N/A","")</f>
        <v/>
      </c>
      <c r="BG6" s="71" t="str">
        <f t="shared" si="3"/>
        <v/>
      </c>
      <c r="BH6" s="118" t="str">
        <f t="shared" si="3"/>
        <v/>
      </c>
      <c r="BM6" s="38"/>
      <c r="BN6" s="38"/>
      <c r="BO6" s="38"/>
      <c r="BP6" s="38"/>
      <c r="BQ6" s="38"/>
    </row>
    <row r="7" spans="1:70" s="37" customFormat="1" ht="13.2" x14ac:dyDescent="0.25">
      <c r="A7" s="77" t="s">
        <v>0</v>
      </c>
      <c r="B7" s="77" t="s">
        <v>581</v>
      </c>
      <c r="C7" s="129"/>
      <c r="D7" s="129"/>
      <c r="E7" s="111"/>
      <c r="F7" s="78"/>
      <c r="G7" s="70"/>
      <c r="H7" s="48"/>
      <c r="I7" s="80"/>
      <c r="J7" s="117"/>
      <c r="K7" s="70"/>
      <c r="L7" s="71"/>
      <c r="M7" s="71"/>
      <c r="N7" s="71"/>
      <c r="O7" s="538">
        <f t="shared" ref="O7:O10" si="4">L7+M7+N7</f>
        <v>0</v>
      </c>
      <c r="P7" s="71"/>
      <c r="Q7" s="111"/>
      <c r="R7" s="116"/>
      <c r="S7" s="116"/>
      <c r="T7" s="116"/>
      <c r="U7" s="116"/>
      <c r="V7" s="116"/>
      <c r="W7" s="110"/>
      <c r="X7" s="110"/>
      <c r="Y7" s="110"/>
      <c r="Z7" s="110"/>
      <c r="AA7" s="110"/>
      <c r="AB7" s="111"/>
      <c r="AC7" s="111"/>
      <c r="AD7" s="111"/>
      <c r="AE7" s="111"/>
      <c r="AF7" s="110"/>
      <c r="AG7" s="110"/>
      <c r="AH7" s="110"/>
      <c r="AI7" s="77"/>
      <c r="AJ7" s="70"/>
      <c r="AK7" s="71"/>
      <c r="AL7" s="71"/>
      <c r="AM7" s="116"/>
      <c r="AN7" s="118"/>
      <c r="AO7" s="529"/>
      <c r="AP7" s="525"/>
      <c r="AQ7" s="111"/>
      <c r="AR7" s="70"/>
      <c r="AS7" s="119"/>
      <c r="AT7" s="110"/>
      <c r="AU7" s="110"/>
      <c r="AV7" s="110"/>
      <c r="AW7" s="110"/>
      <c r="AX7" s="70"/>
      <c r="AY7" s="532"/>
      <c r="AZ7" s="117"/>
      <c r="BA7" s="117"/>
      <c r="BB7" s="118"/>
      <c r="BC7" s="118" t="str">
        <f t="shared" si="1"/>
        <v/>
      </c>
      <c r="BD7" s="118"/>
      <c r="BE7" s="118" t="str">
        <f t="shared" ref="BE7:BH10" si="5">IF(OR($BD7="No intrapartum Medical Transfer"), "N/A","")</f>
        <v/>
      </c>
      <c r="BF7" s="118" t="str">
        <f t="shared" si="5"/>
        <v/>
      </c>
      <c r="BG7" s="71" t="str">
        <f t="shared" si="5"/>
        <v/>
      </c>
      <c r="BH7" s="118" t="str">
        <f t="shared" si="5"/>
        <v/>
      </c>
    </row>
    <row r="8" spans="1:70" s="37" customFormat="1" ht="13.2" x14ac:dyDescent="0.25">
      <c r="A8" s="77" t="s">
        <v>0</v>
      </c>
      <c r="B8" s="77" t="s">
        <v>581</v>
      </c>
      <c r="C8" s="129"/>
      <c r="D8" s="129"/>
      <c r="E8" s="111"/>
      <c r="F8" s="78"/>
      <c r="G8" s="70"/>
      <c r="H8" s="48"/>
      <c r="I8" s="80"/>
      <c r="J8" s="117"/>
      <c r="K8" s="70"/>
      <c r="L8" s="71"/>
      <c r="M8" s="71"/>
      <c r="N8" s="71"/>
      <c r="O8" s="538">
        <f t="shared" si="4"/>
        <v>0</v>
      </c>
      <c r="P8" s="71"/>
      <c r="Q8" s="111"/>
      <c r="R8" s="116"/>
      <c r="S8" s="116"/>
      <c r="T8" s="116"/>
      <c r="U8" s="116"/>
      <c r="V8" s="116"/>
      <c r="W8" s="110"/>
      <c r="X8" s="110"/>
      <c r="Y8" s="110"/>
      <c r="Z8" s="110"/>
      <c r="AA8" s="110"/>
      <c r="AB8" s="111"/>
      <c r="AC8" s="111"/>
      <c r="AD8" s="111"/>
      <c r="AE8" s="111"/>
      <c r="AF8" s="110"/>
      <c r="AG8" s="110"/>
      <c r="AH8" s="110"/>
      <c r="AI8" s="77"/>
      <c r="AJ8" s="70"/>
      <c r="AK8" s="71"/>
      <c r="AL8" s="71"/>
      <c r="AM8" s="116"/>
      <c r="AN8" s="118"/>
      <c r="AO8" s="529"/>
      <c r="AP8" s="525"/>
      <c r="AQ8" s="111"/>
      <c r="AR8" s="70"/>
      <c r="AS8" s="119"/>
      <c r="AT8" s="110"/>
      <c r="AU8" s="110"/>
      <c r="AV8" s="110"/>
      <c r="AW8" s="110"/>
      <c r="AX8" s="70"/>
      <c r="AY8" s="532"/>
      <c r="AZ8" s="117"/>
      <c r="BA8" s="117"/>
      <c r="BB8" s="118"/>
      <c r="BC8" s="118" t="str">
        <f t="shared" si="1"/>
        <v/>
      </c>
      <c r="BD8" s="118"/>
      <c r="BE8" s="118" t="str">
        <f t="shared" si="5"/>
        <v/>
      </c>
      <c r="BF8" s="118" t="str">
        <f t="shared" si="5"/>
        <v/>
      </c>
      <c r="BG8" s="71" t="str">
        <f t="shared" si="5"/>
        <v/>
      </c>
      <c r="BH8" s="118" t="str">
        <f t="shared" si="5"/>
        <v/>
      </c>
    </row>
    <row r="9" spans="1:70" s="37" customFormat="1" ht="13.2" x14ac:dyDescent="0.25">
      <c r="A9" s="77" t="s">
        <v>0</v>
      </c>
      <c r="B9" s="77" t="s">
        <v>581</v>
      </c>
      <c r="C9" s="129"/>
      <c r="D9" s="129"/>
      <c r="E9" s="111"/>
      <c r="F9" s="78"/>
      <c r="G9" s="70"/>
      <c r="H9" s="48"/>
      <c r="I9" s="80"/>
      <c r="J9" s="117"/>
      <c r="K9" s="70"/>
      <c r="L9" s="71"/>
      <c r="M9" s="71"/>
      <c r="N9" s="71"/>
      <c r="O9" s="538">
        <f t="shared" si="4"/>
        <v>0</v>
      </c>
      <c r="P9" s="71"/>
      <c r="Q9" s="111"/>
      <c r="R9" s="116"/>
      <c r="S9" s="116"/>
      <c r="T9" s="116"/>
      <c r="U9" s="116"/>
      <c r="V9" s="116"/>
      <c r="W9" s="110"/>
      <c r="X9" s="110"/>
      <c r="Y9" s="110"/>
      <c r="Z9" s="110"/>
      <c r="AA9" s="110"/>
      <c r="AB9" s="111"/>
      <c r="AC9" s="111"/>
      <c r="AD9" s="111"/>
      <c r="AE9" s="111"/>
      <c r="AF9" s="110"/>
      <c r="AG9" s="110"/>
      <c r="AH9" s="110"/>
      <c r="AI9" s="77"/>
      <c r="AJ9" s="70"/>
      <c r="AK9" s="71"/>
      <c r="AL9" s="71"/>
      <c r="AM9" s="116"/>
      <c r="AN9" s="118"/>
      <c r="AO9" s="529"/>
      <c r="AP9" s="525"/>
      <c r="AQ9" s="111"/>
      <c r="AR9" s="70"/>
      <c r="AS9" s="119"/>
      <c r="AT9" s="110"/>
      <c r="AU9" s="110"/>
      <c r="AV9" s="110"/>
      <c r="AW9" s="110"/>
      <c r="AX9" s="70"/>
      <c r="AY9" s="532"/>
      <c r="AZ9" s="117"/>
      <c r="BA9" s="117"/>
      <c r="BB9" s="118"/>
      <c r="BC9" s="118" t="str">
        <f t="shared" si="1"/>
        <v/>
      </c>
      <c r="BD9" s="118"/>
      <c r="BE9" s="118" t="str">
        <f t="shared" si="5"/>
        <v/>
      </c>
      <c r="BF9" s="118" t="str">
        <f t="shared" si="5"/>
        <v/>
      </c>
      <c r="BG9" s="71" t="str">
        <f t="shared" si="5"/>
        <v/>
      </c>
      <c r="BH9" s="118" t="str">
        <f t="shared" si="5"/>
        <v/>
      </c>
    </row>
    <row r="10" spans="1:70" s="37" customFormat="1" ht="13.2" x14ac:dyDescent="0.25">
      <c r="A10" s="77" t="s">
        <v>0</v>
      </c>
      <c r="B10" s="77" t="s">
        <v>581</v>
      </c>
      <c r="C10" s="129"/>
      <c r="D10" s="129"/>
      <c r="E10" s="111"/>
      <c r="F10" s="78"/>
      <c r="G10" s="70"/>
      <c r="H10" s="48"/>
      <c r="I10" s="80"/>
      <c r="J10" s="117"/>
      <c r="K10" s="70"/>
      <c r="L10" s="71"/>
      <c r="M10" s="71"/>
      <c r="N10" s="71"/>
      <c r="O10" s="538">
        <f t="shared" si="4"/>
        <v>0</v>
      </c>
      <c r="P10" s="71"/>
      <c r="Q10" s="111"/>
      <c r="R10" s="116"/>
      <c r="S10" s="116"/>
      <c r="T10" s="116"/>
      <c r="U10" s="116"/>
      <c r="V10" s="116"/>
      <c r="W10" s="110"/>
      <c r="X10" s="110"/>
      <c r="Y10" s="110"/>
      <c r="Z10" s="110"/>
      <c r="AA10" s="110"/>
      <c r="AB10" s="111"/>
      <c r="AC10" s="111"/>
      <c r="AD10" s="111"/>
      <c r="AE10" s="111"/>
      <c r="AF10" s="110"/>
      <c r="AG10" s="110"/>
      <c r="AH10" s="110"/>
      <c r="AI10" s="77"/>
      <c r="AJ10" s="70"/>
      <c r="AK10" s="71"/>
      <c r="AL10" s="71"/>
      <c r="AM10" s="116"/>
      <c r="AN10" s="118"/>
      <c r="AO10" s="529"/>
      <c r="AP10" s="525"/>
      <c r="AQ10" s="111"/>
      <c r="AR10" s="70"/>
      <c r="AS10" s="119"/>
      <c r="AT10" s="110"/>
      <c r="AU10" s="110"/>
      <c r="AV10" s="110"/>
      <c r="AW10" s="110"/>
      <c r="AX10" s="70"/>
      <c r="AY10" s="532"/>
      <c r="AZ10" s="117"/>
      <c r="BA10" s="117"/>
      <c r="BB10" s="118"/>
      <c r="BC10" s="118" t="str">
        <f t="shared" si="1"/>
        <v/>
      </c>
      <c r="BD10" s="118"/>
      <c r="BE10" s="118" t="str">
        <f t="shared" si="5"/>
        <v/>
      </c>
      <c r="BF10" s="118" t="str">
        <f t="shared" si="5"/>
        <v/>
      </c>
      <c r="BG10" s="71" t="str">
        <f t="shared" si="5"/>
        <v/>
      </c>
      <c r="BH10" s="118" t="str">
        <f t="shared" si="5"/>
        <v/>
      </c>
    </row>
    <row r="11" spans="1:70" s="37" customFormat="1" ht="13.2" x14ac:dyDescent="0.25">
      <c r="A11" s="77"/>
      <c r="AR11" s="130"/>
    </row>
    <row r="12" spans="1:70" s="37" customFormat="1" ht="13.2" x14ac:dyDescent="0.25">
      <c r="A12" s="77"/>
      <c r="AR12" s="130"/>
    </row>
    <row r="13" spans="1:70" s="37" customFormat="1" ht="13.2" x14ac:dyDescent="0.25">
      <c r="A13" s="77"/>
      <c r="AR13" s="130"/>
    </row>
    <row r="14" spans="1:70" s="37" customFormat="1" ht="13.2" x14ac:dyDescent="0.25">
      <c r="A14" s="77"/>
      <c r="AR14" s="130"/>
    </row>
    <row r="15" spans="1:70" s="37" customFormat="1" ht="13.2" x14ac:dyDescent="0.25">
      <c r="A15" s="77"/>
      <c r="AR15" s="130"/>
    </row>
    <row r="16" spans="1:70" s="37" customFormat="1" ht="13.2" x14ac:dyDescent="0.25">
      <c r="A16" s="77"/>
      <c r="AR16" s="130"/>
    </row>
    <row r="17" spans="1:44" s="37" customFormat="1" ht="13.2" x14ac:dyDescent="0.25">
      <c r="A17" s="77"/>
      <c r="AR17" s="130"/>
    </row>
    <row r="18" spans="1:44" s="37" customFormat="1" ht="13.2" x14ac:dyDescent="0.25">
      <c r="A18" s="77"/>
      <c r="AR18" s="130"/>
    </row>
    <row r="19" spans="1:44" s="37" customFormat="1" ht="13.2" x14ac:dyDescent="0.25">
      <c r="A19" s="77"/>
      <c r="AR19" s="130"/>
    </row>
    <row r="20" spans="1:44" s="37" customFormat="1" ht="13.2" x14ac:dyDescent="0.25">
      <c r="A20" s="77"/>
      <c r="AR20" s="130"/>
    </row>
    <row r="21" spans="1:44" s="37" customFormat="1" ht="13.2" x14ac:dyDescent="0.25">
      <c r="A21" s="77"/>
      <c r="AR21" s="130"/>
    </row>
    <row r="22" spans="1:44" s="37" customFormat="1" ht="13.2" x14ac:dyDescent="0.25">
      <c r="A22" s="77"/>
      <c r="AR22" s="130"/>
    </row>
    <row r="23" spans="1:44" s="37" customFormat="1" ht="13.2" x14ac:dyDescent="0.25">
      <c r="A23" s="77"/>
      <c r="AR23" s="130"/>
    </row>
    <row r="24" spans="1:44" s="37" customFormat="1" ht="13.2" x14ac:dyDescent="0.25">
      <c r="A24" s="77"/>
      <c r="AR24" s="130"/>
    </row>
    <row r="25" spans="1:44" s="37" customFormat="1" ht="13.2" x14ac:dyDescent="0.25">
      <c r="A25" s="77"/>
      <c r="AR25" s="130"/>
    </row>
    <row r="26" spans="1:44" s="37" customFormat="1" ht="13.2" x14ac:dyDescent="0.25">
      <c r="A26" s="77"/>
      <c r="AR26" s="130"/>
    </row>
    <row r="27" spans="1:44" s="37" customFormat="1" ht="13.2" x14ac:dyDescent="0.25">
      <c r="A27" s="77"/>
      <c r="AR27" s="130"/>
    </row>
    <row r="28" spans="1:44" s="37" customFormat="1" ht="13.2" x14ac:dyDescent="0.25">
      <c r="A28" s="77"/>
      <c r="AR28" s="130"/>
    </row>
    <row r="29" spans="1:44" s="37" customFormat="1" ht="13.2" x14ac:dyDescent="0.25">
      <c r="A29" s="77"/>
      <c r="AR29" s="130"/>
    </row>
    <row r="30" spans="1:44" s="37" customFormat="1" ht="13.2" x14ac:dyDescent="0.25">
      <c r="A30" s="77"/>
      <c r="AR30" s="130"/>
    </row>
    <row r="31" spans="1:44" s="37" customFormat="1" ht="13.2" x14ac:dyDescent="0.25">
      <c r="A31" s="77"/>
      <c r="AR31" s="130"/>
    </row>
    <row r="32" spans="1:44" s="37" customFormat="1" ht="13.2" x14ac:dyDescent="0.25">
      <c r="A32" s="77"/>
      <c r="AR32" s="130"/>
    </row>
    <row r="33" spans="1:44" s="37" customFormat="1" ht="13.2" x14ac:dyDescent="0.25">
      <c r="A33" s="77"/>
      <c r="AR33" s="130"/>
    </row>
    <row r="34" spans="1:44" s="37" customFormat="1" ht="13.2" x14ac:dyDescent="0.25">
      <c r="A34" s="77"/>
      <c r="AR34" s="130"/>
    </row>
    <row r="35" spans="1:44" s="37" customFormat="1" ht="13.2" x14ac:dyDescent="0.25">
      <c r="A35" s="77"/>
      <c r="AR35" s="130"/>
    </row>
    <row r="36" spans="1:44" s="37" customFormat="1" ht="13.2" x14ac:dyDescent="0.25">
      <c r="A36" s="77"/>
      <c r="AR36" s="130"/>
    </row>
    <row r="37" spans="1:44" s="37" customFormat="1" ht="13.2" x14ac:dyDescent="0.25">
      <c r="A37" s="77"/>
      <c r="AR37" s="130"/>
    </row>
    <row r="38" spans="1:44" s="37" customFormat="1" ht="13.2" x14ac:dyDescent="0.25">
      <c r="A38" s="77"/>
      <c r="AR38" s="130"/>
    </row>
    <row r="39" spans="1:44" s="37" customFormat="1" ht="13.2" x14ac:dyDescent="0.25">
      <c r="A39" s="77"/>
      <c r="AR39" s="130"/>
    </row>
    <row r="40" spans="1:44" s="37" customFormat="1" ht="13.2" x14ac:dyDescent="0.25">
      <c r="A40" s="77"/>
      <c r="AR40" s="130"/>
    </row>
    <row r="41" spans="1:44" s="37" customFormat="1" ht="13.2" x14ac:dyDescent="0.25">
      <c r="A41" s="77"/>
      <c r="AR41" s="130"/>
    </row>
    <row r="42" spans="1:44" s="37" customFormat="1" ht="13.2" x14ac:dyDescent="0.25">
      <c r="A42" s="77"/>
      <c r="AR42" s="130"/>
    </row>
    <row r="43" spans="1:44" s="37" customFormat="1" ht="13.2" x14ac:dyDescent="0.25">
      <c r="A43" s="77"/>
      <c r="AR43" s="130"/>
    </row>
    <row r="44" spans="1:44" s="37" customFormat="1" ht="13.2" x14ac:dyDescent="0.25">
      <c r="A44" s="77"/>
      <c r="AR44" s="130"/>
    </row>
    <row r="45" spans="1:44" s="37" customFormat="1" ht="13.2" x14ac:dyDescent="0.25">
      <c r="A45" s="77"/>
      <c r="AR45" s="130"/>
    </row>
    <row r="46" spans="1:44" s="37" customFormat="1" ht="13.2" x14ac:dyDescent="0.25">
      <c r="A46" s="77"/>
      <c r="AR46" s="130"/>
    </row>
    <row r="47" spans="1:44" s="37" customFormat="1" ht="13.2" x14ac:dyDescent="0.25">
      <c r="A47" s="77"/>
      <c r="AR47" s="130"/>
    </row>
    <row r="48" spans="1:44" s="37" customFormat="1" ht="13.2" x14ac:dyDescent="0.25">
      <c r="A48" s="77"/>
      <c r="AR48" s="130"/>
    </row>
    <row r="49" spans="1:44" s="37" customFormat="1" ht="13.2" x14ac:dyDescent="0.25">
      <c r="A49" s="77"/>
      <c r="AR49" s="130"/>
    </row>
    <row r="50" spans="1:44" s="37" customFormat="1" ht="13.2" x14ac:dyDescent="0.25">
      <c r="A50" s="77"/>
      <c r="AR50" s="130"/>
    </row>
    <row r="51" spans="1:44" s="37" customFormat="1" ht="13.2" x14ac:dyDescent="0.25">
      <c r="A51" s="77"/>
      <c r="AR51" s="130"/>
    </row>
    <row r="52" spans="1:44" s="37" customFormat="1" ht="13.2" x14ac:dyDescent="0.25">
      <c r="A52" s="77"/>
      <c r="AR52" s="130"/>
    </row>
    <row r="53" spans="1:44" s="37" customFormat="1" ht="13.2" x14ac:dyDescent="0.25">
      <c r="A53" s="77"/>
      <c r="AR53" s="130"/>
    </row>
    <row r="54" spans="1:44" s="37" customFormat="1" ht="13.2" x14ac:dyDescent="0.25">
      <c r="A54" s="77"/>
      <c r="AR54" s="130"/>
    </row>
    <row r="55" spans="1:44" s="37" customFormat="1" ht="13.2" x14ac:dyDescent="0.25">
      <c r="A55" s="77"/>
      <c r="AR55" s="130"/>
    </row>
    <row r="56" spans="1:44" s="37" customFormat="1" ht="13.2" x14ac:dyDescent="0.25">
      <c r="A56" s="77"/>
      <c r="AR56" s="130"/>
    </row>
    <row r="57" spans="1:44" s="37" customFormat="1" ht="13.2" x14ac:dyDescent="0.25">
      <c r="A57" s="77"/>
      <c r="AR57" s="130"/>
    </row>
    <row r="58" spans="1:44" s="37" customFormat="1" ht="13.2" x14ac:dyDescent="0.25">
      <c r="A58" s="77"/>
      <c r="AR58" s="130"/>
    </row>
    <row r="59" spans="1:44" s="37" customFormat="1" ht="13.2" x14ac:dyDescent="0.25">
      <c r="A59" s="77"/>
      <c r="AR59" s="130"/>
    </row>
    <row r="60" spans="1:44" s="37" customFormat="1" ht="13.2" x14ac:dyDescent="0.25">
      <c r="A60" s="77"/>
      <c r="AR60" s="130"/>
    </row>
    <row r="61" spans="1:44" s="37" customFormat="1" ht="13.2" x14ac:dyDescent="0.25">
      <c r="A61" s="77"/>
      <c r="AR61" s="130"/>
    </row>
    <row r="62" spans="1:44" s="37" customFormat="1" ht="13.2" x14ac:dyDescent="0.25">
      <c r="A62" s="77"/>
      <c r="AR62" s="130"/>
    </row>
    <row r="63" spans="1:44" s="37" customFormat="1" ht="13.2" x14ac:dyDescent="0.25">
      <c r="A63" s="77"/>
      <c r="AR63" s="130"/>
    </row>
    <row r="64" spans="1:44" s="37" customFormat="1" ht="13.2" x14ac:dyDescent="0.25">
      <c r="A64" s="77"/>
      <c r="AR64" s="130"/>
    </row>
    <row r="65" spans="1:44" s="37" customFormat="1" ht="13.2" x14ac:dyDescent="0.25">
      <c r="A65" s="77"/>
      <c r="AR65" s="130"/>
    </row>
    <row r="66" spans="1:44" s="37" customFormat="1" ht="13.2" x14ac:dyDescent="0.25">
      <c r="A66" s="77"/>
      <c r="AR66" s="130"/>
    </row>
    <row r="67" spans="1:44" s="37" customFormat="1" ht="13.2" x14ac:dyDescent="0.25">
      <c r="A67" s="77"/>
      <c r="AR67" s="130"/>
    </row>
    <row r="68" spans="1:44" s="37" customFormat="1" ht="13.2" x14ac:dyDescent="0.25">
      <c r="A68" s="77"/>
      <c r="AR68" s="130"/>
    </row>
    <row r="69" spans="1:44" s="37" customFormat="1" ht="13.2" x14ac:dyDescent="0.25">
      <c r="A69" s="77"/>
      <c r="AR69" s="130"/>
    </row>
    <row r="70" spans="1:44" s="37" customFormat="1" ht="13.2" x14ac:dyDescent="0.25">
      <c r="A70" s="77"/>
      <c r="AR70" s="130"/>
    </row>
    <row r="71" spans="1:44" s="37" customFormat="1" ht="13.2" x14ac:dyDescent="0.25">
      <c r="A71" s="77"/>
      <c r="AR71" s="130"/>
    </row>
    <row r="72" spans="1:44" s="37" customFormat="1" ht="13.2" x14ac:dyDescent="0.25">
      <c r="A72" s="77"/>
      <c r="AR72" s="130"/>
    </row>
    <row r="73" spans="1:44" s="37" customFormat="1" ht="13.2" x14ac:dyDescent="0.25">
      <c r="A73" s="77"/>
      <c r="AR73" s="130"/>
    </row>
    <row r="74" spans="1:44" s="37" customFormat="1" ht="13.2" x14ac:dyDescent="0.25">
      <c r="A74" s="77"/>
      <c r="AR74" s="130"/>
    </row>
    <row r="75" spans="1:44" s="37" customFormat="1" ht="13.2" x14ac:dyDescent="0.25">
      <c r="A75" s="77"/>
      <c r="AR75" s="130"/>
    </row>
    <row r="76" spans="1:44" s="37" customFormat="1" ht="13.2" x14ac:dyDescent="0.25">
      <c r="A76" s="77"/>
      <c r="AR76" s="130"/>
    </row>
    <row r="77" spans="1:44" s="37" customFormat="1" ht="13.2" x14ac:dyDescent="0.25">
      <c r="A77" s="77"/>
      <c r="AR77" s="130"/>
    </row>
    <row r="78" spans="1:44" s="37" customFormat="1" ht="13.2" x14ac:dyDescent="0.25">
      <c r="A78" s="77"/>
      <c r="AR78" s="130"/>
    </row>
    <row r="79" spans="1:44" s="37" customFormat="1" ht="13.2" x14ac:dyDescent="0.25">
      <c r="A79" s="77"/>
      <c r="AR79" s="130"/>
    </row>
    <row r="80" spans="1:44" s="37" customFormat="1" ht="13.2" x14ac:dyDescent="0.25">
      <c r="A80" s="77"/>
      <c r="AR80" s="130"/>
    </row>
    <row r="81" spans="1:44" s="37" customFormat="1" ht="13.2" x14ac:dyDescent="0.25">
      <c r="A81" s="77"/>
      <c r="AR81" s="130"/>
    </row>
    <row r="82" spans="1:44" s="37" customFormat="1" ht="13.2" x14ac:dyDescent="0.25">
      <c r="A82" s="77"/>
      <c r="AR82" s="130"/>
    </row>
    <row r="83" spans="1:44" s="37" customFormat="1" ht="13.2" x14ac:dyDescent="0.25">
      <c r="A83" s="77"/>
      <c r="AR83" s="130"/>
    </row>
    <row r="84" spans="1:44" s="37" customFormat="1" ht="13.2" x14ac:dyDescent="0.25">
      <c r="A84" s="77"/>
      <c r="AR84" s="130"/>
    </row>
    <row r="85" spans="1:44" s="37" customFormat="1" ht="13.2" x14ac:dyDescent="0.25">
      <c r="A85" s="77"/>
      <c r="AR85" s="130"/>
    </row>
    <row r="86" spans="1:44" s="37" customFormat="1" ht="13.2" x14ac:dyDescent="0.25">
      <c r="A86" s="77"/>
      <c r="AR86" s="130"/>
    </row>
    <row r="87" spans="1:44" s="37" customFormat="1" ht="13.2" x14ac:dyDescent="0.25">
      <c r="A87" s="77"/>
      <c r="AR87" s="130"/>
    </row>
    <row r="88" spans="1:44" s="37" customFormat="1" ht="13.2" x14ac:dyDescent="0.25">
      <c r="A88" s="77"/>
      <c r="AR88" s="130"/>
    </row>
    <row r="89" spans="1:44" s="37" customFormat="1" ht="13.2" x14ac:dyDescent="0.25">
      <c r="A89" s="77"/>
      <c r="AR89" s="130"/>
    </row>
    <row r="90" spans="1:44" s="37" customFormat="1" ht="13.2" x14ac:dyDescent="0.25">
      <c r="A90" s="77"/>
      <c r="AR90" s="130"/>
    </row>
    <row r="91" spans="1:44" s="37" customFormat="1" ht="13.2" x14ac:dyDescent="0.25">
      <c r="A91" s="77"/>
      <c r="AR91" s="130"/>
    </row>
    <row r="92" spans="1:44" s="37" customFormat="1" ht="13.2" x14ac:dyDescent="0.25">
      <c r="A92" s="77"/>
      <c r="AR92" s="130"/>
    </row>
    <row r="93" spans="1:44" s="37" customFormat="1" ht="13.2" x14ac:dyDescent="0.25">
      <c r="A93" s="77"/>
      <c r="AR93" s="130"/>
    </row>
    <row r="94" spans="1:44" s="37" customFormat="1" ht="13.2" x14ac:dyDescent="0.25">
      <c r="A94" s="77"/>
      <c r="AR94" s="130"/>
    </row>
    <row r="95" spans="1:44" s="37" customFormat="1" ht="13.2" x14ac:dyDescent="0.25">
      <c r="A95" s="77"/>
      <c r="AR95" s="130"/>
    </row>
    <row r="96" spans="1:44" s="37" customFormat="1" ht="13.2" x14ac:dyDescent="0.25">
      <c r="A96" s="77"/>
      <c r="AR96" s="130"/>
    </row>
    <row r="97" spans="1:44" s="37" customFormat="1" ht="13.2" x14ac:dyDescent="0.25">
      <c r="A97" s="77"/>
      <c r="AR97" s="130"/>
    </row>
    <row r="98" spans="1:44" s="37" customFormat="1" ht="13.2" x14ac:dyDescent="0.25">
      <c r="A98" s="77"/>
      <c r="AR98" s="130"/>
    </row>
    <row r="99" spans="1:44" s="37" customFormat="1" ht="13.2" x14ac:dyDescent="0.25">
      <c r="A99" s="77"/>
      <c r="AR99" s="130"/>
    </row>
    <row r="100" spans="1:44" s="37" customFormat="1" ht="13.2" x14ac:dyDescent="0.25">
      <c r="A100" s="77"/>
      <c r="AR100" s="130"/>
    </row>
    <row r="101" spans="1:44" s="37" customFormat="1" ht="13.2" x14ac:dyDescent="0.25">
      <c r="A101" s="77"/>
      <c r="AR101" s="130"/>
    </row>
    <row r="102" spans="1:44" s="37" customFormat="1" ht="13.2" x14ac:dyDescent="0.25">
      <c r="A102" s="77"/>
      <c r="AR102" s="130"/>
    </row>
    <row r="103" spans="1:44" s="37" customFormat="1" ht="13.2" x14ac:dyDescent="0.25">
      <c r="A103" s="77"/>
      <c r="AR103" s="130"/>
    </row>
    <row r="104" spans="1:44" s="37" customFormat="1" ht="13.2" x14ac:dyDescent="0.25">
      <c r="A104" s="77"/>
      <c r="AR104" s="130"/>
    </row>
    <row r="105" spans="1:44" s="37" customFormat="1" ht="13.2" x14ac:dyDescent="0.25">
      <c r="A105" s="77"/>
      <c r="AR105" s="130"/>
    </row>
    <row r="106" spans="1:44" s="37" customFormat="1" ht="13.2" x14ac:dyDescent="0.25">
      <c r="A106" s="77"/>
      <c r="AR106" s="130"/>
    </row>
    <row r="107" spans="1:44" s="37" customFormat="1" ht="13.2" x14ac:dyDescent="0.25">
      <c r="A107" s="77"/>
      <c r="AR107" s="130"/>
    </row>
    <row r="108" spans="1:44" s="37" customFormat="1" ht="13.2" x14ac:dyDescent="0.25">
      <c r="A108" s="77"/>
      <c r="AR108" s="130"/>
    </row>
    <row r="109" spans="1:44" s="37" customFormat="1" ht="13.2" x14ac:dyDescent="0.25">
      <c r="A109" s="77"/>
      <c r="AR109" s="130"/>
    </row>
    <row r="110" spans="1:44" s="37" customFormat="1" ht="13.2" x14ac:dyDescent="0.25">
      <c r="A110" s="77"/>
      <c r="AR110" s="130"/>
    </row>
    <row r="111" spans="1:44" s="37" customFormat="1" ht="13.2" x14ac:dyDescent="0.25">
      <c r="A111" s="77"/>
      <c r="AR111" s="130"/>
    </row>
    <row r="112" spans="1:44" s="37" customFormat="1" ht="13.2" x14ac:dyDescent="0.25">
      <c r="A112" s="77"/>
      <c r="AR112" s="130"/>
    </row>
    <row r="113" spans="1:44" s="37" customFormat="1" ht="13.2" x14ac:dyDescent="0.25">
      <c r="A113" s="77"/>
      <c r="AR113" s="130"/>
    </row>
    <row r="114" spans="1:44" s="37" customFormat="1" ht="13.2" x14ac:dyDescent="0.25">
      <c r="A114" s="77"/>
      <c r="AR114" s="130"/>
    </row>
    <row r="115" spans="1:44" s="37" customFormat="1" ht="13.2" x14ac:dyDescent="0.25">
      <c r="A115" s="77"/>
      <c r="AR115" s="130"/>
    </row>
    <row r="116" spans="1:44" s="37" customFormat="1" ht="13.2" x14ac:dyDescent="0.25">
      <c r="A116" s="77"/>
      <c r="AR116" s="130"/>
    </row>
    <row r="117" spans="1:44" s="37" customFormat="1" ht="13.2" x14ac:dyDescent="0.25">
      <c r="A117" s="77"/>
      <c r="AR117" s="130"/>
    </row>
    <row r="118" spans="1:44" s="37" customFormat="1" ht="13.2" x14ac:dyDescent="0.25">
      <c r="A118" s="77"/>
      <c r="AR118" s="130"/>
    </row>
    <row r="119" spans="1:44" s="37" customFormat="1" ht="13.2" x14ac:dyDescent="0.25">
      <c r="A119" s="77"/>
      <c r="AR119" s="130"/>
    </row>
    <row r="120" spans="1:44" s="37" customFormat="1" ht="13.2" x14ac:dyDescent="0.25">
      <c r="A120" s="77"/>
      <c r="AR120" s="130"/>
    </row>
    <row r="121" spans="1:44" s="37" customFormat="1" ht="13.2" x14ac:dyDescent="0.25">
      <c r="A121" s="77"/>
      <c r="AR121" s="130"/>
    </row>
    <row r="122" spans="1:44" s="37" customFormat="1" ht="13.2" x14ac:dyDescent="0.25">
      <c r="A122" s="77"/>
      <c r="AR122" s="130"/>
    </row>
    <row r="123" spans="1:44" s="37" customFormat="1" ht="13.2" x14ac:dyDescent="0.25">
      <c r="A123" s="77"/>
      <c r="AR123" s="130"/>
    </row>
    <row r="124" spans="1:44" s="37" customFormat="1" ht="13.2" x14ac:dyDescent="0.25">
      <c r="A124" s="77"/>
      <c r="AR124" s="130"/>
    </row>
    <row r="125" spans="1:44" s="37" customFormat="1" ht="13.2" x14ac:dyDescent="0.25">
      <c r="A125" s="77"/>
      <c r="AR125" s="130"/>
    </row>
    <row r="126" spans="1:44" s="37" customFormat="1" ht="13.2" x14ac:dyDescent="0.25">
      <c r="A126" s="77"/>
      <c r="AR126" s="130"/>
    </row>
    <row r="127" spans="1:44" s="37" customFormat="1" ht="13.2" x14ac:dyDescent="0.25">
      <c r="A127" s="77"/>
      <c r="AR127" s="130"/>
    </row>
    <row r="128" spans="1:44" s="37" customFormat="1" ht="13.2" x14ac:dyDescent="0.25">
      <c r="A128" s="77"/>
      <c r="AR128" s="130"/>
    </row>
    <row r="129" spans="1:44" s="37" customFormat="1" ht="13.2" x14ac:dyDescent="0.25">
      <c r="A129" s="77"/>
      <c r="AR129" s="130"/>
    </row>
    <row r="130" spans="1:44" s="37" customFormat="1" ht="13.2" x14ac:dyDescent="0.25">
      <c r="A130" s="77"/>
      <c r="AR130" s="130"/>
    </row>
    <row r="131" spans="1:44" s="37" customFormat="1" ht="13.2" x14ac:dyDescent="0.25">
      <c r="A131" s="77"/>
      <c r="AR131" s="130"/>
    </row>
    <row r="132" spans="1:44" s="37" customFormat="1" ht="13.2" x14ac:dyDescent="0.25">
      <c r="A132" s="77"/>
      <c r="AR132" s="130"/>
    </row>
    <row r="133" spans="1:44" s="37" customFormat="1" ht="13.2" x14ac:dyDescent="0.25">
      <c r="A133" s="77"/>
      <c r="AR133" s="130"/>
    </row>
    <row r="134" spans="1:44" s="37" customFormat="1" ht="13.2" x14ac:dyDescent="0.25">
      <c r="A134" s="77"/>
      <c r="AR134" s="130"/>
    </row>
    <row r="135" spans="1:44" s="37" customFormat="1" ht="13.2" x14ac:dyDescent="0.25">
      <c r="A135" s="77"/>
      <c r="AR135" s="130"/>
    </row>
    <row r="136" spans="1:44" s="37" customFormat="1" ht="13.2" x14ac:dyDescent="0.25">
      <c r="A136" s="77"/>
      <c r="AR136" s="130"/>
    </row>
    <row r="137" spans="1:44" s="37" customFormat="1" ht="13.2" x14ac:dyDescent="0.25">
      <c r="A137" s="77"/>
      <c r="AR137" s="130"/>
    </row>
    <row r="138" spans="1:44" s="37" customFormat="1" ht="13.2" x14ac:dyDescent="0.25">
      <c r="A138" s="77"/>
      <c r="AR138" s="130"/>
    </row>
    <row r="139" spans="1:44" s="37" customFormat="1" ht="13.2" x14ac:dyDescent="0.25">
      <c r="A139" s="77"/>
      <c r="AR139" s="130"/>
    </row>
    <row r="140" spans="1:44" s="37" customFormat="1" ht="13.2" x14ac:dyDescent="0.25">
      <c r="A140" s="77"/>
      <c r="AR140" s="130"/>
    </row>
    <row r="141" spans="1:44" s="37" customFormat="1" ht="13.2" x14ac:dyDescent="0.25">
      <c r="A141" s="77"/>
      <c r="AR141" s="130"/>
    </row>
    <row r="142" spans="1:44" s="37" customFormat="1" ht="13.2" x14ac:dyDescent="0.25">
      <c r="A142" s="77"/>
      <c r="AR142" s="130"/>
    </row>
    <row r="143" spans="1:44" s="37" customFormat="1" ht="13.2" x14ac:dyDescent="0.25">
      <c r="A143" s="77"/>
      <c r="AR143" s="130"/>
    </row>
    <row r="144" spans="1:44" s="37" customFormat="1" ht="13.2" x14ac:dyDescent="0.25">
      <c r="A144" s="77"/>
      <c r="AR144" s="130"/>
    </row>
    <row r="145" spans="1:44" s="37" customFormat="1" ht="13.2" x14ac:dyDescent="0.25">
      <c r="A145" s="77"/>
      <c r="AR145" s="130"/>
    </row>
    <row r="146" spans="1:44" s="37" customFormat="1" ht="13.2" x14ac:dyDescent="0.25">
      <c r="A146" s="77"/>
      <c r="AR146" s="130"/>
    </row>
    <row r="147" spans="1:44" s="37" customFormat="1" ht="13.2" x14ac:dyDescent="0.25">
      <c r="A147" s="77"/>
      <c r="AR147" s="130"/>
    </row>
    <row r="148" spans="1:44" s="37" customFormat="1" ht="13.2" x14ac:dyDescent="0.25">
      <c r="A148" s="77"/>
      <c r="AR148" s="130"/>
    </row>
    <row r="149" spans="1:44" s="37" customFormat="1" ht="13.2" x14ac:dyDescent="0.25">
      <c r="A149" s="77"/>
      <c r="AR149" s="130"/>
    </row>
    <row r="150" spans="1:44" s="37" customFormat="1" ht="13.2" x14ac:dyDescent="0.25">
      <c r="A150" s="77"/>
      <c r="AR150" s="130"/>
    </row>
    <row r="151" spans="1:44" s="37" customFormat="1" ht="13.2" x14ac:dyDescent="0.25">
      <c r="A151" s="77"/>
      <c r="AR151" s="130"/>
    </row>
    <row r="152" spans="1:44" s="37" customFormat="1" ht="13.2" x14ac:dyDescent="0.25">
      <c r="A152" s="77"/>
      <c r="AR152" s="130"/>
    </row>
    <row r="153" spans="1:44" s="37" customFormat="1" ht="13.2" x14ac:dyDescent="0.25">
      <c r="A153" s="77"/>
      <c r="AR153" s="130"/>
    </row>
    <row r="154" spans="1:44" s="37" customFormat="1" ht="13.2" x14ac:dyDescent="0.25">
      <c r="A154" s="77"/>
      <c r="AR154" s="130"/>
    </row>
    <row r="155" spans="1:44" s="37" customFormat="1" ht="13.2" x14ac:dyDescent="0.25">
      <c r="A155" s="77"/>
      <c r="AR155" s="130"/>
    </row>
    <row r="156" spans="1:44" s="37" customFormat="1" ht="13.2" x14ac:dyDescent="0.25">
      <c r="A156" s="77"/>
      <c r="AR156" s="130"/>
    </row>
    <row r="157" spans="1:44" s="37" customFormat="1" ht="13.2" x14ac:dyDescent="0.25">
      <c r="A157" s="77"/>
      <c r="AR157" s="130"/>
    </row>
    <row r="158" spans="1:44" s="37" customFormat="1" ht="13.2" x14ac:dyDescent="0.25">
      <c r="A158" s="77"/>
      <c r="AR158" s="130"/>
    </row>
    <row r="159" spans="1:44" s="37" customFormat="1" ht="13.2" x14ac:dyDescent="0.25">
      <c r="A159" s="77"/>
      <c r="AR159" s="130"/>
    </row>
    <row r="160" spans="1:44" s="37" customFormat="1" ht="13.2" x14ac:dyDescent="0.25">
      <c r="A160" s="77"/>
      <c r="AR160" s="130"/>
    </row>
    <row r="161" spans="1:44" s="37" customFormat="1" ht="13.2" x14ac:dyDescent="0.25">
      <c r="A161" s="77"/>
      <c r="AR161" s="130"/>
    </row>
    <row r="162" spans="1:44" s="37" customFormat="1" ht="13.2" x14ac:dyDescent="0.25">
      <c r="A162" s="77"/>
      <c r="AR162" s="130"/>
    </row>
    <row r="163" spans="1:44" s="37" customFormat="1" ht="13.2" x14ac:dyDescent="0.25">
      <c r="A163" s="77"/>
      <c r="AR163" s="130"/>
    </row>
    <row r="164" spans="1:44" s="37" customFormat="1" ht="13.2" x14ac:dyDescent="0.25">
      <c r="A164" s="77"/>
      <c r="AR164" s="130"/>
    </row>
    <row r="165" spans="1:44" s="37" customFormat="1" ht="13.2" x14ac:dyDescent="0.25">
      <c r="A165" s="77"/>
      <c r="AR165" s="130"/>
    </row>
    <row r="166" spans="1:44" s="37" customFormat="1" ht="13.2" x14ac:dyDescent="0.25">
      <c r="A166" s="77"/>
      <c r="AR166" s="130"/>
    </row>
    <row r="167" spans="1:44" s="37" customFormat="1" ht="13.2" x14ac:dyDescent="0.25">
      <c r="A167" s="77"/>
      <c r="AR167" s="130"/>
    </row>
    <row r="168" spans="1:44" s="37" customFormat="1" ht="13.2" x14ac:dyDescent="0.25">
      <c r="A168" s="77"/>
      <c r="AR168" s="130"/>
    </row>
    <row r="169" spans="1:44" s="37" customFormat="1" ht="13.2" x14ac:dyDescent="0.25">
      <c r="A169" s="77"/>
      <c r="AR169" s="130"/>
    </row>
    <row r="170" spans="1:44" s="37" customFormat="1" ht="13.2" x14ac:dyDescent="0.25">
      <c r="A170" s="77"/>
      <c r="AR170" s="130"/>
    </row>
    <row r="171" spans="1:44" s="37" customFormat="1" ht="13.2" x14ac:dyDescent="0.25">
      <c r="A171" s="77"/>
      <c r="AR171" s="130"/>
    </row>
    <row r="172" spans="1:44" s="37" customFormat="1" ht="13.2" x14ac:dyDescent="0.25">
      <c r="A172" s="77"/>
      <c r="AR172" s="130"/>
    </row>
    <row r="173" spans="1:44" s="37" customFormat="1" ht="13.2" x14ac:dyDescent="0.25">
      <c r="A173" s="77"/>
      <c r="AR173" s="130"/>
    </row>
    <row r="174" spans="1:44" s="37" customFormat="1" ht="13.2" x14ac:dyDescent="0.25">
      <c r="A174" s="77"/>
      <c r="AR174" s="130"/>
    </row>
    <row r="175" spans="1:44" s="37" customFormat="1" ht="13.2" x14ac:dyDescent="0.25">
      <c r="A175" s="77"/>
      <c r="AR175" s="130"/>
    </row>
    <row r="176" spans="1:44" s="37" customFormat="1" ht="13.2" x14ac:dyDescent="0.25">
      <c r="A176" s="77"/>
      <c r="AR176" s="130"/>
    </row>
    <row r="177" spans="1:44" s="37" customFormat="1" ht="13.2" x14ac:dyDescent="0.25">
      <c r="A177" s="77"/>
      <c r="AR177" s="130"/>
    </row>
    <row r="178" spans="1:44" s="37" customFormat="1" ht="13.2" x14ac:dyDescent="0.25">
      <c r="A178" s="77"/>
      <c r="AR178" s="130"/>
    </row>
    <row r="179" spans="1:44" s="37" customFormat="1" ht="13.2" x14ac:dyDescent="0.25">
      <c r="A179" s="77"/>
      <c r="AR179" s="130"/>
    </row>
    <row r="180" spans="1:44" s="37" customFormat="1" ht="13.2" x14ac:dyDescent="0.25">
      <c r="A180" s="77"/>
      <c r="AR180" s="130"/>
    </row>
    <row r="181" spans="1:44" s="37" customFormat="1" ht="13.2" x14ac:dyDescent="0.25">
      <c r="A181" s="77"/>
      <c r="AR181" s="130"/>
    </row>
    <row r="182" spans="1:44" s="37" customFormat="1" ht="13.2" x14ac:dyDescent="0.25">
      <c r="A182" s="77"/>
      <c r="AR182" s="130"/>
    </row>
    <row r="183" spans="1:44" s="37" customFormat="1" ht="13.2" x14ac:dyDescent="0.25">
      <c r="A183" s="77"/>
      <c r="AR183" s="130"/>
    </row>
    <row r="184" spans="1:44" s="37" customFormat="1" ht="13.2" x14ac:dyDescent="0.25">
      <c r="A184" s="77"/>
      <c r="AR184" s="130"/>
    </row>
    <row r="185" spans="1:44" s="37" customFormat="1" ht="13.2" x14ac:dyDescent="0.25">
      <c r="A185" s="77"/>
      <c r="AR185" s="130"/>
    </row>
    <row r="186" spans="1:44" s="37" customFormat="1" ht="13.2" x14ac:dyDescent="0.25">
      <c r="A186" s="77"/>
      <c r="AR186" s="130"/>
    </row>
    <row r="187" spans="1:44" s="37" customFormat="1" ht="13.2" x14ac:dyDescent="0.25">
      <c r="A187" s="77"/>
      <c r="AR187" s="130"/>
    </row>
    <row r="188" spans="1:44" s="37" customFormat="1" ht="13.2" x14ac:dyDescent="0.25">
      <c r="A188" s="77"/>
      <c r="AR188" s="130"/>
    </row>
    <row r="189" spans="1:44" s="37" customFormat="1" ht="13.2" x14ac:dyDescent="0.25">
      <c r="A189" s="77"/>
      <c r="AR189" s="130"/>
    </row>
    <row r="190" spans="1:44" s="37" customFormat="1" ht="13.2" x14ac:dyDescent="0.25">
      <c r="A190" s="77"/>
      <c r="AR190" s="130"/>
    </row>
    <row r="191" spans="1:44" s="37" customFormat="1" ht="13.2" x14ac:dyDescent="0.25">
      <c r="A191" s="77"/>
      <c r="AR191" s="130"/>
    </row>
    <row r="192" spans="1:44" s="37" customFormat="1" ht="13.2" x14ac:dyDescent="0.25">
      <c r="A192" s="77"/>
      <c r="AR192" s="130"/>
    </row>
    <row r="193" spans="1:44" s="37" customFormat="1" ht="13.2" x14ac:dyDescent="0.25">
      <c r="A193" s="77"/>
      <c r="AR193" s="130"/>
    </row>
    <row r="194" spans="1:44" s="37" customFormat="1" ht="13.2" x14ac:dyDescent="0.25">
      <c r="A194" s="77"/>
      <c r="AR194" s="130"/>
    </row>
    <row r="195" spans="1:44" s="37" customFormat="1" ht="13.2" x14ac:dyDescent="0.25">
      <c r="A195" s="77"/>
      <c r="AR195" s="130"/>
    </row>
    <row r="196" spans="1:44" s="37" customFormat="1" ht="13.2" x14ac:dyDescent="0.25">
      <c r="A196" s="77"/>
      <c r="AR196" s="130"/>
    </row>
    <row r="197" spans="1:44" s="37" customFormat="1" ht="13.2" x14ac:dyDescent="0.25">
      <c r="A197" s="77"/>
      <c r="AR197" s="130"/>
    </row>
    <row r="198" spans="1:44" s="37" customFormat="1" ht="13.2" x14ac:dyDescent="0.25">
      <c r="A198" s="77"/>
      <c r="AR198" s="130"/>
    </row>
    <row r="199" spans="1:44" s="37" customFormat="1" ht="13.2" x14ac:dyDescent="0.25">
      <c r="A199" s="77"/>
      <c r="AR199" s="130"/>
    </row>
    <row r="200" spans="1:44" s="37" customFormat="1" ht="13.2" x14ac:dyDescent="0.25">
      <c r="A200" s="77"/>
      <c r="AR200" s="130"/>
    </row>
    <row r="201" spans="1:44" s="37" customFormat="1" ht="13.2" x14ac:dyDescent="0.25">
      <c r="A201" s="77"/>
      <c r="AR201" s="130"/>
    </row>
    <row r="202" spans="1:44" s="37" customFormat="1" ht="13.2" x14ac:dyDescent="0.25">
      <c r="A202" s="77"/>
      <c r="AR202" s="130"/>
    </row>
    <row r="203" spans="1:44" s="37" customFormat="1" ht="13.2" x14ac:dyDescent="0.25">
      <c r="A203" s="77"/>
      <c r="AR203" s="130"/>
    </row>
    <row r="204" spans="1:44" s="37" customFormat="1" ht="13.2" x14ac:dyDescent="0.25">
      <c r="A204" s="77"/>
      <c r="AR204" s="130"/>
    </row>
    <row r="205" spans="1:44" s="37" customFormat="1" ht="13.2" x14ac:dyDescent="0.25">
      <c r="A205" s="77"/>
      <c r="AR205" s="130"/>
    </row>
    <row r="206" spans="1:44" s="37" customFormat="1" ht="13.2" x14ac:dyDescent="0.25">
      <c r="A206" s="77"/>
      <c r="AR206" s="130"/>
    </row>
    <row r="207" spans="1:44" s="37" customFormat="1" ht="13.2" x14ac:dyDescent="0.25">
      <c r="A207" s="77"/>
      <c r="AR207" s="130"/>
    </row>
    <row r="208" spans="1:44" s="37" customFormat="1" ht="13.2" x14ac:dyDescent="0.25">
      <c r="A208" s="77"/>
      <c r="AR208" s="130"/>
    </row>
    <row r="209" spans="1:44" s="37" customFormat="1" ht="13.2" x14ac:dyDescent="0.25">
      <c r="A209" s="77"/>
      <c r="AR209" s="130"/>
    </row>
    <row r="210" spans="1:44" s="37" customFormat="1" ht="13.2" x14ac:dyDescent="0.25">
      <c r="A210" s="77"/>
      <c r="AR210" s="130"/>
    </row>
    <row r="211" spans="1:44" s="37" customFormat="1" ht="13.2" x14ac:dyDescent="0.25">
      <c r="A211" s="77"/>
      <c r="AR211" s="130"/>
    </row>
    <row r="212" spans="1:44" s="37" customFormat="1" ht="13.2" x14ac:dyDescent="0.25">
      <c r="A212" s="77"/>
      <c r="AR212" s="130"/>
    </row>
    <row r="213" spans="1:44" s="37" customFormat="1" ht="13.2" x14ac:dyDescent="0.25">
      <c r="A213" s="77"/>
      <c r="AR213" s="130"/>
    </row>
    <row r="214" spans="1:44" s="37" customFormat="1" ht="13.2" x14ac:dyDescent="0.25">
      <c r="A214" s="77"/>
      <c r="AR214" s="130"/>
    </row>
    <row r="215" spans="1:44" s="37" customFormat="1" ht="13.2" x14ac:dyDescent="0.25">
      <c r="A215" s="77"/>
      <c r="AR215" s="130"/>
    </row>
    <row r="216" spans="1:44" s="37" customFormat="1" ht="13.2" x14ac:dyDescent="0.25">
      <c r="A216" s="77"/>
      <c r="AR216" s="130"/>
    </row>
    <row r="217" spans="1:44" s="37" customFormat="1" ht="13.2" x14ac:dyDescent="0.25">
      <c r="A217" s="77"/>
      <c r="AR217" s="130"/>
    </row>
    <row r="218" spans="1:44" s="37" customFormat="1" ht="13.2" x14ac:dyDescent="0.25">
      <c r="A218" s="77"/>
      <c r="AR218" s="130"/>
    </row>
    <row r="219" spans="1:44" s="37" customFormat="1" ht="13.2" x14ac:dyDescent="0.25">
      <c r="A219" s="77"/>
      <c r="AR219" s="130"/>
    </row>
    <row r="220" spans="1:44" s="37" customFormat="1" ht="13.2" x14ac:dyDescent="0.25">
      <c r="A220" s="77"/>
      <c r="AR220" s="130"/>
    </row>
    <row r="221" spans="1:44" s="37" customFormat="1" ht="13.2" x14ac:dyDescent="0.25">
      <c r="A221" s="77"/>
      <c r="AR221" s="130"/>
    </row>
    <row r="222" spans="1:44" s="37" customFormat="1" ht="13.2" x14ac:dyDescent="0.25">
      <c r="A222" s="77"/>
      <c r="AR222" s="130"/>
    </row>
    <row r="223" spans="1:44" s="37" customFormat="1" ht="13.2" x14ac:dyDescent="0.25">
      <c r="A223" s="77"/>
      <c r="AR223" s="130"/>
    </row>
    <row r="224" spans="1:44" s="37" customFormat="1" ht="13.2" x14ac:dyDescent="0.25">
      <c r="A224" s="77"/>
      <c r="AR224" s="130"/>
    </row>
    <row r="225" spans="1:44" s="37" customFormat="1" ht="13.2" x14ac:dyDescent="0.25">
      <c r="A225" s="77"/>
      <c r="AR225" s="130"/>
    </row>
    <row r="226" spans="1:44" s="37" customFormat="1" ht="13.2" x14ac:dyDescent="0.25">
      <c r="A226" s="77"/>
      <c r="AR226" s="130"/>
    </row>
    <row r="227" spans="1:44" s="37" customFormat="1" ht="13.2" x14ac:dyDescent="0.25">
      <c r="A227" s="77"/>
      <c r="AR227" s="130"/>
    </row>
    <row r="228" spans="1:44" s="37" customFormat="1" ht="13.2" x14ac:dyDescent="0.25">
      <c r="A228" s="77"/>
      <c r="AR228" s="130"/>
    </row>
    <row r="229" spans="1:44" s="37" customFormat="1" ht="13.2" x14ac:dyDescent="0.25">
      <c r="A229" s="77"/>
      <c r="AR229" s="130"/>
    </row>
    <row r="230" spans="1:44" s="37" customFormat="1" ht="13.2" x14ac:dyDescent="0.25">
      <c r="A230" s="77"/>
      <c r="AR230" s="130"/>
    </row>
    <row r="231" spans="1:44" s="37" customFormat="1" ht="13.2" x14ac:dyDescent="0.25">
      <c r="A231" s="77"/>
      <c r="AR231" s="130"/>
    </row>
    <row r="232" spans="1:44" s="37" customFormat="1" ht="13.2" x14ac:dyDescent="0.25">
      <c r="A232" s="77"/>
      <c r="AR232" s="130"/>
    </row>
    <row r="233" spans="1:44" s="37" customFormat="1" ht="13.2" x14ac:dyDescent="0.25">
      <c r="A233" s="77"/>
      <c r="AR233" s="130"/>
    </row>
    <row r="234" spans="1:44" s="37" customFormat="1" ht="13.2" x14ac:dyDescent="0.25">
      <c r="A234" s="77"/>
      <c r="AR234" s="130"/>
    </row>
    <row r="235" spans="1:44" s="37" customFormat="1" ht="13.2" x14ac:dyDescent="0.25">
      <c r="A235" s="77"/>
      <c r="AR235" s="130"/>
    </row>
    <row r="236" spans="1:44" s="37" customFormat="1" ht="13.2" x14ac:dyDescent="0.25">
      <c r="A236" s="77"/>
      <c r="AR236" s="130"/>
    </row>
    <row r="237" spans="1:44" s="37" customFormat="1" ht="13.2" x14ac:dyDescent="0.25">
      <c r="A237" s="77"/>
      <c r="AR237" s="130"/>
    </row>
    <row r="238" spans="1:44" s="37" customFormat="1" ht="13.2" x14ac:dyDescent="0.25">
      <c r="A238" s="77"/>
      <c r="AR238" s="130"/>
    </row>
    <row r="239" spans="1:44" s="37" customFormat="1" ht="13.2" x14ac:dyDescent="0.25">
      <c r="A239" s="77"/>
      <c r="AR239" s="130"/>
    </row>
    <row r="240" spans="1:44" s="37" customFormat="1" ht="13.2" x14ac:dyDescent="0.25">
      <c r="A240" s="77"/>
      <c r="AR240" s="130"/>
    </row>
    <row r="241" spans="1:44" s="37" customFormat="1" ht="13.2" x14ac:dyDescent="0.25">
      <c r="A241" s="77"/>
      <c r="AR241" s="130"/>
    </row>
    <row r="242" spans="1:44" s="37" customFormat="1" ht="13.2" x14ac:dyDescent="0.25">
      <c r="A242" s="77"/>
      <c r="AR242" s="130"/>
    </row>
    <row r="243" spans="1:44" s="37" customFormat="1" ht="13.2" x14ac:dyDescent="0.25">
      <c r="A243" s="77"/>
      <c r="AR243" s="130"/>
    </row>
    <row r="244" spans="1:44" s="37" customFormat="1" ht="13.2" x14ac:dyDescent="0.25">
      <c r="A244" s="77"/>
      <c r="AR244" s="130"/>
    </row>
    <row r="245" spans="1:44" s="37" customFormat="1" ht="13.2" x14ac:dyDescent="0.25">
      <c r="A245" s="77"/>
      <c r="AR245" s="130"/>
    </row>
    <row r="246" spans="1:44" s="37" customFormat="1" ht="13.2" x14ac:dyDescent="0.25">
      <c r="A246" s="77"/>
      <c r="AR246" s="130"/>
    </row>
    <row r="247" spans="1:44" s="37" customFormat="1" ht="13.2" x14ac:dyDescent="0.25">
      <c r="A247" s="77"/>
      <c r="AR247" s="130"/>
    </row>
    <row r="248" spans="1:44" s="37" customFormat="1" ht="13.2" x14ac:dyDescent="0.25">
      <c r="A248" s="77"/>
      <c r="AR248" s="130"/>
    </row>
    <row r="249" spans="1:44" s="37" customFormat="1" ht="13.2" x14ac:dyDescent="0.25">
      <c r="A249" s="77"/>
      <c r="AR249" s="130"/>
    </row>
    <row r="250" spans="1:44" s="37" customFormat="1" ht="13.2" x14ac:dyDescent="0.25">
      <c r="A250" s="77"/>
      <c r="AR250" s="130"/>
    </row>
    <row r="251" spans="1:44" s="37" customFormat="1" ht="13.2" x14ac:dyDescent="0.25">
      <c r="A251" s="77"/>
      <c r="AR251" s="130"/>
    </row>
    <row r="252" spans="1:44" s="37" customFormat="1" ht="13.2" x14ac:dyDescent="0.25">
      <c r="A252" s="77"/>
      <c r="AR252" s="130"/>
    </row>
    <row r="253" spans="1:44" s="37" customFormat="1" ht="13.2" x14ac:dyDescent="0.25">
      <c r="A253" s="77"/>
      <c r="AR253" s="130"/>
    </row>
    <row r="254" spans="1:44" s="37" customFormat="1" ht="13.2" x14ac:dyDescent="0.25">
      <c r="A254" s="77"/>
      <c r="AR254" s="130"/>
    </row>
    <row r="255" spans="1:44" s="37" customFormat="1" ht="13.2" x14ac:dyDescent="0.25">
      <c r="A255" s="77"/>
      <c r="AR255" s="130"/>
    </row>
    <row r="256" spans="1:44" s="37" customFormat="1" ht="13.2" x14ac:dyDescent="0.25">
      <c r="A256" s="77"/>
      <c r="AR256" s="130"/>
    </row>
    <row r="257" spans="1:44" s="37" customFormat="1" ht="13.2" x14ac:dyDescent="0.25">
      <c r="A257" s="77"/>
      <c r="AR257" s="130"/>
    </row>
    <row r="258" spans="1:44" s="37" customFormat="1" ht="13.2" x14ac:dyDescent="0.25">
      <c r="A258" s="77"/>
      <c r="AR258" s="130"/>
    </row>
    <row r="259" spans="1:44" s="37" customFormat="1" ht="13.2" x14ac:dyDescent="0.25">
      <c r="A259" s="77"/>
      <c r="AR259" s="130"/>
    </row>
    <row r="260" spans="1:44" s="37" customFormat="1" ht="13.2" x14ac:dyDescent="0.25">
      <c r="A260" s="77"/>
      <c r="AR260" s="130"/>
    </row>
    <row r="261" spans="1:44" s="37" customFormat="1" ht="13.2" x14ac:dyDescent="0.25">
      <c r="A261" s="77"/>
      <c r="AR261" s="130"/>
    </row>
    <row r="262" spans="1:44" s="37" customFormat="1" ht="13.2" x14ac:dyDescent="0.25">
      <c r="A262" s="77"/>
      <c r="AR262" s="130"/>
    </row>
    <row r="263" spans="1:44" s="37" customFormat="1" ht="13.2" x14ac:dyDescent="0.25">
      <c r="A263" s="77"/>
      <c r="AR263" s="130"/>
    </row>
    <row r="264" spans="1:44" s="37" customFormat="1" ht="13.2" x14ac:dyDescent="0.25">
      <c r="A264" s="77"/>
      <c r="AR264" s="130"/>
    </row>
    <row r="265" spans="1:44" s="37" customFormat="1" ht="13.2" x14ac:dyDescent="0.25">
      <c r="A265" s="77"/>
      <c r="AR265" s="130"/>
    </row>
    <row r="266" spans="1:44" s="37" customFormat="1" ht="13.2" x14ac:dyDescent="0.25">
      <c r="A266" s="77"/>
      <c r="AR266" s="130"/>
    </row>
    <row r="267" spans="1:44" s="37" customFormat="1" ht="13.2" x14ac:dyDescent="0.25">
      <c r="A267" s="77"/>
      <c r="AR267" s="130"/>
    </row>
    <row r="268" spans="1:44" s="37" customFormat="1" ht="13.2" x14ac:dyDescent="0.25">
      <c r="A268" s="77"/>
      <c r="AR268" s="130"/>
    </row>
    <row r="269" spans="1:44" s="37" customFormat="1" ht="13.2" x14ac:dyDescent="0.25">
      <c r="A269" s="77"/>
      <c r="AR269" s="130"/>
    </row>
    <row r="270" spans="1:44" s="37" customFormat="1" ht="13.2" x14ac:dyDescent="0.25">
      <c r="A270" s="77"/>
      <c r="AR270" s="130"/>
    </row>
    <row r="271" spans="1:44" s="37" customFormat="1" ht="13.2" x14ac:dyDescent="0.25">
      <c r="A271" s="77"/>
      <c r="AR271" s="130"/>
    </row>
    <row r="272" spans="1:44" s="37" customFormat="1" ht="13.2" x14ac:dyDescent="0.25">
      <c r="A272" s="77"/>
      <c r="AR272" s="130"/>
    </row>
    <row r="273" spans="1:44" s="37" customFormat="1" ht="13.2" x14ac:dyDescent="0.25">
      <c r="A273" s="77"/>
      <c r="AR273" s="130"/>
    </row>
    <row r="274" spans="1:44" s="37" customFormat="1" ht="13.2" x14ac:dyDescent="0.25">
      <c r="A274" s="77"/>
      <c r="AR274" s="130"/>
    </row>
    <row r="275" spans="1:44" s="37" customFormat="1" ht="13.2" x14ac:dyDescent="0.25">
      <c r="A275" s="77"/>
      <c r="AR275" s="130"/>
    </row>
    <row r="276" spans="1:44" s="37" customFormat="1" ht="13.2" x14ac:dyDescent="0.25">
      <c r="A276" s="77"/>
      <c r="AR276" s="130"/>
    </row>
    <row r="277" spans="1:44" s="37" customFormat="1" ht="13.2" x14ac:dyDescent="0.25">
      <c r="A277" s="77"/>
      <c r="AR277" s="130"/>
    </row>
    <row r="278" spans="1:44" s="37" customFormat="1" ht="13.2" x14ac:dyDescent="0.25">
      <c r="A278" s="77"/>
      <c r="AR278" s="130"/>
    </row>
    <row r="279" spans="1:44" s="37" customFormat="1" ht="13.2" x14ac:dyDescent="0.25">
      <c r="A279" s="77"/>
      <c r="AR279" s="130"/>
    </row>
    <row r="280" spans="1:44" s="37" customFormat="1" ht="13.2" x14ac:dyDescent="0.25">
      <c r="A280" s="77"/>
      <c r="AR280" s="130"/>
    </row>
    <row r="281" spans="1:44" s="37" customFormat="1" ht="13.2" x14ac:dyDescent="0.25">
      <c r="A281" s="77"/>
      <c r="AR281" s="130"/>
    </row>
    <row r="282" spans="1:44" s="37" customFormat="1" ht="13.2" x14ac:dyDescent="0.25">
      <c r="A282" s="77"/>
      <c r="AR282" s="130"/>
    </row>
    <row r="283" spans="1:44" s="37" customFormat="1" ht="13.2" x14ac:dyDescent="0.25">
      <c r="A283" s="77"/>
      <c r="AR283" s="130"/>
    </row>
    <row r="284" spans="1:44" s="37" customFormat="1" ht="13.2" x14ac:dyDescent="0.25">
      <c r="A284" s="77"/>
      <c r="AR284" s="130"/>
    </row>
    <row r="285" spans="1:44" s="37" customFormat="1" ht="13.2" x14ac:dyDescent="0.25">
      <c r="A285" s="77"/>
      <c r="AR285" s="130"/>
    </row>
    <row r="286" spans="1:44" s="37" customFormat="1" ht="13.2" x14ac:dyDescent="0.25">
      <c r="A286" s="77"/>
      <c r="AR286" s="130"/>
    </row>
    <row r="287" spans="1:44" s="37" customFormat="1" ht="13.2" x14ac:dyDescent="0.25">
      <c r="A287" s="77"/>
      <c r="AR287" s="130"/>
    </row>
    <row r="288" spans="1:44" s="37" customFormat="1" ht="13.2" x14ac:dyDescent="0.25">
      <c r="A288" s="77"/>
      <c r="AR288" s="130"/>
    </row>
    <row r="289" spans="1:44" s="37" customFormat="1" ht="13.2" x14ac:dyDescent="0.25">
      <c r="A289" s="77"/>
      <c r="AR289" s="130"/>
    </row>
    <row r="290" spans="1:44" s="37" customFormat="1" ht="13.2" x14ac:dyDescent="0.25">
      <c r="A290" s="77"/>
      <c r="AR290" s="130"/>
    </row>
    <row r="291" spans="1:44" s="37" customFormat="1" ht="13.2" x14ac:dyDescent="0.25">
      <c r="A291" s="77"/>
      <c r="AR291" s="130"/>
    </row>
    <row r="292" spans="1:44" s="37" customFormat="1" ht="13.2" x14ac:dyDescent="0.25">
      <c r="A292" s="77"/>
      <c r="AR292" s="130"/>
    </row>
    <row r="293" spans="1:44" s="37" customFormat="1" ht="13.2" x14ac:dyDescent="0.25">
      <c r="A293" s="77"/>
      <c r="AR293" s="130"/>
    </row>
    <row r="294" spans="1:44" s="37" customFormat="1" ht="13.2" x14ac:dyDescent="0.25">
      <c r="A294" s="77"/>
      <c r="AR294" s="130"/>
    </row>
    <row r="295" spans="1:44" s="37" customFormat="1" ht="13.2" x14ac:dyDescent="0.25">
      <c r="A295" s="77"/>
      <c r="AR295" s="130"/>
    </row>
    <row r="296" spans="1:44" s="37" customFormat="1" ht="13.2" x14ac:dyDescent="0.25">
      <c r="A296" s="77"/>
      <c r="AR296" s="130"/>
    </row>
    <row r="297" spans="1:44" s="37" customFormat="1" ht="13.2" x14ac:dyDescent="0.25">
      <c r="A297" s="77"/>
      <c r="AR297" s="130"/>
    </row>
    <row r="298" spans="1:44" s="37" customFormat="1" ht="13.2" x14ac:dyDescent="0.25">
      <c r="A298" s="77"/>
      <c r="AR298" s="130"/>
    </row>
    <row r="299" spans="1:44" s="37" customFormat="1" ht="13.2" x14ac:dyDescent="0.25">
      <c r="A299" s="77"/>
      <c r="AR299" s="130"/>
    </row>
    <row r="300" spans="1:44" s="37" customFormat="1" ht="13.2" x14ac:dyDescent="0.25">
      <c r="A300" s="77"/>
      <c r="AR300" s="130"/>
    </row>
    <row r="301" spans="1:44" s="37" customFormat="1" ht="13.2" x14ac:dyDescent="0.25">
      <c r="A301" s="77"/>
      <c r="AR301" s="130"/>
    </row>
    <row r="302" spans="1:44" s="37" customFormat="1" ht="13.2" x14ac:dyDescent="0.25">
      <c r="A302" s="77"/>
      <c r="AR302" s="130"/>
    </row>
    <row r="303" spans="1:44" s="37" customFormat="1" ht="13.2" x14ac:dyDescent="0.25">
      <c r="A303" s="77"/>
      <c r="AR303" s="130"/>
    </row>
    <row r="304" spans="1:44" s="37" customFormat="1" ht="13.2" x14ac:dyDescent="0.25">
      <c r="A304" s="77"/>
      <c r="AR304" s="130"/>
    </row>
    <row r="305" spans="1:44" s="37" customFormat="1" ht="13.2" x14ac:dyDescent="0.25">
      <c r="A305" s="77"/>
      <c r="AR305" s="130"/>
    </row>
    <row r="306" spans="1:44" s="37" customFormat="1" ht="13.2" x14ac:dyDescent="0.25">
      <c r="A306" s="77"/>
      <c r="AR306" s="130"/>
    </row>
    <row r="307" spans="1:44" s="37" customFormat="1" ht="13.2" x14ac:dyDescent="0.25">
      <c r="A307" s="77"/>
      <c r="AR307" s="130"/>
    </row>
    <row r="308" spans="1:44" s="37" customFormat="1" ht="13.2" x14ac:dyDescent="0.25">
      <c r="A308" s="77"/>
      <c r="AR308" s="130"/>
    </row>
    <row r="309" spans="1:44" s="37" customFormat="1" ht="13.2" x14ac:dyDescent="0.25">
      <c r="A309" s="77"/>
      <c r="AR309" s="130"/>
    </row>
    <row r="310" spans="1:44" s="37" customFormat="1" ht="13.2" x14ac:dyDescent="0.25">
      <c r="A310" s="77"/>
      <c r="AR310" s="130"/>
    </row>
    <row r="311" spans="1:44" s="37" customFormat="1" ht="13.2" x14ac:dyDescent="0.25">
      <c r="A311" s="77"/>
      <c r="AR311" s="130"/>
    </row>
    <row r="312" spans="1:44" s="37" customFormat="1" ht="13.2" x14ac:dyDescent="0.25">
      <c r="A312" s="77"/>
      <c r="AR312" s="130"/>
    </row>
    <row r="313" spans="1:44" s="37" customFormat="1" ht="13.2" x14ac:dyDescent="0.25">
      <c r="A313" s="77"/>
      <c r="AR313" s="130"/>
    </row>
    <row r="314" spans="1:44" s="37" customFormat="1" ht="13.2" x14ac:dyDescent="0.25">
      <c r="A314" s="77"/>
      <c r="AR314" s="130"/>
    </row>
    <row r="315" spans="1:44" s="37" customFormat="1" ht="13.2" x14ac:dyDescent="0.25">
      <c r="A315" s="77"/>
      <c r="AR315" s="130"/>
    </row>
    <row r="316" spans="1:44" s="37" customFormat="1" ht="13.2" x14ac:dyDescent="0.25">
      <c r="A316" s="77"/>
      <c r="AR316" s="130"/>
    </row>
    <row r="317" spans="1:44" s="37" customFormat="1" ht="13.2" x14ac:dyDescent="0.25">
      <c r="A317" s="77"/>
      <c r="AR317" s="130"/>
    </row>
    <row r="318" spans="1:44" s="37" customFormat="1" ht="13.2" x14ac:dyDescent="0.25">
      <c r="A318" s="77"/>
      <c r="AR318" s="130"/>
    </row>
    <row r="319" spans="1:44" s="37" customFormat="1" ht="13.2" x14ac:dyDescent="0.25">
      <c r="A319" s="77"/>
      <c r="AR319" s="130"/>
    </row>
    <row r="320" spans="1:44" s="37" customFormat="1" ht="13.2" x14ac:dyDescent="0.25">
      <c r="A320" s="77"/>
      <c r="AR320" s="130"/>
    </row>
    <row r="321" spans="1:44" s="37" customFormat="1" ht="13.2" x14ac:dyDescent="0.25">
      <c r="A321" s="77"/>
      <c r="AR321" s="130"/>
    </row>
    <row r="322" spans="1:44" s="37" customFormat="1" ht="13.2" x14ac:dyDescent="0.25">
      <c r="A322" s="77"/>
      <c r="AR322" s="130"/>
    </row>
    <row r="323" spans="1:44" s="37" customFormat="1" ht="13.2" x14ac:dyDescent="0.25">
      <c r="A323" s="77"/>
      <c r="AR323" s="130"/>
    </row>
    <row r="324" spans="1:44" s="37" customFormat="1" ht="13.2" x14ac:dyDescent="0.25">
      <c r="A324" s="77"/>
      <c r="AR324" s="130"/>
    </row>
    <row r="325" spans="1:44" s="37" customFormat="1" ht="13.2" x14ac:dyDescent="0.25">
      <c r="A325" s="77"/>
      <c r="AR325" s="130"/>
    </row>
    <row r="326" spans="1:44" s="37" customFormat="1" ht="13.2" x14ac:dyDescent="0.25">
      <c r="A326" s="77"/>
      <c r="AR326" s="130"/>
    </row>
    <row r="327" spans="1:44" s="37" customFormat="1" ht="13.2" x14ac:dyDescent="0.25">
      <c r="A327" s="77"/>
      <c r="AR327" s="130"/>
    </row>
    <row r="328" spans="1:44" s="37" customFormat="1" ht="13.2" x14ac:dyDescent="0.25">
      <c r="A328" s="77"/>
      <c r="AR328" s="130"/>
    </row>
    <row r="329" spans="1:44" s="37" customFormat="1" ht="13.2" x14ac:dyDescent="0.25">
      <c r="A329" s="77"/>
      <c r="AR329" s="130"/>
    </row>
    <row r="330" spans="1:44" s="37" customFormat="1" ht="13.2" x14ac:dyDescent="0.25">
      <c r="A330" s="77"/>
      <c r="AR330" s="130"/>
    </row>
    <row r="331" spans="1:44" s="37" customFormat="1" ht="13.2" x14ac:dyDescent="0.25">
      <c r="A331" s="77"/>
      <c r="AR331" s="130"/>
    </row>
    <row r="332" spans="1:44" s="37" customFormat="1" ht="13.2" x14ac:dyDescent="0.25">
      <c r="A332" s="77"/>
      <c r="AR332" s="130"/>
    </row>
    <row r="333" spans="1:44" s="37" customFormat="1" ht="13.2" x14ac:dyDescent="0.25">
      <c r="A333" s="77"/>
      <c r="AR333" s="130"/>
    </row>
    <row r="334" spans="1:44" s="37" customFormat="1" ht="13.2" x14ac:dyDescent="0.25">
      <c r="A334" s="77"/>
      <c r="AR334" s="130"/>
    </row>
    <row r="335" spans="1:44" s="37" customFormat="1" ht="13.2" x14ac:dyDescent="0.25">
      <c r="A335" s="77"/>
      <c r="AR335" s="130"/>
    </row>
    <row r="336" spans="1:44" s="37" customFormat="1" ht="13.2" x14ac:dyDescent="0.25">
      <c r="A336" s="77"/>
      <c r="AR336" s="130"/>
    </row>
    <row r="337" spans="1:44" s="37" customFormat="1" ht="13.2" x14ac:dyDescent="0.25">
      <c r="A337" s="77"/>
      <c r="AR337" s="130"/>
    </row>
    <row r="338" spans="1:44" s="37" customFormat="1" ht="13.2" x14ac:dyDescent="0.25">
      <c r="A338" s="77"/>
      <c r="AR338" s="130"/>
    </row>
    <row r="339" spans="1:44" s="37" customFormat="1" ht="13.2" x14ac:dyDescent="0.25">
      <c r="A339" s="77"/>
      <c r="AR339" s="130"/>
    </row>
    <row r="340" spans="1:44" s="37" customFormat="1" ht="13.2" x14ac:dyDescent="0.25">
      <c r="A340" s="77"/>
      <c r="AR340" s="130"/>
    </row>
    <row r="341" spans="1:44" s="37" customFormat="1" ht="13.2" x14ac:dyDescent="0.25">
      <c r="A341" s="77"/>
      <c r="AR341" s="130"/>
    </row>
    <row r="342" spans="1:44" s="37" customFormat="1" ht="13.2" x14ac:dyDescent="0.25">
      <c r="A342" s="77"/>
      <c r="AR342" s="130"/>
    </row>
    <row r="343" spans="1:44" s="37" customFormat="1" ht="13.2" x14ac:dyDescent="0.25">
      <c r="A343" s="77"/>
      <c r="AR343" s="130"/>
    </row>
    <row r="344" spans="1:44" s="37" customFormat="1" ht="13.2" x14ac:dyDescent="0.25">
      <c r="A344" s="77"/>
      <c r="AR344" s="130"/>
    </row>
    <row r="345" spans="1:44" s="37" customFormat="1" ht="13.2" x14ac:dyDescent="0.25">
      <c r="A345" s="77"/>
      <c r="AR345" s="130"/>
    </row>
    <row r="346" spans="1:44" s="37" customFormat="1" ht="13.2" x14ac:dyDescent="0.25">
      <c r="A346" s="77"/>
      <c r="AR346" s="130"/>
    </row>
    <row r="347" spans="1:44" s="37" customFormat="1" ht="13.2" x14ac:dyDescent="0.25">
      <c r="A347" s="77"/>
      <c r="AR347" s="130"/>
    </row>
    <row r="348" spans="1:44" s="37" customFormat="1" ht="13.2" x14ac:dyDescent="0.25">
      <c r="A348" s="77"/>
      <c r="AR348" s="130"/>
    </row>
    <row r="349" spans="1:44" s="37" customFormat="1" ht="13.2" x14ac:dyDescent="0.25">
      <c r="A349" s="77"/>
      <c r="AR349" s="130"/>
    </row>
    <row r="350" spans="1:44" s="37" customFormat="1" ht="13.2" x14ac:dyDescent="0.25">
      <c r="A350" s="77"/>
      <c r="AR350" s="130"/>
    </row>
    <row r="351" spans="1:44" s="37" customFormat="1" ht="13.2" x14ac:dyDescent="0.25">
      <c r="A351" s="77"/>
      <c r="AR351" s="130"/>
    </row>
    <row r="352" spans="1:44" s="37" customFormat="1" ht="13.2" x14ac:dyDescent="0.25">
      <c r="A352" s="77"/>
      <c r="AR352" s="130"/>
    </row>
    <row r="353" spans="1:44" s="37" customFormat="1" ht="13.2" x14ac:dyDescent="0.25">
      <c r="A353" s="77"/>
      <c r="AR353" s="130"/>
    </row>
    <row r="354" spans="1:44" s="37" customFormat="1" ht="13.2" x14ac:dyDescent="0.25">
      <c r="A354" s="77"/>
      <c r="AR354" s="130"/>
    </row>
    <row r="355" spans="1:44" s="37" customFormat="1" ht="13.2" x14ac:dyDescent="0.25">
      <c r="A355" s="77"/>
      <c r="AR355" s="130"/>
    </row>
    <row r="356" spans="1:44" s="37" customFormat="1" ht="13.2" x14ac:dyDescent="0.25">
      <c r="A356" s="77"/>
      <c r="AR356" s="130"/>
    </row>
    <row r="357" spans="1:44" s="37" customFormat="1" ht="13.2" x14ac:dyDescent="0.25">
      <c r="A357" s="77"/>
      <c r="AR357" s="130"/>
    </row>
    <row r="358" spans="1:44" s="37" customFormat="1" ht="13.2" x14ac:dyDescent="0.25">
      <c r="A358" s="77"/>
      <c r="AR358" s="130"/>
    </row>
    <row r="359" spans="1:44" s="37" customFormat="1" ht="13.2" x14ac:dyDescent="0.25">
      <c r="A359" s="77"/>
      <c r="AR359" s="130"/>
    </row>
    <row r="360" spans="1:44" s="37" customFormat="1" ht="13.2" x14ac:dyDescent="0.25">
      <c r="A360" s="77"/>
      <c r="AR360" s="130"/>
    </row>
    <row r="361" spans="1:44" s="37" customFormat="1" ht="13.2" x14ac:dyDescent="0.25">
      <c r="A361" s="77"/>
      <c r="AR361" s="130"/>
    </row>
    <row r="362" spans="1:44" s="37" customFormat="1" ht="13.2" x14ac:dyDescent="0.25">
      <c r="A362" s="77"/>
      <c r="AR362" s="130"/>
    </row>
    <row r="363" spans="1:44" s="37" customFormat="1" ht="13.2" x14ac:dyDescent="0.25">
      <c r="A363" s="77"/>
      <c r="AR363" s="130"/>
    </row>
    <row r="364" spans="1:44" s="37" customFormat="1" ht="13.2" x14ac:dyDescent="0.25">
      <c r="A364" s="77"/>
      <c r="AR364" s="130"/>
    </row>
    <row r="365" spans="1:44" s="37" customFormat="1" ht="13.2" x14ac:dyDescent="0.25">
      <c r="A365" s="77"/>
      <c r="AR365" s="130"/>
    </row>
    <row r="366" spans="1:44" s="37" customFormat="1" ht="13.2" x14ac:dyDescent="0.25">
      <c r="A366" s="77"/>
      <c r="AR366" s="130"/>
    </row>
    <row r="367" spans="1:44" s="37" customFormat="1" ht="13.2" x14ac:dyDescent="0.25">
      <c r="A367" s="77"/>
      <c r="AR367" s="130"/>
    </row>
    <row r="368" spans="1:44" s="37" customFormat="1" ht="13.2" x14ac:dyDescent="0.25">
      <c r="A368" s="77"/>
      <c r="AR368" s="130"/>
    </row>
    <row r="369" spans="1:44" s="37" customFormat="1" ht="13.2" x14ac:dyDescent="0.25">
      <c r="A369" s="77"/>
      <c r="AR369" s="130"/>
    </row>
    <row r="370" spans="1:44" s="37" customFormat="1" ht="13.2" x14ac:dyDescent="0.25">
      <c r="A370" s="77"/>
      <c r="AR370" s="130"/>
    </row>
    <row r="371" spans="1:44" s="37" customFormat="1" ht="13.2" x14ac:dyDescent="0.25">
      <c r="A371" s="77"/>
      <c r="AR371" s="130"/>
    </row>
    <row r="372" spans="1:44" s="37" customFormat="1" ht="13.2" x14ac:dyDescent="0.25">
      <c r="A372" s="77"/>
      <c r="AR372" s="130"/>
    </row>
    <row r="373" spans="1:44" s="37" customFormat="1" ht="13.2" x14ac:dyDescent="0.25">
      <c r="A373" s="77"/>
      <c r="AR373" s="130"/>
    </row>
    <row r="374" spans="1:44" s="37" customFormat="1" ht="13.2" x14ac:dyDescent="0.25">
      <c r="A374" s="77"/>
      <c r="AR374" s="130"/>
    </row>
    <row r="375" spans="1:44" s="37" customFormat="1" ht="13.2" x14ac:dyDescent="0.25">
      <c r="A375" s="77"/>
      <c r="AR375" s="130"/>
    </row>
    <row r="376" spans="1:44" s="37" customFormat="1" ht="13.2" x14ac:dyDescent="0.25">
      <c r="A376" s="77"/>
      <c r="AR376" s="130"/>
    </row>
    <row r="377" spans="1:44" s="37" customFormat="1" ht="13.2" x14ac:dyDescent="0.25">
      <c r="A377" s="77"/>
      <c r="AR377" s="130"/>
    </row>
    <row r="378" spans="1:44" s="37" customFormat="1" ht="13.2" x14ac:dyDescent="0.25">
      <c r="A378" s="77"/>
      <c r="AR378" s="130"/>
    </row>
    <row r="379" spans="1:44" s="37" customFormat="1" ht="13.2" x14ac:dyDescent="0.25">
      <c r="A379" s="77"/>
      <c r="AR379" s="130"/>
    </row>
    <row r="380" spans="1:44" s="37" customFormat="1" ht="13.2" x14ac:dyDescent="0.25">
      <c r="A380" s="77"/>
      <c r="AR380" s="130"/>
    </row>
    <row r="381" spans="1:44" s="37" customFormat="1" ht="13.2" x14ac:dyDescent="0.25">
      <c r="A381" s="77"/>
      <c r="AR381" s="130"/>
    </row>
    <row r="382" spans="1:44" s="37" customFormat="1" ht="13.2" x14ac:dyDescent="0.25">
      <c r="A382" s="77"/>
      <c r="AR382" s="130"/>
    </row>
    <row r="383" spans="1:44" s="37" customFormat="1" ht="13.2" x14ac:dyDescent="0.25">
      <c r="A383" s="77"/>
      <c r="AR383" s="130"/>
    </row>
    <row r="384" spans="1:44" s="37" customFormat="1" ht="13.2" x14ac:dyDescent="0.25">
      <c r="A384" s="77"/>
      <c r="AR384" s="130"/>
    </row>
    <row r="385" spans="1:44" s="37" customFormat="1" ht="13.2" x14ac:dyDescent="0.25">
      <c r="A385" s="77"/>
      <c r="AR385" s="130"/>
    </row>
    <row r="386" spans="1:44" s="37" customFormat="1" ht="13.2" x14ac:dyDescent="0.25">
      <c r="A386" s="77"/>
      <c r="AR386" s="130"/>
    </row>
    <row r="387" spans="1:44" s="37" customFormat="1" ht="13.2" x14ac:dyDescent="0.25">
      <c r="A387" s="77"/>
      <c r="AR387" s="130"/>
    </row>
    <row r="388" spans="1:44" s="37" customFormat="1" ht="13.2" x14ac:dyDescent="0.25">
      <c r="A388" s="77"/>
      <c r="AR388" s="130"/>
    </row>
    <row r="389" spans="1:44" s="37" customFormat="1" ht="13.2" x14ac:dyDescent="0.25">
      <c r="A389" s="77"/>
      <c r="AR389" s="130"/>
    </row>
    <row r="390" spans="1:44" s="37" customFormat="1" ht="13.2" x14ac:dyDescent="0.25">
      <c r="A390" s="77"/>
      <c r="AR390" s="130"/>
    </row>
    <row r="391" spans="1:44" s="37" customFormat="1" ht="13.2" x14ac:dyDescent="0.25">
      <c r="A391" s="77"/>
      <c r="AR391" s="130"/>
    </row>
    <row r="392" spans="1:44" s="37" customFormat="1" ht="13.2" x14ac:dyDescent="0.25">
      <c r="A392" s="77"/>
      <c r="AR392" s="130"/>
    </row>
    <row r="393" spans="1:44" s="37" customFormat="1" ht="13.2" x14ac:dyDescent="0.25">
      <c r="A393" s="77"/>
      <c r="AR393" s="130"/>
    </row>
    <row r="394" spans="1:44" s="37" customFormat="1" ht="13.2" x14ac:dyDescent="0.25">
      <c r="A394" s="77"/>
      <c r="AR394" s="130"/>
    </row>
    <row r="395" spans="1:44" s="37" customFormat="1" ht="13.2" x14ac:dyDescent="0.25">
      <c r="A395" s="77"/>
      <c r="AR395" s="130"/>
    </row>
    <row r="396" spans="1:44" s="37" customFormat="1" ht="13.2" x14ac:dyDescent="0.25">
      <c r="A396" s="77"/>
      <c r="AR396" s="130"/>
    </row>
    <row r="397" spans="1:44" s="37" customFormat="1" ht="13.2" x14ac:dyDescent="0.25">
      <c r="A397" s="77"/>
      <c r="AR397" s="130"/>
    </row>
    <row r="398" spans="1:44" s="37" customFormat="1" ht="13.2" x14ac:dyDescent="0.25">
      <c r="A398" s="77"/>
      <c r="AR398" s="130"/>
    </row>
    <row r="399" spans="1:44" s="37" customFormat="1" ht="13.2" x14ac:dyDescent="0.25">
      <c r="A399" s="77"/>
      <c r="AR399" s="130"/>
    </row>
    <row r="400" spans="1:44" s="37" customFormat="1" ht="13.2" x14ac:dyDescent="0.25">
      <c r="A400" s="77"/>
      <c r="AR400" s="130"/>
    </row>
    <row r="401" spans="1:44" s="37" customFormat="1" ht="13.2" x14ac:dyDescent="0.25">
      <c r="A401" s="77"/>
      <c r="AR401" s="130"/>
    </row>
    <row r="402" spans="1:44" s="37" customFormat="1" ht="13.2" x14ac:dyDescent="0.25">
      <c r="A402" s="77"/>
      <c r="AR402" s="130"/>
    </row>
    <row r="403" spans="1:44" s="37" customFormat="1" ht="13.2" x14ac:dyDescent="0.25">
      <c r="A403" s="77"/>
      <c r="AR403" s="130"/>
    </row>
    <row r="404" spans="1:44" s="37" customFormat="1" ht="13.2" x14ac:dyDescent="0.25">
      <c r="A404" s="77"/>
      <c r="AR404" s="130"/>
    </row>
    <row r="405" spans="1:44" s="37" customFormat="1" ht="13.2" x14ac:dyDescent="0.25">
      <c r="A405" s="77"/>
      <c r="AR405" s="130"/>
    </row>
    <row r="406" spans="1:44" s="37" customFormat="1" ht="13.2" x14ac:dyDescent="0.25">
      <c r="A406" s="77"/>
      <c r="AR406" s="130"/>
    </row>
    <row r="407" spans="1:44" s="37" customFormat="1" ht="13.2" x14ac:dyDescent="0.25">
      <c r="A407" s="77"/>
      <c r="AR407" s="130"/>
    </row>
    <row r="408" spans="1:44" s="37" customFormat="1" ht="13.2" x14ac:dyDescent="0.25">
      <c r="A408" s="77"/>
      <c r="AR408" s="130"/>
    </row>
    <row r="409" spans="1:44" s="37" customFormat="1" ht="13.2" x14ac:dyDescent="0.25">
      <c r="A409" s="77"/>
      <c r="AR409" s="130"/>
    </row>
    <row r="410" spans="1:44" s="37" customFormat="1" ht="13.2" x14ac:dyDescent="0.25">
      <c r="A410" s="77"/>
      <c r="AR410" s="130"/>
    </row>
    <row r="411" spans="1:44" s="37" customFormat="1" ht="13.2" x14ac:dyDescent="0.25">
      <c r="A411" s="77"/>
      <c r="AR411" s="130"/>
    </row>
    <row r="412" spans="1:44" s="37" customFormat="1" ht="13.2" x14ac:dyDescent="0.25">
      <c r="A412" s="77"/>
      <c r="AR412" s="130"/>
    </row>
    <row r="413" spans="1:44" s="37" customFormat="1" ht="13.2" x14ac:dyDescent="0.25">
      <c r="A413" s="77"/>
      <c r="AR413" s="130"/>
    </row>
    <row r="414" spans="1:44" s="37" customFormat="1" ht="13.2" x14ac:dyDescent="0.25">
      <c r="A414" s="77"/>
      <c r="AR414" s="130"/>
    </row>
    <row r="415" spans="1:44" s="37" customFormat="1" ht="13.2" x14ac:dyDescent="0.25">
      <c r="A415" s="77"/>
      <c r="AR415" s="130"/>
    </row>
    <row r="416" spans="1:44" s="37" customFormat="1" ht="13.2" x14ac:dyDescent="0.25">
      <c r="A416" s="77"/>
      <c r="AR416" s="130"/>
    </row>
    <row r="417" spans="1:44" s="37" customFormat="1" ht="13.2" x14ac:dyDescent="0.25">
      <c r="A417" s="77"/>
      <c r="AR417" s="130"/>
    </row>
    <row r="418" spans="1:44" s="37" customFormat="1" ht="13.2" x14ac:dyDescent="0.25">
      <c r="A418" s="77"/>
      <c r="AR418" s="130"/>
    </row>
    <row r="419" spans="1:44" s="37" customFormat="1" ht="13.2" x14ac:dyDescent="0.25">
      <c r="A419" s="77"/>
      <c r="AR419" s="130"/>
    </row>
    <row r="420" spans="1:44" s="37" customFormat="1" ht="13.2" x14ac:dyDescent="0.25">
      <c r="A420" s="77"/>
      <c r="AR420" s="130"/>
    </row>
    <row r="421" spans="1:44" s="37" customFormat="1" ht="13.2" x14ac:dyDescent="0.25">
      <c r="A421" s="77"/>
      <c r="AR421" s="130"/>
    </row>
    <row r="422" spans="1:44" s="37" customFormat="1" ht="13.2" x14ac:dyDescent="0.25">
      <c r="A422" s="77"/>
      <c r="AR422" s="130"/>
    </row>
    <row r="423" spans="1:44" s="37" customFormat="1" ht="13.2" x14ac:dyDescent="0.25">
      <c r="A423" s="77"/>
      <c r="AR423" s="130"/>
    </row>
    <row r="424" spans="1:44" s="37" customFormat="1" ht="13.2" x14ac:dyDescent="0.25">
      <c r="A424" s="77"/>
      <c r="AR424" s="130"/>
    </row>
    <row r="425" spans="1:44" s="37" customFormat="1" ht="13.2" x14ac:dyDescent="0.25">
      <c r="A425" s="77"/>
      <c r="AR425" s="130"/>
    </row>
    <row r="426" spans="1:44" s="37" customFormat="1" ht="13.2" x14ac:dyDescent="0.25">
      <c r="A426" s="77"/>
      <c r="AR426" s="130"/>
    </row>
    <row r="427" spans="1:44" s="37" customFormat="1" ht="13.2" x14ac:dyDescent="0.25">
      <c r="A427" s="77"/>
      <c r="AR427" s="130"/>
    </row>
    <row r="428" spans="1:44" s="37" customFormat="1" ht="13.2" x14ac:dyDescent="0.25">
      <c r="A428" s="77"/>
      <c r="AR428" s="130"/>
    </row>
    <row r="429" spans="1:44" s="37" customFormat="1" ht="13.2" x14ac:dyDescent="0.25">
      <c r="A429" s="77"/>
      <c r="AR429" s="130"/>
    </row>
    <row r="430" spans="1:44" s="37" customFormat="1" ht="13.2" x14ac:dyDescent="0.25">
      <c r="A430" s="77"/>
      <c r="AR430" s="130"/>
    </row>
    <row r="431" spans="1:44" s="37" customFormat="1" ht="13.2" x14ac:dyDescent="0.25">
      <c r="A431" s="77"/>
      <c r="AR431" s="130"/>
    </row>
    <row r="432" spans="1:44" s="37" customFormat="1" ht="13.2" x14ac:dyDescent="0.25">
      <c r="A432" s="77"/>
      <c r="AR432" s="130"/>
    </row>
    <row r="433" spans="1:44" s="37" customFormat="1" ht="13.2" x14ac:dyDescent="0.25">
      <c r="A433" s="77"/>
      <c r="AR433" s="130"/>
    </row>
    <row r="434" spans="1:44" s="37" customFormat="1" ht="13.2" x14ac:dyDescent="0.25">
      <c r="A434" s="77"/>
      <c r="AR434" s="130"/>
    </row>
    <row r="435" spans="1:44" s="37" customFormat="1" ht="13.2" x14ac:dyDescent="0.25">
      <c r="A435" s="77"/>
      <c r="AR435" s="130"/>
    </row>
    <row r="436" spans="1:44" s="37" customFormat="1" ht="13.2" x14ac:dyDescent="0.25">
      <c r="A436" s="77"/>
      <c r="AR436" s="130"/>
    </row>
    <row r="437" spans="1:44" s="37" customFormat="1" ht="13.2" x14ac:dyDescent="0.25">
      <c r="A437" s="77"/>
      <c r="AR437" s="130"/>
    </row>
    <row r="438" spans="1:44" s="37" customFormat="1" ht="13.2" x14ac:dyDescent="0.25">
      <c r="A438" s="77"/>
      <c r="AR438" s="130"/>
    </row>
    <row r="439" spans="1:44" s="37" customFormat="1" ht="13.2" x14ac:dyDescent="0.25">
      <c r="A439" s="77"/>
      <c r="AR439" s="130"/>
    </row>
    <row r="440" spans="1:44" s="37" customFormat="1" ht="13.2" x14ac:dyDescent="0.25">
      <c r="A440" s="77"/>
      <c r="AR440" s="130"/>
    </row>
    <row r="441" spans="1:44" s="37" customFormat="1" ht="13.2" x14ac:dyDescent="0.25">
      <c r="A441" s="77"/>
      <c r="AR441" s="130"/>
    </row>
    <row r="442" spans="1:44" s="37" customFormat="1" ht="13.2" x14ac:dyDescent="0.25">
      <c r="A442" s="77"/>
      <c r="AR442" s="130"/>
    </row>
    <row r="443" spans="1:44" s="37" customFormat="1" ht="13.2" x14ac:dyDescent="0.25">
      <c r="A443" s="77"/>
      <c r="AR443" s="130"/>
    </row>
    <row r="444" spans="1:44" s="37" customFormat="1" ht="13.2" x14ac:dyDescent="0.25">
      <c r="A444" s="77"/>
      <c r="AR444" s="130"/>
    </row>
    <row r="445" spans="1:44" s="37" customFormat="1" ht="13.2" x14ac:dyDescent="0.25">
      <c r="A445" s="77"/>
      <c r="AR445" s="130"/>
    </row>
    <row r="446" spans="1:44" s="37" customFormat="1" ht="13.2" x14ac:dyDescent="0.25">
      <c r="A446" s="77"/>
      <c r="AR446" s="130"/>
    </row>
    <row r="447" spans="1:44" s="37" customFormat="1" ht="13.2" x14ac:dyDescent="0.25">
      <c r="A447" s="77"/>
      <c r="AR447" s="130"/>
    </row>
    <row r="448" spans="1:44" s="37" customFormat="1" ht="13.2" x14ac:dyDescent="0.25">
      <c r="A448" s="77"/>
      <c r="AR448" s="130"/>
    </row>
    <row r="449" spans="1:44" s="37" customFormat="1" ht="13.2" x14ac:dyDescent="0.25">
      <c r="A449" s="77"/>
      <c r="AR449" s="130"/>
    </row>
    <row r="450" spans="1:44" s="37" customFormat="1" ht="13.2" x14ac:dyDescent="0.25">
      <c r="A450" s="77"/>
      <c r="AR450" s="130"/>
    </row>
    <row r="451" spans="1:44" s="37" customFormat="1" ht="13.2" x14ac:dyDescent="0.25">
      <c r="A451" s="77"/>
      <c r="AR451" s="130"/>
    </row>
    <row r="452" spans="1:44" s="37" customFormat="1" ht="13.2" x14ac:dyDescent="0.25">
      <c r="A452" s="77"/>
      <c r="AR452" s="130"/>
    </row>
    <row r="453" spans="1:44" s="37" customFormat="1" ht="13.2" x14ac:dyDescent="0.25">
      <c r="A453" s="77"/>
      <c r="AR453" s="130"/>
    </row>
    <row r="454" spans="1:44" s="37" customFormat="1" ht="13.2" x14ac:dyDescent="0.25">
      <c r="A454" s="77"/>
      <c r="AR454" s="130"/>
    </row>
    <row r="455" spans="1:44" s="37" customFormat="1" ht="13.2" x14ac:dyDescent="0.25">
      <c r="A455" s="77"/>
      <c r="AR455" s="130"/>
    </row>
    <row r="456" spans="1:44" s="37" customFormat="1" ht="13.2" x14ac:dyDescent="0.25">
      <c r="A456" s="77"/>
      <c r="AR456" s="130"/>
    </row>
    <row r="457" spans="1:44" s="37" customFormat="1" ht="13.2" x14ac:dyDescent="0.25">
      <c r="A457" s="77"/>
      <c r="AR457" s="130"/>
    </row>
    <row r="458" spans="1:44" s="37" customFormat="1" ht="13.2" x14ac:dyDescent="0.25">
      <c r="A458" s="77"/>
      <c r="AR458" s="130"/>
    </row>
    <row r="459" spans="1:44" s="37" customFormat="1" ht="13.2" x14ac:dyDescent="0.25">
      <c r="A459" s="77"/>
      <c r="AR459" s="130"/>
    </row>
    <row r="460" spans="1:44" s="37" customFormat="1" ht="13.2" x14ac:dyDescent="0.25">
      <c r="A460" s="77"/>
      <c r="AR460" s="130"/>
    </row>
    <row r="461" spans="1:44" s="37" customFormat="1" ht="13.2" x14ac:dyDescent="0.25">
      <c r="A461" s="77"/>
      <c r="AR461" s="130"/>
    </row>
    <row r="462" spans="1:44" s="37" customFormat="1" ht="13.2" x14ac:dyDescent="0.25">
      <c r="A462" s="77"/>
      <c r="AR462" s="130"/>
    </row>
    <row r="463" spans="1:44" s="37" customFormat="1" ht="13.2" x14ac:dyDescent="0.25">
      <c r="A463" s="77"/>
      <c r="AR463" s="130"/>
    </row>
    <row r="464" spans="1:44" s="37" customFormat="1" ht="13.2" x14ac:dyDescent="0.25">
      <c r="A464" s="77"/>
      <c r="AR464" s="130"/>
    </row>
    <row r="465" spans="1:44" s="37" customFormat="1" ht="13.2" x14ac:dyDescent="0.25">
      <c r="A465" s="77"/>
      <c r="AR465" s="130"/>
    </row>
    <row r="466" spans="1:44" s="37" customFormat="1" ht="13.2" x14ac:dyDescent="0.25">
      <c r="A466" s="77"/>
      <c r="AR466" s="130"/>
    </row>
    <row r="467" spans="1:44" s="37" customFormat="1" ht="13.2" x14ac:dyDescent="0.25">
      <c r="A467" s="77"/>
      <c r="AR467" s="130"/>
    </row>
    <row r="468" spans="1:44" s="37" customFormat="1" ht="13.2" x14ac:dyDescent="0.25">
      <c r="A468" s="77"/>
      <c r="AR468" s="130"/>
    </row>
    <row r="469" spans="1:44" s="37" customFormat="1" ht="13.2" x14ac:dyDescent="0.25">
      <c r="A469" s="77"/>
      <c r="AR469" s="130"/>
    </row>
    <row r="470" spans="1:44" s="37" customFormat="1" ht="13.2" x14ac:dyDescent="0.25">
      <c r="A470" s="77"/>
      <c r="AR470" s="130"/>
    </row>
    <row r="471" spans="1:44" s="37" customFormat="1" ht="13.2" x14ac:dyDescent="0.25">
      <c r="A471" s="77"/>
      <c r="AR471" s="130"/>
    </row>
    <row r="472" spans="1:44" s="37" customFormat="1" ht="13.2" x14ac:dyDescent="0.25">
      <c r="A472" s="77"/>
      <c r="AR472" s="130"/>
    </row>
    <row r="473" spans="1:44" s="37" customFormat="1" ht="13.2" x14ac:dyDescent="0.25">
      <c r="A473" s="77"/>
      <c r="AR473" s="130"/>
    </row>
    <row r="474" spans="1:44" s="37" customFormat="1" ht="13.2" x14ac:dyDescent="0.25">
      <c r="A474" s="77"/>
      <c r="AR474" s="130"/>
    </row>
    <row r="475" spans="1:44" s="37" customFormat="1" ht="13.2" x14ac:dyDescent="0.25">
      <c r="A475" s="77"/>
      <c r="AR475" s="130"/>
    </row>
    <row r="476" spans="1:44" s="37" customFormat="1" ht="13.2" x14ac:dyDescent="0.25">
      <c r="A476" s="77"/>
      <c r="AR476" s="130"/>
    </row>
    <row r="477" spans="1:44" s="37" customFormat="1" ht="13.2" x14ac:dyDescent="0.25">
      <c r="A477" s="77"/>
      <c r="AR477" s="130"/>
    </row>
    <row r="478" spans="1:44" s="37" customFormat="1" ht="13.2" x14ac:dyDescent="0.25">
      <c r="A478" s="77"/>
      <c r="AR478" s="130"/>
    </row>
    <row r="479" spans="1:44" s="37" customFormat="1" ht="13.2" x14ac:dyDescent="0.25">
      <c r="A479" s="77"/>
      <c r="AR479" s="130"/>
    </row>
    <row r="480" spans="1:44" s="37" customFormat="1" ht="13.2" x14ac:dyDescent="0.25">
      <c r="A480" s="77"/>
      <c r="AR480" s="130"/>
    </row>
    <row r="481" spans="1:44" s="37" customFormat="1" ht="13.2" x14ac:dyDescent="0.25">
      <c r="A481" s="77"/>
      <c r="AR481" s="130"/>
    </row>
    <row r="482" spans="1:44" s="37" customFormat="1" ht="13.2" x14ac:dyDescent="0.25">
      <c r="A482" s="77"/>
      <c r="AR482" s="130"/>
    </row>
    <row r="483" spans="1:44" s="37" customFormat="1" ht="13.2" x14ac:dyDescent="0.25">
      <c r="A483" s="77"/>
      <c r="AR483" s="130"/>
    </row>
    <row r="484" spans="1:44" s="37" customFormat="1" ht="13.2" x14ac:dyDescent="0.25">
      <c r="A484" s="77"/>
      <c r="AR484" s="130"/>
    </row>
    <row r="485" spans="1:44" s="37" customFormat="1" ht="13.2" x14ac:dyDescent="0.25">
      <c r="A485" s="77"/>
      <c r="AR485" s="130"/>
    </row>
    <row r="486" spans="1:44" s="37" customFormat="1" ht="13.2" x14ac:dyDescent="0.25">
      <c r="A486" s="77"/>
      <c r="AR486" s="130"/>
    </row>
    <row r="487" spans="1:44" s="37" customFormat="1" ht="13.2" x14ac:dyDescent="0.25">
      <c r="A487" s="77"/>
      <c r="AR487" s="130"/>
    </row>
    <row r="488" spans="1:44" s="37" customFormat="1" ht="13.2" x14ac:dyDescent="0.25">
      <c r="A488" s="77"/>
      <c r="AR488" s="130"/>
    </row>
    <row r="489" spans="1:44" s="37" customFormat="1" ht="13.2" x14ac:dyDescent="0.25">
      <c r="A489" s="77"/>
      <c r="AR489" s="130"/>
    </row>
    <row r="490" spans="1:44" s="37" customFormat="1" ht="13.2" x14ac:dyDescent="0.25">
      <c r="A490" s="77"/>
      <c r="AR490" s="130"/>
    </row>
    <row r="491" spans="1:44" s="37" customFormat="1" ht="13.2" x14ac:dyDescent="0.25">
      <c r="A491" s="77"/>
      <c r="AR491" s="130"/>
    </row>
    <row r="492" spans="1:44" s="37" customFormat="1" ht="13.2" x14ac:dyDescent="0.25">
      <c r="A492" s="77"/>
      <c r="AR492" s="130"/>
    </row>
    <row r="493" spans="1:44" s="37" customFormat="1" ht="13.2" x14ac:dyDescent="0.25">
      <c r="A493" s="77"/>
      <c r="AR493" s="130"/>
    </row>
    <row r="494" spans="1:44" s="37" customFormat="1" ht="13.2" x14ac:dyDescent="0.25">
      <c r="A494" s="77"/>
      <c r="AR494" s="130"/>
    </row>
    <row r="495" spans="1:44" s="37" customFormat="1" ht="13.2" x14ac:dyDescent="0.25">
      <c r="A495" s="77"/>
      <c r="AR495" s="130"/>
    </row>
    <row r="496" spans="1:44" s="37" customFormat="1" ht="13.2" x14ac:dyDescent="0.25">
      <c r="A496" s="77"/>
      <c r="AR496" s="130"/>
    </row>
    <row r="497" spans="1:44" s="37" customFormat="1" ht="13.2" x14ac:dyDescent="0.25">
      <c r="A497" s="77"/>
      <c r="AR497" s="130"/>
    </row>
    <row r="498" spans="1:44" s="37" customFormat="1" ht="13.2" x14ac:dyDescent="0.25">
      <c r="A498" s="77"/>
      <c r="AR498" s="130"/>
    </row>
    <row r="499" spans="1:44" s="37" customFormat="1" ht="13.2" x14ac:dyDescent="0.25">
      <c r="A499" s="77"/>
      <c r="AR499" s="130"/>
    </row>
    <row r="500" spans="1:44" s="37" customFormat="1" ht="13.2" x14ac:dyDescent="0.25">
      <c r="A500" s="77"/>
      <c r="AR500" s="130"/>
    </row>
    <row r="501" spans="1:44" s="37" customFormat="1" ht="13.2" x14ac:dyDescent="0.25">
      <c r="A501" s="77"/>
      <c r="AR501" s="130"/>
    </row>
    <row r="502" spans="1:44" s="37" customFormat="1" ht="13.2" x14ac:dyDescent="0.25">
      <c r="A502" s="77"/>
      <c r="AR502" s="130"/>
    </row>
    <row r="503" spans="1:44" s="37" customFormat="1" ht="13.2" x14ac:dyDescent="0.25">
      <c r="A503" s="77"/>
      <c r="AR503" s="130"/>
    </row>
    <row r="504" spans="1:44" s="37" customFormat="1" ht="13.2" x14ac:dyDescent="0.25">
      <c r="A504" s="77"/>
      <c r="AR504" s="130"/>
    </row>
    <row r="505" spans="1:44" s="37" customFormat="1" ht="13.2" x14ac:dyDescent="0.25">
      <c r="A505" s="77"/>
      <c r="AR505" s="130"/>
    </row>
    <row r="506" spans="1:44" s="37" customFormat="1" ht="13.2" x14ac:dyDescent="0.25">
      <c r="A506" s="77"/>
      <c r="AR506" s="130"/>
    </row>
    <row r="507" spans="1:44" s="37" customFormat="1" ht="13.2" x14ac:dyDescent="0.25">
      <c r="A507" s="77"/>
      <c r="AR507" s="130"/>
    </row>
    <row r="508" spans="1:44" s="37" customFormat="1" ht="13.2" x14ac:dyDescent="0.25">
      <c r="A508" s="77"/>
      <c r="AR508" s="130"/>
    </row>
    <row r="509" spans="1:44" s="37" customFormat="1" ht="13.2" x14ac:dyDescent="0.25">
      <c r="A509" s="77"/>
      <c r="AR509" s="130"/>
    </row>
    <row r="510" spans="1:44" s="37" customFormat="1" ht="13.2" x14ac:dyDescent="0.25">
      <c r="A510" s="77"/>
      <c r="AR510" s="130"/>
    </row>
    <row r="511" spans="1:44" s="37" customFormat="1" ht="13.2" x14ac:dyDescent="0.25">
      <c r="A511" s="77"/>
      <c r="AR511" s="130"/>
    </row>
    <row r="512" spans="1:44" s="37" customFormat="1" ht="13.2" x14ac:dyDescent="0.25">
      <c r="A512" s="77"/>
      <c r="AR512" s="130"/>
    </row>
    <row r="513" spans="1:44" s="37" customFormat="1" ht="13.2" x14ac:dyDescent="0.25">
      <c r="A513" s="77"/>
      <c r="AR513" s="130"/>
    </row>
    <row r="514" spans="1:44" s="37" customFormat="1" ht="13.2" x14ac:dyDescent="0.25">
      <c r="A514" s="77"/>
      <c r="AR514" s="130"/>
    </row>
    <row r="515" spans="1:44" s="37" customFormat="1" ht="13.2" x14ac:dyDescent="0.25">
      <c r="A515" s="77"/>
      <c r="AR515" s="130"/>
    </row>
    <row r="516" spans="1:44" s="37" customFormat="1" ht="13.2" x14ac:dyDescent="0.25">
      <c r="A516" s="77"/>
      <c r="AR516" s="130"/>
    </row>
    <row r="517" spans="1:44" s="37" customFormat="1" ht="13.2" x14ac:dyDescent="0.25">
      <c r="A517" s="77"/>
      <c r="AR517" s="130"/>
    </row>
    <row r="518" spans="1:44" s="37" customFormat="1" ht="13.2" x14ac:dyDescent="0.25">
      <c r="A518" s="77"/>
      <c r="AR518" s="130"/>
    </row>
    <row r="519" spans="1:44" s="37" customFormat="1" ht="13.2" x14ac:dyDescent="0.25">
      <c r="A519" s="77"/>
      <c r="AR519" s="130"/>
    </row>
    <row r="520" spans="1:44" s="37" customFormat="1" ht="13.2" x14ac:dyDescent="0.25">
      <c r="A520" s="77"/>
      <c r="AR520" s="130"/>
    </row>
    <row r="521" spans="1:44" s="37" customFormat="1" ht="13.2" x14ac:dyDescent="0.25">
      <c r="A521" s="77"/>
      <c r="AR521" s="130"/>
    </row>
    <row r="522" spans="1:44" s="37" customFormat="1" ht="13.2" x14ac:dyDescent="0.25">
      <c r="A522" s="77"/>
      <c r="AR522" s="130"/>
    </row>
    <row r="523" spans="1:44" s="37" customFormat="1" ht="13.2" x14ac:dyDescent="0.25">
      <c r="A523" s="77"/>
      <c r="AR523" s="130"/>
    </row>
    <row r="524" spans="1:44" s="37" customFormat="1" ht="13.2" x14ac:dyDescent="0.25">
      <c r="A524" s="77"/>
      <c r="AR524" s="130"/>
    </row>
    <row r="525" spans="1:44" s="37" customFormat="1" ht="13.2" x14ac:dyDescent="0.25">
      <c r="A525" s="77"/>
      <c r="AR525" s="130"/>
    </row>
    <row r="526" spans="1:44" s="37" customFormat="1" ht="13.2" x14ac:dyDescent="0.25">
      <c r="A526" s="77"/>
      <c r="AR526" s="130"/>
    </row>
    <row r="527" spans="1:44" s="37" customFormat="1" ht="13.2" x14ac:dyDescent="0.25">
      <c r="A527" s="77"/>
      <c r="AR527" s="130"/>
    </row>
    <row r="528" spans="1:44" s="37" customFormat="1" ht="13.2" x14ac:dyDescent="0.25">
      <c r="A528" s="77"/>
      <c r="AR528" s="130"/>
    </row>
    <row r="529" spans="1:44" s="37" customFormat="1" ht="13.2" x14ac:dyDescent="0.25">
      <c r="A529" s="77"/>
      <c r="AR529" s="130"/>
    </row>
    <row r="530" spans="1:44" s="37" customFormat="1" ht="13.2" x14ac:dyDescent="0.25">
      <c r="A530" s="77"/>
      <c r="AR530" s="130"/>
    </row>
    <row r="531" spans="1:44" s="37" customFormat="1" ht="13.2" x14ac:dyDescent="0.25">
      <c r="A531" s="77"/>
      <c r="AR531" s="130"/>
    </row>
    <row r="532" spans="1:44" s="37" customFormat="1" ht="13.2" x14ac:dyDescent="0.25">
      <c r="A532" s="77"/>
      <c r="AR532" s="130"/>
    </row>
    <row r="533" spans="1:44" s="37" customFormat="1" ht="13.2" x14ac:dyDescent="0.25">
      <c r="A533" s="77"/>
      <c r="AR533" s="130"/>
    </row>
    <row r="534" spans="1:44" s="37" customFormat="1" ht="13.2" x14ac:dyDescent="0.25">
      <c r="A534" s="77"/>
      <c r="AR534" s="130"/>
    </row>
    <row r="535" spans="1:44" s="37" customFormat="1" ht="13.2" x14ac:dyDescent="0.25">
      <c r="A535" s="77"/>
      <c r="AR535" s="130"/>
    </row>
    <row r="536" spans="1:44" s="37" customFormat="1" ht="13.2" x14ac:dyDescent="0.25">
      <c r="A536" s="77"/>
      <c r="AR536" s="130"/>
    </row>
    <row r="537" spans="1:44" s="37" customFormat="1" ht="13.2" x14ac:dyDescent="0.25">
      <c r="A537" s="77"/>
      <c r="AR537" s="130"/>
    </row>
    <row r="538" spans="1:44" s="37" customFormat="1" ht="13.2" x14ac:dyDescent="0.25">
      <c r="A538" s="77"/>
      <c r="AR538" s="130"/>
    </row>
    <row r="539" spans="1:44" s="37" customFormat="1" ht="13.2" x14ac:dyDescent="0.25">
      <c r="A539" s="77"/>
      <c r="AR539" s="130"/>
    </row>
    <row r="540" spans="1:44" s="37" customFormat="1" ht="13.2" x14ac:dyDescent="0.25">
      <c r="A540" s="77"/>
      <c r="AR540" s="130"/>
    </row>
    <row r="541" spans="1:44" s="37" customFormat="1" ht="13.2" x14ac:dyDescent="0.25">
      <c r="A541" s="77"/>
      <c r="AR541" s="130"/>
    </row>
    <row r="542" spans="1:44" s="37" customFormat="1" ht="13.2" x14ac:dyDescent="0.25">
      <c r="A542" s="77"/>
      <c r="AR542" s="130"/>
    </row>
    <row r="543" spans="1:44" s="37" customFormat="1" ht="13.2" x14ac:dyDescent="0.25">
      <c r="A543" s="77"/>
      <c r="AR543" s="130"/>
    </row>
    <row r="544" spans="1:44" s="37" customFormat="1" ht="13.2" x14ac:dyDescent="0.25">
      <c r="A544" s="77"/>
      <c r="AR544" s="130"/>
    </row>
    <row r="545" spans="1:44" s="37" customFormat="1" ht="13.2" x14ac:dyDescent="0.25">
      <c r="A545" s="77"/>
      <c r="AR545" s="130"/>
    </row>
    <row r="546" spans="1:44" s="37" customFormat="1" ht="13.2" x14ac:dyDescent="0.25">
      <c r="A546" s="77"/>
      <c r="AR546" s="130"/>
    </row>
    <row r="547" spans="1:44" s="37" customFormat="1" ht="13.2" x14ac:dyDescent="0.25">
      <c r="A547" s="77"/>
      <c r="AR547" s="130"/>
    </row>
    <row r="548" spans="1:44" s="37" customFormat="1" ht="13.2" x14ac:dyDescent="0.25">
      <c r="A548" s="77"/>
      <c r="AR548" s="130"/>
    </row>
    <row r="549" spans="1:44" s="37" customFormat="1" ht="13.2" x14ac:dyDescent="0.25">
      <c r="A549" s="77"/>
      <c r="AR549" s="130"/>
    </row>
    <row r="550" spans="1:44" s="37" customFormat="1" ht="13.2" x14ac:dyDescent="0.25">
      <c r="A550" s="77"/>
      <c r="AR550" s="130"/>
    </row>
    <row r="551" spans="1:44" s="37" customFormat="1" ht="13.2" x14ac:dyDescent="0.25">
      <c r="A551" s="77"/>
      <c r="AR551" s="130"/>
    </row>
    <row r="552" spans="1:44" s="37" customFormat="1" ht="13.2" x14ac:dyDescent="0.25">
      <c r="A552" s="77"/>
      <c r="AR552" s="130"/>
    </row>
    <row r="553" spans="1:44" s="37" customFormat="1" ht="13.2" x14ac:dyDescent="0.25">
      <c r="A553" s="77"/>
      <c r="AR553" s="130"/>
    </row>
    <row r="554" spans="1:44" s="37" customFormat="1" ht="13.2" x14ac:dyDescent="0.25">
      <c r="A554" s="77"/>
      <c r="AR554" s="130"/>
    </row>
    <row r="555" spans="1:44" s="37" customFormat="1" ht="13.2" x14ac:dyDescent="0.25">
      <c r="A555" s="77"/>
      <c r="AR555" s="130"/>
    </row>
    <row r="556" spans="1:44" s="37" customFormat="1" ht="13.2" x14ac:dyDescent="0.25">
      <c r="A556" s="77"/>
      <c r="AR556" s="130"/>
    </row>
    <row r="557" spans="1:44" s="37" customFormat="1" ht="13.2" x14ac:dyDescent="0.25">
      <c r="A557" s="77"/>
      <c r="AR557" s="130"/>
    </row>
    <row r="558" spans="1:44" s="37" customFormat="1" ht="13.2" x14ac:dyDescent="0.25">
      <c r="A558" s="77"/>
      <c r="AR558" s="130"/>
    </row>
    <row r="559" spans="1:44" s="37" customFormat="1" ht="13.2" x14ac:dyDescent="0.25">
      <c r="A559" s="77"/>
      <c r="AR559" s="130"/>
    </row>
    <row r="560" spans="1:44" s="37" customFormat="1" ht="13.2" x14ac:dyDescent="0.25">
      <c r="A560" s="77"/>
      <c r="AR560" s="130"/>
    </row>
    <row r="561" spans="1:44" s="37" customFormat="1" ht="13.2" x14ac:dyDescent="0.25">
      <c r="A561" s="77"/>
      <c r="AR561" s="130"/>
    </row>
    <row r="562" spans="1:44" s="37" customFormat="1" ht="13.2" x14ac:dyDescent="0.25">
      <c r="A562" s="77"/>
      <c r="AR562" s="130"/>
    </row>
    <row r="563" spans="1:44" s="37" customFormat="1" ht="13.2" x14ac:dyDescent="0.25">
      <c r="A563" s="77"/>
      <c r="AR563" s="130"/>
    </row>
    <row r="564" spans="1:44" s="37" customFormat="1" ht="13.2" x14ac:dyDescent="0.25">
      <c r="A564" s="77"/>
      <c r="AR564" s="130"/>
    </row>
    <row r="565" spans="1:44" s="37" customFormat="1" ht="13.2" x14ac:dyDescent="0.25">
      <c r="A565" s="77"/>
      <c r="AR565" s="130"/>
    </row>
    <row r="566" spans="1:44" s="37" customFormat="1" ht="13.2" x14ac:dyDescent="0.25">
      <c r="A566" s="77"/>
      <c r="AR566" s="130"/>
    </row>
    <row r="567" spans="1:44" s="37" customFormat="1" ht="13.2" x14ac:dyDescent="0.25">
      <c r="A567" s="77"/>
      <c r="AR567" s="130"/>
    </row>
    <row r="568" spans="1:44" s="37" customFormat="1" ht="13.2" x14ac:dyDescent="0.25">
      <c r="A568" s="77"/>
      <c r="AR568" s="130"/>
    </row>
    <row r="569" spans="1:44" s="37" customFormat="1" ht="13.2" x14ac:dyDescent="0.25">
      <c r="A569" s="77"/>
      <c r="AR569" s="130"/>
    </row>
    <row r="570" spans="1:44" s="37" customFormat="1" ht="13.2" x14ac:dyDescent="0.25">
      <c r="A570" s="77"/>
      <c r="AR570" s="130"/>
    </row>
    <row r="571" spans="1:44" s="37" customFormat="1" ht="13.2" x14ac:dyDescent="0.25">
      <c r="A571" s="77"/>
      <c r="AR571" s="130"/>
    </row>
    <row r="572" spans="1:44" s="37" customFormat="1" ht="13.2" x14ac:dyDescent="0.25">
      <c r="A572" s="77"/>
      <c r="AR572" s="130"/>
    </row>
    <row r="573" spans="1:44" s="37" customFormat="1" ht="13.2" x14ac:dyDescent="0.25">
      <c r="A573" s="77"/>
      <c r="AR573" s="130"/>
    </row>
    <row r="574" spans="1:44" s="37" customFormat="1" ht="13.2" x14ac:dyDescent="0.25">
      <c r="A574" s="77"/>
      <c r="AR574" s="130"/>
    </row>
    <row r="575" spans="1:44" s="37" customFormat="1" ht="13.2" x14ac:dyDescent="0.25">
      <c r="A575" s="77"/>
      <c r="AR575" s="130"/>
    </row>
    <row r="576" spans="1:44" s="37" customFormat="1" ht="13.2" x14ac:dyDescent="0.25">
      <c r="A576" s="77"/>
      <c r="AR576" s="130"/>
    </row>
    <row r="577" spans="1:44" s="37" customFormat="1" ht="13.2" x14ac:dyDescent="0.25">
      <c r="A577" s="77"/>
      <c r="AR577" s="130"/>
    </row>
    <row r="578" spans="1:44" s="37" customFormat="1" ht="13.2" x14ac:dyDescent="0.25">
      <c r="A578" s="77"/>
      <c r="AR578" s="130"/>
    </row>
    <row r="579" spans="1:44" s="37" customFormat="1" ht="13.2" x14ac:dyDescent="0.25">
      <c r="A579" s="77"/>
      <c r="AR579" s="130"/>
    </row>
    <row r="580" spans="1:44" s="37" customFormat="1" ht="13.2" x14ac:dyDescent="0.25">
      <c r="A580" s="77"/>
      <c r="AR580" s="130"/>
    </row>
    <row r="581" spans="1:44" s="37" customFormat="1" ht="13.2" x14ac:dyDescent="0.25">
      <c r="A581" s="77"/>
      <c r="AR581" s="130"/>
    </row>
    <row r="582" spans="1:44" s="37" customFormat="1" ht="13.2" x14ac:dyDescent="0.25">
      <c r="A582" s="77"/>
      <c r="AR582" s="130"/>
    </row>
    <row r="583" spans="1:44" s="37" customFormat="1" ht="13.2" x14ac:dyDescent="0.25">
      <c r="A583" s="77"/>
      <c r="AR583" s="130"/>
    </row>
    <row r="584" spans="1:44" s="37" customFormat="1" ht="13.2" x14ac:dyDescent="0.25">
      <c r="A584" s="77"/>
      <c r="AR584" s="130"/>
    </row>
    <row r="585" spans="1:44" s="37" customFormat="1" ht="13.2" x14ac:dyDescent="0.25">
      <c r="A585" s="77"/>
      <c r="AR585" s="130"/>
    </row>
    <row r="586" spans="1:44" s="37" customFormat="1" ht="13.2" x14ac:dyDescent="0.25">
      <c r="A586" s="77"/>
      <c r="AR586" s="130"/>
    </row>
    <row r="587" spans="1:44" s="37" customFormat="1" ht="13.2" x14ac:dyDescent="0.25">
      <c r="A587" s="77"/>
      <c r="AR587" s="130"/>
    </row>
    <row r="588" spans="1:44" s="37" customFormat="1" ht="13.2" x14ac:dyDescent="0.25">
      <c r="A588" s="77"/>
      <c r="AR588" s="130"/>
    </row>
    <row r="589" spans="1:44" s="37" customFormat="1" ht="13.2" x14ac:dyDescent="0.25">
      <c r="A589" s="77"/>
      <c r="AR589" s="130"/>
    </row>
    <row r="590" spans="1:44" s="37" customFormat="1" ht="13.2" x14ac:dyDescent="0.25">
      <c r="A590" s="77"/>
      <c r="AR590" s="130"/>
    </row>
    <row r="591" spans="1:44" s="37" customFormat="1" ht="13.2" x14ac:dyDescent="0.25">
      <c r="A591" s="77"/>
      <c r="AR591" s="130"/>
    </row>
    <row r="592" spans="1:44" s="37" customFormat="1" ht="13.2" x14ac:dyDescent="0.25">
      <c r="A592" s="77"/>
      <c r="AR592" s="130"/>
    </row>
    <row r="593" spans="1:44" s="37" customFormat="1" ht="13.2" x14ac:dyDescent="0.25">
      <c r="A593" s="77"/>
      <c r="AR593" s="130"/>
    </row>
    <row r="594" spans="1:44" s="37" customFormat="1" ht="13.2" x14ac:dyDescent="0.25">
      <c r="A594" s="77"/>
      <c r="AR594" s="130"/>
    </row>
    <row r="595" spans="1:44" s="37" customFormat="1" ht="13.2" x14ac:dyDescent="0.25">
      <c r="A595" s="77"/>
      <c r="AR595" s="130"/>
    </row>
    <row r="596" spans="1:44" s="37" customFormat="1" ht="13.2" x14ac:dyDescent="0.25">
      <c r="A596" s="77"/>
      <c r="AR596" s="130"/>
    </row>
    <row r="597" spans="1:44" s="37" customFormat="1" ht="13.2" x14ac:dyDescent="0.25">
      <c r="A597" s="77"/>
      <c r="AR597" s="130"/>
    </row>
    <row r="598" spans="1:44" s="37" customFormat="1" ht="13.2" x14ac:dyDescent="0.25">
      <c r="A598" s="77"/>
      <c r="AR598" s="130"/>
    </row>
    <row r="599" spans="1:44" s="37" customFormat="1" ht="13.2" x14ac:dyDescent="0.25">
      <c r="A599" s="77"/>
      <c r="AR599" s="130"/>
    </row>
    <row r="600" spans="1:44" s="37" customFormat="1" ht="13.2" x14ac:dyDescent="0.25">
      <c r="A600" s="77"/>
      <c r="AR600" s="130"/>
    </row>
    <row r="601" spans="1:44" s="37" customFormat="1" ht="13.2" x14ac:dyDescent="0.25">
      <c r="A601" s="77"/>
      <c r="AR601" s="130"/>
    </row>
    <row r="602" spans="1:44" s="37" customFormat="1" ht="13.2" x14ac:dyDescent="0.25">
      <c r="A602" s="77"/>
      <c r="AR602" s="130"/>
    </row>
    <row r="603" spans="1:44" s="37" customFormat="1" ht="13.2" x14ac:dyDescent="0.25">
      <c r="A603" s="77"/>
      <c r="AR603" s="130"/>
    </row>
    <row r="604" spans="1:44" s="37" customFormat="1" ht="13.2" x14ac:dyDescent="0.25">
      <c r="A604" s="77"/>
      <c r="AR604" s="130"/>
    </row>
    <row r="605" spans="1:44" s="37" customFormat="1" ht="13.2" x14ac:dyDescent="0.25">
      <c r="A605" s="77"/>
      <c r="AR605" s="130"/>
    </row>
    <row r="606" spans="1:44" s="37" customFormat="1" ht="13.2" x14ac:dyDescent="0.25">
      <c r="A606" s="77"/>
      <c r="AR606" s="130"/>
    </row>
    <row r="607" spans="1:44" s="37" customFormat="1" ht="13.2" x14ac:dyDescent="0.25">
      <c r="A607" s="77"/>
      <c r="AR607" s="130"/>
    </row>
    <row r="608" spans="1:44" s="37" customFormat="1" ht="13.2" x14ac:dyDescent="0.25">
      <c r="A608" s="77"/>
      <c r="AR608" s="130"/>
    </row>
    <row r="609" spans="1:44" s="37" customFormat="1" ht="13.2" x14ac:dyDescent="0.25">
      <c r="A609" s="77"/>
      <c r="AR609" s="130"/>
    </row>
    <row r="610" spans="1:44" s="37" customFormat="1" ht="13.2" x14ac:dyDescent="0.25">
      <c r="A610" s="77"/>
      <c r="AR610" s="130"/>
    </row>
    <row r="611" spans="1:44" s="37" customFormat="1" ht="13.2" x14ac:dyDescent="0.25">
      <c r="A611" s="77"/>
      <c r="AR611" s="130"/>
    </row>
    <row r="612" spans="1:44" s="37" customFormat="1" ht="13.2" x14ac:dyDescent="0.25">
      <c r="A612" s="77"/>
      <c r="AR612" s="130"/>
    </row>
    <row r="613" spans="1:44" s="37" customFormat="1" ht="13.2" x14ac:dyDescent="0.25">
      <c r="A613" s="77"/>
      <c r="AR613" s="130"/>
    </row>
    <row r="614" spans="1:44" s="37" customFormat="1" ht="13.2" x14ac:dyDescent="0.25">
      <c r="A614" s="77"/>
      <c r="AR614" s="130"/>
    </row>
    <row r="615" spans="1:44" s="37" customFormat="1" ht="13.2" x14ac:dyDescent="0.25">
      <c r="A615" s="77"/>
      <c r="AR615" s="130"/>
    </row>
    <row r="616" spans="1:44" s="37" customFormat="1" ht="13.2" x14ac:dyDescent="0.25">
      <c r="A616" s="77"/>
      <c r="AR616" s="130"/>
    </row>
    <row r="617" spans="1:44" s="37" customFormat="1" ht="13.2" x14ac:dyDescent="0.25">
      <c r="A617" s="77"/>
      <c r="AR617" s="130"/>
    </row>
    <row r="618" spans="1:44" s="37" customFormat="1" ht="13.2" x14ac:dyDescent="0.25">
      <c r="A618" s="77"/>
      <c r="AR618" s="130"/>
    </row>
    <row r="619" spans="1:44" s="37" customFormat="1" ht="13.2" x14ac:dyDescent="0.25">
      <c r="A619" s="77"/>
      <c r="AR619" s="130"/>
    </row>
    <row r="620" spans="1:44" s="37" customFormat="1" ht="13.2" x14ac:dyDescent="0.25">
      <c r="A620" s="77"/>
      <c r="AR620" s="130"/>
    </row>
    <row r="621" spans="1:44" s="37" customFormat="1" ht="13.2" x14ac:dyDescent="0.25">
      <c r="A621" s="77"/>
      <c r="AR621" s="130"/>
    </row>
    <row r="622" spans="1:44" s="37" customFormat="1" ht="13.2" x14ac:dyDescent="0.25">
      <c r="A622" s="77"/>
      <c r="AR622" s="130"/>
    </row>
    <row r="623" spans="1:44" s="37" customFormat="1" ht="13.2" x14ac:dyDescent="0.25">
      <c r="A623" s="77"/>
      <c r="AR623" s="130"/>
    </row>
    <row r="624" spans="1:44" s="37" customFormat="1" ht="13.2" x14ac:dyDescent="0.25">
      <c r="A624" s="77"/>
      <c r="AR624" s="130"/>
    </row>
    <row r="625" spans="1:44" s="37" customFormat="1" ht="13.2" x14ac:dyDescent="0.25">
      <c r="A625" s="77"/>
      <c r="AR625" s="130"/>
    </row>
    <row r="626" spans="1:44" s="37" customFormat="1" ht="13.2" x14ac:dyDescent="0.25">
      <c r="A626" s="77"/>
      <c r="AR626" s="130"/>
    </row>
    <row r="627" spans="1:44" s="37" customFormat="1" ht="13.2" x14ac:dyDescent="0.25">
      <c r="A627" s="77"/>
      <c r="AR627" s="130"/>
    </row>
    <row r="628" spans="1:44" s="37" customFormat="1" ht="13.2" x14ac:dyDescent="0.25">
      <c r="A628" s="77"/>
      <c r="AR628" s="130"/>
    </row>
    <row r="629" spans="1:44" s="37" customFormat="1" ht="13.2" x14ac:dyDescent="0.25">
      <c r="A629" s="77"/>
      <c r="AR629" s="130"/>
    </row>
    <row r="630" spans="1:44" s="37" customFormat="1" ht="13.2" x14ac:dyDescent="0.25">
      <c r="A630" s="77"/>
      <c r="AR630" s="130"/>
    </row>
    <row r="631" spans="1:44" s="37" customFormat="1" ht="13.2" x14ac:dyDescent="0.25">
      <c r="A631" s="77"/>
      <c r="AR631" s="130"/>
    </row>
    <row r="632" spans="1:44" s="37" customFormat="1" ht="13.2" x14ac:dyDescent="0.25">
      <c r="A632" s="77"/>
      <c r="AR632" s="130"/>
    </row>
    <row r="633" spans="1:44" s="37" customFormat="1" ht="13.2" x14ac:dyDescent="0.25">
      <c r="A633" s="77"/>
      <c r="AR633" s="130"/>
    </row>
    <row r="634" spans="1:44" s="37" customFormat="1" ht="13.2" x14ac:dyDescent="0.25">
      <c r="A634" s="77"/>
      <c r="AR634" s="130"/>
    </row>
    <row r="635" spans="1:44" s="37" customFormat="1" ht="13.2" x14ac:dyDescent="0.25">
      <c r="A635" s="77"/>
      <c r="AR635" s="130"/>
    </row>
    <row r="636" spans="1:44" s="37" customFormat="1" ht="13.2" x14ac:dyDescent="0.25">
      <c r="A636" s="77"/>
      <c r="AR636" s="130"/>
    </row>
    <row r="637" spans="1:44" s="37" customFormat="1" ht="13.2" x14ac:dyDescent="0.25">
      <c r="A637" s="77"/>
      <c r="AR637" s="130"/>
    </row>
    <row r="638" spans="1:44" s="37" customFormat="1" ht="13.2" x14ac:dyDescent="0.25">
      <c r="A638" s="77"/>
      <c r="AR638" s="130"/>
    </row>
    <row r="639" spans="1:44" s="37" customFormat="1" ht="13.2" x14ac:dyDescent="0.25">
      <c r="A639" s="77"/>
      <c r="AR639" s="130"/>
    </row>
    <row r="640" spans="1:44" s="37" customFormat="1" ht="13.2" x14ac:dyDescent="0.25">
      <c r="A640" s="77"/>
      <c r="AR640" s="130"/>
    </row>
    <row r="641" spans="1:44" s="37" customFormat="1" ht="13.2" x14ac:dyDescent="0.25">
      <c r="A641" s="77"/>
      <c r="AR641" s="130"/>
    </row>
    <row r="642" spans="1:44" s="37" customFormat="1" ht="13.2" x14ac:dyDescent="0.25">
      <c r="A642" s="77"/>
      <c r="AR642" s="130"/>
    </row>
    <row r="643" spans="1:44" s="37" customFormat="1" ht="13.2" x14ac:dyDescent="0.25">
      <c r="A643" s="77"/>
      <c r="AR643" s="130"/>
    </row>
    <row r="644" spans="1:44" s="37" customFormat="1" ht="13.2" x14ac:dyDescent="0.25">
      <c r="A644" s="77"/>
      <c r="AR644" s="130"/>
    </row>
    <row r="645" spans="1:44" s="37" customFormat="1" ht="13.2" x14ac:dyDescent="0.25">
      <c r="A645" s="77"/>
      <c r="AR645" s="130"/>
    </row>
    <row r="646" spans="1:44" s="37" customFormat="1" ht="13.2" x14ac:dyDescent="0.25">
      <c r="A646" s="77"/>
      <c r="AR646" s="130"/>
    </row>
    <row r="647" spans="1:44" s="37" customFormat="1" ht="13.2" x14ac:dyDescent="0.25">
      <c r="A647" s="77"/>
      <c r="AR647" s="130"/>
    </row>
    <row r="648" spans="1:44" s="37" customFormat="1" ht="13.2" x14ac:dyDescent="0.25">
      <c r="A648" s="77"/>
      <c r="AR648" s="130"/>
    </row>
    <row r="649" spans="1:44" s="37" customFormat="1" ht="13.2" x14ac:dyDescent="0.25">
      <c r="A649" s="77"/>
      <c r="AR649" s="130"/>
    </row>
    <row r="650" spans="1:44" s="37" customFormat="1" ht="13.2" x14ac:dyDescent="0.25">
      <c r="A650" s="77"/>
      <c r="AR650" s="130"/>
    </row>
    <row r="651" spans="1:44" s="37" customFormat="1" ht="13.2" x14ac:dyDescent="0.25">
      <c r="A651" s="77"/>
      <c r="AR651" s="130"/>
    </row>
    <row r="652" spans="1:44" s="37" customFormat="1" ht="13.2" x14ac:dyDescent="0.25">
      <c r="A652" s="77"/>
      <c r="AR652" s="130"/>
    </row>
    <row r="653" spans="1:44" s="37" customFormat="1" ht="13.2" x14ac:dyDescent="0.25">
      <c r="A653" s="77"/>
      <c r="AR653" s="130"/>
    </row>
    <row r="654" spans="1:44" s="37" customFormat="1" ht="13.2" x14ac:dyDescent="0.25">
      <c r="A654" s="77"/>
      <c r="AR654" s="130"/>
    </row>
    <row r="655" spans="1:44" s="37" customFormat="1" ht="13.2" x14ac:dyDescent="0.25">
      <c r="A655" s="77"/>
      <c r="AR655" s="130"/>
    </row>
    <row r="656" spans="1:44" s="37" customFormat="1" ht="13.2" x14ac:dyDescent="0.25">
      <c r="A656" s="77"/>
      <c r="AR656" s="130"/>
    </row>
    <row r="657" spans="1:44" s="37" customFormat="1" ht="13.2" x14ac:dyDescent="0.25">
      <c r="A657" s="77"/>
      <c r="AR657" s="130"/>
    </row>
    <row r="658" spans="1:44" s="37" customFormat="1" ht="13.2" x14ac:dyDescent="0.25">
      <c r="A658" s="77"/>
      <c r="AR658" s="130"/>
    </row>
    <row r="659" spans="1:44" s="37" customFormat="1" ht="13.2" x14ac:dyDescent="0.25">
      <c r="A659" s="77"/>
      <c r="AR659" s="130"/>
    </row>
    <row r="660" spans="1:44" s="37" customFormat="1" ht="13.2" x14ac:dyDescent="0.25">
      <c r="A660" s="77"/>
      <c r="AR660" s="130"/>
    </row>
    <row r="661" spans="1:44" s="37" customFormat="1" ht="13.2" x14ac:dyDescent="0.25">
      <c r="A661" s="77"/>
      <c r="AR661" s="130"/>
    </row>
    <row r="662" spans="1:44" s="37" customFormat="1" ht="13.2" x14ac:dyDescent="0.25">
      <c r="A662" s="77"/>
      <c r="AR662" s="130"/>
    </row>
    <row r="663" spans="1:44" s="37" customFormat="1" ht="13.2" x14ac:dyDescent="0.25">
      <c r="A663" s="77"/>
      <c r="AR663" s="130"/>
    </row>
    <row r="664" spans="1:44" s="37" customFormat="1" ht="13.2" x14ac:dyDescent="0.25">
      <c r="A664" s="77"/>
      <c r="AR664" s="130"/>
    </row>
    <row r="665" spans="1:44" s="37" customFormat="1" ht="13.2" x14ac:dyDescent="0.25">
      <c r="A665" s="77"/>
      <c r="AR665" s="130"/>
    </row>
    <row r="666" spans="1:44" s="37" customFormat="1" ht="13.2" x14ac:dyDescent="0.25">
      <c r="A666" s="77"/>
      <c r="AR666" s="130"/>
    </row>
    <row r="667" spans="1:44" s="37" customFormat="1" ht="13.2" x14ac:dyDescent="0.25">
      <c r="A667" s="77"/>
      <c r="AR667" s="130"/>
    </row>
    <row r="668" spans="1:44" s="37" customFormat="1" ht="13.2" x14ac:dyDescent="0.25">
      <c r="A668" s="77"/>
      <c r="AR668" s="130"/>
    </row>
    <row r="669" spans="1:44" s="37" customFormat="1" ht="13.2" x14ac:dyDescent="0.25">
      <c r="A669" s="77"/>
      <c r="AR669" s="130"/>
    </row>
    <row r="670" spans="1:44" s="37" customFormat="1" ht="13.2" x14ac:dyDescent="0.25">
      <c r="A670" s="77"/>
      <c r="AR670" s="130"/>
    </row>
    <row r="671" spans="1:44" s="37" customFormat="1" ht="13.2" x14ac:dyDescent="0.25">
      <c r="A671" s="77"/>
      <c r="AR671" s="130"/>
    </row>
    <row r="672" spans="1:44" s="37" customFormat="1" ht="13.2" x14ac:dyDescent="0.25">
      <c r="A672" s="77"/>
      <c r="AR672" s="130"/>
    </row>
    <row r="673" spans="1:44" s="37" customFormat="1" ht="13.2" x14ac:dyDescent="0.25">
      <c r="A673" s="77"/>
      <c r="AR673" s="130"/>
    </row>
    <row r="674" spans="1:44" s="37" customFormat="1" ht="13.2" x14ac:dyDescent="0.25">
      <c r="A674" s="77"/>
      <c r="AR674" s="130"/>
    </row>
    <row r="675" spans="1:44" s="37" customFormat="1" ht="13.2" x14ac:dyDescent="0.25">
      <c r="A675" s="77"/>
      <c r="AR675" s="130"/>
    </row>
    <row r="676" spans="1:44" s="37" customFormat="1" ht="13.2" x14ac:dyDescent="0.25">
      <c r="A676" s="77"/>
      <c r="AR676" s="130"/>
    </row>
    <row r="677" spans="1:44" s="37" customFormat="1" ht="13.2" x14ac:dyDescent="0.25">
      <c r="A677" s="77"/>
      <c r="AR677" s="130"/>
    </row>
    <row r="678" spans="1:44" s="37" customFormat="1" ht="13.2" x14ac:dyDescent="0.25">
      <c r="A678" s="77"/>
      <c r="AR678" s="130"/>
    </row>
    <row r="679" spans="1:44" s="37" customFormat="1" ht="13.2" x14ac:dyDescent="0.25">
      <c r="A679" s="77"/>
      <c r="AR679" s="130"/>
    </row>
    <row r="680" spans="1:44" s="37" customFormat="1" ht="13.2" x14ac:dyDescent="0.25">
      <c r="A680" s="77"/>
      <c r="AR680" s="130"/>
    </row>
    <row r="681" spans="1:44" s="37" customFormat="1" ht="13.2" x14ac:dyDescent="0.25">
      <c r="A681" s="77"/>
      <c r="AR681" s="130"/>
    </row>
    <row r="682" spans="1:44" s="37" customFormat="1" ht="13.2" x14ac:dyDescent="0.25">
      <c r="A682" s="77"/>
      <c r="AR682" s="130"/>
    </row>
    <row r="683" spans="1:44" s="37" customFormat="1" ht="13.2" x14ac:dyDescent="0.25">
      <c r="A683" s="77"/>
      <c r="AR683" s="130"/>
    </row>
    <row r="684" spans="1:44" s="37" customFormat="1" ht="13.2" x14ac:dyDescent="0.25">
      <c r="A684" s="77"/>
      <c r="AR684" s="130"/>
    </row>
    <row r="685" spans="1:44" s="37" customFormat="1" ht="13.2" x14ac:dyDescent="0.25">
      <c r="A685" s="77"/>
      <c r="AR685" s="130"/>
    </row>
    <row r="686" spans="1:44" s="37" customFormat="1" ht="13.2" x14ac:dyDescent="0.25">
      <c r="A686" s="77"/>
      <c r="AR686" s="130"/>
    </row>
    <row r="687" spans="1:44" s="37" customFormat="1" ht="13.2" x14ac:dyDescent="0.25">
      <c r="A687" s="77"/>
      <c r="AR687" s="130"/>
    </row>
    <row r="688" spans="1:44" s="37" customFormat="1" ht="13.2" x14ac:dyDescent="0.25">
      <c r="A688" s="77"/>
      <c r="AR688" s="130"/>
    </row>
    <row r="689" spans="1:44" s="37" customFormat="1" ht="13.2" x14ac:dyDescent="0.25">
      <c r="A689" s="77"/>
      <c r="AR689" s="130"/>
    </row>
    <row r="690" spans="1:44" s="37" customFormat="1" ht="13.2" x14ac:dyDescent="0.25">
      <c r="A690" s="77"/>
      <c r="AR690" s="130"/>
    </row>
    <row r="691" spans="1:44" s="37" customFormat="1" ht="13.2" x14ac:dyDescent="0.25">
      <c r="A691" s="77"/>
      <c r="AR691" s="130"/>
    </row>
    <row r="692" spans="1:44" s="37" customFormat="1" ht="13.2" x14ac:dyDescent="0.25">
      <c r="A692" s="77"/>
      <c r="AR692" s="130"/>
    </row>
    <row r="693" spans="1:44" s="37" customFormat="1" ht="13.2" x14ac:dyDescent="0.25">
      <c r="A693" s="77"/>
      <c r="AR693" s="130"/>
    </row>
    <row r="694" spans="1:44" s="37" customFormat="1" ht="13.2" x14ac:dyDescent="0.25">
      <c r="A694" s="77"/>
      <c r="AR694" s="130"/>
    </row>
    <row r="695" spans="1:44" s="37" customFormat="1" ht="13.2" x14ac:dyDescent="0.25">
      <c r="A695" s="77"/>
      <c r="AR695" s="130"/>
    </row>
    <row r="696" spans="1:44" s="37" customFormat="1" ht="13.2" x14ac:dyDescent="0.25">
      <c r="A696" s="77"/>
      <c r="AR696" s="130"/>
    </row>
    <row r="697" spans="1:44" s="37" customFormat="1" ht="13.2" x14ac:dyDescent="0.25">
      <c r="A697" s="77"/>
      <c r="AR697" s="130"/>
    </row>
    <row r="698" spans="1:44" s="37" customFormat="1" ht="13.2" x14ac:dyDescent="0.25">
      <c r="A698" s="77"/>
      <c r="AR698" s="130"/>
    </row>
    <row r="699" spans="1:44" s="37" customFormat="1" ht="13.2" x14ac:dyDescent="0.25">
      <c r="A699" s="77"/>
      <c r="AR699" s="130"/>
    </row>
    <row r="700" spans="1:44" s="37" customFormat="1" ht="13.2" x14ac:dyDescent="0.25">
      <c r="A700" s="77"/>
      <c r="AR700" s="130"/>
    </row>
    <row r="701" spans="1:44" s="37" customFormat="1" ht="13.2" x14ac:dyDescent="0.25">
      <c r="A701" s="77"/>
      <c r="AR701" s="130"/>
    </row>
    <row r="702" spans="1:44" s="37" customFormat="1" ht="13.2" x14ac:dyDescent="0.25">
      <c r="A702" s="77"/>
      <c r="AR702" s="130"/>
    </row>
    <row r="703" spans="1:44" s="37" customFormat="1" ht="13.2" x14ac:dyDescent="0.25">
      <c r="A703" s="77"/>
      <c r="AR703" s="130"/>
    </row>
    <row r="704" spans="1:44" s="37" customFormat="1" ht="13.2" x14ac:dyDescent="0.25">
      <c r="A704" s="77"/>
      <c r="AR704" s="130"/>
    </row>
    <row r="705" spans="1:44" s="37" customFormat="1" ht="13.2" x14ac:dyDescent="0.25">
      <c r="A705" s="77"/>
      <c r="AR705" s="130"/>
    </row>
    <row r="706" spans="1:44" s="37" customFormat="1" ht="13.2" x14ac:dyDescent="0.25">
      <c r="A706" s="77"/>
      <c r="AR706" s="130"/>
    </row>
    <row r="707" spans="1:44" s="37" customFormat="1" ht="13.2" x14ac:dyDescent="0.25">
      <c r="A707" s="77"/>
      <c r="AR707" s="130"/>
    </row>
    <row r="708" spans="1:44" s="37" customFormat="1" ht="13.2" x14ac:dyDescent="0.25">
      <c r="A708" s="77"/>
      <c r="AR708" s="130"/>
    </row>
    <row r="709" spans="1:44" s="37" customFormat="1" ht="13.2" x14ac:dyDescent="0.25">
      <c r="A709" s="77"/>
      <c r="AR709" s="130"/>
    </row>
    <row r="710" spans="1:44" s="37" customFormat="1" ht="13.2" x14ac:dyDescent="0.25">
      <c r="A710" s="77"/>
      <c r="AR710" s="130"/>
    </row>
    <row r="711" spans="1:44" s="37" customFormat="1" ht="13.2" x14ac:dyDescent="0.25">
      <c r="A711" s="77"/>
      <c r="AR711" s="130"/>
    </row>
    <row r="712" spans="1:44" s="37" customFormat="1" ht="13.2" x14ac:dyDescent="0.25">
      <c r="A712" s="77"/>
      <c r="AR712" s="130"/>
    </row>
    <row r="713" spans="1:44" s="37" customFormat="1" ht="13.2" x14ac:dyDescent="0.25">
      <c r="A713" s="77"/>
      <c r="AR713" s="130"/>
    </row>
    <row r="714" spans="1:44" s="37" customFormat="1" ht="13.2" x14ac:dyDescent="0.25">
      <c r="A714" s="77"/>
      <c r="AR714" s="130"/>
    </row>
    <row r="715" spans="1:44" s="37" customFormat="1" ht="13.2" x14ac:dyDescent="0.25">
      <c r="A715" s="77"/>
      <c r="AR715" s="130"/>
    </row>
    <row r="716" spans="1:44" s="37" customFormat="1" ht="13.2" x14ac:dyDescent="0.25">
      <c r="A716" s="77"/>
      <c r="AR716" s="130"/>
    </row>
    <row r="717" spans="1:44" s="37" customFormat="1" ht="13.2" x14ac:dyDescent="0.25">
      <c r="A717" s="77"/>
      <c r="AR717" s="130"/>
    </row>
    <row r="718" spans="1:44" s="37" customFormat="1" ht="13.2" x14ac:dyDescent="0.25">
      <c r="A718" s="77"/>
      <c r="AR718" s="130"/>
    </row>
    <row r="719" spans="1:44" s="37" customFormat="1" ht="13.2" x14ac:dyDescent="0.25">
      <c r="A719" s="77"/>
      <c r="AR719" s="130"/>
    </row>
    <row r="720" spans="1:44" s="37" customFormat="1" ht="13.2" x14ac:dyDescent="0.25">
      <c r="A720" s="77"/>
      <c r="AR720" s="130"/>
    </row>
    <row r="721" spans="1:44" s="37" customFormat="1" ht="13.2" x14ac:dyDescent="0.25">
      <c r="A721" s="77"/>
      <c r="AR721" s="130"/>
    </row>
    <row r="722" spans="1:44" s="37" customFormat="1" ht="13.2" x14ac:dyDescent="0.25">
      <c r="A722" s="77"/>
      <c r="AR722" s="130"/>
    </row>
    <row r="723" spans="1:44" s="37" customFormat="1" ht="13.2" x14ac:dyDescent="0.25">
      <c r="A723" s="77"/>
      <c r="AR723" s="130"/>
    </row>
    <row r="724" spans="1:44" s="37" customFormat="1" ht="13.2" x14ac:dyDescent="0.25">
      <c r="A724" s="77"/>
      <c r="AR724" s="130"/>
    </row>
    <row r="725" spans="1:44" s="37" customFormat="1" ht="13.2" x14ac:dyDescent="0.25">
      <c r="A725" s="77"/>
      <c r="AR725" s="130"/>
    </row>
    <row r="726" spans="1:44" s="37" customFormat="1" ht="13.2" x14ac:dyDescent="0.25">
      <c r="A726" s="77"/>
      <c r="AR726" s="130"/>
    </row>
    <row r="727" spans="1:44" s="37" customFormat="1" ht="13.2" x14ac:dyDescent="0.25">
      <c r="A727" s="77"/>
      <c r="AR727" s="130"/>
    </row>
    <row r="728" spans="1:44" s="37" customFormat="1" ht="13.2" x14ac:dyDescent="0.25">
      <c r="A728" s="77"/>
      <c r="AR728" s="130"/>
    </row>
    <row r="729" spans="1:44" s="37" customFormat="1" ht="13.2" x14ac:dyDescent="0.25">
      <c r="A729" s="77"/>
      <c r="AR729" s="130"/>
    </row>
    <row r="730" spans="1:44" s="37" customFormat="1" ht="13.2" x14ac:dyDescent="0.25">
      <c r="A730" s="77"/>
      <c r="AR730" s="130"/>
    </row>
    <row r="731" spans="1:44" s="37" customFormat="1" ht="13.2" x14ac:dyDescent="0.25">
      <c r="A731" s="77"/>
      <c r="AR731" s="130"/>
    </row>
    <row r="732" spans="1:44" s="37" customFormat="1" ht="13.2" x14ac:dyDescent="0.25">
      <c r="A732" s="77"/>
      <c r="AR732" s="130"/>
    </row>
    <row r="733" spans="1:44" s="37" customFormat="1" ht="13.2" x14ac:dyDescent="0.25">
      <c r="A733" s="77"/>
      <c r="AR733" s="130"/>
    </row>
    <row r="734" spans="1:44" s="37" customFormat="1" ht="13.2" x14ac:dyDescent="0.25">
      <c r="A734" s="77"/>
      <c r="AR734" s="130"/>
    </row>
    <row r="735" spans="1:44" s="37" customFormat="1" ht="13.2" x14ac:dyDescent="0.25">
      <c r="A735" s="77"/>
      <c r="AR735" s="130"/>
    </row>
    <row r="736" spans="1:44" s="37" customFormat="1" ht="13.2" x14ac:dyDescent="0.25">
      <c r="A736" s="77"/>
      <c r="AR736" s="130"/>
    </row>
    <row r="737" spans="1:44" s="37" customFormat="1" ht="13.2" x14ac:dyDescent="0.25">
      <c r="A737" s="77"/>
      <c r="AR737" s="130"/>
    </row>
    <row r="738" spans="1:44" s="37" customFormat="1" ht="13.2" x14ac:dyDescent="0.25">
      <c r="A738" s="77"/>
      <c r="AR738" s="130"/>
    </row>
    <row r="739" spans="1:44" s="37" customFormat="1" ht="13.2" x14ac:dyDescent="0.25">
      <c r="A739" s="77"/>
      <c r="AR739" s="130"/>
    </row>
    <row r="740" spans="1:44" s="37" customFormat="1" ht="13.2" x14ac:dyDescent="0.25">
      <c r="A740" s="77"/>
      <c r="AR740" s="130"/>
    </row>
    <row r="741" spans="1:44" s="37" customFormat="1" ht="13.2" x14ac:dyDescent="0.25">
      <c r="A741" s="77"/>
      <c r="AR741" s="130"/>
    </row>
    <row r="742" spans="1:44" x14ac:dyDescent="0.3">
      <c r="A742" s="77"/>
    </row>
    <row r="743" spans="1:44" x14ac:dyDescent="0.3">
      <c r="A743" s="77"/>
    </row>
    <row r="744" spans="1:44" x14ac:dyDescent="0.3">
      <c r="A744" s="77"/>
    </row>
    <row r="745" spans="1:44" x14ac:dyDescent="0.3">
      <c r="A745" s="77"/>
    </row>
    <row r="746" spans="1:44" x14ac:dyDescent="0.3">
      <c r="A746" s="77"/>
    </row>
    <row r="747" spans="1:44" x14ac:dyDescent="0.3">
      <c r="A747" s="77"/>
    </row>
    <row r="748" spans="1:44" x14ac:dyDescent="0.3">
      <c r="A748" s="77"/>
    </row>
    <row r="749" spans="1:44" x14ac:dyDescent="0.3">
      <c r="A749" s="77"/>
    </row>
    <row r="750" spans="1:44" x14ac:dyDescent="0.3">
      <c r="A750" s="77"/>
    </row>
    <row r="751" spans="1:44" x14ac:dyDescent="0.3">
      <c r="A751" s="77"/>
    </row>
    <row r="752" spans="1:44" x14ac:dyDescent="0.3">
      <c r="A752" s="77"/>
    </row>
    <row r="753" spans="1:1" x14ac:dyDescent="0.3">
      <c r="A753" s="77"/>
    </row>
    <row r="754" spans="1:1" x14ac:dyDescent="0.3">
      <c r="A754" s="77"/>
    </row>
    <row r="755" spans="1:1" x14ac:dyDescent="0.3">
      <c r="A755" s="77"/>
    </row>
    <row r="756" spans="1:1" x14ac:dyDescent="0.3">
      <c r="A756" s="77"/>
    </row>
    <row r="757" spans="1:1" x14ac:dyDescent="0.3">
      <c r="A757" s="77"/>
    </row>
    <row r="758" spans="1:1" x14ac:dyDescent="0.3">
      <c r="A758" s="77"/>
    </row>
    <row r="759" spans="1:1" x14ac:dyDescent="0.3">
      <c r="A759" s="77"/>
    </row>
    <row r="760" spans="1:1" x14ac:dyDescent="0.3">
      <c r="A760" s="77"/>
    </row>
    <row r="761" spans="1:1" x14ac:dyDescent="0.3">
      <c r="A761" s="77"/>
    </row>
    <row r="762" spans="1:1" x14ac:dyDescent="0.3">
      <c r="A762" s="77"/>
    </row>
    <row r="763" spans="1:1" x14ac:dyDescent="0.3">
      <c r="A763" s="77"/>
    </row>
    <row r="764" spans="1:1" x14ac:dyDescent="0.3">
      <c r="A764" s="77"/>
    </row>
    <row r="765" spans="1:1" x14ac:dyDescent="0.3">
      <c r="A765" s="77"/>
    </row>
    <row r="766" spans="1:1" x14ac:dyDescent="0.3">
      <c r="A766" s="77"/>
    </row>
    <row r="767" spans="1:1" x14ac:dyDescent="0.3">
      <c r="A767" s="77"/>
    </row>
    <row r="768" spans="1:1" x14ac:dyDescent="0.3">
      <c r="A768" s="77"/>
    </row>
    <row r="769" spans="1:1" x14ac:dyDescent="0.3">
      <c r="A769" s="77"/>
    </row>
    <row r="770" spans="1:1" x14ac:dyDescent="0.3">
      <c r="A770" s="77"/>
    </row>
    <row r="771" spans="1:1" x14ac:dyDescent="0.3">
      <c r="A771" s="77"/>
    </row>
    <row r="772" spans="1:1" x14ac:dyDescent="0.3">
      <c r="A772" s="77"/>
    </row>
    <row r="773" spans="1:1" x14ac:dyDescent="0.3">
      <c r="A773" s="77"/>
    </row>
    <row r="774" spans="1:1" x14ac:dyDescent="0.3">
      <c r="A774" s="77"/>
    </row>
    <row r="775" spans="1:1" x14ac:dyDescent="0.3">
      <c r="A775" s="77"/>
    </row>
    <row r="776" spans="1:1" x14ac:dyDescent="0.3">
      <c r="A776" s="77"/>
    </row>
    <row r="777" spans="1:1" x14ac:dyDescent="0.3">
      <c r="A777" s="77"/>
    </row>
    <row r="778" spans="1:1" x14ac:dyDescent="0.3">
      <c r="A778" s="77"/>
    </row>
    <row r="779" spans="1:1" x14ac:dyDescent="0.3">
      <c r="A779" s="77"/>
    </row>
    <row r="780" spans="1:1" x14ac:dyDescent="0.3">
      <c r="A780" s="77"/>
    </row>
    <row r="781" spans="1:1" x14ac:dyDescent="0.3">
      <c r="A781" s="77"/>
    </row>
    <row r="782" spans="1:1" x14ac:dyDescent="0.3">
      <c r="A782" s="77"/>
    </row>
    <row r="783" spans="1:1" x14ac:dyDescent="0.3">
      <c r="A783" s="77"/>
    </row>
    <row r="784" spans="1:1" x14ac:dyDescent="0.3">
      <c r="A784" s="77"/>
    </row>
    <row r="785" spans="1:1" x14ac:dyDescent="0.3">
      <c r="A785" s="77"/>
    </row>
    <row r="786" spans="1:1" x14ac:dyDescent="0.3">
      <c r="A786" s="77"/>
    </row>
    <row r="787" spans="1:1" x14ac:dyDescent="0.3">
      <c r="A787" s="77"/>
    </row>
    <row r="788" spans="1:1" x14ac:dyDescent="0.3">
      <c r="A788" s="77"/>
    </row>
    <row r="789" spans="1:1" x14ac:dyDescent="0.3">
      <c r="A789" s="77"/>
    </row>
    <row r="790" spans="1:1" x14ac:dyDescent="0.3">
      <c r="A790" s="77"/>
    </row>
    <row r="791" spans="1:1" x14ac:dyDescent="0.3">
      <c r="A791" s="77"/>
    </row>
    <row r="792" spans="1:1" x14ac:dyDescent="0.3">
      <c r="A792" s="77"/>
    </row>
    <row r="793" spans="1:1" x14ac:dyDescent="0.3">
      <c r="A793" s="77"/>
    </row>
    <row r="794" spans="1:1" x14ac:dyDescent="0.3">
      <c r="A794" s="77"/>
    </row>
    <row r="795" spans="1:1" x14ac:dyDescent="0.3">
      <c r="A795" s="77"/>
    </row>
    <row r="796" spans="1:1" x14ac:dyDescent="0.3">
      <c r="A796" s="77"/>
    </row>
    <row r="797" spans="1:1" x14ac:dyDescent="0.3">
      <c r="A797" s="77"/>
    </row>
    <row r="798" spans="1:1" x14ac:dyDescent="0.3">
      <c r="A798" s="77"/>
    </row>
    <row r="799" spans="1:1" x14ac:dyDescent="0.3">
      <c r="A799" s="77"/>
    </row>
    <row r="800" spans="1:1" x14ac:dyDescent="0.3">
      <c r="A800" s="77"/>
    </row>
    <row r="801" spans="1:1" x14ac:dyDescent="0.3">
      <c r="A801" s="77"/>
    </row>
    <row r="802" spans="1:1" x14ac:dyDescent="0.3">
      <c r="A802" s="77"/>
    </row>
    <row r="803" spans="1:1" x14ac:dyDescent="0.3">
      <c r="A803" s="77"/>
    </row>
    <row r="804" spans="1:1" x14ac:dyDescent="0.3">
      <c r="A804" s="77"/>
    </row>
  </sheetData>
  <mergeCells count="2">
    <mergeCell ref="BI3:BN3"/>
    <mergeCell ref="E2:BC2"/>
  </mergeCells>
  <conditionalFormatting sqref="H5:H6">
    <cfRule type="expression" dxfId="10" priority="60">
      <formula>#REF!&lt;&gt;""</formula>
    </cfRule>
  </conditionalFormatting>
  <conditionalFormatting sqref="H7">
    <cfRule type="expression" dxfId="9" priority="4">
      <formula>#REF!&lt;&gt;""</formula>
    </cfRule>
  </conditionalFormatting>
  <conditionalFormatting sqref="H8">
    <cfRule type="expression" dxfId="8" priority="3">
      <formula>#REF!&lt;&gt;""</formula>
    </cfRule>
  </conditionalFormatting>
  <conditionalFormatting sqref="H9">
    <cfRule type="expression" dxfId="7" priority="2">
      <formula>#REF!&lt;&gt;""</formula>
    </cfRule>
  </conditionalFormatting>
  <conditionalFormatting sqref="H10">
    <cfRule type="expression" dxfId="6" priority="1">
      <formula>#REF!&lt;&gt;""</formula>
    </cfRule>
  </conditionalFormatting>
  <dataValidations count="35">
    <dataValidation allowBlank="1" showErrorMessage="1" errorTitle="Date invalide" error="This date is invalid. Please write a date in the proper format and between 2024-04-01 and 2025-03-31." prompt="." sqref="D3:D4 D11:D1048576" xr:uid="{EB14B563-C4D2-455B-A4C5-93B3E46AE827}"/>
    <dataValidation allowBlank="1" showInputMessage="1" showErrorMessage="1" sqref="AK4:AL4" xr:uid="{EFAB4B4D-BF89-455C-9CFD-C770DC55B668}"/>
    <dataValidation type="list" allowBlank="1" showInputMessage="1" showErrorMessage="1" sqref="E5:E10" xr:uid="{107066D5-1369-432E-894D-CEBAB3198E04}">
      <formula1>Actual_Place</formula1>
    </dataValidation>
    <dataValidation type="list" allowBlank="1" showInputMessage="1" showErrorMessage="1" sqref="AB5:AB10" xr:uid="{1FB7ED2F-5044-4F35-81A0-918EDBB63587}">
      <formula1>Blood_Lost</formula1>
    </dataValidation>
    <dataValidation type="list" allowBlank="1" showInputMessage="1" showErrorMessage="1" sqref="AE5:AE10" xr:uid="{ECB56246-ED1C-46DA-A737-4081ADC11CCB}">
      <formula1>Blood_Transfusion</formula1>
    </dataValidation>
    <dataValidation type="list" allowBlank="1" showInputMessage="1" showErrorMessage="1" sqref="I5:I10" xr:uid="{50B3C4C1-35EC-4A9C-B54E-90FDD0A917C1}">
      <formula1>Birth_Position</formula1>
    </dataValidation>
    <dataValidation type="list" allowBlank="1" showInputMessage="1" showErrorMessage="1" sqref="AZ5:BA10 AE5:AE10 AB5:AB10 AK5:AL10" xr:uid="{430DF557-597F-416E-84D3-0EC62F0F4471}">
      <formula1>N_A</formula1>
    </dataValidation>
    <dataValidation allowBlank="1" showInputMessage="1" showErrorMessage="1" errorTitle="Date invalide" promptTitle="Do not modify" prompt="This cell is calculated automatically" sqref="O5:O10" xr:uid="{AA259FDB-69C9-4F66-A1F1-EF5DFFA48A15}"/>
    <dataValidation type="list" allowBlank="1" showInputMessage="1" showErrorMessage="1" sqref="T5:T10" xr:uid="{3B588498-807A-41C0-AC46-552F088EFBEC}">
      <formula1>Pain_Medication</formula1>
    </dataValidation>
    <dataValidation type="list" allowBlank="1" showInputMessage="1" showErrorMessage="1" sqref="X5:X10" xr:uid="{F75FA7D0-A32E-4096-9754-74A2240A1ADC}">
      <formula1>Episiotomy</formula1>
    </dataValidation>
    <dataValidation type="list" allowBlank="1" showInputMessage="1" showErrorMessage="1" sqref="Y5:Y10" xr:uid="{0D6EDE84-2C06-4281-A55B-DE4DDEB8EA6B}">
      <formula1>Perineal_Lacerations</formula1>
    </dataValidation>
    <dataValidation type="list" allowBlank="1" showInputMessage="1" showErrorMessage="1" sqref="AS5:AS10" xr:uid="{B13D33C2-7447-43A8-9276-3A34EFC81B67}">
      <formula1>Birth_Assistanct</formula1>
    </dataValidation>
    <dataValidation type="list" allowBlank="1" showInputMessage="1" showErrorMessage="1" sqref="BB5:BB10" xr:uid="{7B82C382-C864-4D75-88B9-65F314C0108C}">
      <formula1>Reason_Intrapartum_Consult</formula1>
    </dataValidation>
    <dataValidation type="list" allowBlank="1" showInputMessage="1" showErrorMessage="1" sqref="W5:W10" xr:uid="{66175FE5-572D-471D-B648-7B9BD4789A28}">
      <formula1>Assisted_vaginal_Birth</formula1>
    </dataValidation>
    <dataValidation type="list" allowBlank="1" showInputMessage="1" showErrorMessage="1" sqref="Z5:Z10" xr:uid="{33ECE5AF-D59D-400B-8F90-8B9BC2375CEF}">
      <formula1>Other_Lacerations</formula1>
    </dataValidation>
    <dataValidation type="list" allowBlank="1" showInputMessage="1" showErrorMessage="1" sqref="BC5:BC10" xr:uid="{46832BF3-0378-4855-860C-D48CE4964E6D}">
      <formula1>Consult_Made</formula1>
    </dataValidation>
    <dataValidation type="list" allowBlank="1" showInputMessage="1" showErrorMessage="1" sqref="BE5:BE10" xr:uid="{E09B8B8A-3973-43E7-A60A-BAB169FD03CE}">
      <formula1>Intrapartum_Transfer_To</formula1>
    </dataValidation>
    <dataValidation type="list" allowBlank="1" showInputMessage="1" showErrorMessage="1" sqref="BH5:BH10" xr:uid="{C5C50AC9-04B1-4E1E-8382-6EC2A3F22810}">
      <formula1>Incubator</formula1>
    </dataValidation>
    <dataValidation type="list" allowBlank="1" showInputMessage="1" showErrorMessage="1" sqref="R5:R10" xr:uid="{2B0530F1-6F37-4705-91C5-B783ABBE6B9E}">
      <formula1>GBS_Status</formula1>
    </dataValidation>
    <dataValidation type="list" allowBlank="1" showInputMessage="1" showErrorMessage="1" sqref="S5:S10" xr:uid="{CE19AFCC-AE8A-45AD-9F5D-19738B13F155}">
      <formula1>GBS_ATB</formula1>
    </dataValidation>
    <dataValidation type="list" allowBlank="1" showInputMessage="1" showErrorMessage="1" sqref="C5:C10" xr:uid="{910A2459-E637-4C48-A0EC-0342594C8126}">
      <formula1>PPOB</formula1>
    </dataValidation>
    <dataValidation type="list" allowBlank="1" showInputMessage="1" showErrorMessage="1" sqref="U5:U10" xr:uid="{2BFC764D-280A-41BC-8CC0-0673E2330114}">
      <formula1>Fetal_IA</formula1>
    </dataValidation>
    <dataValidation type="list" allowBlank="1" showInputMessage="1" showErrorMessage="1" sqref="V5:V10" xr:uid="{37AB5075-E957-4A67-82DA-3BB8F89CA6D1}">
      <formula1>Fetal_EFM</formula1>
    </dataValidation>
    <dataValidation type="list" allowBlank="1" showInputMessage="1" showErrorMessage="1" sqref="AF5:AF10" xr:uid="{A2D12840-641D-438A-978C-F6784D138FE0}">
      <formula1>Shoulder_Dys</formula1>
    </dataValidation>
    <dataValidation type="list" allowBlank="1" showInputMessage="1" showErrorMessage="1" sqref="AN5:AN10" xr:uid="{24315D72-16E7-49B6-871D-509E632F3BBC}">
      <formula1>Placenta</formula1>
    </dataValidation>
    <dataValidation type="list" allowBlank="1" showInputMessage="1" showErrorMessage="1" sqref="BF5:BF10" xr:uid="{7F147C98-20DD-4780-91F5-260993D8B88A}">
      <formula1>Medical_Evac</formula1>
    </dataValidation>
    <dataValidation type="list" allowBlank="1" showInputMessage="1" showErrorMessage="1" sqref="H5:H10" xr:uid="{DC66CDBB-3FC5-47A4-BAC4-8F9C3261AC5B}">
      <formula1>Delivery_Mode</formula1>
    </dataValidation>
    <dataValidation type="list" allowBlank="1" showInputMessage="1" showErrorMessage="1" sqref="AG5:AG10" xr:uid="{C13C0489-431C-410A-ACDC-E898854BE7EA}">
      <formula1>Neonatal_Vent</formula1>
    </dataValidation>
    <dataValidation type="list" allowBlank="1" showInputMessage="1" showErrorMessage="1" sqref="AH5:AH10" xr:uid="{F94EBBB3-3633-4489-91FA-32AD17E5A6B0}">
      <formula1>Neonatal_Chest</formula1>
    </dataValidation>
    <dataValidation type="list" allowBlank="1" showInputMessage="1" showErrorMessage="1" sqref="J5:J10" xr:uid="{491D66C1-D699-4D87-B3B5-3D264F2A34FD}">
      <formula1>Intrapart</formula1>
    </dataValidation>
    <dataValidation type="list" allowBlank="1" showInputMessage="1" showErrorMessage="1" sqref="AA5:AA10" xr:uid="{41788EFC-B1F4-494C-8BEC-F5DBEC3BBA46}">
      <formula1>Souture</formula1>
    </dataValidation>
    <dataValidation type="list" allowBlank="1" showInputMessage="1" showErrorMessage="1" sqref="D5:D10" xr:uid="{CA8D2300-EA72-43EE-939B-B22B64934A95}">
      <formula1>Birth_Location</formula1>
    </dataValidation>
    <dataValidation type="list" allowBlank="1" showInputMessage="1" showErrorMessage="1" sqref="AL5:AM10" xr:uid="{5B0AD307-2BF0-47E5-9EE1-8D232D81D31B}">
      <formula1>Feeding_Type</formula1>
    </dataValidation>
    <dataValidation type="list" allowBlank="1" showErrorMessage="1" prompt="Enter or select the reference number that is associated with the client in the Individuals Identification sheet" sqref="A5:A804" xr:uid="{F72BE002-4D4C-444F-B7C8-0A7F05C3AAA8}">
      <formula1>Yes</formula1>
    </dataValidation>
    <dataValidation type="date" allowBlank="1" showErrorMessage="1" error="This date is invalid. Please write a date in the proper format and between 2025-04-01 and 2026-03-31." promptTitle="Invalid date" prompt="." sqref="F5:F6 F8:F10 F7" xr:uid="{4FE201A6-03D5-4E71-B823-37FFAE4CBDCE}">
      <formula1>45748</formula1>
      <formula2>46112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2B087-A8B7-4F58-AF95-DFE16E996485}">
          <x14:formula1>
            <xm:f>Lists!$BS$2:$BS$11</xm:f>
          </x14:formula1>
          <xm:sqref>AC5:AC10</xm:sqref>
        </x14:dataValidation>
        <x14:dataValidation type="list" allowBlank="1" showInputMessage="1" showErrorMessage="1" xr:uid="{8B4C2B9D-813A-40C4-BF9D-EA88DA552414}">
          <x14:formula1>
            <xm:f>Lists!$CF$2:$CF$30</xm:f>
          </x14:formula1>
          <xm:sqref>BD5:BD10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CD92A-006A-47EA-A823-A8684E0FA5E5}">
  <sheetPr codeName="Sheet4">
    <tabColor theme="5" tint="0.79998168889431442"/>
  </sheetPr>
  <dimension ref="A2:V804"/>
  <sheetViews>
    <sheetView workbookViewId="0">
      <selection activeCell="C7" sqref="C7"/>
    </sheetView>
  </sheetViews>
  <sheetFormatPr defaultColWidth="11.5546875" defaultRowHeight="14.4" x14ac:dyDescent="0.3"/>
  <cols>
    <col min="1" max="1" width="6.6640625" style="47" bestFit="1" customWidth="1"/>
    <col min="2" max="2" width="11.109375" bestFit="1" customWidth="1"/>
    <col min="3" max="3" width="15.6640625" customWidth="1"/>
    <col min="4" max="4" width="14.6640625" bestFit="1" customWidth="1"/>
    <col min="5" max="5" width="26" bestFit="1" customWidth="1"/>
    <col min="6" max="6" width="21.109375" customWidth="1"/>
    <col min="7" max="7" width="17.6640625" customWidth="1"/>
    <col min="8" max="8" width="34.33203125" customWidth="1"/>
    <col min="9" max="9" width="27.109375" bestFit="1" customWidth="1"/>
    <col min="10" max="10" width="13.109375" customWidth="1"/>
    <col min="11" max="11" width="44.33203125" customWidth="1"/>
    <col min="12" max="12" width="27.109375" bestFit="1" customWidth="1"/>
    <col min="13" max="13" width="17.88671875" customWidth="1"/>
    <col min="14" max="14" width="40.109375" customWidth="1"/>
    <col min="15" max="15" width="23.109375" bestFit="1" customWidth="1"/>
    <col min="16" max="16" width="25.6640625" bestFit="1" customWidth="1"/>
    <col min="17" max="17" width="48" customWidth="1"/>
    <col min="18" max="18" width="21.109375" bestFit="1" customWidth="1"/>
    <col min="19" max="19" width="18.33203125" bestFit="1" customWidth="1"/>
  </cols>
  <sheetData>
    <row r="2" spans="1:22" ht="15" customHeight="1" x14ac:dyDescent="0.3">
      <c r="D2" s="209"/>
      <c r="E2" s="209"/>
      <c r="F2" s="209"/>
      <c r="G2" s="209"/>
      <c r="H2" s="209"/>
      <c r="I2" s="581" t="s">
        <v>640</v>
      </c>
      <c r="J2" s="581"/>
      <c r="K2" s="581"/>
      <c r="L2" s="581"/>
      <c r="M2" s="581"/>
      <c r="N2" s="581"/>
      <c r="O2" s="209"/>
      <c r="P2" s="209"/>
      <c r="Q2" s="358"/>
      <c r="R2" s="358"/>
      <c r="S2" s="358"/>
    </row>
    <row r="3" spans="1:22" s="7" customFormat="1" ht="15" customHeight="1" x14ac:dyDescent="0.3">
      <c r="A3" s="356"/>
      <c r="B3" s="106"/>
      <c r="C3" s="106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297"/>
      <c r="R3" s="580" t="s">
        <v>471</v>
      </c>
      <c r="S3" s="580"/>
      <c r="T3" s="580"/>
      <c r="U3" s="580"/>
      <c r="V3" s="580"/>
    </row>
    <row r="4" spans="1:22" s="40" customFormat="1" ht="98.4" customHeight="1" x14ac:dyDescent="0.35">
      <c r="A4" s="357" t="s">
        <v>536</v>
      </c>
      <c r="B4" s="542" t="s">
        <v>537</v>
      </c>
      <c r="C4" s="543" t="s">
        <v>641</v>
      </c>
      <c r="D4" s="339" t="s">
        <v>642</v>
      </c>
      <c r="E4" s="339" t="s">
        <v>643</v>
      </c>
      <c r="F4" s="339" t="s">
        <v>644</v>
      </c>
      <c r="G4" s="339" t="s">
        <v>645</v>
      </c>
      <c r="H4" s="339" t="s">
        <v>646</v>
      </c>
      <c r="I4" s="339" t="s">
        <v>647</v>
      </c>
      <c r="J4" s="339" t="s">
        <v>648</v>
      </c>
      <c r="K4" s="339" t="s">
        <v>649</v>
      </c>
      <c r="L4" s="339" t="s">
        <v>650</v>
      </c>
      <c r="M4" s="339" t="s">
        <v>651</v>
      </c>
      <c r="N4" s="339" t="s">
        <v>652</v>
      </c>
      <c r="O4" s="339" t="s">
        <v>653</v>
      </c>
      <c r="P4" s="339" t="s">
        <v>654</v>
      </c>
      <c r="Q4" s="339" t="s">
        <v>655</v>
      </c>
      <c r="R4" s="39"/>
      <c r="S4" s="39"/>
    </row>
    <row r="5" spans="1:22" s="37" customFormat="1" ht="15" hidden="1" customHeight="1" x14ac:dyDescent="0.25">
      <c r="A5" s="77"/>
      <c r="B5" s="77" t="s">
        <v>581</v>
      </c>
      <c r="C5" s="78"/>
      <c r="D5" s="111"/>
      <c r="E5" s="112"/>
      <c r="F5" s="77"/>
      <c r="G5" s="111"/>
      <c r="H5" s="111" t="str">
        <f>IF(OR($G5="No"), "N/A","")</f>
        <v/>
      </c>
      <c r="I5" s="119" t="str">
        <f>IF(OR($G5="No"), "N/A","")</f>
        <v/>
      </c>
      <c r="J5" s="111"/>
      <c r="K5" s="111" t="str">
        <f>IF(OR($J5="No"), "N/A","")</f>
        <v/>
      </c>
      <c r="L5" s="119" t="str">
        <f>IF(OR($J5="No"), "N/A","")</f>
        <v/>
      </c>
      <c r="M5" s="111"/>
      <c r="N5" s="111" t="str">
        <f>IF(OR($M5="No"), "N/A","")</f>
        <v/>
      </c>
      <c r="O5" s="119" t="str">
        <f>IF(OR($M5="No"), "N/A","")</f>
        <v/>
      </c>
      <c r="P5" s="111"/>
      <c r="Q5" s="525"/>
    </row>
    <row r="6" spans="1:22" s="37" customFormat="1" ht="15" hidden="1" customHeight="1" x14ac:dyDescent="0.25">
      <c r="A6" s="77"/>
      <c r="B6" s="41" t="s">
        <v>581</v>
      </c>
      <c r="C6" s="78"/>
      <c r="D6" s="111"/>
      <c r="E6" s="112"/>
      <c r="F6" s="77"/>
      <c r="G6" s="111"/>
      <c r="H6" s="111" t="str">
        <f t="shared" ref="H6:I6" si="0">IF(OR($G6="No"), "N/A","")</f>
        <v/>
      </c>
      <c r="I6" s="119" t="str">
        <f t="shared" si="0"/>
        <v/>
      </c>
      <c r="J6" s="111"/>
      <c r="K6" s="111" t="str">
        <f t="shared" ref="K6" si="1">IF(OR($J6="No"), "N/A","")</f>
        <v/>
      </c>
      <c r="L6" s="119" t="str">
        <f t="shared" ref="L6" si="2">IF(OR($J6="No"), "N/A","")</f>
        <v/>
      </c>
      <c r="M6" s="111"/>
      <c r="N6" s="111" t="str">
        <f t="shared" ref="N6:O6" si="3">IF(OR($M6="No"), "N/A","")</f>
        <v/>
      </c>
      <c r="O6" s="119" t="str">
        <f t="shared" si="3"/>
        <v/>
      </c>
      <c r="P6" s="111"/>
      <c r="Q6" s="526"/>
    </row>
    <row r="7" spans="1:22" s="37" customFormat="1" ht="13.2" x14ac:dyDescent="0.25">
      <c r="A7" s="77" t="s">
        <v>0</v>
      </c>
      <c r="B7" s="77" t="s">
        <v>581</v>
      </c>
      <c r="C7" s="78"/>
      <c r="D7" s="111"/>
      <c r="E7" s="112"/>
      <c r="F7" s="77"/>
      <c r="G7" s="111"/>
      <c r="H7" s="111" t="str">
        <f t="shared" ref="H7:I9" si="4">IF(OR($G7="No"), "N/A","")</f>
        <v/>
      </c>
      <c r="I7" s="119" t="str">
        <f t="shared" si="4"/>
        <v/>
      </c>
      <c r="J7" s="111"/>
      <c r="K7" s="111" t="str">
        <f t="shared" ref="K7:L9" si="5">IF(OR($J7="No"), "N/A","")</f>
        <v/>
      </c>
      <c r="L7" s="119" t="str">
        <f t="shared" si="5"/>
        <v/>
      </c>
      <c r="M7" s="111"/>
      <c r="N7" s="111" t="str">
        <f t="shared" ref="N7:O9" si="6">IF(OR($M7="No"), "N/A","")</f>
        <v/>
      </c>
      <c r="O7" s="119" t="str">
        <f t="shared" si="6"/>
        <v/>
      </c>
      <c r="P7" s="111"/>
      <c r="Q7" s="525"/>
    </row>
    <row r="8" spans="1:22" s="37" customFormat="1" ht="13.2" x14ac:dyDescent="0.25">
      <c r="A8" s="77" t="s">
        <v>0</v>
      </c>
      <c r="B8" s="77" t="s">
        <v>581</v>
      </c>
      <c r="C8" s="78"/>
      <c r="D8" s="111"/>
      <c r="E8" s="112"/>
      <c r="F8" s="77"/>
      <c r="G8" s="111"/>
      <c r="H8" s="111" t="str">
        <f t="shared" si="4"/>
        <v/>
      </c>
      <c r="I8" s="119" t="str">
        <f t="shared" si="4"/>
        <v/>
      </c>
      <c r="J8" s="111"/>
      <c r="K8" s="111" t="str">
        <f t="shared" si="5"/>
        <v/>
      </c>
      <c r="L8" s="119" t="str">
        <f t="shared" si="5"/>
        <v/>
      </c>
      <c r="M8" s="111"/>
      <c r="N8" s="111" t="str">
        <f t="shared" si="6"/>
        <v/>
      </c>
      <c r="O8" s="119" t="str">
        <f t="shared" si="6"/>
        <v/>
      </c>
      <c r="P8" s="111"/>
      <c r="Q8" s="525"/>
    </row>
    <row r="9" spans="1:22" s="37" customFormat="1" ht="13.2" x14ac:dyDescent="0.25">
      <c r="A9" s="77" t="s">
        <v>0</v>
      </c>
      <c r="B9" s="77" t="s">
        <v>581</v>
      </c>
      <c r="C9" s="78"/>
      <c r="D9" s="111"/>
      <c r="E9" s="112"/>
      <c r="F9" s="77"/>
      <c r="G9" s="111"/>
      <c r="H9" s="111" t="str">
        <f t="shared" si="4"/>
        <v/>
      </c>
      <c r="I9" s="119" t="str">
        <f t="shared" si="4"/>
        <v/>
      </c>
      <c r="J9" s="111"/>
      <c r="K9" s="111" t="str">
        <f t="shared" si="5"/>
        <v/>
      </c>
      <c r="L9" s="119" t="str">
        <f t="shared" si="5"/>
        <v/>
      </c>
      <c r="M9" s="111"/>
      <c r="N9" s="111" t="str">
        <f t="shared" si="6"/>
        <v/>
      </c>
      <c r="O9" s="119" t="str">
        <f t="shared" si="6"/>
        <v/>
      </c>
      <c r="P9" s="111"/>
      <c r="Q9" s="525"/>
    </row>
    <row r="10" spans="1:22" s="37" customFormat="1" ht="13.2" x14ac:dyDescent="0.25">
      <c r="A10" s="77"/>
    </row>
    <row r="11" spans="1:22" s="37" customFormat="1" ht="13.2" x14ac:dyDescent="0.25">
      <c r="A11" s="77"/>
    </row>
    <row r="12" spans="1:22" s="37" customFormat="1" ht="13.2" x14ac:dyDescent="0.25">
      <c r="A12" s="77"/>
    </row>
    <row r="13" spans="1:22" s="37" customFormat="1" ht="13.2" x14ac:dyDescent="0.25">
      <c r="A13" s="77"/>
    </row>
    <row r="14" spans="1:22" s="37" customFormat="1" ht="13.2" x14ac:dyDescent="0.25">
      <c r="A14" s="77"/>
    </row>
    <row r="15" spans="1:22" s="37" customFormat="1" ht="13.2" x14ac:dyDescent="0.25">
      <c r="A15" s="77"/>
    </row>
    <row r="16" spans="1:22" s="37" customFormat="1" ht="13.2" x14ac:dyDescent="0.25">
      <c r="A16" s="77"/>
    </row>
    <row r="17" spans="1:1" s="37" customFormat="1" ht="13.2" x14ac:dyDescent="0.25">
      <c r="A17" s="77"/>
    </row>
    <row r="18" spans="1:1" s="37" customFormat="1" ht="13.2" x14ac:dyDescent="0.25">
      <c r="A18" s="77"/>
    </row>
    <row r="19" spans="1:1" s="37" customFormat="1" ht="13.2" x14ac:dyDescent="0.25">
      <c r="A19" s="77"/>
    </row>
    <row r="20" spans="1:1" s="37" customFormat="1" ht="13.2" x14ac:dyDescent="0.25">
      <c r="A20" s="77"/>
    </row>
    <row r="21" spans="1:1" s="37" customFormat="1" ht="13.2" x14ac:dyDescent="0.25">
      <c r="A21" s="77"/>
    </row>
    <row r="22" spans="1:1" s="37" customFormat="1" ht="13.2" x14ac:dyDescent="0.25">
      <c r="A22" s="77"/>
    </row>
    <row r="23" spans="1:1" s="37" customFormat="1" ht="13.2" x14ac:dyDescent="0.25">
      <c r="A23" s="77"/>
    </row>
    <row r="24" spans="1:1" s="37" customFormat="1" ht="13.2" x14ac:dyDescent="0.25">
      <c r="A24" s="77"/>
    </row>
    <row r="25" spans="1:1" s="37" customFormat="1" ht="13.2" x14ac:dyDescent="0.25">
      <c r="A25" s="77"/>
    </row>
    <row r="26" spans="1:1" s="37" customFormat="1" ht="13.2" x14ac:dyDescent="0.25">
      <c r="A26" s="77"/>
    </row>
    <row r="27" spans="1:1" s="37" customFormat="1" ht="13.2" x14ac:dyDescent="0.25">
      <c r="A27" s="77"/>
    </row>
    <row r="28" spans="1:1" s="37" customFormat="1" ht="13.2" x14ac:dyDescent="0.25">
      <c r="A28" s="77"/>
    </row>
    <row r="29" spans="1:1" s="37" customFormat="1" ht="13.2" x14ac:dyDescent="0.25">
      <c r="A29" s="77"/>
    </row>
    <row r="30" spans="1:1" s="37" customFormat="1" ht="13.2" x14ac:dyDescent="0.25">
      <c r="A30" s="77"/>
    </row>
    <row r="31" spans="1:1" s="37" customFormat="1" ht="13.2" x14ac:dyDescent="0.25">
      <c r="A31" s="77"/>
    </row>
    <row r="32" spans="1:1" s="37" customFormat="1" ht="13.2" x14ac:dyDescent="0.25">
      <c r="A32" s="77"/>
    </row>
    <row r="33" spans="1:1" s="37" customFormat="1" ht="13.2" x14ac:dyDescent="0.25">
      <c r="A33" s="77"/>
    </row>
    <row r="34" spans="1:1" s="37" customFormat="1" ht="13.2" x14ac:dyDescent="0.25">
      <c r="A34" s="77"/>
    </row>
    <row r="35" spans="1:1" s="37" customFormat="1" ht="13.2" x14ac:dyDescent="0.25">
      <c r="A35" s="77"/>
    </row>
    <row r="36" spans="1:1" s="37" customFormat="1" ht="13.2" x14ac:dyDescent="0.25">
      <c r="A36" s="77"/>
    </row>
    <row r="37" spans="1:1" s="37" customFormat="1" ht="13.2" x14ac:dyDescent="0.25">
      <c r="A37" s="77"/>
    </row>
    <row r="38" spans="1:1" s="37" customFormat="1" ht="13.2" x14ac:dyDescent="0.25">
      <c r="A38" s="77"/>
    </row>
    <row r="39" spans="1:1" s="37" customFormat="1" ht="13.2" x14ac:dyDescent="0.25">
      <c r="A39" s="77"/>
    </row>
    <row r="40" spans="1:1" s="37" customFormat="1" ht="13.2" x14ac:dyDescent="0.25">
      <c r="A40" s="77"/>
    </row>
    <row r="41" spans="1:1" s="37" customFormat="1" ht="13.2" x14ac:dyDescent="0.25">
      <c r="A41" s="77"/>
    </row>
    <row r="42" spans="1:1" s="37" customFormat="1" ht="13.2" x14ac:dyDescent="0.25">
      <c r="A42" s="77"/>
    </row>
    <row r="43" spans="1:1" s="37" customFormat="1" ht="13.2" x14ac:dyDescent="0.25">
      <c r="A43" s="77"/>
    </row>
    <row r="44" spans="1:1" s="37" customFormat="1" ht="13.2" x14ac:dyDescent="0.25">
      <c r="A44" s="77"/>
    </row>
    <row r="45" spans="1:1" s="37" customFormat="1" ht="13.2" x14ac:dyDescent="0.25">
      <c r="A45" s="77"/>
    </row>
    <row r="46" spans="1:1" s="37" customFormat="1" ht="13.2" x14ac:dyDescent="0.25">
      <c r="A46" s="77"/>
    </row>
    <row r="47" spans="1:1" s="37" customFormat="1" ht="13.2" x14ac:dyDescent="0.25">
      <c r="A47" s="77"/>
    </row>
    <row r="48" spans="1:1" s="37" customFormat="1" ht="13.2" x14ac:dyDescent="0.25">
      <c r="A48" s="77"/>
    </row>
    <row r="49" spans="1:1" s="37" customFormat="1" ht="13.2" x14ac:dyDescent="0.25">
      <c r="A49" s="77"/>
    </row>
    <row r="50" spans="1:1" s="37" customFormat="1" ht="13.2" x14ac:dyDescent="0.25">
      <c r="A50" s="77"/>
    </row>
    <row r="51" spans="1:1" s="37" customFormat="1" ht="13.2" x14ac:dyDescent="0.25">
      <c r="A51" s="77"/>
    </row>
    <row r="52" spans="1:1" s="37" customFormat="1" ht="13.2" x14ac:dyDescent="0.25">
      <c r="A52" s="77"/>
    </row>
    <row r="53" spans="1:1" s="37" customFormat="1" ht="13.2" x14ac:dyDescent="0.25">
      <c r="A53" s="77"/>
    </row>
    <row r="54" spans="1:1" s="37" customFormat="1" ht="13.2" x14ac:dyDescent="0.25">
      <c r="A54" s="77"/>
    </row>
    <row r="55" spans="1:1" s="37" customFormat="1" ht="13.2" x14ac:dyDescent="0.25">
      <c r="A55" s="77"/>
    </row>
    <row r="56" spans="1:1" s="37" customFormat="1" ht="13.2" x14ac:dyDescent="0.25">
      <c r="A56" s="77"/>
    </row>
    <row r="57" spans="1:1" s="37" customFormat="1" ht="13.2" x14ac:dyDescent="0.25">
      <c r="A57" s="77"/>
    </row>
    <row r="58" spans="1:1" s="37" customFormat="1" ht="13.2" x14ac:dyDescent="0.25">
      <c r="A58" s="77"/>
    </row>
    <row r="59" spans="1:1" s="37" customFormat="1" ht="13.2" x14ac:dyDescent="0.25">
      <c r="A59" s="77"/>
    </row>
    <row r="60" spans="1:1" s="37" customFormat="1" ht="13.2" x14ac:dyDescent="0.25">
      <c r="A60" s="77"/>
    </row>
    <row r="61" spans="1:1" s="37" customFormat="1" ht="13.2" x14ac:dyDescent="0.25">
      <c r="A61" s="77"/>
    </row>
    <row r="62" spans="1:1" s="37" customFormat="1" ht="13.2" x14ac:dyDescent="0.25">
      <c r="A62" s="77"/>
    </row>
    <row r="63" spans="1:1" s="37" customFormat="1" ht="13.2" x14ac:dyDescent="0.25">
      <c r="A63" s="77"/>
    </row>
    <row r="64" spans="1:1" s="37" customFormat="1" ht="13.2" x14ac:dyDescent="0.25">
      <c r="A64" s="77"/>
    </row>
    <row r="65" spans="1:1" s="37" customFormat="1" ht="13.2" x14ac:dyDescent="0.25">
      <c r="A65" s="77"/>
    </row>
    <row r="66" spans="1:1" s="37" customFormat="1" ht="13.2" x14ac:dyDescent="0.25">
      <c r="A66" s="77"/>
    </row>
    <row r="67" spans="1:1" s="37" customFormat="1" ht="13.2" x14ac:dyDescent="0.25">
      <c r="A67" s="77"/>
    </row>
    <row r="68" spans="1:1" s="37" customFormat="1" ht="13.2" x14ac:dyDescent="0.25">
      <c r="A68" s="77"/>
    </row>
    <row r="69" spans="1:1" s="37" customFormat="1" ht="13.2" x14ac:dyDescent="0.25">
      <c r="A69" s="77"/>
    </row>
    <row r="70" spans="1:1" s="37" customFormat="1" ht="13.2" x14ac:dyDescent="0.25">
      <c r="A70" s="77"/>
    </row>
    <row r="71" spans="1:1" s="37" customFormat="1" ht="13.2" x14ac:dyDescent="0.25">
      <c r="A71" s="77"/>
    </row>
    <row r="72" spans="1:1" s="37" customFormat="1" ht="13.2" x14ac:dyDescent="0.25">
      <c r="A72" s="77"/>
    </row>
    <row r="73" spans="1:1" s="37" customFormat="1" ht="13.2" x14ac:dyDescent="0.25">
      <c r="A73" s="77"/>
    </row>
    <row r="74" spans="1:1" s="37" customFormat="1" ht="13.2" x14ac:dyDescent="0.25">
      <c r="A74" s="77"/>
    </row>
    <row r="75" spans="1:1" s="37" customFormat="1" ht="13.2" x14ac:dyDescent="0.25">
      <c r="A75" s="77"/>
    </row>
    <row r="76" spans="1:1" s="37" customFormat="1" ht="13.2" x14ac:dyDescent="0.25">
      <c r="A76" s="77"/>
    </row>
    <row r="77" spans="1:1" s="37" customFormat="1" ht="13.2" x14ac:dyDescent="0.25">
      <c r="A77" s="77"/>
    </row>
    <row r="78" spans="1:1" s="37" customFormat="1" ht="13.2" x14ac:dyDescent="0.25">
      <c r="A78" s="77"/>
    </row>
    <row r="79" spans="1:1" s="37" customFormat="1" ht="13.2" x14ac:dyDescent="0.25">
      <c r="A79" s="77"/>
    </row>
    <row r="80" spans="1:1" s="37" customFormat="1" ht="13.2" x14ac:dyDescent="0.25">
      <c r="A80" s="77"/>
    </row>
    <row r="81" spans="1:1" s="37" customFormat="1" ht="13.2" x14ac:dyDescent="0.25">
      <c r="A81" s="77"/>
    </row>
    <row r="82" spans="1:1" s="37" customFormat="1" ht="13.2" x14ac:dyDescent="0.25">
      <c r="A82" s="77"/>
    </row>
    <row r="83" spans="1:1" s="37" customFormat="1" ht="13.2" x14ac:dyDescent="0.25">
      <c r="A83" s="77"/>
    </row>
    <row r="84" spans="1:1" s="37" customFormat="1" ht="13.2" x14ac:dyDescent="0.25">
      <c r="A84" s="77"/>
    </row>
    <row r="85" spans="1:1" s="37" customFormat="1" ht="13.2" x14ac:dyDescent="0.25">
      <c r="A85" s="77"/>
    </row>
    <row r="86" spans="1:1" s="37" customFormat="1" ht="13.2" x14ac:dyDescent="0.25">
      <c r="A86" s="77"/>
    </row>
    <row r="87" spans="1:1" s="37" customFormat="1" ht="13.2" x14ac:dyDescent="0.25">
      <c r="A87" s="77"/>
    </row>
    <row r="88" spans="1:1" s="37" customFormat="1" ht="13.2" x14ac:dyDescent="0.25">
      <c r="A88" s="77"/>
    </row>
    <row r="89" spans="1:1" s="37" customFormat="1" ht="13.2" x14ac:dyDescent="0.25">
      <c r="A89" s="77"/>
    </row>
    <row r="90" spans="1:1" s="37" customFormat="1" ht="13.2" x14ac:dyDescent="0.25">
      <c r="A90" s="77"/>
    </row>
    <row r="91" spans="1:1" s="37" customFormat="1" ht="13.2" x14ac:dyDescent="0.25">
      <c r="A91" s="77"/>
    </row>
    <row r="92" spans="1:1" s="37" customFormat="1" ht="13.2" x14ac:dyDescent="0.25">
      <c r="A92" s="77"/>
    </row>
    <row r="93" spans="1:1" s="37" customFormat="1" ht="13.2" x14ac:dyDescent="0.25">
      <c r="A93" s="77"/>
    </row>
    <row r="94" spans="1:1" s="37" customFormat="1" ht="13.2" x14ac:dyDescent="0.25">
      <c r="A94" s="77"/>
    </row>
    <row r="95" spans="1:1" s="37" customFormat="1" ht="13.2" x14ac:dyDescent="0.25">
      <c r="A95" s="77"/>
    </row>
    <row r="96" spans="1:1" s="37" customFormat="1" ht="13.2" x14ac:dyDescent="0.25">
      <c r="A96" s="77"/>
    </row>
    <row r="97" spans="1:1" s="37" customFormat="1" ht="13.2" x14ac:dyDescent="0.25">
      <c r="A97" s="77"/>
    </row>
    <row r="98" spans="1:1" s="37" customFormat="1" ht="13.2" x14ac:dyDescent="0.25">
      <c r="A98" s="77"/>
    </row>
    <row r="99" spans="1:1" s="37" customFormat="1" ht="13.2" x14ac:dyDescent="0.25">
      <c r="A99" s="77"/>
    </row>
    <row r="100" spans="1:1" s="37" customFormat="1" ht="13.2" x14ac:dyDescent="0.25">
      <c r="A100" s="77"/>
    </row>
    <row r="101" spans="1:1" s="37" customFormat="1" ht="13.2" x14ac:dyDescent="0.25">
      <c r="A101" s="77"/>
    </row>
    <row r="102" spans="1:1" s="37" customFormat="1" ht="13.2" x14ac:dyDescent="0.25">
      <c r="A102" s="77"/>
    </row>
    <row r="103" spans="1:1" s="37" customFormat="1" ht="13.2" x14ac:dyDescent="0.25">
      <c r="A103" s="77"/>
    </row>
    <row r="104" spans="1:1" s="37" customFormat="1" ht="13.2" x14ac:dyDescent="0.25">
      <c r="A104" s="77"/>
    </row>
    <row r="105" spans="1:1" s="37" customFormat="1" ht="13.2" x14ac:dyDescent="0.25">
      <c r="A105" s="77"/>
    </row>
    <row r="106" spans="1:1" s="37" customFormat="1" ht="13.2" x14ac:dyDescent="0.25">
      <c r="A106" s="77"/>
    </row>
    <row r="107" spans="1:1" s="37" customFormat="1" ht="13.2" x14ac:dyDescent="0.25">
      <c r="A107" s="77"/>
    </row>
    <row r="108" spans="1:1" s="37" customFormat="1" ht="13.2" x14ac:dyDescent="0.25">
      <c r="A108" s="77"/>
    </row>
    <row r="109" spans="1:1" s="37" customFormat="1" ht="13.2" x14ac:dyDescent="0.25">
      <c r="A109" s="77"/>
    </row>
    <row r="110" spans="1:1" s="37" customFormat="1" ht="13.2" x14ac:dyDescent="0.25">
      <c r="A110" s="77"/>
    </row>
    <row r="111" spans="1:1" s="37" customFormat="1" ht="13.2" x14ac:dyDescent="0.25">
      <c r="A111" s="77"/>
    </row>
    <row r="112" spans="1:1" s="37" customFormat="1" ht="13.2" x14ac:dyDescent="0.25">
      <c r="A112" s="77"/>
    </row>
    <row r="113" spans="1:1" s="37" customFormat="1" ht="13.2" x14ac:dyDescent="0.25">
      <c r="A113" s="77"/>
    </row>
    <row r="114" spans="1:1" s="37" customFormat="1" ht="13.2" x14ac:dyDescent="0.25">
      <c r="A114" s="77"/>
    </row>
    <row r="115" spans="1:1" s="37" customFormat="1" ht="13.2" x14ac:dyDescent="0.25">
      <c r="A115" s="77"/>
    </row>
    <row r="116" spans="1:1" s="37" customFormat="1" ht="13.2" x14ac:dyDescent="0.25">
      <c r="A116" s="77"/>
    </row>
    <row r="117" spans="1:1" s="37" customFormat="1" ht="13.2" x14ac:dyDescent="0.25">
      <c r="A117" s="77"/>
    </row>
    <row r="118" spans="1:1" s="37" customFormat="1" ht="13.2" x14ac:dyDescent="0.25">
      <c r="A118" s="77"/>
    </row>
    <row r="119" spans="1:1" s="37" customFormat="1" ht="13.2" x14ac:dyDescent="0.25">
      <c r="A119" s="77"/>
    </row>
    <row r="120" spans="1:1" s="37" customFormat="1" ht="13.2" x14ac:dyDescent="0.25">
      <c r="A120" s="77"/>
    </row>
    <row r="121" spans="1:1" s="37" customFormat="1" ht="13.2" x14ac:dyDescent="0.25">
      <c r="A121" s="77"/>
    </row>
    <row r="122" spans="1:1" s="37" customFormat="1" ht="13.2" x14ac:dyDescent="0.25">
      <c r="A122" s="77"/>
    </row>
    <row r="123" spans="1:1" s="37" customFormat="1" ht="13.2" x14ac:dyDescent="0.25">
      <c r="A123" s="77"/>
    </row>
    <row r="124" spans="1:1" s="37" customFormat="1" ht="13.2" x14ac:dyDescent="0.25">
      <c r="A124" s="77"/>
    </row>
    <row r="125" spans="1:1" s="37" customFormat="1" ht="13.2" x14ac:dyDescent="0.25">
      <c r="A125" s="77"/>
    </row>
    <row r="126" spans="1:1" s="37" customFormat="1" ht="13.2" x14ac:dyDescent="0.25">
      <c r="A126" s="77"/>
    </row>
    <row r="127" spans="1:1" s="37" customFormat="1" ht="13.2" x14ac:dyDescent="0.25">
      <c r="A127" s="77"/>
    </row>
    <row r="128" spans="1:1" s="37" customFormat="1" ht="13.2" x14ac:dyDescent="0.25">
      <c r="A128" s="77"/>
    </row>
    <row r="129" spans="1:1" s="37" customFormat="1" ht="13.2" x14ac:dyDescent="0.25">
      <c r="A129" s="77"/>
    </row>
    <row r="130" spans="1:1" s="37" customFormat="1" ht="13.2" x14ac:dyDescent="0.25">
      <c r="A130" s="77"/>
    </row>
    <row r="131" spans="1:1" s="37" customFormat="1" ht="13.2" x14ac:dyDescent="0.25">
      <c r="A131" s="77"/>
    </row>
    <row r="132" spans="1:1" s="37" customFormat="1" ht="13.2" x14ac:dyDescent="0.25">
      <c r="A132" s="77"/>
    </row>
    <row r="133" spans="1:1" s="37" customFormat="1" ht="13.2" x14ac:dyDescent="0.25">
      <c r="A133" s="77"/>
    </row>
    <row r="134" spans="1:1" s="37" customFormat="1" ht="13.2" x14ac:dyDescent="0.25">
      <c r="A134" s="77"/>
    </row>
    <row r="135" spans="1:1" s="37" customFormat="1" ht="13.2" x14ac:dyDescent="0.25">
      <c r="A135" s="77"/>
    </row>
    <row r="136" spans="1:1" s="37" customFormat="1" ht="13.2" x14ac:dyDescent="0.25">
      <c r="A136" s="77"/>
    </row>
    <row r="137" spans="1:1" s="37" customFormat="1" ht="13.2" x14ac:dyDescent="0.25">
      <c r="A137" s="77"/>
    </row>
    <row r="138" spans="1:1" s="37" customFormat="1" ht="13.2" x14ac:dyDescent="0.25">
      <c r="A138" s="77"/>
    </row>
    <row r="139" spans="1:1" s="37" customFormat="1" ht="13.2" x14ac:dyDescent="0.25">
      <c r="A139" s="77"/>
    </row>
    <row r="140" spans="1:1" s="37" customFormat="1" ht="13.2" x14ac:dyDescent="0.25">
      <c r="A140" s="77"/>
    </row>
    <row r="141" spans="1:1" s="37" customFormat="1" ht="13.2" x14ac:dyDescent="0.25">
      <c r="A141" s="77"/>
    </row>
    <row r="142" spans="1:1" s="37" customFormat="1" ht="13.2" x14ac:dyDescent="0.25">
      <c r="A142" s="77"/>
    </row>
    <row r="143" spans="1:1" s="37" customFormat="1" ht="13.2" x14ac:dyDescent="0.25">
      <c r="A143" s="77"/>
    </row>
    <row r="144" spans="1:1" s="37" customFormat="1" ht="13.2" x14ac:dyDescent="0.25">
      <c r="A144" s="77"/>
    </row>
    <row r="145" spans="1:1" s="37" customFormat="1" ht="13.2" x14ac:dyDescent="0.25">
      <c r="A145" s="77"/>
    </row>
    <row r="146" spans="1:1" s="37" customFormat="1" ht="13.2" x14ac:dyDescent="0.25">
      <c r="A146" s="77"/>
    </row>
    <row r="147" spans="1:1" s="37" customFormat="1" ht="13.2" x14ac:dyDescent="0.25">
      <c r="A147" s="77"/>
    </row>
    <row r="148" spans="1:1" s="37" customFormat="1" ht="13.2" x14ac:dyDescent="0.25">
      <c r="A148" s="77"/>
    </row>
    <row r="149" spans="1:1" s="37" customFormat="1" ht="13.2" x14ac:dyDescent="0.25">
      <c r="A149" s="77"/>
    </row>
    <row r="150" spans="1:1" s="37" customFormat="1" ht="13.2" x14ac:dyDescent="0.25">
      <c r="A150" s="77"/>
    </row>
    <row r="151" spans="1:1" s="37" customFormat="1" ht="13.2" x14ac:dyDescent="0.25">
      <c r="A151" s="77"/>
    </row>
    <row r="152" spans="1:1" s="37" customFormat="1" ht="13.2" x14ac:dyDescent="0.25">
      <c r="A152" s="77"/>
    </row>
    <row r="153" spans="1:1" s="37" customFormat="1" ht="13.2" x14ac:dyDescent="0.25">
      <c r="A153" s="77"/>
    </row>
    <row r="154" spans="1:1" s="37" customFormat="1" ht="13.2" x14ac:dyDescent="0.25">
      <c r="A154" s="77"/>
    </row>
    <row r="155" spans="1:1" s="37" customFormat="1" ht="13.2" x14ac:dyDescent="0.25">
      <c r="A155" s="77"/>
    </row>
    <row r="156" spans="1:1" s="37" customFormat="1" ht="13.2" x14ac:dyDescent="0.25">
      <c r="A156" s="77"/>
    </row>
    <row r="157" spans="1:1" s="37" customFormat="1" ht="13.2" x14ac:dyDescent="0.25">
      <c r="A157" s="77"/>
    </row>
    <row r="158" spans="1:1" s="37" customFormat="1" ht="13.2" x14ac:dyDescent="0.25">
      <c r="A158" s="77"/>
    </row>
    <row r="159" spans="1:1" s="37" customFormat="1" ht="13.2" x14ac:dyDescent="0.25">
      <c r="A159" s="77"/>
    </row>
    <row r="160" spans="1:1" s="37" customFormat="1" ht="13.2" x14ac:dyDescent="0.25">
      <c r="A160" s="77"/>
    </row>
    <row r="161" spans="1:1" s="37" customFormat="1" ht="13.2" x14ac:dyDescent="0.25">
      <c r="A161" s="77"/>
    </row>
    <row r="162" spans="1:1" s="37" customFormat="1" ht="13.2" x14ac:dyDescent="0.25">
      <c r="A162" s="77"/>
    </row>
    <row r="163" spans="1:1" s="37" customFormat="1" ht="13.2" x14ac:dyDescent="0.25">
      <c r="A163" s="77"/>
    </row>
    <row r="164" spans="1:1" s="37" customFormat="1" ht="13.2" x14ac:dyDescent="0.25">
      <c r="A164" s="77"/>
    </row>
    <row r="165" spans="1:1" s="37" customFormat="1" ht="13.2" x14ac:dyDescent="0.25">
      <c r="A165" s="77"/>
    </row>
    <row r="166" spans="1:1" s="37" customFormat="1" ht="13.2" x14ac:dyDescent="0.25">
      <c r="A166" s="77"/>
    </row>
    <row r="167" spans="1:1" s="37" customFormat="1" ht="13.2" x14ac:dyDescent="0.25">
      <c r="A167" s="77"/>
    </row>
    <row r="168" spans="1:1" s="37" customFormat="1" ht="13.2" x14ac:dyDescent="0.25">
      <c r="A168" s="77"/>
    </row>
    <row r="169" spans="1:1" s="37" customFormat="1" ht="13.2" x14ac:dyDescent="0.25">
      <c r="A169" s="77"/>
    </row>
    <row r="170" spans="1:1" s="37" customFormat="1" ht="13.2" x14ac:dyDescent="0.25">
      <c r="A170" s="77"/>
    </row>
    <row r="171" spans="1:1" s="37" customFormat="1" ht="13.2" x14ac:dyDescent="0.25">
      <c r="A171" s="77"/>
    </row>
    <row r="172" spans="1:1" s="37" customFormat="1" ht="13.2" x14ac:dyDescent="0.25">
      <c r="A172" s="77"/>
    </row>
    <row r="173" spans="1:1" s="37" customFormat="1" ht="13.2" x14ac:dyDescent="0.25">
      <c r="A173" s="77"/>
    </row>
    <row r="174" spans="1:1" s="37" customFormat="1" ht="13.2" x14ac:dyDescent="0.25">
      <c r="A174" s="77"/>
    </row>
    <row r="175" spans="1:1" s="37" customFormat="1" ht="13.2" x14ac:dyDescent="0.25">
      <c r="A175" s="77"/>
    </row>
    <row r="176" spans="1:1" s="37" customFormat="1" ht="13.2" x14ac:dyDescent="0.25">
      <c r="A176" s="77"/>
    </row>
    <row r="177" spans="1:1" s="37" customFormat="1" ht="13.2" x14ac:dyDescent="0.25">
      <c r="A177" s="77"/>
    </row>
    <row r="178" spans="1:1" s="37" customFormat="1" ht="13.2" x14ac:dyDescent="0.25">
      <c r="A178" s="77"/>
    </row>
    <row r="179" spans="1:1" s="37" customFormat="1" ht="13.2" x14ac:dyDescent="0.25">
      <c r="A179" s="77"/>
    </row>
    <row r="180" spans="1:1" s="37" customFormat="1" ht="13.2" x14ac:dyDescent="0.25">
      <c r="A180" s="77"/>
    </row>
    <row r="181" spans="1:1" s="37" customFormat="1" ht="13.2" x14ac:dyDescent="0.25">
      <c r="A181" s="77"/>
    </row>
    <row r="182" spans="1:1" s="37" customFormat="1" ht="13.2" x14ac:dyDescent="0.25">
      <c r="A182" s="77"/>
    </row>
    <row r="183" spans="1:1" s="37" customFormat="1" ht="13.2" x14ac:dyDescent="0.25">
      <c r="A183" s="77"/>
    </row>
    <row r="184" spans="1:1" s="37" customFormat="1" ht="13.2" x14ac:dyDescent="0.25">
      <c r="A184" s="77"/>
    </row>
    <row r="185" spans="1:1" s="37" customFormat="1" ht="13.2" x14ac:dyDescent="0.25">
      <c r="A185" s="77"/>
    </row>
    <row r="186" spans="1:1" s="37" customFormat="1" ht="13.2" x14ac:dyDescent="0.25">
      <c r="A186" s="77"/>
    </row>
    <row r="187" spans="1:1" s="37" customFormat="1" ht="13.2" x14ac:dyDescent="0.25">
      <c r="A187" s="77"/>
    </row>
    <row r="188" spans="1:1" s="37" customFormat="1" ht="13.2" x14ac:dyDescent="0.25">
      <c r="A188" s="77"/>
    </row>
    <row r="189" spans="1:1" s="37" customFormat="1" ht="13.2" x14ac:dyDescent="0.25">
      <c r="A189" s="77"/>
    </row>
    <row r="190" spans="1:1" s="37" customFormat="1" ht="13.2" x14ac:dyDescent="0.25">
      <c r="A190" s="77"/>
    </row>
    <row r="191" spans="1:1" s="37" customFormat="1" ht="13.2" x14ac:dyDescent="0.25">
      <c r="A191" s="77"/>
    </row>
    <row r="192" spans="1:1" s="37" customFormat="1" ht="13.2" x14ac:dyDescent="0.25">
      <c r="A192" s="77"/>
    </row>
    <row r="193" spans="1:1" s="37" customFormat="1" ht="13.2" x14ac:dyDescent="0.25">
      <c r="A193" s="77"/>
    </row>
    <row r="194" spans="1:1" s="37" customFormat="1" ht="13.2" x14ac:dyDescent="0.25">
      <c r="A194" s="77"/>
    </row>
    <row r="195" spans="1:1" s="37" customFormat="1" ht="13.2" x14ac:dyDescent="0.25">
      <c r="A195" s="77"/>
    </row>
    <row r="196" spans="1:1" s="37" customFormat="1" ht="13.2" x14ac:dyDescent="0.25">
      <c r="A196" s="77"/>
    </row>
    <row r="197" spans="1:1" s="37" customFormat="1" ht="13.2" x14ac:dyDescent="0.25">
      <c r="A197" s="77"/>
    </row>
    <row r="198" spans="1:1" s="37" customFormat="1" ht="13.2" x14ac:dyDescent="0.25">
      <c r="A198" s="77"/>
    </row>
    <row r="199" spans="1:1" s="37" customFormat="1" ht="13.2" x14ac:dyDescent="0.25">
      <c r="A199" s="77"/>
    </row>
    <row r="200" spans="1:1" s="37" customFormat="1" ht="13.2" x14ac:dyDescent="0.25">
      <c r="A200" s="77"/>
    </row>
    <row r="201" spans="1:1" s="37" customFormat="1" ht="13.2" x14ac:dyDescent="0.25">
      <c r="A201" s="77"/>
    </row>
    <row r="202" spans="1:1" s="37" customFormat="1" ht="13.2" x14ac:dyDescent="0.25">
      <c r="A202" s="77"/>
    </row>
    <row r="203" spans="1:1" s="37" customFormat="1" ht="13.2" x14ac:dyDescent="0.25">
      <c r="A203" s="77"/>
    </row>
    <row r="204" spans="1:1" s="37" customFormat="1" ht="13.2" x14ac:dyDescent="0.25">
      <c r="A204" s="77"/>
    </row>
    <row r="205" spans="1:1" s="37" customFormat="1" ht="13.2" x14ac:dyDescent="0.25">
      <c r="A205" s="77"/>
    </row>
    <row r="206" spans="1:1" s="37" customFormat="1" ht="13.2" x14ac:dyDescent="0.25">
      <c r="A206" s="77"/>
    </row>
    <row r="207" spans="1:1" s="37" customFormat="1" ht="13.2" x14ac:dyDescent="0.25">
      <c r="A207" s="77"/>
    </row>
    <row r="208" spans="1:1" s="37" customFormat="1" ht="13.2" x14ac:dyDescent="0.25">
      <c r="A208" s="77"/>
    </row>
    <row r="209" spans="1:1" s="37" customFormat="1" ht="13.2" x14ac:dyDescent="0.25">
      <c r="A209" s="77"/>
    </row>
    <row r="210" spans="1:1" s="37" customFormat="1" ht="13.2" x14ac:dyDescent="0.25">
      <c r="A210" s="77"/>
    </row>
    <row r="211" spans="1:1" s="37" customFormat="1" ht="13.2" x14ac:dyDescent="0.25">
      <c r="A211" s="77"/>
    </row>
    <row r="212" spans="1:1" s="37" customFormat="1" ht="13.2" x14ac:dyDescent="0.25">
      <c r="A212" s="77"/>
    </row>
    <row r="213" spans="1:1" s="37" customFormat="1" ht="13.2" x14ac:dyDescent="0.25">
      <c r="A213" s="77"/>
    </row>
    <row r="214" spans="1:1" s="37" customFormat="1" ht="13.2" x14ac:dyDescent="0.25">
      <c r="A214" s="77"/>
    </row>
    <row r="215" spans="1:1" s="37" customFormat="1" ht="13.2" x14ac:dyDescent="0.25">
      <c r="A215" s="77"/>
    </row>
    <row r="216" spans="1:1" s="37" customFormat="1" ht="13.2" x14ac:dyDescent="0.25">
      <c r="A216" s="77"/>
    </row>
    <row r="217" spans="1:1" s="37" customFormat="1" ht="13.2" x14ac:dyDescent="0.25">
      <c r="A217" s="77"/>
    </row>
    <row r="218" spans="1:1" s="37" customFormat="1" ht="13.2" x14ac:dyDescent="0.25">
      <c r="A218" s="77"/>
    </row>
    <row r="219" spans="1:1" s="37" customFormat="1" ht="13.2" x14ac:dyDescent="0.25">
      <c r="A219" s="77"/>
    </row>
    <row r="220" spans="1:1" s="37" customFormat="1" ht="13.2" x14ac:dyDescent="0.25">
      <c r="A220" s="77"/>
    </row>
    <row r="221" spans="1:1" s="37" customFormat="1" ht="13.2" x14ac:dyDescent="0.25">
      <c r="A221" s="77"/>
    </row>
    <row r="222" spans="1:1" s="37" customFormat="1" ht="13.2" x14ac:dyDescent="0.25">
      <c r="A222" s="77"/>
    </row>
    <row r="223" spans="1:1" s="37" customFormat="1" ht="13.2" x14ac:dyDescent="0.25">
      <c r="A223" s="77"/>
    </row>
    <row r="224" spans="1:1" s="37" customFormat="1" ht="13.2" x14ac:dyDescent="0.25">
      <c r="A224" s="77"/>
    </row>
    <row r="225" spans="1:1" s="37" customFormat="1" ht="13.2" x14ac:dyDescent="0.25">
      <c r="A225" s="77"/>
    </row>
    <row r="226" spans="1:1" s="37" customFormat="1" ht="13.2" x14ac:dyDescent="0.25">
      <c r="A226" s="77"/>
    </row>
    <row r="227" spans="1:1" s="37" customFormat="1" ht="13.2" x14ac:dyDescent="0.25">
      <c r="A227" s="77"/>
    </row>
    <row r="228" spans="1:1" s="37" customFormat="1" ht="13.2" x14ac:dyDescent="0.25">
      <c r="A228" s="77"/>
    </row>
    <row r="229" spans="1:1" s="37" customFormat="1" ht="13.2" x14ac:dyDescent="0.25">
      <c r="A229" s="77"/>
    </row>
    <row r="230" spans="1:1" s="37" customFormat="1" ht="13.2" x14ac:dyDescent="0.25">
      <c r="A230" s="77"/>
    </row>
    <row r="231" spans="1:1" s="37" customFormat="1" ht="13.2" x14ac:dyDescent="0.25">
      <c r="A231" s="77"/>
    </row>
    <row r="232" spans="1:1" s="37" customFormat="1" ht="13.2" x14ac:dyDescent="0.25">
      <c r="A232" s="77"/>
    </row>
    <row r="233" spans="1:1" s="37" customFormat="1" ht="13.2" x14ac:dyDescent="0.25">
      <c r="A233" s="77"/>
    </row>
    <row r="234" spans="1:1" s="37" customFormat="1" ht="13.2" x14ac:dyDescent="0.25">
      <c r="A234" s="77"/>
    </row>
    <row r="235" spans="1:1" s="37" customFormat="1" ht="13.2" x14ac:dyDescent="0.25">
      <c r="A235" s="77"/>
    </row>
    <row r="236" spans="1:1" s="37" customFormat="1" ht="13.2" x14ac:dyDescent="0.25">
      <c r="A236" s="77"/>
    </row>
    <row r="237" spans="1:1" s="37" customFormat="1" ht="13.2" x14ac:dyDescent="0.25">
      <c r="A237" s="77"/>
    </row>
    <row r="238" spans="1:1" s="37" customFormat="1" ht="13.2" x14ac:dyDescent="0.25">
      <c r="A238" s="77"/>
    </row>
    <row r="239" spans="1:1" s="37" customFormat="1" ht="13.2" x14ac:dyDescent="0.25">
      <c r="A239" s="77"/>
    </row>
    <row r="240" spans="1:1" s="37" customFormat="1" ht="13.2" x14ac:dyDescent="0.25">
      <c r="A240" s="77"/>
    </row>
    <row r="241" spans="1:1" s="37" customFormat="1" ht="13.2" x14ac:dyDescent="0.25">
      <c r="A241" s="77"/>
    </row>
    <row r="242" spans="1:1" s="37" customFormat="1" ht="13.2" x14ac:dyDescent="0.25">
      <c r="A242" s="77"/>
    </row>
    <row r="243" spans="1:1" s="37" customFormat="1" ht="13.2" x14ac:dyDescent="0.25">
      <c r="A243" s="77"/>
    </row>
    <row r="244" spans="1:1" s="37" customFormat="1" ht="13.2" x14ac:dyDescent="0.25">
      <c r="A244" s="77"/>
    </row>
    <row r="245" spans="1:1" s="37" customFormat="1" ht="13.2" x14ac:dyDescent="0.25">
      <c r="A245" s="77"/>
    </row>
    <row r="246" spans="1:1" s="37" customFormat="1" ht="13.2" x14ac:dyDescent="0.25">
      <c r="A246" s="77"/>
    </row>
    <row r="247" spans="1:1" s="37" customFormat="1" ht="13.2" x14ac:dyDescent="0.25">
      <c r="A247" s="77"/>
    </row>
    <row r="248" spans="1:1" s="37" customFormat="1" ht="13.2" x14ac:dyDescent="0.25">
      <c r="A248" s="77"/>
    </row>
    <row r="249" spans="1:1" s="37" customFormat="1" ht="13.2" x14ac:dyDescent="0.25">
      <c r="A249" s="77"/>
    </row>
    <row r="250" spans="1:1" s="37" customFormat="1" ht="13.2" x14ac:dyDescent="0.25">
      <c r="A250" s="77"/>
    </row>
    <row r="251" spans="1:1" s="37" customFormat="1" ht="13.2" x14ac:dyDescent="0.25">
      <c r="A251" s="77"/>
    </row>
    <row r="252" spans="1:1" s="37" customFormat="1" ht="13.2" x14ac:dyDescent="0.25">
      <c r="A252" s="77"/>
    </row>
    <row r="253" spans="1:1" s="37" customFormat="1" ht="13.2" x14ac:dyDescent="0.25">
      <c r="A253" s="77"/>
    </row>
    <row r="254" spans="1:1" s="37" customFormat="1" ht="13.2" x14ac:dyDescent="0.25">
      <c r="A254" s="77"/>
    </row>
    <row r="255" spans="1:1" s="37" customFormat="1" ht="13.2" x14ac:dyDescent="0.25">
      <c r="A255" s="77"/>
    </row>
    <row r="256" spans="1:1" s="37" customFormat="1" ht="13.2" x14ac:dyDescent="0.25">
      <c r="A256" s="77"/>
    </row>
    <row r="257" spans="1:1" s="37" customFormat="1" ht="13.2" x14ac:dyDescent="0.25">
      <c r="A257" s="77"/>
    </row>
    <row r="258" spans="1:1" s="37" customFormat="1" ht="13.2" x14ac:dyDescent="0.25">
      <c r="A258" s="77"/>
    </row>
    <row r="259" spans="1:1" s="37" customFormat="1" ht="13.2" x14ac:dyDescent="0.25">
      <c r="A259" s="77"/>
    </row>
    <row r="260" spans="1:1" s="37" customFormat="1" ht="13.2" x14ac:dyDescent="0.25">
      <c r="A260" s="77"/>
    </row>
    <row r="261" spans="1:1" s="37" customFormat="1" ht="13.2" x14ac:dyDescent="0.25">
      <c r="A261" s="77"/>
    </row>
    <row r="262" spans="1:1" s="37" customFormat="1" ht="13.2" x14ac:dyDescent="0.25">
      <c r="A262" s="77"/>
    </row>
    <row r="263" spans="1:1" s="37" customFormat="1" ht="13.2" x14ac:dyDescent="0.25">
      <c r="A263" s="77"/>
    </row>
    <row r="264" spans="1:1" s="37" customFormat="1" ht="13.2" x14ac:dyDescent="0.25">
      <c r="A264" s="77"/>
    </row>
    <row r="265" spans="1:1" s="37" customFormat="1" ht="13.2" x14ac:dyDescent="0.25">
      <c r="A265" s="77"/>
    </row>
    <row r="266" spans="1:1" s="37" customFormat="1" ht="13.2" x14ac:dyDescent="0.25">
      <c r="A266" s="77"/>
    </row>
    <row r="267" spans="1:1" s="37" customFormat="1" ht="13.2" x14ac:dyDescent="0.25">
      <c r="A267" s="77"/>
    </row>
    <row r="268" spans="1:1" s="37" customFormat="1" ht="13.2" x14ac:dyDescent="0.25">
      <c r="A268" s="77"/>
    </row>
    <row r="269" spans="1:1" s="37" customFormat="1" ht="13.2" x14ac:dyDescent="0.25">
      <c r="A269" s="77"/>
    </row>
    <row r="270" spans="1:1" s="37" customFormat="1" ht="13.2" x14ac:dyDescent="0.25">
      <c r="A270" s="77"/>
    </row>
    <row r="271" spans="1:1" s="37" customFormat="1" ht="13.2" x14ac:dyDescent="0.25">
      <c r="A271" s="77"/>
    </row>
    <row r="272" spans="1:1" s="37" customFormat="1" ht="13.2" x14ac:dyDescent="0.25">
      <c r="A272" s="77"/>
    </row>
    <row r="273" spans="1:1" s="37" customFormat="1" ht="13.2" x14ac:dyDescent="0.25">
      <c r="A273" s="77"/>
    </row>
    <row r="274" spans="1:1" s="37" customFormat="1" ht="13.2" x14ac:dyDescent="0.25">
      <c r="A274" s="77"/>
    </row>
    <row r="275" spans="1:1" s="37" customFormat="1" ht="13.2" x14ac:dyDescent="0.25">
      <c r="A275" s="77"/>
    </row>
    <row r="276" spans="1:1" s="37" customFormat="1" ht="13.2" x14ac:dyDescent="0.25">
      <c r="A276" s="77"/>
    </row>
    <row r="277" spans="1:1" s="37" customFormat="1" ht="13.2" x14ac:dyDescent="0.25">
      <c r="A277" s="77"/>
    </row>
    <row r="278" spans="1:1" s="37" customFormat="1" ht="13.2" x14ac:dyDescent="0.25">
      <c r="A278" s="77"/>
    </row>
    <row r="279" spans="1:1" s="37" customFormat="1" ht="13.2" x14ac:dyDescent="0.25">
      <c r="A279" s="77"/>
    </row>
    <row r="280" spans="1:1" s="37" customFormat="1" ht="13.2" x14ac:dyDescent="0.25">
      <c r="A280" s="77"/>
    </row>
    <row r="281" spans="1:1" s="37" customFormat="1" ht="13.2" x14ac:dyDescent="0.25">
      <c r="A281" s="77"/>
    </row>
    <row r="282" spans="1:1" s="37" customFormat="1" ht="13.2" x14ac:dyDescent="0.25">
      <c r="A282" s="77"/>
    </row>
    <row r="283" spans="1:1" s="37" customFormat="1" ht="13.2" x14ac:dyDescent="0.25">
      <c r="A283" s="77"/>
    </row>
    <row r="284" spans="1:1" s="37" customFormat="1" ht="13.2" x14ac:dyDescent="0.25">
      <c r="A284" s="77"/>
    </row>
    <row r="285" spans="1:1" s="37" customFormat="1" ht="13.2" x14ac:dyDescent="0.25">
      <c r="A285" s="77"/>
    </row>
    <row r="286" spans="1:1" s="37" customFormat="1" ht="13.2" x14ac:dyDescent="0.25">
      <c r="A286" s="77"/>
    </row>
    <row r="287" spans="1:1" s="37" customFormat="1" ht="13.2" x14ac:dyDescent="0.25">
      <c r="A287" s="77"/>
    </row>
    <row r="288" spans="1:1" s="37" customFormat="1" ht="13.2" x14ac:dyDescent="0.25">
      <c r="A288" s="77"/>
    </row>
    <row r="289" spans="1:1" s="37" customFormat="1" ht="13.2" x14ac:dyDescent="0.25">
      <c r="A289" s="77"/>
    </row>
    <row r="290" spans="1:1" s="37" customFormat="1" ht="13.2" x14ac:dyDescent="0.25">
      <c r="A290" s="77"/>
    </row>
    <row r="291" spans="1:1" s="37" customFormat="1" ht="13.2" x14ac:dyDescent="0.25">
      <c r="A291" s="77"/>
    </row>
    <row r="292" spans="1:1" s="37" customFormat="1" ht="13.2" x14ac:dyDescent="0.25">
      <c r="A292" s="77"/>
    </row>
    <row r="293" spans="1:1" s="37" customFormat="1" ht="13.2" x14ac:dyDescent="0.25">
      <c r="A293" s="77"/>
    </row>
    <row r="294" spans="1:1" s="37" customFormat="1" ht="13.2" x14ac:dyDescent="0.25">
      <c r="A294" s="77"/>
    </row>
    <row r="295" spans="1:1" s="37" customFormat="1" ht="13.2" x14ac:dyDescent="0.25">
      <c r="A295" s="77"/>
    </row>
    <row r="296" spans="1:1" s="37" customFormat="1" ht="13.2" x14ac:dyDescent="0.25">
      <c r="A296" s="77"/>
    </row>
    <row r="297" spans="1:1" s="37" customFormat="1" ht="13.2" x14ac:dyDescent="0.25">
      <c r="A297" s="77"/>
    </row>
    <row r="298" spans="1:1" s="37" customFormat="1" ht="13.2" x14ac:dyDescent="0.25">
      <c r="A298" s="77"/>
    </row>
    <row r="299" spans="1:1" s="37" customFormat="1" ht="13.2" x14ac:dyDescent="0.25">
      <c r="A299" s="77"/>
    </row>
    <row r="300" spans="1:1" s="37" customFormat="1" ht="13.2" x14ac:dyDescent="0.25">
      <c r="A300" s="77"/>
    </row>
    <row r="301" spans="1:1" s="37" customFormat="1" ht="13.2" x14ac:dyDescent="0.25">
      <c r="A301" s="77"/>
    </row>
    <row r="302" spans="1:1" s="37" customFormat="1" ht="13.2" x14ac:dyDescent="0.25">
      <c r="A302" s="77"/>
    </row>
    <row r="303" spans="1:1" s="37" customFormat="1" ht="13.2" x14ac:dyDescent="0.25">
      <c r="A303" s="77"/>
    </row>
    <row r="304" spans="1:1" s="37" customFormat="1" ht="13.2" x14ac:dyDescent="0.25">
      <c r="A304" s="77"/>
    </row>
    <row r="305" spans="1:1" s="37" customFormat="1" ht="13.2" x14ac:dyDescent="0.25">
      <c r="A305" s="77"/>
    </row>
    <row r="306" spans="1:1" s="37" customFormat="1" ht="13.2" x14ac:dyDescent="0.25">
      <c r="A306" s="77"/>
    </row>
    <row r="307" spans="1:1" s="37" customFormat="1" ht="13.2" x14ac:dyDescent="0.25">
      <c r="A307" s="77"/>
    </row>
    <row r="308" spans="1:1" s="37" customFormat="1" ht="13.2" x14ac:dyDescent="0.25">
      <c r="A308" s="77"/>
    </row>
    <row r="309" spans="1:1" s="37" customFormat="1" ht="13.2" x14ac:dyDescent="0.25">
      <c r="A309" s="77"/>
    </row>
    <row r="310" spans="1:1" s="37" customFormat="1" ht="13.2" x14ac:dyDescent="0.25">
      <c r="A310" s="77"/>
    </row>
    <row r="311" spans="1:1" s="37" customFormat="1" ht="13.2" x14ac:dyDescent="0.25">
      <c r="A311" s="77"/>
    </row>
    <row r="312" spans="1:1" s="37" customFormat="1" ht="13.2" x14ac:dyDescent="0.25">
      <c r="A312" s="77"/>
    </row>
    <row r="313" spans="1:1" s="37" customFormat="1" ht="13.2" x14ac:dyDescent="0.25">
      <c r="A313" s="77"/>
    </row>
    <row r="314" spans="1:1" s="37" customFormat="1" ht="13.2" x14ac:dyDescent="0.25">
      <c r="A314" s="77"/>
    </row>
    <row r="315" spans="1:1" s="37" customFormat="1" ht="13.2" x14ac:dyDescent="0.25">
      <c r="A315" s="77"/>
    </row>
    <row r="316" spans="1:1" s="37" customFormat="1" ht="13.2" x14ac:dyDescent="0.25">
      <c r="A316" s="77"/>
    </row>
    <row r="317" spans="1:1" s="37" customFormat="1" ht="13.2" x14ac:dyDescent="0.25">
      <c r="A317" s="77"/>
    </row>
    <row r="318" spans="1:1" s="37" customFormat="1" ht="13.2" x14ac:dyDescent="0.25">
      <c r="A318" s="77"/>
    </row>
    <row r="319" spans="1:1" s="37" customFormat="1" ht="13.2" x14ac:dyDescent="0.25">
      <c r="A319" s="77"/>
    </row>
    <row r="320" spans="1:1" s="37" customFormat="1" ht="13.2" x14ac:dyDescent="0.25">
      <c r="A320" s="77"/>
    </row>
    <row r="321" spans="1:1" s="37" customFormat="1" ht="13.2" x14ac:dyDescent="0.25">
      <c r="A321" s="77"/>
    </row>
    <row r="322" spans="1:1" s="37" customFormat="1" ht="13.2" x14ac:dyDescent="0.25">
      <c r="A322" s="77"/>
    </row>
    <row r="323" spans="1:1" s="37" customFormat="1" ht="13.2" x14ac:dyDescent="0.25">
      <c r="A323" s="77"/>
    </row>
    <row r="324" spans="1:1" s="37" customFormat="1" ht="13.2" x14ac:dyDescent="0.25">
      <c r="A324" s="77"/>
    </row>
    <row r="325" spans="1:1" s="37" customFormat="1" ht="13.2" x14ac:dyDescent="0.25">
      <c r="A325" s="77"/>
    </row>
    <row r="326" spans="1:1" s="37" customFormat="1" ht="13.2" x14ac:dyDescent="0.25">
      <c r="A326" s="77"/>
    </row>
    <row r="327" spans="1:1" s="37" customFormat="1" ht="13.2" x14ac:dyDescent="0.25">
      <c r="A327" s="77"/>
    </row>
    <row r="328" spans="1:1" s="37" customFormat="1" ht="13.2" x14ac:dyDescent="0.25">
      <c r="A328" s="77"/>
    </row>
    <row r="329" spans="1:1" s="37" customFormat="1" ht="13.2" x14ac:dyDescent="0.25">
      <c r="A329" s="77"/>
    </row>
    <row r="330" spans="1:1" s="37" customFormat="1" ht="13.2" x14ac:dyDescent="0.25">
      <c r="A330" s="77"/>
    </row>
    <row r="331" spans="1:1" s="37" customFormat="1" ht="13.2" x14ac:dyDescent="0.25">
      <c r="A331" s="77"/>
    </row>
    <row r="332" spans="1:1" s="37" customFormat="1" ht="13.2" x14ac:dyDescent="0.25">
      <c r="A332" s="77"/>
    </row>
    <row r="333" spans="1:1" s="37" customFormat="1" ht="13.2" x14ac:dyDescent="0.25">
      <c r="A333" s="77"/>
    </row>
    <row r="334" spans="1:1" s="37" customFormat="1" ht="13.2" x14ac:dyDescent="0.25">
      <c r="A334" s="77"/>
    </row>
    <row r="335" spans="1:1" s="37" customFormat="1" ht="13.2" x14ac:dyDescent="0.25">
      <c r="A335" s="77"/>
    </row>
    <row r="336" spans="1:1" s="37" customFormat="1" ht="13.2" x14ac:dyDescent="0.25">
      <c r="A336" s="77"/>
    </row>
    <row r="337" spans="1:1" s="37" customFormat="1" ht="13.2" x14ac:dyDescent="0.25">
      <c r="A337" s="77"/>
    </row>
    <row r="338" spans="1:1" s="37" customFormat="1" ht="13.2" x14ac:dyDescent="0.25">
      <c r="A338" s="77"/>
    </row>
    <row r="339" spans="1:1" s="37" customFormat="1" ht="13.2" x14ac:dyDescent="0.25">
      <c r="A339" s="77"/>
    </row>
    <row r="340" spans="1:1" s="37" customFormat="1" ht="13.2" x14ac:dyDescent="0.25">
      <c r="A340" s="77"/>
    </row>
    <row r="341" spans="1:1" s="37" customFormat="1" ht="13.2" x14ac:dyDescent="0.25">
      <c r="A341" s="77"/>
    </row>
    <row r="342" spans="1:1" s="37" customFormat="1" ht="13.2" x14ac:dyDescent="0.25">
      <c r="A342" s="77"/>
    </row>
    <row r="343" spans="1:1" s="37" customFormat="1" ht="13.2" x14ac:dyDescent="0.25">
      <c r="A343" s="77"/>
    </row>
    <row r="344" spans="1:1" s="37" customFormat="1" ht="13.2" x14ac:dyDescent="0.25">
      <c r="A344" s="77"/>
    </row>
    <row r="345" spans="1:1" s="37" customFormat="1" ht="13.2" x14ac:dyDescent="0.25">
      <c r="A345" s="77"/>
    </row>
    <row r="346" spans="1:1" s="37" customFormat="1" ht="13.2" x14ac:dyDescent="0.25">
      <c r="A346" s="77"/>
    </row>
    <row r="347" spans="1:1" s="37" customFormat="1" ht="13.2" x14ac:dyDescent="0.25">
      <c r="A347" s="77"/>
    </row>
    <row r="348" spans="1:1" s="37" customFormat="1" ht="13.2" x14ac:dyDescent="0.25">
      <c r="A348" s="77"/>
    </row>
    <row r="349" spans="1:1" s="37" customFormat="1" ht="13.2" x14ac:dyDescent="0.25">
      <c r="A349" s="77"/>
    </row>
    <row r="350" spans="1:1" s="37" customFormat="1" ht="13.2" x14ac:dyDescent="0.25">
      <c r="A350" s="77"/>
    </row>
    <row r="351" spans="1:1" s="37" customFormat="1" ht="13.2" x14ac:dyDescent="0.25">
      <c r="A351" s="77"/>
    </row>
    <row r="352" spans="1:1" s="37" customFormat="1" ht="13.2" x14ac:dyDescent="0.25">
      <c r="A352" s="77"/>
    </row>
    <row r="353" spans="1:1" s="37" customFormat="1" ht="13.2" x14ac:dyDescent="0.25">
      <c r="A353" s="77"/>
    </row>
    <row r="354" spans="1:1" s="37" customFormat="1" ht="13.2" x14ac:dyDescent="0.25">
      <c r="A354" s="77"/>
    </row>
    <row r="355" spans="1:1" s="37" customFormat="1" ht="13.2" x14ac:dyDescent="0.25">
      <c r="A355" s="77"/>
    </row>
    <row r="356" spans="1:1" s="37" customFormat="1" ht="13.2" x14ac:dyDescent="0.25">
      <c r="A356" s="77"/>
    </row>
    <row r="357" spans="1:1" s="37" customFormat="1" ht="13.2" x14ac:dyDescent="0.25">
      <c r="A357" s="77"/>
    </row>
    <row r="358" spans="1:1" s="37" customFormat="1" ht="13.2" x14ac:dyDescent="0.25">
      <c r="A358" s="77"/>
    </row>
    <row r="359" spans="1:1" s="37" customFormat="1" ht="13.2" x14ac:dyDescent="0.25">
      <c r="A359" s="77"/>
    </row>
    <row r="360" spans="1:1" s="37" customFormat="1" ht="13.2" x14ac:dyDescent="0.25">
      <c r="A360" s="77"/>
    </row>
    <row r="361" spans="1:1" s="37" customFormat="1" ht="13.2" x14ac:dyDescent="0.25">
      <c r="A361" s="77"/>
    </row>
    <row r="362" spans="1:1" s="37" customFormat="1" ht="13.2" x14ac:dyDescent="0.25">
      <c r="A362" s="77"/>
    </row>
    <row r="363" spans="1:1" s="37" customFormat="1" ht="13.2" x14ac:dyDescent="0.25">
      <c r="A363" s="77"/>
    </row>
    <row r="364" spans="1:1" s="37" customFormat="1" ht="13.2" x14ac:dyDescent="0.25">
      <c r="A364" s="77"/>
    </row>
    <row r="365" spans="1:1" s="37" customFormat="1" ht="13.2" x14ac:dyDescent="0.25">
      <c r="A365" s="77"/>
    </row>
    <row r="366" spans="1:1" s="37" customFormat="1" ht="13.2" x14ac:dyDescent="0.25">
      <c r="A366" s="77"/>
    </row>
    <row r="367" spans="1:1" s="37" customFormat="1" ht="13.2" x14ac:dyDescent="0.25">
      <c r="A367" s="77"/>
    </row>
    <row r="368" spans="1:1" s="37" customFormat="1" ht="13.2" x14ac:dyDescent="0.25">
      <c r="A368" s="77"/>
    </row>
    <row r="369" spans="1:1" s="37" customFormat="1" ht="13.2" x14ac:dyDescent="0.25">
      <c r="A369" s="77"/>
    </row>
    <row r="370" spans="1:1" s="37" customFormat="1" ht="13.2" x14ac:dyDescent="0.25">
      <c r="A370" s="77"/>
    </row>
    <row r="371" spans="1:1" s="37" customFormat="1" ht="13.2" x14ac:dyDescent="0.25">
      <c r="A371" s="77"/>
    </row>
    <row r="372" spans="1:1" s="37" customFormat="1" ht="13.2" x14ac:dyDescent="0.25">
      <c r="A372" s="77"/>
    </row>
    <row r="373" spans="1:1" s="37" customFormat="1" ht="13.2" x14ac:dyDescent="0.25">
      <c r="A373" s="77"/>
    </row>
    <row r="374" spans="1:1" s="37" customFormat="1" ht="13.2" x14ac:dyDescent="0.25">
      <c r="A374" s="77"/>
    </row>
    <row r="375" spans="1:1" s="37" customFormat="1" ht="13.2" x14ac:dyDescent="0.25">
      <c r="A375" s="77"/>
    </row>
    <row r="376" spans="1:1" s="37" customFormat="1" ht="13.2" x14ac:dyDescent="0.25">
      <c r="A376" s="77"/>
    </row>
    <row r="377" spans="1:1" s="37" customFormat="1" ht="13.2" x14ac:dyDescent="0.25">
      <c r="A377" s="77"/>
    </row>
    <row r="378" spans="1:1" s="37" customFormat="1" ht="13.2" x14ac:dyDescent="0.25">
      <c r="A378" s="77"/>
    </row>
    <row r="379" spans="1:1" s="37" customFormat="1" ht="13.2" x14ac:dyDescent="0.25">
      <c r="A379" s="77"/>
    </row>
    <row r="380" spans="1:1" s="37" customFormat="1" ht="13.2" x14ac:dyDescent="0.25">
      <c r="A380" s="77"/>
    </row>
    <row r="381" spans="1:1" s="37" customFormat="1" ht="13.2" x14ac:dyDescent="0.25">
      <c r="A381" s="77"/>
    </row>
    <row r="382" spans="1:1" s="37" customFormat="1" ht="13.2" x14ac:dyDescent="0.25">
      <c r="A382" s="77"/>
    </row>
    <row r="383" spans="1:1" s="37" customFormat="1" ht="13.2" x14ac:dyDescent="0.25">
      <c r="A383" s="77"/>
    </row>
    <row r="384" spans="1:1" s="37" customFormat="1" ht="13.2" x14ac:dyDescent="0.25">
      <c r="A384" s="77"/>
    </row>
    <row r="385" spans="1:1" s="37" customFormat="1" ht="13.2" x14ac:dyDescent="0.25">
      <c r="A385" s="77"/>
    </row>
    <row r="386" spans="1:1" s="37" customFormat="1" ht="13.2" x14ac:dyDescent="0.25">
      <c r="A386" s="77"/>
    </row>
    <row r="387" spans="1:1" s="37" customFormat="1" ht="13.2" x14ac:dyDescent="0.25">
      <c r="A387" s="77"/>
    </row>
    <row r="388" spans="1:1" s="37" customFormat="1" ht="13.2" x14ac:dyDescent="0.25">
      <c r="A388" s="77"/>
    </row>
    <row r="389" spans="1:1" s="37" customFormat="1" ht="13.2" x14ac:dyDescent="0.25">
      <c r="A389" s="77"/>
    </row>
    <row r="390" spans="1:1" s="37" customFormat="1" ht="13.2" x14ac:dyDescent="0.25">
      <c r="A390" s="77"/>
    </row>
    <row r="391" spans="1:1" s="37" customFormat="1" ht="13.2" x14ac:dyDescent="0.25">
      <c r="A391" s="77"/>
    </row>
    <row r="392" spans="1:1" s="37" customFormat="1" ht="13.2" x14ac:dyDescent="0.25">
      <c r="A392" s="77"/>
    </row>
    <row r="393" spans="1:1" s="37" customFormat="1" ht="13.2" x14ac:dyDescent="0.25">
      <c r="A393" s="77"/>
    </row>
    <row r="394" spans="1:1" s="37" customFormat="1" ht="13.2" x14ac:dyDescent="0.25">
      <c r="A394" s="77"/>
    </row>
    <row r="395" spans="1:1" s="37" customFormat="1" ht="13.2" x14ac:dyDescent="0.25">
      <c r="A395" s="77"/>
    </row>
    <row r="396" spans="1:1" s="37" customFormat="1" ht="13.2" x14ac:dyDescent="0.25">
      <c r="A396" s="77"/>
    </row>
    <row r="397" spans="1:1" s="37" customFormat="1" ht="13.2" x14ac:dyDescent="0.25">
      <c r="A397" s="77"/>
    </row>
    <row r="398" spans="1:1" s="37" customFormat="1" ht="13.2" x14ac:dyDescent="0.25">
      <c r="A398" s="77"/>
    </row>
    <row r="399" spans="1:1" s="37" customFormat="1" ht="13.2" x14ac:dyDescent="0.25">
      <c r="A399" s="77"/>
    </row>
    <row r="400" spans="1:1" s="37" customFormat="1" ht="13.2" x14ac:dyDescent="0.25">
      <c r="A400" s="77"/>
    </row>
    <row r="401" spans="1:1" s="37" customFormat="1" ht="13.2" x14ac:dyDescent="0.25">
      <c r="A401" s="77"/>
    </row>
    <row r="402" spans="1:1" s="37" customFormat="1" ht="13.2" x14ac:dyDescent="0.25">
      <c r="A402" s="77"/>
    </row>
    <row r="403" spans="1:1" s="37" customFormat="1" ht="13.2" x14ac:dyDescent="0.25">
      <c r="A403" s="77"/>
    </row>
    <row r="404" spans="1:1" s="37" customFormat="1" ht="13.2" x14ac:dyDescent="0.25">
      <c r="A404" s="77"/>
    </row>
    <row r="405" spans="1:1" s="37" customFormat="1" ht="13.2" x14ac:dyDescent="0.25">
      <c r="A405" s="77"/>
    </row>
    <row r="406" spans="1:1" s="37" customFormat="1" ht="13.2" x14ac:dyDescent="0.25">
      <c r="A406" s="77"/>
    </row>
    <row r="407" spans="1:1" s="37" customFormat="1" ht="13.2" x14ac:dyDescent="0.25">
      <c r="A407" s="77"/>
    </row>
    <row r="408" spans="1:1" s="37" customFormat="1" ht="13.2" x14ac:dyDescent="0.25">
      <c r="A408" s="77"/>
    </row>
    <row r="409" spans="1:1" s="37" customFormat="1" ht="13.2" x14ac:dyDescent="0.25">
      <c r="A409" s="77"/>
    </row>
    <row r="410" spans="1:1" s="37" customFormat="1" ht="13.2" x14ac:dyDescent="0.25">
      <c r="A410" s="77"/>
    </row>
    <row r="411" spans="1:1" s="37" customFormat="1" ht="13.2" x14ac:dyDescent="0.25">
      <c r="A411" s="77"/>
    </row>
    <row r="412" spans="1:1" s="37" customFormat="1" ht="13.2" x14ac:dyDescent="0.25">
      <c r="A412" s="77"/>
    </row>
    <row r="413" spans="1:1" s="37" customFormat="1" ht="13.2" x14ac:dyDescent="0.25">
      <c r="A413" s="77"/>
    </row>
    <row r="414" spans="1:1" s="37" customFormat="1" ht="13.2" x14ac:dyDescent="0.25">
      <c r="A414" s="77"/>
    </row>
    <row r="415" spans="1:1" s="37" customFormat="1" ht="13.2" x14ac:dyDescent="0.25">
      <c r="A415" s="77"/>
    </row>
    <row r="416" spans="1:1" s="37" customFormat="1" ht="13.2" x14ac:dyDescent="0.25">
      <c r="A416" s="77"/>
    </row>
    <row r="417" spans="1:1" s="37" customFormat="1" ht="13.2" x14ac:dyDescent="0.25">
      <c r="A417" s="77"/>
    </row>
    <row r="418" spans="1:1" s="37" customFormat="1" ht="13.2" x14ac:dyDescent="0.25">
      <c r="A418" s="77"/>
    </row>
    <row r="419" spans="1:1" s="37" customFormat="1" ht="13.2" x14ac:dyDescent="0.25">
      <c r="A419" s="77"/>
    </row>
    <row r="420" spans="1:1" s="37" customFormat="1" ht="13.2" x14ac:dyDescent="0.25">
      <c r="A420" s="77"/>
    </row>
    <row r="421" spans="1:1" s="37" customFormat="1" ht="13.2" x14ac:dyDescent="0.25">
      <c r="A421" s="77"/>
    </row>
    <row r="422" spans="1:1" s="37" customFormat="1" ht="13.2" x14ac:dyDescent="0.25">
      <c r="A422" s="77"/>
    </row>
    <row r="423" spans="1:1" s="37" customFormat="1" ht="13.2" x14ac:dyDescent="0.25">
      <c r="A423" s="77"/>
    </row>
    <row r="424" spans="1:1" s="37" customFormat="1" ht="13.2" x14ac:dyDescent="0.25">
      <c r="A424" s="77"/>
    </row>
    <row r="425" spans="1:1" s="37" customFormat="1" ht="13.2" x14ac:dyDescent="0.25">
      <c r="A425" s="77"/>
    </row>
    <row r="426" spans="1:1" s="37" customFormat="1" ht="13.2" x14ac:dyDescent="0.25">
      <c r="A426" s="77"/>
    </row>
    <row r="427" spans="1:1" s="37" customFormat="1" ht="13.2" x14ac:dyDescent="0.25">
      <c r="A427" s="77"/>
    </row>
    <row r="428" spans="1:1" s="37" customFormat="1" ht="13.2" x14ac:dyDescent="0.25">
      <c r="A428" s="77"/>
    </row>
    <row r="429" spans="1:1" s="37" customFormat="1" ht="13.2" x14ac:dyDescent="0.25">
      <c r="A429" s="77"/>
    </row>
    <row r="430" spans="1:1" s="37" customFormat="1" ht="13.2" x14ac:dyDescent="0.25">
      <c r="A430" s="77"/>
    </row>
    <row r="431" spans="1:1" s="37" customFormat="1" ht="13.2" x14ac:dyDescent="0.25">
      <c r="A431" s="77"/>
    </row>
    <row r="432" spans="1:1" s="37" customFormat="1" ht="13.2" x14ac:dyDescent="0.25">
      <c r="A432" s="77"/>
    </row>
    <row r="433" spans="1:1" s="37" customFormat="1" ht="13.2" x14ac:dyDescent="0.25">
      <c r="A433" s="77"/>
    </row>
    <row r="434" spans="1:1" s="37" customFormat="1" ht="13.2" x14ac:dyDescent="0.25">
      <c r="A434" s="77"/>
    </row>
    <row r="435" spans="1:1" s="37" customFormat="1" ht="13.2" x14ac:dyDescent="0.25">
      <c r="A435" s="77"/>
    </row>
    <row r="436" spans="1:1" s="37" customFormat="1" ht="13.2" x14ac:dyDescent="0.25">
      <c r="A436" s="77"/>
    </row>
    <row r="437" spans="1:1" s="37" customFormat="1" ht="13.2" x14ac:dyDescent="0.25">
      <c r="A437" s="77"/>
    </row>
    <row r="438" spans="1:1" s="37" customFormat="1" ht="13.2" x14ac:dyDescent="0.25">
      <c r="A438" s="77"/>
    </row>
    <row r="439" spans="1:1" s="37" customFormat="1" ht="13.2" x14ac:dyDescent="0.25">
      <c r="A439" s="77"/>
    </row>
    <row r="440" spans="1:1" s="37" customFormat="1" ht="13.2" x14ac:dyDescent="0.25">
      <c r="A440" s="77"/>
    </row>
    <row r="441" spans="1:1" s="37" customFormat="1" ht="13.2" x14ac:dyDescent="0.25">
      <c r="A441" s="77"/>
    </row>
    <row r="442" spans="1:1" s="37" customFormat="1" ht="13.2" x14ac:dyDescent="0.25">
      <c r="A442" s="77"/>
    </row>
    <row r="443" spans="1:1" s="37" customFormat="1" ht="13.2" x14ac:dyDescent="0.25">
      <c r="A443" s="77"/>
    </row>
    <row r="444" spans="1:1" s="37" customFormat="1" ht="13.2" x14ac:dyDescent="0.25">
      <c r="A444" s="77"/>
    </row>
    <row r="445" spans="1:1" s="37" customFormat="1" ht="13.2" x14ac:dyDescent="0.25">
      <c r="A445" s="77"/>
    </row>
    <row r="446" spans="1:1" s="37" customFormat="1" ht="13.2" x14ac:dyDescent="0.25">
      <c r="A446" s="77"/>
    </row>
    <row r="447" spans="1:1" s="37" customFormat="1" ht="13.2" x14ac:dyDescent="0.25">
      <c r="A447" s="77"/>
    </row>
    <row r="448" spans="1:1" s="37" customFormat="1" ht="13.2" x14ac:dyDescent="0.25">
      <c r="A448" s="77"/>
    </row>
    <row r="449" spans="1:1" s="37" customFormat="1" ht="13.2" x14ac:dyDescent="0.25">
      <c r="A449" s="77"/>
    </row>
    <row r="450" spans="1:1" s="37" customFormat="1" ht="13.2" x14ac:dyDescent="0.25">
      <c r="A450" s="77"/>
    </row>
    <row r="451" spans="1:1" s="37" customFormat="1" ht="13.2" x14ac:dyDescent="0.25">
      <c r="A451" s="77"/>
    </row>
    <row r="452" spans="1:1" s="37" customFormat="1" ht="13.2" x14ac:dyDescent="0.25">
      <c r="A452" s="77"/>
    </row>
    <row r="453" spans="1:1" s="37" customFormat="1" ht="13.2" x14ac:dyDescent="0.25">
      <c r="A453" s="77"/>
    </row>
    <row r="454" spans="1:1" s="37" customFormat="1" ht="13.2" x14ac:dyDescent="0.25">
      <c r="A454" s="77"/>
    </row>
    <row r="455" spans="1:1" s="37" customFormat="1" ht="13.2" x14ac:dyDescent="0.25">
      <c r="A455" s="77"/>
    </row>
    <row r="456" spans="1:1" s="37" customFormat="1" ht="13.2" x14ac:dyDescent="0.25">
      <c r="A456" s="77"/>
    </row>
    <row r="457" spans="1:1" s="37" customFormat="1" ht="13.2" x14ac:dyDescent="0.25">
      <c r="A457" s="77"/>
    </row>
    <row r="458" spans="1:1" s="37" customFormat="1" ht="13.2" x14ac:dyDescent="0.25">
      <c r="A458" s="77"/>
    </row>
    <row r="459" spans="1:1" s="37" customFormat="1" ht="13.2" x14ac:dyDescent="0.25">
      <c r="A459" s="77"/>
    </row>
    <row r="460" spans="1:1" s="37" customFormat="1" ht="13.2" x14ac:dyDescent="0.25">
      <c r="A460" s="77"/>
    </row>
    <row r="461" spans="1:1" s="37" customFormat="1" ht="13.2" x14ac:dyDescent="0.25">
      <c r="A461" s="77"/>
    </row>
    <row r="462" spans="1:1" s="37" customFormat="1" ht="13.2" x14ac:dyDescent="0.25">
      <c r="A462" s="77"/>
    </row>
    <row r="463" spans="1:1" s="37" customFormat="1" ht="13.2" x14ac:dyDescent="0.25">
      <c r="A463" s="77"/>
    </row>
    <row r="464" spans="1:1" s="37" customFormat="1" ht="13.2" x14ac:dyDescent="0.25">
      <c r="A464" s="77"/>
    </row>
    <row r="465" spans="1:1" s="37" customFormat="1" ht="13.2" x14ac:dyDescent="0.25">
      <c r="A465" s="77"/>
    </row>
    <row r="466" spans="1:1" s="37" customFormat="1" ht="13.2" x14ac:dyDescent="0.25">
      <c r="A466" s="77"/>
    </row>
    <row r="467" spans="1:1" s="37" customFormat="1" ht="13.2" x14ac:dyDescent="0.25">
      <c r="A467" s="77"/>
    </row>
    <row r="468" spans="1:1" s="37" customFormat="1" ht="13.2" x14ac:dyDescent="0.25">
      <c r="A468" s="77"/>
    </row>
    <row r="469" spans="1:1" s="37" customFormat="1" ht="13.2" x14ac:dyDescent="0.25">
      <c r="A469" s="77"/>
    </row>
    <row r="470" spans="1:1" s="37" customFormat="1" ht="13.2" x14ac:dyDescent="0.25">
      <c r="A470" s="77"/>
    </row>
    <row r="471" spans="1:1" s="37" customFormat="1" ht="13.2" x14ac:dyDescent="0.25">
      <c r="A471" s="77"/>
    </row>
    <row r="472" spans="1:1" s="37" customFormat="1" ht="13.2" x14ac:dyDescent="0.25">
      <c r="A472" s="77"/>
    </row>
    <row r="473" spans="1:1" s="37" customFormat="1" ht="13.2" x14ac:dyDescent="0.25">
      <c r="A473" s="77"/>
    </row>
    <row r="474" spans="1:1" s="37" customFormat="1" ht="13.2" x14ac:dyDescent="0.25">
      <c r="A474" s="77"/>
    </row>
    <row r="475" spans="1:1" s="37" customFormat="1" ht="13.2" x14ac:dyDescent="0.25">
      <c r="A475" s="77"/>
    </row>
    <row r="476" spans="1:1" s="37" customFormat="1" ht="13.2" x14ac:dyDescent="0.25">
      <c r="A476" s="77"/>
    </row>
    <row r="477" spans="1:1" s="37" customFormat="1" ht="13.2" x14ac:dyDescent="0.25">
      <c r="A477" s="77"/>
    </row>
    <row r="478" spans="1:1" s="37" customFormat="1" ht="13.2" x14ac:dyDescent="0.25">
      <c r="A478" s="77"/>
    </row>
    <row r="479" spans="1:1" s="37" customFormat="1" ht="13.2" x14ac:dyDescent="0.25">
      <c r="A479" s="77"/>
    </row>
    <row r="480" spans="1:1" s="37" customFormat="1" ht="13.2" x14ac:dyDescent="0.25">
      <c r="A480" s="77"/>
    </row>
    <row r="481" spans="1:1" s="37" customFormat="1" ht="13.2" x14ac:dyDescent="0.25">
      <c r="A481" s="77"/>
    </row>
    <row r="482" spans="1:1" s="37" customFormat="1" ht="13.2" x14ac:dyDescent="0.25">
      <c r="A482" s="77"/>
    </row>
    <row r="483" spans="1:1" s="37" customFormat="1" ht="13.2" x14ac:dyDescent="0.25">
      <c r="A483" s="77"/>
    </row>
    <row r="484" spans="1:1" s="37" customFormat="1" ht="13.2" x14ac:dyDescent="0.25">
      <c r="A484" s="77"/>
    </row>
    <row r="485" spans="1:1" s="37" customFormat="1" ht="13.2" x14ac:dyDescent="0.25">
      <c r="A485" s="77"/>
    </row>
    <row r="486" spans="1:1" s="37" customFormat="1" ht="13.2" x14ac:dyDescent="0.25">
      <c r="A486" s="77"/>
    </row>
    <row r="487" spans="1:1" s="37" customFormat="1" ht="13.2" x14ac:dyDescent="0.25">
      <c r="A487" s="77"/>
    </row>
    <row r="488" spans="1:1" s="37" customFormat="1" ht="13.2" x14ac:dyDescent="0.25">
      <c r="A488" s="77"/>
    </row>
    <row r="489" spans="1:1" s="37" customFormat="1" ht="13.2" x14ac:dyDescent="0.25">
      <c r="A489" s="77"/>
    </row>
    <row r="490" spans="1:1" s="37" customFormat="1" ht="13.2" x14ac:dyDescent="0.25">
      <c r="A490" s="77"/>
    </row>
    <row r="491" spans="1:1" s="37" customFormat="1" ht="13.2" x14ac:dyDescent="0.25">
      <c r="A491" s="77"/>
    </row>
    <row r="492" spans="1:1" s="37" customFormat="1" ht="13.2" x14ac:dyDescent="0.25">
      <c r="A492" s="77"/>
    </row>
    <row r="493" spans="1:1" s="37" customFormat="1" ht="13.2" x14ac:dyDescent="0.25">
      <c r="A493" s="77"/>
    </row>
    <row r="494" spans="1:1" s="37" customFormat="1" ht="13.2" x14ac:dyDescent="0.25">
      <c r="A494" s="77"/>
    </row>
    <row r="495" spans="1:1" s="37" customFormat="1" ht="13.2" x14ac:dyDescent="0.25">
      <c r="A495" s="77"/>
    </row>
    <row r="496" spans="1:1" s="37" customFormat="1" ht="13.2" x14ac:dyDescent="0.25">
      <c r="A496" s="77"/>
    </row>
    <row r="497" spans="1:1" s="37" customFormat="1" ht="13.2" x14ac:dyDescent="0.25">
      <c r="A497" s="77"/>
    </row>
    <row r="498" spans="1:1" s="37" customFormat="1" ht="13.2" x14ac:dyDescent="0.25">
      <c r="A498" s="77"/>
    </row>
    <row r="499" spans="1:1" s="37" customFormat="1" ht="13.2" x14ac:dyDescent="0.25">
      <c r="A499" s="77"/>
    </row>
    <row r="500" spans="1:1" s="37" customFormat="1" ht="13.2" x14ac:dyDescent="0.25">
      <c r="A500" s="77"/>
    </row>
    <row r="501" spans="1:1" s="37" customFormat="1" ht="13.2" x14ac:dyDescent="0.25">
      <c r="A501" s="77"/>
    </row>
    <row r="502" spans="1:1" s="37" customFormat="1" ht="13.2" x14ac:dyDescent="0.25">
      <c r="A502" s="77"/>
    </row>
    <row r="503" spans="1:1" s="37" customFormat="1" ht="13.2" x14ac:dyDescent="0.25">
      <c r="A503" s="77"/>
    </row>
    <row r="504" spans="1:1" s="37" customFormat="1" ht="13.2" x14ac:dyDescent="0.25">
      <c r="A504" s="77"/>
    </row>
    <row r="505" spans="1:1" s="37" customFormat="1" ht="13.2" x14ac:dyDescent="0.25">
      <c r="A505" s="77"/>
    </row>
    <row r="506" spans="1:1" s="37" customFormat="1" ht="13.2" x14ac:dyDescent="0.25">
      <c r="A506" s="77"/>
    </row>
    <row r="507" spans="1:1" s="37" customFormat="1" ht="13.2" x14ac:dyDescent="0.25">
      <c r="A507" s="77"/>
    </row>
    <row r="508" spans="1:1" s="37" customFormat="1" ht="13.2" x14ac:dyDescent="0.25">
      <c r="A508" s="77"/>
    </row>
    <row r="509" spans="1:1" s="37" customFormat="1" ht="13.2" x14ac:dyDescent="0.25">
      <c r="A509" s="77"/>
    </row>
    <row r="510" spans="1:1" s="37" customFormat="1" ht="13.2" x14ac:dyDescent="0.25">
      <c r="A510" s="77"/>
    </row>
    <row r="511" spans="1:1" s="37" customFormat="1" ht="13.2" x14ac:dyDescent="0.25">
      <c r="A511" s="77"/>
    </row>
    <row r="512" spans="1:1" s="37" customFormat="1" ht="13.2" x14ac:dyDescent="0.25">
      <c r="A512" s="77"/>
    </row>
    <row r="513" spans="1:1" s="37" customFormat="1" ht="13.2" x14ac:dyDescent="0.25">
      <c r="A513" s="77"/>
    </row>
    <row r="514" spans="1:1" s="37" customFormat="1" ht="13.2" x14ac:dyDescent="0.25">
      <c r="A514" s="77"/>
    </row>
    <row r="515" spans="1:1" s="37" customFormat="1" ht="13.2" x14ac:dyDescent="0.25">
      <c r="A515" s="77"/>
    </row>
    <row r="516" spans="1:1" s="37" customFormat="1" ht="13.2" x14ac:dyDescent="0.25">
      <c r="A516" s="77"/>
    </row>
    <row r="517" spans="1:1" s="37" customFormat="1" ht="13.2" x14ac:dyDescent="0.25">
      <c r="A517" s="77"/>
    </row>
    <row r="518" spans="1:1" s="37" customFormat="1" ht="13.2" x14ac:dyDescent="0.25">
      <c r="A518" s="77"/>
    </row>
    <row r="519" spans="1:1" s="37" customFormat="1" ht="13.2" x14ac:dyDescent="0.25">
      <c r="A519" s="77"/>
    </row>
    <row r="520" spans="1:1" s="37" customFormat="1" ht="13.2" x14ac:dyDescent="0.25">
      <c r="A520" s="77"/>
    </row>
    <row r="521" spans="1:1" s="37" customFormat="1" ht="13.2" x14ac:dyDescent="0.25">
      <c r="A521" s="77"/>
    </row>
    <row r="522" spans="1:1" s="37" customFormat="1" ht="13.2" x14ac:dyDescent="0.25">
      <c r="A522" s="77"/>
    </row>
    <row r="523" spans="1:1" s="37" customFormat="1" ht="13.2" x14ac:dyDescent="0.25">
      <c r="A523" s="77"/>
    </row>
    <row r="524" spans="1:1" s="37" customFormat="1" ht="13.2" x14ac:dyDescent="0.25">
      <c r="A524" s="77"/>
    </row>
    <row r="525" spans="1:1" s="37" customFormat="1" ht="13.2" x14ac:dyDescent="0.25">
      <c r="A525" s="77"/>
    </row>
    <row r="526" spans="1:1" s="37" customFormat="1" ht="13.2" x14ac:dyDescent="0.25">
      <c r="A526" s="77"/>
    </row>
    <row r="527" spans="1:1" s="37" customFormat="1" ht="13.2" x14ac:dyDescent="0.25">
      <c r="A527" s="77"/>
    </row>
    <row r="528" spans="1:1" s="37" customFormat="1" ht="13.2" x14ac:dyDescent="0.25">
      <c r="A528" s="77"/>
    </row>
    <row r="529" spans="1:1" s="37" customFormat="1" ht="13.2" x14ac:dyDescent="0.25">
      <c r="A529" s="77"/>
    </row>
    <row r="530" spans="1:1" s="37" customFormat="1" ht="13.2" x14ac:dyDescent="0.25">
      <c r="A530" s="77"/>
    </row>
    <row r="531" spans="1:1" s="37" customFormat="1" ht="13.2" x14ac:dyDescent="0.25">
      <c r="A531" s="77"/>
    </row>
    <row r="532" spans="1:1" s="37" customFormat="1" ht="13.2" x14ac:dyDescent="0.25">
      <c r="A532" s="77"/>
    </row>
    <row r="533" spans="1:1" s="37" customFormat="1" ht="13.2" x14ac:dyDescent="0.25">
      <c r="A533" s="77"/>
    </row>
    <row r="534" spans="1:1" s="37" customFormat="1" ht="13.2" x14ac:dyDescent="0.25">
      <c r="A534" s="77"/>
    </row>
    <row r="535" spans="1:1" s="37" customFormat="1" ht="13.2" x14ac:dyDescent="0.25">
      <c r="A535" s="77"/>
    </row>
    <row r="536" spans="1:1" s="37" customFormat="1" ht="13.2" x14ac:dyDescent="0.25">
      <c r="A536" s="77"/>
    </row>
    <row r="537" spans="1:1" s="37" customFormat="1" ht="13.2" x14ac:dyDescent="0.25">
      <c r="A537" s="77"/>
    </row>
    <row r="538" spans="1:1" s="37" customFormat="1" ht="13.2" x14ac:dyDescent="0.25">
      <c r="A538" s="77"/>
    </row>
    <row r="539" spans="1:1" s="37" customFormat="1" ht="13.2" x14ac:dyDescent="0.25">
      <c r="A539" s="77"/>
    </row>
    <row r="540" spans="1:1" s="37" customFormat="1" ht="13.2" x14ac:dyDescent="0.25">
      <c r="A540" s="77"/>
    </row>
    <row r="541" spans="1:1" s="37" customFormat="1" ht="13.2" x14ac:dyDescent="0.25">
      <c r="A541" s="77"/>
    </row>
    <row r="542" spans="1:1" s="37" customFormat="1" ht="13.2" x14ac:dyDescent="0.25">
      <c r="A542" s="77"/>
    </row>
    <row r="543" spans="1:1" s="37" customFormat="1" ht="13.2" x14ac:dyDescent="0.25">
      <c r="A543" s="77"/>
    </row>
    <row r="544" spans="1:1" s="37" customFormat="1" ht="13.2" x14ac:dyDescent="0.25">
      <c r="A544" s="77"/>
    </row>
    <row r="545" spans="1:1" s="37" customFormat="1" ht="13.2" x14ac:dyDescent="0.25">
      <c r="A545" s="77"/>
    </row>
    <row r="546" spans="1:1" s="37" customFormat="1" ht="13.2" x14ac:dyDescent="0.25">
      <c r="A546" s="77"/>
    </row>
    <row r="547" spans="1:1" s="37" customFormat="1" ht="13.2" x14ac:dyDescent="0.25">
      <c r="A547" s="77"/>
    </row>
    <row r="548" spans="1:1" s="37" customFormat="1" ht="13.2" x14ac:dyDescent="0.25">
      <c r="A548" s="77"/>
    </row>
    <row r="549" spans="1:1" s="37" customFormat="1" ht="13.2" x14ac:dyDescent="0.25">
      <c r="A549" s="77"/>
    </row>
    <row r="550" spans="1:1" s="37" customFormat="1" ht="13.2" x14ac:dyDescent="0.25">
      <c r="A550" s="77"/>
    </row>
    <row r="551" spans="1:1" s="37" customFormat="1" ht="13.2" x14ac:dyDescent="0.25">
      <c r="A551" s="77"/>
    </row>
    <row r="552" spans="1:1" s="37" customFormat="1" ht="13.2" x14ac:dyDescent="0.25">
      <c r="A552" s="77"/>
    </row>
    <row r="553" spans="1:1" s="37" customFormat="1" ht="13.2" x14ac:dyDescent="0.25">
      <c r="A553" s="77"/>
    </row>
    <row r="554" spans="1:1" s="37" customFormat="1" ht="13.2" x14ac:dyDescent="0.25">
      <c r="A554" s="77"/>
    </row>
    <row r="555" spans="1:1" s="37" customFormat="1" ht="13.2" x14ac:dyDescent="0.25">
      <c r="A555" s="77"/>
    </row>
    <row r="556" spans="1:1" s="37" customFormat="1" ht="13.2" x14ac:dyDescent="0.25">
      <c r="A556" s="77"/>
    </row>
    <row r="557" spans="1:1" s="37" customFormat="1" ht="13.2" x14ac:dyDescent="0.25">
      <c r="A557" s="77"/>
    </row>
    <row r="558" spans="1:1" s="37" customFormat="1" ht="13.2" x14ac:dyDescent="0.25">
      <c r="A558" s="77"/>
    </row>
    <row r="559" spans="1:1" s="37" customFormat="1" ht="13.2" x14ac:dyDescent="0.25">
      <c r="A559" s="77"/>
    </row>
    <row r="560" spans="1:1" s="37" customFormat="1" ht="13.2" x14ac:dyDescent="0.25">
      <c r="A560" s="77"/>
    </row>
    <row r="561" spans="1:1" s="37" customFormat="1" ht="13.2" x14ac:dyDescent="0.25">
      <c r="A561" s="77"/>
    </row>
    <row r="562" spans="1:1" s="37" customFormat="1" ht="13.2" x14ac:dyDescent="0.25">
      <c r="A562" s="77"/>
    </row>
    <row r="563" spans="1:1" s="37" customFormat="1" ht="13.2" x14ac:dyDescent="0.25">
      <c r="A563" s="77"/>
    </row>
    <row r="564" spans="1:1" s="37" customFormat="1" ht="13.2" x14ac:dyDescent="0.25">
      <c r="A564" s="77"/>
    </row>
    <row r="565" spans="1:1" s="37" customFormat="1" ht="13.2" x14ac:dyDescent="0.25">
      <c r="A565" s="77"/>
    </row>
    <row r="566" spans="1:1" s="37" customFormat="1" ht="13.2" x14ac:dyDescent="0.25">
      <c r="A566" s="77"/>
    </row>
    <row r="567" spans="1:1" s="37" customFormat="1" ht="13.2" x14ac:dyDescent="0.25">
      <c r="A567" s="77"/>
    </row>
    <row r="568" spans="1:1" s="37" customFormat="1" ht="13.2" x14ac:dyDescent="0.25">
      <c r="A568" s="77"/>
    </row>
    <row r="569" spans="1:1" s="37" customFormat="1" ht="13.2" x14ac:dyDescent="0.25">
      <c r="A569" s="77"/>
    </row>
    <row r="570" spans="1:1" s="37" customFormat="1" ht="13.2" x14ac:dyDescent="0.25">
      <c r="A570" s="77"/>
    </row>
    <row r="571" spans="1:1" s="37" customFormat="1" ht="13.2" x14ac:dyDescent="0.25">
      <c r="A571" s="77"/>
    </row>
    <row r="572" spans="1:1" s="37" customFormat="1" ht="13.2" x14ac:dyDescent="0.25">
      <c r="A572" s="77"/>
    </row>
    <row r="573" spans="1:1" s="37" customFormat="1" ht="13.2" x14ac:dyDescent="0.25">
      <c r="A573" s="77"/>
    </row>
    <row r="574" spans="1:1" s="37" customFormat="1" ht="13.2" x14ac:dyDescent="0.25">
      <c r="A574" s="77"/>
    </row>
    <row r="575" spans="1:1" s="37" customFormat="1" ht="13.2" x14ac:dyDescent="0.25">
      <c r="A575" s="77"/>
    </row>
    <row r="576" spans="1:1" s="37" customFormat="1" ht="13.2" x14ac:dyDescent="0.25">
      <c r="A576" s="77"/>
    </row>
    <row r="577" spans="1:1" s="37" customFormat="1" ht="13.2" x14ac:dyDescent="0.25">
      <c r="A577" s="77"/>
    </row>
    <row r="578" spans="1:1" s="37" customFormat="1" ht="13.2" x14ac:dyDescent="0.25">
      <c r="A578" s="77"/>
    </row>
    <row r="579" spans="1:1" s="37" customFormat="1" ht="13.2" x14ac:dyDescent="0.25">
      <c r="A579" s="77"/>
    </row>
    <row r="580" spans="1:1" s="37" customFormat="1" ht="13.2" x14ac:dyDescent="0.25">
      <c r="A580" s="77"/>
    </row>
    <row r="581" spans="1:1" s="37" customFormat="1" ht="13.2" x14ac:dyDescent="0.25">
      <c r="A581" s="77"/>
    </row>
    <row r="582" spans="1:1" s="37" customFormat="1" ht="13.2" x14ac:dyDescent="0.25">
      <c r="A582" s="77"/>
    </row>
    <row r="583" spans="1:1" s="37" customFormat="1" ht="13.2" x14ac:dyDescent="0.25">
      <c r="A583" s="77"/>
    </row>
    <row r="584" spans="1:1" s="37" customFormat="1" ht="13.2" x14ac:dyDescent="0.25">
      <c r="A584" s="77"/>
    </row>
    <row r="585" spans="1:1" s="37" customFormat="1" ht="13.2" x14ac:dyDescent="0.25">
      <c r="A585" s="77"/>
    </row>
    <row r="586" spans="1:1" s="37" customFormat="1" ht="13.2" x14ac:dyDescent="0.25">
      <c r="A586" s="77"/>
    </row>
    <row r="587" spans="1:1" s="37" customFormat="1" ht="13.2" x14ac:dyDescent="0.25">
      <c r="A587" s="77"/>
    </row>
    <row r="588" spans="1:1" s="37" customFormat="1" ht="13.2" x14ac:dyDescent="0.25">
      <c r="A588" s="77"/>
    </row>
    <row r="589" spans="1:1" s="37" customFormat="1" ht="13.2" x14ac:dyDescent="0.25">
      <c r="A589" s="77"/>
    </row>
    <row r="590" spans="1:1" s="37" customFormat="1" ht="13.2" x14ac:dyDescent="0.25">
      <c r="A590" s="77"/>
    </row>
    <row r="591" spans="1:1" s="37" customFormat="1" ht="13.2" x14ac:dyDescent="0.25">
      <c r="A591" s="77"/>
    </row>
    <row r="592" spans="1:1" s="37" customFormat="1" ht="13.2" x14ac:dyDescent="0.25">
      <c r="A592" s="77"/>
    </row>
    <row r="593" spans="1:1" s="37" customFormat="1" ht="13.2" x14ac:dyDescent="0.25">
      <c r="A593" s="77"/>
    </row>
    <row r="594" spans="1:1" s="37" customFormat="1" ht="13.2" x14ac:dyDescent="0.25">
      <c r="A594" s="77"/>
    </row>
    <row r="595" spans="1:1" s="37" customFormat="1" ht="13.2" x14ac:dyDescent="0.25">
      <c r="A595" s="77"/>
    </row>
    <row r="596" spans="1:1" s="37" customFormat="1" ht="13.2" x14ac:dyDescent="0.25">
      <c r="A596" s="77"/>
    </row>
    <row r="597" spans="1:1" s="37" customFormat="1" ht="13.2" x14ac:dyDescent="0.25">
      <c r="A597" s="77"/>
    </row>
    <row r="598" spans="1:1" s="37" customFormat="1" ht="13.2" x14ac:dyDescent="0.25">
      <c r="A598" s="77"/>
    </row>
    <row r="599" spans="1:1" s="37" customFormat="1" ht="13.2" x14ac:dyDescent="0.25">
      <c r="A599" s="77"/>
    </row>
    <row r="600" spans="1:1" s="37" customFormat="1" ht="13.2" x14ac:dyDescent="0.25">
      <c r="A600" s="77"/>
    </row>
    <row r="601" spans="1:1" s="37" customFormat="1" ht="13.2" x14ac:dyDescent="0.25">
      <c r="A601" s="77"/>
    </row>
    <row r="602" spans="1:1" s="37" customFormat="1" ht="13.2" x14ac:dyDescent="0.25">
      <c r="A602" s="77"/>
    </row>
    <row r="603" spans="1:1" s="37" customFormat="1" ht="13.2" x14ac:dyDescent="0.25">
      <c r="A603" s="77"/>
    </row>
    <row r="604" spans="1:1" s="37" customFormat="1" ht="13.2" x14ac:dyDescent="0.25">
      <c r="A604" s="77"/>
    </row>
    <row r="605" spans="1:1" s="37" customFormat="1" ht="13.2" x14ac:dyDescent="0.25">
      <c r="A605" s="77"/>
    </row>
    <row r="606" spans="1:1" s="37" customFormat="1" ht="13.2" x14ac:dyDescent="0.25">
      <c r="A606" s="77"/>
    </row>
    <row r="607" spans="1:1" s="37" customFormat="1" ht="13.2" x14ac:dyDescent="0.25">
      <c r="A607" s="77"/>
    </row>
    <row r="608" spans="1:1" s="37" customFormat="1" ht="13.2" x14ac:dyDescent="0.25">
      <c r="A608" s="77"/>
    </row>
    <row r="609" spans="1:1" s="37" customFormat="1" ht="13.2" x14ac:dyDescent="0.25">
      <c r="A609" s="77"/>
    </row>
    <row r="610" spans="1:1" s="37" customFormat="1" ht="13.2" x14ac:dyDescent="0.25">
      <c r="A610" s="77"/>
    </row>
    <row r="611" spans="1:1" s="37" customFormat="1" ht="13.2" x14ac:dyDescent="0.25">
      <c r="A611" s="77"/>
    </row>
    <row r="612" spans="1:1" s="37" customFormat="1" ht="13.2" x14ac:dyDescent="0.25">
      <c r="A612" s="77"/>
    </row>
    <row r="613" spans="1:1" s="37" customFormat="1" ht="13.2" x14ac:dyDescent="0.25">
      <c r="A613" s="77"/>
    </row>
    <row r="614" spans="1:1" s="37" customFormat="1" ht="13.2" x14ac:dyDescent="0.25">
      <c r="A614" s="77"/>
    </row>
    <row r="615" spans="1:1" s="37" customFormat="1" ht="13.2" x14ac:dyDescent="0.25">
      <c r="A615" s="77"/>
    </row>
    <row r="616" spans="1:1" s="37" customFormat="1" ht="13.2" x14ac:dyDescent="0.25">
      <c r="A616" s="77"/>
    </row>
    <row r="617" spans="1:1" s="37" customFormat="1" ht="13.2" x14ac:dyDescent="0.25">
      <c r="A617" s="77"/>
    </row>
    <row r="618" spans="1:1" s="37" customFormat="1" ht="13.2" x14ac:dyDescent="0.25">
      <c r="A618" s="77"/>
    </row>
    <row r="619" spans="1:1" s="37" customFormat="1" ht="13.2" x14ac:dyDescent="0.25">
      <c r="A619" s="77"/>
    </row>
    <row r="620" spans="1:1" s="37" customFormat="1" ht="13.2" x14ac:dyDescent="0.25">
      <c r="A620" s="77"/>
    </row>
    <row r="621" spans="1:1" s="37" customFormat="1" ht="13.2" x14ac:dyDescent="0.25">
      <c r="A621" s="77"/>
    </row>
    <row r="622" spans="1:1" s="37" customFormat="1" ht="13.2" x14ac:dyDescent="0.25">
      <c r="A622" s="77"/>
    </row>
    <row r="623" spans="1:1" s="37" customFormat="1" ht="13.2" x14ac:dyDescent="0.25">
      <c r="A623" s="77"/>
    </row>
    <row r="624" spans="1:1" s="37" customFormat="1" ht="13.2" x14ac:dyDescent="0.25">
      <c r="A624" s="77"/>
    </row>
    <row r="625" spans="1:1" s="37" customFormat="1" ht="13.2" x14ac:dyDescent="0.25">
      <c r="A625" s="77"/>
    </row>
    <row r="626" spans="1:1" s="37" customFormat="1" ht="13.2" x14ac:dyDescent="0.25">
      <c r="A626" s="77"/>
    </row>
    <row r="627" spans="1:1" s="37" customFormat="1" ht="13.2" x14ac:dyDescent="0.25">
      <c r="A627" s="77"/>
    </row>
    <row r="628" spans="1:1" s="37" customFormat="1" ht="13.2" x14ac:dyDescent="0.25">
      <c r="A628" s="77"/>
    </row>
    <row r="629" spans="1:1" s="37" customFormat="1" ht="13.2" x14ac:dyDescent="0.25">
      <c r="A629" s="77"/>
    </row>
    <row r="630" spans="1:1" s="37" customFormat="1" ht="13.2" x14ac:dyDescent="0.25">
      <c r="A630" s="77"/>
    </row>
    <row r="631" spans="1:1" s="37" customFormat="1" ht="13.2" x14ac:dyDescent="0.25">
      <c r="A631" s="77"/>
    </row>
    <row r="632" spans="1:1" s="37" customFormat="1" ht="13.2" x14ac:dyDescent="0.25">
      <c r="A632" s="77"/>
    </row>
    <row r="633" spans="1:1" s="37" customFormat="1" ht="13.2" x14ac:dyDescent="0.25">
      <c r="A633" s="77"/>
    </row>
    <row r="634" spans="1:1" s="37" customFormat="1" ht="13.2" x14ac:dyDescent="0.25">
      <c r="A634" s="77"/>
    </row>
    <row r="635" spans="1:1" s="37" customFormat="1" ht="13.2" x14ac:dyDescent="0.25">
      <c r="A635" s="77"/>
    </row>
    <row r="636" spans="1:1" s="37" customFormat="1" ht="13.2" x14ac:dyDescent="0.25">
      <c r="A636" s="77"/>
    </row>
    <row r="637" spans="1:1" s="37" customFormat="1" ht="13.2" x14ac:dyDescent="0.25">
      <c r="A637" s="77"/>
    </row>
    <row r="638" spans="1:1" s="37" customFormat="1" ht="13.2" x14ac:dyDescent="0.25">
      <c r="A638" s="77"/>
    </row>
    <row r="639" spans="1:1" s="37" customFormat="1" ht="13.2" x14ac:dyDescent="0.25">
      <c r="A639" s="77"/>
    </row>
    <row r="640" spans="1:1" s="37" customFormat="1" ht="13.2" x14ac:dyDescent="0.25">
      <c r="A640" s="77"/>
    </row>
    <row r="641" spans="1:1" s="37" customFormat="1" ht="13.2" x14ac:dyDescent="0.25">
      <c r="A641" s="77"/>
    </row>
    <row r="642" spans="1:1" s="37" customFormat="1" ht="13.2" x14ac:dyDescent="0.25">
      <c r="A642" s="77"/>
    </row>
    <row r="643" spans="1:1" s="37" customFormat="1" ht="13.2" x14ac:dyDescent="0.25">
      <c r="A643" s="77"/>
    </row>
    <row r="644" spans="1:1" s="37" customFormat="1" ht="13.2" x14ac:dyDescent="0.25">
      <c r="A644" s="77"/>
    </row>
    <row r="645" spans="1:1" s="37" customFormat="1" ht="13.2" x14ac:dyDescent="0.25">
      <c r="A645" s="77"/>
    </row>
    <row r="646" spans="1:1" s="37" customFormat="1" ht="13.2" x14ac:dyDescent="0.25">
      <c r="A646" s="77"/>
    </row>
    <row r="647" spans="1:1" s="37" customFormat="1" ht="13.2" x14ac:dyDescent="0.25">
      <c r="A647" s="77"/>
    </row>
    <row r="648" spans="1:1" s="37" customFormat="1" ht="13.2" x14ac:dyDescent="0.25">
      <c r="A648" s="77"/>
    </row>
    <row r="649" spans="1:1" s="37" customFormat="1" ht="13.2" x14ac:dyDescent="0.25">
      <c r="A649" s="77"/>
    </row>
    <row r="650" spans="1:1" s="37" customFormat="1" ht="13.2" x14ac:dyDescent="0.25">
      <c r="A650" s="77"/>
    </row>
    <row r="651" spans="1:1" s="37" customFormat="1" ht="13.2" x14ac:dyDescent="0.25">
      <c r="A651" s="77"/>
    </row>
    <row r="652" spans="1:1" s="37" customFormat="1" ht="13.2" x14ac:dyDescent="0.25">
      <c r="A652" s="77"/>
    </row>
    <row r="653" spans="1:1" s="37" customFormat="1" ht="13.2" x14ac:dyDescent="0.25">
      <c r="A653" s="77"/>
    </row>
    <row r="654" spans="1:1" s="37" customFormat="1" ht="13.2" x14ac:dyDescent="0.25">
      <c r="A654" s="77"/>
    </row>
    <row r="655" spans="1:1" s="37" customFormat="1" ht="13.2" x14ac:dyDescent="0.25">
      <c r="A655" s="77"/>
    </row>
    <row r="656" spans="1:1" s="37" customFormat="1" ht="13.2" x14ac:dyDescent="0.25">
      <c r="A656" s="77"/>
    </row>
    <row r="657" spans="1:1" s="37" customFormat="1" ht="13.2" x14ac:dyDescent="0.25">
      <c r="A657" s="77"/>
    </row>
    <row r="658" spans="1:1" s="37" customFormat="1" ht="13.2" x14ac:dyDescent="0.25">
      <c r="A658" s="77"/>
    </row>
    <row r="659" spans="1:1" s="37" customFormat="1" ht="13.2" x14ac:dyDescent="0.25">
      <c r="A659" s="77"/>
    </row>
    <row r="660" spans="1:1" s="37" customFormat="1" ht="13.2" x14ac:dyDescent="0.25">
      <c r="A660" s="77"/>
    </row>
    <row r="661" spans="1:1" s="37" customFormat="1" ht="13.2" x14ac:dyDescent="0.25">
      <c r="A661" s="77"/>
    </row>
    <row r="662" spans="1:1" s="37" customFormat="1" ht="13.2" x14ac:dyDescent="0.25">
      <c r="A662" s="77"/>
    </row>
    <row r="663" spans="1:1" s="37" customFormat="1" ht="13.2" x14ac:dyDescent="0.25">
      <c r="A663" s="77"/>
    </row>
    <row r="664" spans="1:1" s="37" customFormat="1" ht="13.2" x14ac:dyDescent="0.25">
      <c r="A664" s="77"/>
    </row>
    <row r="665" spans="1:1" s="37" customFormat="1" ht="13.2" x14ac:dyDescent="0.25">
      <c r="A665" s="77"/>
    </row>
    <row r="666" spans="1:1" s="37" customFormat="1" ht="13.2" x14ac:dyDescent="0.25">
      <c r="A666" s="77"/>
    </row>
    <row r="667" spans="1:1" s="37" customFormat="1" ht="13.2" x14ac:dyDescent="0.25">
      <c r="A667" s="77"/>
    </row>
    <row r="668" spans="1:1" s="37" customFormat="1" ht="13.2" x14ac:dyDescent="0.25">
      <c r="A668" s="77"/>
    </row>
    <row r="669" spans="1:1" s="37" customFormat="1" ht="13.2" x14ac:dyDescent="0.25">
      <c r="A669" s="77"/>
    </row>
    <row r="670" spans="1:1" s="37" customFormat="1" ht="13.2" x14ac:dyDescent="0.25">
      <c r="A670" s="77"/>
    </row>
    <row r="671" spans="1:1" s="37" customFormat="1" ht="13.2" x14ac:dyDescent="0.25">
      <c r="A671" s="77"/>
    </row>
    <row r="672" spans="1:1" s="37" customFormat="1" ht="13.2" x14ac:dyDescent="0.25">
      <c r="A672" s="77"/>
    </row>
    <row r="673" spans="1:1" s="37" customFormat="1" ht="13.2" x14ac:dyDescent="0.25">
      <c r="A673" s="77"/>
    </row>
    <row r="674" spans="1:1" s="37" customFormat="1" ht="13.2" x14ac:dyDescent="0.25">
      <c r="A674" s="77"/>
    </row>
    <row r="675" spans="1:1" s="37" customFormat="1" ht="13.2" x14ac:dyDescent="0.25">
      <c r="A675" s="77"/>
    </row>
    <row r="676" spans="1:1" s="37" customFormat="1" ht="13.2" x14ac:dyDescent="0.25">
      <c r="A676" s="77"/>
    </row>
    <row r="677" spans="1:1" s="37" customFormat="1" ht="13.2" x14ac:dyDescent="0.25">
      <c r="A677" s="77"/>
    </row>
    <row r="678" spans="1:1" s="37" customFormat="1" ht="13.2" x14ac:dyDescent="0.25">
      <c r="A678" s="77"/>
    </row>
    <row r="679" spans="1:1" s="37" customFormat="1" ht="13.2" x14ac:dyDescent="0.25">
      <c r="A679" s="77"/>
    </row>
    <row r="680" spans="1:1" s="37" customFormat="1" ht="13.2" x14ac:dyDescent="0.25">
      <c r="A680" s="77"/>
    </row>
    <row r="681" spans="1:1" s="37" customFormat="1" ht="13.2" x14ac:dyDescent="0.25">
      <c r="A681" s="77"/>
    </row>
    <row r="682" spans="1:1" s="37" customFormat="1" ht="13.2" x14ac:dyDescent="0.25">
      <c r="A682" s="77"/>
    </row>
    <row r="683" spans="1:1" s="37" customFormat="1" ht="13.2" x14ac:dyDescent="0.25">
      <c r="A683" s="77"/>
    </row>
    <row r="684" spans="1:1" s="37" customFormat="1" ht="13.2" x14ac:dyDescent="0.25">
      <c r="A684" s="77"/>
    </row>
    <row r="685" spans="1:1" s="37" customFormat="1" ht="13.2" x14ac:dyDescent="0.25">
      <c r="A685" s="77"/>
    </row>
    <row r="686" spans="1:1" s="37" customFormat="1" ht="13.2" x14ac:dyDescent="0.25">
      <c r="A686" s="77"/>
    </row>
    <row r="687" spans="1:1" s="37" customFormat="1" ht="13.2" x14ac:dyDescent="0.25">
      <c r="A687" s="77"/>
    </row>
    <row r="688" spans="1:1" s="37" customFormat="1" ht="13.2" x14ac:dyDescent="0.25">
      <c r="A688" s="77"/>
    </row>
    <row r="689" spans="1:1" s="37" customFormat="1" ht="13.2" x14ac:dyDescent="0.25">
      <c r="A689" s="77"/>
    </row>
    <row r="690" spans="1:1" s="37" customFormat="1" ht="13.2" x14ac:dyDescent="0.25">
      <c r="A690" s="77"/>
    </row>
    <row r="691" spans="1:1" s="37" customFormat="1" ht="13.2" x14ac:dyDescent="0.25">
      <c r="A691" s="77"/>
    </row>
    <row r="692" spans="1:1" s="37" customFormat="1" ht="13.2" x14ac:dyDescent="0.25">
      <c r="A692" s="77"/>
    </row>
    <row r="693" spans="1:1" s="37" customFormat="1" ht="13.2" x14ac:dyDescent="0.25">
      <c r="A693" s="77"/>
    </row>
    <row r="694" spans="1:1" s="37" customFormat="1" ht="13.2" x14ac:dyDescent="0.25">
      <c r="A694" s="77"/>
    </row>
    <row r="695" spans="1:1" s="37" customFormat="1" ht="13.2" x14ac:dyDescent="0.25">
      <c r="A695" s="77"/>
    </row>
    <row r="696" spans="1:1" s="37" customFormat="1" ht="13.2" x14ac:dyDescent="0.25">
      <c r="A696" s="77"/>
    </row>
    <row r="697" spans="1:1" s="37" customFormat="1" ht="13.2" x14ac:dyDescent="0.25">
      <c r="A697" s="77"/>
    </row>
    <row r="698" spans="1:1" s="37" customFormat="1" ht="13.2" x14ac:dyDescent="0.25">
      <c r="A698" s="77"/>
    </row>
    <row r="699" spans="1:1" s="37" customFormat="1" ht="13.2" x14ac:dyDescent="0.25">
      <c r="A699" s="77"/>
    </row>
    <row r="700" spans="1:1" s="37" customFormat="1" ht="13.2" x14ac:dyDescent="0.25">
      <c r="A700" s="77"/>
    </row>
    <row r="701" spans="1:1" s="37" customFormat="1" ht="13.2" x14ac:dyDescent="0.25">
      <c r="A701" s="77"/>
    </row>
    <row r="702" spans="1:1" s="37" customFormat="1" ht="13.2" x14ac:dyDescent="0.25">
      <c r="A702" s="77"/>
    </row>
    <row r="703" spans="1:1" s="37" customFormat="1" ht="13.2" x14ac:dyDescent="0.25">
      <c r="A703" s="77"/>
    </row>
    <row r="704" spans="1:1" s="37" customFormat="1" ht="13.2" x14ac:dyDescent="0.25">
      <c r="A704" s="77"/>
    </row>
    <row r="705" spans="1:1" s="37" customFormat="1" ht="13.2" x14ac:dyDescent="0.25">
      <c r="A705" s="77"/>
    </row>
    <row r="706" spans="1:1" s="37" customFormat="1" ht="13.2" x14ac:dyDescent="0.25">
      <c r="A706" s="77"/>
    </row>
    <row r="707" spans="1:1" s="37" customFormat="1" ht="13.2" x14ac:dyDescent="0.25">
      <c r="A707" s="77"/>
    </row>
    <row r="708" spans="1:1" s="37" customFormat="1" ht="13.2" x14ac:dyDescent="0.25">
      <c r="A708" s="77"/>
    </row>
    <row r="709" spans="1:1" s="37" customFormat="1" ht="13.2" x14ac:dyDescent="0.25">
      <c r="A709" s="77"/>
    </row>
    <row r="710" spans="1:1" s="37" customFormat="1" ht="13.2" x14ac:dyDescent="0.25">
      <c r="A710" s="77"/>
    </row>
    <row r="711" spans="1:1" s="37" customFormat="1" ht="13.2" x14ac:dyDescent="0.25">
      <c r="A711" s="77"/>
    </row>
    <row r="712" spans="1:1" s="37" customFormat="1" ht="13.2" x14ac:dyDescent="0.25">
      <c r="A712" s="77"/>
    </row>
    <row r="713" spans="1:1" s="37" customFormat="1" ht="13.2" x14ac:dyDescent="0.25">
      <c r="A713" s="77"/>
    </row>
    <row r="714" spans="1:1" s="37" customFormat="1" ht="13.2" x14ac:dyDescent="0.25">
      <c r="A714" s="77"/>
    </row>
    <row r="715" spans="1:1" s="37" customFormat="1" ht="13.2" x14ac:dyDescent="0.25">
      <c r="A715" s="77"/>
    </row>
    <row r="716" spans="1:1" s="37" customFormat="1" ht="13.2" x14ac:dyDescent="0.25">
      <c r="A716" s="77"/>
    </row>
    <row r="717" spans="1:1" s="37" customFormat="1" ht="13.2" x14ac:dyDescent="0.25">
      <c r="A717" s="77"/>
    </row>
    <row r="718" spans="1:1" s="37" customFormat="1" ht="13.2" x14ac:dyDescent="0.25">
      <c r="A718" s="77"/>
    </row>
    <row r="719" spans="1:1" s="37" customFormat="1" ht="13.2" x14ac:dyDescent="0.25">
      <c r="A719" s="77"/>
    </row>
    <row r="720" spans="1:1" s="37" customFormat="1" ht="13.2" x14ac:dyDescent="0.25">
      <c r="A720" s="77"/>
    </row>
    <row r="721" spans="1:1" s="37" customFormat="1" ht="13.2" x14ac:dyDescent="0.25">
      <c r="A721" s="77"/>
    </row>
    <row r="722" spans="1:1" s="37" customFormat="1" ht="13.2" x14ac:dyDescent="0.25">
      <c r="A722" s="77"/>
    </row>
    <row r="723" spans="1:1" s="37" customFormat="1" ht="13.2" x14ac:dyDescent="0.25">
      <c r="A723" s="77"/>
    </row>
    <row r="724" spans="1:1" s="37" customFormat="1" ht="13.2" x14ac:dyDescent="0.25">
      <c r="A724" s="77"/>
    </row>
    <row r="725" spans="1:1" s="37" customFormat="1" ht="13.2" x14ac:dyDescent="0.25">
      <c r="A725" s="77"/>
    </row>
    <row r="726" spans="1:1" s="37" customFormat="1" ht="13.2" x14ac:dyDescent="0.25">
      <c r="A726" s="77"/>
    </row>
    <row r="727" spans="1:1" s="37" customFormat="1" ht="13.2" x14ac:dyDescent="0.25">
      <c r="A727" s="77"/>
    </row>
    <row r="728" spans="1:1" s="37" customFormat="1" ht="13.2" x14ac:dyDescent="0.25">
      <c r="A728" s="77"/>
    </row>
    <row r="729" spans="1:1" s="37" customFormat="1" ht="13.2" x14ac:dyDescent="0.25">
      <c r="A729" s="77"/>
    </row>
    <row r="730" spans="1:1" s="37" customFormat="1" ht="13.2" x14ac:dyDescent="0.25">
      <c r="A730" s="77"/>
    </row>
    <row r="731" spans="1:1" s="37" customFormat="1" ht="13.2" x14ac:dyDescent="0.25">
      <c r="A731" s="77"/>
    </row>
    <row r="732" spans="1:1" s="37" customFormat="1" ht="13.2" x14ac:dyDescent="0.25">
      <c r="A732" s="77"/>
    </row>
    <row r="733" spans="1:1" s="37" customFormat="1" ht="13.2" x14ac:dyDescent="0.25">
      <c r="A733" s="77"/>
    </row>
    <row r="734" spans="1:1" s="37" customFormat="1" ht="13.2" x14ac:dyDescent="0.25">
      <c r="A734" s="77"/>
    </row>
    <row r="735" spans="1:1" s="37" customFormat="1" ht="13.2" x14ac:dyDescent="0.25">
      <c r="A735" s="77"/>
    </row>
    <row r="736" spans="1:1" s="37" customFormat="1" ht="13.2" x14ac:dyDescent="0.25">
      <c r="A736" s="77"/>
    </row>
    <row r="737" spans="1:1" s="37" customFormat="1" ht="13.2" x14ac:dyDescent="0.25">
      <c r="A737" s="77"/>
    </row>
    <row r="738" spans="1:1" s="37" customFormat="1" ht="13.2" x14ac:dyDescent="0.25">
      <c r="A738" s="77"/>
    </row>
    <row r="739" spans="1:1" s="37" customFormat="1" ht="13.2" x14ac:dyDescent="0.25">
      <c r="A739" s="77"/>
    </row>
    <row r="740" spans="1:1" s="37" customFormat="1" ht="13.2" x14ac:dyDescent="0.25">
      <c r="A740" s="77"/>
    </row>
    <row r="741" spans="1:1" s="37" customFormat="1" ht="13.2" x14ac:dyDescent="0.25">
      <c r="A741" s="77"/>
    </row>
    <row r="742" spans="1:1" s="37" customFormat="1" ht="13.2" x14ac:dyDescent="0.25">
      <c r="A742" s="77"/>
    </row>
    <row r="743" spans="1:1" s="37" customFormat="1" ht="13.2" x14ac:dyDescent="0.25">
      <c r="A743" s="77"/>
    </row>
    <row r="744" spans="1:1" s="37" customFormat="1" ht="13.2" x14ac:dyDescent="0.25">
      <c r="A744" s="77"/>
    </row>
    <row r="745" spans="1:1" s="37" customFormat="1" ht="13.2" x14ac:dyDescent="0.25">
      <c r="A745" s="77"/>
    </row>
    <row r="746" spans="1:1" s="37" customFormat="1" ht="13.2" x14ac:dyDescent="0.25">
      <c r="A746" s="77"/>
    </row>
    <row r="747" spans="1:1" s="37" customFormat="1" ht="13.2" x14ac:dyDescent="0.25">
      <c r="A747" s="77"/>
    </row>
    <row r="748" spans="1:1" x14ac:dyDescent="0.3">
      <c r="A748" s="77"/>
    </row>
    <row r="749" spans="1:1" x14ac:dyDescent="0.3">
      <c r="A749" s="77"/>
    </row>
    <row r="750" spans="1:1" x14ac:dyDescent="0.3">
      <c r="A750" s="77"/>
    </row>
    <row r="751" spans="1:1" x14ac:dyDescent="0.3">
      <c r="A751" s="77"/>
    </row>
    <row r="752" spans="1:1" x14ac:dyDescent="0.3">
      <c r="A752" s="77"/>
    </row>
    <row r="753" spans="1:1" x14ac:dyDescent="0.3">
      <c r="A753" s="77"/>
    </row>
    <row r="754" spans="1:1" x14ac:dyDescent="0.3">
      <c r="A754" s="77"/>
    </row>
    <row r="755" spans="1:1" x14ac:dyDescent="0.3">
      <c r="A755" s="77"/>
    </row>
    <row r="756" spans="1:1" x14ac:dyDescent="0.3">
      <c r="A756" s="77"/>
    </row>
    <row r="757" spans="1:1" x14ac:dyDescent="0.3">
      <c r="A757" s="77"/>
    </row>
    <row r="758" spans="1:1" x14ac:dyDescent="0.3">
      <c r="A758" s="77"/>
    </row>
    <row r="759" spans="1:1" x14ac:dyDescent="0.3">
      <c r="A759" s="77"/>
    </row>
    <row r="760" spans="1:1" x14ac:dyDescent="0.3">
      <c r="A760" s="77"/>
    </row>
    <row r="761" spans="1:1" x14ac:dyDescent="0.3">
      <c r="A761" s="77"/>
    </row>
    <row r="762" spans="1:1" x14ac:dyDescent="0.3">
      <c r="A762" s="77"/>
    </row>
    <row r="763" spans="1:1" x14ac:dyDescent="0.3">
      <c r="A763" s="77"/>
    </row>
    <row r="764" spans="1:1" x14ac:dyDescent="0.3">
      <c r="A764" s="77"/>
    </row>
    <row r="765" spans="1:1" x14ac:dyDescent="0.3">
      <c r="A765" s="77"/>
    </row>
    <row r="766" spans="1:1" x14ac:dyDescent="0.3">
      <c r="A766" s="77"/>
    </row>
    <row r="767" spans="1:1" x14ac:dyDescent="0.3">
      <c r="A767" s="77"/>
    </row>
    <row r="768" spans="1:1" x14ac:dyDescent="0.3">
      <c r="A768" s="77"/>
    </row>
    <row r="769" spans="1:1" x14ac:dyDescent="0.3">
      <c r="A769" s="77"/>
    </row>
    <row r="770" spans="1:1" x14ac:dyDescent="0.3">
      <c r="A770" s="77"/>
    </row>
    <row r="771" spans="1:1" x14ac:dyDescent="0.3">
      <c r="A771" s="77"/>
    </row>
    <row r="772" spans="1:1" x14ac:dyDescent="0.3">
      <c r="A772" s="77"/>
    </row>
    <row r="773" spans="1:1" x14ac:dyDescent="0.3">
      <c r="A773" s="77"/>
    </row>
    <row r="774" spans="1:1" x14ac:dyDescent="0.3">
      <c r="A774" s="77"/>
    </row>
    <row r="775" spans="1:1" x14ac:dyDescent="0.3">
      <c r="A775" s="77"/>
    </row>
    <row r="776" spans="1:1" x14ac:dyDescent="0.3">
      <c r="A776" s="77"/>
    </row>
    <row r="777" spans="1:1" x14ac:dyDescent="0.3">
      <c r="A777" s="77"/>
    </row>
    <row r="778" spans="1:1" x14ac:dyDescent="0.3">
      <c r="A778" s="77"/>
    </row>
    <row r="779" spans="1:1" x14ac:dyDescent="0.3">
      <c r="A779" s="77"/>
    </row>
    <row r="780" spans="1:1" x14ac:dyDescent="0.3">
      <c r="A780" s="77"/>
    </row>
    <row r="781" spans="1:1" x14ac:dyDescent="0.3">
      <c r="A781" s="77"/>
    </row>
    <row r="782" spans="1:1" x14ac:dyDescent="0.3">
      <c r="A782" s="77"/>
    </row>
    <row r="783" spans="1:1" x14ac:dyDescent="0.3">
      <c r="A783" s="77"/>
    </row>
    <row r="784" spans="1:1" x14ac:dyDescent="0.3">
      <c r="A784" s="77"/>
    </row>
    <row r="785" spans="1:1" x14ac:dyDescent="0.3">
      <c r="A785" s="77"/>
    </row>
    <row r="786" spans="1:1" x14ac:dyDescent="0.3">
      <c r="A786" s="77"/>
    </row>
    <row r="787" spans="1:1" x14ac:dyDescent="0.3">
      <c r="A787" s="77"/>
    </row>
    <row r="788" spans="1:1" x14ac:dyDescent="0.3">
      <c r="A788" s="77"/>
    </row>
    <row r="789" spans="1:1" x14ac:dyDescent="0.3">
      <c r="A789" s="77"/>
    </row>
    <row r="790" spans="1:1" x14ac:dyDescent="0.3">
      <c r="A790" s="77"/>
    </row>
    <row r="791" spans="1:1" x14ac:dyDescent="0.3">
      <c r="A791" s="77"/>
    </row>
    <row r="792" spans="1:1" x14ac:dyDescent="0.3">
      <c r="A792" s="77"/>
    </row>
    <row r="793" spans="1:1" x14ac:dyDescent="0.3">
      <c r="A793" s="77"/>
    </row>
    <row r="794" spans="1:1" x14ac:dyDescent="0.3">
      <c r="A794" s="77"/>
    </row>
    <row r="795" spans="1:1" x14ac:dyDescent="0.3">
      <c r="A795" s="77"/>
    </row>
    <row r="796" spans="1:1" x14ac:dyDescent="0.3">
      <c r="A796" s="77"/>
    </row>
    <row r="797" spans="1:1" x14ac:dyDescent="0.3">
      <c r="A797" s="77"/>
    </row>
    <row r="798" spans="1:1" x14ac:dyDescent="0.3">
      <c r="A798" s="77"/>
    </row>
    <row r="799" spans="1:1" x14ac:dyDescent="0.3">
      <c r="A799" s="77"/>
    </row>
    <row r="800" spans="1:1" x14ac:dyDescent="0.3">
      <c r="A800" s="77"/>
    </row>
    <row r="801" spans="1:1" x14ac:dyDescent="0.3">
      <c r="A801" s="77"/>
    </row>
    <row r="802" spans="1:1" x14ac:dyDescent="0.3">
      <c r="A802" s="77"/>
    </row>
    <row r="803" spans="1:1" x14ac:dyDescent="0.3">
      <c r="A803" s="77"/>
    </row>
    <row r="804" spans="1:1" x14ac:dyDescent="0.3">
      <c r="A804" s="77"/>
    </row>
  </sheetData>
  <dataConsolidate/>
  <mergeCells count="2">
    <mergeCell ref="R3:V3"/>
    <mergeCell ref="I2:N2"/>
  </mergeCells>
  <dataValidations count="9">
    <dataValidation type="list" allowBlank="1" showInputMessage="1" showErrorMessage="1" sqref="M6" xr:uid="{D48B7808-B6F6-4999-8913-C4753C505F12}">
      <formula1>N_A</formula1>
    </dataValidation>
    <dataValidation allowBlank="1" showErrorMessage="1" prompt="Enter or select the reference number that is associated with the client in the Individuals Identification sheet" sqref="B10:C762 B5:B9" xr:uid="{D66A7F0D-A902-4962-9634-48AD737771FB}"/>
    <dataValidation type="list" allowBlank="1" showInputMessage="1" showErrorMessage="1" sqref="M5 G5:G9 D5:D9 M7:M9 P5:P9 J5:J9" xr:uid="{FF837DB3-8D3B-4182-9A8E-FD09B1D95826}">
      <formula1>Postnatal</formula1>
    </dataValidation>
    <dataValidation type="list" allowBlank="1" showInputMessage="1" showErrorMessage="1" sqref="E5:E9" xr:uid="{60EF0D17-F022-483E-A613-61D0DE40547C}">
      <formula1>Feeding_Last</formula1>
    </dataValidation>
    <dataValidation type="list" allowBlank="1" showInputMessage="1" showErrorMessage="1" sqref="O5:O9" xr:uid="{20AE21F4-6A85-417B-83EF-0BF47974958E}">
      <formula1>New_Born_Cons</formula1>
    </dataValidation>
    <dataValidation type="list" allowBlank="1" showInputMessage="1" showErrorMessage="1" sqref="I5:I9" xr:uid="{E58F14DC-9E7D-4FE0-B4AB-4AF4A9624ED3}">
      <formula1>Maternal_Post_Cons</formula1>
    </dataValidation>
    <dataValidation type="list" allowBlank="1" showInputMessage="1" showErrorMessage="1" sqref="L5:L9" xr:uid="{52A00937-E61F-4020-B0F4-49CA55DDA19C}">
      <formula1>Maternal_Transfer_To</formula1>
    </dataValidation>
    <dataValidation type="list" allowBlank="1" showErrorMessage="1" prompt="Enter or select the reference number that is associated with the client in the Individuals Identification sheet" sqref="A5:A804" xr:uid="{A4C7FEAE-76DF-4659-A732-1A7679B511E4}">
      <formula1>Yes</formula1>
    </dataValidation>
    <dataValidation type="date" allowBlank="1" showErrorMessage="1" error="This date is invalid. Please write a date in the proper format and between 2025-04-01 and 2026-03-31." promptTitle="Invalid date" prompt="." sqref="C5:C6 C8:C9 C7" xr:uid="{A457ACC3-E5AF-4AA3-8927-5FE951262715}">
      <formula1>45748</formula1>
      <formula2>46112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BC87825-405B-47AD-8E6B-E103EB5A9AF6}">
            <xm:f>'https://msss365.sharepoint.com/Users/manogr01/Desktop/SAGES-FEMMES-Midwifery/NOUVEAUX/[2- FICHIER DE TRAVAIL - Midwifery stats 2024-2025  - Community - R18V1.xlsm]All Referrals'!#REF!=""</xm:f>
            <x14:dxf>
              <font>
                <b/>
                <i val="0"/>
                <color rgb="FFFF0000"/>
              </font>
            </x14:dxf>
          </x14:cfRule>
          <xm:sqref>B10:C762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ABC42-2442-4684-91F5-D2B3B5A9C567}">
  <sheetPr codeName="Sheet6">
    <tabColor theme="8" tint="0.59999389629810485"/>
  </sheetPr>
  <dimension ref="A2:P6078"/>
  <sheetViews>
    <sheetView workbookViewId="0">
      <selection activeCell="H17" sqref="H17"/>
    </sheetView>
  </sheetViews>
  <sheetFormatPr defaultColWidth="11.5546875" defaultRowHeight="14.4" x14ac:dyDescent="0.3"/>
  <cols>
    <col min="1" max="1" width="6.6640625" style="47" bestFit="1" customWidth="1"/>
    <col min="2" max="2" width="11.109375" bestFit="1" customWidth="1"/>
    <col min="3" max="3" width="15.33203125" customWidth="1"/>
    <col min="4" max="4" width="16.44140625" bestFit="1" customWidth="1"/>
    <col min="5" max="5" width="14.109375" customWidth="1"/>
    <col min="6" max="6" width="21.33203125" bestFit="1" customWidth="1"/>
    <col min="7" max="7" width="14.6640625" bestFit="1" customWidth="1"/>
    <col min="8" max="8" width="13" bestFit="1" customWidth="1"/>
    <col min="9" max="10" width="17.6640625" customWidth="1"/>
    <col min="11" max="11" width="25.6640625" bestFit="1" customWidth="1"/>
  </cols>
  <sheetData>
    <row r="2" spans="1:16" ht="15" customHeight="1" x14ac:dyDescent="0.3">
      <c r="B2" s="209"/>
      <c r="C2" s="581" t="s">
        <v>656</v>
      </c>
      <c r="D2" s="581"/>
      <c r="E2" s="581"/>
      <c r="F2" s="581"/>
      <c r="G2" s="581"/>
      <c r="H2" s="581"/>
      <c r="I2" s="209"/>
    </row>
    <row r="3" spans="1:16" s="7" customFormat="1" ht="15" customHeight="1" x14ac:dyDescent="0.3">
      <c r="A3" s="356"/>
      <c r="B3" s="106"/>
      <c r="C3" s="106"/>
      <c r="D3" s="108"/>
      <c r="E3" s="108"/>
      <c r="F3" s="108"/>
      <c r="G3" s="108"/>
      <c r="H3" s="297"/>
      <c r="I3" s="108"/>
      <c r="J3" s="108"/>
      <c r="K3" s="297"/>
      <c r="L3" s="580" t="s">
        <v>471</v>
      </c>
      <c r="M3" s="580"/>
      <c r="N3" s="580"/>
      <c r="O3" s="580"/>
      <c r="P3" s="580"/>
    </row>
    <row r="4" spans="1:16" s="40" customFormat="1" ht="91.2" customHeight="1" x14ac:dyDescent="0.35">
      <c r="A4" s="425" t="s">
        <v>536</v>
      </c>
      <c r="B4" s="546" t="s">
        <v>537</v>
      </c>
      <c r="C4" s="547" t="s">
        <v>657</v>
      </c>
      <c r="D4" s="338" t="s">
        <v>658</v>
      </c>
      <c r="E4" s="338" t="s">
        <v>659</v>
      </c>
      <c r="F4" s="338" t="s">
        <v>660</v>
      </c>
      <c r="G4" s="338" t="s">
        <v>661</v>
      </c>
      <c r="H4" s="338" t="s">
        <v>662</v>
      </c>
      <c r="I4" s="338" t="s">
        <v>663</v>
      </c>
      <c r="J4" s="338" t="s">
        <v>664</v>
      </c>
      <c r="K4" s="39"/>
      <c r="L4" s="39"/>
      <c r="M4" s="39"/>
    </row>
    <row r="5" spans="1:16" s="40" customFormat="1" ht="13.2" hidden="1" customHeight="1" x14ac:dyDescent="0.35">
      <c r="A5" s="35"/>
      <c r="B5" s="537"/>
      <c r="C5" s="522"/>
      <c r="D5" s="111"/>
      <c r="E5" s="111"/>
      <c r="F5" s="111"/>
      <c r="G5" s="111"/>
      <c r="H5" s="111"/>
      <c r="I5" s="111"/>
      <c r="J5" s="111"/>
      <c r="K5" s="39"/>
      <c r="L5" s="39"/>
      <c r="M5" s="39"/>
    </row>
    <row r="6" spans="1:16" s="37" customFormat="1" ht="13.2" hidden="1" customHeight="1" x14ac:dyDescent="0.25">
      <c r="A6" s="35"/>
      <c r="B6" s="77" t="s">
        <v>581</v>
      </c>
      <c r="C6" s="383"/>
      <c r="D6" s="111"/>
      <c r="E6" s="111"/>
      <c r="F6" s="111"/>
      <c r="G6" s="111"/>
      <c r="H6" s="111"/>
      <c r="I6" s="111"/>
      <c r="J6" s="111"/>
    </row>
    <row r="7" spans="1:16" s="37" customFormat="1" ht="15" customHeight="1" x14ac:dyDescent="0.25">
      <c r="A7" s="80" t="s">
        <v>0</v>
      </c>
      <c r="B7" s="537"/>
      <c r="C7" s="522"/>
      <c r="D7" s="111"/>
      <c r="E7" s="111"/>
      <c r="F7" s="111"/>
      <c r="G7" s="111"/>
      <c r="H7" s="111"/>
      <c r="I7" s="111"/>
      <c r="J7" s="111"/>
    </row>
    <row r="8" spans="1:16" s="37" customFormat="1" ht="15" customHeight="1" x14ac:dyDescent="0.25">
      <c r="A8" s="80" t="s">
        <v>0</v>
      </c>
      <c r="B8" s="537"/>
      <c r="C8" s="522"/>
      <c r="D8" s="111"/>
      <c r="E8" s="111"/>
      <c r="F8" s="111"/>
      <c r="G8" s="111"/>
      <c r="H8" s="111"/>
      <c r="I8" s="111"/>
      <c r="J8" s="111"/>
    </row>
    <row r="9" spans="1:16" s="37" customFormat="1" ht="15" customHeight="1" x14ac:dyDescent="0.25">
      <c r="A9" s="80" t="s">
        <v>0</v>
      </c>
      <c r="B9" s="537"/>
      <c r="C9" s="522"/>
      <c r="D9" s="111"/>
      <c r="E9" s="111"/>
      <c r="F9" s="111"/>
      <c r="G9" s="111"/>
      <c r="H9" s="111"/>
      <c r="I9" s="111"/>
      <c r="J9" s="111"/>
    </row>
    <row r="10" spans="1:16" s="37" customFormat="1" ht="15" customHeight="1" x14ac:dyDescent="0.25">
      <c r="A10" s="80" t="s">
        <v>0</v>
      </c>
      <c r="B10" s="537"/>
      <c r="C10" s="522"/>
      <c r="D10" s="111"/>
      <c r="E10" s="111"/>
      <c r="F10" s="111"/>
      <c r="G10" s="111"/>
      <c r="H10" s="111"/>
      <c r="I10" s="111"/>
      <c r="J10" s="111"/>
    </row>
    <row r="11" spans="1:16" s="37" customFormat="1" ht="15" customHeight="1" x14ac:dyDescent="0.25">
      <c r="A11" s="80"/>
    </row>
    <row r="12" spans="1:16" s="37" customFormat="1" ht="15" customHeight="1" x14ac:dyDescent="0.25">
      <c r="A12" s="80"/>
    </row>
    <row r="13" spans="1:16" s="37" customFormat="1" ht="15" customHeight="1" x14ac:dyDescent="0.25">
      <c r="A13" s="80"/>
    </row>
    <row r="14" spans="1:16" s="37" customFormat="1" ht="15" customHeight="1" x14ac:dyDescent="0.25">
      <c r="A14" s="80"/>
    </row>
    <row r="15" spans="1:16" s="37" customFormat="1" ht="15" customHeight="1" x14ac:dyDescent="0.25">
      <c r="A15" s="80"/>
    </row>
    <row r="16" spans="1:16" s="37" customFormat="1" ht="15" customHeight="1" x14ac:dyDescent="0.25">
      <c r="A16" s="80"/>
    </row>
    <row r="17" spans="1:1" s="37" customFormat="1" ht="15" customHeight="1" x14ac:dyDescent="0.25">
      <c r="A17" s="80"/>
    </row>
    <row r="18" spans="1:1" s="37" customFormat="1" ht="15" customHeight="1" x14ac:dyDescent="0.25">
      <c r="A18" s="80"/>
    </row>
    <row r="19" spans="1:1" s="37" customFormat="1" ht="15" customHeight="1" x14ac:dyDescent="0.25">
      <c r="A19" s="80"/>
    </row>
    <row r="20" spans="1:1" s="37" customFormat="1" ht="15" customHeight="1" x14ac:dyDescent="0.25">
      <c r="A20" s="80"/>
    </row>
    <row r="21" spans="1:1" s="37" customFormat="1" ht="15" customHeight="1" x14ac:dyDescent="0.25">
      <c r="A21" s="80"/>
    </row>
    <row r="22" spans="1:1" s="37" customFormat="1" ht="15" customHeight="1" x14ac:dyDescent="0.25">
      <c r="A22" s="80"/>
    </row>
    <row r="23" spans="1:1" s="37" customFormat="1" ht="15" customHeight="1" x14ac:dyDescent="0.25">
      <c r="A23" s="80"/>
    </row>
    <row r="24" spans="1:1" s="37" customFormat="1" ht="15" customHeight="1" x14ac:dyDescent="0.25">
      <c r="A24" s="80"/>
    </row>
    <row r="25" spans="1:1" s="37" customFormat="1" ht="15" customHeight="1" x14ac:dyDescent="0.25">
      <c r="A25" s="80"/>
    </row>
    <row r="26" spans="1:1" s="37" customFormat="1" ht="15" customHeight="1" x14ac:dyDescent="0.25">
      <c r="A26" s="80"/>
    </row>
    <row r="27" spans="1:1" s="37" customFormat="1" ht="15" customHeight="1" x14ac:dyDescent="0.25">
      <c r="A27" s="80"/>
    </row>
    <row r="28" spans="1:1" s="37" customFormat="1" ht="15" customHeight="1" x14ac:dyDescent="0.25">
      <c r="A28" s="80"/>
    </row>
    <row r="29" spans="1:1" s="37" customFormat="1" ht="15" customHeight="1" x14ac:dyDescent="0.25">
      <c r="A29" s="80"/>
    </row>
    <row r="30" spans="1:1" s="37" customFormat="1" ht="15" customHeight="1" x14ac:dyDescent="0.25">
      <c r="A30" s="80"/>
    </row>
    <row r="31" spans="1:1" s="37" customFormat="1" ht="15" customHeight="1" x14ac:dyDescent="0.25">
      <c r="A31" s="80"/>
    </row>
    <row r="32" spans="1:1" s="37" customFormat="1" ht="15" customHeight="1" x14ac:dyDescent="0.25">
      <c r="A32" s="80"/>
    </row>
    <row r="33" spans="1:1" s="37" customFormat="1" ht="15" customHeight="1" x14ac:dyDescent="0.25">
      <c r="A33" s="80"/>
    </row>
    <row r="34" spans="1:1" s="37" customFormat="1" ht="15" customHeight="1" x14ac:dyDescent="0.25">
      <c r="A34" s="80"/>
    </row>
    <row r="35" spans="1:1" s="37" customFormat="1" ht="15" customHeight="1" x14ac:dyDescent="0.25">
      <c r="A35" s="80"/>
    </row>
    <row r="36" spans="1:1" s="37" customFormat="1" ht="15" customHeight="1" x14ac:dyDescent="0.25">
      <c r="A36" s="80"/>
    </row>
    <row r="37" spans="1:1" s="37" customFormat="1" ht="15" customHeight="1" x14ac:dyDescent="0.25">
      <c r="A37" s="80"/>
    </row>
    <row r="38" spans="1:1" s="37" customFormat="1" ht="15" customHeight="1" x14ac:dyDescent="0.25">
      <c r="A38" s="80"/>
    </row>
    <row r="39" spans="1:1" s="37" customFormat="1" ht="15" customHeight="1" x14ac:dyDescent="0.25">
      <c r="A39" s="80"/>
    </row>
    <row r="40" spans="1:1" s="37" customFormat="1" ht="15" customHeight="1" x14ac:dyDescent="0.25">
      <c r="A40" s="80"/>
    </row>
    <row r="41" spans="1:1" s="37" customFormat="1" ht="15" customHeight="1" x14ac:dyDescent="0.25">
      <c r="A41" s="80"/>
    </row>
    <row r="42" spans="1:1" s="37" customFormat="1" ht="15" customHeight="1" x14ac:dyDescent="0.25">
      <c r="A42" s="80"/>
    </row>
    <row r="43" spans="1:1" s="37" customFormat="1" ht="15" customHeight="1" x14ac:dyDescent="0.25">
      <c r="A43" s="80"/>
    </row>
    <row r="44" spans="1:1" s="37" customFormat="1" ht="15" customHeight="1" x14ac:dyDescent="0.25">
      <c r="A44" s="80"/>
    </row>
    <row r="45" spans="1:1" s="37" customFormat="1" ht="15" customHeight="1" x14ac:dyDescent="0.25">
      <c r="A45" s="80"/>
    </row>
    <row r="46" spans="1:1" s="37" customFormat="1" ht="15" customHeight="1" x14ac:dyDescent="0.25">
      <c r="A46" s="80"/>
    </row>
    <row r="47" spans="1:1" s="37" customFormat="1" ht="15" customHeight="1" x14ac:dyDescent="0.25">
      <c r="A47" s="80"/>
    </row>
    <row r="48" spans="1:1" s="37" customFormat="1" ht="15" customHeight="1" x14ac:dyDescent="0.25">
      <c r="A48" s="80"/>
    </row>
    <row r="49" spans="1:1" s="37" customFormat="1" ht="15" customHeight="1" x14ac:dyDescent="0.25">
      <c r="A49" s="80"/>
    </row>
    <row r="50" spans="1:1" s="37" customFormat="1" ht="15" customHeight="1" x14ac:dyDescent="0.25">
      <c r="A50" s="80"/>
    </row>
    <row r="51" spans="1:1" s="37" customFormat="1" ht="15" customHeight="1" x14ac:dyDescent="0.25">
      <c r="A51" s="80"/>
    </row>
    <row r="52" spans="1:1" s="37" customFormat="1" ht="15" customHeight="1" x14ac:dyDescent="0.25">
      <c r="A52" s="80"/>
    </row>
    <row r="53" spans="1:1" s="37" customFormat="1" ht="15" customHeight="1" x14ac:dyDescent="0.25">
      <c r="A53" s="80"/>
    </row>
    <row r="54" spans="1:1" s="37" customFormat="1" ht="15" customHeight="1" x14ac:dyDescent="0.25">
      <c r="A54" s="80"/>
    </row>
    <row r="55" spans="1:1" s="37" customFormat="1" ht="15" customHeight="1" x14ac:dyDescent="0.25">
      <c r="A55" s="80"/>
    </row>
    <row r="56" spans="1:1" s="37" customFormat="1" ht="15" customHeight="1" x14ac:dyDescent="0.25">
      <c r="A56" s="80"/>
    </row>
    <row r="57" spans="1:1" s="37" customFormat="1" ht="15" customHeight="1" x14ac:dyDescent="0.25">
      <c r="A57" s="80"/>
    </row>
    <row r="58" spans="1:1" s="37" customFormat="1" ht="15" customHeight="1" x14ac:dyDescent="0.25">
      <c r="A58" s="80"/>
    </row>
    <row r="59" spans="1:1" s="37" customFormat="1" ht="15" customHeight="1" x14ac:dyDescent="0.25">
      <c r="A59" s="80"/>
    </row>
    <row r="60" spans="1:1" s="37" customFormat="1" ht="15" customHeight="1" x14ac:dyDescent="0.25">
      <c r="A60" s="80"/>
    </row>
    <row r="61" spans="1:1" s="37" customFormat="1" ht="15" customHeight="1" x14ac:dyDescent="0.25">
      <c r="A61" s="80"/>
    </row>
    <row r="62" spans="1:1" s="37" customFormat="1" ht="15" customHeight="1" x14ac:dyDescent="0.25">
      <c r="A62" s="80"/>
    </row>
    <row r="63" spans="1:1" s="37" customFormat="1" ht="15" customHeight="1" x14ac:dyDescent="0.25">
      <c r="A63" s="80"/>
    </row>
    <row r="64" spans="1:1" s="37" customFormat="1" ht="15" customHeight="1" x14ac:dyDescent="0.25">
      <c r="A64" s="80"/>
    </row>
    <row r="65" spans="1:1" s="37" customFormat="1" ht="15" customHeight="1" x14ac:dyDescent="0.25">
      <c r="A65" s="80"/>
    </row>
    <row r="66" spans="1:1" s="37" customFormat="1" ht="15" customHeight="1" x14ac:dyDescent="0.25">
      <c r="A66" s="80"/>
    </row>
    <row r="67" spans="1:1" s="37" customFormat="1" ht="15" customHeight="1" x14ac:dyDescent="0.25">
      <c r="A67" s="80"/>
    </row>
    <row r="68" spans="1:1" s="37" customFormat="1" ht="15" customHeight="1" x14ac:dyDescent="0.25">
      <c r="A68" s="80"/>
    </row>
    <row r="69" spans="1:1" s="37" customFormat="1" ht="15" customHeight="1" x14ac:dyDescent="0.25">
      <c r="A69" s="80"/>
    </row>
    <row r="70" spans="1:1" s="37" customFormat="1" ht="15" customHeight="1" x14ac:dyDescent="0.25">
      <c r="A70" s="80"/>
    </row>
    <row r="71" spans="1:1" s="37" customFormat="1" ht="15" customHeight="1" x14ac:dyDescent="0.25">
      <c r="A71" s="80"/>
    </row>
    <row r="72" spans="1:1" s="37" customFormat="1" ht="15" customHeight="1" x14ac:dyDescent="0.25">
      <c r="A72" s="80"/>
    </row>
    <row r="73" spans="1:1" s="37" customFormat="1" ht="15" customHeight="1" x14ac:dyDescent="0.25">
      <c r="A73" s="80"/>
    </row>
    <row r="74" spans="1:1" s="37" customFormat="1" ht="15" customHeight="1" x14ac:dyDescent="0.25">
      <c r="A74" s="80"/>
    </row>
    <row r="75" spans="1:1" s="37" customFormat="1" ht="15" customHeight="1" x14ac:dyDescent="0.25">
      <c r="A75" s="80"/>
    </row>
    <row r="76" spans="1:1" s="37" customFormat="1" ht="15" customHeight="1" x14ac:dyDescent="0.25">
      <c r="A76" s="80"/>
    </row>
    <row r="77" spans="1:1" s="37" customFormat="1" ht="15" customHeight="1" x14ac:dyDescent="0.25">
      <c r="A77" s="80"/>
    </row>
    <row r="78" spans="1:1" s="37" customFormat="1" ht="15" customHeight="1" x14ac:dyDescent="0.25">
      <c r="A78" s="80"/>
    </row>
    <row r="79" spans="1:1" s="37" customFormat="1" ht="15" customHeight="1" x14ac:dyDescent="0.25">
      <c r="A79" s="80"/>
    </row>
    <row r="80" spans="1:1" s="37" customFormat="1" ht="15" customHeight="1" x14ac:dyDescent="0.25">
      <c r="A80" s="80"/>
    </row>
    <row r="81" spans="1:1" s="37" customFormat="1" ht="15" customHeight="1" x14ac:dyDescent="0.25">
      <c r="A81" s="80"/>
    </row>
    <row r="82" spans="1:1" s="37" customFormat="1" ht="15" customHeight="1" x14ac:dyDescent="0.25">
      <c r="A82" s="80"/>
    </row>
    <row r="83" spans="1:1" s="37" customFormat="1" ht="15" customHeight="1" x14ac:dyDescent="0.25">
      <c r="A83" s="80"/>
    </row>
    <row r="84" spans="1:1" s="37" customFormat="1" ht="15" customHeight="1" x14ac:dyDescent="0.25">
      <c r="A84" s="80"/>
    </row>
    <row r="85" spans="1:1" s="37" customFormat="1" ht="15" customHeight="1" x14ac:dyDescent="0.25">
      <c r="A85" s="80"/>
    </row>
    <row r="86" spans="1:1" s="37" customFormat="1" ht="15" customHeight="1" x14ac:dyDescent="0.25">
      <c r="A86" s="80"/>
    </row>
    <row r="87" spans="1:1" s="37" customFormat="1" ht="15" customHeight="1" x14ac:dyDescent="0.25">
      <c r="A87" s="80"/>
    </row>
    <row r="88" spans="1:1" s="37" customFormat="1" ht="15" customHeight="1" x14ac:dyDescent="0.25">
      <c r="A88" s="80"/>
    </row>
    <row r="89" spans="1:1" s="37" customFormat="1" ht="15" customHeight="1" x14ac:dyDescent="0.25">
      <c r="A89" s="80"/>
    </row>
    <row r="90" spans="1:1" s="37" customFormat="1" ht="15" customHeight="1" x14ac:dyDescent="0.25">
      <c r="A90" s="80"/>
    </row>
    <row r="91" spans="1:1" s="37" customFormat="1" ht="15" customHeight="1" x14ac:dyDescent="0.25">
      <c r="A91" s="80"/>
    </row>
    <row r="92" spans="1:1" s="37" customFormat="1" ht="15" customHeight="1" x14ac:dyDescent="0.25">
      <c r="A92" s="80"/>
    </row>
    <row r="93" spans="1:1" s="37" customFormat="1" ht="15" customHeight="1" x14ac:dyDescent="0.25">
      <c r="A93" s="80"/>
    </row>
    <row r="94" spans="1:1" s="37" customFormat="1" ht="15" customHeight="1" x14ac:dyDescent="0.25">
      <c r="A94" s="80"/>
    </row>
    <row r="95" spans="1:1" s="37" customFormat="1" ht="15" customHeight="1" x14ac:dyDescent="0.25">
      <c r="A95" s="80"/>
    </row>
    <row r="96" spans="1:1" s="37" customFormat="1" ht="15" customHeight="1" x14ac:dyDescent="0.25">
      <c r="A96" s="80"/>
    </row>
    <row r="97" spans="1:1" s="37" customFormat="1" ht="15" customHeight="1" x14ac:dyDescent="0.25">
      <c r="A97" s="80"/>
    </row>
    <row r="98" spans="1:1" s="37" customFormat="1" ht="15" customHeight="1" x14ac:dyDescent="0.25">
      <c r="A98" s="80"/>
    </row>
    <row r="99" spans="1:1" s="37" customFormat="1" ht="15" customHeight="1" x14ac:dyDescent="0.25">
      <c r="A99" s="80"/>
    </row>
    <row r="100" spans="1:1" s="37" customFormat="1" ht="15" customHeight="1" x14ac:dyDescent="0.25">
      <c r="A100" s="80"/>
    </row>
    <row r="101" spans="1:1" s="37" customFormat="1" ht="15" customHeight="1" x14ac:dyDescent="0.25">
      <c r="A101" s="80"/>
    </row>
    <row r="102" spans="1:1" s="37" customFormat="1" ht="15" customHeight="1" x14ac:dyDescent="0.25">
      <c r="A102" s="80"/>
    </row>
    <row r="103" spans="1:1" s="37" customFormat="1" ht="15" customHeight="1" x14ac:dyDescent="0.25">
      <c r="A103" s="80"/>
    </row>
    <row r="104" spans="1:1" s="37" customFormat="1" ht="15" customHeight="1" x14ac:dyDescent="0.25">
      <c r="A104" s="80"/>
    </row>
    <row r="105" spans="1:1" s="37" customFormat="1" ht="15" customHeight="1" x14ac:dyDescent="0.25">
      <c r="A105" s="80"/>
    </row>
    <row r="106" spans="1:1" s="37" customFormat="1" ht="15" customHeight="1" x14ac:dyDescent="0.25">
      <c r="A106" s="80"/>
    </row>
    <row r="107" spans="1:1" s="37" customFormat="1" ht="15" customHeight="1" x14ac:dyDescent="0.25">
      <c r="A107" s="80"/>
    </row>
    <row r="108" spans="1:1" s="37" customFormat="1" ht="15" customHeight="1" x14ac:dyDescent="0.25">
      <c r="A108" s="80"/>
    </row>
    <row r="109" spans="1:1" s="37" customFormat="1" ht="15" customHeight="1" x14ac:dyDescent="0.25">
      <c r="A109" s="80"/>
    </row>
    <row r="110" spans="1:1" s="37" customFormat="1" ht="15" customHeight="1" x14ac:dyDescent="0.25">
      <c r="A110" s="80"/>
    </row>
    <row r="111" spans="1:1" s="37" customFormat="1" ht="15" customHeight="1" x14ac:dyDescent="0.25">
      <c r="A111" s="80"/>
    </row>
    <row r="112" spans="1:1" s="37" customFormat="1" ht="15" customHeight="1" x14ac:dyDescent="0.25">
      <c r="A112" s="80"/>
    </row>
    <row r="113" spans="1:1" s="37" customFormat="1" ht="15" customHeight="1" x14ac:dyDescent="0.25">
      <c r="A113" s="80"/>
    </row>
    <row r="114" spans="1:1" s="37" customFormat="1" ht="15" customHeight="1" x14ac:dyDescent="0.25">
      <c r="A114" s="80"/>
    </row>
    <row r="115" spans="1:1" s="37" customFormat="1" ht="15" customHeight="1" x14ac:dyDescent="0.25">
      <c r="A115" s="80"/>
    </row>
    <row r="116" spans="1:1" s="37" customFormat="1" ht="15" customHeight="1" x14ac:dyDescent="0.25">
      <c r="A116" s="80"/>
    </row>
    <row r="117" spans="1:1" s="37" customFormat="1" ht="15" customHeight="1" x14ac:dyDescent="0.25">
      <c r="A117" s="80"/>
    </row>
    <row r="118" spans="1:1" s="37" customFormat="1" ht="15" customHeight="1" x14ac:dyDescent="0.25">
      <c r="A118" s="80"/>
    </row>
    <row r="119" spans="1:1" s="37" customFormat="1" ht="15" customHeight="1" x14ac:dyDescent="0.25">
      <c r="A119" s="80"/>
    </row>
    <row r="120" spans="1:1" s="37" customFormat="1" ht="15" customHeight="1" x14ac:dyDescent="0.25">
      <c r="A120" s="80"/>
    </row>
    <row r="121" spans="1:1" s="37" customFormat="1" ht="15" customHeight="1" x14ac:dyDescent="0.25">
      <c r="A121" s="80"/>
    </row>
    <row r="122" spans="1:1" s="37" customFormat="1" ht="15" customHeight="1" x14ac:dyDescent="0.25">
      <c r="A122" s="80"/>
    </row>
    <row r="123" spans="1:1" s="37" customFormat="1" ht="15" customHeight="1" x14ac:dyDescent="0.25">
      <c r="A123" s="80"/>
    </row>
    <row r="124" spans="1:1" s="37" customFormat="1" ht="15" customHeight="1" x14ac:dyDescent="0.25">
      <c r="A124" s="80"/>
    </row>
    <row r="125" spans="1:1" s="37" customFormat="1" ht="15" customHeight="1" x14ac:dyDescent="0.25">
      <c r="A125" s="80"/>
    </row>
    <row r="126" spans="1:1" s="37" customFormat="1" ht="15" customHeight="1" x14ac:dyDescent="0.25">
      <c r="A126" s="80"/>
    </row>
    <row r="127" spans="1:1" s="37" customFormat="1" ht="15" customHeight="1" x14ac:dyDescent="0.25">
      <c r="A127" s="80"/>
    </row>
    <row r="128" spans="1:1" s="37" customFormat="1" ht="15" customHeight="1" x14ac:dyDescent="0.25">
      <c r="A128" s="80"/>
    </row>
    <row r="129" spans="1:1" s="37" customFormat="1" ht="15" customHeight="1" x14ac:dyDescent="0.25">
      <c r="A129" s="80"/>
    </row>
    <row r="130" spans="1:1" s="37" customFormat="1" ht="15" customHeight="1" x14ac:dyDescent="0.25">
      <c r="A130" s="80"/>
    </row>
    <row r="131" spans="1:1" s="37" customFormat="1" ht="15" customHeight="1" x14ac:dyDescent="0.25">
      <c r="A131" s="80"/>
    </row>
    <row r="132" spans="1:1" s="37" customFormat="1" ht="15" customHeight="1" x14ac:dyDescent="0.25">
      <c r="A132" s="80"/>
    </row>
    <row r="133" spans="1:1" s="37" customFormat="1" ht="15" customHeight="1" x14ac:dyDescent="0.25">
      <c r="A133" s="80"/>
    </row>
    <row r="134" spans="1:1" s="37" customFormat="1" ht="15" customHeight="1" x14ac:dyDescent="0.25">
      <c r="A134" s="80"/>
    </row>
    <row r="135" spans="1:1" s="37" customFormat="1" ht="15" customHeight="1" x14ac:dyDescent="0.25">
      <c r="A135" s="80"/>
    </row>
    <row r="136" spans="1:1" s="37" customFormat="1" ht="15" customHeight="1" x14ac:dyDescent="0.25">
      <c r="A136" s="80"/>
    </row>
    <row r="137" spans="1:1" s="37" customFormat="1" ht="15" customHeight="1" x14ac:dyDescent="0.25">
      <c r="A137" s="80"/>
    </row>
    <row r="138" spans="1:1" s="37" customFormat="1" ht="15" customHeight="1" x14ac:dyDescent="0.25">
      <c r="A138" s="80"/>
    </row>
    <row r="139" spans="1:1" s="37" customFormat="1" ht="15" customHeight="1" x14ac:dyDescent="0.25">
      <c r="A139" s="80"/>
    </row>
    <row r="140" spans="1:1" s="37" customFormat="1" ht="15" customHeight="1" x14ac:dyDescent="0.25">
      <c r="A140" s="80"/>
    </row>
    <row r="141" spans="1:1" s="37" customFormat="1" ht="15" customHeight="1" x14ac:dyDescent="0.25">
      <c r="A141" s="80"/>
    </row>
    <row r="142" spans="1:1" s="37" customFormat="1" ht="15" customHeight="1" x14ac:dyDescent="0.25">
      <c r="A142" s="80"/>
    </row>
    <row r="143" spans="1:1" s="37" customFormat="1" ht="15" customHeight="1" x14ac:dyDescent="0.25">
      <c r="A143" s="80"/>
    </row>
    <row r="144" spans="1:1" s="37" customFormat="1" ht="15" customHeight="1" x14ac:dyDescent="0.25">
      <c r="A144" s="80"/>
    </row>
    <row r="145" spans="1:1" s="37" customFormat="1" ht="15" customHeight="1" x14ac:dyDescent="0.25">
      <c r="A145" s="80"/>
    </row>
    <row r="146" spans="1:1" s="37" customFormat="1" ht="15" customHeight="1" x14ac:dyDescent="0.25">
      <c r="A146" s="80"/>
    </row>
    <row r="147" spans="1:1" s="37" customFormat="1" ht="15" customHeight="1" x14ac:dyDescent="0.25">
      <c r="A147" s="80"/>
    </row>
    <row r="148" spans="1:1" s="37" customFormat="1" ht="15" customHeight="1" x14ac:dyDescent="0.25">
      <c r="A148" s="80"/>
    </row>
    <row r="149" spans="1:1" s="37" customFormat="1" ht="15" customHeight="1" x14ac:dyDescent="0.25">
      <c r="A149" s="80"/>
    </row>
    <row r="150" spans="1:1" s="37" customFormat="1" ht="15" customHeight="1" x14ac:dyDescent="0.25">
      <c r="A150" s="80"/>
    </row>
    <row r="151" spans="1:1" s="37" customFormat="1" ht="15" customHeight="1" x14ac:dyDescent="0.25">
      <c r="A151" s="80"/>
    </row>
    <row r="152" spans="1:1" s="37" customFormat="1" ht="15" customHeight="1" x14ac:dyDescent="0.25">
      <c r="A152" s="80"/>
    </row>
    <row r="153" spans="1:1" s="37" customFormat="1" ht="15" customHeight="1" x14ac:dyDescent="0.25">
      <c r="A153" s="80"/>
    </row>
    <row r="154" spans="1:1" s="37" customFormat="1" ht="15" customHeight="1" x14ac:dyDescent="0.25">
      <c r="A154" s="80"/>
    </row>
    <row r="155" spans="1:1" s="37" customFormat="1" ht="15" customHeight="1" x14ac:dyDescent="0.25">
      <c r="A155" s="80"/>
    </row>
    <row r="156" spans="1:1" s="37" customFormat="1" ht="15" customHeight="1" x14ac:dyDescent="0.25">
      <c r="A156" s="80"/>
    </row>
    <row r="157" spans="1:1" s="37" customFormat="1" ht="15" customHeight="1" x14ac:dyDescent="0.25">
      <c r="A157" s="80"/>
    </row>
    <row r="158" spans="1:1" s="37" customFormat="1" ht="15" customHeight="1" x14ac:dyDescent="0.25">
      <c r="A158" s="80"/>
    </row>
    <row r="159" spans="1:1" s="37" customFormat="1" ht="15" customHeight="1" x14ac:dyDescent="0.25">
      <c r="A159" s="80"/>
    </row>
    <row r="160" spans="1:1" s="37" customFormat="1" ht="15" customHeight="1" x14ac:dyDescent="0.25">
      <c r="A160" s="80"/>
    </row>
    <row r="161" spans="1:1" s="37" customFormat="1" ht="15" customHeight="1" x14ac:dyDescent="0.25">
      <c r="A161" s="80"/>
    </row>
    <row r="162" spans="1:1" s="37" customFormat="1" ht="15" customHeight="1" x14ac:dyDescent="0.25">
      <c r="A162" s="80"/>
    </row>
    <row r="163" spans="1:1" s="37" customFormat="1" ht="15" customHeight="1" x14ac:dyDescent="0.25">
      <c r="A163" s="80"/>
    </row>
    <row r="164" spans="1:1" s="37" customFormat="1" ht="15" customHeight="1" x14ac:dyDescent="0.25">
      <c r="A164" s="80"/>
    </row>
    <row r="165" spans="1:1" s="37" customFormat="1" ht="15" customHeight="1" x14ac:dyDescent="0.25">
      <c r="A165" s="80"/>
    </row>
    <row r="166" spans="1:1" s="37" customFormat="1" ht="15" customHeight="1" x14ac:dyDescent="0.25">
      <c r="A166" s="80"/>
    </row>
    <row r="167" spans="1:1" s="37" customFormat="1" ht="15" customHeight="1" x14ac:dyDescent="0.25">
      <c r="A167" s="80"/>
    </row>
    <row r="168" spans="1:1" s="37" customFormat="1" ht="15" customHeight="1" x14ac:dyDescent="0.25">
      <c r="A168" s="80"/>
    </row>
    <row r="169" spans="1:1" s="37" customFormat="1" ht="15" customHeight="1" x14ac:dyDescent="0.25">
      <c r="A169" s="80"/>
    </row>
    <row r="170" spans="1:1" s="37" customFormat="1" ht="15" customHeight="1" x14ac:dyDescent="0.25">
      <c r="A170" s="80"/>
    </row>
    <row r="171" spans="1:1" s="37" customFormat="1" ht="15" customHeight="1" x14ac:dyDescent="0.25">
      <c r="A171" s="80"/>
    </row>
    <row r="172" spans="1:1" s="37" customFormat="1" ht="15" customHeight="1" x14ac:dyDescent="0.25">
      <c r="A172" s="80"/>
    </row>
    <row r="173" spans="1:1" s="37" customFormat="1" ht="15" customHeight="1" x14ac:dyDescent="0.25">
      <c r="A173" s="80"/>
    </row>
    <row r="174" spans="1:1" s="37" customFormat="1" ht="15" customHeight="1" x14ac:dyDescent="0.25">
      <c r="A174" s="80"/>
    </row>
    <row r="175" spans="1:1" s="37" customFormat="1" ht="15" customHeight="1" x14ac:dyDescent="0.25">
      <c r="A175" s="80"/>
    </row>
    <row r="176" spans="1:1" s="37" customFormat="1" ht="15" customHeight="1" x14ac:dyDescent="0.25">
      <c r="A176" s="80"/>
    </row>
    <row r="177" spans="1:1" s="37" customFormat="1" ht="15" customHeight="1" x14ac:dyDescent="0.25">
      <c r="A177" s="80"/>
    </row>
    <row r="178" spans="1:1" s="37" customFormat="1" ht="15" customHeight="1" x14ac:dyDescent="0.25">
      <c r="A178" s="80"/>
    </row>
    <row r="179" spans="1:1" s="37" customFormat="1" ht="15" customHeight="1" x14ac:dyDescent="0.25">
      <c r="A179" s="80"/>
    </row>
    <row r="180" spans="1:1" s="37" customFormat="1" ht="15" customHeight="1" x14ac:dyDescent="0.25">
      <c r="A180" s="80"/>
    </row>
    <row r="181" spans="1:1" s="37" customFormat="1" ht="15" customHeight="1" x14ac:dyDescent="0.25">
      <c r="A181" s="80"/>
    </row>
    <row r="182" spans="1:1" s="37" customFormat="1" ht="15" customHeight="1" x14ac:dyDescent="0.25">
      <c r="A182" s="80"/>
    </row>
    <row r="183" spans="1:1" s="37" customFormat="1" ht="15" customHeight="1" x14ac:dyDescent="0.25">
      <c r="A183" s="80"/>
    </row>
    <row r="184" spans="1:1" s="37" customFormat="1" ht="15" customHeight="1" x14ac:dyDescent="0.25">
      <c r="A184" s="80"/>
    </row>
    <row r="185" spans="1:1" s="37" customFormat="1" ht="15" customHeight="1" x14ac:dyDescent="0.25">
      <c r="A185" s="80"/>
    </row>
    <row r="186" spans="1:1" s="37" customFormat="1" ht="15" customHeight="1" x14ac:dyDescent="0.25">
      <c r="A186" s="80"/>
    </row>
    <row r="187" spans="1:1" s="37" customFormat="1" ht="15" customHeight="1" x14ac:dyDescent="0.25">
      <c r="A187" s="80"/>
    </row>
    <row r="188" spans="1:1" s="37" customFormat="1" ht="15" customHeight="1" x14ac:dyDescent="0.25">
      <c r="A188" s="80"/>
    </row>
    <row r="189" spans="1:1" s="37" customFormat="1" ht="15" customHeight="1" x14ac:dyDescent="0.25">
      <c r="A189" s="80"/>
    </row>
    <row r="190" spans="1:1" s="37" customFormat="1" ht="15" customHeight="1" x14ac:dyDescent="0.25">
      <c r="A190" s="80"/>
    </row>
    <row r="191" spans="1:1" s="37" customFormat="1" ht="15" customHeight="1" x14ac:dyDescent="0.25">
      <c r="A191" s="80"/>
    </row>
    <row r="192" spans="1:1" s="37" customFormat="1" ht="15" customHeight="1" x14ac:dyDescent="0.25">
      <c r="A192" s="80"/>
    </row>
    <row r="193" spans="1:1" s="37" customFormat="1" ht="15" customHeight="1" x14ac:dyDescent="0.25">
      <c r="A193" s="80"/>
    </row>
    <row r="194" spans="1:1" s="37" customFormat="1" ht="15" customHeight="1" x14ac:dyDescent="0.25">
      <c r="A194" s="80"/>
    </row>
    <row r="195" spans="1:1" s="37" customFormat="1" ht="15" customHeight="1" x14ac:dyDescent="0.25">
      <c r="A195" s="80"/>
    </row>
    <row r="196" spans="1:1" s="37" customFormat="1" ht="15" customHeight="1" x14ac:dyDescent="0.25">
      <c r="A196" s="80"/>
    </row>
    <row r="197" spans="1:1" s="37" customFormat="1" ht="15" customHeight="1" x14ac:dyDescent="0.25">
      <c r="A197" s="80"/>
    </row>
    <row r="198" spans="1:1" s="37" customFormat="1" ht="15" customHeight="1" x14ac:dyDescent="0.25">
      <c r="A198" s="80"/>
    </row>
    <row r="199" spans="1:1" s="37" customFormat="1" ht="15" customHeight="1" x14ac:dyDescent="0.25">
      <c r="A199" s="80"/>
    </row>
    <row r="200" spans="1:1" s="37" customFormat="1" ht="15" customHeight="1" x14ac:dyDescent="0.25">
      <c r="A200" s="80"/>
    </row>
    <row r="201" spans="1:1" s="37" customFormat="1" ht="15" customHeight="1" x14ac:dyDescent="0.25">
      <c r="A201" s="80"/>
    </row>
    <row r="202" spans="1:1" s="37" customFormat="1" ht="15" customHeight="1" x14ac:dyDescent="0.25">
      <c r="A202" s="80"/>
    </row>
    <row r="203" spans="1:1" s="37" customFormat="1" ht="15" customHeight="1" x14ac:dyDescent="0.25">
      <c r="A203" s="80"/>
    </row>
    <row r="204" spans="1:1" s="37" customFormat="1" ht="15" customHeight="1" x14ac:dyDescent="0.25">
      <c r="A204" s="80"/>
    </row>
    <row r="205" spans="1:1" s="37" customFormat="1" ht="15" customHeight="1" x14ac:dyDescent="0.25">
      <c r="A205" s="80"/>
    </row>
    <row r="206" spans="1:1" s="37" customFormat="1" ht="15" customHeight="1" x14ac:dyDescent="0.25">
      <c r="A206" s="80"/>
    </row>
    <row r="207" spans="1:1" s="37" customFormat="1" ht="15" customHeight="1" x14ac:dyDescent="0.25">
      <c r="A207" s="80"/>
    </row>
    <row r="208" spans="1:1" s="37" customFormat="1" ht="15" customHeight="1" x14ac:dyDescent="0.25">
      <c r="A208" s="80"/>
    </row>
    <row r="209" spans="1:1" s="37" customFormat="1" ht="15" customHeight="1" x14ac:dyDescent="0.25">
      <c r="A209" s="80"/>
    </row>
    <row r="210" spans="1:1" s="37" customFormat="1" ht="15" customHeight="1" x14ac:dyDescent="0.25">
      <c r="A210" s="80"/>
    </row>
    <row r="211" spans="1:1" s="37" customFormat="1" ht="15" customHeight="1" x14ac:dyDescent="0.25">
      <c r="A211" s="80"/>
    </row>
    <row r="212" spans="1:1" s="37" customFormat="1" ht="15" customHeight="1" x14ac:dyDescent="0.25">
      <c r="A212" s="80"/>
    </row>
    <row r="213" spans="1:1" s="37" customFormat="1" ht="15" customHeight="1" x14ac:dyDescent="0.25">
      <c r="A213" s="80"/>
    </row>
    <row r="214" spans="1:1" s="37" customFormat="1" ht="15" customHeight="1" x14ac:dyDescent="0.25">
      <c r="A214" s="80"/>
    </row>
    <row r="215" spans="1:1" s="37" customFormat="1" ht="15" customHeight="1" x14ac:dyDescent="0.25">
      <c r="A215" s="80"/>
    </row>
    <row r="216" spans="1:1" s="37" customFormat="1" ht="15" customHeight="1" x14ac:dyDescent="0.25">
      <c r="A216" s="80"/>
    </row>
    <row r="217" spans="1:1" s="37" customFormat="1" ht="15" customHeight="1" x14ac:dyDescent="0.25">
      <c r="A217" s="80"/>
    </row>
    <row r="218" spans="1:1" s="37" customFormat="1" ht="15" customHeight="1" x14ac:dyDescent="0.25">
      <c r="A218" s="80"/>
    </row>
    <row r="219" spans="1:1" s="37" customFormat="1" ht="15" customHeight="1" x14ac:dyDescent="0.25">
      <c r="A219" s="80"/>
    </row>
    <row r="220" spans="1:1" s="37" customFormat="1" ht="15" customHeight="1" x14ac:dyDescent="0.25">
      <c r="A220" s="80"/>
    </row>
    <row r="221" spans="1:1" s="37" customFormat="1" ht="15" customHeight="1" x14ac:dyDescent="0.25">
      <c r="A221" s="80"/>
    </row>
    <row r="222" spans="1:1" s="37" customFormat="1" ht="15" customHeight="1" x14ac:dyDescent="0.25">
      <c r="A222" s="80"/>
    </row>
    <row r="223" spans="1:1" s="37" customFormat="1" ht="15" customHeight="1" x14ac:dyDescent="0.25">
      <c r="A223" s="80"/>
    </row>
    <row r="224" spans="1:1" s="37" customFormat="1" ht="15" customHeight="1" x14ac:dyDescent="0.25">
      <c r="A224" s="80"/>
    </row>
    <row r="225" spans="1:1" s="37" customFormat="1" ht="15" customHeight="1" x14ac:dyDescent="0.25">
      <c r="A225" s="80"/>
    </row>
    <row r="226" spans="1:1" s="37" customFormat="1" ht="15" customHeight="1" x14ac:dyDescent="0.25">
      <c r="A226" s="80"/>
    </row>
    <row r="227" spans="1:1" s="37" customFormat="1" ht="15" customHeight="1" x14ac:dyDescent="0.25">
      <c r="A227" s="80"/>
    </row>
    <row r="228" spans="1:1" s="37" customFormat="1" ht="15" customHeight="1" x14ac:dyDescent="0.25">
      <c r="A228" s="80"/>
    </row>
    <row r="229" spans="1:1" s="37" customFormat="1" ht="15" customHeight="1" x14ac:dyDescent="0.25">
      <c r="A229" s="80"/>
    </row>
    <row r="230" spans="1:1" s="37" customFormat="1" ht="15" customHeight="1" x14ac:dyDescent="0.25">
      <c r="A230" s="80"/>
    </row>
    <row r="231" spans="1:1" s="37" customFormat="1" ht="15" customHeight="1" x14ac:dyDescent="0.25">
      <c r="A231" s="80"/>
    </row>
    <row r="232" spans="1:1" s="37" customFormat="1" ht="15" customHeight="1" x14ac:dyDescent="0.25">
      <c r="A232" s="80"/>
    </row>
    <row r="233" spans="1:1" s="37" customFormat="1" ht="15" customHeight="1" x14ac:dyDescent="0.25">
      <c r="A233" s="80"/>
    </row>
    <row r="234" spans="1:1" s="37" customFormat="1" ht="15" customHeight="1" x14ac:dyDescent="0.25">
      <c r="A234" s="80"/>
    </row>
    <row r="235" spans="1:1" s="37" customFormat="1" ht="15" customHeight="1" x14ac:dyDescent="0.25">
      <c r="A235" s="80"/>
    </row>
    <row r="236" spans="1:1" s="37" customFormat="1" ht="15" customHeight="1" x14ac:dyDescent="0.25">
      <c r="A236" s="80"/>
    </row>
    <row r="237" spans="1:1" s="37" customFormat="1" ht="15" customHeight="1" x14ac:dyDescent="0.25">
      <c r="A237" s="80"/>
    </row>
    <row r="238" spans="1:1" s="37" customFormat="1" ht="15" customHeight="1" x14ac:dyDescent="0.25">
      <c r="A238" s="80"/>
    </row>
    <row r="239" spans="1:1" s="37" customFormat="1" ht="15" customHeight="1" x14ac:dyDescent="0.25">
      <c r="A239" s="80"/>
    </row>
    <row r="240" spans="1:1" s="37" customFormat="1" ht="15" customHeight="1" x14ac:dyDescent="0.25">
      <c r="A240" s="80"/>
    </row>
    <row r="241" spans="1:1" s="37" customFormat="1" ht="15" customHeight="1" x14ac:dyDescent="0.25">
      <c r="A241" s="80"/>
    </row>
    <row r="242" spans="1:1" s="37" customFormat="1" ht="15" customHeight="1" x14ac:dyDescent="0.25">
      <c r="A242" s="80"/>
    </row>
    <row r="243" spans="1:1" s="37" customFormat="1" ht="15" customHeight="1" x14ac:dyDescent="0.25">
      <c r="A243" s="80"/>
    </row>
    <row r="244" spans="1:1" s="37" customFormat="1" ht="15" customHeight="1" x14ac:dyDescent="0.25">
      <c r="A244" s="80"/>
    </row>
    <row r="245" spans="1:1" s="37" customFormat="1" ht="15" customHeight="1" x14ac:dyDescent="0.25">
      <c r="A245" s="80"/>
    </row>
    <row r="246" spans="1:1" s="37" customFormat="1" ht="15" customHeight="1" x14ac:dyDescent="0.25">
      <c r="A246" s="80"/>
    </row>
    <row r="247" spans="1:1" s="37" customFormat="1" ht="15" customHeight="1" x14ac:dyDescent="0.25">
      <c r="A247" s="80"/>
    </row>
    <row r="248" spans="1:1" s="37" customFormat="1" ht="15" customHeight="1" x14ac:dyDescent="0.25">
      <c r="A248" s="80"/>
    </row>
    <row r="249" spans="1:1" s="37" customFormat="1" ht="15" customHeight="1" x14ac:dyDescent="0.25">
      <c r="A249" s="80"/>
    </row>
    <row r="250" spans="1:1" s="37" customFormat="1" ht="15" customHeight="1" x14ac:dyDescent="0.25">
      <c r="A250" s="80"/>
    </row>
    <row r="251" spans="1:1" s="37" customFormat="1" ht="15" customHeight="1" x14ac:dyDescent="0.25">
      <c r="A251" s="80"/>
    </row>
    <row r="252" spans="1:1" s="37" customFormat="1" ht="15" customHeight="1" x14ac:dyDescent="0.25">
      <c r="A252" s="80"/>
    </row>
    <row r="253" spans="1:1" s="37" customFormat="1" ht="15" customHeight="1" x14ac:dyDescent="0.25">
      <c r="A253" s="80"/>
    </row>
    <row r="254" spans="1:1" s="37" customFormat="1" ht="15" customHeight="1" x14ac:dyDescent="0.25">
      <c r="A254" s="80"/>
    </row>
    <row r="255" spans="1:1" s="37" customFormat="1" ht="15" customHeight="1" x14ac:dyDescent="0.25">
      <c r="A255" s="80"/>
    </row>
    <row r="256" spans="1:1" s="37" customFormat="1" ht="15" customHeight="1" x14ac:dyDescent="0.25">
      <c r="A256" s="80"/>
    </row>
    <row r="257" spans="1:1" s="37" customFormat="1" ht="15" customHeight="1" x14ac:dyDescent="0.25">
      <c r="A257" s="80"/>
    </row>
    <row r="258" spans="1:1" s="37" customFormat="1" ht="15" customHeight="1" x14ac:dyDescent="0.25">
      <c r="A258" s="80"/>
    </row>
    <row r="259" spans="1:1" s="37" customFormat="1" ht="15" customHeight="1" x14ac:dyDescent="0.25">
      <c r="A259" s="80"/>
    </row>
    <row r="260" spans="1:1" s="37" customFormat="1" ht="15" customHeight="1" x14ac:dyDescent="0.25">
      <c r="A260" s="80"/>
    </row>
    <row r="261" spans="1:1" s="37" customFormat="1" ht="15" customHeight="1" x14ac:dyDescent="0.25">
      <c r="A261" s="80"/>
    </row>
    <row r="262" spans="1:1" s="37" customFormat="1" ht="15" customHeight="1" x14ac:dyDescent="0.25">
      <c r="A262" s="80"/>
    </row>
    <row r="263" spans="1:1" s="37" customFormat="1" ht="15" customHeight="1" x14ac:dyDescent="0.25">
      <c r="A263" s="80"/>
    </row>
    <row r="264" spans="1:1" s="37" customFormat="1" ht="15" customHeight="1" x14ac:dyDescent="0.25">
      <c r="A264" s="80"/>
    </row>
    <row r="265" spans="1:1" s="37" customFormat="1" ht="15" customHeight="1" x14ac:dyDescent="0.25">
      <c r="A265" s="80"/>
    </row>
    <row r="266" spans="1:1" s="37" customFormat="1" ht="15" customHeight="1" x14ac:dyDescent="0.25">
      <c r="A266" s="80"/>
    </row>
    <row r="267" spans="1:1" s="37" customFormat="1" ht="15" customHeight="1" x14ac:dyDescent="0.25">
      <c r="A267" s="80"/>
    </row>
    <row r="268" spans="1:1" s="37" customFormat="1" ht="15" customHeight="1" x14ac:dyDescent="0.25">
      <c r="A268" s="80"/>
    </row>
    <row r="269" spans="1:1" s="37" customFormat="1" ht="15" customHeight="1" x14ac:dyDescent="0.25">
      <c r="A269" s="80"/>
    </row>
    <row r="270" spans="1:1" s="37" customFormat="1" ht="15" customHeight="1" x14ac:dyDescent="0.25">
      <c r="A270" s="80"/>
    </row>
    <row r="271" spans="1:1" s="37" customFormat="1" ht="15" customHeight="1" x14ac:dyDescent="0.25">
      <c r="A271" s="80"/>
    </row>
    <row r="272" spans="1:1" s="37" customFormat="1" ht="15" customHeight="1" x14ac:dyDescent="0.25">
      <c r="A272" s="80"/>
    </row>
    <row r="273" spans="1:1" s="37" customFormat="1" ht="15" customHeight="1" x14ac:dyDescent="0.25">
      <c r="A273" s="80"/>
    </row>
    <row r="274" spans="1:1" s="37" customFormat="1" ht="15" customHeight="1" x14ac:dyDescent="0.25">
      <c r="A274" s="80"/>
    </row>
    <row r="275" spans="1:1" s="37" customFormat="1" ht="15" customHeight="1" x14ac:dyDescent="0.25">
      <c r="A275" s="80"/>
    </row>
    <row r="276" spans="1:1" s="37" customFormat="1" ht="15" customHeight="1" x14ac:dyDescent="0.25">
      <c r="A276" s="80"/>
    </row>
    <row r="277" spans="1:1" s="37" customFormat="1" ht="15" customHeight="1" x14ac:dyDescent="0.25">
      <c r="A277" s="80"/>
    </row>
    <row r="278" spans="1:1" s="37" customFormat="1" ht="15" customHeight="1" x14ac:dyDescent="0.25">
      <c r="A278" s="80"/>
    </row>
    <row r="279" spans="1:1" s="37" customFormat="1" ht="15" customHeight="1" x14ac:dyDescent="0.25">
      <c r="A279" s="80"/>
    </row>
    <row r="280" spans="1:1" s="37" customFormat="1" ht="15" customHeight="1" x14ac:dyDescent="0.25">
      <c r="A280" s="80"/>
    </row>
    <row r="281" spans="1:1" s="37" customFormat="1" ht="15" customHeight="1" x14ac:dyDescent="0.25">
      <c r="A281" s="80"/>
    </row>
    <row r="282" spans="1:1" s="37" customFormat="1" ht="15" customHeight="1" x14ac:dyDescent="0.25">
      <c r="A282" s="80"/>
    </row>
    <row r="283" spans="1:1" s="37" customFormat="1" ht="15" customHeight="1" x14ac:dyDescent="0.25">
      <c r="A283" s="80"/>
    </row>
    <row r="284" spans="1:1" s="37" customFormat="1" ht="15" customHeight="1" x14ac:dyDescent="0.25">
      <c r="A284" s="80"/>
    </row>
    <row r="285" spans="1:1" s="37" customFormat="1" ht="15" customHeight="1" x14ac:dyDescent="0.25">
      <c r="A285" s="80"/>
    </row>
    <row r="286" spans="1:1" s="37" customFormat="1" ht="15" customHeight="1" x14ac:dyDescent="0.25">
      <c r="A286" s="80"/>
    </row>
    <row r="287" spans="1:1" s="37" customFormat="1" ht="15" customHeight="1" x14ac:dyDescent="0.25">
      <c r="A287" s="80"/>
    </row>
    <row r="288" spans="1:1" s="37" customFormat="1" ht="15" customHeight="1" x14ac:dyDescent="0.25">
      <c r="A288" s="80"/>
    </row>
    <row r="289" spans="1:1" s="37" customFormat="1" ht="15" customHeight="1" x14ac:dyDescent="0.25">
      <c r="A289" s="80"/>
    </row>
    <row r="290" spans="1:1" s="37" customFormat="1" ht="15" customHeight="1" x14ac:dyDescent="0.25">
      <c r="A290" s="80"/>
    </row>
    <row r="291" spans="1:1" s="37" customFormat="1" ht="15" customHeight="1" x14ac:dyDescent="0.25">
      <c r="A291" s="80"/>
    </row>
    <row r="292" spans="1:1" s="37" customFormat="1" ht="15" customHeight="1" x14ac:dyDescent="0.25">
      <c r="A292" s="80"/>
    </row>
    <row r="293" spans="1:1" s="37" customFormat="1" ht="15" customHeight="1" x14ac:dyDescent="0.25">
      <c r="A293" s="80"/>
    </row>
    <row r="294" spans="1:1" s="37" customFormat="1" ht="15" customHeight="1" x14ac:dyDescent="0.25">
      <c r="A294" s="80"/>
    </row>
    <row r="295" spans="1:1" s="37" customFormat="1" ht="15" customHeight="1" x14ac:dyDescent="0.25">
      <c r="A295" s="80"/>
    </row>
    <row r="296" spans="1:1" s="37" customFormat="1" ht="15" customHeight="1" x14ac:dyDescent="0.25">
      <c r="A296" s="80"/>
    </row>
    <row r="297" spans="1:1" s="37" customFormat="1" ht="15" customHeight="1" x14ac:dyDescent="0.25">
      <c r="A297" s="80"/>
    </row>
    <row r="298" spans="1:1" s="37" customFormat="1" ht="15" customHeight="1" x14ac:dyDescent="0.25">
      <c r="A298" s="80"/>
    </row>
    <row r="299" spans="1:1" s="37" customFormat="1" ht="15" customHeight="1" x14ac:dyDescent="0.25">
      <c r="A299" s="80"/>
    </row>
    <row r="300" spans="1:1" s="37" customFormat="1" ht="15" customHeight="1" x14ac:dyDescent="0.25">
      <c r="A300" s="80"/>
    </row>
    <row r="301" spans="1:1" s="37" customFormat="1" ht="15" customHeight="1" x14ac:dyDescent="0.25">
      <c r="A301" s="80"/>
    </row>
    <row r="302" spans="1:1" s="37" customFormat="1" ht="15" customHeight="1" x14ac:dyDescent="0.25">
      <c r="A302" s="80"/>
    </row>
    <row r="303" spans="1:1" s="37" customFormat="1" ht="15" customHeight="1" x14ac:dyDescent="0.25">
      <c r="A303" s="80"/>
    </row>
    <row r="304" spans="1:1" s="37" customFormat="1" ht="15" customHeight="1" x14ac:dyDescent="0.25">
      <c r="A304" s="80"/>
    </row>
    <row r="305" spans="1:1" s="37" customFormat="1" ht="15" customHeight="1" x14ac:dyDescent="0.25">
      <c r="A305" s="80"/>
    </row>
    <row r="306" spans="1:1" s="37" customFormat="1" ht="15" customHeight="1" x14ac:dyDescent="0.25">
      <c r="A306" s="80"/>
    </row>
    <row r="307" spans="1:1" s="37" customFormat="1" ht="15" customHeight="1" x14ac:dyDescent="0.25">
      <c r="A307" s="80"/>
    </row>
    <row r="308" spans="1:1" s="37" customFormat="1" ht="15" customHeight="1" x14ac:dyDescent="0.25">
      <c r="A308" s="80"/>
    </row>
    <row r="309" spans="1:1" s="37" customFormat="1" ht="15" customHeight="1" x14ac:dyDescent="0.25">
      <c r="A309" s="80"/>
    </row>
    <row r="310" spans="1:1" s="37" customFormat="1" ht="15" customHeight="1" x14ac:dyDescent="0.25">
      <c r="A310" s="80"/>
    </row>
    <row r="311" spans="1:1" s="37" customFormat="1" ht="15" customHeight="1" x14ac:dyDescent="0.25">
      <c r="A311" s="80"/>
    </row>
    <row r="312" spans="1:1" s="37" customFormat="1" ht="15" customHeight="1" x14ac:dyDescent="0.25">
      <c r="A312" s="80"/>
    </row>
    <row r="313" spans="1:1" s="37" customFormat="1" ht="15" customHeight="1" x14ac:dyDescent="0.25">
      <c r="A313" s="80"/>
    </row>
    <row r="314" spans="1:1" s="37" customFormat="1" ht="15" customHeight="1" x14ac:dyDescent="0.25">
      <c r="A314" s="80"/>
    </row>
    <row r="315" spans="1:1" s="37" customFormat="1" ht="15" customHeight="1" x14ac:dyDescent="0.25">
      <c r="A315" s="80"/>
    </row>
    <row r="316" spans="1:1" s="37" customFormat="1" ht="15" customHeight="1" x14ac:dyDescent="0.25">
      <c r="A316" s="80"/>
    </row>
    <row r="317" spans="1:1" s="37" customFormat="1" ht="15" customHeight="1" x14ac:dyDescent="0.25">
      <c r="A317" s="80"/>
    </row>
    <row r="318" spans="1:1" s="37" customFormat="1" ht="15" customHeight="1" x14ac:dyDescent="0.25">
      <c r="A318" s="80"/>
    </row>
    <row r="319" spans="1:1" s="37" customFormat="1" ht="15" customHeight="1" x14ac:dyDescent="0.25">
      <c r="A319" s="80"/>
    </row>
    <row r="320" spans="1:1" s="37" customFormat="1" ht="15" customHeight="1" x14ac:dyDescent="0.25">
      <c r="A320" s="80"/>
    </row>
    <row r="321" spans="1:1" s="37" customFormat="1" ht="15" customHeight="1" x14ac:dyDescent="0.25">
      <c r="A321" s="80"/>
    </row>
    <row r="322" spans="1:1" s="37" customFormat="1" ht="15" customHeight="1" x14ac:dyDescent="0.25">
      <c r="A322" s="80"/>
    </row>
    <row r="323" spans="1:1" s="37" customFormat="1" ht="15" customHeight="1" x14ac:dyDescent="0.25">
      <c r="A323" s="80"/>
    </row>
    <row r="324" spans="1:1" s="37" customFormat="1" ht="15" customHeight="1" x14ac:dyDescent="0.25">
      <c r="A324" s="80"/>
    </row>
    <row r="325" spans="1:1" s="37" customFormat="1" ht="15" customHeight="1" x14ac:dyDescent="0.25">
      <c r="A325" s="80"/>
    </row>
    <row r="326" spans="1:1" s="37" customFormat="1" ht="15" customHeight="1" x14ac:dyDescent="0.25">
      <c r="A326" s="80"/>
    </row>
    <row r="327" spans="1:1" s="37" customFormat="1" ht="15" customHeight="1" x14ac:dyDescent="0.25">
      <c r="A327" s="80"/>
    </row>
    <row r="328" spans="1:1" s="37" customFormat="1" ht="15" customHeight="1" x14ac:dyDescent="0.25">
      <c r="A328" s="80"/>
    </row>
    <row r="329" spans="1:1" s="37" customFormat="1" ht="15" customHeight="1" x14ac:dyDescent="0.25">
      <c r="A329" s="80"/>
    </row>
    <row r="330" spans="1:1" s="37" customFormat="1" ht="15" customHeight="1" x14ac:dyDescent="0.25">
      <c r="A330" s="80"/>
    </row>
    <row r="331" spans="1:1" s="37" customFormat="1" ht="15" customHeight="1" x14ac:dyDescent="0.25">
      <c r="A331" s="80"/>
    </row>
    <row r="332" spans="1:1" s="37" customFormat="1" ht="15" customHeight="1" x14ac:dyDescent="0.25">
      <c r="A332" s="80"/>
    </row>
    <row r="333" spans="1:1" s="37" customFormat="1" ht="15" customHeight="1" x14ac:dyDescent="0.25">
      <c r="A333" s="80"/>
    </row>
    <row r="334" spans="1:1" s="37" customFormat="1" ht="15" customHeight="1" x14ac:dyDescent="0.25">
      <c r="A334" s="80"/>
    </row>
    <row r="335" spans="1:1" s="37" customFormat="1" ht="15" customHeight="1" x14ac:dyDescent="0.25">
      <c r="A335" s="80"/>
    </row>
    <row r="336" spans="1:1" s="37" customFormat="1" ht="15" customHeight="1" x14ac:dyDescent="0.25">
      <c r="A336" s="80"/>
    </row>
    <row r="337" spans="1:1" s="37" customFormat="1" ht="15" customHeight="1" x14ac:dyDescent="0.25">
      <c r="A337" s="80"/>
    </row>
    <row r="338" spans="1:1" s="37" customFormat="1" ht="15" customHeight="1" x14ac:dyDescent="0.25">
      <c r="A338" s="80"/>
    </row>
    <row r="339" spans="1:1" s="37" customFormat="1" ht="15" customHeight="1" x14ac:dyDescent="0.25">
      <c r="A339" s="80"/>
    </row>
    <row r="340" spans="1:1" s="37" customFormat="1" ht="15" customHeight="1" x14ac:dyDescent="0.25">
      <c r="A340" s="80"/>
    </row>
    <row r="341" spans="1:1" s="37" customFormat="1" ht="15" customHeight="1" x14ac:dyDescent="0.25">
      <c r="A341" s="80"/>
    </row>
    <row r="342" spans="1:1" s="37" customFormat="1" ht="15" customHeight="1" x14ac:dyDescent="0.25">
      <c r="A342" s="80"/>
    </row>
    <row r="343" spans="1:1" s="37" customFormat="1" ht="15" customHeight="1" x14ac:dyDescent="0.25">
      <c r="A343" s="80"/>
    </row>
    <row r="344" spans="1:1" s="37" customFormat="1" ht="15" customHeight="1" x14ac:dyDescent="0.25">
      <c r="A344" s="80"/>
    </row>
    <row r="345" spans="1:1" s="37" customFormat="1" ht="15" customHeight="1" x14ac:dyDescent="0.25">
      <c r="A345" s="80"/>
    </row>
    <row r="346" spans="1:1" s="37" customFormat="1" ht="15" customHeight="1" x14ac:dyDescent="0.25">
      <c r="A346" s="80"/>
    </row>
    <row r="347" spans="1:1" s="37" customFormat="1" ht="15" customHeight="1" x14ac:dyDescent="0.25">
      <c r="A347" s="80"/>
    </row>
    <row r="348" spans="1:1" s="37" customFormat="1" ht="15" customHeight="1" x14ac:dyDescent="0.25">
      <c r="A348" s="80"/>
    </row>
    <row r="349" spans="1:1" s="37" customFormat="1" ht="15" customHeight="1" x14ac:dyDescent="0.25">
      <c r="A349" s="80"/>
    </row>
    <row r="350" spans="1:1" s="37" customFormat="1" ht="15" customHeight="1" x14ac:dyDescent="0.25">
      <c r="A350" s="80"/>
    </row>
    <row r="351" spans="1:1" s="37" customFormat="1" ht="15" customHeight="1" x14ac:dyDescent="0.25">
      <c r="A351" s="80"/>
    </row>
    <row r="352" spans="1:1" s="37" customFormat="1" ht="15" customHeight="1" x14ac:dyDescent="0.25">
      <c r="A352" s="80"/>
    </row>
    <row r="353" spans="1:1" s="37" customFormat="1" ht="15" customHeight="1" x14ac:dyDescent="0.25">
      <c r="A353" s="80"/>
    </row>
    <row r="354" spans="1:1" s="37" customFormat="1" ht="15" customHeight="1" x14ac:dyDescent="0.25">
      <c r="A354" s="80"/>
    </row>
    <row r="355" spans="1:1" s="37" customFormat="1" ht="15" customHeight="1" x14ac:dyDescent="0.25">
      <c r="A355" s="80"/>
    </row>
    <row r="356" spans="1:1" s="37" customFormat="1" ht="15" customHeight="1" x14ac:dyDescent="0.25">
      <c r="A356" s="80"/>
    </row>
    <row r="357" spans="1:1" s="37" customFormat="1" ht="15" customHeight="1" x14ac:dyDescent="0.25">
      <c r="A357" s="80"/>
    </row>
    <row r="358" spans="1:1" s="37" customFormat="1" ht="15" customHeight="1" x14ac:dyDescent="0.25">
      <c r="A358" s="80"/>
    </row>
    <row r="359" spans="1:1" s="37" customFormat="1" ht="15" customHeight="1" x14ac:dyDescent="0.25">
      <c r="A359" s="80"/>
    </row>
    <row r="360" spans="1:1" s="37" customFormat="1" ht="15" customHeight="1" x14ac:dyDescent="0.25">
      <c r="A360" s="80"/>
    </row>
    <row r="361" spans="1:1" s="37" customFormat="1" ht="15" customHeight="1" x14ac:dyDescent="0.25">
      <c r="A361" s="80"/>
    </row>
    <row r="362" spans="1:1" s="37" customFormat="1" ht="15" customHeight="1" x14ac:dyDescent="0.25">
      <c r="A362" s="80"/>
    </row>
    <row r="363" spans="1:1" s="37" customFormat="1" ht="15" customHeight="1" x14ac:dyDescent="0.25">
      <c r="A363" s="80"/>
    </row>
    <row r="364" spans="1:1" s="37" customFormat="1" ht="15" customHeight="1" x14ac:dyDescent="0.25">
      <c r="A364" s="80"/>
    </row>
    <row r="365" spans="1:1" s="37" customFormat="1" ht="15" customHeight="1" x14ac:dyDescent="0.25">
      <c r="A365" s="80"/>
    </row>
    <row r="366" spans="1:1" s="37" customFormat="1" ht="15" customHeight="1" x14ac:dyDescent="0.25">
      <c r="A366" s="80"/>
    </row>
    <row r="367" spans="1:1" s="37" customFormat="1" ht="15" customHeight="1" x14ac:dyDescent="0.25">
      <c r="A367" s="80"/>
    </row>
    <row r="368" spans="1:1" s="37" customFormat="1" ht="15" customHeight="1" x14ac:dyDescent="0.25">
      <c r="A368" s="80"/>
    </row>
    <row r="369" spans="1:1" s="37" customFormat="1" ht="15" customHeight="1" x14ac:dyDescent="0.25">
      <c r="A369" s="80"/>
    </row>
    <row r="370" spans="1:1" s="37" customFormat="1" ht="15" customHeight="1" x14ac:dyDescent="0.25">
      <c r="A370" s="80"/>
    </row>
    <row r="371" spans="1:1" s="37" customFormat="1" ht="15" customHeight="1" x14ac:dyDescent="0.25">
      <c r="A371" s="80"/>
    </row>
    <row r="372" spans="1:1" s="37" customFormat="1" ht="15" customHeight="1" x14ac:dyDescent="0.25">
      <c r="A372" s="80"/>
    </row>
    <row r="373" spans="1:1" s="37" customFormat="1" ht="15" customHeight="1" x14ac:dyDescent="0.25">
      <c r="A373" s="80"/>
    </row>
    <row r="374" spans="1:1" s="37" customFormat="1" ht="15" customHeight="1" x14ac:dyDescent="0.25">
      <c r="A374" s="80"/>
    </row>
    <row r="375" spans="1:1" s="37" customFormat="1" ht="15" customHeight="1" x14ac:dyDescent="0.25">
      <c r="A375" s="80"/>
    </row>
    <row r="376" spans="1:1" s="37" customFormat="1" ht="15" customHeight="1" x14ac:dyDescent="0.25">
      <c r="A376" s="80"/>
    </row>
    <row r="377" spans="1:1" s="37" customFormat="1" ht="15" customHeight="1" x14ac:dyDescent="0.25">
      <c r="A377" s="80"/>
    </row>
    <row r="378" spans="1:1" s="37" customFormat="1" ht="15" customHeight="1" x14ac:dyDescent="0.25">
      <c r="A378" s="80"/>
    </row>
    <row r="379" spans="1:1" s="37" customFormat="1" ht="15" customHeight="1" x14ac:dyDescent="0.25">
      <c r="A379" s="80"/>
    </row>
    <row r="380" spans="1:1" s="37" customFormat="1" ht="15" customHeight="1" x14ac:dyDescent="0.25">
      <c r="A380" s="80"/>
    </row>
    <row r="381" spans="1:1" s="37" customFormat="1" ht="15" customHeight="1" x14ac:dyDescent="0.25">
      <c r="A381" s="80"/>
    </row>
    <row r="382" spans="1:1" s="37" customFormat="1" ht="15" customHeight="1" x14ac:dyDescent="0.25">
      <c r="A382" s="80"/>
    </row>
    <row r="383" spans="1:1" s="37" customFormat="1" ht="15" customHeight="1" x14ac:dyDescent="0.25">
      <c r="A383" s="80"/>
    </row>
    <row r="384" spans="1:1" s="37" customFormat="1" ht="15" customHeight="1" x14ac:dyDescent="0.25">
      <c r="A384" s="80"/>
    </row>
    <row r="385" spans="1:1" s="37" customFormat="1" ht="15" customHeight="1" x14ac:dyDescent="0.25">
      <c r="A385" s="80"/>
    </row>
    <row r="386" spans="1:1" s="37" customFormat="1" ht="15" customHeight="1" x14ac:dyDescent="0.25">
      <c r="A386" s="80"/>
    </row>
    <row r="387" spans="1:1" s="37" customFormat="1" ht="15" customHeight="1" x14ac:dyDescent="0.25">
      <c r="A387" s="80"/>
    </row>
    <row r="388" spans="1:1" s="37" customFormat="1" ht="15" customHeight="1" x14ac:dyDescent="0.25">
      <c r="A388" s="80"/>
    </row>
    <row r="389" spans="1:1" s="37" customFormat="1" ht="15" customHeight="1" x14ac:dyDescent="0.25">
      <c r="A389" s="80"/>
    </row>
    <row r="390" spans="1:1" s="37" customFormat="1" ht="15" customHeight="1" x14ac:dyDescent="0.25">
      <c r="A390" s="80"/>
    </row>
    <row r="391" spans="1:1" s="37" customFormat="1" ht="15" customHeight="1" x14ac:dyDescent="0.25">
      <c r="A391" s="80"/>
    </row>
    <row r="392" spans="1:1" s="37" customFormat="1" ht="15" customHeight="1" x14ac:dyDescent="0.25">
      <c r="A392" s="80"/>
    </row>
    <row r="393" spans="1:1" s="37" customFormat="1" ht="15" customHeight="1" x14ac:dyDescent="0.25">
      <c r="A393" s="80"/>
    </row>
    <row r="394" spans="1:1" s="37" customFormat="1" ht="15" customHeight="1" x14ac:dyDescent="0.25">
      <c r="A394" s="80"/>
    </row>
    <row r="395" spans="1:1" s="37" customFormat="1" ht="15" customHeight="1" x14ac:dyDescent="0.25">
      <c r="A395" s="80"/>
    </row>
    <row r="396" spans="1:1" s="37" customFormat="1" ht="15" customHeight="1" x14ac:dyDescent="0.25">
      <c r="A396" s="80"/>
    </row>
    <row r="397" spans="1:1" s="37" customFormat="1" ht="15" customHeight="1" x14ac:dyDescent="0.25">
      <c r="A397" s="80"/>
    </row>
    <row r="398" spans="1:1" s="37" customFormat="1" ht="15" customHeight="1" x14ac:dyDescent="0.25">
      <c r="A398" s="80"/>
    </row>
    <row r="399" spans="1:1" s="37" customFormat="1" ht="15" customHeight="1" x14ac:dyDescent="0.25">
      <c r="A399" s="80"/>
    </row>
    <row r="400" spans="1:1" s="37" customFormat="1" ht="15" customHeight="1" x14ac:dyDescent="0.25">
      <c r="A400" s="80"/>
    </row>
    <row r="401" spans="1:1" s="37" customFormat="1" ht="15" customHeight="1" x14ac:dyDescent="0.25">
      <c r="A401" s="80"/>
    </row>
    <row r="402" spans="1:1" s="37" customFormat="1" ht="15" customHeight="1" x14ac:dyDescent="0.25">
      <c r="A402" s="80"/>
    </row>
    <row r="403" spans="1:1" s="37" customFormat="1" ht="15" customHeight="1" x14ac:dyDescent="0.25">
      <c r="A403" s="80"/>
    </row>
    <row r="404" spans="1:1" s="37" customFormat="1" ht="15" customHeight="1" x14ac:dyDescent="0.25">
      <c r="A404" s="80"/>
    </row>
    <row r="405" spans="1:1" s="37" customFormat="1" ht="15" customHeight="1" x14ac:dyDescent="0.25">
      <c r="A405" s="80"/>
    </row>
    <row r="406" spans="1:1" s="37" customFormat="1" ht="15" customHeight="1" x14ac:dyDescent="0.25">
      <c r="A406" s="80"/>
    </row>
    <row r="407" spans="1:1" s="37" customFormat="1" ht="15" customHeight="1" x14ac:dyDescent="0.25">
      <c r="A407" s="80"/>
    </row>
    <row r="408" spans="1:1" s="37" customFormat="1" ht="15" customHeight="1" x14ac:dyDescent="0.25">
      <c r="A408" s="80"/>
    </row>
    <row r="409" spans="1:1" s="37" customFormat="1" ht="15" customHeight="1" x14ac:dyDescent="0.25">
      <c r="A409" s="80"/>
    </row>
    <row r="410" spans="1:1" s="37" customFormat="1" ht="15" customHeight="1" x14ac:dyDescent="0.25">
      <c r="A410" s="80"/>
    </row>
    <row r="411" spans="1:1" s="37" customFormat="1" ht="15" customHeight="1" x14ac:dyDescent="0.25">
      <c r="A411" s="80"/>
    </row>
    <row r="412" spans="1:1" s="37" customFormat="1" ht="15" customHeight="1" x14ac:dyDescent="0.25">
      <c r="A412" s="80"/>
    </row>
    <row r="413" spans="1:1" s="37" customFormat="1" ht="15" customHeight="1" x14ac:dyDescent="0.25">
      <c r="A413" s="80"/>
    </row>
    <row r="414" spans="1:1" s="37" customFormat="1" ht="15" customHeight="1" x14ac:dyDescent="0.25">
      <c r="A414" s="80"/>
    </row>
    <row r="415" spans="1:1" s="37" customFormat="1" ht="15" customHeight="1" x14ac:dyDescent="0.25">
      <c r="A415" s="80"/>
    </row>
    <row r="416" spans="1:1" s="37" customFormat="1" ht="15" customHeight="1" x14ac:dyDescent="0.25">
      <c r="A416" s="80"/>
    </row>
    <row r="417" spans="1:1" s="37" customFormat="1" ht="15" customHeight="1" x14ac:dyDescent="0.25">
      <c r="A417" s="80"/>
    </row>
    <row r="418" spans="1:1" s="37" customFormat="1" ht="15" customHeight="1" x14ac:dyDescent="0.25">
      <c r="A418" s="80"/>
    </row>
    <row r="419" spans="1:1" s="37" customFormat="1" ht="15" customHeight="1" x14ac:dyDescent="0.25">
      <c r="A419" s="80"/>
    </row>
    <row r="420" spans="1:1" s="37" customFormat="1" ht="15" customHeight="1" x14ac:dyDescent="0.25">
      <c r="A420" s="80"/>
    </row>
    <row r="421" spans="1:1" s="37" customFormat="1" ht="15" customHeight="1" x14ac:dyDescent="0.25">
      <c r="A421" s="80"/>
    </row>
    <row r="422" spans="1:1" s="37" customFormat="1" ht="15" customHeight="1" x14ac:dyDescent="0.25">
      <c r="A422" s="80"/>
    </row>
    <row r="423" spans="1:1" s="37" customFormat="1" ht="15" customHeight="1" x14ac:dyDescent="0.25">
      <c r="A423" s="80"/>
    </row>
    <row r="424" spans="1:1" s="37" customFormat="1" ht="15" customHeight="1" x14ac:dyDescent="0.25">
      <c r="A424" s="80"/>
    </row>
    <row r="425" spans="1:1" s="37" customFormat="1" ht="15" customHeight="1" x14ac:dyDescent="0.25">
      <c r="A425" s="80"/>
    </row>
    <row r="426" spans="1:1" s="37" customFormat="1" ht="15" customHeight="1" x14ac:dyDescent="0.25">
      <c r="A426" s="80"/>
    </row>
    <row r="427" spans="1:1" s="37" customFormat="1" ht="15" customHeight="1" x14ac:dyDescent="0.25">
      <c r="A427" s="80"/>
    </row>
    <row r="428" spans="1:1" s="37" customFormat="1" ht="15" customHeight="1" x14ac:dyDescent="0.25">
      <c r="A428" s="80"/>
    </row>
    <row r="429" spans="1:1" s="37" customFormat="1" ht="15" customHeight="1" x14ac:dyDescent="0.25">
      <c r="A429" s="80"/>
    </row>
    <row r="430" spans="1:1" s="37" customFormat="1" ht="15" customHeight="1" x14ac:dyDescent="0.25">
      <c r="A430" s="80"/>
    </row>
    <row r="431" spans="1:1" s="37" customFormat="1" ht="15" customHeight="1" x14ac:dyDescent="0.25">
      <c r="A431" s="80"/>
    </row>
    <row r="432" spans="1:1" s="37" customFormat="1" ht="15" customHeight="1" x14ac:dyDescent="0.25">
      <c r="A432" s="80"/>
    </row>
    <row r="433" spans="1:1" s="37" customFormat="1" ht="15" customHeight="1" x14ac:dyDescent="0.25">
      <c r="A433" s="80"/>
    </row>
    <row r="434" spans="1:1" s="37" customFormat="1" ht="15" customHeight="1" x14ac:dyDescent="0.25">
      <c r="A434" s="80"/>
    </row>
    <row r="435" spans="1:1" s="37" customFormat="1" ht="15" customHeight="1" x14ac:dyDescent="0.25">
      <c r="A435" s="80"/>
    </row>
    <row r="436" spans="1:1" s="37" customFormat="1" ht="15" customHeight="1" x14ac:dyDescent="0.25">
      <c r="A436" s="80"/>
    </row>
    <row r="437" spans="1:1" s="37" customFormat="1" ht="15" customHeight="1" x14ac:dyDescent="0.25">
      <c r="A437" s="80"/>
    </row>
    <row r="438" spans="1:1" s="37" customFormat="1" ht="15" customHeight="1" x14ac:dyDescent="0.25">
      <c r="A438" s="80"/>
    </row>
    <row r="439" spans="1:1" s="37" customFormat="1" ht="15" customHeight="1" x14ac:dyDescent="0.25">
      <c r="A439" s="80"/>
    </row>
    <row r="440" spans="1:1" s="37" customFormat="1" ht="15" customHeight="1" x14ac:dyDescent="0.25">
      <c r="A440" s="80"/>
    </row>
    <row r="441" spans="1:1" s="37" customFormat="1" ht="15" customHeight="1" x14ac:dyDescent="0.25">
      <c r="A441" s="80"/>
    </row>
    <row r="442" spans="1:1" s="37" customFormat="1" ht="15" customHeight="1" x14ac:dyDescent="0.25">
      <c r="A442" s="80"/>
    </row>
    <row r="443" spans="1:1" s="37" customFormat="1" ht="15" customHeight="1" x14ac:dyDescent="0.25">
      <c r="A443" s="80"/>
    </row>
    <row r="444" spans="1:1" s="37" customFormat="1" ht="15" customHeight="1" x14ac:dyDescent="0.25">
      <c r="A444" s="80"/>
    </row>
    <row r="445" spans="1:1" s="37" customFormat="1" ht="15" customHeight="1" x14ac:dyDescent="0.25">
      <c r="A445" s="80"/>
    </row>
    <row r="446" spans="1:1" s="37" customFormat="1" ht="15" customHeight="1" x14ac:dyDescent="0.25">
      <c r="A446" s="80"/>
    </row>
    <row r="447" spans="1:1" s="37" customFormat="1" ht="15" customHeight="1" x14ac:dyDescent="0.25">
      <c r="A447" s="80"/>
    </row>
    <row r="448" spans="1:1" s="37" customFormat="1" ht="15" customHeight="1" x14ac:dyDescent="0.25">
      <c r="A448" s="80"/>
    </row>
    <row r="449" spans="1:1" s="37" customFormat="1" ht="15" customHeight="1" x14ac:dyDescent="0.25">
      <c r="A449" s="80"/>
    </row>
    <row r="450" spans="1:1" s="37" customFormat="1" ht="15" customHeight="1" x14ac:dyDescent="0.25">
      <c r="A450" s="80"/>
    </row>
    <row r="451" spans="1:1" s="37" customFormat="1" ht="15" customHeight="1" x14ac:dyDescent="0.25">
      <c r="A451" s="80"/>
    </row>
    <row r="452" spans="1:1" s="37" customFormat="1" ht="15" customHeight="1" x14ac:dyDescent="0.25">
      <c r="A452" s="80"/>
    </row>
    <row r="453" spans="1:1" s="37" customFormat="1" ht="15" customHeight="1" x14ac:dyDescent="0.25">
      <c r="A453" s="80"/>
    </row>
    <row r="454" spans="1:1" s="37" customFormat="1" ht="15" customHeight="1" x14ac:dyDescent="0.25">
      <c r="A454" s="80"/>
    </row>
    <row r="455" spans="1:1" s="37" customFormat="1" ht="15" customHeight="1" x14ac:dyDescent="0.25">
      <c r="A455" s="80"/>
    </row>
    <row r="456" spans="1:1" s="37" customFormat="1" ht="15" customHeight="1" x14ac:dyDescent="0.25">
      <c r="A456" s="80"/>
    </row>
    <row r="457" spans="1:1" s="37" customFormat="1" ht="15" customHeight="1" x14ac:dyDescent="0.25">
      <c r="A457" s="80"/>
    </row>
    <row r="458" spans="1:1" s="37" customFormat="1" ht="15" customHeight="1" x14ac:dyDescent="0.25">
      <c r="A458" s="80"/>
    </row>
    <row r="459" spans="1:1" s="37" customFormat="1" ht="15" customHeight="1" x14ac:dyDescent="0.25">
      <c r="A459" s="80"/>
    </row>
    <row r="460" spans="1:1" s="37" customFormat="1" ht="15" customHeight="1" x14ac:dyDescent="0.25">
      <c r="A460" s="80"/>
    </row>
    <row r="461" spans="1:1" s="37" customFormat="1" ht="15" customHeight="1" x14ac:dyDescent="0.25">
      <c r="A461" s="80"/>
    </row>
    <row r="462" spans="1:1" s="37" customFormat="1" ht="15" customHeight="1" x14ac:dyDescent="0.25">
      <c r="A462" s="80"/>
    </row>
    <row r="463" spans="1:1" s="37" customFormat="1" ht="15" customHeight="1" x14ac:dyDescent="0.25">
      <c r="A463" s="80"/>
    </row>
    <row r="464" spans="1:1" s="37" customFormat="1" ht="15" customHeight="1" x14ac:dyDescent="0.25">
      <c r="A464" s="80"/>
    </row>
    <row r="465" spans="1:1" s="37" customFormat="1" ht="15" customHeight="1" x14ac:dyDescent="0.25">
      <c r="A465" s="80"/>
    </row>
    <row r="466" spans="1:1" s="37" customFormat="1" ht="15" customHeight="1" x14ac:dyDescent="0.25">
      <c r="A466" s="80"/>
    </row>
    <row r="467" spans="1:1" s="37" customFormat="1" ht="15" customHeight="1" x14ac:dyDescent="0.25">
      <c r="A467" s="80"/>
    </row>
    <row r="468" spans="1:1" s="37" customFormat="1" ht="15" customHeight="1" x14ac:dyDescent="0.25">
      <c r="A468" s="80"/>
    </row>
    <row r="469" spans="1:1" s="37" customFormat="1" ht="15" customHeight="1" x14ac:dyDescent="0.25">
      <c r="A469" s="80"/>
    </row>
    <row r="470" spans="1:1" s="37" customFormat="1" ht="15" customHeight="1" x14ac:dyDescent="0.25">
      <c r="A470" s="80"/>
    </row>
    <row r="471" spans="1:1" s="37" customFormat="1" ht="15" customHeight="1" x14ac:dyDescent="0.25">
      <c r="A471" s="80"/>
    </row>
    <row r="472" spans="1:1" s="37" customFormat="1" ht="15" customHeight="1" x14ac:dyDescent="0.25">
      <c r="A472" s="80"/>
    </row>
    <row r="473" spans="1:1" s="37" customFormat="1" ht="15" customHeight="1" x14ac:dyDescent="0.25">
      <c r="A473" s="80"/>
    </row>
    <row r="474" spans="1:1" s="37" customFormat="1" ht="15" customHeight="1" x14ac:dyDescent="0.25">
      <c r="A474" s="80"/>
    </row>
    <row r="475" spans="1:1" s="37" customFormat="1" ht="15" customHeight="1" x14ac:dyDescent="0.25">
      <c r="A475" s="80"/>
    </row>
    <row r="476" spans="1:1" s="37" customFormat="1" ht="15" customHeight="1" x14ac:dyDescent="0.25">
      <c r="A476" s="80"/>
    </row>
    <row r="477" spans="1:1" s="37" customFormat="1" ht="15" customHeight="1" x14ac:dyDescent="0.25">
      <c r="A477" s="80"/>
    </row>
    <row r="478" spans="1:1" s="37" customFormat="1" ht="15" customHeight="1" x14ac:dyDescent="0.25">
      <c r="A478" s="80"/>
    </row>
    <row r="479" spans="1:1" s="37" customFormat="1" ht="15" customHeight="1" x14ac:dyDescent="0.25">
      <c r="A479" s="80"/>
    </row>
    <row r="480" spans="1:1" s="37" customFormat="1" ht="15" customHeight="1" x14ac:dyDescent="0.25">
      <c r="A480" s="80"/>
    </row>
    <row r="481" spans="1:1" s="37" customFormat="1" ht="15" customHeight="1" x14ac:dyDescent="0.25">
      <c r="A481" s="80"/>
    </row>
    <row r="482" spans="1:1" s="37" customFormat="1" ht="15" customHeight="1" x14ac:dyDescent="0.25">
      <c r="A482" s="80"/>
    </row>
    <row r="483" spans="1:1" s="37" customFormat="1" ht="15" customHeight="1" x14ac:dyDescent="0.25">
      <c r="A483" s="80"/>
    </row>
    <row r="484" spans="1:1" s="37" customFormat="1" ht="15" customHeight="1" x14ac:dyDescent="0.25">
      <c r="A484" s="80"/>
    </row>
    <row r="485" spans="1:1" s="37" customFormat="1" ht="15" customHeight="1" x14ac:dyDescent="0.25">
      <c r="A485" s="80"/>
    </row>
    <row r="486" spans="1:1" s="37" customFormat="1" ht="15" customHeight="1" x14ac:dyDescent="0.25">
      <c r="A486" s="80"/>
    </row>
    <row r="487" spans="1:1" s="37" customFormat="1" ht="15" customHeight="1" x14ac:dyDescent="0.25">
      <c r="A487" s="80"/>
    </row>
    <row r="488" spans="1:1" s="37" customFormat="1" ht="15" customHeight="1" x14ac:dyDescent="0.25">
      <c r="A488" s="80"/>
    </row>
    <row r="489" spans="1:1" s="37" customFormat="1" ht="15" customHeight="1" x14ac:dyDescent="0.25">
      <c r="A489" s="80"/>
    </row>
    <row r="490" spans="1:1" s="37" customFormat="1" ht="15" customHeight="1" x14ac:dyDescent="0.25">
      <c r="A490" s="80"/>
    </row>
    <row r="491" spans="1:1" s="37" customFormat="1" ht="15" customHeight="1" x14ac:dyDescent="0.25">
      <c r="A491" s="80"/>
    </row>
    <row r="492" spans="1:1" s="37" customFormat="1" ht="15" customHeight="1" x14ac:dyDescent="0.25">
      <c r="A492" s="80"/>
    </row>
    <row r="493" spans="1:1" s="37" customFormat="1" ht="15" customHeight="1" x14ac:dyDescent="0.25">
      <c r="A493" s="80"/>
    </row>
    <row r="494" spans="1:1" s="37" customFormat="1" ht="15" customHeight="1" x14ac:dyDescent="0.25">
      <c r="A494" s="80"/>
    </row>
    <row r="495" spans="1:1" s="37" customFormat="1" ht="15" customHeight="1" x14ac:dyDescent="0.25">
      <c r="A495" s="80"/>
    </row>
    <row r="496" spans="1:1" s="37" customFormat="1" ht="15" customHeight="1" x14ac:dyDescent="0.25">
      <c r="A496" s="80"/>
    </row>
    <row r="497" spans="1:1" s="37" customFormat="1" ht="15" customHeight="1" x14ac:dyDescent="0.25">
      <c r="A497" s="80"/>
    </row>
    <row r="498" spans="1:1" s="37" customFormat="1" ht="15" customHeight="1" x14ac:dyDescent="0.25">
      <c r="A498" s="80"/>
    </row>
    <row r="499" spans="1:1" s="37" customFormat="1" ht="15" customHeight="1" x14ac:dyDescent="0.25">
      <c r="A499" s="80"/>
    </row>
    <row r="500" spans="1:1" s="37" customFormat="1" ht="15" customHeight="1" x14ac:dyDescent="0.25">
      <c r="A500" s="80"/>
    </row>
    <row r="501" spans="1:1" s="37" customFormat="1" ht="15" customHeight="1" x14ac:dyDescent="0.25">
      <c r="A501" s="80"/>
    </row>
    <row r="502" spans="1:1" s="37" customFormat="1" ht="15" customHeight="1" x14ac:dyDescent="0.25">
      <c r="A502" s="80"/>
    </row>
    <row r="503" spans="1:1" s="37" customFormat="1" ht="15" customHeight="1" x14ac:dyDescent="0.25">
      <c r="A503" s="80"/>
    </row>
    <row r="504" spans="1:1" s="37" customFormat="1" ht="15" customHeight="1" x14ac:dyDescent="0.25">
      <c r="A504" s="80"/>
    </row>
    <row r="505" spans="1:1" s="37" customFormat="1" ht="15" customHeight="1" x14ac:dyDescent="0.25">
      <c r="A505" s="80"/>
    </row>
    <row r="506" spans="1:1" s="37" customFormat="1" ht="15" customHeight="1" x14ac:dyDescent="0.25">
      <c r="A506" s="80"/>
    </row>
    <row r="507" spans="1:1" s="37" customFormat="1" ht="15" customHeight="1" x14ac:dyDescent="0.25">
      <c r="A507" s="80"/>
    </row>
    <row r="508" spans="1:1" s="37" customFormat="1" ht="15" customHeight="1" x14ac:dyDescent="0.25">
      <c r="A508" s="80"/>
    </row>
    <row r="509" spans="1:1" s="37" customFormat="1" ht="15" customHeight="1" x14ac:dyDescent="0.25">
      <c r="A509" s="80"/>
    </row>
    <row r="510" spans="1:1" s="37" customFormat="1" ht="15" customHeight="1" x14ac:dyDescent="0.25">
      <c r="A510" s="80"/>
    </row>
    <row r="511" spans="1:1" s="37" customFormat="1" ht="15" customHeight="1" x14ac:dyDescent="0.25">
      <c r="A511" s="80"/>
    </row>
    <row r="512" spans="1:1" s="37" customFormat="1" ht="15" customHeight="1" x14ac:dyDescent="0.25">
      <c r="A512" s="80"/>
    </row>
    <row r="513" spans="1:1" s="37" customFormat="1" ht="15" customHeight="1" x14ac:dyDescent="0.25">
      <c r="A513" s="80"/>
    </row>
    <row r="514" spans="1:1" s="37" customFormat="1" ht="15" customHeight="1" x14ac:dyDescent="0.25">
      <c r="A514" s="80"/>
    </row>
    <row r="515" spans="1:1" s="37" customFormat="1" ht="15" customHeight="1" x14ac:dyDescent="0.25">
      <c r="A515" s="80"/>
    </row>
    <row r="516" spans="1:1" s="37" customFormat="1" ht="15" customHeight="1" x14ac:dyDescent="0.25">
      <c r="A516" s="80"/>
    </row>
    <row r="517" spans="1:1" s="37" customFormat="1" ht="15" customHeight="1" x14ac:dyDescent="0.25">
      <c r="A517" s="80"/>
    </row>
    <row r="518" spans="1:1" s="37" customFormat="1" ht="15" customHeight="1" x14ac:dyDescent="0.25">
      <c r="A518" s="80"/>
    </row>
    <row r="519" spans="1:1" s="37" customFormat="1" ht="15" customHeight="1" x14ac:dyDescent="0.25">
      <c r="A519" s="80"/>
    </row>
    <row r="520" spans="1:1" s="37" customFormat="1" ht="15" customHeight="1" x14ac:dyDescent="0.25">
      <c r="A520" s="80"/>
    </row>
    <row r="521" spans="1:1" s="37" customFormat="1" ht="15" customHeight="1" x14ac:dyDescent="0.25">
      <c r="A521" s="80"/>
    </row>
    <row r="522" spans="1:1" s="37" customFormat="1" ht="15" customHeight="1" x14ac:dyDescent="0.25">
      <c r="A522" s="80"/>
    </row>
    <row r="523" spans="1:1" s="37" customFormat="1" ht="15" customHeight="1" x14ac:dyDescent="0.25">
      <c r="A523" s="80"/>
    </row>
    <row r="524" spans="1:1" s="37" customFormat="1" ht="15" customHeight="1" x14ac:dyDescent="0.25">
      <c r="A524" s="80"/>
    </row>
    <row r="525" spans="1:1" s="37" customFormat="1" ht="15" customHeight="1" x14ac:dyDescent="0.25">
      <c r="A525" s="80"/>
    </row>
    <row r="526" spans="1:1" s="37" customFormat="1" ht="15" customHeight="1" x14ac:dyDescent="0.25">
      <c r="A526" s="80"/>
    </row>
    <row r="527" spans="1:1" s="37" customFormat="1" ht="15" customHeight="1" x14ac:dyDescent="0.25">
      <c r="A527" s="80"/>
    </row>
    <row r="528" spans="1:1" s="37" customFormat="1" ht="15" customHeight="1" x14ac:dyDescent="0.25">
      <c r="A528" s="80"/>
    </row>
    <row r="529" spans="1:1" s="37" customFormat="1" ht="15" customHeight="1" x14ac:dyDescent="0.25">
      <c r="A529" s="80"/>
    </row>
    <row r="530" spans="1:1" s="37" customFormat="1" ht="15" customHeight="1" x14ac:dyDescent="0.25">
      <c r="A530" s="80"/>
    </row>
    <row r="531" spans="1:1" s="37" customFormat="1" ht="15" customHeight="1" x14ac:dyDescent="0.25">
      <c r="A531" s="80"/>
    </row>
    <row r="532" spans="1:1" s="37" customFormat="1" ht="15" customHeight="1" x14ac:dyDescent="0.25">
      <c r="A532" s="80"/>
    </row>
    <row r="533" spans="1:1" s="37" customFormat="1" ht="15" customHeight="1" x14ac:dyDescent="0.25">
      <c r="A533" s="80"/>
    </row>
    <row r="534" spans="1:1" s="37" customFormat="1" ht="15" customHeight="1" x14ac:dyDescent="0.25">
      <c r="A534" s="80"/>
    </row>
    <row r="535" spans="1:1" s="37" customFormat="1" ht="15" customHeight="1" x14ac:dyDescent="0.25">
      <c r="A535" s="80"/>
    </row>
    <row r="536" spans="1:1" s="37" customFormat="1" ht="15" customHeight="1" x14ac:dyDescent="0.25">
      <c r="A536" s="80"/>
    </row>
    <row r="537" spans="1:1" s="37" customFormat="1" ht="15" customHeight="1" x14ac:dyDescent="0.25">
      <c r="A537" s="80"/>
    </row>
    <row r="538" spans="1:1" s="37" customFormat="1" ht="15" customHeight="1" x14ac:dyDescent="0.25">
      <c r="A538" s="80"/>
    </row>
    <row r="539" spans="1:1" s="37" customFormat="1" ht="15" customHeight="1" x14ac:dyDescent="0.25">
      <c r="A539" s="80"/>
    </row>
    <row r="540" spans="1:1" s="37" customFormat="1" ht="15" customHeight="1" x14ac:dyDescent="0.25">
      <c r="A540" s="80"/>
    </row>
    <row r="541" spans="1:1" s="37" customFormat="1" ht="15" customHeight="1" x14ac:dyDescent="0.25">
      <c r="A541" s="80"/>
    </row>
    <row r="542" spans="1:1" s="37" customFormat="1" ht="15" customHeight="1" x14ac:dyDescent="0.25">
      <c r="A542" s="80"/>
    </row>
    <row r="543" spans="1:1" s="37" customFormat="1" ht="15" customHeight="1" x14ac:dyDescent="0.25">
      <c r="A543" s="80"/>
    </row>
    <row r="544" spans="1:1" s="37" customFormat="1" ht="15" customHeight="1" x14ac:dyDescent="0.25">
      <c r="A544" s="80"/>
    </row>
    <row r="545" spans="1:1" s="37" customFormat="1" ht="15" customHeight="1" x14ac:dyDescent="0.25">
      <c r="A545" s="80"/>
    </row>
    <row r="546" spans="1:1" s="37" customFormat="1" ht="15" customHeight="1" x14ac:dyDescent="0.25">
      <c r="A546" s="80"/>
    </row>
    <row r="547" spans="1:1" s="37" customFormat="1" ht="15" customHeight="1" x14ac:dyDescent="0.25">
      <c r="A547" s="80"/>
    </row>
    <row r="548" spans="1:1" s="37" customFormat="1" ht="15" customHeight="1" x14ac:dyDescent="0.25">
      <c r="A548" s="80"/>
    </row>
    <row r="549" spans="1:1" s="37" customFormat="1" ht="15" customHeight="1" x14ac:dyDescent="0.25">
      <c r="A549" s="80"/>
    </row>
    <row r="550" spans="1:1" s="37" customFormat="1" ht="15" customHeight="1" x14ac:dyDescent="0.25">
      <c r="A550" s="80"/>
    </row>
    <row r="551" spans="1:1" s="37" customFormat="1" ht="15" customHeight="1" x14ac:dyDescent="0.25">
      <c r="A551" s="80"/>
    </row>
    <row r="552" spans="1:1" s="37" customFormat="1" ht="15" customHeight="1" x14ac:dyDescent="0.25">
      <c r="A552" s="80"/>
    </row>
    <row r="553" spans="1:1" s="37" customFormat="1" ht="15" customHeight="1" x14ac:dyDescent="0.25">
      <c r="A553" s="80"/>
    </row>
    <row r="554" spans="1:1" s="37" customFormat="1" ht="15" customHeight="1" x14ac:dyDescent="0.25">
      <c r="A554" s="80"/>
    </row>
    <row r="555" spans="1:1" s="37" customFormat="1" ht="15" customHeight="1" x14ac:dyDescent="0.25">
      <c r="A555" s="80"/>
    </row>
    <row r="556" spans="1:1" s="37" customFormat="1" ht="15" customHeight="1" x14ac:dyDescent="0.25">
      <c r="A556" s="80"/>
    </row>
    <row r="557" spans="1:1" s="37" customFormat="1" ht="15" customHeight="1" x14ac:dyDescent="0.25">
      <c r="A557" s="80"/>
    </row>
    <row r="558" spans="1:1" s="37" customFormat="1" ht="15" customHeight="1" x14ac:dyDescent="0.25">
      <c r="A558" s="80"/>
    </row>
    <row r="559" spans="1:1" s="37" customFormat="1" ht="15" customHeight="1" x14ac:dyDescent="0.25">
      <c r="A559" s="80"/>
    </row>
    <row r="560" spans="1:1" s="37" customFormat="1" ht="15" customHeight="1" x14ac:dyDescent="0.25">
      <c r="A560" s="80"/>
    </row>
    <row r="561" spans="1:1" s="37" customFormat="1" ht="15" customHeight="1" x14ac:dyDescent="0.25">
      <c r="A561" s="80"/>
    </row>
    <row r="562" spans="1:1" s="37" customFormat="1" ht="15" customHeight="1" x14ac:dyDescent="0.25">
      <c r="A562" s="80"/>
    </row>
    <row r="563" spans="1:1" s="37" customFormat="1" ht="15" customHeight="1" x14ac:dyDescent="0.25">
      <c r="A563" s="80"/>
    </row>
    <row r="564" spans="1:1" s="37" customFormat="1" ht="15" customHeight="1" x14ac:dyDescent="0.25">
      <c r="A564" s="80"/>
    </row>
    <row r="565" spans="1:1" s="37" customFormat="1" ht="15" customHeight="1" x14ac:dyDescent="0.25">
      <c r="A565" s="80"/>
    </row>
    <row r="566" spans="1:1" s="37" customFormat="1" ht="15" customHeight="1" x14ac:dyDescent="0.25">
      <c r="A566" s="80"/>
    </row>
    <row r="567" spans="1:1" s="37" customFormat="1" ht="15" customHeight="1" x14ac:dyDescent="0.25">
      <c r="A567" s="80"/>
    </row>
    <row r="568" spans="1:1" s="37" customFormat="1" ht="15" customHeight="1" x14ac:dyDescent="0.25">
      <c r="A568" s="80"/>
    </row>
    <row r="569" spans="1:1" s="37" customFormat="1" ht="15" customHeight="1" x14ac:dyDescent="0.25">
      <c r="A569" s="80"/>
    </row>
    <row r="570" spans="1:1" s="37" customFormat="1" ht="15" customHeight="1" x14ac:dyDescent="0.25">
      <c r="A570" s="80"/>
    </row>
    <row r="571" spans="1:1" s="37" customFormat="1" ht="15" customHeight="1" x14ac:dyDescent="0.25">
      <c r="A571" s="80"/>
    </row>
    <row r="572" spans="1:1" s="37" customFormat="1" ht="15" customHeight="1" x14ac:dyDescent="0.25">
      <c r="A572" s="80"/>
    </row>
    <row r="573" spans="1:1" s="37" customFormat="1" ht="15" customHeight="1" x14ac:dyDescent="0.25">
      <c r="A573" s="80"/>
    </row>
    <row r="574" spans="1:1" s="37" customFormat="1" ht="15" customHeight="1" x14ac:dyDescent="0.25">
      <c r="A574" s="80"/>
    </row>
    <row r="575" spans="1:1" s="37" customFormat="1" ht="15" customHeight="1" x14ac:dyDescent="0.25">
      <c r="A575" s="80"/>
    </row>
    <row r="576" spans="1:1" s="37" customFormat="1" ht="15" customHeight="1" x14ac:dyDescent="0.25">
      <c r="A576" s="80"/>
    </row>
    <row r="577" spans="1:1" s="37" customFormat="1" ht="15" customHeight="1" x14ac:dyDescent="0.25">
      <c r="A577" s="80"/>
    </row>
    <row r="578" spans="1:1" s="37" customFormat="1" ht="15" customHeight="1" x14ac:dyDescent="0.25">
      <c r="A578" s="80"/>
    </row>
    <row r="579" spans="1:1" s="37" customFormat="1" ht="15" customHeight="1" x14ac:dyDescent="0.25">
      <c r="A579" s="80"/>
    </row>
    <row r="580" spans="1:1" s="37" customFormat="1" ht="15" customHeight="1" x14ac:dyDescent="0.25">
      <c r="A580" s="80"/>
    </row>
    <row r="581" spans="1:1" s="37" customFormat="1" ht="15" customHeight="1" x14ac:dyDescent="0.25">
      <c r="A581" s="80"/>
    </row>
    <row r="582" spans="1:1" s="37" customFormat="1" ht="15" customHeight="1" x14ac:dyDescent="0.25">
      <c r="A582" s="80"/>
    </row>
    <row r="583" spans="1:1" s="37" customFormat="1" ht="15" customHeight="1" x14ac:dyDescent="0.25">
      <c r="A583" s="80"/>
    </row>
    <row r="584" spans="1:1" s="37" customFormat="1" ht="15" customHeight="1" x14ac:dyDescent="0.25">
      <c r="A584" s="80"/>
    </row>
    <row r="585" spans="1:1" s="37" customFormat="1" ht="15" customHeight="1" x14ac:dyDescent="0.25">
      <c r="A585" s="80"/>
    </row>
    <row r="586" spans="1:1" s="37" customFormat="1" ht="15" customHeight="1" x14ac:dyDescent="0.25">
      <c r="A586" s="80"/>
    </row>
    <row r="587" spans="1:1" s="37" customFormat="1" ht="15" customHeight="1" x14ac:dyDescent="0.25">
      <c r="A587" s="80"/>
    </row>
    <row r="588" spans="1:1" s="37" customFormat="1" ht="15" customHeight="1" x14ac:dyDescent="0.25">
      <c r="A588" s="80"/>
    </row>
    <row r="589" spans="1:1" s="37" customFormat="1" ht="15" customHeight="1" x14ac:dyDescent="0.25">
      <c r="A589" s="80"/>
    </row>
    <row r="590" spans="1:1" s="37" customFormat="1" ht="15" customHeight="1" x14ac:dyDescent="0.25">
      <c r="A590" s="80"/>
    </row>
    <row r="591" spans="1:1" s="37" customFormat="1" ht="15" customHeight="1" x14ac:dyDescent="0.25">
      <c r="A591" s="80"/>
    </row>
    <row r="592" spans="1:1" s="37" customFormat="1" ht="15" customHeight="1" x14ac:dyDescent="0.25">
      <c r="A592" s="80"/>
    </row>
    <row r="593" spans="1:1" s="37" customFormat="1" ht="15" customHeight="1" x14ac:dyDescent="0.25">
      <c r="A593" s="80"/>
    </row>
    <row r="594" spans="1:1" s="37" customFormat="1" ht="15" customHeight="1" x14ac:dyDescent="0.25">
      <c r="A594" s="80"/>
    </row>
    <row r="595" spans="1:1" s="37" customFormat="1" ht="15" customHeight="1" x14ac:dyDescent="0.25">
      <c r="A595" s="80"/>
    </row>
    <row r="596" spans="1:1" s="37" customFormat="1" ht="15" customHeight="1" x14ac:dyDescent="0.25">
      <c r="A596" s="80"/>
    </row>
    <row r="597" spans="1:1" s="37" customFormat="1" ht="15" customHeight="1" x14ac:dyDescent="0.25">
      <c r="A597" s="80"/>
    </row>
    <row r="598" spans="1:1" s="37" customFormat="1" ht="15" customHeight="1" x14ac:dyDescent="0.25">
      <c r="A598" s="80"/>
    </row>
    <row r="599" spans="1:1" s="37" customFormat="1" ht="15" customHeight="1" x14ac:dyDescent="0.25">
      <c r="A599" s="80"/>
    </row>
    <row r="600" spans="1:1" s="37" customFormat="1" ht="15" customHeight="1" x14ac:dyDescent="0.25">
      <c r="A600" s="80"/>
    </row>
    <row r="601" spans="1:1" s="37" customFormat="1" ht="15" customHeight="1" x14ac:dyDescent="0.25">
      <c r="A601" s="80"/>
    </row>
    <row r="602" spans="1:1" s="37" customFormat="1" ht="15" customHeight="1" x14ac:dyDescent="0.25">
      <c r="A602" s="80"/>
    </row>
    <row r="603" spans="1:1" s="37" customFormat="1" ht="15" customHeight="1" x14ac:dyDescent="0.25">
      <c r="A603" s="80"/>
    </row>
    <row r="604" spans="1:1" s="37" customFormat="1" ht="15" customHeight="1" x14ac:dyDescent="0.25">
      <c r="A604" s="80"/>
    </row>
    <row r="605" spans="1:1" s="37" customFormat="1" ht="15" customHeight="1" x14ac:dyDescent="0.25">
      <c r="A605" s="80"/>
    </row>
    <row r="606" spans="1:1" s="37" customFormat="1" ht="15" customHeight="1" x14ac:dyDescent="0.25">
      <c r="A606" s="80"/>
    </row>
    <row r="607" spans="1:1" s="37" customFormat="1" ht="15" customHeight="1" x14ac:dyDescent="0.25">
      <c r="A607" s="80"/>
    </row>
    <row r="608" spans="1:1" s="37" customFormat="1" ht="15" customHeight="1" x14ac:dyDescent="0.25">
      <c r="A608" s="80"/>
    </row>
    <row r="609" spans="1:1" s="37" customFormat="1" ht="15" customHeight="1" x14ac:dyDescent="0.25">
      <c r="A609" s="80"/>
    </row>
    <row r="610" spans="1:1" s="37" customFormat="1" ht="15" customHeight="1" x14ac:dyDescent="0.25">
      <c r="A610" s="80"/>
    </row>
    <row r="611" spans="1:1" s="37" customFormat="1" ht="15" customHeight="1" x14ac:dyDescent="0.25">
      <c r="A611" s="80"/>
    </row>
    <row r="612" spans="1:1" s="37" customFormat="1" ht="15" customHeight="1" x14ac:dyDescent="0.25">
      <c r="A612" s="80"/>
    </row>
    <row r="613" spans="1:1" s="37" customFormat="1" ht="15" customHeight="1" x14ac:dyDescent="0.25">
      <c r="A613" s="80"/>
    </row>
    <row r="614" spans="1:1" s="37" customFormat="1" ht="15" customHeight="1" x14ac:dyDescent="0.25">
      <c r="A614" s="80"/>
    </row>
    <row r="615" spans="1:1" s="37" customFormat="1" ht="15" customHeight="1" x14ac:dyDescent="0.25">
      <c r="A615" s="80"/>
    </row>
    <row r="616" spans="1:1" s="37" customFormat="1" ht="15" customHeight="1" x14ac:dyDescent="0.25">
      <c r="A616" s="80"/>
    </row>
    <row r="617" spans="1:1" s="37" customFormat="1" ht="15" customHeight="1" x14ac:dyDescent="0.25">
      <c r="A617" s="80"/>
    </row>
    <row r="618" spans="1:1" s="37" customFormat="1" ht="15" customHeight="1" x14ac:dyDescent="0.25">
      <c r="A618" s="80"/>
    </row>
    <row r="619" spans="1:1" s="37" customFormat="1" ht="15" customHeight="1" x14ac:dyDescent="0.25">
      <c r="A619" s="80"/>
    </row>
    <row r="620" spans="1:1" s="37" customFormat="1" ht="15" customHeight="1" x14ac:dyDescent="0.25">
      <c r="A620" s="80"/>
    </row>
    <row r="621" spans="1:1" s="37" customFormat="1" ht="15" customHeight="1" x14ac:dyDescent="0.25">
      <c r="A621" s="80"/>
    </row>
    <row r="622" spans="1:1" s="37" customFormat="1" ht="15" customHeight="1" x14ac:dyDescent="0.25">
      <c r="A622" s="80"/>
    </row>
    <row r="623" spans="1:1" s="37" customFormat="1" ht="15" customHeight="1" x14ac:dyDescent="0.25">
      <c r="A623" s="80"/>
    </row>
    <row r="624" spans="1:1" s="37" customFormat="1" ht="15" customHeight="1" x14ac:dyDescent="0.25">
      <c r="A624" s="80"/>
    </row>
    <row r="625" spans="1:1" s="37" customFormat="1" ht="15" customHeight="1" x14ac:dyDescent="0.25">
      <c r="A625" s="80"/>
    </row>
    <row r="626" spans="1:1" s="37" customFormat="1" ht="15" customHeight="1" x14ac:dyDescent="0.25">
      <c r="A626" s="80"/>
    </row>
    <row r="627" spans="1:1" s="37" customFormat="1" ht="15" customHeight="1" x14ac:dyDescent="0.25">
      <c r="A627" s="80"/>
    </row>
    <row r="628" spans="1:1" s="37" customFormat="1" ht="15" customHeight="1" x14ac:dyDescent="0.25">
      <c r="A628" s="80"/>
    </row>
    <row r="629" spans="1:1" s="37" customFormat="1" ht="15" customHeight="1" x14ac:dyDescent="0.25">
      <c r="A629" s="80"/>
    </row>
    <row r="630" spans="1:1" s="37" customFormat="1" ht="15" customHeight="1" x14ac:dyDescent="0.25">
      <c r="A630" s="80"/>
    </row>
    <row r="631" spans="1:1" s="37" customFormat="1" ht="15" customHeight="1" x14ac:dyDescent="0.25">
      <c r="A631" s="80"/>
    </row>
    <row r="632" spans="1:1" s="37" customFormat="1" ht="15" customHeight="1" x14ac:dyDescent="0.25">
      <c r="A632" s="80"/>
    </row>
    <row r="633" spans="1:1" s="37" customFormat="1" ht="15" customHeight="1" x14ac:dyDescent="0.25">
      <c r="A633" s="80"/>
    </row>
    <row r="634" spans="1:1" s="37" customFormat="1" ht="15" customHeight="1" x14ac:dyDescent="0.25">
      <c r="A634" s="80"/>
    </row>
    <row r="635" spans="1:1" s="37" customFormat="1" ht="15" customHeight="1" x14ac:dyDescent="0.25">
      <c r="A635" s="80"/>
    </row>
    <row r="636" spans="1:1" s="37" customFormat="1" ht="15" customHeight="1" x14ac:dyDescent="0.25">
      <c r="A636" s="80"/>
    </row>
    <row r="637" spans="1:1" s="37" customFormat="1" ht="15" customHeight="1" x14ac:dyDescent="0.25">
      <c r="A637" s="80"/>
    </row>
    <row r="638" spans="1:1" s="37" customFormat="1" ht="15" customHeight="1" x14ac:dyDescent="0.25">
      <c r="A638" s="80"/>
    </row>
    <row r="639" spans="1:1" s="37" customFormat="1" ht="15" customHeight="1" x14ac:dyDescent="0.25">
      <c r="A639" s="80"/>
    </row>
    <row r="640" spans="1:1" s="37" customFormat="1" ht="15" customHeight="1" x14ac:dyDescent="0.25">
      <c r="A640" s="80"/>
    </row>
    <row r="641" spans="1:1" s="37" customFormat="1" ht="15" customHeight="1" x14ac:dyDescent="0.25">
      <c r="A641" s="80"/>
    </row>
    <row r="642" spans="1:1" s="37" customFormat="1" ht="15" customHeight="1" x14ac:dyDescent="0.25">
      <c r="A642" s="80"/>
    </row>
    <row r="643" spans="1:1" s="37" customFormat="1" ht="15" customHeight="1" x14ac:dyDescent="0.25">
      <c r="A643" s="80"/>
    </row>
    <row r="644" spans="1:1" s="37" customFormat="1" ht="15" customHeight="1" x14ac:dyDescent="0.25">
      <c r="A644" s="80"/>
    </row>
    <row r="645" spans="1:1" s="37" customFormat="1" ht="15" customHeight="1" x14ac:dyDescent="0.25">
      <c r="A645" s="80"/>
    </row>
    <row r="646" spans="1:1" s="37" customFormat="1" ht="15" customHeight="1" x14ac:dyDescent="0.25">
      <c r="A646" s="80"/>
    </row>
    <row r="647" spans="1:1" s="37" customFormat="1" ht="15" customHeight="1" x14ac:dyDescent="0.25">
      <c r="A647" s="80"/>
    </row>
    <row r="648" spans="1:1" s="37" customFormat="1" ht="15" customHeight="1" x14ac:dyDescent="0.25">
      <c r="A648" s="80"/>
    </row>
    <row r="649" spans="1:1" s="37" customFormat="1" ht="15" customHeight="1" x14ac:dyDescent="0.25">
      <c r="A649" s="80"/>
    </row>
    <row r="650" spans="1:1" s="37" customFormat="1" ht="15" customHeight="1" x14ac:dyDescent="0.25">
      <c r="A650" s="80"/>
    </row>
    <row r="651" spans="1:1" s="37" customFormat="1" ht="15" customHeight="1" x14ac:dyDescent="0.25">
      <c r="A651" s="80"/>
    </row>
    <row r="652" spans="1:1" s="37" customFormat="1" ht="15" customHeight="1" x14ac:dyDescent="0.25">
      <c r="A652" s="80"/>
    </row>
    <row r="653" spans="1:1" s="37" customFormat="1" ht="15" customHeight="1" x14ac:dyDescent="0.25">
      <c r="A653" s="80"/>
    </row>
    <row r="654" spans="1:1" s="37" customFormat="1" ht="15" customHeight="1" x14ac:dyDescent="0.25">
      <c r="A654" s="80"/>
    </row>
    <row r="655" spans="1:1" s="37" customFormat="1" ht="15" customHeight="1" x14ac:dyDescent="0.25">
      <c r="A655" s="80"/>
    </row>
    <row r="656" spans="1:1" s="37" customFormat="1" ht="15" customHeight="1" x14ac:dyDescent="0.25">
      <c r="A656" s="80"/>
    </row>
    <row r="657" spans="1:1" s="37" customFormat="1" ht="15" customHeight="1" x14ac:dyDescent="0.25">
      <c r="A657" s="80"/>
    </row>
    <row r="658" spans="1:1" s="37" customFormat="1" ht="15" customHeight="1" x14ac:dyDescent="0.25">
      <c r="A658" s="80"/>
    </row>
    <row r="659" spans="1:1" s="37" customFormat="1" ht="15" customHeight="1" x14ac:dyDescent="0.25">
      <c r="A659" s="80"/>
    </row>
    <row r="660" spans="1:1" s="37" customFormat="1" ht="15" customHeight="1" x14ac:dyDescent="0.25">
      <c r="A660" s="80"/>
    </row>
    <row r="661" spans="1:1" s="37" customFormat="1" ht="15" customHeight="1" x14ac:dyDescent="0.25">
      <c r="A661" s="80"/>
    </row>
    <row r="662" spans="1:1" s="37" customFormat="1" ht="15" customHeight="1" x14ac:dyDescent="0.25">
      <c r="A662" s="80"/>
    </row>
    <row r="663" spans="1:1" s="37" customFormat="1" ht="15" customHeight="1" x14ac:dyDescent="0.25">
      <c r="A663" s="80"/>
    </row>
    <row r="664" spans="1:1" s="37" customFormat="1" ht="15" customHeight="1" x14ac:dyDescent="0.25">
      <c r="A664" s="80"/>
    </row>
    <row r="665" spans="1:1" s="37" customFormat="1" ht="15" customHeight="1" x14ac:dyDescent="0.25">
      <c r="A665" s="80"/>
    </row>
    <row r="666" spans="1:1" s="37" customFormat="1" ht="15" customHeight="1" x14ac:dyDescent="0.25">
      <c r="A666" s="80"/>
    </row>
    <row r="667" spans="1:1" s="37" customFormat="1" ht="15" customHeight="1" x14ac:dyDescent="0.25">
      <c r="A667" s="80"/>
    </row>
    <row r="668" spans="1:1" s="37" customFormat="1" ht="15" customHeight="1" x14ac:dyDescent="0.25">
      <c r="A668" s="80"/>
    </row>
    <row r="669" spans="1:1" s="37" customFormat="1" ht="15" customHeight="1" x14ac:dyDescent="0.25">
      <c r="A669" s="80"/>
    </row>
    <row r="670" spans="1:1" s="37" customFormat="1" ht="15" customHeight="1" x14ac:dyDescent="0.25">
      <c r="A670" s="80"/>
    </row>
    <row r="671" spans="1:1" s="37" customFormat="1" ht="15" customHeight="1" x14ac:dyDescent="0.25">
      <c r="A671" s="80"/>
    </row>
    <row r="672" spans="1:1" s="37" customFormat="1" ht="15" customHeight="1" x14ac:dyDescent="0.25">
      <c r="A672" s="80"/>
    </row>
    <row r="673" spans="1:1" s="37" customFormat="1" ht="15" customHeight="1" x14ac:dyDescent="0.25">
      <c r="A673" s="80"/>
    </row>
    <row r="674" spans="1:1" s="37" customFormat="1" ht="15" customHeight="1" x14ac:dyDescent="0.25">
      <c r="A674" s="80"/>
    </row>
    <row r="675" spans="1:1" s="37" customFormat="1" ht="15" customHeight="1" x14ac:dyDescent="0.25">
      <c r="A675" s="80"/>
    </row>
    <row r="676" spans="1:1" s="37" customFormat="1" ht="15" customHeight="1" x14ac:dyDescent="0.25">
      <c r="A676" s="80"/>
    </row>
    <row r="677" spans="1:1" s="37" customFormat="1" ht="15" customHeight="1" x14ac:dyDescent="0.25">
      <c r="A677" s="80"/>
    </row>
    <row r="678" spans="1:1" s="37" customFormat="1" ht="15" customHeight="1" x14ac:dyDescent="0.25">
      <c r="A678" s="80"/>
    </row>
    <row r="679" spans="1:1" s="37" customFormat="1" ht="15" customHeight="1" x14ac:dyDescent="0.25">
      <c r="A679" s="80"/>
    </row>
    <row r="680" spans="1:1" s="37" customFormat="1" ht="15" customHeight="1" x14ac:dyDescent="0.25">
      <c r="A680" s="80"/>
    </row>
    <row r="681" spans="1:1" s="37" customFormat="1" ht="15" customHeight="1" x14ac:dyDescent="0.25">
      <c r="A681" s="80"/>
    </row>
    <row r="682" spans="1:1" s="37" customFormat="1" ht="15" customHeight="1" x14ac:dyDescent="0.25">
      <c r="A682" s="80"/>
    </row>
    <row r="683" spans="1:1" s="37" customFormat="1" ht="15" customHeight="1" x14ac:dyDescent="0.25">
      <c r="A683" s="80"/>
    </row>
    <row r="684" spans="1:1" s="37" customFormat="1" ht="15" customHeight="1" x14ac:dyDescent="0.25">
      <c r="A684" s="80"/>
    </row>
    <row r="685" spans="1:1" s="37" customFormat="1" ht="15" customHeight="1" x14ac:dyDescent="0.25">
      <c r="A685" s="80"/>
    </row>
    <row r="686" spans="1:1" s="37" customFormat="1" ht="15" customHeight="1" x14ac:dyDescent="0.25">
      <c r="A686" s="80"/>
    </row>
    <row r="687" spans="1:1" s="37" customFormat="1" ht="15" customHeight="1" x14ac:dyDescent="0.25">
      <c r="A687" s="80"/>
    </row>
    <row r="688" spans="1:1" s="37" customFormat="1" ht="15" customHeight="1" x14ac:dyDescent="0.25">
      <c r="A688" s="80"/>
    </row>
    <row r="689" spans="1:1" s="37" customFormat="1" ht="15" customHeight="1" x14ac:dyDescent="0.25">
      <c r="A689" s="80"/>
    </row>
    <row r="690" spans="1:1" s="37" customFormat="1" ht="15" customHeight="1" x14ac:dyDescent="0.25">
      <c r="A690" s="80"/>
    </row>
    <row r="691" spans="1:1" s="37" customFormat="1" ht="15" customHeight="1" x14ac:dyDescent="0.25">
      <c r="A691" s="80"/>
    </row>
    <row r="692" spans="1:1" s="37" customFormat="1" ht="15" customHeight="1" x14ac:dyDescent="0.25">
      <c r="A692" s="80"/>
    </row>
    <row r="693" spans="1:1" s="37" customFormat="1" ht="15" customHeight="1" x14ac:dyDescent="0.25">
      <c r="A693" s="80"/>
    </row>
    <row r="694" spans="1:1" s="37" customFormat="1" ht="15" customHeight="1" x14ac:dyDescent="0.25">
      <c r="A694" s="80"/>
    </row>
    <row r="695" spans="1:1" s="37" customFormat="1" ht="15" customHeight="1" x14ac:dyDescent="0.25">
      <c r="A695" s="80"/>
    </row>
    <row r="696" spans="1:1" s="37" customFormat="1" ht="15" customHeight="1" x14ac:dyDescent="0.25">
      <c r="A696" s="80"/>
    </row>
    <row r="697" spans="1:1" s="37" customFormat="1" ht="15" customHeight="1" x14ac:dyDescent="0.25">
      <c r="A697" s="80"/>
    </row>
    <row r="698" spans="1:1" s="37" customFormat="1" ht="15" customHeight="1" x14ac:dyDescent="0.25">
      <c r="A698" s="80"/>
    </row>
    <row r="699" spans="1:1" s="37" customFormat="1" ht="15" customHeight="1" x14ac:dyDescent="0.25">
      <c r="A699" s="80"/>
    </row>
    <row r="700" spans="1:1" s="37" customFormat="1" ht="15" customHeight="1" x14ac:dyDescent="0.25">
      <c r="A700" s="80"/>
    </row>
    <row r="701" spans="1:1" s="37" customFormat="1" ht="15" customHeight="1" x14ac:dyDescent="0.25">
      <c r="A701" s="80"/>
    </row>
    <row r="702" spans="1:1" s="37" customFormat="1" ht="15" customHeight="1" x14ac:dyDescent="0.25">
      <c r="A702" s="80"/>
    </row>
    <row r="703" spans="1:1" s="37" customFormat="1" ht="15" customHeight="1" x14ac:dyDescent="0.25">
      <c r="A703" s="80"/>
    </row>
    <row r="704" spans="1:1" s="37" customFormat="1" ht="15" customHeight="1" x14ac:dyDescent="0.25">
      <c r="A704" s="80"/>
    </row>
    <row r="705" spans="1:1" s="37" customFormat="1" ht="15" customHeight="1" x14ac:dyDescent="0.25">
      <c r="A705" s="80"/>
    </row>
    <row r="706" spans="1:1" s="37" customFormat="1" ht="15" customHeight="1" x14ac:dyDescent="0.25">
      <c r="A706" s="80"/>
    </row>
    <row r="707" spans="1:1" s="37" customFormat="1" ht="15" customHeight="1" x14ac:dyDescent="0.25">
      <c r="A707" s="80"/>
    </row>
    <row r="708" spans="1:1" s="37" customFormat="1" ht="15" customHeight="1" x14ac:dyDescent="0.25">
      <c r="A708" s="80"/>
    </row>
    <row r="709" spans="1:1" s="37" customFormat="1" ht="15" customHeight="1" x14ac:dyDescent="0.25">
      <c r="A709" s="80"/>
    </row>
    <row r="710" spans="1:1" s="37" customFormat="1" ht="15" customHeight="1" x14ac:dyDescent="0.25">
      <c r="A710" s="80"/>
    </row>
    <row r="711" spans="1:1" s="37" customFormat="1" ht="15" customHeight="1" x14ac:dyDescent="0.25">
      <c r="A711" s="80"/>
    </row>
    <row r="712" spans="1:1" s="37" customFormat="1" ht="15" customHeight="1" x14ac:dyDescent="0.25">
      <c r="A712" s="80"/>
    </row>
    <row r="713" spans="1:1" s="37" customFormat="1" ht="15" customHeight="1" x14ac:dyDescent="0.25">
      <c r="A713" s="80"/>
    </row>
    <row r="714" spans="1:1" s="37" customFormat="1" ht="15" customHeight="1" x14ac:dyDescent="0.25">
      <c r="A714" s="80"/>
    </row>
    <row r="715" spans="1:1" s="37" customFormat="1" ht="15" customHeight="1" x14ac:dyDescent="0.25">
      <c r="A715" s="80"/>
    </row>
    <row r="716" spans="1:1" s="37" customFormat="1" ht="15" customHeight="1" x14ac:dyDescent="0.25">
      <c r="A716" s="80"/>
    </row>
    <row r="717" spans="1:1" s="37" customFormat="1" ht="15" customHeight="1" x14ac:dyDescent="0.25">
      <c r="A717" s="80"/>
    </row>
    <row r="718" spans="1:1" s="37" customFormat="1" ht="15" customHeight="1" x14ac:dyDescent="0.25">
      <c r="A718" s="80"/>
    </row>
    <row r="719" spans="1:1" s="37" customFormat="1" ht="15" customHeight="1" x14ac:dyDescent="0.25">
      <c r="A719" s="80"/>
    </row>
    <row r="720" spans="1:1" s="37" customFormat="1" ht="15" customHeight="1" x14ac:dyDescent="0.25">
      <c r="A720" s="80"/>
    </row>
    <row r="721" spans="1:1" s="37" customFormat="1" ht="15" customHeight="1" x14ac:dyDescent="0.25">
      <c r="A721" s="80"/>
    </row>
    <row r="722" spans="1:1" s="37" customFormat="1" ht="15" customHeight="1" x14ac:dyDescent="0.25">
      <c r="A722" s="80"/>
    </row>
    <row r="723" spans="1:1" s="37" customFormat="1" ht="15" customHeight="1" x14ac:dyDescent="0.25">
      <c r="A723" s="80"/>
    </row>
    <row r="724" spans="1:1" s="37" customFormat="1" ht="15" customHeight="1" x14ac:dyDescent="0.25">
      <c r="A724" s="80"/>
    </row>
    <row r="725" spans="1:1" s="37" customFormat="1" ht="15" customHeight="1" x14ac:dyDescent="0.25">
      <c r="A725" s="80"/>
    </row>
    <row r="726" spans="1:1" s="37" customFormat="1" ht="15" customHeight="1" x14ac:dyDescent="0.25">
      <c r="A726" s="80"/>
    </row>
    <row r="727" spans="1:1" s="37" customFormat="1" ht="15" customHeight="1" x14ac:dyDescent="0.25">
      <c r="A727" s="80"/>
    </row>
    <row r="728" spans="1:1" s="37" customFormat="1" ht="15" customHeight="1" x14ac:dyDescent="0.25">
      <c r="A728" s="80"/>
    </row>
    <row r="729" spans="1:1" s="37" customFormat="1" ht="15" customHeight="1" x14ac:dyDescent="0.25">
      <c r="A729" s="80"/>
    </row>
    <row r="730" spans="1:1" s="37" customFormat="1" ht="15" customHeight="1" x14ac:dyDescent="0.25">
      <c r="A730" s="80"/>
    </row>
    <row r="731" spans="1:1" s="37" customFormat="1" ht="15" customHeight="1" x14ac:dyDescent="0.25">
      <c r="A731" s="80"/>
    </row>
    <row r="732" spans="1:1" s="37" customFormat="1" ht="15" customHeight="1" x14ac:dyDescent="0.25">
      <c r="A732" s="80"/>
    </row>
    <row r="733" spans="1:1" s="37" customFormat="1" ht="15" customHeight="1" x14ac:dyDescent="0.25">
      <c r="A733" s="80"/>
    </row>
    <row r="734" spans="1:1" s="37" customFormat="1" ht="15" customHeight="1" x14ac:dyDescent="0.25">
      <c r="A734" s="80"/>
    </row>
    <row r="735" spans="1:1" s="37" customFormat="1" ht="15" customHeight="1" x14ac:dyDescent="0.25">
      <c r="A735" s="80"/>
    </row>
    <row r="736" spans="1:1" s="37" customFormat="1" ht="15" customHeight="1" x14ac:dyDescent="0.25">
      <c r="A736" s="80"/>
    </row>
    <row r="737" spans="1:1" s="37" customFormat="1" ht="15" customHeight="1" x14ac:dyDescent="0.25">
      <c r="A737" s="80"/>
    </row>
    <row r="738" spans="1:1" s="37" customFormat="1" ht="15" customHeight="1" x14ac:dyDescent="0.25">
      <c r="A738" s="80"/>
    </row>
    <row r="739" spans="1:1" s="37" customFormat="1" ht="15" customHeight="1" x14ac:dyDescent="0.25">
      <c r="A739" s="80"/>
    </row>
    <row r="740" spans="1:1" s="37" customFormat="1" ht="15" customHeight="1" x14ac:dyDescent="0.25">
      <c r="A740" s="80"/>
    </row>
    <row r="741" spans="1:1" s="37" customFormat="1" ht="15" customHeight="1" x14ac:dyDescent="0.25">
      <c r="A741" s="80"/>
    </row>
    <row r="742" spans="1:1" s="37" customFormat="1" ht="15" customHeight="1" x14ac:dyDescent="0.25">
      <c r="A742" s="80"/>
    </row>
    <row r="743" spans="1:1" s="37" customFormat="1" ht="15" customHeight="1" x14ac:dyDescent="0.25">
      <c r="A743" s="80"/>
    </row>
    <row r="744" spans="1:1" s="37" customFormat="1" ht="15" customHeight="1" x14ac:dyDescent="0.25">
      <c r="A744" s="80"/>
    </row>
    <row r="745" spans="1:1" s="37" customFormat="1" ht="15" customHeight="1" x14ac:dyDescent="0.25">
      <c r="A745" s="80"/>
    </row>
    <row r="746" spans="1:1" s="37" customFormat="1" ht="15" customHeight="1" x14ac:dyDescent="0.25">
      <c r="A746" s="80"/>
    </row>
    <row r="747" spans="1:1" s="37" customFormat="1" ht="15" customHeight="1" x14ac:dyDescent="0.25">
      <c r="A747" s="80"/>
    </row>
    <row r="748" spans="1:1" s="37" customFormat="1" ht="15" customHeight="1" x14ac:dyDescent="0.25">
      <c r="A748" s="80"/>
    </row>
    <row r="749" spans="1:1" s="37" customFormat="1" ht="15" customHeight="1" x14ac:dyDescent="0.25">
      <c r="A749" s="80"/>
    </row>
    <row r="750" spans="1:1" s="37" customFormat="1" ht="15" customHeight="1" x14ac:dyDescent="0.25">
      <c r="A750" s="80"/>
    </row>
    <row r="751" spans="1:1" s="37" customFormat="1" ht="15" customHeight="1" x14ac:dyDescent="0.25">
      <c r="A751" s="80"/>
    </row>
    <row r="752" spans="1:1" s="37" customFormat="1" ht="15" customHeight="1" x14ac:dyDescent="0.25">
      <c r="A752" s="80"/>
    </row>
    <row r="753" spans="1:1" s="37" customFormat="1" ht="15" customHeight="1" x14ac:dyDescent="0.25">
      <c r="A753" s="80"/>
    </row>
    <row r="754" spans="1:1" s="37" customFormat="1" ht="15" customHeight="1" x14ac:dyDescent="0.25">
      <c r="A754" s="80"/>
    </row>
    <row r="755" spans="1:1" s="37" customFormat="1" ht="15" customHeight="1" x14ac:dyDescent="0.25">
      <c r="A755" s="80"/>
    </row>
    <row r="756" spans="1:1" s="37" customFormat="1" ht="15" customHeight="1" x14ac:dyDescent="0.25">
      <c r="A756" s="80"/>
    </row>
    <row r="757" spans="1:1" s="37" customFormat="1" ht="15" customHeight="1" x14ac:dyDescent="0.25">
      <c r="A757" s="80"/>
    </row>
    <row r="758" spans="1:1" s="37" customFormat="1" ht="15" customHeight="1" x14ac:dyDescent="0.25">
      <c r="A758" s="80"/>
    </row>
    <row r="759" spans="1:1" s="37" customFormat="1" ht="15" customHeight="1" x14ac:dyDescent="0.25">
      <c r="A759" s="80"/>
    </row>
    <row r="760" spans="1:1" s="37" customFormat="1" ht="15" customHeight="1" x14ac:dyDescent="0.25">
      <c r="A760" s="80"/>
    </row>
    <row r="761" spans="1:1" s="37" customFormat="1" ht="15" customHeight="1" x14ac:dyDescent="0.25">
      <c r="A761" s="80"/>
    </row>
    <row r="762" spans="1:1" s="37" customFormat="1" ht="15" customHeight="1" x14ac:dyDescent="0.25">
      <c r="A762" s="80"/>
    </row>
    <row r="763" spans="1:1" s="37" customFormat="1" ht="15" customHeight="1" x14ac:dyDescent="0.25">
      <c r="A763" s="80"/>
    </row>
    <row r="764" spans="1:1" s="37" customFormat="1" ht="15" customHeight="1" x14ac:dyDescent="0.25">
      <c r="A764" s="80"/>
    </row>
    <row r="765" spans="1:1" s="37" customFormat="1" ht="15" customHeight="1" x14ac:dyDescent="0.25">
      <c r="A765" s="80"/>
    </row>
    <row r="766" spans="1:1" s="37" customFormat="1" ht="15" customHeight="1" x14ac:dyDescent="0.25">
      <c r="A766" s="80"/>
    </row>
    <row r="767" spans="1:1" s="37" customFormat="1" ht="15" customHeight="1" x14ac:dyDescent="0.25">
      <c r="A767" s="80"/>
    </row>
    <row r="768" spans="1:1" s="37" customFormat="1" ht="15" customHeight="1" x14ac:dyDescent="0.25">
      <c r="A768" s="80"/>
    </row>
    <row r="769" spans="1:10" s="37" customFormat="1" ht="15" customHeight="1" x14ac:dyDescent="0.25">
      <c r="A769" s="80"/>
    </row>
    <row r="770" spans="1:10" s="37" customFormat="1" ht="15" customHeight="1" x14ac:dyDescent="0.25">
      <c r="A770" s="80"/>
    </row>
    <row r="771" spans="1:10" s="37" customFormat="1" ht="15" customHeight="1" x14ac:dyDescent="0.25">
      <c r="A771" s="80"/>
    </row>
    <row r="772" spans="1:10" ht="15" customHeight="1" x14ac:dyDescent="0.3">
      <c r="A772" s="80"/>
      <c r="B772" s="37"/>
      <c r="C772" s="37"/>
      <c r="D772" s="37"/>
      <c r="E772" s="37"/>
      <c r="F772" s="37"/>
      <c r="G772" s="37"/>
      <c r="H772" s="37"/>
      <c r="I772" s="37"/>
      <c r="J772" s="37"/>
    </row>
    <row r="773" spans="1:10" ht="15" customHeight="1" x14ac:dyDescent="0.3">
      <c r="A773" s="80"/>
      <c r="B773" s="37"/>
      <c r="C773" s="37"/>
      <c r="D773" s="37"/>
      <c r="E773" s="37"/>
      <c r="F773" s="37"/>
      <c r="G773" s="37"/>
      <c r="H773" s="37"/>
      <c r="I773" s="37"/>
      <c r="J773" s="37"/>
    </row>
    <row r="774" spans="1:10" ht="15" customHeight="1" x14ac:dyDescent="0.3">
      <c r="A774" s="80"/>
      <c r="B774" s="37"/>
      <c r="C774" s="37"/>
      <c r="D774" s="37"/>
      <c r="E774" s="37"/>
      <c r="F774" s="37"/>
      <c r="G774" s="37"/>
      <c r="H774" s="37"/>
      <c r="I774" s="37"/>
      <c r="J774" s="37"/>
    </row>
    <row r="775" spans="1:10" ht="15" customHeight="1" x14ac:dyDescent="0.3">
      <c r="A775" s="80"/>
      <c r="B775" s="37"/>
      <c r="C775" s="37"/>
      <c r="D775" s="37"/>
      <c r="E775" s="37"/>
      <c r="F775" s="37"/>
      <c r="G775" s="37"/>
      <c r="H775" s="37"/>
      <c r="I775" s="37"/>
      <c r="J775" s="37"/>
    </row>
    <row r="776" spans="1:10" ht="15" customHeight="1" x14ac:dyDescent="0.3">
      <c r="A776" s="80"/>
      <c r="B776" s="37"/>
      <c r="C776" s="37"/>
      <c r="D776" s="37"/>
      <c r="E776" s="37"/>
      <c r="F776" s="37"/>
      <c r="G776" s="37"/>
      <c r="H776" s="37"/>
      <c r="I776" s="37"/>
      <c r="J776" s="37"/>
    </row>
    <row r="777" spans="1:10" ht="15" customHeight="1" x14ac:dyDescent="0.3">
      <c r="A777" s="80"/>
      <c r="B777" s="37"/>
      <c r="C777" s="37"/>
      <c r="D777" s="37"/>
      <c r="E777" s="37"/>
      <c r="F777" s="37"/>
      <c r="G777" s="37"/>
      <c r="H777" s="37"/>
      <c r="I777" s="37"/>
      <c r="J777" s="37"/>
    </row>
    <row r="778" spans="1:10" ht="15" customHeight="1" x14ac:dyDescent="0.3">
      <c r="A778" s="80"/>
      <c r="B778" s="37"/>
      <c r="C778" s="37"/>
      <c r="D778" s="37"/>
      <c r="E778" s="37"/>
      <c r="F778" s="37"/>
      <c r="G778" s="37"/>
      <c r="H778" s="37"/>
      <c r="I778" s="37"/>
      <c r="J778" s="37"/>
    </row>
    <row r="779" spans="1:10" ht="15" customHeight="1" x14ac:dyDescent="0.3">
      <c r="A779" s="80"/>
      <c r="B779" s="37"/>
      <c r="C779" s="37"/>
      <c r="D779" s="37"/>
      <c r="E779" s="37"/>
      <c r="F779" s="37"/>
      <c r="G779" s="37"/>
      <c r="H779" s="37"/>
      <c r="I779" s="37"/>
      <c r="J779" s="37"/>
    </row>
    <row r="780" spans="1:10" ht="15" customHeight="1" x14ac:dyDescent="0.3">
      <c r="A780" s="80"/>
      <c r="B780" s="37"/>
      <c r="C780" s="37"/>
      <c r="D780" s="37"/>
      <c r="E780" s="37"/>
      <c r="F780" s="37"/>
      <c r="G780" s="37"/>
      <c r="H780" s="37"/>
      <c r="I780" s="37"/>
      <c r="J780" s="37"/>
    </row>
    <row r="781" spans="1:10" ht="15" customHeight="1" x14ac:dyDescent="0.3">
      <c r="A781" s="80"/>
      <c r="B781" s="37"/>
      <c r="C781" s="37"/>
      <c r="D781" s="37"/>
      <c r="E781" s="37"/>
      <c r="F781" s="37"/>
      <c r="G781" s="37"/>
      <c r="H781" s="37"/>
      <c r="I781" s="37"/>
      <c r="J781" s="37"/>
    </row>
    <row r="782" spans="1:10" ht="15" customHeight="1" x14ac:dyDescent="0.3">
      <c r="A782" s="80"/>
      <c r="B782" s="37"/>
      <c r="C782" s="37"/>
      <c r="D782" s="37"/>
      <c r="E782" s="37"/>
      <c r="F782" s="37"/>
      <c r="G782" s="37"/>
      <c r="H782" s="37"/>
      <c r="I782" s="37"/>
      <c r="J782" s="37"/>
    </row>
    <row r="783" spans="1:10" ht="15" customHeight="1" x14ac:dyDescent="0.3">
      <c r="A783" s="80"/>
      <c r="B783" s="37"/>
      <c r="C783" s="37"/>
      <c r="D783" s="37"/>
      <c r="E783" s="37"/>
      <c r="F783" s="37"/>
      <c r="G783" s="37"/>
      <c r="H783" s="37"/>
      <c r="I783" s="37"/>
      <c r="J783" s="37"/>
    </row>
    <row r="784" spans="1:10" ht="15" customHeight="1" x14ac:dyDescent="0.3">
      <c r="A784" s="80"/>
      <c r="B784" s="37"/>
      <c r="C784" s="37"/>
      <c r="D784" s="37"/>
      <c r="E784" s="37"/>
      <c r="F784" s="37"/>
      <c r="G784" s="37"/>
      <c r="H784" s="37"/>
      <c r="I784" s="37"/>
      <c r="J784" s="37"/>
    </row>
    <row r="785" spans="1:10" ht="15" customHeight="1" x14ac:dyDescent="0.3">
      <c r="A785" s="80"/>
      <c r="B785" s="37"/>
      <c r="C785" s="37"/>
      <c r="D785" s="37"/>
      <c r="E785" s="37"/>
      <c r="F785" s="37"/>
      <c r="G785" s="37"/>
      <c r="H785" s="37"/>
      <c r="I785" s="37"/>
      <c r="J785" s="37"/>
    </row>
    <row r="786" spans="1:10" ht="15" customHeight="1" x14ac:dyDescent="0.3">
      <c r="A786" s="80"/>
      <c r="B786" s="37"/>
      <c r="C786" s="37"/>
      <c r="D786" s="37"/>
      <c r="E786" s="37"/>
      <c r="F786" s="37"/>
      <c r="G786" s="37"/>
      <c r="H786" s="37"/>
      <c r="I786" s="37"/>
      <c r="J786" s="37"/>
    </row>
    <row r="787" spans="1:10" x14ac:dyDescent="0.3">
      <c r="A787" s="80"/>
      <c r="B787" s="37"/>
      <c r="C787" s="37"/>
      <c r="D787" s="37"/>
      <c r="E787" s="37"/>
      <c r="F787" s="37"/>
      <c r="G787" s="37"/>
      <c r="H787" s="37"/>
      <c r="I787" s="37"/>
      <c r="J787" s="37"/>
    </row>
    <row r="788" spans="1:10" x14ac:dyDescent="0.3">
      <c r="A788" s="80"/>
      <c r="B788" s="37"/>
      <c r="C788" s="37"/>
      <c r="D788" s="37"/>
      <c r="E788" s="37"/>
      <c r="F788" s="37"/>
      <c r="G788" s="37"/>
      <c r="H788" s="37"/>
      <c r="I788" s="37"/>
      <c r="J788" s="37"/>
    </row>
    <row r="789" spans="1:10" x14ac:dyDescent="0.3">
      <c r="A789" s="80"/>
      <c r="B789" s="37"/>
      <c r="C789" s="37"/>
      <c r="D789" s="37"/>
      <c r="E789" s="37"/>
      <c r="F789" s="37"/>
      <c r="G789" s="37"/>
      <c r="H789" s="37"/>
      <c r="I789" s="37"/>
      <c r="J789" s="37"/>
    </row>
    <row r="790" spans="1:10" x14ac:dyDescent="0.3">
      <c r="A790" s="80"/>
      <c r="B790" s="37"/>
      <c r="C790" s="37"/>
      <c r="D790" s="37"/>
      <c r="E790" s="37"/>
      <c r="F790" s="37"/>
      <c r="G790" s="37"/>
      <c r="H790" s="37"/>
      <c r="I790" s="37"/>
      <c r="J790" s="37"/>
    </row>
    <row r="791" spans="1:10" x14ac:dyDescent="0.3">
      <c r="A791" s="80"/>
      <c r="B791" s="37"/>
      <c r="C791" s="37"/>
      <c r="D791" s="37"/>
      <c r="E791" s="37"/>
      <c r="F791" s="37"/>
      <c r="G791" s="37"/>
      <c r="H791" s="37"/>
      <c r="I791" s="37"/>
      <c r="J791" s="37"/>
    </row>
    <row r="792" spans="1:10" x14ac:dyDescent="0.3">
      <c r="A792" s="80"/>
      <c r="B792" s="37"/>
      <c r="C792" s="37"/>
      <c r="D792" s="37"/>
      <c r="E792" s="37"/>
      <c r="F792" s="37"/>
      <c r="G792" s="37"/>
      <c r="H792" s="37"/>
      <c r="I792" s="37"/>
      <c r="J792" s="37"/>
    </row>
    <row r="793" spans="1:10" x14ac:dyDescent="0.3">
      <c r="A793" s="80"/>
      <c r="B793" s="37"/>
      <c r="C793" s="37"/>
      <c r="D793" s="37"/>
      <c r="E793" s="37"/>
      <c r="F793" s="37"/>
      <c r="G793" s="37"/>
      <c r="H793" s="37"/>
      <c r="I793" s="37"/>
      <c r="J793" s="37"/>
    </row>
    <row r="794" spans="1:10" x14ac:dyDescent="0.3">
      <c r="A794" s="80"/>
      <c r="B794" s="37"/>
      <c r="C794" s="37"/>
      <c r="D794" s="37"/>
      <c r="E794" s="37"/>
      <c r="F794" s="37"/>
      <c r="G794" s="37"/>
      <c r="H794" s="37"/>
      <c r="I794" s="37"/>
      <c r="J794" s="37"/>
    </row>
    <row r="795" spans="1:10" x14ac:dyDescent="0.3">
      <c r="A795" s="80"/>
      <c r="B795" s="37"/>
      <c r="C795" s="37"/>
      <c r="D795" s="37"/>
      <c r="E795" s="37"/>
      <c r="F795" s="37"/>
      <c r="G795" s="37"/>
      <c r="H795" s="37"/>
      <c r="I795" s="37"/>
      <c r="J795" s="37"/>
    </row>
    <row r="796" spans="1:10" x14ac:dyDescent="0.3">
      <c r="A796" s="80"/>
      <c r="B796" s="37"/>
      <c r="C796" s="37"/>
      <c r="D796" s="37"/>
      <c r="E796" s="37"/>
      <c r="F796" s="37"/>
      <c r="G796" s="37"/>
      <c r="H796" s="37"/>
      <c r="I796" s="37"/>
      <c r="J796" s="37"/>
    </row>
    <row r="797" spans="1:10" x14ac:dyDescent="0.3">
      <c r="A797" s="80"/>
      <c r="B797" s="37"/>
      <c r="C797" s="37"/>
      <c r="D797" s="37"/>
      <c r="E797" s="37"/>
      <c r="F797" s="37"/>
      <c r="G797" s="37"/>
      <c r="H797" s="37"/>
      <c r="I797" s="37"/>
      <c r="J797" s="37"/>
    </row>
    <row r="798" spans="1:10" x14ac:dyDescent="0.3">
      <c r="A798" s="80"/>
      <c r="B798" s="37"/>
      <c r="C798" s="37"/>
      <c r="D798" s="37"/>
      <c r="E798" s="37"/>
      <c r="F798" s="37"/>
      <c r="G798" s="37"/>
      <c r="H798" s="37"/>
      <c r="I798" s="37"/>
      <c r="J798" s="37"/>
    </row>
    <row r="799" spans="1:10" x14ac:dyDescent="0.3">
      <c r="A799" s="80"/>
      <c r="B799" s="37"/>
      <c r="C799" s="37"/>
      <c r="D799" s="37"/>
      <c r="E799" s="37"/>
      <c r="F799" s="37"/>
      <c r="G799" s="37"/>
      <c r="H799" s="37"/>
      <c r="I799" s="37"/>
      <c r="J799" s="37"/>
    </row>
    <row r="800" spans="1:10" x14ac:dyDescent="0.3">
      <c r="A800" s="80"/>
      <c r="B800" s="37"/>
      <c r="C800" s="37"/>
      <c r="D800" s="37"/>
      <c r="E800" s="37"/>
      <c r="F800" s="37"/>
      <c r="G800" s="37"/>
      <c r="H800" s="37"/>
      <c r="I800" s="37"/>
      <c r="J800" s="37"/>
    </row>
    <row r="801" spans="1:10" x14ac:dyDescent="0.3">
      <c r="A801" s="80"/>
      <c r="B801" s="37"/>
      <c r="C801" s="37"/>
      <c r="D801" s="37"/>
      <c r="E801" s="37"/>
      <c r="F801" s="37"/>
      <c r="G801" s="37"/>
      <c r="H801" s="37"/>
      <c r="I801" s="37"/>
      <c r="J801" s="37"/>
    </row>
    <row r="802" spans="1:10" x14ac:dyDescent="0.3">
      <c r="A802" s="80"/>
      <c r="B802" s="37"/>
      <c r="C802" s="37"/>
      <c r="D802" s="37"/>
      <c r="E802" s="37"/>
      <c r="F802" s="37"/>
      <c r="G802" s="37"/>
      <c r="H802" s="37"/>
      <c r="I802" s="37"/>
      <c r="J802" s="37"/>
    </row>
    <row r="803" spans="1:10" x14ac:dyDescent="0.3">
      <c r="A803" s="80"/>
      <c r="B803" s="37"/>
      <c r="C803" s="37"/>
      <c r="D803" s="37"/>
      <c r="E803" s="37"/>
      <c r="F803" s="37"/>
      <c r="G803" s="37"/>
      <c r="H803" s="37"/>
      <c r="I803" s="37"/>
      <c r="J803" s="37"/>
    </row>
    <row r="804" spans="1:10" x14ac:dyDescent="0.3">
      <c r="A804" s="80"/>
      <c r="B804" s="37"/>
      <c r="C804" s="37"/>
      <c r="D804" s="37"/>
      <c r="E804" s="37"/>
      <c r="F804" s="37"/>
      <c r="G804" s="37"/>
      <c r="H804" s="37"/>
      <c r="I804" s="37"/>
      <c r="J804" s="37"/>
    </row>
    <row r="805" spans="1:10" x14ac:dyDescent="0.3">
      <c r="A805" s="130"/>
      <c r="B805" s="37"/>
      <c r="C805" s="37"/>
      <c r="D805" s="37"/>
      <c r="E805" s="37"/>
      <c r="F805" s="37"/>
      <c r="G805" s="37"/>
      <c r="H805" s="37"/>
      <c r="I805" s="37"/>
      <c r="J805" s="37"/>
    </row>
    <row r="806" spans="1:10" x14ac:dyDescent="0.3">
      <c r="A806" s="130"/>
      <c r="B806" s="37"/>
      <c r="C806" s="37"/>
      <c r="D806" s="37"/>
      <c r="E806" s="37"/>
      <c r="F806" s="37"/>
      <c r="G806" s="37"/>
      <c r="H806" s="37"/>
      <c r="I806" s="37"/>
      <c r="J806" s="37"/>
    </row>
    <row r="807" spans="1:10" x14ac:dyDescent="0.3">
      <c r="A807" s="130"/>
      <c r="B807" s="37"/>
      <c r="C807" s="37"/>
      <c r="D807" s="37"/>
      <c r="E807" s="37"/>
      <c r="F807" s="37"/>
      <c r="G807" s="37"/>
      <c r="H807" s="37"/>
      <c r="I807" s="37"/>
      <c r="J807" s="37"/>
    </row>
    <row r="808" spans="1:10" x14ac:dyDescent="0.3">
      <c r="A808" s="130"/>
      <c r="B808" s="37"/>
      <c r="C808" s="37"/>
      <c r="D808" s="37"/>
      <c r="E808" s="37"/>
      <c r="F808" s="37"/>
      <c r="G808" s="37"/>
      <c r="H808" s="37"/>
      <c r="I808" s="37"/>
      <c r="J808" s="37"/>
    </row>
    <row r="809" spans="1:10" x14ac:dyDescent="0.3">
      <c r="A809" s="130"/>
      <c r="B809" s="37"/>
      <c r="C809" s="37"/>
      <c r="D809" s="37"/>
      <c r="E809" s="37"/>
      <c r="F809" s="37"/>
      <c r="G809" s="37"/>
      <c r="H809" s="37"/>
      <c r="I809" s="37"/>
      <c r="J809" s="37"/>
    </row>
    <row r="810" spans="1:10" x14ac:dyDescent="0.3">
      <c r="A810" s="130"/>
      <c r="B810" s="37"/>
      <c r="C810" s="37"/>
      <c r="D810" s="37"/>
      <c r="E810" s="37"/>
      <c r="F810" s="37"/>
      <c r="G810" s="37"/>
      <c r="H810" s="37"/>
      <c r="I810" s="37"/>
      <c r="J810" s="37"/>
    </row>
    <row r="811" spans="1:10" x14ac:dyDescent="0.3">
      <c r="A811" s="130"/>
      <c r="B811" s="37"/>
      <c r="C811" s="37"/>
      <c r="D811" s="37"/>
      <c r="E811" s="37"/>
      <c r="F811" s="37"/>
      <c r="G811" s="37"/>
      <c r="H811" s="37"/>
      <c r="I811" s="37"/>
      <c r="J811" s="37"/>
    </row>
    <row r="812" spans="1:10" x14ac:dyDescent="0.3">
      <c r="A812" s="130"/>
      <c r="B812" s="37"/>
      <c r="C812" s="37"/>
      <c r="D812" s="37"/>
      <c r="E812" s="37"/>
      <c r="F812" s="37"/>
      <c r="G812" s="37"/>
      <c r="H812" s="37"/>
      <c r="I812" s="37"/>
      <c r="J812" s="37"/>
    </row>
    <row r="813" spans="1:10" x14ac:dyDescent="0.3">
      <c r="A813" s="130"/>
      <c r="B813" s="37"/>
      <c r="C813" s="37"/>
      <c r="D813" s="37"/>
      <c r="E813" s="37"/>
      <c r="F813" s="37"/>
      <c r="G813" s="37"/>
      <c r="H813" s="37"/>
      <c r="I813" s="37"/>
      <c r="J813" s="37"/>
    </row>
    <row r="814" spans="1:10" x14ac:dyDescent="0.3">
      <c r="A814" s="130"/>
      <c r="B814" s="37"/>
      <c r="C814" s="37"/>
      <c r="D814" s="37"/>
      <c r="E814" s="37"/>
      <c r="F814" s="37"/>
      <c r="G814" s="37"/>
      <c r="H814" s="37"/>
      <c r="I814" s="37"/>
      <c r="J814" s="37"/>
    </row>
    <row r="815" spans="1:10" x14ac:dyDescent="0.3">
      <c r="A815" s="130"/>
      <c r="B815" s="37"/>
      <c r="C815" s="37"/>
      <c r="D815" s="37"/>
      <c r="E815" s="37"/>
      <c r="F815" s="37"/>
      <c r="G815" s="37"/>
      <c r="H815" s="37"/>
      <c r="I815" s="37"/>
      <c r="J815" s="37"/>
    </row>
    <row r="816" spans="1:10" x14ac:dyDescent="0.3">
      <c r="A816" s="130"/>
      <c r="B816" s="37"/>
      <c r="C816" s="37"/>
      <c r="D816" s="37"/>
      <c r="E816" s="37"/>
      <c r="F816" s="37"/>
      <c r="G816" s="37"/>
      <c r="H816" s="37"/>
      <c r="I816" s="37"/>
      <c r="J816" s="37"/>
    </row>
    <row r="817" spans="1:10" x14ac:dyDescent="0.3">
      <c r="A817" s="130"/>
      <c r="B817" s="37"/>
      <c r="C817" s="37"/>
      <c r="D817" s="37"/>
      <c r="E817" s="37"/>
      <c r="F817" s="37"/>
      <c r="G817" s="37"/>
      <c r="H817" s="37"/>
      <c r="I817" s="37"/>
      <c r="J817" s="37"/>
    </row>
    <row r="818" spans="1:10" x14ac:dyDescent="0.3">
      <c r="A818" s="130"/>
      <c r="B818" s="37"/>
      <c r="C818" s="37"/>
      <c r="D818" s="37"/>
      <c r="E818" s="37"/>
      <c r="F818" s="37"/>
      <c r="G818" s="37"/>
      <c r="H818" s="37"/>
      <c r="I818" s="37"/>
      <c r="J818" s="37"/>
    </row>
    <row r="819" spans="1:10" x14ac:dyDescent="0.3">
      <c r="A819" s="130"/>
      <c r="B819" s="37"/>
      <c r="C819" s="37"/>
      <c r="D819" s="37"/>
      <c r="E819" s="37"/>
      <c r="F819" s="37"/>
      <c r="G819" s="37"/>
      <c r="H819" s="37"/>
      <c r="I819" s="37"/>
      <c r="J819" s="37"/>
    </row>
    <row r="820" spans="1:10" x14ac:dyDescent="0.3">
      <c r="A820" s="130"/>
      <c r="B820" s="37"/>
      <c r="C820" s="37"/>
      <c r="D820" s="37"/>
      <c r="E820" s="37"/>
      <c r="F820" s="37"/>
      <c r="G820" s="37"/>
      <c r="H820" s="37"/>
      <c r="I820" s="37"/>
      <c r="J820" s="37"/>
    </row>
    <row r="821" spans="1:10" x14ac:dyDescent="0.3">
      <c r="A821" s="130"/>
      <c r="B821" s="37"/>
      <c r="C821" s="37"/>
      <c r="D821" s="37"/>
      <c r="E821" s="37"/>
      <c r="F821" s="37"/>
      <c r="G821" s="37"/>
      <c r="H821" s="37"/>
      <c r="I821" s="37"/>
      <c r="J821" s="37"/>
    </row>
    <row r="822" spans="1:10" x14ac:dyDescent="0.3">
      <c r="A822" s="130"/>
      <c r="B822" s="37"/>
      <c r="C822" s="37"/>
      <c r="D822" s="37"/>
      <c r="E822" s="37"/>
      <c r="F822" s="37"/>
      <c r="G822" s="37"/>
      <c r="H822" s="37"/>
      <c r="I822" s="37"/>
      <c r="J822" s="37"/>
    </row>
    <row r="823" spans="1:10" x14ac:dyDescent="0.3">
      <c r="A823" s="130"/>
      <c r="B823" s="37"/>
      <c r="C823" s="37"/>
      <c r="D823" s="37"/>
      <c r="E823" s="37"/>
      <c r="F823" s="37"/>
      <c r="G823" s="37"/>
      <c r="H823" s="37"/>
      <c r="I823" s="37"/>
      <c r="J823" s="37"/>
    </row>
    <row r="824" spans="1:10" x14ac:dyDescent="0.3">
      <c r="A824" s="130"/>
      <c r="B824" s="37"/>
      <c r="C824" s="37"/>
      <c r="D824" s="37"/>
      <c r="E824" s="37"/>
      <c r="F824" s="37"/>
      <c r="G824" s="37"/>
      <c r="H824" s="37"/>
      <c r="I824" s="37"/>
      <c r="J824" s="37"/>
    </row>
    <row r="825" spans="1:10" x14ac:dyDescent="0.3">
      <c r="A825" s="130"/>
      <c r="B825" s="37"/>
      <c r="C825" s="37"/>
      <c r="D825" s="37"/>
      <c r="E825" s="37"/>
      <c r="F825" s="37"/>
      <c r="G825" s="37"/>
      <c r="H825" s="37"/>
      <c r="I825" s="37"/>
      <c r="J825" s="37"/>
    </row>
    <row r="826" spans="1:10" x14ac:dyDescent="0.3">
      <c r="A826" s="130"/>
      <c r="B826" s="37"/>
      <c r="C826" s="37"/>
      <c r="D826" s="37"/>
      <c r="E826" s="37"/>
      <c r="F826" s="37"/>
      <c r="G826" s="37"/>
      <c r="H826" s="37"/>
      <c r="I826" s="37"/>
      <c r="J826" s="37"/>
    </row>
    <row r="827" spans="1:10" x14ac:dyDescent="0.3">
      <c r="A827" s="130"/>
      <c r="B827" s="37"/>
      <c r="C827" s="37"/>
      <c r="D827" s="37"/>
      <c r="E827" s="37"/>
      <c r="F827" s="37"/>
      <c r="G827" s="37"/>
      <c r="H827" s="37"/>
      <c r="I827" s="37"/>
      <c r="J827" s="37"/>
    </row>
    <row r="828" spans="1:10" x14ac:dyDescent="0.3">
      <c r="A828" s="130"/>
      <c r="B828" s="37"/>
      <c r="C828" s="37"/>
      <c r="D828" s="37"/>
      <c r="E828" s="37"/>
      <c r="F828" s="37"/>
      <c r="G828" s="37"/>
      <c r="H828" s="37"/>
      <c r="I828" s="37"/>
      <c r="J828" s="37"/>
    </row>
    <row r="829" spans="1:10" x14ac:dyDescent="0.3">
      <c r="A829" s="130"/>
      <c r="B829" s="37"/>
      <c r="C829" s="37"/>
      <c r="D829" s="37"/>
      <c r="E829" s="37"/>
      <c r="F829" s="37"/>
      <c r="G829" s="37"/>
      <c r="H829" s="37"/>
      <c r="I829" s="37"/>
      <c r="J829" s="37"/>
    </row>
    <row r="830" spans="1:10" x14ac:dyDescent="0.3">
      <c r="A830" s="130"/>
      <c r="B830" s="37"/>
      <c r="C830" s="37"/>
      <c r="D830" s="37"/>
      <c r="E830" s="37"/>
      <c r="F830" s="37"/>
      <c r="G830" s="37"/>
      <c r="H830" s="37"/>
      <c r="I830" s="37"/>
      <c r="J830" s="37"/>
    </row>
    <row r="831" spans="1:10" x14ac:dyDescent="0.3">
      <c r="A831" s="130"/>
      <c r="B831" s="37"/>
      <c r="C831" s="37"/>
      <c r="D831" s="37"/>
      <c r="E831" s="37"/>
      <c r="F831" s="37"/>
      <c r="G831" s="37"/>
      <c r="H831" s="37"/>
      <c r="I831" s="37"/>
      <c r="J831" s="37"/>
    </row>
    <row r="832" spans="1:10" x14ac:dyDescent="0.3">
      <c r="A832" s="130"/>
      <c r="B832" s="37"/>
      <c r="C832" s="37"/>
      <c r="D832" s="37"/>
      <c r="E832" s="37"/>
      <c r="F832" s="37"/>
      <c r="G832" s="37"/>
      <c r="H832" s="37"/>
      <c r="I832" s="37"/>
      <c r="J832" s="37"/>
    </row>
    <row r="833" spans="1:10" x14ac:dyDescent="0.3">
      <c r="A833" s="130"/>
      <c r="B833" s="37"/>
      <c r="C833" s="37"/>
      <c r="D833" s="37"/>
      <c r="E833" s="37"/>
      <c r="F833" s="37"/>
      <c r="G833" s="37"/>
      <c r="H833" s="37"/>
      <c r="I833" s="37"/>
      <c r="J833" s="37"/>
    </row>
    <row r="834" spans="1:10" x14ac:dyDescent="0.3">
      <c r="A834" s="130"/>
      <c r="B834" s="37"/>
      <c r="C834" s="37"/>
      <c r="D834" s="37"/>
      <c r="E834" s="37"/>
      <c r="F834" s="37"/>
      <c r="G834" s="37"/>
      <c r="H834" s="37"/>
      <c r="I834" s="37"/>
      <c r="J834" s="37"/>
    </row>
    <row r="835" spans="1:10" x14ac:dyDescent="0.3">
      <c r="A835" s="130"/>
      <c r="B835" s="37"/>
      <c r="C835" s="37"/>
      <c r="D835" s="37"/>
      <c r="E835" s="37"/>
      <c r="F835" s="37"/>
      <c r="G835" s="37"/>
      <c r="H835" s="37"/>
      <c r="I835" s="37"/>
      <c r="J835" s="37"/>
    </row>
    <row r="836" spans="1:10" x14ac:dyDescent="0.3">
      <c r="A836" s="130"/>
      <c r="B836" s="37"/>
      <c r="C836" s="37"/>
      <c r="D836" s="37"/>
      <c r="E836" s="37"/>
      <c r="F836" s="37"/>
      <c r="G836" s="37"/>
      <c r="H836" s="37"/>
      <c r="I836" s="37"/>
      <c r="J836" s="37"/>
    </row>
    <row r="837" spans="1:10" x14ac:dyDescent="0.3">
      <c r="A837" s="130"/>
      <c r="B837" s="37"/>
      <c r="C837" s="37"/>
      <c r="D837" s="37"/>
      <c r="E837" s="37"/>
      <c r="F837" s="37"/>
      <c r="G837" s="37"/>
      <c r="H837" s="37"/>
      <c r="I837" s="37"/>
      <c r="J837" s="37"/>
    </row>
    <row r="838" spans="1:10" x14ac:dyDescent="0.3">
      <c r="A838" s="130"/>
      <c r="B838" s="37"/>
      <c r="C838" s="37"/>
      <c r="D838" s="37"/>
      <c r="E838" s="37"/>
      <c r="F838" s="37"/>
      <c r="G838" s="37"/>
      <c r="H838" s="37"/>
      <c r="I838" s="37"/>
      <c r="J838" s="37"/>
    </row>
    <row r="839" spans="1:10" x14ac:dyDescent="0.3">
      <c r="A839" s="130"/>
      <c r="B839" s="37"/>
      <c r="C839" s="37"/>
      <c r="D839" s="37"/>
      <c r="E839" s="37"/>
      <c r="F839" s="37"/>
      <c r="G839" s="37"/>
      <c r="H839" s="37"/>
      <c r="I839" s="37"/>
      <c r="J839" s="37"/>
    </row>
    <row r="840" spans="1:10" x14ac:dyDescent="0.3">
      <c r="A840" s="130"/>
      <c r="B840" s="37"/>
      <c r="C840" s="37"/>
      <c r="D840" s="37"/>
      <c r="E840" s="37"/>
      <c r="F840" s="37"/>
      <c r="G840" s="37"/>
      <c r="H840" s="37"/>
      <c r="I840" s="37"/>
      <c r="J840" s="37"/>
    </row>
    <row r="841" spans="1:10" x14ac:dyDescent="0.3">
      <c r="A841" s="130"/>
      <c r="B841" s="37"/>
      <c r="C841" s="37"/>
      <c r="D841" s="37"/>
      <c r="E841" s="37"/>
      <c r="F841" s="37"/>
      <c r="G841" s="37"/>
      <c r="H841" s="37"/>
      <c r="I841" s="37"/>
      <c r="J841" s="37"/>
    </row>
    <row r="842" spans="1:10" x14ac:dyDescent="0.3">
      <c r="A842" s="130"/>
      <c r="B842" s="37"/>
      <c r="C842" s="37"/>
      <c r="D842" s="37"/>
      <c r="E842" s="37"/>
      <c r="F842" s="37"/>
      <c r="G842" s="37"/>
      <c r="H842" s="37"/>
      <c r="I842" s="37"/>
      <c r="J842" s="37"/>
    </row>
    <row r="843" spans="1:10" x14ac:dyDescent="0.3">
      <c r="A843" s="130"/>
      <c r="B843" s="37"/>
      <c r="C843" s="37"/>
      <c r="D843" s="37"/>
      <c r="E843" s="37"/>
      <c r="F843" s="37"/>
      <c r="G843" s="37"/>
      <c r="H843" s="37"/>
      <c r="I843" s="37"/>
      <c r="J843" s="37"/>
    </row>
    <row r="844" spans="1:10" x14ac:dyDescent="0.3">
      <c r="A844" s="130"/>
      <c r="B844" s="37"/>
      <c r="C844" s="37"/>
      <c r="D844" s="37"/>
      <c r="E844" s="37"/>
      <c r="F844" s="37"/>
      <c r="G844" s="37"/>
      <c r="H844" s="37"/>
      <c r="I844" s="37"/>
      <c r="J844" s="37"/>
    </row>
    <row r="845" spans="1:10" x14ac:dyDescent="0.3">
      <c r="A845" s="130"/>
      <c r="B845" s="37"/>
      <c r="C845" s="37"/>
      <c r="D845" s="37"/>
      <c r="E845" s="37"/>
      <c r="F845" s="37"/>
      <c r="G845" s="37"/>
      <c r="H845" s="37"/>
      <c r="I845" s="37"/>
      <c r="J845" s="37"/>
    </row>
    <row r="846" spans="1:10" x14ac:dyDescent="0.3">
      <c r="A846" s="130"/>
      <c r="B846" s="37"/>
      <c r="C846" s="37"/>
      <c r="D846" s="37"/>
      <c r="E846" s="37"/>
      <c r="F846" s="37"/>
      <c r="G846" s="37"/>
      <c r="H846" s="37"/>
      <c r="I846" s="37"/>
      <c r="J846" s="37"/>
    </row>
    <row r="847" spans="1:10" x14ac:dyDescent="0.3">
      <c r="A847" s="130"/>
      <c r="B847" s="37"/>
      <c r="C847" s="37"/>
      <c r="D847" s="37"/>
      <c r="E847" s="37"/>
      <c r="F847" s="37"/>
      <c r="G847" s="37"/>
      <c r="H847" s="37"/>
      <c r="I847" s="37"/>
      <c r="J847" s="37"/>
    </row>
    <row r="848" spans="1:10" x14ac:dyDescent="0.3">
      <c r="A848" s="130"/>
      <c r="B848" s="37"/>
      <c r="C848" s="37"/>
      <c r="D848" s="37"/>
      <c r="E848" s="37"/>
      <c r="F848" s="37"/>
      <c r="G848" s="37"/>
      <c r="H848" s="37"/>
      <c r="I848" s="37"/>
      <c r="J848" s="37"/>
    </row>
    <row r="849" spans="1:10" x14ac:dyDescent="0.3">
      <c r="A849" s="130"/>
      <c r="B849" s="37"/>
      <c r="C849" s="37"/>
      <c r="D849" s="37"/>
      <c r="E849" s="37"/>
      <c r="F849" s="37"/>
      <c r="G849" s="37"/>
      <c r="H849" s="37"/>
      <c r="I849" s="37"/>
      <c r="J849" s="37"/>
    </row>
    <row r="850" spans="1:10" x14ac:dyDescent="0.3">
      <c r="A850" s="130"/>
      <c r="B850" s="37"/>
      <c r="C850" s="37"/>
      <c r="D850" s="37"/>
      <c r="E850" s="37"/>
      <c r="F850" s="37"/>
      <c r="G850" s="37"/>
      <c r="H850" s="37"/>
      <c r="I850" s="37"/>
      <c r="J850" s="37"/>
    </row>
    <row r="851" spans="1:10" x14ac:dyDescent="0.3">
      <c r="A851" s="130"/>
      <c r="B851" s="37"/>
      <c r="C851" s="37"/>
      <c r="D851" s="37"/>
      <c r="E851" s="37"/>
      <c r="F851" s="37"/>
      <c r="G851" s="37"/>
      <c r="H851" s="37"/>
      <c r="I851" s="37"/>
      <c r="J851" s="37"/>
    </row>
    <row r="852" spans="1:10" x14ac:dyDescent="0.3">
      <c r="A852" s="130"/>
      <c r="B852" s="37"/>
      <c r="C852" s="37"/>
      <c r="D852" s="37"/>
      <c r="E852" s="37"/>
      <c r="F852" s="37"/>
      <c r="G852" s="37"/>
      <c r="H852" s="37"/>
      <c r="I852" s="37"/>
      <c r="J852" s="37"/>
    </row>
    <row r="853" spans="1:10" x14ac:dyDescent="0.3">
      <c r="A853" s="130"/>
      <c r="B853" s="37"/>
      <c r="C853" s="37"/>
      <c r="D853" s="37"/>
      <c r="E853" s="37"/>
      <c r="F853" s="37"/>
      <c r="G853" s="37"/>
      <c r="H853" s="37"/>
      <c r="I853" s="37"/>
      <c r="J853" s="37"/>
    </row>
    <row r="854" spans="1:10" x14ac:dyDescent="0.3">
      <c r="A854" s="130"/>
      <c r="B854" s="37"/>
      <c r="C854" s="37"/>
      <c r="D854" s="37"/>
      <c r="E854" s="37"/>
      <c r="F854" s="37"/>
      <c r="G854" s="37"/>
      <c r="H854" s="37"/>
      <c r="I854" s="37"/>
      <c r="J854" s="37"/>
    </row>
    <row r="855" spans="1:10" x14ac:dyDescent="0.3">
      <c r="A855" s="130"/>
      <c r="B855" s="37"/>
      <c r="C855" s="37"/>
      <c r="D855" s="37"/>
      <c r="E855" s="37"/>
      <c r="F855" s="37"/>
      <c r="G855" s="37"/>
      <c r="H855" s="37"/>
      <c r="I855" s="37"/>
      <c r="J855" s="37"/>
    </row>
    <row r="856" spans="1:10" x14ac:dyDescent="0.3">
      <c r="A856" s="130"/>
      <c r="B856" s="37"/>
      <c r="C856" s="37"/>
      <c r="D856" s="37"/>
      <c r="E856" s="37"/>
      <c r="F856" s="37"/>
      <c r="G856" s="37"/>
      <c r="H856" s="37"/>
      <c r="I856" s="37"/>
      <c r="J856" s="37"/>
    </row>
    <row r="857" spans="1:10" x14ac:dyDescent="0.3">
      <c r="A857" s="130"/>
      <c r="B857" s="37"/>
      <c r="C857" s="37"/>
      <c r="D857" s="37"/>
      <c r="E857" s="37"/>
      <c r="F857" s="37"/>
      <c r="G857" s="37"/>
      <c r="H857" s="37"/>
      <c r="I857" s="37"/>
      <c r="J857" s="37"/>
    </row>
    <row r="858" spans="1:10" x14ac:dyDescent="0.3">
      <c r="A858" s="130"/>
      <c r="B858" s="37"/>
      <c r="C858" s="37"/>
      <c r="D858" s="37"/>
      <c r="E858" s="37"/>
      <c r="F858" s="37"/>
      <c r="G858" s="37"/>
      <c r="H858" s="37"/>
      <c r="I858" s="37"/>
      <c r="J858" s="37"/>
    </row>
    <row r="859" spans="1:10" x14ac:dyDescent="0.3">
      <c r="A859" s="130"/>
      <c r="B859" s="37"/>
      <c r="C859" s="37"/>
      <c r="D859" s="37"/>
      <c r="E859" s="37"/>
      <c r="F859" s="37"/>
      <c r="G859" s="37"/>
      <c r="H859" s="37"/>
      <c r="I859" s="37"/>
      <c r="J859" s="37"/>
    </row>
    <row r="860" spans="1:10" x14ac:dyDescent="0.3">
      <c r="A860" s="130"/>
      <c r="B860" s="37"/>
      <c r="C860" s="37"/>
      <c r="D860" s="37"/>
      <c r="E860" s="37"/>
      <c r="F860" s="37"/>
      <c r="G860" s="37"/>
      <c r="H860" s="37"/>
      <c r="I860" s="37"/>
      <c r="J860" s="37"/>
    </row>
    <row r="861" spans="1:10" x14ac:dyDescent="0.3">
      <c r="A861" s="130"/>
      <c r="B861" s="37"/>
      <c r="C861" s="37"/>
      <c r="D861" s="37"/>
      <c r="E861" s="37"/>
      <c r="F861" s="37"/>
      <c r="G861" s="37"/>
      <c r="H861" s="37"/>
      <c r="I861" s="37"/>
      <c r="J861" s="37"/>
    </row>
    <row r="862" spans="1:10" x14ac:dyDescent="0.3">
      <c r="A862" s="130"/>
      <c r="B862" s="37"/>
      <c r="C862" s="37"/>
      <c r="D862" s="37"/>
      <c r="E862" s="37"/>
      <c r="F862" s="37"/>
      <c r="G862" s="37"/>
      <c r="H862" s="37"/>
      <c r="I862" s="37"/>
      <c r="J862" s="37"/>
    </row>
    <row r="863" spans="1:10" x14ac:dyDescent="0.3">
      <c r="A863" s="130"/>
      <c r="B863" s="37"/>
      <c r="C863" s="37"/>
      <c r="D863" s="37"/>
      <c r="E863" s="37"/>
      <c r="F863" s="37"/>
      <c r="G863" s="37"/>
      <c r="H863" s="37"/>
      <c r="I863" s="37"/>
      <c r="J863" s="37"/>
    </row>
    <row r="864" spans="1:10" x14ac:dyDescent="0.3">
      <c r="A864" s="130"/>
      <c r="B864" s="37"/>
      <c r="C864" s="37"/>
      <c r="D864" s="37"/>
      <c r="E864" s="37"/>
      <c r="F864" s="37"/>
      <c r="G864" s="37"/>
      <c r="H864" s="37"/>
      <c r="I864" s="37"/>
      <c r="J864" s="37"/>
    </row>
    <row r="865" spans="1:10" x14ac:dyDescent="0.3">
      <c r="A865" s="130"/>
      <c r="B865" s="37"/>
      <c r="C865" s="37"/>
      <c r="D865" s="37"/>
      <c r="E865" s="37"/>
      <c r="F865" s="37"/>
      <c r="G865" s="37"/>
      <c r="H865" s="37"/>
      <c r="I865" s="37"/>
      <c r="J865" s="37"/>
    </row>
    <row r="866" spans="1:10" x14ac:dyDescent="0.3">
      <c r="A866" s="130"/>
      <c r="B866" s="37"/>
      <c r="C866" s="37"/>
      <c r="D866" s="37"/>
      <c r="E866" s="37"/>
      <c r="F866" s="37"/>
      <c r="G866" s="37"/>
      <c r="H866" s="37"/>
      <c r="I866" s="37"/>
      <c r="J866" s="37"/>
    </row>
    <row r="867" spans="1:10" x14ac:dyDescent="0.3">
      <c r="A867" s="130"/>
      <c r="B867" s="37"/>
      <c r="C867" s="37"/>
      <c r="D867" s="37"/>
      <c r="E867" s="37"/>
      <c r="F867" s="37"/>
      <c r="G867" s="37"/>
      <c r="H867" s="37"/>
      <c r="I867" s="37"/>
      <c r="J867" s="37"/>
    </row>
    <row r="868" spans="1:10" x14ac:dyDescent="0.3">
      <c r="A868" s="130"/>
      <c r="B868" s="37"/>
      <c r="C868" s="37"/>
      <c r="D868" s="37"/>
      <c r="E868" s="37"/>
      <c r="F868" s="37"/>
      <c r="G868" s="37"/>
      <c r="H868" s="37"/>
      <c r="I868" s="37"/>
      <c r="J868" s="37"/>
    </row>
    <row r="869" spans="1:10" x14ac:dyDescent="0.3">
      <c r="A869" s="130"/>
      <c r="B869" s="37"/>
      <c r="C869" s="37"/>
      <c r="D869" s="37"/>
      <c r="E869" s="37"/>
      <c r="F869" s="37"/>
      <c r="G869" s="37"/>
      <c r="H869" s="37"/>
      <c r="I869" s="37"/>
      <c r="J869" s="37"/>
    </row>
    <row r="870" spans="1:10" x14ac:dyDescent="0.3">
      <c r="A870" s="130"/>
      <c r="B870" s="37"/>
      <c r="C870" s="37"/>
      <c r="D870" s="37"/>
      <c r="E870" s="37"/>
      <c r="F870" s="37"/>
      <c r="G870" s="37"/>
      <c r="H870" s="37"/>
      <c r="I870" s="37"/>
      <c r="J870" s="37"/>
    </row>
    <row r="871" spans="1:10" x14ac:dyDescent="0.3">
      <c r="A871" s="130"/>
      <c r="B871" s="37"/>
      <c r="C871" s="37"/>
      <c r="D871" s="37"/>
      <c r="E871" s="37"/>
      <c r="F871" s="37"/>
      <c r="G871" s="37"/>
      <c r="H871" s="37"/>
      <c r="I871" s="37"/>
      <c r="J871" s="37"/>
    </row>
    <row r="872" spans="1:10" x14ac:dyDescent="0.3">
      <c r="A872" s="130"/>
      <c r="B872" s="37"/>
      <c r="C872" s="37"/>
      <c r="D872" s="37"/>
      <c r="E872" s="37"/>
      <c r="F872" s="37"/>
      <c r="G872" s="37"/>
      <c r="H872" s="37"/>
      <c r="I872" s="37"/>
      <c r="J872" s="37"/>
    </row>
    <row r="873" spans="1:10" x14ac:dyDescent="0.3">
      <c r="A873" s="130"/>
      <c r="B873" s="37"/>
      <c r="C873" s="37"/>
      <c r="D873" s="37"/>
      <c r="E873" s="37"/>
      <c r="F873" s="37"/>
      <c r="G873" s="37"/>
      <c r="H873" s="37"/>
      <c r="I873" s="37"/>
      <c r="J873" s="37"/>
    </row>
    <row r="874" spans="1:10" x14ac:dyDescent="0.3">
      <c r="A874" s="130"/>
      <c r="B874" s="37"/>
      <c r="C874" s="37"/>
      <c r="D874" s="37"/>
      <c r="E874" s="37"/>
      <c r="F874" s="37"/>
      <c r="G874" s="37"/>
      <c r="H874" s="37"/>
      <c r="I874" s="37"/>
      <c r="J874" s="37"/>
    </row>
    <row r="875" spans="1:10" x14ac:dyDescent="0.3">
      <c r="A875" s="130"/>
      <c r="B875" s="37"/>
      <c r="C875" s="37"/>
      <c r="D875" s="37"/>
      <c r="E875" s="37"/>
      <c r="F875" s="37"/>
      <c r="G875" s="37"/>
      <c r="H875" s="37"/>
      <c r="I875" s="37"/>
      <c r="J875" s="37"/>
    </row>
    <row r="876" spans="1:10" x14ac:dyDescent="0.3">
      <c r="A876" s="130"/>
      <c r="B876" s="37"/>
      <c r="C876" s="37"/>
      <c r="D876" s="37"/>
      <c r="E876" s="37"/>
      <c r="F876" s="37"/>
      <c r="G876" s="37"/>
      <c r="H876" s="37"/>
      <c r="I876" s="37"/>
      <c r="J876" s="37"/>
    </row>
    <row r="877" spans="1:10" x14ac:dyDescent="0.3">
      <c r="A877" s="130"/>
      <c r="B877" s="37"/>
      <c r="C877" s="37"/>
      <c r="D877" s="37"/>
      <c r="E877" s="37"/>
      <c r="F877" s="37"/>
      <c r="G877" s="37"/>
      <c r="H877" s="37"/>
      <c r="I877" s="37"/>
      <c r="J877" s="37"/>
    </row>
    <row r="878" spans="1:10" x14ac:dyDescent="0.3">
      <c r="A878" s="130"/>
      <c r="B878" s="37"/>
      <c r="C878" s="37"/>
      <c r="D878" s="37"/>
      <c r="E878" s="37"/>
      <c r="F878" s="37"/>
      <c r="G878" s="37"/>
      <c r="H878" s="37"/>
      <c r="I878" s="37"/>
      <c r="J878" s="37"/>
    </row>
    <row r="879" spans="1:10" x14ac:dyDescent="0.3">
      <c r="A879" s="130"/>
      <c r="B879" s="37"/>
      <c r="C879" s="37"/>
      <c r="D879" s="37"/>
      <c r="E879" s="37"/>
      <c r="F879" s="37"/>
      <c r="G879" s="37"/>
      <c r="H879" s="37"/>
      <c r="I879" s="37"/>
      <c r="J879" s="37"/>
    </row>
    <row r="880" spans="1:10" x14ac:dyDescent="0.3">
      <c r="A880" s="130"/>
      <c r="B880" s="37"/>
      <c r="C880" s="37"/>
      <c r="D880" s="37"/>
      <c r="E880" s="37"/>
      <c r="F880" s="37"/>
      <c r="G880" s="37"/>
      <c r="H880" s="37"/>
      <c r="I880" s="37"/>
      <c r="J880" s="37"/>
    </row>
    <row r="881" spans="1:10" x14ac:dyDescent="0.3">
      <c r="A881" s="130"/>
      <c r="B881" s="37"/>
      <c r="C881" s="37"/>
      <c r="D881" s="37"/>
      <c r="E881" s="37"/>
      <c r="F881" s="37"/>
      <c r="G881" s="37"/>
      <c r="H881" s="37"/>
      <c r="I881" s="37"/>
      <c r="J881" s="37"/>
    </row>
    <row r="882" spans="1:10" x14ac:dyDescent="0.3">
      <c r="A882" s="130"/>
      <c r="B882" s="37"/>
      <c r="C882" s="37"/>
      <c r="D882" s="37"/>
      <c r="E882" s="37"/>
      <c r="F882" s="37"/>
      <c r="G882" s="37"/>
      <c r="H882" s="37"/>
      <c r="I882" s="37"/>
      <c r="J882" s="37"/>
    </row>
    <row r="883" spans="1:10" x14ac:dyDescent="0.3">
      <c r="A883" s="130"/>
      <c r="B883" s="37"/>
      <c r="C883" s="37"/>
      <c r="D883" s="37"/>
      <c r="E883" s="37"/>
      <c r="F883" s="37"/>
      <c r="G883" s="37"/>
      <c r="H883" s="37"/>
      <c r="I883" s="37"/>
      <c r="J883" s="37"/>
    </row>
    <row r="884" spans="1:10" x14ac:dyDescent="0.3">
      <c r="A884" s="130"/>
      <c r="B884" s="37"/>
      <c r="C884" s="37"/>
      <c r="D884" s="37"/>
      <c r="E884" s="37"/>
      <c r="F884" s="37"/>
      <c r="G884" s="37"/>
      <c r="H884" s="37"/>
      <c r="I884" s="37"/>
      <c r="J884" s="37"/>
    </row>
    <row r="885" spans="1:10" x14ac:dyDescent="0.3">
      <c r="A885" s="130"/>
      <c r="B885" s="37"/>
      <c r="C885" s="37"/>
      <c r="D885" s="37"/>
      <c r="E885" s="37"/>
      <c r="F885" s="37"/>
      <c r="G885" s="37"/>
      <c r="H885" s="37"/>
      <c r="I885" s="37"/>
      <c r="J885" s="37"/>
    </row>
    <row r="886" spans="1:10" x14ac:dyDescent="0.3">
      <c r="A886" s="130"/>
      <c r="B886" s="37"/>
      <c r="C886" s="37"/>
      <c r="D886" s="37"/>
      <c r="E886" s="37"/>
      <c r="F886" s="37"/>
      <c r="G886" s="37"/>
      <c r="H886" s="37"/>
      <c r="I886" s="37"/>
      <c r="J886" s="37"/>
    </row>
    <row r="887" spans="1:10" x14ac:dyDescent="0.3">
      <c r="A887" s="130"/>
      <c r="B887" s="37"/>
      <c r="C887" s="37"/>
      <c r="D887" s="37"/>
      <c r="E887" s="37"/>
      <c r="F887" s="37"/>
      <c r="G887" s="37"/>
      <c r="H887" s="37"/>
      <c r="I887" s="37"/>
      <c r="J887" s="37"/>
    </row>
    <row r="888" spans="1:10" x14ac:dyDescent="0.3">
      <c r="A888" s="130"/>
      <c r="B888" s="37"/>
      <c r="C888" s="37"/>
      <c r="D888" s="37"/>
      <c r="E888" s="37"/>
      <c r="F888" s="37"/>
      <c r="G888" s="37"/>
      <c r="H888" s="37"/>
      <c r="I888" s="37"/>
      <c r="J888" s="37"/>
    </row>
    <row r="889" spans="1:10" x14ac:dyDescent="0.3">
      <c r="A889" s="130"/>
      <c r="B889" s="37"/>
      <c r="C889" s="37"/>
      <c r="D889" s="37"/>
      <c r="E889" s="37"/>
      <c r="F889" s="37"/>
      <c r="G889" s="37"/>
      <c r="H889" s="37"/>
      <c r="I889" s="37"/>
      <c r="J889" s="37"/>
    </row>
    <row r="890" spans="1:10" x14ac:dyDescent="0.3">
      <c r="A890" s="130"/>
      <c r="B890" s="37"/>
      <c r="C890" s="37"/>
      <c r="D890" s="37"/>
      <c r="E890" s="37"/>
      <c r="F890" s="37"/>
      <c r="G890" s="37"/>
      <c r="H890" s="37"/>
      <c r="I890" s="37"/>
      <c r="J890" s="37"/>
    </row>
    <row r="891" spans="1:10" x14ac:dyDescent="0.3">
      <c r="A891" s="130"/>
      <c r="B891" s="37"/>
      <c r="C891" s="37"/>
      <c r="D891" s="37"/>
      <c r="E891" s="37"/>
      <c r="F891" s="37"/>
      <c r="G891" s="37"/>
      <c r="H891" s="37"/>
      <c r="I891" s="37"/>
      <c r="J891" s="37"/>
    </row>
    <row r="892" spans="1:10" x14ac:dyDescent="0.3">
      <c r="A892" s="130"/>
      <c r="B892" s="37"/>
      <c r="C892" s="37"/>
      <c r="D892" s="37"/>
      <c r="E892" s="37"/>
      <c r="F892" s="37"/>
      <c r="G892" s="37"/>
      <c r="H892" s="37"/>
      <c r="I892" s="37"/>
      <c r="J892" s="37"/>
    </row>
    <row r="893" spans="1:10" x14ac:dyDescent="0.3">
      <c r="A893" s="130"/>
      <c r="B893" s="37"/>
      <c r="C893" s="37"/>
      <c r="D893" s="37"/>
      <c r="E893" s="37"/>
      <c r="F893" s="37"/>
      <c r="G893" s="37"/>
      <c r="H893" s="37"/>
      <c r="I893" s="37"/>
      <c r="J893" s="37"/>
    </row>
    <row r="894" spans="1:10" x14ac:dyDescent="0.3">
      <c r="A894" s="130"/>
      <c r="B894" s="37"/>
      <c r="C894" s="37"/>
      <c r="D894" s="37"/>
      <c r="E894" s="37"/>
      <c r="F894" s="37"/>
      <c r="G894" s="37"/>
      <c r="H894" s="37"/>
      <c r="I894" s="37"/>
      <c r="J894" s="37"/>
    </row>
    <row r="895" spans="1:10" x14ac:dyDescent="0.3">
      <c r="A895" s="130"/>
      <c r="B895" s="37"/>
      <c r="C895" s="37"/>
      <c r="D895" s="37"/>
      <c r="E895" s="37"/>
      <c r="F895" s="37"/>
      <c r="G895" s="37"/>
      <c r="H895" s="37"/>
      <c r="I895" s="37"/>
      <c r="J895" s="37"/>
    </row>
    <row r="896" spans="1:10" x14ac:dyDescent="0.3">
      <c r="A896" s="130"/>
      <c r="B896" s="37"/>
      <c r="C896" s="37"/>
      <c r="D896" s="37"/>
      <c r="E896" s="37"/>
      <c r="F896" s="37"/>
      <c r="G896" s="37"/>
      <c r="H896" s="37"/>
      <c r="I896" s="37"/>
      <c r="J896" s="37"/>
    </row>
    <row r="897" spans="1:10" x14ac:dyDescent="0.3">
      <c r="A897" s="130"/>
      <c r="B897" s="37"/>
      <c r="C897" s="37"/>
      <c r="D897" s="37"/>
      <c r="E897" s="37"/>
      <c r="F897" s="37"/>
      <c r="G897" s="37"/>
      <c r="H897" s="37"/>
      <c r="I897" s="37"/>
      <c r="J897" s="37"/>
    </row>
    <row r="898" spans="1:10" x14ac:dyDescent="0.3">
      <c r="A898" s="130"/>
      <c r="B898" s="37"/>
      <c r="C898" s="37"/>
      <c r="D898" s="37"/>
      <c r="E898" s="37"/>
      <c r="F898" s="37"/>
      <c r="G898" s="37"/>
      <c r="H898" s="37"/>
      <c r="I898" s="37"/>
      <c r="J898" s="37"/>
    </row>
    <row r="899" spans="1:10" x14ac:dyDescent="0.3">
      <c r="A899" s="130"/>
      <c r="B899" s="37"/>
      <c r="C899" s="37"/>
      <c r="D899" s="37"/>
      <c r="E899" s="37"/>
      <c r="F899" s="37"/>
      <c r="G899" s="37"/>
      <c r="H899" s="37"/>
      <c r="I899" s="37"/>
      <c r="J899" s="37"/>
    </row>
    <row r="900" spans="1:10" x14ac:dyDescent="0.3">
      <c r="A900" s="130"/>
      <c r="B900" s="37"/>
      <c r="C900" s="37"/>
      <c r="D900" s="37"/>
      <c r="E900" s="37"/>
      <c r="F900" s="37"/>
      <c r="G900" s="37"/>
      <c r="H900" s="37"/>
      <c r="I900" s="37"/>
      <c r="J900" s="37"/>
    </row>
    <row r="901" spans="1:10" x14ac:dyDescent="0.3">
      <c r="A901" s="130"/>
      <c r="B901" s="37"/>
      <c r="C901" s="37"/>
      <c r="D901" s="37"/>
      <c r="E901" s="37"/>
      <c r="F901" s="37"/>
      <c r="G901" s="37"/>
      <c r="H901" s="37"/>
      <c r="I901" s="37"/>
      <c r="J901" s="37"/>
    </row>
    <row r="902" spans="1:10" x14ac:dyDescent="0.3">
      <c r="A902" s="130"/>
      <c r="B902" s="37"/>
      <c r="C902" s="37"/>
      <c r="D902" s="37"/>
      <c r="E902" s="37"/>
      <c r="F902" s="37"/>
      <c r="G902" s="37"/>
      <c r="H902" s="37"/>
      <c r="I902" s="37"/>
      <c r="J902" s="37"/>
    </row>
    <row r="903" spans="1:10" x14ac:dyDescent="0.3">
      <c r="A903" s="130"/>
      <c r="B903" s="37"/>
      <c r="C903" s="37"/>
      <c r="D903" s="37"/>
      <c r="E903" s="37"/>
      <c r="F903" s="37"/>
      <c r="G903" s="37"/>
      <c r="H903" s="37"/>
      <c r="I903" s="37"/>
      <c r="J903" s="37"/>
    </row>
    <row r="904" spans="1:10" x14ac:dyDescent="0.3">
      <c r="A904" s="130"/>
      <c r="B904" s="37"/>
      <c r="C904" s="37"/>
      <c r="D904" s="37"/>
      <c r="E904" s="37"/>
      <c r="F904" s="37"/>
      <c r="G904" s="37"/>
      <c r="H904" s="37"/>
      <c r="I904" s="37"/>
      <c r="J904" s="37"/>
    </row>
    <row r="905" spans="1:10" x14ac:dyDescent="0.3">
      <c r="A905" s="130"/>
      <c r="B905" s="37"/>
      <c r="C905" s="37"/>
      <c r="D905" s="37"/>
      <c r="E905" s="37"/>
      <c r="F905" s="37"/>
      <c r="G905" s="37"/>
      <c r="H905" s="37"/>
      <c r="I905" s="37"/>
      <c r="J905" s="37"/>
    </row>
    <row r="906" spans="1:10" x14ac:dyDescent="0.3">
      <c r="A906" s="130"/>
      <c r="B906" s="37"/>
      <c r="C906" s="37"/>
      <c r="D906" s="37"/>
      <c r="E906" s="37"/>
      <c r="F906" s="37"/>
      <c r="G906" s="37"/>
      <c r="H906" s="37"/>
      <c r="I906" s="37"/>
      <c r="J906" s="37"/>
    </row>
    <row r="907" spans="1:10" x14ac:dyDescent="0.3">
      <c r="A907" s="130"/>
      <c r="B907" s="37"/>
      <c r="C907" s="37"/>
      <c r="D907" s="37"/>
      <c r="E907" s="37"/>
      <c r="F907" s="37"/>
      <c r="G907" s="37"/>
      <c r="H907" s="37"/>
      <c r="I907" s="37"/>
      <c r="J907" s="37"/>
    </row>
    <row r="908" spans="1:10" x14ac:dyDescent="0.3">
      <c r="A908" s="130"/>
      <c r="B908" s="37"/>
      <c r="C908" s="37"/>
      <c r="D908" s="37"/>
      <c r="E908" s="37"/>
      <c r="F908" s="37"/>
      <c r="G908" s="37"/>
      <c r="H908" s="37"/>
      <c r="I908" s="37"/>
      <c r="J908" s="37"/>
    </row>
    <row r="909" spans="1:10" x14ac:dyDescent="0.3">
      <c r="A909" s="130"/>
      <c r="B909" s="37"/>
      <c r="C909" s="37"/>
      <c r="D909" s="37"/>
      <c r="E909" s="37"/>
      <c r="F909" s="37"/>
      <c r="G909" s="37"/>
      <c r="H909" s="37"/>
      <c r="I909" s="37"/>
      <c r="J909" s="37"/>
    </row>
    <row r="910" spans="1:10" x14ac:dyDescent="0.3">
      <c r="A910" s="130"/>
      <c r="B910" s="37"/>
      <c r="C910" s="37"/>
      <c r="D910" s="37"/>
      <c r="E910" s="37"/>
      <c r="F910" s="37"/>
      <c r="G910" s="37"/>
      <c r="H910" s="37"/>
      <c r="I910" s="37"/>
      <c r="J910" s="37"/>
    </row>
    <row r="911" spans="1:10" x14ac:dyDescent="0.3">
      <c r="A911" s="130"/>
      <c r="B911" s="37"/>
      <c r="C911" s="37"/>
      <c r="D911" s="37"/>
      <c r="E911" s="37"/>
      <c r="F911" s="37"/>
      <c r="G911" s="37"/>
      <c r="H911" s="37"/>
      <c r="I911" s="37"/>
      <c r="J911" s="37"/>
    </row>
    <row r="912" spans="1:10" x14ac:dyDescent="0.3">
      <c r="A912" s="130"/>
      <c r="B912" s="37"/>
      <c r="C912" s="37"/>
      <c r="D912" s="37"/>
      <c r="E912" s="37"/>
      <c r="F912" s="37"/>
      <c r="G912" s="37"/>
      <c r="H912" s="37"/>
      <c r="I912" s="37"/>
      <c r="J912" s="37"/>
    </row>
    <row r="913" spans="1:10" x14ac:dyDescent="0.3">
      <c r="A913" s="130"/>
      <c r="B913" s="37"/>
      <c r="C913" s="37"/>
      <c r="D913" s="37"/>
      <c r="E913" s="37"/>
      <c r="F913" s="37"/>
      <c r="G913" s="37"/>
      <c r="H913" s="37"/>
      <c r="I913" s="37"/>
      <c r="J913" s="37"/>
    </row>
    <row r="914" spans="1:10" x14ac:dyDescent="0.3">
      <c r="A914" s="130"/>
      <c r="B914" s="37"/>
      <c r="C914" s="37"/>
      <c r="D914" s="37"/>
      <c r="E914" s="37"/>
      <c r="F914" s="37"/>
      <c r="G914" s="37"/>
      <c r="H914" s="37"/>
      <c r="I914" s="37"/>
      <c r="J914" s="37"/>
    </row>
    <row r="915" spans="1:10" x14ac:dyDescent="0.3">
      <c r="A915" s="130"/>
      <c r="B915" s="37"/>
      <c r="C915" s="37"/>
      <c r="D915" s="37"/>
      <c r="E915" s="37"/>
      <c r="F915" s="37"/>
      <c r="G915" s="37"/>
      <c r="H915" s="37"/>
      <c r="I915" s="37"/>
      <c r="J915" s="37"/>
    </row>
    <row r="916" spans="1:10" x14ac:dyDescent="0.3">
      <c r="A916" s="130"/>
      <c r="B916" s="37"/>
      <c r="C916" s="37"/>
      <c r="D916" s="37"/>
      <c r="E916" s="37"/>
      <c r="F916" s="37"/>
      <c r="G916" s="37"/>
      <c r="H916" s="37"/>
      <c r="I916" s="37"/>
      <c r="J916" s="37"/>
    </row>
    <row r="917" spans="1:10" x14ac:dyDescent="0.3">
      <c r="A917" s="130"/>
      <c r="B917" s="37"/>
      <c r="C917" s="37"/>
      <c r="D917" s="37"/>
      <c r="E917" s="37"/>
      <c r="F917" s="37"/>
      <c r="G917" s="37"/>
      <c r="H917" s="37"/>
      <c r="I917" s="37"/>
      <c r="J917" s="37"/>
    </row>
    <row r="918" spans="1:10" x14ac:dyDescent="0.3">
      <c r="A918" s="130"/>
      <c r="B918" s="37"/>
      <c r="C918" s="37"/>
      <c r="D918" s="37"/>
      <c r="E918" s="37"/>
      <c r="F918" s="37"/>
      <c r="G918" s="37"/>
      <c r="H918" s="37"/>
      <c r="I918" s="37"/>
      <c r="J918" s="37"/>
    </row>
    <row r="919" spans="1:10" x14ac:dyDescent="0.3">
      <c r="A919" s="130"/>
      <c r="B919" s="37"/>
      <c r="C919" s="37"/>
      <c r="D919" s="37"/>
      <c r="E919" s="37"/>
      <c r="F919" s="37"/>
      <c r="G919" s="37"/>
      <c r="H919" s="37"/>
      <c r="I919" s="37"/>
      <c r="J919" s="37"/>
    </row>
    <row r="920" spans="1:10" x14ac:dyDescent="0.3">
      <c r="A920" s="130"/>
      <c r="B920" s="37"/>
      <c r="C920" s="37"/>
      <c r="D920" s="37"/>
      <c r="E920" s="37"/>
      <c r="F920" s="37"/>
      <c r="G920" s="37"/>
      <c r="H920" s="37"/>
      <c r="I920" s="37"/>
      <c r="J920" s="37"/>
    </row>
    <row r="921" spans="1:10" x14ac:dyDescent="0.3">
      <c r="A921" s="130"/>
      <c r="B921" s="37"/>
      <c r="C921" s="37"/>
      <c r="D921" s="37"/>
      <c r="E921" s="37"/>
      <c r="F921" s="37"/>
      <c r="G921" s="37"/>
      <c r="H921" s="37"/>
      <c r="I921" s="37"/>
      <c r="J921" s="37"/>
    </row>
    <row r="922" spans="1:10" x14ac:dyDescent="0.3">
      <c r="A922" s="130"/>
      <c r="B922" s="37"/>
      <c r="C922" s="37"/>
      <c r="D922" s="37"/>
      <c r="E922" s="37"/>
      <c r="F922" s="37"/>
      <c r="G922" s="37"/>
      <c r="H922" s="37"/>
      <c r="I922" s="37"/>
      <c r="J922" s="37"/>
    </row>
    <row r="923" spans="1:10" x14ac:dyDescent="0.3">
      <c r="A923" s="130"/>
      <c r="B923" s="37"/>
      <c r="C923" s="37"/>
      <c r="D923" s="37"/>
      <c r="E923" s="37"/>
      <c r="F923" s="37"/>
      <c r="G923" s="37"/>
      <c r="H923" s="37"/>
      <c r="I923" s="37"/>
      <c r="J923" s="37"/>
    </row>
    <row r="924" spans="1:10" x14ac:dyDescent="0.3">
      <c r="A924" s="130"/>
      <c r="B924" s="37"/>
      <c r="C924" s="37"/>
      <c r="D924" s="37"/>
      <c r="E924" s="37"/>
      <c r="F924" s="37"/>
      <c r="G924" s="37"/>
      <c r="H924" s="37"/>
      <c r="I924" s="37"/>
      <c r="J924" s="37"/>
    </row>
    <row r="925" spans="1:10" x14ac:dyDescent="0.3">
      <c r="A925" s="130"/>
      <c r="B925" s="37"/>
      <c r="C925" s="37"/>
      <c r="D925" s="37"/>
      <c r="E925" s="37"/>
      <c r="F925" s="37"/>
      <c r="G925" s="37"/>
      <c r="H925" s="37"/>
      <c r="I925" s="37"/>
      <c r="J925" s="37"/>
    </row>
    <row r="926" spans="1:10" x14ac:dyDescent="0.3">
      <c r="A926" s="130"/>
      <c r="B926" s="37"/>
      <c r="C926" s="37"/>
      <c r="D926" s="37"/>
      <c r="E926" s="37"/>
      <c r="F926" s="37"/>
      <c r="G926" s="37"/>
      <c r="H926" s="37"/>
      <c r="I926" s="37"/>
      <c r="J926" s="37"/>
    </row>
    <row r="927" spans="1:10" x14ac:dyDescent="0.3">
      <c r="A927" s="130"/>
      <c r="B927" s="37"/>
      <c r="C927" s="37"/>
      <c r="D927" s="37"/>
      <c r="E927" s="37"/>
      <c r="F927" s="37"/>
      <c r="G927" s="37"/>
      <c r="H927" s="37"/>
      <c r="I927" s="37"/>
      <c r="J927" s="37"/>
    </row>
    <row r="928" spans="1:10" x14ac:dyDescent="0.3">
      <c r="A928" s="130"/>
      <c r="B928" s="37"/>
      <c r="C928" s="37"/>
      <c r="D928" s="37"/>
      <c r="E928" s="37"/>
      <c r="F928" s="37"/>
      <c r="G928" s="37"/>
      <c r="H928" s="37"/>
      <c r="I928" s="37"/>
      <c r="J928" s="37"/>
    </row>
    <row r="929" spans="1:10" x14ac:dyDescent="0.3">
      <c r="A929" s="130"/>
      <c r="B929" s="37"/>
      <c r="C929" s="37"/>
      <c r="D929" s="37"/>
      <c r="E929" s="37"/>
      <c r="F929" s="37"/>
      <c r="G929" s="37"/>
      <c r="H929" s="37"/>
      <c r="I929" s="37"/>
      <c r="J929" s="37"/>
    </row>
    <row r="930" spans="1:10" x14ac:dyDescent="0.3">
      <c r="A930" s="130"/>
      <c r="B930" s="37"/>
      <c r="C930" s="37"/>
      <c r="D930" s="37"/>
      <c r="E930" s="37"/>
      <c r="F930" s="37"/>
      <c r="G930" s="37"/>
      <c r="H930" s="37"/>
      <c r="I930" s="37"/>
      <c r="J930" s="37"/>
    </row>
    <row r="931" spans="1:10" x14ac:dyDescent="0.3">
      <c r="A931" s="130"/>
      <c r="B931" s="37"/>
      <c r="C931" s="37"/>
      <c r="D931" s="37"/>
      <c r="E931" s="37"/>
      <c r="F931" s="37"/>
      <c r="G931" s="37"/>
      <c r="H931" s="37"/>
      <c r="I931" s="37"/>
      <c r="J931" s="37"/>
    </row>
    <row r="932" spans="1:10" x14ac:dyDescent="0.3">
      <c r="A932" s="130"/>
      <c r="B932" s="37"/>
      <c r="C932" s="37"/>
      <c r="D932" s="37"/>
      <c r="E932" s="37"/>
      <c r="F932" s="37"/>
      <c r="G932" s="37"/>
      <c r="H932" s="37"/>
      <c r="I932" s="37"/>
      <c r="J932" s="37"/>
    </row>
    <row r="933" spans="1:10" x14ac:dyDescent="0.3">
      <c r="A933" s="130"/>
      <c r="B933" s="37"/>
      <c r="C933" s="37"/>
      <c r="D933" s="37"/>
      <c r="E933" s="37"/>
      <c r="F933" s="37"/>
      <c r="G933" s="37"/>
      <c r="H933" s="37"/>
      <c r="I933" s="37"/>
      <c r="J933" s="37"/>
    </row>
    <row r="934" spans="1:10" x14ac:dyDescent="0.3">
      <c r="A934" s="130"/>
      <c r="B934" s="37"/>
      <c r="C934" s="37"/>
      <c r="D934" s="37"/>
      <c r="E934" s="37"/>
      <c r="F934" s="37"/>
      <c r="G934" s="37"/>
      <c r="H934" s="37"/>
      <c r="I934" s="37"/>
      <c r="J934" s="37"/>
    </row>
    <row r="935" spans="1:10" x14ac:dyDescent="0.3">
      <c r="A935" s="130"/>
      <c r="B935" s="37"/>
      <c r="C935" s="37"/>
      <c r="D935" s="37"/>
      <c r="E935" s="37"/>
      <c r="F935" s="37"/>
      <c r="G935" s="37"/>
      <c r="H935" s="37"/>
      <c r="I935" s="37"/>
      <c r="J935" s="37"/>
    </row>
    <row r="936" spans="1:10" x14ac:dyDescent="0.3">
      <c r="A936" s="130"/>
      <c r="B936" s="37"/>
      <c r="C936" s="37"/>
      <c r="D936" s="37"/>
      <c r="E936" s="37"/>
      <c r="F936" s="37"/>
      <c r="G936" s="37"/>
      <c r="H936" s="37"/>
      <c r="I936" s="37"/>
      <c r="J936" s="37"/>
    </row>
    <row r="937" spans="1:10" x14ac:dyDescent="0.3">
      <c r="A937" s="130"/>
      <c r="B937" s="37"/>
      <c r="C937" s="37"/>
      <c r="D937" s="37"/>
      <c r="E937" s="37"/>
      <c r="F937" s="37"/>
      <c r="G937" s="37"/>
      <c r="H937" s="37"/>
      <c r="I937" s="37"/>
      <c r="J937" s="37"/>
    </row>
    <row r="938" spans="1:10" x14ac:dyDescent="0.3">
      <c r="A938" s="130"/>
      <c r="B938" s="37"/>
      <c r="C938" s="37"/>
      <c r="D938" s="37"/>
      <c r="E938" s="37"/>
      <c r="F938" s="37"/>
      <c r="G938" s="37"/>
      <c r="H938" s="37"/>
      <c r="I938" s="37"/>
      <c r="J938" s="37"/>
    </row>
    <row r="939" spans="1:10" x14ac:dyDescent="0.3">
      <c r="A939" s="130"/>
      <c r="B939" s="37"/>
      <c r="C939" s="37"/>
      <c r="D939" s="37"/>
      <c r="E939" s="37"/>
      <c r="F939" s="37"/>
      <c r="G939" s="37"/>
      <c r="H939" s="37"/>
      <c r="I939" s="37"/>
      <c r="J939" s="37"/>
    </row>
    <row r="940" spans="1:10" x14ac:dyDescent="0.3">
      <c r="A940" s="130"/>
      <c r="B940" s="37"/>
      <c r="C940" s="37"/>
      <c r="D940" s="37"/>
      <c r="E940" s="37"/>
      <c r="F940" s="37"/>
      <c r="G940" s="37"/>
      <c r="H940" s="37"/>
      <c r="I940" s="37"/>
      <c r="J940" s="37"/>
    </row>
    <row r="941" spans="1:10" x14ac:dyDescent="0.3">
      <c r="A941" s="130"/>
      <c r="B941" s="37"/>
      <c r="C941" s="37"/>
      <c r="D941" s="37"/>
      <c r="E941" s="37"/>
      <c r="F941" s="37"/>
      <c r="G941" s="37"/>
      <c r="H941" s="37"/>
      <c r="I941" s="37"/>
      <c r="J941" s="37"/>
    </row>
    <row r="942" spans="1:10" x14ac:dyDescent="0.3">
      <c r="A942" s="130"/>
      <c r="B942" s="37"/>
      <c r="C942" s="37"/>
      <c r="D942" s="37"/>
      <c r="E942" s="37"/>
      <c r="F942" s="37"/>
      <c r="G942" s="37"/>
      <c r="H942" s="37"/>
      <c r="I942" s="37"/>
      <c r="J942" s="37"/>
    </row>
    <row r="943" spans="1:10" x14ac:dyDescent="0.3">
      <c r="A943" s="130"/>
      <c r="B943" s="37"/>
      <c r="C943" s="37"/>
      <c r="D943" s="37"/>
      <c r="E943" s="37"/>
      <c r="F943" s="37"/>
      <c r="G943" s="37"/>
      <c r="H943" s="37"/>
      <c r="I943" s="37"/>
      <c r="J943" s="37"/>
    </row>
    <row r="944" spans="1:10" x14ac:dyDescent="0.3">
      <c r="A944" s="130"/>
      <c r="B944" s="37"/>
      <c r="C944" s="37"/>
      <c r="D944" s="37"/>
      <c r="E944" s="37"/>
      <c r="F944" s="37"/>
      <c r="G944" s="37"/>
      <c r="H944" s="37"/>
      <c r="I944" s="37"/>
      <c r="J944" s="37"/>
    </row>
    <row r="945" spans="1:10" x14ac:dyDescent="0.3">
      <c r="A945" s="130"/>
      <c r="B945" s="37"/>
      <c r="C945" s="37"/>
      <c r="D945" s="37"/>
      <c r="E945" s="37"/>
      <c r="F945" s="37"/>
      <c r="G945" s="37"/>
      <c r="H945" s="37"/>
      <c r="I945" s="37"/>
      <c r="J945" s="37"/>
    </row>
    <row r="946" spans="1:10" x14ac:dyDescent="0.3">
      <c r="A946" s="130"/>
      <c r="B946" s="37"/>
      <c r="C946" s="37"/>
      <c r="D946" s="37"/>
      <c r="E946" s="37"/>
      <c r="F946" s="37"/>
      <c r="G946" s="37"/>
      <c r="H946" s="37"/>
      <c r="I946" s="37"/>
      <c r="J946" s="37"/>
    </row>
    <row r="947" spans="1:10" x14ac:dyDescent="0.3">
      <c r="A947" s="130"/>
      <c r="B947" s="37"/>
      <c r="C947" s="37"/>
      <c r="D947" s="37"/>
      <c r="E947" s="37"/>
      <c r="F947" s="37"/>
      <c r="G947" s="37"/>
      <c r="H947" s="37"/>
      <c r="I947" s="37"/>
      <c r="J947" s="37"/>
    </row>
    <row r="948" spans="1:10" x14ac:dyDescent="0.3">
      <c r="A948" s="130"/>
      <c r="B948" s="37"/>
      <c r="C948" s="37"/>
      <c r="D948" s="37"/>
      <c r="E948" s="37"/>
      <c r="F948" s="37"/>
      <c r="G948" s="37"/>
      <c r="H948" s="37"/>
      <c r="I948" s="37"/>
      <c r="J948" s="37"/>
    </row>
    <row r="949" spans="1:10" x14ac:dyDescent="0.3">
      <c r="A949" s="130"/>
      <c r="B949" s="37"/>
      <c r="C949" s="37"/>
      <c r="D949" s="37"/>
      <c r="E949" s="37"/>
      <c r="F949" s="37"/>
      <c r="G949" s="37"/>
      <c r="H949" s="37"/>
      <c r="I949" s="37"/>
      <c r="J949" s="37"/>
    </row>
    <row r="950" spans="1:10" x14ac:dyDescent="0.3">
      <c r="A950" s="130"/>
      <c r="B950" s="37"/>
      <c r="C950" s="37"/>
      <c r="D950" s="37"/>
      <c r="E950" s="37"/>
      <c r="F950" s="37"/>
      <c r="G950" s="37"/>
      <c r="H950" s="37"/>
      <c r="I950" s="37"/>
      <c r="J950" s="37"/>
    </row>
    <row r="951" spans="1:10" x14ac:dyDescent="0.3">
      <c r="A951" s="130"/>
      <c r="B951" s="37"/>
      <c r="C951" s="37"/>
      <c r="D951" s="37"/>
      <c r="E951" s="37"/>
      <c r="F951" s="37"/>
      <c r="G951" s="37"/>
      <c r="H951" s="37"/>
      <c r="I951" s="37"/>
      <c r="J951" s="37"/>
    </row>
    <row r="952" spans="1:10" x14ac:dyDescent="0.3">
      <c r="A952" s="130"/>
      <c r="B952" s="37"/>
      <c r="C952" s="37"/>
      <c r="D952" s="37"/>
      <c r="E952" s="37"/>
      <c r="F952" s="37"/>
      <c r="G952" s="37"/>
      <c r="H952" s="37"/>
      <c r="I952" s="37"/>
      <c r="J952" s="37"/>
    </row>
    <row r="953" spans="1:10" x14ac:dyDescent="0.3">
      <c r="A953" s="130"/>
      <c r="B953" s="37"/>
      <c r="C953" s="37"/>
      <c r="D953" s="37"/>
      <c r="E953" s="37"/>
      <c r="F953" s="37"/>
      <c r="G953" s="37"/>
      <c r="H953" s="37"/>
      <c r="I953" s="37"/>
      <c r="J953" s="37"/>
    </row>
    <row r="954" spans="1:10" x14ac:dyDescent="0.3">
      <c r="A954" s="130"/>
      <c r="B954" s="37"/>
      <c r="C954" s="37"/>
      <c r="D954" s="37"/>
      <c r="E954" s="37"/>
      <c r="F954" s="37"/>
      <c r="G954" s="37"/>
      <c r="H954" s="37"/>
      <c r="I954" s="37"/>
      <c r="J954" s="37"/>
    </row>
    <row r="955" spans="1:10" x14ac:dyDescent="0.3">
      <c r="A955" s="130"/>
      <c r="B955" s="37"/>
      <c r="C955" s="37"/>
      <c r="D955" s="37"/>
      <c r="E955" s="37"/>
      <c r="F955" s="37"/>
      <c r="G955" s="37"/>
      <c r="H955" s="37"/>
      <c r="I955" s="37"/>
      <c r="J955" s="37"/>
    </row>
    <row r="956" spans="1:10" x14ac:dyDescent="0.3">
      <c r="A956" s="130"/>
      <c r="B956" s="37"/>
      <c r="C956" s="37"/>
      <c r="D956" s="37"/>
      <c r="E956" s="37"/>
      <c r="F956" s="37"/>
      <c r="G956" s="37"/>
      <c r="H956" s="37"/>
      <c r="I956" s="37"/>
      <c r="J956" s="37"/>
    </row>
    <row r="957" spans="1:10" x14ac:dyDescent="0.3">
      <c r="A957" s="130"/>
      <c r="B957" s="37"/>
      <c r="C957" s="37"/>
      <c r="D957" s="37"/>
      <c r="E957" s="37"/>
      <c r="F957" s="37"/>
      <c r="G957" s="37"/>
      <c r="H957" s="37"/>
      <c r="I957" s="37"/>
      <c r="J957" s="37"/>
    </row>
    <row r="958" spans="1:10" x14ac:dyDescent="0.3">
      <c r="A958" s="130"/>
      <c r="B958" s="37"/>
      <c r="C958" s="37"/>
      <c r="D958" s="37"/>
      <c r="E958" s="37"/>
      <c r="F958" s="37"/>
      <c r="G958" s="37"/>
      <c r="H958" s="37"/>
      <c r="I958" s="37"/>
      <c r="J958" s="37"/>
    </row>
    <row r="959" spans="1:10" x14ac:dyDescent="0.3">
      <c r="A959" s="130"/>
      <c r="B959" s="37"/>
      <c r="C959" s="37"/>
      <c r="D959" s="37"/>
      <c r="E959" s="37"/>
      <c r="F959" s="37"/>
      <c r="G959" s="37"/>
      <c r="H959" s="37"/>
      <c r="I959" s="37"/>
      <c r="J959" s="37"/>
    </row>
    <row r="960" spans="1:10" x14ac:dyDescent="0.3">
      <c r="A960" s="130"/>
      <c r="B960" s="37"/>
      <c r="C960" s="37"/>
      <c r="D960" s="37"/>
      <c r="E960" s="37"/>
      <c r="F960" s="37"/>
      <c r="G960" s="37"/>
      <c r="H960" s="37"/>
      <c r="I960" s="37"/>
      <c r="J960" s="37"/>
    </row>
    <row r="961" spans="1:10" x14ac:dyDescent="0.3">
      <c r="A961" s="130"/>
      <c r="B961" s="37"/>
      <c r="C961" s="37"/>
      <c r="D961" s="37"/>
      <c r="E961" s="37"/>
      <c r="F961" s="37"/>
      <c r="G961" s="37"/>
      <c r="H961" s="37"/>
      <c r="I961" s="37"/>
      <c r="J961" s="37"/>
    </row>
    <row r="962" spans="1:10" x14ac:dyDescent="0.3">
      <c r="A962" s="130"/>
      <c r="B962" s="37"/>
      <c r="C962" s="37"/>
      <c r="D962" s="37"/>
      <c r="E962" s="37"/>
      <c r="F962" s="37"/>
      <c r="G962" s="37"/>
      <c r="H962" s="37"/>
      <c r="I962" s="37"/>
      <c r="J962" s="37"/>
    </row>
    <row r="963" spans="1:10" x14ac:dyDescent="0.3">
      <c r="A963" s="130"/>
      <c r="B963" s="37"/>
      <c r="C963" s="37"/>
      <c r="D963" s="37"/>
      <c r="E963" s="37"/>
      <c r="F963" s="37"/>
      <c r="G963" s="37"/>
      <c r="H963" s="37"/>
      <c r="I963" s="37"/>
      <c r="J963" s="37"/>
    </row>
    <row r="964" spans="1:10" x14ac:dyDescent="0.3">
      <c r="A964" s="130"/>
      <c r="B964" s="37"/>
      <c r="C964" s="37"/>
      <c r="D964" s="37"/>
      <c r="E964" s="37"/>
      <c r="F964" s="37"/>
      <c r="G964" s="37"/>
      <c r="H964" s="37"/>
      <c r="I964" s="37"/>
      <c r="J964" s="37"/>
    </row>
    <row r="965" spans="1:10" x14ac:dyDescent="0.3">
      <c r="A965" s="130"/>
      <c r="B965" s="37"/>
      <c r="C965" s="37"/>
      <c r="D965" s="37"/>
      <c r="E965" s="37"/>
      <c r="F965" s="37"/>
      <c r="G965" s="37"/>
      <c r="H965" s="37"/>
      <c r="I965" s="37"/>
      <c r="J965" s="37"/>
    </row>
    <row r="966" spans="1:10" x14ac:dyDescent="0.3">
      <c r="A966" s="130"/>
      <c r="B966" s="37"/>
      <c r="C966" s="37"/>
      <c r="D966" s="37"/>
      <c r="E966" s="37"/>
      <c r="F966" s="37"/>
      <c r="G966" s="37"/>
      <c r="H966" s="37"/>
      <c r="I966" s="37"/>
      <c r="J966" s="37"/>
    </row>
    <row r="967" spans="1:10" x14ac:dyDescent="0.3">
      <c r="A967" s="130"/>
      <c r="B967" s="37"/>
      <c r="C967" s="37"/>
      <c r="D967" s="37"/>
      <c r="E967" s="37"/>
      <c r="F967" s="37"/>
      <c r="G967" s="37"/>
      <c r="H967" s="37"/>
      <c r="I967" s="37"/>
      <c r="J967" s="37"/>
    </row>
    <row r="968" spans="1:10" x14ac:dyDescent="0.3">
      <c r="A968" s="130"/>
      <c r="B968" s="37"/>
      <c r="C968" s="37"/>
      <c r="D968" s="37"/>
      <c r="E968" s="37"/>
      <c r="F968" s="37"/>
      <c r="G968" s="37"/>
      <c r="H968" s="37"/>
      <c r="I968" s="37"/>
      <c r="J968" s="37"/>
    </row>
    <row r="969" spans="1:10" x14ac:dyDescent="0.3">
      <c r="A969" s="130"/>
      <c r="B969" s="37"/>
      <c r="C969" s="37"/>
      <c r="D969" s="37"/>
      <c r="E969" s="37"/>
      <c r="F969" s="37"/>
      <c r="G969" s="37"/>
      <c r="H969" s="37"/>
      <c r="I969" s="37"/>
      <c r="J969" s="37"/>
    </row>
    <row r="970" spans="1:10" x14ac:dyDescent="0.3">
      <c r="A970" s="130"/>
      <c r="B970" s="37"/>
      <c r="C970" s="37"/>
      <c r="D970" s="37"/>
      <c r="E970" s="37"/>
      <c r="F970" s="37"/>
      <c r="G970" s="37"/>
      <c r="H970" s="37"/>
      <c r="I970" s="37"/>
      <c r="J970" s="37"/>
    </row>
    <row r="971" spans="1:10" x14ac:dyDescent="0.3">
      <c r="A971" s="130"/>
      <c r="B971" s="37"/>
      <c r="C971" s="37"/>
      <c r="D971" s="37"/>
      <c r="E971" s="37"/>
      <c r="F971" s="37"/>
      <c r="G971" s="37"/>
      <c r="H971" s="37"/>
      <c r="I971" s="37"/>
      <c r="J971" s="37"/>
    </row>
    <row r="972" spans="1:10" x14ac:dyDescent="0.3">
      <c r="A972" s="130"/>
      <c r="B972" s="37"/>
      <c r="C972" s="37"/>
      <c r="D972" s="37"/>
      <c r="E972" s="37"/>
      <c r="F972" s="37"/>
      <c r="G972" s="37"/>
      <c r="H972" s="37"/>
      <c r="I972" s="37"/>
      <c r="J972" s="37"/>
    </row>
    <row r="973" spans="1:10" x14ac:dyDescent="0.3">
      <c r="A973" s="130"/>
      <c r="B973" s="37"/>
      <c r="C973" s="37"/>
      <c r="D973" s="37"/>
      <c r="E973" s="37"/>
      <c r="F973" s="37"/>
      <c r="G973" s="37"/>
      <c r="H973" s="37"/>
      <c r="I973" s="37"/>
      <c r="J973" s="37"/>
    </row>
    <row r="974" spans="1:10" x14ac:dyDescent="0.3">
      <c r="A974" s="130"/>
      <c r="B974" s="37"/>
      <c r="C974" s="37"/>
      <c r="D974" s="37"/>
      <c r="E974" s="37"/>
      <c r="F974" s="37"/>
      <c r="G974" s="37"/>
      <c r="H974" s="37"/>
      <c r="I974" s="37"/>
      <c r="J974" s="37"/>
    </row>
    <row r="975" spans="1:10" x14ac:dyDescent="0.3">
      <c r="A975" s="130"/>
      <c r="B975" s="37"/>
      <c r="C975" s="37"/>
      <c r="D975" s="37"/>
      <c r="E975" s="37"/>
      <c r="F975" s="37"/>
      <c r="G975" s="37"/>
      <c r="H975" s="37"/>
      <c r="I975" s="37"/>
      <c r="J975" s="37"/>
    </row>
    <row r="976" spans="1:10" x14ac:dyDescent="0.3">
      <c r="A976" s="130"/>
      <c r="B976" s="37"/>
      <c r="C976" s="37"/>
      <c r="D976" s="37"/>
      <c r="E976" s="37"/>
      <c r="F976" s="37"/>
      <c r="G976" s="37"/>
      <c r="H976" s="37"/>
      <c r="I976" s="37"/>
      <c r="J976" s="37"/>
    </row>
    <row r="977" spans="1:10" x14ac:dyDescent="0.3">
      <c r="A977" s="130"/>
      <c r="B977" s="37"/>
      <c r="C977" s="37"/>
      <c r="D977" s="37"/>
      <c r="E977" s="37"/>
      <c r="F977" s="37"/>
      <c r="G977" s="37"/>
      <c r="H977" s="37"/>
      <c r="I977" s="37"/>
      <c r="J977" s="37"/>
    </row>
    <row r="978" spans="1:10" x14ac:dyDescent="0.3">
      <c r="A978" s="130"/>
      <c r="B978" s="37"/>
      <c r="C978" s="37"/>
      <c r="D978" s="37"/>
      <c r="E978" s="37"/>
      <c r="F978" s="37"/>
      <c r="G978" s="37"/>
      <c r="H978" s="37"/>
      <c r="I978" s="37"/>
      <c r="J978" s="37"/>
    </row>
    <row r="979" spans="1:10" x14ac:dyDescent="0.3">
      <c r="A979" s="130"/>
      <c r="B979" s="37"/>
      <c r="C979" s="37"/>
      <c r="D979" s="37"/>
      <c r="E979" s="37"/>
      <c r="F979" s="37"/>
      <c r="G979" s="37"/>
      <c r="H979" s="37"/>
      <c r="I979" s="37"/>
      <c r="J979" s="37"/>
    </row>
    <row r="980" spans="1:10" x14ac:dyDescent="0.3">
      <c r="A980" s="130"/>
      <c r="B980" s="37"/>
      <c r="C980" s="37"/>
      <c r="D980" s="37"/>
      <c r="E980" s="37"/>
      <c r="F980" s="37"/>
      <c r="G980" s="37"/>
      <c r="H980" s="37"/>
      <c r="I980" s="37"/>
      <c r="J980" s="37"/>
    </row>
    <row r="981" spans="1:10" x14ac:dyDescent="0.3">
      <c r="A981" s="130"/>
      <c r="B981" s="37"/>
      <c r="C981" s="37"/>
      <c r="D981" s="37"/>
      <c r="E981" s="37"/>
      <c r="F981" s="37"/>
      <c r="G981" s="37"/>
      <c r="H981" s="37"/>
      <c r="I981" s="37"/>
      <c r="J981" s="37"/>
    </row>
    <row r="982" spans="1:10" x14ac:dyDescent="0.3">
      <c r="A982" s="130"/>
      <c r="B982" s="37"/>
      <c r="C982" s="37"/>
      <c r="D982" s="37"/>
      <c r="E982" s="37"/>
      <c r="F982" s="37"/>
      <c r="G982" s="37"/>
      <c r="H982" s="37"/>
      <c r="I982" s="37"/>
      <c r="J982" s="37"/>
    </row>
    <row r="983" spans="1:10" x14ac:dyDescent="0.3">
      <c r="A983" s="130"/>
      <c r="B983" s="37"/>
      <c r="C983" s="37"/>
      <c r="D983" s="37"/>
      <c r="E983" s="37"/>
      <c r="F983" s="37"/>
      <c r="G983" s="37"/>
      <c r="H983" s="37"/>
      <c r="I983" s="37"/>
      <c r="J983" s="37"/>
    </row>
    <row r="984" spans="1:10" x14ac:dyDescent="0.3">
      <c r="A984" s="130"/>
      <c r="B984" s="37"/>
      <c r="C984" s="37"/>
      <c r="D984" s="37"/>
      <c r="E984" s="37"/>
      <c r="F984" s="37"/>
      <c r="G984" s="37"/>
      <c r="H984" s="37"/>
      <c r="I984" s="37"/>
      <c r="J984" s="37"/>
    </row>
    <row r="985" spans="1:10" x14ac:dyDescent="0.3">
      <c r="A985" s="130"/>
      <c r="B985" s="37"/>
      <c r="C985" s="37"/>
      <c r="D985" s="37"/>
      <c r="E985" s="37"/>
      <c r="F985" s="37"/>
      <c r="G985" s="37"/>
      <c r="H985" s="37"/>
      <c r="I985" s="37"/>
      <c r="J985" s="37"/>
    </row>
    <row r="986" spans="1:10" x14ac:dyDescent="0.3">
      <c r="A986" s="130"/>
      <c r="B986" s="37"/>
      <c r="C986" s="37"/>
      <c r="D986" s="37"/>
      <c r="E986" s="37"/>
      <c r="F986" s="37"/>
      <c r="G986" s="37"/>
      <c r="H986" s="37"/>
      <c r="I986" s="37"/>
      <c r="J986" s="37"/>
    </row>
    <row r="987" spans="1:10" x14ac:dyDescent="0.3">
      <c r="A987" s="130"/>
      <c r="B987" s="37"/>
      <c r="C987" s="37"/>
      <c r="D987" s="37"/>
      <c r="E987" s="37"/>
      <c r="F987" s="37"/>
      <c r="G987" s="37"/>
      <c r="H987" s="37"/>
      <c r="I987" s="37"/>
      <c r="J987" s="37"/>
    </row>
    <row r="988" spans="1:10" x14ac:dyDescent="0.3">
      <c r="A988" s="130"/>
      <c r="B988" s="37"/>
      <c r="C988" s="37"/>
      <c r="D988" s="37"/>
      <c r="E988" s="37"/>
      <c r="F988" s="37"/>
      <c r="G988" s="37"/>
      <c r="H988" s="37"/>
      <c r="I988" s="37"/>
      <c r="J988" s="37"/>
    </row>
    <row r="989" spans="1:10" x14ac:dyDescent="0.3">
      <c r="A989" s="130"/>
      <c r="B989" s="37"/>
      <c r="C989" s="37"/>
      <c r="D989" s="37"/>
      <c r="E989" s="37"/>
      <c r="F989" s="37"/>
      <c r="G989" s="37"/>
      <c r="H989" s="37"/>
      <c r="I989" s="37"/>
      <c r="J989" s="37"/>
    </row>
    <row r="990" spans="1:10" x14ac:dyDescent="0.3">
      <c r="A990" s="130"/>
      <c r="B990" s="37"/>
      <c r="C990" s="37"/>
      <c r="D990" s="37"/>
      <c r="E990" s="37"/>
      <c r="F990" s="37"/>
      <c r="G990" s="37"/>
      <c r="H990" s="37"/>
      <c r="I990" s="37"/>
      <c r="J990" s="37"/>
    </row>
    <row r="991" spans="1:10" x14ac:dyDescent="0.3">
      <c r="A991" s="130"/>
      <c r="B991" s="37"/>
      <c r="C991" s="37"/>
      <c r="D991" s="37"/>
      <c r="E991" s="37"/>
      <c r="F991" s="37"/>
      <c r="G991" s="37"/>
      <c r="H991" s="37"/>
      <c r="I991" s="37"/>
      <c r="J991" s="37"/>
    </row>
    <row r="992" spans="1:10" x14ac:dyDescent="0.3">
      <c r="A992" s="130"/>
      <c r="B992" s="37"/>
      <c r="C992" s="37"/>
      <c r="D992" s="37"/>
      <c r="E992" s="37"/>
      <c r="F992" s="37"/>
      <c r="G992" s="37"/>
      <c r="H992" s="37"/>
      <c r="I992" s="37"/>
      <c r="J992" s="37"/>
    </row>
    <row r="993" spans="1:10" x14ac:dyDescent="0.3">
      <c r="A993" s="130"/>
      <c r="B993" s="37"/>
      <c r="C993" s="37"/>
      <c r="D993" s="37"/>
      <c r="E993" s="37"/>
      <c r="F993" s="37"/>
      <c r="G993" s="37"/>
      <c r="H993" s="37"/>
      <c r="I993" s="37"/>
      <c r="J993" s="37"/>
    </row>
    <row r="994" spans="1:10" x14ac:dyDescent="0.3">
      <c r="A994" s="130"/>
      <c r="B994" s="37"/>
      <c r="C994" s="37"/>
      <c r="D994" s="37"/>
      <c r="E994" s="37"/>
      <c r="F994" s="37"/>
      <c r="G994" s="37"/>
      <c r="H994" s="37"/>
      <c r="I994" s="37"/>
      <c r="J994" s="37"/>
    </row>
    <row r="995" spans="1:10" x14ac:dyDescent="0.3">
      <c r="A995" s="130"/>
      <c r="B995" s="37"/>
      <c r="C995" s="37"/>
      <c r="D995" s="37"/>
      <c r="E995" s="37"/>
      <c r="F995" s="37"/>
      <c r="G995" s="37"/>
      <c r="H995" s="37"/>
      <c r="I995" s="37"/>
      <c r="J995" s="37"/>
    </row>
    <row r="996" spans="1:10" x14ac:dyDescent="0.3">
      <c r="A996" s="130"/>
      <c r="B996" s="37"/>
      <c r="C996" s="37"/>
      <c r="D996" s="37"/>
      <c r="E996" s="37"/>
      <c r="F996" s="37"/>
      <c r="G996" s="37"/>
      <c r="H996" s="37"/>
      <c r="I996" s="37"/>
      <c r="J996" s="37"/>
    </row>
    <row r="997" spans="1:10" x14ac:dyDescent="0.3">
      <c r="A997" s="130"/>
      <c r="B997" s="37"/>
      <c r="C997" s="37"/>
      <c r="D997" s="37"/>
      <c r="E997" s="37"/>
      <c r="F997" s="37"/>
      <c r="G997" s="37"/>
      <c r="H997" s="37"/>
      <c r="I997" s="37"/>
      <c r="J997" s="37"/>
    </row>
    <row r="998" spans="1:10" x14ac:dyDescent="0.3">
      <c r="A998" s="130"/>
      <c r="B998" s="37"/>
      <c r="C998" s="37"/>
      <c r="D998" s="37"/>
      <c r="E998" s="37"/>
      <c r="F998" s="37"/>
      <c r="G998" s="37"/>
      <c r="H998" s="37"/>
      <c r="I998" s="37"/>
      <c r="J998" s="37"/>
    </row>
    <row r="999" spans="1:10" x14ac:dyDescent="0.3">
      <c r="A999" s="130"/>
      <c r="B999" s="37"/>
      <c r="C999" s="37"/>
      <c r="D999" s="37"/>
      <c r="E999" s="37"/>
      <c r="F999" s="37"/>
      <c r="G999" s="37"/>
      <c r="H999" s="37"/>
      <c r="I999" s="37"/>
      <c r="J999" s="37"/>
    </row>
    <row r="1000" spans="1:10" x14ac:dyDescent="0.3">
      <c r="A1000" s="130"/>
      <c r="B1000" s="37"/>
      <c r="C1000" s="37"/>
      <c r="D1000" s="37"/>
      <c r="E1000" s="37"/>
      <c r="F1000" s="37"/>
      <c r="G1000" s="37"/>
      <c r="H1000" s="37"/>
      <c r="I1000" s="37"/>
      <c r="J1000" s="37"/>
    </row>
    <row r="1001" spans="1:10" x14ac:dyDescent="0.3">
      <c r="A1001" s="130"/>
      <c r="B1001" s="37"/>
      <c r="C1001" s="37"/>
      <c r="D1001" s="37"/>
      <c r="E1001" s="37"/>
      <c r="F1001" s="37"/>
      <c r="G1001" s="37"/>
      <c r="H1001" s="37"/>
      <c r="I1001" s="37"/>
      <c r="J1001" s="37"/>
    </row>
    <row r="1002" spans="1:10" x14ac:dyDescent="0.3">
      <c r="A1002" s="130"/>
      <c r="B1002" s="37"/>
      <c r="C1002" s="37"/>
      <c r="D1002" s="37"/>
      <c r="E1002" s="37"/>
      <c r="F1002" s="37"/>
      <c r="G1002" s="37"/>
      <c r="H1002" s="37"/>
      <c r="I1002" s="37"/>
      <c r="J1002" s="37"/>
    </row>
    <row r="1003" spans="1:10" x14ac:dyDescent="0.3">
      <c r="A1003" s="130"/>
      <c r="B1003" s="37"/>
      <c r="C1003" s="37"/>
      <c r="D1003" s="37"/>
      <c r="E1003" s="37"/>
      <c r="F1003" s="37"/>
      <c r="G1003" s="37"/>
      <c r="H1003" s="37"/>
      <c r="I1003" s="37"/>
      <c r="J1003" s="37"/>
    </row>
    <row r="1004" spans="1:10" x14ac:dyDescent="0.3">
      <c r="A1004" s="130"/>
      <c r="B1004" s="37"/>
      <c r="C1004" s="37"/>
      <c r="D1004" s="37"/>
      <c r="E1004" s="37"/>
      <c r="F1004" s="37"/>
      <c r="G1004" s="37"/>
      <c r="H1004" s="37"/>
      <c r="I1004" s="37"/>
      <c r="J1004" s="37"/>
    </row>
    <row r="1005" spans="1:10" x14ac:dyDescent="0.3">
      <c r="A1005" s="130"/>
      <c r="B1005" s="37"/>
      <c r="C1005" s="37"/>
      <c r="D1005" s="37"/>
      <c r="E1005" s="37"/>
      <c r="F1005" s="37"/>
      <c r="G1005" s="37"/>
      <c r="H1005" s="37"/>
      <c r="I1005" s="37"/>
      <c r="J1005" s="37"/>
    </row>
    <row r="1006" spans="1:10" x14ac:dyDescent="0.3">
      <c r="A1006" s="130"/>
      <c r="B1006" s="37"/>
      <c r="C1006" s="37"/>
      <c r="D1006" s="37"/>
      <c r="E1006" s="37"/>
      <c r="F1006" s="37"/>
      <c r="G1006" s="37"/>
      <c r="H1006" s="37"/>
      <c r="I1006" s="37"/>
      <c r="J1006" s="37"/>
    </row>
    <row r="1007" spans="1:10" x14ac:dyDescent="0.3">
      <c r="A1007" s="130"/>
      <c r="B1007" s="37"/>
      <c r="C1007" s="37"/>
      <c r="D1007" s="37"/>
      <c r="E1007" s="37"/>
      <c r="F1007" s="37"/>
      <c r="G1007" s="37"/>
      <c r="H1007" s="37"/>
      <c r="I1007" s="37"/>
      <c r="J1007" s="37"/>
    </row>
    <row r="1008" spans="1:10" x14ac:dyDescent="0.3">
      <c r="A1008" s="130"/>
      <c r="B1008" s="37"/>
      <c r="C1008" s="37"/>
      <c r="D1008" s="37"/>
      <c r="E1008" s="37"/>
      <c r="F1008" s="37"/>
      <c r="G1008" s="37"/>
      <c r="H1008" s="37"/>
      <c r="I1008" s="37"/>
      <c r="J1008" s="37"/>
    </row>
    <row r="1009" spans="1:10" x14ac:dyDescent="0.3">
      <c r="A1009" s="130"/>
      <c r="B1009" s="37"/>
      <c r="C1009" s="37"/>
      <c r="D1009" s="37"/>
      <c r="E1009" s="37"/>
      <c r="F1009" s="37"/>
      <c r="G1009" s="37"/>
      <c r="H1009" s="37"/>
      <c r="I1009" s="37"/>
      <c r="J1009" s="37"/>
    </row>
    <row r="1010" spans="1:10" x14ac:dyDescent="0.3">
      <c r="A1010" s="130"/>
      <c r="B1010" s="37"/>
      <c r="C1010" s="37"/>
      <c r="D1010" s="37"/>
      <c r="E1010" s="37"/>
      <c r="F1010" s="37"/>
      <c r="G1010" s="37"/>
      <c r="H1010" s="37"/>
      <c r="I1010" s="37"/>
      <c r="J1010" s="37"/>
    </row>
    <row r="1011" spans="1:10" x14ac:dyDescent="0.3">
      <c r="A1011" s="130"/>
      <c r="B1011" s="37"/>
      <c r="C1011" s="37"/>
      <c r="D1011" s="37"/>
      <c r="E1011" s="37"/>
      <c r="F1011" s="37"/>
      <c r="G1011" s="37"/>
      <c r="H1011" s="37"/>
      <c r="I1011" s="37"/>
      <c r="J1011" s="37"/>
    </row>
    <row r="1012" spans="1:10" x14ac:dyDescent="0.3">
      <c r="A1012" s="130"/>
      <c r="B1012" s="37"/>
      <c r="C1012" s="37"/>
      <c r="D1012" s="37"/>
      <c r="E1012" s="37"/>
      <c r="F1012" s="37"/>
      <c r="G1012" s="37"/>
      <c r="H1012" s="37"/>
      <c r="I1012" s="37"/>
      <c r="J1012" s="37"/>
    </row>
    <row r="1013" spans="1:10" x14ac:dyDescent="0.3">
      <c r="A1013" s="130"/>
      <c r="B1013" s="37"/>
      <c r="C1013" s="37"/>
      <c r="D1013" s="37"/>
      <c r="E1013" s="37"/>
      <c r="F1013" s="37"/>
      <c r="G1013" s="37"/>
      <c r="H1013" s="37"/>
      <c r="I1013" s="37"/>
      <c r="J1013" s="37"/>
    </row>
    <row r="1014" spans="1:10" x14ac:dyDescent="0.3">
      <c r="A1014" s="130"/>
      <c r="B1014" s="37"/>
      <c r="C1014" s="37"/>
      <c r="D1014" s="37"/>
      <c r="E1014" s="37"/>
      <c r="F1014" s="37"/>
      <c r="G1014" s="37"/>
      <c r="H1014" s="37"/>
      <c r="I1014" s="37"/>
      <c r="J1014" s="37"/>
    </row>
    <row r="1015" spans="1:10" x14ac:dyDescent="0.3">
      <c r="A1015" s="130"/>
      <c r="B1015" s="37"/>
      <c r="C1015" s="37"/>
      <c r="D1015" s="37"/>
      <c r="E1015" s="37"/>
      <c r="F1015" s="37"/>
      <c r="G1015" s="37"/>
      <c r="H1015" s="37"/>
      <c r="I1015" s="37"/>
      <c r="J1015" s="37"/>
    </row>
    <row r="1016" spans="1:10" x14ac:dyDescent="0.3">
      <c r="A1016" s="130"/>
      <c r="B1016" s="37"/>
      <c r="C1016" s="37"/>
      <c r="D1016" s="37"/>
      <c r="E1016" s="37"/>
      <c r="F1016" s="37"/>
      <c r="G1016" s="37"/>
      <c r="H1016" s="37"/>
      <c r="I1016" s="37"/>
      <c r="J1016" s="37"/>
    </row>
    <row r="1017" spans="1:10" x14ac:dyDescent="0.3">
      <c r="A1017" s="130"/>
      <c r="B1017" s="37"/>
      <c r="C1017" s="37"/>
      <c r="D1017" s="37"/>
      <c r="E1017" s="37"/>
      <c r="F1017" s="37"/>
      <c r="G1017" s="37"/>
      <c r="H1017" s="37"/>
      <c r="I1017" s="37"/>
      <c r="J1017" s="37"/>
    </row>
    <row r="1018" spans="1:10" x14ac:dyDescent="0.3">
      <c r="A1018" s="130"/>
      <c r="B1018" s="37"/>
      <c r="C1018" s="37"/>
      <c r="D1018" s="37"/>
      <c r="E1018" s="37"/>
      <c r="F1018" s="37"/>
      <c r="G1018" s="37"/>
      <c r="H1018" s="37"/>
      <c r="I1018" s="37"/>
      <c r="J1018" s="37"/>
    </row>
    <row r="1019" spans="1:10" x14ac:dyDescent="0.3">
      <c r="A1019" s="130"/>
      <c r="B1019" s="37"/>
      <c r="C1019" s="37"/>
      <c r="D1019" s="37"/>
      <c r="E1019" s="37"/>
      <c r="F1019" s="37"/>
      <c r="G1019" s="37"/>
      <c r="H1019" s="37"/>
      <c r="I1019" s="37"/>
      <c r="J1019" s="37"/>
    </row>
    <row r="1020" spans="1:10" x14ac:dyDescent="0.3">
      <c r="A1020" s="130"/>
      <c r="B1020" s="37"/>
      <c r="C1020" s="37"/>
      <c r="D1020" s="37"/>
      <c r="E1020" s="37"/>
      <c r="F1020" s="37"/>
      <c r="G1020" s="37"/>
      <c r="H1020" s="37"/>
      <c r="I1020" s="37"/>
      <c r="J1020" s="37"/>
    </row>
    <row r="1021" spans="1:10" x14ac:dyDescent="0.3">
      <c r="A1021" s="130"/>
      <c r="B1021" s="37"/>
      <c r="C1021" s="37"/>
      <c r="D1021" s="37"/>
      <c r="E1021" s="37"/>
      <c r="F1021" s="37"/>
      <c r="G1021" s="37"/>
      <c r="H1021" s="37"/>
      <c r="I1021" s="37"/>
      <c r="J1021" s="37"/>
    </row>
    <row r="1022" spans="1:10" x14ac:dyDescent="0.3">
      <c r="A1022" s="130"/>
      <c r="B1022" s="37"/>
      <c r="C1022" s="37"/>
      <c r="D1022" s="37"/>
      <c r="E1022" s="37"/>
      <c r="F1022" s="37"/>
      <c r="G1022" s="37"/>
      <c r="H1022" s="37"/>
      <c r="I1022" s="37"/>
      <c r="J1022" s="37"/>
    </row>
    <row r="1023" spans="1:10" x14ac:dyDescent="0.3">
      <c r="A1023" s="130"/>
      <c r="B1023" s="37"/>
      <c r="C1023" s="37"/>
      <c r="D1023" s="37"/>
      <c r="E1023" s="37"/>
      <c r="F1023" s="37"/>
      <c r="G1023" s="37"/>
      <c r="H1023" s="37"/>
      <c r="I1023" s="37"/>
      <c r="J1023" s="37"/>
    </row>
    <row r="1024" spans="1:10" x14ac:dyDescent="0.3">
      <c r="A1024" s="130"/>
      <c r="B1024" s="37"/>
      <c r="C1024" s="37"/>
      <c r="D1024" s="37"/>
      <c r="E1024" s="37"/>
      <c r="F1024" s="37"/>
      <c r="G1024" s="37"/>
      <c r="H1024" s="37"/>
      <c r="I1024" s="37"/>
      <c r="J1024" s="37"/>
    </row>
    <row r="1025" spans="1:10" x14ac:dyDescent="0.3">
      <c r="A1025" s="130"/>
      <c r="B1025" s="37"/>
      <c r="C1025" s="37"/>
      <c r="D1025" s="37"/>
      <c r="E1025" s="37"/>
      <c r="F1025" s="37"/>
      <c r="G1025" s="37"/>
      <c r="H1025" s="37"/>
      <c r="I1025" s="37"/>
      <c r="J1025" s="37"/>
    </row>
    <row r="1026" spans="1:10" x14ac:dyDescent="0.3">
      <c r="A1026" s="130"/>
      <c r="B1026" s="37"/>
      <c r="C1026" s="37"/>
      <c r="D1026" s="37"/>
      <c r="E1026" s="37"/>
      <c r="F1026" s="37"/>
      <c r="G1026" s="37"/>
      <c r="H1026" s="37"/>
      <c r="I1026" s="37"/>
      <c r="J1026" s="37"/>
    </row>
    <row r="1027" spans="1:10" x14ac:dyDescent="0.3">
      <c r="A1027" s="130"/>
      <c r="B1027" s="37"/>
      <c r="C1027" s="37"/>
      <c r="D1027" s="37"/>
      <c r="E1027" s="37"/>
      <c r="F1027" s="37"/>
      <c r="G1027" s="37"/>
      <c r="H1027" s="37"/>
      <c r="I1027" s="37"/>
      <c r="J1027" s="37"/>
    </row>
    <row r="1028" spans="1:10" x14ac:dyDescent="0.3">
      <c r="A1028" s="130"/>
      <c r="B1028" s="37"/>
      <c r="C1028" s="37"/>
      <c r="D1028" s="37"/>
      <c r="E1028" s="37"/>
      <c r="F1028" s="37"/>
      <c r="G1028" s="37"/>
      <c r="H1028" s="37"/>
      <c r="I1028" s="37"/>
      <c r="J1028" s="37"/>
    </row>
    <row r="1029" spans="1:10" x14ac:dyDescent="0.3">
      <c r="A1029" s="130"/>
      <c r="B1029" s="37"/>
      <c r="C1029" s="37"/>
      <c r="D1029" s="37"/>
      <c r="E1029" s="37"/>
      <c r="F1029" s="37"/>
      <c r="G1029" s="37"/>
      <c r="H1029" s="37"/>
      <c r="I1029" s="37"/>
      <c r="J1029" s="37"/>
    </row>
    <row r="1030" spans="1:10" x14ac:dyDescent="0.3">
      <c r="A1030" s="130"/>
      <c r="B1030" s="37"/>
      <c r="C1030" s="37"/>
      <c r="D1030" s="37"/>
      <c r="E1030" s="37"/>
      <c r="F1030" s="37"/>
      <c r="G1030" s="37"/>
      <c r="H1030" s="37"/>
      <c r="I1030" s="37"/>
      <c r="J1030" s="37"/>
    </row>
    <row r="1031" spans="1:10" x14ac:dyDescent="0.3">
      <c r="A1031" s="130"/>
      <c r="B1031" s="37"/>
      <c r="C1031" s="37"/>
      <c r="D1031" s="37"/>
      <c r="E1031" s="37"/>
      <c r="F1031" s="37"/>
      <c r="G1031" s="37"/>
      <c r="H1031" s="37"/>
      <c r="I1031" s="37"/>
      <c r="J1031" s="37"/>
    </row>
    <row r="1032" spans="1:10" x14ac:dyDescent="0.3">
      <c r="A1032" s="130"/>
      <c r="B1032" s="37"/>
      <c r="C1032" s="37"/>
      <c r="D1032" s="37"/>
      <c r="E1032" s="37"/>
      <c r="F1032" s="37"/>
      <c r="G1032" s="37"/>
      <c r="H1032" s="37"/>
      <c r="I1032" s="37"/>
      <c r="J1032" s="37"/>
    </row>
    <row r="1033" spans="1:10" x14ac:dyDescent="0.3">
      <c r="A1033" s="130"/>
      <c r="B1033" s="37"/>
      <c r="C1033" s="37"/>
      <c r="D1033" s="37"/>
      <c r="E1033" s="37"/>
      <c r="F1033" s="37"/>
      <c r="G1033" s="37"/>
      <c r="H1033" s="37"/>
      <c r="I1033" s="37"/>
      <c r="J1033" s="37"/>
    </row>
    <row r="1034" spans="1:10" x14ac:dyDescent="0.3">
      <c r="A1034" s="130"/>
      <c r="B1034" s="37"/>
      <c r="C1034" s="37"/>
      <c r="D1034" s="37"/>
      <c r="E1034" s="37"/>
      <c r="F1034" s="37"/>
      <c r="G1034" s="37"/>
      <c r="H1034" s="37"/>
      <c r="I1034" s="37"/>
      <c r="J1034" s="37"/>
    </row>
    <row r="1035" spans="1:10" x14ac:dyDescent="0.3">
      <c r="A1035" s="130"/>
      <c r="B1035" s="37"/>
      <c r="C1035" s="37"/>
      <c r="D1035" s="37"/>
      <c r="E1035" s="37"/>
      <c r="F1035" s="37"/>
      <c r="G1035" s="37"/>
      <c r="H1035" s="37"/>
      <c r="I1035" s="37"/>
      <c r="J1035" s="37"/>
    </row>
    <row r="1036" spans="1:10" x14ac:dyDescent="0.3">
      <c r="A1036" s="130"/>
      <c r="B1036" s="37"/>
      <c r="C1036" s="37"/>
      <c r="D1036" s="37"/>
      <c r="E1036" s="37"/>
      <c r="F1036" s="37"/>
      <c r="G1036" s="37"/>
      <c r="H1036" s="37"/>
      <c r="I1036" s="37"/>
      <c r="J1036" s="37"/>
    </row>
    <row r="1037" spans="1:10" x14ac:dyDescent="0.3">
      <c r="A1037" s="130"/>
      <c r="B1037" s="37"/>
      <c r="C1037" s="37"/>
      <c r="D1037" s="37"/>
      <c r="E1037" s="37"/>
      <c r="F1037" s="37"/>
      <c r="G1037" s="37"/>
      <c r="H1037" s="37"/>
      <c r="I1037" s="37"/>
      <c r="J1037" s="37"/>
    </row>
    <row r="1038" spans="1:10" x14ac:dyDescent="0.3">
      <c r="A1038" s="130"/>
      <c r="B1038" s="37"/>
      <c r="C1038" s="37"/>
      <c r="D1038" s="37"/>
      <c r="E1038" s="37"/>
      <c r="F1038" s="37"/>
      <c r="G1038" s="37"/>
      <c r="H1038" s="37"/>
      <c r="I1038" s="37"/>
      <c r="J1038" s="37"/>
    </row>
    <row r="1039" spans="1:10" x14ac:dyDescent="0.3">
      <c r="A1039" s="130"/>
      <c r="B1039" s="37"/>
      <c r="C1039" s="37"/>
      <c r="D1039" s="37"/>
      <c r="E1039" s="37"/>
      <c r="F1039" s="37"/>
      <c r="G1039" s="37"/>
      <c r="H1039" s="37"/>
      <c r="I1039" s="37"/>
      <c r="J1039" s="37"/>
    </row>
    <row r="1040" spans="1:10" x14ac:dyDescent="0.3">
      <c r="A1040" s="130"/>
      <c r="B1040" s="37"/>
      <c r="C1040" s="37"/>
      <c r="D1040" s="37"/>
      <c r="E1040" s="37"/>
      <c r="F1040" s="37"/>
      <c r="G1040" s="37"/>
      <c r="H1040" s="37"/>
      <c r="I1040" s="37"/>
      <c r="J1040" s="37"/>
    </row>
    <row r="1041" spans="1:10" x14ac:dyDescent="0.3">
      <c r="A1041" s="130"/>
      <c r="B1041" s="37"/>
      <c r="C1041" s="37"/>
      <c r="D1041" s="37"/>
      <c r="E1041" s="37"/>
      <c r="F1041" s="37"/>
      <c r="G1041" s="37"/>
      <c r="H1041" s="37"/>
      <c r="I1041" s="37"/>
      <c r="J1041" s="37"/>
    </row>
    <row r="1042" spans="1:10" x14ac:dyDescent="0.3">
      <c r="A1042" s="130"/>
      <c r="B1042" s="37"/>
      <c r="C1042" s="37"/>
      <c r="D1042" s="37"/>
      <c r="E1042" s="37"/>
      <c r="F1042" s="37"/>
      <c r="G1042" s="37"/>
      <c r="H1042" s="37"/>
      <c r="I1042" s="37"/>
      <c r="J1042" s="37"/>
    </row>
    <row r="1043" spans="1:10" x14ac:dyDescent="0.3">
      <c r="A1043" s="130"/>
      <c r="B1043" s="37"/>
      <c r="C1043" s="37"/>
      <c r="D1043" s="37"/>
      <c r="E1043" s="37"/>
      <c r="F1043" s="37"/>
      <c r="G1043" s="37"/>
      <c r="H1043" s="37"/>
      <c r="I1043" s="37"/>
      <c r="J1043" s="37"/>
    </row>
    <row r="1044" spans="1:10" x14ac:dyDescent="0.3">
      <c r="A1044" s="130"/>
      <c r="B1044" s="37"/>
      <c r="C1044" s="37"/>
      <c r="D1044" s="37"/>
      <c r="E1044" s="37"/>
      <c r="F1044" s="37"/>
      <c r="G1044" s="37"/>
      <c r="H1044" s="37"/>
      <c r="I1044" s="37"/>
      <c r="J1044" s="37"/>
    </row>
    <row r="1045" spans="1:10" x14ac:dyDescent="0.3">
      <c r="A1045" s="130"/>
      <c r="B1045" s="37"/>
      <c r="C1045" s="37"/>
      <c r="D1045" s="37"/>
      <c r="E1045" s="37"/>
      <c r="F1045" s="37"/>
      <c r="G1045" s="37"/>
      <c r="H1045" s="37"/>
      <c r="I1045" s="37"/>
      <c r="J1045" s="37"/>
    </row>
    <row r="1046" spans="1:10" x14ac:dyDescent="0.3">
      <c r="A1046" s="130"/>
      <c r="B1046" s="37"/>
      <c r="C1046" s="37"/>
      <c r="D1046" s="37"/>
      <c r="E1046" s="37"/>
      <c r="F1046" s="37"/>
      <c r="G1046" s="37"/>
      <c r="H1046" s="37"/>
      <c r="I1046" s="37"/>
      <c r="J1046" s="37"/>
    </row>
    <row r="1047" spans="1:10" x14ac:dyDescent="0.3">
      <c r="A1047" s="130"/>
      <c r="B1047" s="37"/>
      <c r="C1047" s="37"/>
      <c r="D1047" s="37"/>
      <c r="E1047" s="37"/>
      <c r="F1047" s="37"/>
      <c r="G1047" s="37"/>
      <c r="H1047" s="37"/>
      <c r="I1047" s="37"/>
      <c r="J1047" s="37"/>
    </row>
    <row r="1048" spans="1:10" x14ac:dyDescent="0.3">
      <c r="A1048" s="130"/>
      <c r="B1048" s="37"/>
      <c r="C1048" s="37"/>
      <c r="D1048" s="37"/>
      <c r="E1048" s="37"/>
      <c r="F1048" s="37"/>
      <c r="G1048" s="37"/>
      <c r="H1048" s="37"/>
      <c r="I1048" s="37"/>
      <c r="J1048" s="37"/>
    </row>
    <row r="1049" spans="1:10" x14ac:dyDescent="0.3">
      <c r="A1049" s="130"/>
      <c r="B1049" s="37"/>
      <c r="C1049" s="37"/>
      <c r="D1049" s="37"/>
      <c r="E1049" s="37"/>
      <c r="F1049" s="37"/>
      <c r="G1049" s="37"/>
      <c r="H1049" s="37"/>
      <c r="I1049" s="37"/>
      <c r="J1049" s="37"/>
    </row>
    <row r="1050" spans="1:10" x14ac:dyDescent="0.3">
      <c r="A1050" s="130"/>
      <c r="B1050" s="37"/>
      <c r="C1050" s="37"/>
      <c r="D1050" s="37"/>
      <c r="E1050" s="37"/>
      <c r="F1050" s="37"/>
      <c r="G1050" s="37"/>
      <c r="H1050" s="37"/>
      <c r="I1050" s="37"/>
      <c r="J1050" s="37"/>
    </row>
    <row r="1051" spans="1:10" x14ac:dyDescent="0.3">
      <c r="A1051" s="130"/>
      <c r="B1051" s="37"/>
      <c r="C1051" s="37"/>
      <c r="D1051" s="37"/>
      <c r="E1051" s="37"/>
      <c r="F1051" s="37"/>
      <c r="G1051" s="37"/>
      <c r="H1051" s="37"/>
      <c r="I1051" s="37"/>
      <c r="J1051" s="37"/>
    </row>
    <row r="1052" spans="1:10" x14ac:dyDescent="0.3">
      <c r="A1052" s="130"/>
      <c r="B1052" s="37"/>
      <c r="C1052" s="37"/>
      <c r="D1052" s="37"/>
      <c r="E1052" s="37"/>
      <c r="F1052" s="37"/>
      <c r="G1052" s="37"/>
      <c r="H1052" s="37"/>
      <c r="I1052" s="37"/>
      <c r="J1052" s="37"/>
    </row>
    <row r="1053" spans="1:10" x14ac:dyDescent="0.3">
      <c r="A1053" s="130"/>
      <c r="B1053" s="37"/>
      <c r="C1053" s="37"/>
      <c r="D1053" s="37"/>
      <c r="E1053" s="37"/>
      <c r="F1053" s="37"/>
      <c r="G1053" s="37"/>
      <c r="H1053" s="37"/>
      <c r="I1053" s="37"/>
      <c r="J1053" s="37"/>
    </row>
    <row r="1054" spans="1:10" x14ac:dyDescent="0.3">
      <c r="A1054" s="130"/>
      <c r="B1054" s="37"/>
      <c r="C1054" s="37"/>
      <c r="D1054" s="37"/>
      <c r="E1054" s="37"/>
      <c r="F1054" s="37"/>
      <c r="G1054" s="37"/>
      <c r="H1054" s="37"/>
      <c r="I1054" s="37"/>
      <c r="J1054" s="37"/>
    </row>
    <row r="1055" spans="1:10" x14ac:dyDescent="0.3">
      <c r="A1055" s="130"/>
      <c r="B1055" s="37"/>
      <c r="C1055" s="37"/>
      <c r="D1055" s="37"/>
      <c r="E1055" s="37"/>
      <c r="F1055" s="37"/>
      <c r="G1055" s="37"/>
      <c r="H1055" s="37"/>
      <c r="I1055" s="37"/>
      <c r="J1055" s="37"/>
    </row>
    <row r="1056" spans="1:10" x14ac:dyDescent="0.3">
      <c r="A1056" s="130"/>
      <c r="B1056" s="37"/>
      <c r="C1056" s="37"/>
      <c r="D1056" s="37"/>
      <c r="E1056" s="37"/>
      <c r="F1056" s="37"/>
      <c r="G1056" s="37"/>
      <c r="H1056" s="37"/>
      <c r="I1056" s="37"/>
      <c r="J1056" s="37"/>
    </row>
    <row r="1057" spans="1:10" x14ac:dyDescent="0.3">
      <c r="A1057" s="130"/>
      <c r="B1057" s="37"/>
      <c r="C1057" s="37"/>
      <c r="D1057" s="37"/>
      <c r="E1057" s="37"/>
      <c r="F1057" s="37"/>
      <c r="G1057" s="37"/>
      <c r="H1057" s="37"/>
      <c r="I1057" s="37"/>
      <c r="J1057" s="37"/>
    </row>
    <row r="1058" spans="1:10" x14ac:dyDescent="0.3">
      <c r="A1058" s="130"/>
      <c r="B1058" s="37"/>
      <c r="C1058" s="37"/>
      <c r="D1058" s="37"/>
      <c r="E1058" s="37"/>
      <c r="F1058" s="37"/>
      <c r="G1058" s="37"/>
      <c r="H1058" s="37"/>
      <c r="I1058" s="37"/>
      <c r="J1058" s="37"/>
    </row>
    <row r="1059" spans="1:10" x14ac:dyDescent="0.3">
      <c r="A1059" s="130"/>
      <c r="B1059" s="37"/>
      <c r="C1059" s="37"/>
      <c r="D1059" s="37"/>
      <c r="E1059" s="37"/>
      <c r="F1059" s="37"/>
      <c r="G1059" s="37"/>
      <c r="H1059" s="37"/>
      <c r="I1059" s="37"/>
      <c r="J1059" s="37"/>
    </row>
    <row r="1060" spans="1:10" x14ac:dyDescent="0.3">
      <c r="A1060" s="130"/>
      <c r="B1060" s="37"/>
      <c r="C1060" s="37"/>
      <c r="D1060" s="37"/>
      <c r="E1060" s="37"/>
      <c r="F1060" s="37"/>
      <c r="G1060" s="37"/>
      <c r="H1060" s="37"/>
      <c r="I1060" s="37"/>
      <c r="J1060" s="37"/>
    </row>
    <row r="1061" spans="1:10" x14ac:dyDescent="0.3">
      <c r="A1061" s="130"/>
      <c r="B1061" s="37"/>
      <c r="C1061" s="37"/>
      <c r="D1061" s="37"/>
      <c r="E1061" s="37"/>
      <c r="F1061" s="37"/>
      <c r="G1061" s="37"/>
      <c r="H1061" s="37"/>
      <c r="I1061" s="37"/>
      <c r="J1061" s="37"/>
    </row>
    <row r="1062" spans="1:10" x14ac:dyDescent="0.3">
      <c r="A1062" s="130"/>
      <c r="B1062" s="37"/>
      <c r="C1062" s="37"/>
      <c r="D1062" s="37"/>
      <c r="E1062" s="37"/>
      <c r="F1062" s="37"/>
      <c r="G1062" s="37"/>
      <c r="H1062" s="37"/>
      <c r="I1062" s="37"/>
      <c r="J1062" s="37"/>
    </row>
    <row r="1063" spans="1:10" x14ac:dyDescent="0.3">
      <c r="A1063" s="130"/>
      <c r="B1063" s="37"/>
      <c r="C1063" s="37"/>
      <c r="D1063" s="37"/>
      <c r="E1063" s="37"/>
      <c r="F1063" s="37"/>
      <c r="G1063" s="37"/>
      <c r="H1063" s="37"/>
      <c r="I1063" s="37"/>
      <c r="J1063" s="37"/>
    </row>
    <row r="1064" spans="1:10" x14ac:dyDescent="0.3">
      <c r="A1064" s="130"/>
      <c r="B1064" s="37"/>
      <c r="C1064" s="37"/>
      <c r="D1064" s="37"/>
      <c r="E1064" s="37"/>
      <c r="F1064" s="37"/>
      <c r="G1064" s="37"/>
      <c r="H1064" s="37"/>
      <c r="I1064" s="37"/>
      <c r="J1064" s="37"/>
    </row>
    <row r="1065" spans="1:10" x14ac:dyDescent="0.3">
      <c r="A1065" s="130"/>
      <c r="B1065" s="37"/>
      <c r="C1065" s="37"/>
      <c r="D1065" s="37"/>
      <c r="E1065" s="37"/>
      <c r="F1065" s="37"/>
      <c r="G1065" s="37"/>
      <c r="H1065" s="37"/>
      <c r="I1065" s="37"/>
      <c r="J1065" s="37"/>
    </row>
    <row r="1066" spans="1:10" x14ac:dyDescent="0.3">
      <c r="A1066" s="130"/>
      <c r="B1066" s="37"/>
      <c r="C1066" s="37"/>
      <c r="D1066" s="37"/>
      <c r="E1066" s="37"/>
      <c r="F1066" s="37"/>
      <c r="G1066" s="37"/>
      <c r="H1066" s="37"/>
      <c r="I1066" s="37"/>
      <c r="J1066" s="37"/>
    </row>
    <row r="1067" spans="1:10" x14ac:dyDescent="0.3">
      <c r="A1067" s="130"/>
      <c r="B1067" s="37"/>
      <c r="C1067" s="37"/>
      <c r="D1067" s="37"/>
      <c r="E1067" s="37"/>
      <c r="F1067" s="37"/>
      <c r="G1067" s="37"/>
      <c r="H1067" s="37"/>
      <c r="I1067" s="37"/>
      <c r="J1067" s="37"/>
    </row>
    <row r="1068" spans="1:10" x14ac:dyDescent="0.3">
      <c r="A1068" s="130"/>
      <c r="B1068" s="37"/>
      <c r="C1068" s="37"/>
      <c r="D1068" s="37"/>
      <c r="E1068" s="37"/>
      <c r="F1068" s="37"/>
      <c r="G1068" s="37"/>
      <c r="H1068" s="37"/>
      <c r="I1068" s="37"/>
      <c r="J1068" s="37"/>
    </row>
    <row r="1069" spans="1:10" x14ac:dyDescent="0.3">
      <c r="A1069" s="130"/>
      <c r="B1069" s="37"/>
      <c r="C1069" s="37"/>
      <c r="D1069" s="37"/>
      <c r="E1069" s="37"/>
      <c r="F1069" s="37"/>
      <c r="G1069" s="37"/>
      <c r="H1069" s="37"/>
      <c r="I1069" s="37"/>
      <c r="J1069" s="37"/>
    </row>
    <row r="1070" spans="1:10" x14ac:dyDescent="0.3">
      <c r="A1070" s="130"/>
      <c r="B1070" s="37"/>
      <c r="C1070" s="37"/>
      <c r="D1070" s="37"/>
      <c r="E1070" s="37"/>
      <c r="F1070" s="37"/>
      <c r="G1070" s="37"/>
      <c r="H1070" s="37"/>
      <c r="I1070" s="37"/>
      <c r="J1070" s="37"/>
    </row>
    <row r="1071" spans="1:10" x14ac:dyDescent="0.3">
      <c r="A1071" s="130"/>
      <c r="B1071" s="37"/>
      <c r="C1071" s="37"/>
      <c r="D1071" s="37"/>
      <c r="E1071" s="37"/>
      <c r="F1071" s="37"/>
      <c r="G1071" s="37"/>
      <c r="H1071" s="37"/>
      <c r="I1071" s="37"/>
      <c r="J1071" s="37"/>
    </row>
    <row r="1072" spans="1:10" x14ac:dyDescent="0.3">
      <c r="A1072" s="130"/>
      <c r="B1072" s="37"/>
      <c r="C1072" s="37"/>
      <c r="D1072" s="37"/>
      <c r="E1072" s="37"/>
      <c r="F1072" s="37"/>
      <c r="G1072" s="37"/>
      <c r="H1072" s="37"/>
      <c r="I1072" s="37"/>
      <c r="J1072" s="37"/>
    </row>
    <row r="1073" spans="1:10" x14ac:dyDescent="0.3">
      <c r="A1073" s="130"/>
      <c r="B1073" s="37"/>
      <c r="C1073" s="37"/>
      <c r="D1073" s="37"/>
      <c r="E1073" s="37"/>
      <c r="F1073" s="37"/>
      <c r="G1073" s="37"/>
      <c r="H1073" s="37"/>
      <c r="I1073" s="37"/>
      <c r="J1073" s="37"/>
    </row>
    <row r="1074" spans="1:10" x14ac:dyDescent="0.3">
      <c r="A1074" s="130"/>
      <c r="B1074" s="37"/>
      <c r="C1074" s="37"/>
      <c r="D1074" s="37"/>
      <c r="E1074" s="37"/>
      <c r="F1074" s="37"/>
      <c r="G1074" s="37"/>
      <c r="H1074" s="37"/>
      <c r="I1074" s="37"/>
      <c r="J1074" s="37"/>
    </row>
    <row r="1075" spans="1:10" x14ac:dyDescent="0.3">
      <c r="A1075" s="130"/>
      <c r="B1075" s="37"/>
      <c r="C1075" s="37"/>
      <c r="D1075" s="37"/>
      <c r="E1075" s="37"/>
      <c r="F1075" s="37"/>
      <c r="G1075" s="37"/>
      <c r="H1075" s="37"/>
      <c r="I1075" s="37"/>
      <c r="J1075" s="37"/>
    </row>
    <row r="1076" spans="1:10" x14ac:dyDescent="0.3">
      <c r="A1076" s="130"/>
      <c r="B1076" s="37"/>
      <c r="C1076" s="37"/>
      <c r="D1076" s="37"/>
      <c r="E1076" s="37"/>
      <c r="F1076" s="37"/>
      <c r="G1076" s="37"/>
      <c r="H1076" s="37"/>
      <c r="I1076" s="37"/>
      <c r="J1076" s="37"/>
    </row>
    <row r="1077" spans="1:10" x14ac:dyDescent="0.3">
      <c r="A1077" s="130"/>
      <c r="B1077" s="37"/>
      <c r="C1077" s="37"/>
      <c r="D1077" s="37"/>
      <c r="E1077" s="37"/>
      <c r="F1077" s="37"/>
      <c r="G1077" s="37"/>
      <c r="H1077" s="37"/>
      <c r="I1077" s="37"/>
      <c r="J1077" s="37"/>
    </row>
    <row r="1078" spans="1:10" x14ac:dyDescent="0.3">
      <c r="A1078" s="130"/>
      <c r="B1078" s="37"/>
      <c r="C1078" s="37"/>
      <c r="D1078" s="37"/>
      <c r="E1078" s="37"/>
      <c r="F1078" s="37"/>
      <c r="G1078" s="37"/>
      <c r="H1078" s="37"/>
      <c r="I1078" s="37"/>
      <c r="J1078" s="37"/>
    </row>
    <row r="1079" spans="1:10" x14ac:dyDescent="0.3">
      <c r="A1079" s="130"/>
      <c r="B1079" s="37"/>
      <c r="C1079" s="37"/>
      <c r="D1079" s="37"/>
      <c r="E1079" s="37"/>
      <c r="F1079" s="37"/>
      <c r="G1079" s="37"/>
      <c r="H1079" s="37"/>
      <c r="I1079" s="37"/>
      <c r="J1079" s="37"/>
    </row>
    <row r="1080" spans="1:10" x14ac:dyDescent="0.3">
      <c r="A1080" s="130"/>
      <c r="B1080" s="37"/>
      <c r="C1080" s="37"/>
      <c r="D1080" s="37"/>
      <c r="E1080" s="37"/>
      <c r="F1080" s="37"/>
      <c r="G1080" s="37"/>
      <c r="H1080" s="37"/>
      <c r="I1080" s="37"/>
      <c r="J1080" s="37"/>
    </row>
    <row r="1081" spans="1:10" x14ac:dyDescent="0.3">
      <c r="A1081" s="130"/>
      <c r="B1081" s="37"/>
      <c r="C1081" s="37"/>
      <c r="D1081" s="37"/>
      <c r="E1081" s="37"/>
      <c r="F1081" s="37"/>
      <c r="G1081" s="37"/>
      <c r="H1081" s="37"/>
      <c r="I1081" s="37"/>
      <c r="J1081" s="37"/>
    </row>
    <row r="1082" spans="1:10" x14ac:dyDescent="0.3">
      <c r="A1082" s="130"/>
      <c r="B1082" s="37"/>
      <c r="C1082" s="37"/>
      <c r="D1082" s="37"/>
      <c r="E1082" s="37"/>
      <c r="F1082" s="37"/>
      <c r="G1082" s="37"/>
      <c r="H1082" s="37"/>
      <c r="I1082" s="37"/>
      <c r="J1082" s="37"/>
    </row>
    <row r="1083" spans="1:10" x14ac:dyDescent="0.3">
      <c r="A1083" s="130"/>
      <c r="B1083" s="37"/>
      <c r="C1083" s="37"/>
      <c r="D1083" s="37"/>
      <c r="E1083" s="37"/>
      <c r="F1083" s="37"/>
      <c r="G1083" s="37"/>
      <c r="H1083" s="37"/>
      <c r="I1083" s="37"/>
      <c r="J1083" s="37"/>
    </row>
    <row r="1084" spans="1:10" x14ac:dyDescent="0.3">
      <c r="A1084" s="130"/>
      <c r="B1084" s="37"/>
      <c r="C1084" s="37"/>
      <c r="D1084" s="37"/>
      <c r="E1084" s="37"/>
      <c r="F1084" s="37"/>
      <c r="G1084" s="37"/>
      <c r="H1084" s="37"/>
      <c r="I1084" s="37"/>
      <c r="J1084" s="37"/>
    </row>
    <row r="1085" spans="1:10" x14ac:dyDescent="0.3">
      <c r="A1085" s="130"/>
      <c r="B1085" s="37"/>
      <c r="C1085" s="37"/>
      <c r="D1085" s="37"/>
      <c r="E1085" s="37"/>
      <c r="F1085" s="37"/>
      <c r="G1085" s="37"/>
      <c r="H1085" s="37"/>
      <c r="I1085" s="37"/>
      <c r="J1085" s="37"/>
    </row>
    <row r="1086" spans="1:10" x14ac:dyDescent="0.3">
      <c r="A1086" s="130"/>
      <c r="B1086" s="37"/>
      <c r="C1086" s="37"/>
      <c r="D1086" s="37"/>
      <c r="E1086" s="37"/>
      <c r="F1086" s="37"/>
      <c r="G1086" s="37"/>
      <c r="H1086" s="37"/>
      <c r="I1086" s="37"/>
      <c r="J1086" s="37"/>
    </row>
    <row r="1087" spans="1:10" x14ac:dyDescent="0.3">
      <c r="A1087" s="130"/>
      <c r="B1087" s="37"/>
      <c r="C1087" s="37"/>
      <c r="D1087" s="37"/>
      <c r="E1087" s="37"/>
      <c r="F1087" s="37"/>
      <c r="G1087" s="37"/>
      <c r="H1087" s="37"/>
      <c r="I1087" s="37"/>
      <c r="J1087" s="37"/>
    </row>
    <row r="1088" spans="1:10" x14ac:dyDescent="0.3">
      <c r="A1088" s="130"/>
      <c r="B1088" s="37"/>
      <c r="C1088" s="37"/>
      <c r="D1088" s="37"/>
      <c r="E1088" s="37"/>
      <c r="F1088" s="37"/>
      <c r="G1088" s="37"/>
      <c r="H1088" s="37"/>
      <c r="I1088" s="37"/>
      <c r="J1088" s="37"/>
    </row>
    <row r="1089" spans="1:10" x14ac:dyDescent="0.3">
      <c r="A1089" s="130"/>
      <c r="B1089" s="37"/>
      <c r="C1089" s="37"/>
      <c r="D1089" s="37"/>
      <c r="E1089" s="37"/>
      <c r="F1089" s="37"/>
      <c r="G1089" s="37"/>
      <c r="H1089" s="37"/>
      <c r="I1089" s="37"/>
      <c r="J1089" s="37"/>
    </row>
    <row r="1090" spans="1:10" x14ac:dyDescent="0.3">
      <c r="A1090" s="130"/>
      <c r="B1090" s="37"/>
      <c r="C1090" s="37"/>
      <c r="D1090" s="37"/>
      <c r="E1090" s="37"/>
      <c r="F1090" s="37"/>
      <c r="G1090" s="37"/>
      <c r="H1090" s="37"/>
      <c r="I1090" s="37"/>
      <c r="J1090" s="37"/>
    </row>
    <row r="1091" spans="1:10" x14ac:dyDescent="0.3">
      <c r="A1091" s="130"/>
      <c r="B1091" s="37"/>
      <c r="C1091" s="37"/>
      <c r="D1091" s="37"/>
      <c r="E1091" s="37"/>
      <c r="F1091" s="37"/>
      <c r="G1091" s="37"/>
      <c r="H1091" s="37"/>
      <c r="I1091" s="37"/>
      <c r="J1091" s="37"/>
    </row>
    <row r="1092" spans="1:10" x14ac:dyDescent="0.3">
      <c r="A1092" s="130"/>
      <c r="B1092" s="37"/>
      <c r="C1092" s="37"/>
      <c r="D1092" s="37"/>
      <c r="E1092" s="37"/>
      <c r="F1092" s="37"/>
      <c r="G1092" s="37"/>
      <c r="H1092" s="37"/>
      <c r="I1092" s="37"/>
      <c r="J1092" s="37"/>
    </row>
    <row r="1093" spans="1:10" x14ac:dyDescent="0.3">
      <c r="A1093" s="130"/>
      <c r="B1093" s="37"/>
      <c r="C1093" s="37"/>
      <c r="D1093" s="37"/>
      <c r="E1093" s="37"/>
      <c r="F1093" s="37"/>
      <c r="G1093" s="37"/>
      <c r="H1093" s="37"/>
      <c r="I1093" s="37"/>
      <c r="J1093" s="37"/>
    </row>
    <row r="1094" spans="1:10" x14ac:dyDescent="0.3">
      <c r="A1094" s="130"/>
      <c r="B1094" s="37"/>
      <c r="C1094" s="37"/>
      <c r="D1094" s="37"/>
      <c r="E1094" s="37"/>
      <c r="F1094" s="37"/>
      <c r="G1094" s="37"/>
      <c r="H1094" s="37"/>
      <c r="I1094" s="37"/>
      <c r="J1094" s="37"/>
    </row>
    <row r="1095" spans="1:10" x14ac:dyDescent="0.3">
      <c r="A1095" s="130"/>
      <c r="B1095" s="37"/>
      <c r="C1095" s="37"/>
      <c r="D1095" s="37"/>
      <c r="E1095" s="37"/>
      <c r="F1095" s="37"/>
      <c r="G1095" s="37"/>
      <c r="H1095" s="37"/>
      <c r="I1095" s="37"/>
      <c r="J1095" s="37"/>
    </row>
    <row r="1096" spans="1:10" x14ac:dyDescent="0.3">
      <c r="A1096" s="130"/>
      <c r="B1096" s="37"/>
      <c r="C1096" s="37"/>
      <c r="D1096" s="37"/>
      <c r="E1096" s="37"/>
      <c r="F1096" s="37"/>
      <c r="G1096" s="37"/>
      <c r="H1096" s="37"/>
      <c r="I1096" s="37"/>
      <c r="J1096" s="37"/>
    </row>
    <row r="1097" spans="1:10" x14ac:dyDescent="0.3">
      <c r="A1097" s="130"/>
      <c r="B1097" s="37"/>
      <c r="C1097" s="37"/>
      <c r="D1097" s="37"/>
      <c r="E1097" s="37"/>
      <c r="F1097" s="37"/>
      <c r="G1097" s="37"/>
      <c r="H1097" s="37"/>
      <c r="I1097" s="37"/>
      <c r="J1097" s="37"/>
    </row>
    <row r="1098" spans="1:10" x14ac:dyDescent="0.3">
      <c r="A1098" s="130"/>
      <c r="B1098" s="37"/>
      <c r="C1098" s="37"/>
      <c r="D1098" s="37"/>
      <c r="E1098" s="37"/>
      <c r="F1098" s="37"/>
      <c r="G1098" s="37"/>
      <c r="H1098" s="37"/>
      <c r="I1098" s="37"/>
      <c r="J1098" s="37"/>
    </row>
    <row r="1099" spans="1:10" x14ac:dyDescent="0.3">
      <c r="A1099" s="130"/>
      <c r="B1099" s="37"/>
      <c r="C1099" s="37"/>
      <c r="D1099" s="37"/>
      <c r="E1099" s="37"/>
      <c r="F1099" s="37"/>
      <c r="G1099" s="37"/>
      <c r="H1099" s="37"/>
      <c r="I1099" s="37"/>
      <c r="J1099" s="37"/>
    </row>
    <row r="1100" spans="1:10" x14ac:dyDescent="0.3">
      <c r="A1100" s="130"/>
      <c r="B1100" s="37"/>
      <c r="C1100" s="37"/>
      <c r="D1100" s="37"/>
      <c r="E1100" s="37"/>
      <c r="F1100" s="37"/>
      <c r="G1100" s="37"/>
      <c r="H1100" s="37"/>
      <c r="I1100" s="37"/>
      <c r="J1100" s="37"/>
    </row>
    <row r="1101" spans="1:10" x14ac:dyDescent="0.3">
      <c r="A1101" s="130"/>
      <c r="B1101" s="37"/>
      <c r="C1101" s="37"/>
      <c r="D1101" s="37"/>
      <c r="E1101" s="37"/>
      <c r="F1101" s="37"/>
      <c r="G1101" s="37"/>
      <c r="H1101" s="37"/>
      <c r="I1101" s="37"/>
      <c r="J1101" s="37"/>
    </row>
    <row r="1102" spans="1:10" x14ac:dyDescent="0.3">
      <c r="A1102" s="130"/>
      <c r="B1102" s="37"/>
      <c r="C1102" s="37"/>
      <c r="D1102" s="37"/>
      <c r="E1102" s="37"/>
      <c r="F1102" s="37"/>
      <c r="G1102" s="37"/>
      <c r="H1102" s="37"/>
      <c r="I1102" s="37"/>
      <c r="J1102" s="37"/>
    </row>
    <row r="1103" spans="1:10" x14ac:dyDescent="0.3">
      <c r="A1103" s="130"/>
      <c r="B1103" s="37"/>
      <c r="C1103" s="37"/>
      <c r="D1103" s="37"/>
      <c r="E1103" s="37"/>
      <c r="F1103" s="37"/>
      <c r="G1103" s="37"/>
      <c r="H1103" s="37"/>
      <c r="I1103" s="37"/>
      <c r="J1103" s="37"/>
    </row>
    <row r="1104" spans="1:10" x14ac:dyDescent="0.3">
      <c r="A1104" s="130"/>
      <c r="B1104" s="37"/>
      <c r="C1104" s="37"/>
      <c r="D1104" s="37"/>
      <c r="E1104" s="37"/>
      <c r="F1104" s="37"/>
      <c r="G1104" s="37"/>
      <c r="H1104" s="37"/>
      <c r="I1104" s="37"/>
      <c r="J1104" s="37"/>
    </row>
    <row r="1105" spans="1:10" x14ac:dyDescent="0.3">
      <c r="A1105" s="130"/>
      <c r="B1105" s="37"/>
      <c r="C1105" s="37"/>
      <c r="D1105" s="37"/>
      <c r="E1105" s="37"/>
      <c r="F1105" s="37"/>
      <c r="G1105" s="37"/>
      <c r="H1105" s="37"/>
      <c r="I1105" s="37"/>
      <c r="J1105" s="37"/>
    </row>
    <row r="1106" spans="1:10" x14ac:dyDescent="0.3">
      <c r="A1106" s="130"/>
      <c r="B1106" s="37"/>
      <c r="C1106" s="37"/>
      <c r="D1106" s="37"/>
      <c r="E1106" s="37"/>
      <c r="F1106" s="37"/>
      <c r="G1106" s="37"/>
      <c r="H1106" s="37"/>
      <c r="I1106" s="37"/>
      <c r="J1106" s="37"/>
    </row>
    <row r="1107" spans="1:10" x14ac:dyDescent="0.3">
      <c r="A1107" s="130"/>
      <c r="B1107" s="37"/>
      <c r="C1107" s="37"/>
      <c r="D1107" s="37"/>
      <c r="E1107" s="37"/>
      <c r="F1107" s="37"/>
      <c r="G1107" s="37"/>
      <c r="H1107" s="37"/>
      <c r="I1107" s="37"/>
      <c r="J1107" s="37"/>
    </row>
    <row r="1108" spans="1:10" x14ac:dyDescent="0.3">
      <c r="A1108" s="130"/>
      <c r="B1108" s="37"/>
      <c r="C1108" s="37"/>
      <c r="D1108" s="37"/>
      <c r="E1108" s="37"/>
      <c r="F1108" s="37"/>
      <c r="G1108" s="37"/>
      <c r="H1108" s="37"/>
      <c r="I1108" s="37"/>
      <c r="J1108" s="37"/>
    </row>
    <row r="1109" spans="1:10" x14ac:dyDescent="0.3">
      <c r="A1109" s="130"/>
      <c r="B1109" s="37"/>
      <c r="C1109" s="37"/>
      <c r="D1109" s="37"/>
      <c r="E1109" s="37"/>
      <c r="F1109" s="37"/>
      <c r="G1109" s="37"/>
      <c r="H1109" s="37"/>
      <c r="I1109" s="37"/>
      <c r="J1109" s="37"/>
    </row>
    <row r="1110" spans="1:10" x14ac:dyDescent="0.3">
      <c r="A1110" s="130"/>
      <c r="B1110" s="37"/>
      <c r="C1110" s="37"/>
      <c r="D1110" s="37"/>
      <c r="E1110" s="37"/>
      <c r="F1110" s="37"/>
      <c r="G1110" s="37"/>
      <c r="H1110" s="37"/>
      <c r="I1110" s="37"/>
      <c r="J1110" s="37"/>
    </row>
    <row r="1111" spans="1:10" x14ac:dyDescent="0.3">
      <c r="A1111" s="130"/>
      <c r="B1111" s="37"/>
      <c r="C1111" s="37"/>
      <c r="D1111" s="37"/>
      <c r="E1111" s="37"/>
      <c r="F1111" s="37"/>
      <c r="G1111" s="37"/>
      <c r="H1111" s="37"/>
      <c r="I1111" s="37"/>
      <c r="J1111" s="37"/>
    </row>
    <row r="1112" spans="1:10" x14ac:dyDescent="0.3">
      <c r="A1112" s="130"/>
      <c r="B1112" s="37"/>
      <c r="C1112" s="37"/>
      <c r="D1112" s="37"/>
      <c r="E1112" s="37"/>
      <c r="F1112" s="37"/>
      <c r="G1112" s="37"/>
      <c r="H1112" s="37"/>
      <c r="I1112" s="37"/>
      <c r="J1112" s="37"/>
    </row>
    <row r="1113" spans="1:10" x14ac:dyDescent="0.3">
      <c r="A1113" s="130"/>
      <c r="B1113" s="37"/>
      <c r="C1113" s="37"/>
      <c r="D1113" s="37"/>
      <c r="E1113" s="37"/>
      <c r="F1113" s="37"/>
      <c r="G1113" s="37"/>
      <c r="H1113" s="37"/>
      <c r="I1113" s="37"/>
      <c r="J1113" s="37"/>
    </row>
    <row r="1114" spans="1:10" x14ac:dyDescent="0.3">
      <c r="A1114" s="130"/>
      <c r="B1114" s="37"/>
      <c r="C1114" s="37"/>
      <c r="D1114" s="37"/>
      <c r="E1114" s="37"/>
      <c r="F1114" s="37"/>
      <c r="G1114" s="37"/>
      <c r="H1114" s="37"/>
      <c r="I1114" s="37"/>
      <c r="J1114" s="37"/>
    </row>
    <row r="1115" spans="1:10" x14ac:dyDescent="0.3">
      <c r="A1115" s="130"/>
      <c r="B1115" s="37"/>
      <c r="C1115" s="37"/>
      <c r="D1115" s="37"/>
      <c r="E1115" s="37"/>
      <c r="F1115" s="37"/>
      <c r="G1115" s="37"/>
      <c r="H1115" s="37"/>
      <c r="I1115" s="37"/>
      <c r="J1115" s="37"/>
    </row>
    <row r="1116" spans="1:10" x14ac:dyDescent="0.3">
      <c r="A1116" s="130"/>
      <c r="B1116" s="37"/>
      <c r="C1116" s="37"/>
      <c r="D1116" s="37"/>
      <c r="E1116" s="37"/>
      <c r="F1116" s="37"/>
      <c r="G1116" s="37"/>
      <c r="H1116" s="37"/>
      <c r="I1116" s="37"/>
      <c r="J1116" s="37"/>
    </row>
    <row r="1117" spans="1:10" x14ac:dyDescent="0.3">
      <c r="A1117" s="130"/>
      <c r="B1117" s="37"/>
      <c r="C1117" s="37"/>
      <c r="D1117" s="37"/>
      <c r="E1117" s="37"/>
      <c r="F1117" s="37"/>
      <c r="G1117" s="37"/>
      <c r="H1117" s="37"/>
      <c r="I1117" s="37"/>
      <c r="J1117" s="37"/>
    </row>
    <row r="1118" spans="1:10" x14ac:dyDescent="0.3">
      <c r="A1118" s="130"/>
      <c r="B1118" s="37"/>
      <c r="C1118" s="37"/>
      <c r="D1118" s="37"/>
      <c r="E1118" s="37"/>
      <c r="F1118" s="37"/>
      <c r="G1118" s="37"/>
      <c r="H1118" s="37"/>
      <c r="I1118" s="37"/>
      <c r="J1118" s="37"/>
    </row>
    <row r="1119" spans="1:10" x14ac:dyDescent="0.3">
      <c r="A1119" s="130"/>
      <c r="B1119" s="37"/>
      <c r="C1119" s="37"/>
      <c r="D1119" s="37"/>
      <c r="E1119" s="37"/>
      <c r="F1119" s="37"/>
      <c r="G1119" s="37"/>
      <c r="H1119" s="37"/>
      <c r="I1119" s="37"/>
      <c r="J1119" s="37"/>
    </row>
    <row r="1120" spans="1:10" x14ac:dyDescent="0.3">
      <c r="A1120" s="130"/>
      <c r="B1120" s="37"/>
      <c r="C1120" s="37"/>
      <c r="D1120" s="37"/>
      <c r="E1120" s="37"/>
      <c r="F1120" s="37"/>
      <c r="G1120" s="37"/>
      <c r="H1120" s="37"/>
      <c r="I1120" s="37"/>
      <c r="J1120" s="37"/>
    </row>
    <row r="1121" spans="1:10" x14ac:dyDescent="0.3">
      <c r="A1121" s="130"/>
      <c r="B1121" s="37"/>
      <c r="C1121" s="37"/>
      <c r="D1121" s="37"/>
      <c r="E1121" s="37"/>
      <c r="F1121" s="37"/>
      <c r="G1121" s="37"/>
      <c r="H1121" s="37"/>
      <c r="I1121" s="37"/>
      <c r="J1121" s="37"/>
    </row>
    <row r="1122" spans="1:10" x14ac:dyDescent="0.3">
      <c r="A1122" s="130"/>
      <c r="B1122" s="37"/>
      <c r="C1122" s="37"/>
      <c r="D1122" s="37"/>
      <c r="E1122" s="37"/>
      <c r="F1122" s="37"/>
      <c r="G1122" s="37"/>
      <c r="H1122" s="37"/>
      <c r="I1122" s="37"/>
      <c r="J1122" s="37"/>
    </row>
    <row r="1123" spans="1:10" x14ac:dyDescent="0.3">
      <c r="A1123" s="130"/>
      <c r="B1123" s="37"/>
      <c r="C1123" s="37"/>
      <c r="D1123" s="37"/>
      <c r="E1123" s="37"/>
      <c r="F1123" s="37"/>
      <c r="G1123" s="37"/>
      <c r="H1123" s="37"/>
      <c r="I1123" s="37"/>
      <c r="J1123" s="37"/>
    </row>
    <row r="1124" spans="1:10" x14ac:dyDescent="0.3">
      <c r="A1124" s="130"/>
      <c r="B1124" s="37"/>
      <c r="C1124" s="37"/>
      <c r="D1124" s="37"/>
      <c r="E1124" s="37"/>
      <c r="F1124" s="37"/>
      <c r="G1124" s="37"/>
      <c r="H1124" s="37"/>
      <c r="I1124" s="37"/>
      <c r="J1124" s="37"/>
    </row>
    <row r="1125" spans="1:10" x14ac:dyDescent="0.3">
      <c r="A1125" s="130"/>
      <c r="B1125" s="37"/>
      <c r="C1125" s="37"/>
      <c r="D1125" s="37"/>
      <c r="E1125" s="37"/>
      <c r="F1125" s="37"/>
      <c r="G1125" s="37"/>
      <c r="H1125" s="37"/>
      <c r="I1125" s="37"/>
      <c r="J1125" s="37"/>
    </row>
    <row r="1126" spans="1:10" x14ac:dyDescent="0.3">
      <c r="A1126" s="130"/>
      <c r="B1126" s="37"/>
      <c r="C1126" s="37"/>
      <c r="D1126" s="37"/>
      <c r="E1126" s="37"/>
      <c r="F1126" s="37"/>
      <c r="G1126" s="37"/>
      <c r="H1126" s="37"/>
      <c r="I1126" s="37"/>
      <c r="J1126" s="37"/>
    </row>
    <row r="1127" spans="1:10" x14ac:dyDescent="0.3">
      <c r="A1127" s="130"/>
      <c r="B1127" s="37"/>
      <c r="C1127" s="37"/>
      <c r="D1127" s="37"/>
      <c r="E1127" s="37"/>
      <c r="F1127" s="37"/>
      <c r="G1127" s="37"/>
      <c r="H1127" s="37"/>
      <c r="I1127" s="37"/>
      <c r="J1127" s="37"/>
    </row>
    <row r="1128" spans="1:10" x14ac:dyDescent="0.3">
      <c r="A1128" s="130"/>
      <c r="B1128" s="37"/>
      <c r="C1128" s="37"/>
      <c r="D1128" s="37"/>
      <c r="E1128" s="37"/>
      <c r="F1128" s="37"/>
      <c r="G1128" s="37"/>
      <c r="H1128" s="37"/>
      <c r="I1128" s="37"/>
      <c r="J1128" s="37"/>
    </row>
    <row r="1129" spans="1:10" x14ac:dyDescent="0.3">
      <c r="A1129" s="130"/>
      <c r="B1129" s="37"/>
      <c r="C1129" s="37"/>
      <c r="D1129" s="37"/>
      <c r="E1129" s="37"/>
      <c r="F1129" s="37"/>
      <c r="G1129" s="37"/>
      <c r="H1129" s="37"/>
      <c r="I1129" s="37"/>
      <c r="J1129" s="37"/>
    </row>
    <row r="1130" spans="1:10" x14ac:dyDescent="0.3">
      <c r="A1130" s="130"/>
      <c r="B1130" s="37"/>
      <c r="C1130" s="37"/>
      <c r="D1130" s="37"/>
      <c r="E1130" s="37"/>
      <c r="F1130" s="37"/>
      <c r="G1130" s="37"/>
      <c r="H1130" s="37"/>
      <c r="I1130" s="37"/>
      <c r="J1130" s="37"/>
    </row>
    <row r="1131" spans="1:10" x14ac:dyDescent="0.3">
      <c r="A1131" s="130"/>
      <c r="B1131" s="37"/>
      <c r="C1131" s="37"/>
      <c r="D1131" s="37"/>
      <c r="E1131" s="37"/>
      <c r="F1131" s="37"/>
      <c r="G1131" s="37"/>
      <c r="H1131" s="37"/>
      <c r="I1131" s="37"/>
      <c r="J1131" s="37"/>
    </row>
    <row r="1132" spans="1:10" x14ac:dyDescent="0.3">
      <c r="A1132" s="130"/>
      <c r="B1132" s="37"/>
      <c r="C1132" s="37"/>
      <c r="D1132" s="37"/>
      <c r="E1132" s="37"/>
      <c r="F1132" s="37"/>
      <c r="G1132" s="37"/>
      <c r="H1132" s="37"/>
      <c r="I1132" s="37"/>
      <c r="J1132" s="37"/>
    </row>
    <row r="1133" spans="1:10" x14ac:dyDescent="0.3">
      <c r="A1133" s="130"/>
      <c r="B1133" s="37"/>
      <c r="C1133" s="37"/>
      <c r="D1133" s="37"/>
      <c r="E1133" s="37"/>
      <c r="F1133" s="37"/>
      <c r="G1133" s="37"/>
      <c r="H1133" s="37"/>
      <c r="I1133" s="37"/>
      <c r="J1133" s="37"/>
    </row>
    <row r="1134" spans="1:10" x14ac:dyDescent="0.3">
      <c r="A1134" s="130"/>
      <c r="B1134" s="37"/>
      <c r="C1134" s="37"/>
      <c r="D1134" s="37"/>
      <c r="E1134" s="37"/>
      <c r="F1134" s="37"/>
      <c r="G1134" s="37"/>
      <c r="H1134" s="37"/>
      <c r="I1134" s="37"/>
      <c r="J1134" s="37"/>
    </row>
    <row r="1135" spans="1:10" x14ac:dyDescent="0.3">
      <c r="A1135" s="130"/>
      <c r="B1135" s="37"/>
      <c r="C1135" s="37"/>
      <c r="D1135" s="37"/>
      <c r="E1135" s="37"/>
      <c r="F1135" s="37"/>
      <c r="G1135" s="37"/>
      <c r="H1135" s="37"/>
      <c r="I1135" s="37"/>
      <c r="J1135" s="37"/>
    </row>
    <row r="1136" spans="1:10" x14ac:dyDescent="0.3">
      <c r="A1136" s="130"/>
      <c r="B1136" s="37"/>
      <c r="C1136" s="37"/>
      <c r="D1136" s="37"/>
      <c r="E1136" s="37"/>
      <c r="F1136" s="37"/>
      <c r="G1136" s="37"/>
      <c r="H1136" s="37"/>
      <c r="I1136" s="37"/>
      <c r="J1136" s="37"/>
    </row>
    <row r="1137" spans="1:10" x14ac:dyDescent="0.3">
      <c r="A1137" s="130"/>
      <c r="B1137" s="37"/>
      <c r="C1137" s="37"/>
      <c r="D1137" s="37"/>
      <c r="E1137" s="37"/>
      <c r="F1137" s="37"/>
      <c r="G1137" s="37"/>
      <c r="H1137" s="37"/>
      <c r="I1137" s="37"/>
      <c r="J1137" s="37"/>
    </row>
    <row r="1138" spans="1:10" x14ac:dyDescent="0.3">
      <c r="A1138" s="130"/>
      <c r="B1138" s="37"/>
      <c r="C1138" s="37"/>
      <c r="D1138" s="37"/>
      <c r="E1138" s="37"/>
      <c r="F1138" s="37"/>
      <c r="G1138" s="37"/>
      <c r="H1138" s="37"/>
      <c r="I1138" s="37"/>
      <c r="J1138" s="37"/>
    </row>
    <row r="1139" spans="1:10" x14ac:dyDescent="0.3">
      <c r="A1139" s="130"/>
      <c r="B1139" s="37"/>
      <c r="C1139" s="37"/>
      <c r="D1139" s="37"/>
      <c r="E1139" s="37"/>
      <c r="F1139" s="37"/>
      <c r="G1139" s="37"/>
      <c r="H1139" s="37"/>
      <c r="I1139" s="37"/>
      <c r="J1139" s="37"/>
    </row>
    <row r="1140" spans="1:10" x14ac:dyDescent="0.3">
      <c r="A1140" s="130"/>
      <c r="B1140" s="37"/>
      <c r="C1140" s="37"/>
      <c r="D1140" s="37"/>
      <c r="E1140" s="37"/>
      <c r="F1140" s="37"/>
      <c r="G1140" s="37"/>
      <c r="H1140" s="37"/>
      <c r="I1140" s="37"/>
      <c r="J1140" s="37"/>
    </row>
    <row r="1141" spans="1:10" x14ac:dyDescent="0.3">
      <c r="A1141" s="130"/>
      <c r="B1141" s="37"/>
      <c r="C1141" s="37"/>
      <c r="D1141" s="37"/>
      <c r="E1141" s="37"/>
      <c r="F1141" s="37"/>
      <c r="G1141" s="37"/>
      <c r="H1141" s="37"/>
      <c r="I1141" s="37"/>
      <c r="J1141" s="37"/>
    </row>
    <row r="1142" spans="1:10" x14ac:dyDescent="0.3">
      <c r="A1142" s="130"/>
      <c r="B1142" s="37"/>
      <c r="C1142" s="37"/>
      <c r="D1142" s="37"/>
      <c r="E1142" s="37"/>
      <c r="F1142" s="37"/>
      <c r="G1142" s="37"/>
      <c r="H1142" s="37"/>
      <c r="I1142" s="37"/>
      <c r="J1142" s="37"/>
    </row>
    <row r="1143" spans="1:10" x14ac:dyDescent="0.3">
      <c r="A1143" s="130"/>
      <c r="B1143" s="37"/>
      <c r="C1143" s="37"/>
      <c r="D1143" s="37"/>
      <c r="E1143" s="37"/>
      <c r="F1143" s="37"/>
      <c r="G1143" s="37"/>
      <c r="H1143" s="37"/>
      <c r="I1143" s="37"/>
      <c r="J1143" s="37"/>
    </row>
    <row r="1144" spans="1:10" x14ac:dyDescent="0.3">
      <c r="A1144" s="130"/>
      <c r="B1144" s="37"/>
      <c r="C1144" s="37"/>
      <c r="D1144" s="37"/>
      <c r="E1144" s="37"/>
      <c r="F1144" s="37"/>
      <c r="G1144" s="37"/>
      <c r="H1144" s="37"/>
      <c r="I1144" s="37"/>
      <c r="J1144" s="37"/>
    </row>
    <row r="1145" spans="1:10" x14ac:dyDescent="0.3">
      <c r="A1145" s="130"/>
      <c r="B1145" s="37"/>
      <c r="C1145" s="37"/>
      <c r="D1145" s="37"/>
      <c r="E1145" s="37"/>
      <c r="F1145" s="37"/>
      <c r="G1145" s="37"/>
      <c r="H1145" s="37"/>
      <c r="I1145" s="37"/>
      <c r="J1145" s="37"/>
    </row>
    <row r="1146" spans="1:10" x14ac:dyDescent="0.3">
      <c r="A1146" s="130"/>
      <c r="B1146" s="37"/>
      <c r="C1146" s="37"/>
      <c r="D1146" s="37"/>
      <c r="E1146" s="37"/>
      <c r="F1146" s="37"/>
      <c r="G1146" s="37"/>
      <c r="H1146" s="37"/>
      <c r="I1146" s="37"/>
      <c r="J1146" s="37"/>
    </row>
    <row r="1147" spans="1:10" x14ac:dyDescent="0.3">
      <c r="A1147" s="130"/>
      <c r="B1147" s="37"/>
      <c r="C1147" s="37"/>
      <c r="D1147" s="37"/>
      <c r="E1147" s="37"/>
      <c r="F1147" s="37"/>
      <c r="G1147" s="37"/>
      <c r="H1147" s="37"/>
      <c r="I1147" s="37"/>
      <c r="J1147" s="37"/>
    </row>
    <row r="1148" spans="1:10" x14ac:dyDescent="0.3">
      <c r="A1148" s="130"/>
      <c r="B1148" s="37"/>
      <c r="C1148" s="37"/>
      <c r="D1148" s="37"/>
      <c r="E1148" s="37"/>
      <c r="F1148" s="37"/>
      <c r="G1148" s="37"/>
      <c r="H1148" s="37"/>
      <c r="I1148" s="37"/>
      <c r="J1148" s="37"/>
    </row>
    <row r="1149" spans="1:10" x14ac:dyDescent="0.3">
      <c r="A1149" s="130"/>
      <c r="B1149" s="37"/>
      <c r="C1149" s="37"/>
      <c r="D1149" s="37"/>
      <c r="E1149" s="37"/>
      <c r="F1149" s="37"/>
      <c r="G1149" s="37"/>
      <c r="H1149" s="37"/>
      <c r="I1149" s="37"/>
      <c r="J1149" s="37"/>
    </row>
    <row r="1150" spans="1:10" x14ac:dyDescent="0.3">
      <c r="A1150" s="130"/>
      <c r="B1150" s="37"/>
      <c r="C1150" s="37"/>
      <c r="D1150" s="37"/>
      <c r="E1150" s="37"/>
      <c r="F1150" s="37"/>
      <c r="G1150" s="37"/>
      <c r="H1150" s="37"/>
      <c r="I1150" s="37"/>
      <c r="J1150" s="37"/>
    </row>
    <row r="1151" spans="1:10" x14ac:dyDescent="0.3">
      <c r="A1151" s="130"/>
      <c r="B1151" s="37"/>
      <c r="C1151" s="37"/>
      <c r="D1151" s="37"/>
      <c r="E1151" s="37"/>
      <c r="F1151" s="37"/>
      <c r="G1151" s="37"/>
      <c r="H1151" s="37"/>
      <c r="I1151" s="37"/>
      <c r="J1151" s="37"/>
    </row>
    <row r="1152" spans="1:10" x14ac:dyDescent="0.3">
      <c r="A1152" s="130"/>
      <c r="B1152" s="37"/>
      <c r="C1152" s="37"/>
      <c r="D1152" s="37"/>
      <c r="E1152" s="37"/>
      <c r="F1152" s="37"/>
      <c r="G1152" s="37"/>
      <c r="H1152" s="37"/>
      <c r="I1152" s="37"/>
      <c r="J1152" s="37"/>
    </row>
    <row r="1153" spans="1:10" x14ac:dyDescent="0.3">
      <c r="A1153" s="130"/>
      <c r="B1153" s="37"/>
      <c r="C1153" s="37"/>
      <c r="D1153" s="37"/>
      <c r="E1153" s="37"/>
      <c r="F1153" s="37"/>
      <c r="G1153" s="37"/>
      <c r="H1153" s="37"/>
      <c r="I1153" s="37"/>
      <c r="J1153" s="37"/>
    </row>
    <row r="1154" spans="1:10" x14ac:dyDescent="0.3">
      <c r="A1154" s="130"/>
      <c r="B1154" s="37"/>
      <c r="C1154" s="37"/>
      <c r="D1154" s="37"/>
      <c r="E1154" s="37"/>
      <c r="F1154" s="37"/>
      <c r="G1154" s="37"/>
      <c r="H1154" s="37"/>
      <c r="I1154" s="37"/>
      <c r="J1154" s="37"/>
    </row>
    <row r="1155" spans="1:10" x14ac:dyDescent="0.3">
      <c r="A1155" s="130"/>
      <c r="B1155" s="37"/>
      <c r="C1155" s="37"/>
      <c r="D1155" s="37"/>
      <c r="E1155" s="37"/>
      <c r="F1155" s="37"/>
      <c r="G1155" s="37"/>
      <c r="H1155" s="37"/>
      <c r="I1155" s="37"/>
      <c r="J1155" s="37"/>
    </row>
    <row r="1156" spans="1:10" x14ac:dyDescent="0.3">
      <c r="A1156" s="130"/>
      <c r="B1156" s="37"/>
      <c r="C1156" s="37"/>
      <c r="D1156" s="37"/>
      <c r="E1156" s="37"/>
      <c r="F1156" s="37"/>
      <c r="G1156" s="37"/>
      <c r="H1156" s="37"/>
      <c r="I1156" s="37"/>
      <c r="J1156" s="37"/>
    </row>
    <row r="1157" spans="1:10" x14ac:dyDescent="0.3">
      <c r="A1157" s="130"/>
      <c r="B1157" s="37"/>
      <c r="C1157" s="37"/>
      <c r="D1157" s="37"/>
      <c r="E1157" s="37"/>
      <c r="F1157" s="37"/>
      <c r="G1157" s="37"/>
      <c r="H1157" s="37"/>
      <c r="I1157" s="37"/>
      <c r="J1157" s="37"/>
    </row>
    <row r="1158" spans="1:10" x14ac:dyDescent="0.3">
      <c r="A1158" s="130"/>
      <c r="B1158" s="37"/>
      <c r="C1158" s="37"/>
      <c r="D1158" s="37"/>
      <c r="E1158" s="37"/>
      <c r="F1158" s="37"/>
      <c r="G1158" s="37"/>
      <c r="H1158" s="37"/>
      <c r="I1158" s="37"/>
      <c r="J1158" s="37"/>
    </row>
    <row r="1159" spans="1:10" x14ac:dyDescent="0.3">
      <c r="A1159" s="130"/>
      <c r="B1159" s="37"/>
      <c r="C1159" s="37"/>
      <c r="D1159" s="37"/>
      <c r="E1159" s="37"/>
      <c r="F1159" s="37"/>
      <c r="G1159" s="37"/>
      <c r="H1159" s="37"/>
      <c r="I1159" s="37"/>
      <c r="J1159" s="37"/>
    </row>
    <row r="1160" spans="1:10" x14ac:dyDescent="0.3">
      <c r="A1160" s="130"/>
      <c r="B1160" s="37"/>
      <c r="C1160" s="37"/>
      <c r="D1160" s="37"/>
      <c r="E1160" s="37"/>
      <c r="F1160" s="37"/>
      <c r="G1160" s="37"/>
      <c r="H1160" s="37"/>
      <c r="I1160" s="37"/>
      <c r="J1160" s="37"/>
    </row>
    <row r="1161" spans="1:10" x14ac:dyDescent="0.3">
      <c r="A1161" s="130"/>
      <c r="B1161" s="37"/>
      <c r="C1161" s="37"/>
      <c r="D1161" s="37"/>
      <c r="E1161" s="37"/>
      <c r="F1161" s="37"/>
      <c r="G1161" s="37"/>
      <c r="H1161" s="37"/>
      <c r="I1161" s="37"/>
      <c r="J1161" s="37"/>
    </row>
    <row r="1162" spans="1:10" x14ac:dyDescent="0.3">
      <c r="A1162" s="130"/>
      <c r="B1162" s="37"/>
      <c r="C1162" s="37"/>
      <c r="D1162" s="37"/>
      <c r="E1162" s="37"/>
      <c r="F1162" s="37"/>
      <c r="G1162" s="37"/>
      <c r="H1162" s="37"/>
      <c r="I1162" s="37"/>
      <c r="J1162" s="37"/>
    </row>
    <row r="1163" spans="1:10" x14ac:dyDescent="0.3">
      <c r="A1163" s="130"/>
      <c r="B1163" s="37"/>
      <c r="C1163" s="37"/>
      <c r="D1163" s="37"/>
      <c r="E1163" s="37"/>
      <c r="F1163" s="37"/>
      <c r="G1163" s="37"/>
      <c r="H1163" s="37"/>
      <c r="I1163" s="37"/>
      <c r="J1163" s="37"/>
    </row>
    <row r="1164" spans="1:10" x14ac:dyDescent="0.3">
      <c r="A1164" s="130"/>
      <c r="B1164" s="37"/>
      <c r="C1164" s="37"/>
      <c r="D1164" s="37"/>
      <c r="E1164" s="37"/>
      <c r="F1164" s="37"/>
      <c r="G1164" s="37"/>
      <c r="H1164" s="37"/>
      <c r="I1164" s="37"/>
      <c r="J1164" s="37"/>
    </row>
    <row r="1165" spans="1:10" x14ac:dyDescent="0.3">
      <c r="A1165" s="130"/>
      <c r="B1165" s="37"/>
      <c r="C1165" s="37"/>
      <c r="D1165" s="37"/>
      <c r="E1165" s="37"/>
      <c r="F1165" s="37"/>
      <c r="G1165" s="37"/>
      <c r="H1165" s="37"/>
      <c r="I1165" s="37"/>
      <c r="J1165" s="37"/>
    </row>
    <row r="1166" spans="1:10" x14ac:dyDescent="0.3">
      <c r="A1166" s="130"/>
      <c r="B1166" s="37"/>
      <c r="C1166" s="37"/>
      <c r="D1166" s="37"/>
      <c r="E1166" s="37"/>
      <c r="F1166" s="37"/>
      <c r="G1166" s="37"/>
      <c r="H1166" s="37"/>
      <c r="I1166" s="37"/>
      <c r="J1166" s="37"/>
    </row>
    <row r="1167" spans="1:10" x14ac:dyDescent="0.3">
      <c r="A1167" s="130"/>
      <c r="B1167" s="37"/>
      <c r="C1167" s="37"/>
      <c r="D1167" s="37"/>
      <c r="E1167" s="37"/>
      <c r="F1167" s="37"/>
      <c r="G1167" s="37"/>
      <c r="H1167" s="37"/>
      <c r="I1167" s="37"/>
      <c r="J1167" s="37"/>
    </row>
    <row r="1168" spans="1:10" x14ac:dyDescent="0.3">
      <c r="A1168" s="130"/>
      <c r="B1168" s="37"/>
      <c r="C1168" s="37"/>
      <c r="D1168" s="37"/>
      <c r="E1168" s="37"/>
      <c r="F1168" s="37"/>
      <c r="G1168" s="37"/>
      <c r="H1168" s="37"/>
      <c r="I1168" s="37"/>
      <c r="J1168" s="37"/>
    </row>
    <row r="1169" spans="1:10" x14ac:dyDescent="0.3">
      <c r="A1169" s="130"/>
      <c r="B1169" s="37"/>
      <c r="C1169" s="37"/>
      <c r="D1169" s="37"/>
      <c r="E1169" s="37"/>
      <c r="F1169" s="37"/>
      <c r="G1169" s="37"/>
      <c r="H1169" s="37"/>
      <c r="I1169" s="37"/>
      <c r="J1169" s="37"/>
    </row>
    <row r="1170" spans="1:10" x14ac:dyDescent="0.3">
      <c r="A1170" s="130"/>
      <c r="B1170" s="37"/>
      <c r="C1170" s="37"/>
      <c r="D1170" s="37"/>
      <c r="E1170" s="37"/>
      <c r="F1170" s="37"/>
      <c r="G1170" s="37"/>
      <c r="H1170" s="37"/>
      <c r="I1170" s="37"/>
      <c r="J1170" s="37"/>
    </row>
    <row r="1171" spans="1:10" x14ac:dyDescent="0.3">
      <c r="A1171" s="130"/>
      <c r="B1171" s="37"/>
      <c r="C1171" s="37"/>
      <c r="D1171" s="37"/>
      <c r="E1171" s="37"/>
      <c r="F1171" s="37"/>
      <c r="G1171" s="37"/>
      <c r="H1171" s="37"/>
      <c r="I1171" s="37"/>
      <c r="J1171" s="37"/>
    </row>
    <row r="1172" spans="1:10" x14ac:dyDescent="0.3">
      <c r="A1172" s="130"/>
      <c r="B1172" s="37"/>
      <c r="C1172" s="37"/>
      <c r="D1172" s="37"/>
      <c r="E1172" s="37"/>
      <c r="F1172" s="37"/>
      <c r="G1172" s="37"/>
      <c r="H1172" s="37"/>
      <c r="I1172" s="37"/>
      <c r="J1172" s="37"/>
    </row>
    <row r="1173" spans="1:10" x14ac:dyDescent="0.3">
      <c r="A1173" s="130"/>
      <c r="B1173" s="37"/>
      <c r="C1173" s="37"/>
      <c r="D1173" s="37"/>
      <c r="E1173" s="37"/>
      <c r="F1173" s="37"/>
      <c r="G1173" s="37"/>
      <c r="H1173" s="37"/>
      <c r="I1173" s="37"/>
      <c r="J1173" s="37"/>
    </row>
    <row r="1174" spans="1:10" x14ac:dyDescent="0.3">
      <c r="A1174" s="130"/>
      <c r="B1174" s="37"/>
      <c r="C1174" s="37"/>
      <c r="D1174" s="37"/>
      <c r="E1174" s="37"/>
      <c r="F1174" s="37"/>
      <c r="G1174" s="37"/>
      <c r="H1174" s="37"/>
      <c r="I1174" s="37"/>
      <c r="J1174" s="37"/>
    </row>
    <row r="1175" spans="1:10" x14ac:dyDescent="0.3">
      <c r="A1175" s="130"/>
      <c r="B1175" s="37"/>
      <c r="C1175" s="37"/>
      <c r="D1175" s="37"/>
      <c r="E1175" s="37"/>
      <c r="F1175" s="37"/>
      <c r="G1175" s="37"/>
      <c r="H1175" s="37"/>
      <c r="I1175" s="37"/>
      <c r="J1175" s="37"/>
    </row>
    <row r="1176" spans="1:10" x14ac:dyDescent="0.3">
      <c r="A1176" s="130"/>
      <c r="B1176" s="37"/>
      <c r="C1176" s="37"/>
      <c r="D1176" s="37"/>
      <c r="E1176" s="37"/>
      <c r="F1176" s="37"/>
      <c r="G1176" s="37"/>
      <c r="H1176" s="37"/>
      <c r="I1176" s="37"/>
      <c r="J1176" s="37"/>
    </row>
    <row r="1177" spans="1:10" x14ac:dyDescent="0.3">
      <c r="A1177" s="130"/>
      <c r="B1177" s="37"/>
      <c r="C1177" s="37"/>
      <c r="D1177" s="37"/>
      <c r="E1177" s="37"/>
      <c r="F1177" s="37"/>
      <c r="G1177" s="37"/>
      <c r="H1177" s="37"/>
      <c r="I1177" s="37"/>
      <c r="J1177" s="37"/>
    </row>
    <row r="1178" spans="1:10" x14ac:dyDescent="0.3">
      <c r="A1178" s="130"/>
      <c r="B1178" s="37"/>
      <c r="C1178" s="37"/>
      <c r="D1178" s="37"/>
      <c r="E1178" s="37"/>
      <c r="F1178" s="37"/>
      <c r="G1178" s="37"/>
      <c r="H1178" s="37"/>
      <c r="I1178" s="37"/>
      <c r="J1178" s="37"/>
    </row>
    <row r="1179" spans="1:10" x14ac:dyDescent="0.3">
      <c r="A1179" s="130"/>
      <c r="B1179" s="37"/>
      <c r="C1179" s="37"/>
      <c r="D1179" s="37"/>
      <c r="E1179" s="37"/>
      <c r="F1179" s="37"/>
      <c r="G1179" s="37"/>
      <c r="H1179" s="37"/>
      <c r="I1179" s="37"/>
      <c r="J1179" s="37"/>
    </row>
    <row r="1180" spans="1:10" x14ac:dyDescent="0.3">
      <c r="A1180" s="130"/>
      <c r="B1180" s="37"/>
      <c r="C1180" s="37"/>
      <c r="D1180" s="37"/>
      <c r="E1180" s="37"/>
      <c r="F1180" s="37"/>
      <c r="G1180" s="37"/>
      <c r="H1180" s="37"/>
      <c r="I1180" s="37"/>
      <c r="J1180" s="37"/>
    </row>
    <row r="1181" spans="1:10" x14ac:dyDescent="0.3">
      <c r="A1181" s="130"/>
      <c r="B1181" s="37"/>
      <c r="C1181" s="37"/>
      <c r="D1181" s="37"/>
      <c r="E1181" s="37"/>
      <c r="F1181" s="37"/>
      <c r="G1181" s="37"/>
      <c r="H1181" s="37"/>
      <c r="I1181" s="37"/>
      <c r="J1181" s="37"/>
    </row>
    <row r="1182" spans="1:10" x14ac:dyDescent="0.3">
      <c r="A1182" s="130"/>
      <c r="B1182" s="37"/>
      <c r="C1182" s="37"/>
      <c r="D1182" s="37"/>
      <c r="E1182" s="37"/>
      <c r="F1182" s="37"/>
      <c r="G1182" s="37"/>
      <c r="H1182" s="37"/>
      <c r="I1182" s="37"/>
      <c r="J1182" s="37"/>
    </row>
    <row r="1183" spans="1:10" x14ac:dyDescent="0.3">
      <c r="A1183" s="130"/>
      <c r="B1183" s="37"/>
      <c r="C1183" s="37"/>
      <c r="D1183" s="37"/>
      <c r="E1183" s="37"/>
      <c r="F1183" s="37"/>
      <c r="G1183" s="37"/>
      <c r="H1183" s="37"/>
      <c r="I1183" s="37"/>
      <c r="J1183" s="37"/>
    </row>
    <row r="1184" spans="1:10" x14ac:dyDescent="0.3">
      <c r="A1184" s="130"/>
      <c r="B1184" s="37"/>
      <c r="C1184" s="37"/>
      <c r="D1184" s="37"/>
      <c r="E1184" s="37"/>
      <c r="F1184" s="37"/>
      <c r="G1184" s="37"/>
      <c r="H1184" s="37"/>
      <c r="I1184" s="37"/>
      <c r="J1184" s="37"/>
    </row>
    <row r="1185" spans="1:10" x14ac:dyDescent="0.3">
      <c r="A1185" s="130"/>
      <c r="B1185" s="37"/>
      <c r="C1185" s="37"/>
      <c r="D1185" s="37"/>
      <c r="E1185" s="37"/>
      <c r="F1185" s="37"/>
      <c r="G1185" s="37"/>
      <c r="H1185" s="37"/>
      <c r="I1185" s="37"/>
      <c r="J1185" s="37"/>
    </row>
    <row r="1186" spans="1:10" x14ac:dyDescent="0.3">
      <c r="A1186" s="130"/>
      <c r="B1186" s="37"/>
      <c r="C1186" s="37"/>
      <c r="D1186" s="37"/>
      <c r="E1186" s="37"/>
      <c r="F1186" s="37"/>
      <c r="G1186" s="37"/>
      <c r="H1186" s="37"/>
      <c r="I1186" s="37"/>
      <c r="J1186" s="37"/>
    </row>
    <row r="1187" spans="1:10" x14ac:dyDescent="0.3">
      <c r="A1187" s="130"/>
      <c r="B1187" s="37"/>
      <c r="C1187" s="37"/>
      <c r="D1187" s="37"/>
      <c r="E1187" s="37"/>
      <c r="F1187" s="37"/>
      <c r="G1187" s="37"/>
      <c r="H1187" s="37"/>
      <c r="I1187" s="37"/>
      <c r="J1187" s="37"/>
    </row>
    <row r="1188" spans="1:10" x14ac:dyDescent="0.3">
      <c r="A1188" s="130"/>
      <c r="B1188" s="37"/>
      <c r="C1188" s="37"/>
      <c r="D1188" s="37"/>
      <c r="E1188" s="37"/>
      <c r="F1188" s="37"/>
      <c r="G1188" s="37"/>
      <c r="H1188" s="37"/>
      <c r="I1188" s="37"/>
      <c r="J1188" s="37"/>
    </row>
    <row r="1189" spans="1:10" x14ac:dyDescent="0.3">
      <c r="A1189" s="130"/>
      <c r="B1189" s="37"/>
      <c r="C1189" s="37"/>
      <c r="D1189" s="37"/>
      <c r="E1189" s="37"/>
      <c r="F1189" s="37"/>
      <c r="G1189" s="37"/>
      <c r="H1189" s="37"/>
      <c r="I1189" s="37"/>
      <c r="J1189" s="37"/>
    </row>
    <row r="1190" spans="1:10" x14ac:dyDescent="0.3">
      <c r="A1190" s="130"/>
      <c r="B1190" s="37"/>
      <c r="C1190" s="37"/>
      <c r="D1190" s="37"/>
      <c r="E1190" s="37"/>
      <c r="F1190" s="37"/>
      <c r="G1190" s="37"/>
      <c r="H1190" s="37"/>
      <c r="I1190" s="37"/>
      <c r="J1190" s="37"/>
    </row>
    <row r="1191" spans="1:10" x14ac:dyDescent="0.3">
      <c r="A1191" s="130"/>
      <c r="B1191" s="37"/>
      <c r="C1191" s="37"/>
      <c r="D1191" s="37"/>
      <c r="E1191" s="37"/>
      <c r="F1191" s="37"/>
      <c r="G1191" s="37"/>
      <c r="H1191" s="37"/>
      <c r="I1191" s="37"/>
      <c r="J1191" s="37"/>
    </row>
    <row r="1192" spans="1:10" x14ac:dyDescent="0.3">
      <c r="A1192" s="130"/>
      <c r="B1192" s="37"/>
      <c r="C1192" s="37"/>
      <c r="D1192" s="37"/>
      <c r="E1192" s="37"/>
      <c r="F1192" s="37"/>
      <c r="G1192" s="37"/>
      <c r="H1192" s="37"/>
      <c r="I1192" s="37"/>
      <c r="J1192" s="37"/>
    </row>
    <row r="1193" spans="1:10" x14ac:dyDescent="0.3">
      <c r="A1193" s="130"/>
      <c r="B1193" s="37"/>
      <c r="C1193" s="37"/>
      <c r="D1193" s="37"/>
      <c r="E1193" s="37"/>
      <c r="F1193" s="37"/>
      <c r="G1193" s="37"/>
      <c r="H1193" s="37"/>
      <c r="I1193" s="37"/>
      <c r="J1193" s="37"/>
    </row>
    <row r="1194" spans="1:10" x14ac:dyDescent="0.3">
      <c r="A1194" s="130"/>
      <c r="B1194" s="37"/>
      <c r="C1194" s="37"/>
      <c r="D1194" s="37"/>
      <c r="E1194" s="37"/>
      <c r="F1194" s="37"/>
      <c r="G1194" s="37"/>
      <c r="H1194" s="37"/>
      <c r="I1194" s="37"/>
      <c r="J1194" s="37"/>
    </row>
    <row r="1195" spans="1:10" x14ac:dyDescent="0.3">
      <c r="A1195" s="130"/>
      <c r="B1195" s="37"/>
      <c r="C1195" s="37"/>
      <c r="D1195" s="37"/>
      <c r="E1195" s="37"/>
      <c r="F1195" s="37"/>
      <c r="G1195" s="37"/>
      <c r="H1195" s="37"/>
      <c r="I1195" s="37"/>
      <c r="J1195" s="37"/>
    </row>
    <row r="1196" spans="1:10" x14ac:dyDescent="0.3">
      <c r="A1196" s="130"/>
      <c r="B1196" s="37"/>
      <c r="C1196" s="37"/>
      <c r="D1196" s="37"/>
      <c r="E1196" s="37"/>
      <c r="F1196" s="37"/>
      <c r="G1196" s="37"/>
      <c r="H1196" s="37"/>
      <c r="I1196" s="37"/>
      <c r="J1196" s="37"/>
    </row>
    <row r="1197" spans="1:10" x14ac:dyDescent="0.3">
      <c r="A1197" s="130"/>
      <c r="B1197" s="37"/>
      <c r="C1197" s="37"/>
      <c r="D1197" s="37"/>
      <c r="E1197" s="37"/>
      <c r="F1197" s="37"/>
      <c r="G1197" s="37"/>
      <c r="H1197" s="37"/>
      <c r="I1197" s="37"/>
      <c r="J1197" s="37"/>
    </row>
    <row r="1198" spans="1:10" x14ac:dyDescent="0.3">
      <c r="A1198" s="130"/>
      <c r="B1198" s="37"/>
      <c r="C1198" s="37"/>
      <c r="D1198" s="37"/>
      <c r="E1198" s="37"/>
      <c r="F1198" s="37"/>
      <c r="G1198" s="37"/>
      <c r="H1198" s="37"/>
      <c r="I1198" s="37"/>
      <c r="J1198" s="37"/>
    </row>
    <row r="1199" spans="1:10" x14ac:dyDescent="0.3">
      <c r="A1199" s="130"/>
      <c r="B1199" s="37"/>
      <c r="C1199" s="37"/>
      <c r="D1199" s="37"/>
      <c r="E1199" s="37"/>
      <c r="F1199" s="37"/>
      <c r="G1199" s="37"/>
      <c r="H1199" s="37"/>
      <c r="I1199" s="37"/>
      <c r="J1199" s="37"/>
    </row>
    <row r="1200" spans="1:10" x14ac:dyDescent="0.3">
      <c r="A1200" s="130"/>
      <c r="B1200" s="37"/>
      <c r="C1200" s="37"/>
      <c r="D1200" s="37"/>
      <c r="E1200" s="37"/>
      <c r="F1200" s="37"/>
      <c r="G1200" s="37"/>
      <c r="H1200" s="37"/>
      <c r="I1200" s="37"/>
      <c r="J1200" s="37"/>
    </row>
    <row r="1201" spans="1:10" x14ac:dyDescent="0.3">
      <c r="A1201" s="130"/>
      <c r="B1201" s="37"/>
      <c r="C1201" s="37"/>
      <c r="D1201" s="37"/>
      <c r="E1201" s="37"/>
      <c r="F1201" s="37"/>
      <c r="G1201" s="37"/>
      <c r="H1201" s="37"/>
      <c r="I1201" s="37"/>
      <c r="J1201" s="37"/>
    </row>
    <row r="1202" spans="1:10" x14ac:dyDescent="0.3">
      <c r="A1202" s="130"/>
      <c r="B1202" s="37"/>
      <c r="C1202" s="37"/>
      <c r="D1202" s="37"/>
      <c r="E1202" s="37"/>
      <c r="F1202" s="37"/>
      <c r="G1202" s="37"/>
      <c r="H1202" s="37"/>
      <c r="I1202" s="37"/>
      <c r="J1202" s="37"/>
    </row>
    <row r="1203" spans="1:10" x14ac:dyDescent="0.3">
      <c r="A1203" s="130"/>
      <c r="B1203" s="37"/>
      <c r="C1203" s="37"/>
      <c r="D1203" s="37"/>
      <c r="E1203" s="37"/>
      <c r="F1203" s="37"/>
      <c r="G1203" s="37"/>
      <c r="H1203" s="37"/>
      <c r="I1203" s="37"/>
      <c r="J1203" s="37"/>
    </row>
    <row r="1204" spans="1:10" x14ac:dyDescent="0.3">
      <c r="A1204" s="130"/>
      <c r="B1204" s="37"/>
      <c r="C1204" s="37"/>
      <c r="D1204" s="37"/>
      <c r="E1204" s="37"/>
      <c r="F1204" s="37"/>
      <c r="G1204" s="37"/>
      <c r="H1204" s="37"/>
      <c r="I1204" s="37"/>
      <c r="J1204" s="37"/>
    </row>
    <row r="1205" spans="1:10" x14ac:dyDescent="0.3">
      <c r="A1205" s="130"/>
      <c r="B1205" s="37"/>
      <c r="C1205" s="37"/>
      <c r="D1205" s="37"/>
      <c r="E1205" s="37"/>
      <c r="F1205" s="37"/>
      <c r="G1205" s="37"/>
      <c r="H1205" s="37"/>
      <c r="I1205" s="37"/>
      <c r="J1205" s="37"/>
    </row>
    <row r="1206" spans="1:10" x14ac:dyDescent="0.3">
      <c r="A1206" s="130"/>
      <c r="B1206" s="37"/>
      <c r="C1206" s="37"/>
      <c r="D1206" s="37"/>
      <c r="E1206" s="37"/>
      <c r="F1206" s="37"/>
      <c r="G1206" s="37"/>
      <c r="H1206" s="37"/>
      <c r="I1206" s="37"/>
      <c r="J1206" s="37"/>
    </row>
    <row r="1207" spans="1:10" x14ac:dyDescent="0.3">
      <c r="A1207" s="130"/>
      <c r="B1207" s="37"/>
      <c r="C1207" s="37"/>
      <c r="D1207" s="37"/>
      <c r="E1207" s="37"/>
      <c r="F1207" s="37"/>
      <c r="G1207" s="37"/>
      <c r="H1207" s="37"/>
      <c r="I1207" s="37"/>
      <c r="J1207" s="37"/>
    </row>
    <row r="1208" spans="1:10" x14ac:dyDescent="0.3">
      <c r="A1208" s="130"/>
      <c r="B1208" s="37"/>
      <c r="C1208" s="37"/>
      <c r="D1208" s="37"/>
      <c r="E1208" s="37"/>
      <c r="F1208" s="37"/>
      <c r="G1208" s="37"/>
      <c r="H1208" s="37"/>
      <c r="I1208" s="37"/>
      <c r="J1208" s="37"/>
    </row>
    <row r="1209" spans="1:10" x14ac:dyDescent="0.3">
      <c r="A1209" s="130"/>
      <c r="B1209" s="37"/>
      <c r="C1209" s="37"/>
      <c r="D1209" s="37"/>
      <c r="E1209" s="37"/>
      <c r="F1209" s="37"/>
      <c r="G1209" s="37"/>
      <c r="H1209" s="37"/>
      <c r="I1209" s="37"/>
      <c r="J1209" s="37"/>
    </row>
    <row r="1210" spans="1:10" x14ac:dyDescent="0.3">
      <c r="A1210" s="130"/>
      <c r="B1210" s="37"/>
      <c r="C1210" s="37"/>
      <c r="D1210" s="37"/>
      <c r="E1210" s="37"/>
      <c r="F1210" s="37"/>
      <c r="G1210" s="37"/>
      <c r="H1210" s="37"/>
      <c r="I1210" s="37"/>
      <c r="J1210" s="37"/>
    </row>
    <row r="1211" spans="1:10" x14ac:dyDescent="0.3">
      <c r="A1211" s="130"/>
      <c r="B1211" s="37"/>
      <c r="C1211" s="37"/>
      <c r="D1211" s="37"/>
      <c r="E1211" s="37"/>
      <c r="F1211" s="37"/>
      <c r="G1211" s="37"/>
      <c r="H1211" s="37"/>
      <c r="I1211" s="37"/>
      <c r="J1211" s="37"/>
    </row>
    <row r="1212" spans="1:10" x14ac:dyDescent="0.3">
      <c r="A1212" s="130"/>
      <c r="B1212" s="37"/>
      <c r="C1212" s="37"/>
      <c r="D1212" s="37"/>
      <c r="E1212" s="37"/>
      <c r="F1212" s="37"/>
      <c r="G1212" s="37"/>
      <c r="H1212" s="37"/>
      <c r="I1212" s="37"/>
      <c r="J1212" s="37"/>
    </row>
    <row r="1213" spans="1:10" x14ac:dyDescent="0.3">
      <c r="A1213" s="130"/>
      <c r="B1213" s="37"/>
      <c r="C1213" s="37"/>
      <c r="D1213" s="37"/>
      <c r="E1213" s="37"/>
      <c r="F1213" s="37"/>
      <c r="G1213" s="37"/>
      <c r="H1213" s="37"/>
      <c r="I1213" s="37"/>
      <c r="J1213" s="37"/>
    </row>
    <row r="1214" spans="1:10" x14ac:dyDescent="0.3">
      <c r="A1214" s="130"/>
      <c r="B1214" s="37"/>
      <c r="C1214" s="37"/>
      <c r="D1214" s="37"/>
      <c r="E1214" s="37"/>
      <c r="F1214" s="37"/>
      <c r="G1214" s="37"/>
      <c r="H1214" s="37"/>
      <c r="I1214" s="37"/>
      <c r="J1214" s="37"/>
    </row>
    <row r="1215" spans="1:10" x14ac:dyDescent="0.3">
      <c r="A1215" s="130"/>
      <c r="B1215" s="37"/>
      <c r="C1215" s="37"/>
      <c r="D1215" s="37"/>
      <c r="E1215" s="37"/>
      <c r="F1215" s="37"/>
      <c r="G1215" s="37"/>
      <c r="H1215" s="37"/>
      <c r="I1215" s="37"/>
      <c r="J1215" s="37"/>
    </row>
    <row r="1216" spans="1:10" x14ac:dyDescent="0.3">
      <c r="A1216" s="130"/>
      <c r="B1216" s="37"/>
      <c r="C1216" s="37"/>
      <c r="D1216" s="37"/>
      <c r="E1216" s="37"/>
      <c r="F1216" s="37"/>
      <c r="G1216" s="37"/>
      <c r="H1216" s="37"/>
      <c r="I1216" s="37"/>
      <c r="J1216" s="37"/>
    </row>
    <row r="1217" spans="1:10" x14ac:dyDescent="0.3">
      <c r="A1217" s="130"/>
      <c r="B1217" s="37"/>
      <c r="C1217" s="37"/>
      <c r="D1217" s="37"/>
      <c r="E1217" s="37"/>
      <c r="F1217" s="37"/>
      <c r="G1217" s="37"/>
      <c r="H1217" s="37"/>
      <c r="I1217" s="37"/>
      <c r="J1217" s="37"/>
    </row>
    <row r="1218" spans="1:10" x14ac:dyDescent="0.3">
      <c r="A1218" s="130"/>
      <c r="B1218" s="37"/>
      <c r="C1218" s="37"/>
      <c r="D1218" s="37"/>
      <c r="E1218" s="37"/>
      <c r="F1218" s="37"/>
      <c r="G1218" s="37"/>
      <c r="H1218" s="37"/>
      <c r="I1218" s="37"/>
      <c r="J1218" s="37"/>
    </row>
    <row r="1219" spans="1:10" x14ac:dyDescent="0.3">
      <c r="A1219" s="130"/>
      <c r="B1219" s="37"/>
      <c r="C1219" s="37"/>
      <c r="D1219" s="37"/>
      <c r="E1219" s="37"/>
      <c r="F1219" s="37"/>
      <c r="G1219" s="37"/>
      <c r="H1219" s="37"/>
      <c r="I1219" s="37"/>
      <c r="J1219" s="37"/>
    </row>
    <row r="1220" spans="1:10" x14ac:dyDescent="0.3">
      <c r="A1220" s="130"/>
      <c r="B1220" s="37"/>
      <c r="C1220" s="37"/>
      <c r="D1220" s="37"/>
      <c r="E1220" s="37"/>
      <c r="F1220" s="37"/>
      <c r="G1220" s="37"/>
      <c r="H1220" s="37"/>
      <c r="I1220" s="37"/>
      <c r="J1220" s="37"/>
    </row>
    <row r="1221" spans="1:10" x14ac:dyDescent="0.3">
      <c r="A1221" s="130"/>
      <c r="B1221" s="37"/>
      <c r="C1221" s="37"/>
      <c r="D1221" s="37"/>
      <c r="E1221" s="37"/>
      <c r="F1221" s="37"/>
      <c r="G1221" s="37"/>
      <c r="H1221" s="37"/>
      <c r="I1221" s="37"/>
      <c r="J1221" s="37"/>
    </row>
    <row r="1222" spans="1:10" x14ac:dyDescent="0.3">
      <c r="A1222" s="130"/>
      <c r="B1222" s="37"/>
      <c r="C1222" s="37"/>
      <c r="D1222" s="37"/>
      <c r="E1222" s="37"/>
      <c r="F1222" s="37"/>
      <c r="G1222" s="37"/>
      <c r="H1222" s="37"/>
      <c r="I1222" s="37"/>
      <c r="J1222" s="37"/>
    </row>
    <row r="1223" spans="1:10" x14ac:dyDescent="0.3">
      <c r="A1223" s="130"/>
      <c r="B1223" s="37"/>
      <c r="C1223" s="37"/>
      <c r="D1223" s="37"/>
      <c r="E1223" s="37"/>
      <c r="F1223" s="37"/>
      <c r="G1223" s="37"/>
      <c r="H1223" s="37"/>
      <c r="I1223" s="37"/>
      <c r="J1223" s="37"/>
    </row>
    <row r="1224" spans="1:10" x14ac:dyDescent="0.3">
      <c r="A1224" s="130"/>
      <c r="B1224" s="37"/>
      <c r="C1224" s="37"/>
      <c r="D1224" s="37"/>
      <c r="E1224" s="37"/>
      <c r="F1224" s="37"/>
      <c r="G1224" s="37"/>
      <c r="H1224" s="37"/>
      <c r="I1224" s="37"/>
      <c r="J1224" s="37"/>
    </row>
    <row r="1225" spans="1:10" x14ac:dyDescent="0.3">
      <c r="A1225" s="130"/>
      <c r="B1225" s="37"/>
      <c r="C1225" s="37"/>
      <c r="D1225" s="37"/>
      <c r="E1225" s="37"/>
      <c r="F1225" s="37"/>
      <c r="G1225" s="37"/>
      <c r="H1225" s="37"/>
      <c r="I1225" s="37"/>
      <c r="J1225" s="37"/>
    </row>
    <row r="1226" spans="1:10" x14ac:dyDescent="0.3">
      <c r="A1226" s="130"/>
      <c r="B1226" s="37"/>
      <c r="C1226" s="37"/>
      <c r="D1226" s="37"/>
      <c r="E1226" s="37"/>
      <c r="F1226" s="37"/>
      <c r="G1226" s="37"/>
      <c r="H1226" s="37"/>
      <c r="I1226" s="37"/>
      <c r="J1226" s="37"/>
    </row>
    <row r="1227" spans="1:10" x14ac:dyDescent="0.3">
      <c r="A1227" s="130"/>
      <c r="B1227" s="37"/>
      <c r="C1227" s="37"/>
      <c r="D1227" s="37"/>
      <c r="E1227" s="37"/>
      <c r="F1227" s="37"/>
      <c r="G1227" s="37"/>
      <c r="H1227" s="37"/>
      <c r="I1227" s="37"/>
      <c r="J1227" s="37"/>
    </row>
    <row r="1228" spans="1:10" x14ac:dyDescent="0.3">
      <c r="A1228" s="130"/>
      <c r="B1228" s="37"/>
      <c r="C1228" s="37"/>
      <c r="D1228" s="37"/>
      <c r="E1228" s="37"/>
      <c r="F1228" s="37"/>
      <c r="G1228" s="37"/>
      <c r="H1228" s="37"/>
      <c r="I1228" s="37"/>
      <c r="J1228" s="37"/>
    </row>
    <row r="1229" spans="1:10" x14ac:dyDescent="0.3">
      <c r="A1229" s="130"/>
      <c r="B1229" s="37"/>
      <c r="C1229" s="37"/>
      <c r="D1229" s="37"/>
      <c r="E1229" s="37"/>
      <c r="F1229" s="37"/>
      <c r="G1229" s="37"/>
      <c r="H1229" s="37"/>
      <c r="I1229" s="37"/>
      <c r="J1229" s="37"/>
    </row>
    <row r="1230" spans="1:10" x14ac:dyDescent="0.3">
      <c r="A1230" s="130"/>
      <c r="B1230" s="37"/>
      <c r="C1230" s="37"/>
      <c r="D1230" s="37"/>
      <c r="E1230" s="37"/>
      <c r="F1230" s="37"/>
      <c r="G1230" s="37"/>
      <c r="H1230" s="37"/>
      <c r="I1230" s="37"/>
      <c r="J1230" s="37"/>
    </row>
    <row r="1231" spans="1:10" x14ac:dyDescent="0.3">
      <c r="A1231" s="130"/>
      <c r="B1231" s="37"/>
      <c r="C1231" s="37"/>
      <c r="D1231" s="37"/>
      <c r="E1231" s="37"/>
      <c r="F1231" s="37"/>
      <c r="G1231" s="37"/>
      <c r="H1231" s="37"/>
      <c r="I1231" s="37"/>
      <c r="J1231" s="37"/>
    </row>
    <row r="1232" spans="1:10" x14ac:dyDescent="0.3">
      <c r="A1232" s="130"/>
      <c r="B1232" s="37"/>
      <c r="C1232" s="37"/>
      <c r="D1232" s="37"/>
      <c r="E1232" s="37"/>
      <c r="F1232" s="37"/>
      <c r="G1232" s="37"/>
      <c r="H1232" s="37"/>
      <c r="I1232" s="37"/>
      <c r="J1232" s="37"/>
    </row>
    <row r="1233" spans="1:10" x14ac:dyDescent="0.3">
      <c r="A1233" s="130"/>
      <c r="B1233" s="37"/>
      <c r="C1233" s="37"/>
      <c r="D1233" s="37"/>
      <c r="E1233" s="37"/>
      <c r="F1233" s="37"/>
      <c r="G1233" s="37"/>
      <c r="H1233" s="37"/>
      <c r="I1233" s="37"/>
      <c r="J1233" s="37"/>
    </row>
    <row r="1234" spans="1:10" x14ac:dyDescent="0.3">
      <c r="A1234" s="130"/>
      <c r="B1234" s="37"/>
      <c r="C1234" s="37"/>
      <c r="D1234" s="37"/>
      <c r="E1234" s="37"/>
      <c r="F1234" s="37"/>
      <c r="G1234" s="37"/>
      <c r="H1234" s="37"/>
      <c r="I1234" s="37"/>
      <c r="J1234" s="37"/>
    </row>
    <row r="1235" spans="1:10" x14ac:dyDescent="0.3">
      <c r="A1235" s="130"/>
      <c r="B1235" s="37"/>
      <c r="C1235" s="37"/>
      <c r="D1235" s="37"/>
      <c r="E1235" s="37"/>
      <c r="F1235" s="37"/>
      <c r="G1235" s="37"/>
      <c r="H1235" s="37"/>
      <c r="I1235" s="37"/>
      <c r="J1235" s="37"/>
    </row>
    <row r="1236" spans="1:10" x14ac:dyDescent="0.3">
      <c r="A1236" s="130"/>
      <c r="B1236" s="37"/>
      <c r="C1236" s="37"/>
      <c r="D1236" s="37"/>
      <c r="E1236" s="37"/>
      <c r="F1236" s="37"/>
      <c r="G1236" s="37"/>
      <c r="H1236" s="37"/>
      <c r="I1236" s="37"/>
      <c r="J1236" s="37"/>
    </row>
    <row r="1237" spans="1:10" x14ac:dyDescent="0.3">
      <c r="A1237" s="130"/>
      <c r="B1237" s="37"/>
      <c r="C1237" s="37"/>
      <c r="D1237" s="37"/>
      <c r="E1237" s="37"/>
      <c r="F1237" s="37"/>
      <c r="G1237" s="37"/>
      <c r="H1237" s="37"/>
      <c r="I1237" s="37"/>
      <c r="J1237" s="37"/>
    </row>
    <row r="1238" spans="1:10" x14ac:dyDescent="0.3">
      <c r="A1238" s="130"/>
      <c r="B1238" s="37"/>
      <c r="C1238" s="37"/>
      <c r="D1238" s="37"/>
      <c r="E1238" s="37"/>
      <c r="F1238" s="37"/>
      <c r="G1238" s="37"/>
      <c r="H1238" s="37"/>
      <c r="I1238" s="37"/>
      <c r="J1238" s="37"/>
    </row>
    <row r="1239" spans="1:10" x14ac:dyDescent="0.3">
      <c r="A1239" s="130"/>
      <c r="B1239" s="37"/>
      <c r="C1239" s="37"/>
      <c r="D1239" s="37"/>
      <c r="E1239" s="37"/>
      <c r="F1239" s="37"/>
      <c r="G1239" s="37"/>
      <c r="H1239" s="37"/>
      <c r="I1239" s="37"/>
      <c r="J1239" s="37"/>
    </row>
    <row r="1240" spans="1:10" x14ac:dyDescent="0.3">
      <c r="A1240" s="130"/>
      <c r="B1240" s="37"/>
      <c r="C1240" s="37"/>
      <c r="D1240" s="37"/>
      <c r="E1240" s="37"/>
      <c r="F1240" s="37"/>
      <c r="G1240" s="37"/>
      <c r="H1240" s="37"/>
      <c r="I1240" s="37"/>
      <c r="J1240" s="37"/>
    </row>
    <row r="1241" spans="1:10" x14ac:dyDescent="0.3">
      <c r="A1241" s="130"/>
      <c r="B1241" s="37"/>
      <c r="C1241" s="37"/>
      <c r="D1241" s="37"/>
      <c r="E1241" s="37"/>
      <c r="F1241" s="37"/>
      <c r="G1241" s="37"/>
      <c r="H1241" s="37"/>
      <c r="I1241" s="37"/>
      <c r="J1241" s="37"/>
    </row>
    <row r="1242" spans="1:10" x14ac:dyDescent="0.3">
      <c r="A1242" s="130"/>
      <c r="B1242" s="37"/>
      <c r="C1242" s="37"/>
      <c r="D1242" s="37"/>
      <c r="E1242" s="37"/>
      <c r="F1242" s="37"/>
      <c r="G1242" s="37"/>
      <c r="H1242" s="37"/>
      <c r="I1242" s="37"/>
      <c r="J1242" s="37"/>
    </row>
    <row r="1243" spans="1:10" x14ac:dyDescent="0.3">
      <c r="A1243" s="130"/>
      <c r="B1243" s="37"/>
      <c r="C1243" s="37"/>
      <c r="D1243" s="37"/>
      <c r="E1243" s="37"/>
      <c r="F1243" s="37"/>
      <c r="G1243" s="37"/>
      <c r="H1243" s="37"/>
      <c r="I1243" s="37"/>
      <c r="J1243" s="37"/>
    </row>
    <row r="1244" spans="1:10" x14ac:dyDescent="0.3">
      <c r="A1244" s="130"/>
      <c r="B1244" s="37"/>
      <c r="C1244" s="37"/>
      <c r="D1244" s="37"/>
      <c r="E1244" s="37"/>
      <c r="F1244" s="37"/>
      <c r="G1244" s="37"/>
      <c r="H1244" s="37"/>
      <c r="I1244" s="37"/>
      <c r="J1244" s="37"/>
    </row>
    <row r="1245" spans="1:10" x14ac:dyDescent="0.3">
      <c r="A1245" s="130"/>
      <c r="B1245" s="37"/>
      <c r="C1245" s="37"/>
      <c r="D1245" s="37"/>
      <c r="E1245" s="37"/>
      <c r="F1245" s="37"/>
      <c r="G1245" s="37"/>
      <c r="H1245" s="37"/>
      <c r="I1245" s="37"/>
      <c r="J1245" s="37"/>
    </row>
    <row r="1246" spans="1:10" x14ac:dyDescent="0.3">
      <c r="A1246" s="130"/>
      <c r="B1246" s="37"/>
      <c r="C1246" s="37"/>
      <c r="D1246" s="37"/>
      <c r="E1246" s="37"/>
      <c r="F1246" s="37"/>
      <c r="G1246" s="37"/>
      <c r="H1246" s="37"/>
      <c r="I1246" s="37"/>
      <c r="J1246" s="37"/>
    </row>
    <row r="1247" spans="1:10" x14ac:dyDescent="0.3">
      <c r="A1247" s="130"/>
      <c r="B1247" s="37"/>
      <c r="C1247" s="37"/>
      <c r="D1247" s="37"/>
      <c r="E1247" s="37"/>
      <c r="F1247" s="37"/>
      <c r="G1247" s="37"/>
      <c r="H1247" s="37"/>
      <c r="I1247" s="37"/>
      <c r="J1247" s="37"/>
    </row>
    <row r="1248" spans="1:10" x14ac:dyDescent="0.3">
      <c r="A1248" s="130"/>
      <c r="B1248" s="37"/>
      <c r="C1248" s="37"/>
      <c r="D1248" s="37"/>
      <c r="E1248" s="37"/>
      <c r="F1248" s="37"/>
      <c r="G1248" s="37"/>
      <c r="H1248" s="37"/>
      <c r="I1248" s="37"/>
      <c r="J1248" s="37"/>
    </row>
    <row r="1249" spans="1:10" x14ac:dyDescent="0.3">
      <c r="A1249" s="130"/>
      <c r="B1249" s="37"/>
      <c r="C1249" s="37"/>
      <c r="D1249" s="37"/>
      <c r="E1249" s="37"/>
      <c r="F1249" s="37"/>
      <c r="G1249" s="37"/>
      <c r="H1249" s="37"/>
      <c r="I1249" s="37"/>
      <c r="J1249" s="37"/>
    </row>
    <row r="1250" spans="1:10" x14ac:dyDescent="0.3">
      <c r="A1250" s="130"/>
      <c r="B1250" s="37"/>
      <c r="C1250" s="37"/>
      <c r="D1250" s="37"/>
      <c r="E1250" s="37"/>
      <c r="F1250" s="37"/>
      <c r="G1250" s="37"/>
      <c r="H1250" s="37"/>
      <c r="I1250" s="37"/>
      <c r="J1250" s="37"/>
    </row>
    <row r="1251" spans="1:10" x14ac:dyDescent="0.3">
      <c r="A1251" s="130"/>
      <c r="B1251" s="37"/>
      <c r="C1251" s="37"/>
      <c r="D1251" s="37"/>
      <c r="E1251" s="37"/>
      <c r="F1251" s="37"/>
      <c r="G1251" s="37"/>
      <c r="H1251" s="37"/>
      <c r="I1251" s="37"/>
      <c r="J1251" s="37"/>
    </row>
    <row r="1252" spans="1:10" x14ac:dyDescent="0.3">
      <c r="A1252" s="130"/>
      <c r="B1252" s="37"/>
      <c r="C1252" s="37"/>
      <c r="D1252" s="37"/>
      <c r="E1252" s="37"/>
      <c r="F1252" s="37"/>
      <c r="G1252" s="37"/>
      <c r="H1252" s="37"/>
      <c r="I1252" s="37"/>
      <c r="J1252" s="37"/>
    </row>
    <row r="1253" spans="1:10" x14ac:dyDescent="0.3">
      <c r="A1253" s="130"/>
      <c r="B1253" s="37"/>
      <c r="C1253" s="37"/>
      <c r="D1253" s="37"/>
      <c r="E1253" s="37"/>
      <c r="F1253" s="37"/>
      <c r="G1253" s="37"/>
      <c r="H1253" s="37"/>
      <c r="I1253" s="37"/>
      <c r="J1253" s="37"/>
    </row>
    <row r="1254" spans="1:10" x14ac:dyDescent="0.3">
      <c r="A1254" s="130"/>
      <c r="B1254" s="37"/>
      <c r="C1254" s="37"/>
      <c r="D1254" s="37"/>
      <c r="E1254" s="37"/>
      <c r="F1254" s="37"/>
      <c r="G1254" s="37"/>
      <c r="H1254" s="37"/>
      <c r="I1254" s="37"/>
      <c r="J1254" s="37"/>
    </row>
    <row r="1255" spans="1:10" x14ac:dyDescent="0.3">
      <c r="A1255" s="130"/>
      <c r="B1255" s="37"/>
      <c r="C1255" s="37"/>
      <c r="D1255" s="37"/>
      <c r="E1255" s="37"/>
      <c r="F1255" s="37"/>
      <c r="G1255" s="37"/>
      <c r="H1255" s="37"/>
      <c r="I1255" s="37"/>
      <c r="J1255" s="37"/>
    </row>
    <row r="1256" spans="1:10" x14ac:dyDescent="0.3">
      <c r="A1256" s="130"/>
      <c r="B1256" s="37"/>
      <c r="C1256" s="37"/>
      <c r="D1256" s="37"/>
      <c r="E1256" s="37"/>
      <c r="F1256" s="37"/>
      <c r="G1256" s="37"/>
      <c r="H1256" s="37"/>
      <c r="I1256" s="37"/>
      <c r="J1256" s="37"/>
    </row>
    <row r="1257" spans="1:10" x14ac:dyDescent="0.3">
      <c r="A1257" s="130"/>
      <c r="B1257" s="37"/>
      <c r="C1257" s="37"/>
      <c r="D1257" s="37"/>
      <c r="E1257" s="37"/>
      <c r="F1257" s="37"/>
      <c r="G1257" s="37"/>
      <c r="H1257" s="37"/>
      <c r="I1257" s="37"/>
      <c r="J1257" s="37"/>
    </row>
    <row r="1258" spans="1:10" x14ac:dyDescent="0.3">
      <c r="A1258" s="130"/>
      <c r="B1258" s="37"/>
      <c r="C1258" s="37"/>
      <c r="D1258" s="37"/>
      <c r="E1258" s="37"/>
      <c r="F1258" s="37"/>
      <c r="G1258" s="37"/>
      <c r="H1258" s="37"/>
      <c r="I1258" s="37"/>
      <c r="J1258" s="37"/>
    </row>
    <row r="1259" spans="1:10" x14ac:dyDescent="0.3">
      <c r="A1259" s="130"/>
      <c r="B1259" s="37"/>
      <c r="C1259" s="37"/>
      <c r="D1259" s="37"/>
      <c r="E1259" s="37"/>
      <c r="F1259" s="37"/>
      <c r="G1259" s="37"/>
      <c r="H1259" s="37"/>
      <c r="I1259" s="37"/>
      <c r="J1259" s="37"/>
    </row>
    <row r="1260" spans="1:10" x14ac:dyDescent="0.3">
      <c r="A1260" s="130"/>
      <c r="B1260" s="37"/>
      <c r="C1260" s="37"/>
      <c r="D1260" s="37"/>
      <c r="E1260" s="37"/>
      <c r="F1260" s="37"/>
      <c r="G1260" s="37"/>
      <c r="H1260" s="37"/>
      <c r="I1260" s="37"/>
      <c r="J1260" s="37"/>
    </row>
    <row r="1261" spans="1:10" x14ac:dyDescent="0.3">
      <c r="A1261" s="130"/>
      <c r="B1261" s="37"/>
      <c r="C1261" s="37"/>
      <c r="D1261" s="37"/>
      <c r="E1261" s="37"/>
      <c r="F1261" s="37"/>
      <c r="G1261" s="37"/>
      <c r="H1261" s="37"/>
      <c r="I1261" s="37"/>
      <c r="J1261" s="37"/>
    </row>
    <row r="1262" spans="1:10" x14ac:dyDescent="0.3">
      <c r="A1262" s="130"/>
      <c r="B1262" s="37"/>
      <c r="C1262" s="37"/>
      <c r="D1262" s="37"/>
      <c r="E1262" s="37"/>
      <c r="F1262" s="37"/>
      <c r="G1262" s="37"/>
      <c r="H1262" s="37"/>
      <c r="I1262" s="37"/>
      <c r="J1262" s="37"/>
    </row>
    <row r="1263" spans="1:10" x14ac:dyDescent="0.3">
      <c r="A1263" s="130"/>
      <c r="B1263" s="37"/>
      <c r="C1263" s="37"/>
      <c r="D1263" s="37"/>
      <c r="E1263" s="37"/>
      <c r="F1263" s="37"/>
      <c r="G1263" s="37"/>
      <c r="H1263" s="37"/>
      <c r="I1263" s="37"/>
      <c r="J1263" s="37"/>
    </row>
    <row r="1264" spans="1:10" x14ac:dyDescent="0.3">
      <c r="A1264" s="130"/>
      <c r="B1264" s="37"/>
      <c r="C1264" s="37"/>
      <c r="D1264" s="37"/>
      <c r="E1264" s="37"/>
      <c r="F1264" s="37"/>
      <c r="G1264" s="37"/>
      <c r="H1264" s="37"/>
      <c r="I1264" s="37"/>
      <c r="J1264" s="37"/>
    </row>
    <row r="1265" spans="1:10" x14ac:dyDescent="0.3">
      <c r="A1265" s="130"/>
      <c r="B1265" s="37"/>
      <c r="C1265" s="37"/>
      <c r="D1265" s="37"/>
      <c r="E1265" s="37"/>
      <c r="F1265" s="37"/>
      <c r="G1265" s="37"/>
      <c r="H1265" s="37"/>
      <c r="I1265" s="37"/>
      <c r="J1265" s="37"/>
    </row>
    <row r="1266" spans="1:10" x14ac:dyDescent="0.3">
      <c r="A1266" s="130"/>
      <c r="B1266" s="37"/>
      <c r="C1266" s="37"/>
      <c r="D1266" s="37"/>
      <c r="E1266" s="37"/>
      <c r="F1266" s="37"/>
      <c r="G1266" s="37"/>
      <c r="H1266" s="37"/>
      <c r="I1266" s="37"/>
      <c r="J1266" s="37"/>
    </row>
    <row r="1267" spans="1:10" x14ac:dyDescent="0.3">
      <c r="A1267" s="130"/>
      <c r="B1267" s="37"/>
      <c r="C1267" s="37"/>
      <c r="D1267" s="37"/>
      <c r="E1267" s="37"/>
      <c r="F1267" s="37"/>
      <c r="G1267" s="37"/>
      <c r="H1267" s="37"/>
      <c r="I1267" s="37"/>
      <c r="J1267" s="37"/>
    </row>
    <row r="1268" spans="1:10" x14ac:dyDescent="0.3">
      <c r="A1268" s="130"/>
      <c r="B1268" s="37"/>
      <c r="C1268" s="37"/>
      <c r="D1268" s="37"/>
      <c r="E1268" s="37"/>
      <c r="F1268" s="37"/>
      <c r="G1268" s="37"/>
      <c r="H1268" s="37"/>
      <c r="I1268" s="37"/>
      <c r="J1268" s="37"/>
    </row>
    <row r="1269" spans="1:10" x14ac:dyDescent="0.3">
      <c r="A1269" s="130"/>
      <c r="B1269" s="37"/>
      <c r="C1269" s="37"/>
      <c r="D1269" s="37"/>
      <c r="E1269" s="37"/>
      <c r="F1269" s="37"/>
      <c r="G1269" s="37"/>
      <c r="H1269" s="37"/>
      <c r="I1269" s="37"/>
      <c r="J1269" s="37"/>
    </row>
    <row r="1270" spans="1:10" x14ac:dyDescent="0.3">
      <c r="A1270" s="130"/>
      <c r="B1270" s="37"/>
      <c r="C1270" s="37"/>
      <c r="D1270" s="37"/>
      <c r="E1270" s="37"/>
      <c r="F1270" s="37"/>
      <c r="G1270" s="37"/>
      <c r="H1270" s="37"/>
      <c r="I1270" s="37"/>
      <c r="J1270" s="37"/>
    </row>
    <row r="1271" spans="1:10" x14ac:dyDescent="0.3">
      <c r="A1271" s="130"/>
      <c r="B1271" s="37"/>
      <c r="C1271" s="37"/>
      <c r="D1271" s="37"/>
      <c r="E1271" s="37"/>
      <c r="F1271" s="37"/>
      <c r="G1271" s="37"/>
      <c r="H1271" s="37"/>
      <c r="I1271" s="37"/>
      <c r="J1271" s="37"/>
    </row>
    <row r="1272" spans="1:10" x14ac:dyDescent="0.3">
      <c r="A1272" s="130"/>
      <c r="B1272" s="37"/>
      <c r="C1272" s="37"/>
      <c r="D1272" s="37"/>
      <c r="E1272" s="37"/>
      <c r="F1272" s="37"/>
      <c r="G1272" s="37"/>
      <c r="H1272" s="37"/>
      <c r="I1272" s="37"/>
      <c r="J1272" s="37"/>
    </row>
    <row r="1273" spans="1:10" x14ac:dyDescent="0.3">
      <c r="A1273" s="130"/>
      <c r="B1273" s="37"/>
      <c r="C1273" s="37"/>
      <c r="D1273" s="37"/>
      <c r="E1273" s="37"/>
      <c r="F1273" s="37"/>
      <c r="G1273" s="37"/>
      <c r="H1273" s="37"/>
      <c r="I1273" s="37"/>
      <c r="J1273" s="37"/>
    </row>
    <row r="1274" spans="1:10" x14ac:dyDescent="0.3">
      <c r="A1274" s="130"/>
      <c r="B1274" s="37"/>
      <c r="C1274" s="37"/>
      <c r="D1274" s="37"/>
      <c r="E1274" s="37"/>
      <c r="F1274" s="37"/>
      <c r="G1274" s="37"/>
      <c r="H1274" s="37"/>
      <c r="I1274" s="37"/>
      <c r="J1274" s="37"/>
    </row>
    <row r="1275" spans="1:10" x14ac:dyDescent="0.3">
      <c r="A1275" s="130"/>
      <c r="B1275" s="37"/>
      <c r="C1275" s="37"/>
      <c r="D1275" s="37"/>
      <c r="E1275" s="37"/>
      <c r="F1275" s="37"/>
      <c r="G1275" s="37"/>
      <c r="H1275" s="37"/>
      <c r="I1275" s="37"/>
      <c r="J1275" s="37"/>
    </row>
    <row r="1276" spans="1:10" x14ac:dyDescent="0.3">
      <c r="A1276" s="130"/>
      <c r="B1276" s="37"/>
      <c r="C1276" s="37"/>
      <c r="D1276" s="37"/>
      <c r="E1276" s="37"/>
      <c r="F1276" s="37"/>
      <c r="G1276" s="37"/>
      <c r="H1276" s="37"/>
      <c r="I1276" s="37"/>
      <c r="J1276" s="37"/>
    </row>
    <row r="1277" spans="1:10" x14ac:dyDescent="0.3">
      <c r="A1277" s="130"/>
      <c r="B1277" s="37"/>
      <c r="C1277" s="37"/>
      <c r="D1277" s="37"/>
      <c r="E1277" s="37"/>
      <c r="F1277" s="37"/>
      <c r="G1277" s="37"/>
      <c r="H1277" s="37"/>
      <c r="I1277" s="37"/>
      <c r="J1277" s="37"/>
    </row>
    <row r="1278" spans="1:10" x14ac:dyDescent="0.3">
      <c r="A1278" s="130"/>
      <c r="B1278" s="37"/>
      <c r="C1278" s="37"/>
      <c r="D1278" s="37"/>
      <c r="E1278" s="37"/>
      <c r="F1278" s="37"/>
      <c r="G1278" s="37"/>
      <c r="H1278" s="37"/>
      <c r="I1278" s="37"/>
      <c r="J1278" s="37"/>
    </row>
    <row r="1279" spans="1:10" x14ac:dyDescent="0.3">
      <c r="A1279" s="130"/>
      <c r="B1279" s="37"/>
      <c r="C1279" s="37"/>
      <c r="D1279" s="37"/>
      <c r="E1279" s="37"/>
      <c r="F1279" s="37"/>
      <c r="G1279" s="37"/>
      <c r="H1279" s="37"/>
      <c r="I1279" s="37"/>
      <c r="J1279" s="37"/>
    </row>
    <row r="1280" spans="1:10" x14ac:dyDescent="0.3">
      <c r="A1280" s="130"/>
      <c r="B1280" s="37"/>
      <c r="C1280" s="37"/>
      <c r="D1280" s="37"/>
      <c r="E1280" s="37"/>
      <c r="F1280" s="37"/>
      <c r="G1280" s="37"/>
      <c r="H1280" s="37"/>
      <c r="I1280" s="37"/>
      <c r="J1280" s="37"/>
    </row>
    <row r="1281" spans="1:10" x14ac:dyDescent="0.3">
      <c r="A1281" s="130"/>
      <c r="B1281" s="37"/>
      <c r="C1281" s="37"/>
      <c r="D1281" s="37"/>
      <c r="E1281" s="37"/>
      <c r="F1281" s="37"/>
      <c r="G1281" s="37"/>
      <c r="H1281" s="37"/>
      <c r="I1281" s="37"/>
      <c r="J1281" s="37"/>
    </row>
    <row r="1282" spans="1:10" x14ac:dyDescent="0.3">
      <c r="A1282" s="130"/>
      <c r="B1282" s="37"/>
      <c r="C1282" s="37"/>
      <c r="D1282" s="37"/>
      <c r="E1282" s="37"/>
      <c r="F1282" s="37"/>
      <c r="G1282" s="37"/>
      <c r="H1282" s="37"/>
      <c r="I1282" s="37"/>
      <c r="J1282" s="37"/>
    </row>
    <row r="1283" spans="1:10" x14ac:dyDescent="0.3">
      <c r="A1283" s="130"/>
      <c r="B1283" s="37"/>
      <c r="C1283" s="37"/>
      <c r="D1283" s="37"/>
      <c r="E1283" s="37"/>
      <c r="F1283" s="37"/>
      <c r="G1283" s="37"/>
      <c r="H1283" s="37"/>
      <c r="I1283" s="37"/>
      <c r="J1283" s="37"/>
    </row>
    <row r="1284" spans="1:10" x14ac:dyDescent="0.3">
      <c r="A1284" s="130"/>
      <c r="B1284" s="37"/>
      <c r="C1284" s="37"/>
      <c r="D1284" s="37"/>
      <c r="E1284" s="37"/>
      <c r="F1284" s="37"/>
      <c r="G1284" s="37"/>
      <c r="H1284" s="37"/>
      <c r="I1284" s="37"/>
      <c r="J1284" s="37"/>
    </row>
    <row r="1285" spans="1:10" x14ac:dyDescent="0.3">
      <c r="A1285" s="130"/>
      <c r="B1285" s="37"/>
      <c r="C1285" s="37"/>
      <c r="D1285" s="37"/>
      <c r="E1285" s="37"/>
      <c r="F1285" s="37"/>
      <c r="G1285" s="37"/>
      <c r="H1285" s="37"/>
      <c r="I1285" s="37"/>
      <c r="J1285" s="37"/>
    </row>
    <row r="1286" spans="1:10" x14ac:dyDescent="0.3">
      <c r="A1286" s="130"/>
      <c r="B1286" s="37"/>
      <c r="C1286" s="37"/>
      <c r="D1286" s="37"/>
      <c r="E1286" s="37"/>
      <c r="F1286" s="37"/>
      <c r="G1286" s="37"/>
      <c r="H1286" s="37"/>
      <c r="I1286" s="37"/>
      <c r="J1286" s="37"/>
    </row>
    <row r="1287" spans="1:10" x14ac:dyDescent="0.3">
      <c r="A1287" s="130"/>
      <c r="B1287" s="37"/>
      <c r="C1287" s="37"/>
      <c r="D1287" s="37"/>
      <c r="E1287" s="37"/>
      <c r="F1287" s="37"/>
      <c r="G1287" s="37"/>
      <c r="H1287" s="37"/>
      <c r="I1287" s="37"/>
      <c r="J1287" s="37"/>
    </row>
    <row r="1288" spans="1:10" x14ac:dyDescent="0.3">
      <c r="A1288" s="130"/>
      <c r="B1288" s="37"/>
      <c r="C1288" s="37"/>
      <c r="D1288" s="37"/>
      <c r="E1288" s="37"/>
      <c r="F1288" s="37"/>
      <c r="G1288" s="37"/>
      <c r="H1288" s="37"/>
      <c r="I1288" s="37"/>
      <c r="J1288" s="37"/>
    </row>
    <row r="1289" spans="1:10" x14ac:dyDescent="0.3">
      <c r="A1289" s="130"/>
      <c r="B1289" s="37"/>
      <c r="C1289" s="37"/>
      <c r="D1289" s="37"/>
      <c r="E1289" s="37"/>
      <c r="F1289" s="37"/>
      <c r="G1289" s="37"/>
      <c r="H1289" s="37"/>
      <c r="I1289" s="37"/>
      <c r="J1289" s="37"/>
    </row>
    <row r="1290" spans="1:10" x14ac:dyDescent="0.3">
      <c r="A1290" s="130"/>
      <c r="B1290" s="37"/>
      <c r="C1290" s="37"/>
      <c r="D1290" s="37"/>
      <c r="E1290" s="37"/>
      <c r="F1290" s="37"/>
      <c r="G1290" s="37"/>
      <c r="H1290" s="37"/>
      <c r="I1290" s="37"/>
      <c r="J1290" s="37"/>
    </row>
    <row r="1291" spans="1:10" x14ac:dyDescent="0.3">
      <c r="A1291" s="130"/>
      <c r="B1291" s="37"/>
      <c r="C1291" s="37"/>
      <c r="D1291" s="37"/>
      <c r="E1291" s="37"/>
      <c r="F1291" s="37"/>
      <c r="G1291" s="37"/>
      <c r="H1291" s="37"/>
      <c r="I1291" s="37"/>
      <c r="J1291" s="37"/>
    </row>
    <row r="1292" spans="1:10" x14ac:dyDescent="0.3">
      <c r="A1292" s="130"/>
      <c r="B1292" s="37"/>
      <c r="C1292" s="37"/>
      <c r="D1292" s="37"/>
      <c r="E1292" s="37"/>
      <c r="F1292" s="37"/>
      <c r="G1292" s="37"/>
      <c r="H1292" s="37"/>
      <c r="I1292" s="37"/>
      <c r="J1292" s="37"/>
    </row>
    <row r="1293" spans="1:10" x14ac:dyDescent="0.3">
      <c r="A1293" s="130"/>
      <c r="B1293" s="37"/>
      <c r="C1293" s="37"/>
      <c r="D1293" s="37"/>
      <c r="E1293" s="37"/>
      <c r="F1293" s="37"/>
      <c r="G1293" s="37"/>
      <c r="H1293" s="37"/>
      <c r="I1293" s="37"/>
      <c r="J1293" s="37"/>
    </row>
    <row r="1294" spans="1:10" x14ac:dyDescent="0.3">
      <c r="A1294" s="130"/>
      <c r="B1294" s="37"/>
      <c r="C1294" s="37"/>
      <c r="D1294" s="37"/>
      <c r="E1294" s="37"/>
      <c r="F1294" s="37"/>
      <c r="G1294" s="37"/>
      <c r="H1294" s="37"/>
      <c r="I1294" s="37"/>
      <c r="J1294" s="37"/>
    </row>
    <row r="1295" spans="1:10" x14ac:dyDescent="0.3">
      <c r="A1295" s="130"/>
      <c r="B1295" s="37"/>
      <c r="C1295" s="37"/>
      <c r="D1295" s="37"/>
      <c r="E1295" s="37"/>
      <c r="F1295" s="37"/>
      <c r="G1295" s="37"/>
      <c r="H1295" s="37"/>
      <c r="I1295" s="37"/>
      <c r="J1295" s="37"/>
    </row>
    <row r="1296" spans="1:10" x14ac:dyDescent="0.3">
      <c r="A1296" s="130"/>
      <c r="B1296" s="37"/>
      <c r="C1296" s="37"/>
      <c r="D1296" s="37"/>
      <c r="E1296" s="37"/>
      <c r="F1296" s="37"/>
      <c r="G1296" s="37"/>
      <c r="H1296" s="37"/>
      <c r="I1296" s="37"/>
      <c r="J1296" s="37"/>
    </row>
    <row r="1297" spans="1:10" x14ac:dyDescent="0.3">
      <c r="A1297" s="130"/>
      <c r="B1297" s="37"/>
      <c r="C1297" s="37"/>
      <c r="D1297" s="37"/>
      <c r="E1297" s="37"/>
      <c r="F1297" s="37"/>
      <c r="G1297" s="37"/>
      <c r="H1297" s="37"/>
      <c r="I1297" s="37"/>
      <c r="J1297" s="37"/>
    </row>
    <row r="1298" spans="1:10" x14ac:dyDescent="0.3">
      <c r="A1298" s="130"/>
      <c r="B1298" s="37"/>
      <c r="C1298" s="37"/>
      <c r="D1298" s="37"/>
      <c r="E1298" s="37"/>
      <c r="F1298" s="37"/>
      <c r="G1298" s="37"/>
      <c r="H1298" s="37"/>
      <c r="I1298" s="37"/>
      <c r="J1298" s="37"/>
    </row>
    <row r="1299" spans="1:10" x14ac:dyDescent="0.3">
      <c r="A1299" s="130"/>
      <c r="B1299" s="37"/>
      <c r="C1299" s="37"/>
      <c r="D1299" s="37"/>
      <c r="E1299" s="37"/>
      <c r="F1299" s="37"/>
      <c r="G1299" s="37"/>
      <c r="H1299" s="37"/>
      <c r="I1299" s="37"/>
      <c r="J1299" s="37"/>
    </row>
    <row r="1300" spans="1:10" x14ac:dyDescent="0.3">
      <c r="A1300" s="130"/>
      <c r="B1300" s="37"/>
      <c r="C1300" s="37"/>
      <c r="D1300" s="37"/>
      <c r="E1300" s="37"/>
      <c r="F1300" s="37"/>
      <c r="G1300" s="37"/>
      <c r="H1300" s="37"/>
      <c r="I1300" s="37"/>
      <c r="J1300" s="37"/>
    </row>
    <row r="1301" spans="1:10" x14ac:dyDescent="0.3">
      <c r="A1301" s="130"/>
      <c r="B1301" s="37"/>
      <c r="C1301" s="37"/>
      <c r="D1301" s="37"/>
      <c r="E1301" s="37"/>
      <c r="F1301" s="37"/>
      <c r="G1301" s="37"/>
      <c r="H1301" s="37"/>
      <c r="I1301" s="37"/>
      <c r="J1301" s="37"/>
    </row>
    <row r="1302" spans="1:10" x14ac:dyDescent="0.3">
      <c r="A1302" s="130"/>
      <c r="B1302" s="37"/>
      <c r="C1302" s="37"/>
      <c r="D1302" s="37"/>
      <c r="E1302" s="37"/>
      <c r="F1302" s="37"/>
      <c r="G1302" s="37"/>
      <c r="H1302" s="37"/>
      <c r="I1302" s="37"/>
      <c r="J1302" s="37"/>
    </row>
    <row r="1303" spans="1:10" x14ac:dyDescent="0.3">
      <c r="A1303" s="130"/>
      <c r="B1303" s="37"/>
      <c r="C1303" s="37"/>
      <c r="D1303" s="37"/>
      <c r="E1303" s="37"/>
      <c r="F1303" s="37"/>
      <c r="G1303" s="37"/>
      <c r="H1303" s="37"/>
      <c r="I1303" s="37"/>
      <c r="J1303" s="37"/>
    </row>
    <row r="1304" spans="1:10" x14ac:dyDescent="0.3">
      <c r="A1304" s="130"/>
      <c r="B1304" s="37"/>
      <c r="C1304" s="37"/>
      <c r="D1304" s="37"/>
      <c r="E1304" s="37"/>
      <c r="F1304" s="37"/>
      <c r="G1304" s="37"/>
      <c r="H1304" s="37"/>
      <c r="I1304" s="37"/>
      <c r="J1304" s="37"/>
    </row>
    <row r="1305" spans="1:10" x14ac:dyDescent="0.3">
      <c r="A1305" s="130"/>
      <c r="B1305" s="37"/>
      <c r="C1305" s="37"/>
      <c r="D1305" s="37"/>
      <c r="E1305" s="37"/>
      <c r="F1305" s="37"/>
      <c r="G1305" s="37"/>
      <c r="H1305" s="37"/>
      <c r="I1305" s="37"/>
      <c r="J1305" s="37"/>
    </row>
    <row r="1306" spans="1:10" x14ac:dyDescent="0.3">
      <c r="A1306" s="130"/>
      <c r="B1306" s="37"/>
      <c r="C1306" s="37"/>
      <c r="D1306" s="37"/>
      <c r="E1306" s="37"/>
      <c r="F1306" s="37"/>
      <c r="G1306" s="37"/>
      <c r="H1306" s="37"/>
      <c r="I1306" s="37"/>
      <c r="J1306" s="37"/>
    </row>
    <row r="1307" spans="1:10" x14ac:dyDescent="0.3">
      <c r="A1307" s="130"/>
      <c r="B1307" s="37"/>
      <c r="C1307" s="37"/>
      <c r="D1307" s="37"/>
      <c r="E1307" s="37"/>
      <c r="F1307" s="37"/>
      <c r="G1307" s="37"/>
      <c r="H1307" s="37"/>
      <c r="I1307" s="37"/>
      <c r="J1307" s="37"/>
    </row>
    <row r="1308" spans="1:10" x14ac:dyDescent="0.3">
      <c r="A1308" s="130"/>
      <c r="B1308" s="37"/>
      <c r="C1308" s="37"/>
      <c r="D1308" s="37"/>
      <c r="E1308" s="37"/>
      <c r="F1308" s="37"/>
      <c r="G1308" s="37"/>
      <c r="H1308" s="37"/>
      <c r="I1308" s="37"/>
      <c r="J1308" s="37"/>
    </row>
    <row r="1309" spans="1:10" x14ac:dyDescent="0.3">
      <c r="A1309" s="130"/>
      <c r="B1309" s="37"/>
      <c r="C1309" s="37"/>
      <c r="D1309" s="37"/>
      <c r="E1309" s="37"/>
      <c r="F1309" s="37"/>
      <c r="G1309" s="37"/>
      <c r="H1309" s="37"/>
      <c r="I1309" s="37"/>
      <c r="J1309" s="37"/>
    </row>
    <row r="1310" spans="1:10" x14ac:dyDescent="0.3">
      <c r="A1310" s="130"/>
      <c r="B1310" s="37"/>
      <c r="C1310" s="37"/>
      <c r="D1310" s="37"/>
      <c r="E1310" s="37"/>
      <c r="F1310" s="37"/>
      <c r="G1310" s="37"/>
      <c r="H1310" s="37"/>
      <c r="I1310" s="37"/>
      <c r="J1310" s="37"/>
    </row>
    <row r="1311" spans="1:10" x14ac:dyDescent="0.3">
      <c r="A1311" s="130"/>
      <c r="B1311" s="37"/>
      <c r="C1311" s="37"/>
      <c r="D1311" s="37"/>
      <c r="E1311" s="37"/>
      <c r="F1311" s="37"/>
      <c r="G1311" s="37"/>
      <c r="H1311" s="37"/>
      <c r="I1311" s="37"/>
      <c r="J1311" s="37"/>
    </row>
    <row r="1312" spans="1:10" x14ac:dyDescent="0.3">
      <c r="A1312" s="130"/>
      <c r="B1312" s="37"/>
      <c r="C1312" s="37"/>
      <c r="D1312" s="37"/>
      <c r="E1312" s="37"/>
      <c r="F1312" s="37"/>
      <c r="G1312" s="37"/>
      <c r="H1312" s="37"/>
      <c r="I1312" s="37"/>
      <c r="J1312" s="37"/>
    </row>
    <row r="1313" spans="1:10" x14ac:dyDescent="0.3">
      <c r="A1313" s="130"/>
      <c r="B1313" s="37"/>
      <c r="C1313" s="37"/>
      <c r="D1313" s="37"/>
      <c r="E1313" s="37"/>
      <c r="F1313" s="37"/>
      <c r="G1313" s="37"/>
      <c r="H1313" s="37"/>
      <c r="I1313" s="37"/>
      <c r="J1313" s="37"/>
    </row>
    <row r="1314" spans="1:10" x14ac:dyDescent="0.3">
      <c r="A1314" s="130"/>
      <c r="B1314" s="37"/>
      <c r="C1314" s="37"/>
      <c r="D1314" s="37"/>
      <c r="E1314" s="37"/>
      <c r="F1314" s="37"/>
      <c r="G1314" s="37"/>
      <c r="H1314" s="37"/>
      <c r="I1314" s="37"/>
      <c r="J1314" s="37"/>
    </row>
    <row r="1315" spans="1:10" x14ac:dyDescent="0.3">
      <c r="A1315" s="130"/>
      <c r="B1315" s="37"/>
      <c r="C1315" s="37"/>
      <c r="D1315" s="37"/>
      <c r="E1315" s="37"/>
      <c r="F1315" s="37"/>
      <c r="G1315" s="37"/>
      <c r="H1315" s="37"/>
      <c r="I1315" s="37"/>
      <c r="J1315" s="37"/>
    </row>
    <row r="1316" spans="1:10" x14ac:dyDescent="0.3">
      <c r="A1316" s="130"/>
      <c r="B1316" s="37"/>
      <c r="C1316" s="37"/>
      <c r="D1316" s="37"/>
      <c r="E1316" s="37"/>
      <c r="F1316" s="37"/>
      <c r="G1316" s="37"/>
      <c r="H1316" s="37"/>
      <c r="I1316" s="37"/>
      <c r="J1316" s="37"/>
    </row>
    <row r="1317" spans="1:10" x14ac:dyDescent="0.3">
      <c r="A1317" s="130"/>
      <c r="B1317" s="37"/>
      <c r="C1317" s="37"/>
      <c r="D1317" s="37"/>
      <c r="E1317" s="37"/>
      <c r="F1317" s="37"/>
      <c r="G1317" s="37"/>
      <c r="H1317" s="37"/>
      <c r="I1317" s="37"/>
      <c r="J1317" s="37"/>
    </row>
    <row r="1318" spans="1:10" x14ac:dyDescent="0.3">
      <c r="A1318" s="130"/>
      <c r="B1318" s="37"/>
      <c r="C1318" s="37"/>
      <c r="D1318" s="37"/>
      <c r="E1318" s="37"/>
      <c r="F1318" s="37"/>
      <c r="G1318" s="37"/>
      <c r="H1318" s="37"/>
      <c r="I1318" s="37"/>
      <c r="J1318" s="37"/>
    </row>
    <row r="1319" spans="1:10" x14ac:dyDescent="0.3">
      <c r="A1319" s="130"/>
      <c r="B1319" s="37"/>
      <c r="C1319" s="37"/>
      <c r="D1319" s="37"/>
      <c r="E1319" s="37"/>
      <c r="F1319" s="37"/>
      <c r="G1319" s="37"/>
      <c r="H1319" s="37"/>
      <c r="I1319" s="37"/>
      <c r="J1319" s="37"/>
    </row>
    <row r="1320" spans="1:10" x14ac:dyDescent="0.3">
      <c r="A1320" s="130"/>
      <c r="B1320" s="37"/>
      <c r="C1320" s="37"/>
      <c r="D1320" s="37"/>
      <c r="E1320" s="37"/>
      <c r="F1320" s="37"/>
      <c r="G1320" s="37"/>
      <c r="H1320" s="37"/>
      <c r="I1320" s="37"/>
      <c r="J1320" s="37"/>
    </row>
    <row r="1321" spans="1:10" x14ac:dyDescent="0.3">
      <c r="A1321" s="130"/>
      <c r="B1321" s="37"/>
      <c r="C1321" s="37"/>
      <c r="D1321" s="37"/>
      <c r="E1321" s="37"/>
      <c r="F1321" s="37"/>
      <c r="G1321" s="37"/>
      <c r="H1321" s="37"/>
      <c r="I1321" s="37"/>
      <c r="J1321" s="37"/>
    </row>
    <row r="1322" spans="1:10" x14ac:dyDescent="0.3">
      <c r="A1322" s="130"/>
      <c r="B1322" s="37"/>
      <c r="C1322" s="37"/>
      <c r="D1322" s="37"/>
      <c r="E1322" s="37"/>
      <c r="F1322" s="37"/>
      <c r="G1322" s="37"/>
      <c r="H1322" s="37"/>
      <c r="I1322" s="37"/>
      <c r="J1322" s="37"/>
    </row>
    <row r="1323" spans="1:10" x14ac:dyDescent="0.3">
      <c r="A1323" s="130"/>
      <c r="B1323" s="37"/>
      <c r="C1323" s="37"/>
      <c r="D1323" s="37"/>
      <c r="E1323" s="37"/>
      <c r="F1323" s="37"/>
      <c r="G1323" s="37"/>
      <c r="H1323" s="37"/>
      <c r="I1323" s="37"/>
      <c r="J1323" s="37"/>
    </row>
    <row r="1324" spans="1:10" x14ac:dyDescent="0.3">
      <c r="A1324" s="130"/>
      <c r="B1324" s="37"/>
      <c r="C1324" s="37"/>
      <c r="D1324" s="37"/>
      <c r="E1324" s="37"/>
      <c r="F1324" s="37"/>
      <c r="G1324" s="37"/>
      <c r="H1324" s="37"/>
      <c r="I1324" s="37"/>
      <c r="J1324" s="37"/>
    </row>
    <row r="1325" spans="1:10" x14ac:dyDescent="0.3">
      <c r="A1325" s="130"/>
      <c r="B1325" s="37"/>
      <c r="C1325" s="37"/>
      <c r="D1325" s="37"/>
      <c r="E1325" s="37"/>
      <c r="F1325" s="37"/>
      <c r="G1325" s="37"/>
      <c r="H1325" s="37"/>
      <c r="I1325" s="37"/>
      <c r="J1325" s="37"/>
    </row>
    <row r="1326" spans="1:10" x14ac:dyDescent="0.3">
      <c r="A1326" s="130"/>
      <c r="B1326" s="37"/>
      <c r="C1326" s="37"/>
      <c r="D1326" s="37"/>
      <c r="E1326" s="37"/>
      <c r="F1326" s="37"/>
      <c r="G1326" s="37"/>
      <c r="H1326" s="37"/>
      <c r="I1326" s="37"/>
      <c r="J1326" s="37"/>
    </row>
    <row r="1327" spans="1:10" x14ac:dyDescent="0.3">
      <c r="A1327" s="130"/>
      <c r="B1327" s="37"/>
      <c r="C1327" s="37"/>
      <c r="D1327" s="37"/>
      <c r="E1327" s="37"/>
      <c r="F1327" s="37"/>
      <c r="G1327" s="37"/>
      <c r="H1327" s="37"/>
      <c r="I1327" s="37"/>
      <c r="J1327" s="37"/>
    </row>
    <row r="1328" spans="1:10" x14ac:dyDescent="0.3">
      <c r="A1328" s="130"/>
      <c r="B1328" s="37"/>
      <c r="C1328" s="37"/>
      <c r="D1328" s="37"/>
      <c r="E1328" s="37"/>
      <c r="F1328" s="37"/>
      <c r="G1328" s="37"/>
      <c r="H1328" s="37"/>
      <c r="I1328" s="37"/>
      <c r="J1328" s="37"/>
    </row>
    <row r="1329" spans="1:10" x14ac:dyDescent="0.3">
      <c r="A1329" s="130"/>
      <c r="B1329" s="37"/>
      <c r="C1329" s="37"/>
      <c r="D1329" s="37"/>
      <c r="E1329" s="37"/>
      <c r="F1329" s="37"/>
      <c r="G1329" s="37"/>
      <c r="H1329" s="37"/>
      <c r="I1329" s="37"/>
      <c r="J1329" s="37"/>
    </row>
    <row r="1330" spans="1:10" x14ac:dyDescent="0.3">
      <c r="A1330" s="130"/>
      <c r="B1330" s="37"/>
      <c r="C1330" s="37"/>
      <c r="D1330" s="37"/>
      <c r="E1330" s="37"/>
      <c r="F1330" s="37"/>
      <c r="G1330" s="37"/>
      <c r="H1330" s="37"/>
      <c r="I1330" s="37"/>
      <c r="J1330" s="37"/>
    </row>
    <row r="1331" spans="1:10" x14ac:dyDescent="0.3">
      <c r="A1331" s="130"/>
      <c r="B1331" s="37"/>
      <c r="C1331" s="37"/>
      <c r="D1331" s="37"/>
      <c r="E1331" s="37"/>
      <c r="F1331" s="37"/>
      <c r="G1331" s="37"/>
      <c r="H1331" s="37"/>
      <c r="I1331" s="37"/>
      <c r="J1331" s="37"/>
    </row>
    <row r="1332" spans="1:10" x14ac:dyDescent="0.3">
      <c r="A1332" s="130"/>
      <c r="B1332" s="37"/>
      <c r="C1332" s="37"/>
      <c r="D1332" s="37"/>
      <c r="E1332" s="37"/>
      <c r="F1332" s="37"/>
      <c r="G1332" s="37"/>
      <c r="H1332" s="37"/>
      <c r="I1332" s="37"/>
      <c r="J1332" s="37"/>
    </row>
    <row r="1333" spans="1:10" x14ac:dyDescent="0.3">
      <c r="A1333" s="130"/>
      <c r="B1333" s="37"/>
      <c r="C1333" s="37"/>
      <c r="D1333" s="37"/>
      <c r="E1333" s="37"/>
      <c r="F1333" s="37"/>
      <c r="G1333" s="37"/>
      <c r="H1333" s="37"/>
      <c r="I1333" s="37"/>
      <c r="J1333" s="37"/>
    </row>
    <row r="1334" spans="1:10" x14ac:dyDescent="0.3">
      <c r="A1334" s="130"/>
      <c r="B1334" s="37"/>
      <c r="C1334" s="37"/>
      <c r="D1334" s="37"/>
      <c r="E1334" s="37"/>
      <c r="F1334" s="37"/>
      <c r="G1334" s="37"/>
      <c r="H1334" s="37"/>
      <c r="I1334" s="37"/>
      <c r="J1334" s="37"/>
    </row>
    <row r="1335" spans="1:10" x14ac:dyDescent="0.3">
      <c r="A1335" s="130"/>
      <c r="B1335" s="37"/>
      <c r="C1335" s="37"/>
      <c r="D1335" s="37"/>
      <c r="E1335" s="37"/>
      <c r="F1335" s="37"/>
      <c r="G1335" s="37"/>
      <c r="H1335" s="37"/>
      <c r="I1335" s="37"/>
      <c r="J1335" s="37"/>
    </row>
    <row r="1336" spans="1:10" x14ac:dyDescent="0.3">
      <c r="A1336" s="130"/>
      <c r="B1336" s="37"/>
      <c r="C1336" s="37"/>
      <c r="D1336" s="37"/>
      <c r="E1336" s="37"/>
      <c r="F1336" s="37"/>
      <c r="G1336" s="37"/>
      <c r="H1336" s="37"/>
      <c r="I1336" s="37"/>
      <c r="J1336" s="37"/>
    </row>
    <row r="1337" spans="1:10" x14ac:dyDescent="0.3">
      <c r="A1337" s="130"/>
      <c r="B1337" s="37"/>
      <c r="C1337" s="37"/>
      <c r="D1337" s="37"/>
      <c r="E1337" s="37"/>
      <c r="F1337" s="37"/>
      <c r="G1337" s="37"/>
      <c r="H1337" s="37"/>
      <c r="I1337" s="37"/>
      <c r="J1337" s="37"/>
    </row>
    <row r="1338" spans="1:10" x14ac:dyDescent="0.3">
      <c r="A1338" s="130"/>
      <c r="B1338" s="37"/>
      <c r="C1338" s="37"/>
      <c r="D1338" s="37"/>
      <c r="E1338" s="37"/>
      <c r="F1338" s="37"/>
      <c r="G1338" s="37"/>
      <c r="H1338" s="37"/>
      <c r="I1338" s="37"/>
      <c r="J1338" s="37"/>
    </row>
    <row r="1339" spans="1:10" x14ac:dyDescent="0.3">
      <c r="A1339" s="130"/>
      <c r="B1339" s="37"/>
      <c r="C1339" s="37"/>
      <c r="D1339" s="37"/>
      <c r="E1339" s="37"/>
      <c r="F1339" s="37"/>
      <c r="G1339" s="37"/>
      <c r="H1339" s="37"/>
      <c r="I1339" s="37"/>
      <c r="J1339" s="37"/>
    </row>
    <row r="1340" spans="1:10" x14ac:dyDescent="0.3">
      <c r="A1340" s="130"/>
      <c r="B1340" s="37"/>
      <c r="C1340" s="37"/>
      <c r="D1340" s="37"/>
      <c r="E1340" s="37"/>
      <c r="F1340" s="37"/>
      <c r="G1340" s="37"/>
      <c r="H1340" s="37"/>
      <c r="I1340" s="37"/>
      <c r="J1340" s="37"/>
    </row>
    <row r="1341" spans="1:10" x14ac:dyDescent="0.3">
      <c r="A1341" s="130"/>
      <c r="B1341" s="37"/>
      <c r="C1341" s="37"/>
      <c r="D1341" s="37"/>
      <c r="E1341" s="37"/>
      <c r="F1341" s="37"/>
      <c r="G1341" s="37"/>
      <c r="H1341" s="37"/>
      <c r="I1341" s="37"/>
      <c r="J1341" s="37"/>
    </row>
    <row r="1342" spans="1:10" x14ac:dyDescent="0.3">
      <c r="A1342" s="130"/>
      <c r="B1342" s="37"/>
      <c r="C1342" s="37"/>
      <c r="D1342" s="37"/>
      <c r="E1342" s="37"/>
      <c r="F1342" s="37"/>
      <c r="G1342" s="37"/>
      <c r="H1342" s="37"/>
      <c r="I1342" s="37"/>
      <c r="J1342" s="37"/>
    </row>
    <row r="1343" spans="1:10" x14ac:dyDescent="0.3">
      <c r="A1343" s="130"/>
      <c r="B1343" s="37"/>
      <c r="C1343" s="37"/>
      <c r="D1343" s="37"/>
      <c r="E1343" s="37"/>
      <c r="F1343" s="37"/>
      <c r="G1343" s="37"/>
      <c r="H1343" s="37"/>
      <c r="I1343" s="37"/>
      <c r="J1343" s="37"/>
    </row>
    <row r="1344" spans="1:10" x14ac:dyDescent="0.3">
      <c r="A1344" s="130"/>
      <c r="B1344" s="37"/>
      <c r="C1344" s="37"/>
      <c r="D1344" s="37"/>
      <c r="E1344" s="37"/>
      <c r="F1344" s="37"/>
      <c r="G1344" s="37"/>
      <c r="H1344" s="37"/>
      <c r="I1344" s="37"/>
      <c r="J1344" s="37"/>
    </row>
    <row r="1345" spans="1:10" x14ac:dyDescent="0.3">
      <c r="A1345" s="130"/>
      <c r="B1345" s="37"/>
      <c r="C1345" s="37"/>
      <c r="D1345" s="37"/>
      <c r="E1345" s="37"/>
      <c r="F1345" s="37"/>
      <c r="G1345" s="37"/>
      <c r="H1345" s="37"/>
      <c r="I1345" s="37"/>
      <c r="J1345" s="37"/>
    </row>
    <row r="1346" spans="1:10" x14ac:dyDescent="0.3">
      <c r="A1346" s="130"/>
      <c r="B1346" s="37"/>
      <c r="C1346" s="37"/>
      <c r="D1346" s="37"/>
      <c r="E1346" s="37"/>
      <c r="F1346" s="37"/>
      <c r="G1346" s="37"/>
      <c r="H1346" s="37"/>
      <c r="I1346" s="37"/>
      <c r="J1346" s="37"/>
    </row>
    <row r="1347" spans="1:10" x14ac:dyDescent="0.3">
      <c r="A1347" s="130"/>
      <c r="B1347" s="37"/>
      <c r="C1347" s="37"/>
      <c r="D1347" s="37"/>
      <c r="E1347" s="37"/>
      <c r="F1347" s="37"/>
      <c r="G1347" s="37"/>
      <c r="H1347" s="37"/>
      <c r="I1347" s="37"/>
      <c r="J1347" s="37"/>
    </row>
    <row r="1348" spans="1:10" x14ac:dyDescent="0.3">
      <c r="A1348" s="130"/>
      <c r="B1348" s="37"/>
      <c r="C1348" s="37"/>
      <c r="D1348" s="37"/>
      <c r="E1348" s="37"/>
      <c r="F1348" s="37"/>
      <c r="G1348" s="37"/>
      <c r="H1348" s="37"/>
      <c r="I1348" s="37"/>
      <c r="J1348" s="37"/>
    </row>
    <row r="1349" spans="1:10" x14ac:dyDescent="0.3">
      <c r="A1349" s="130"/>
      <c r="B1349" s="37"/>
      <c r="C1349" s="37"/>
      <c r="D1349" s="37"/>
      <c r="E1349" s="37"/>
      <c r="F1349" s="37"/>
      <c r="G1349" s="37"/>
      <c r="H1349" s="37"/>
      <c r="I1349" s="37"/>
      <c r="J1349" s="37"/>
    </row>
    <row r="1350" spans="1:10" x14ac:dyDescent="0.3">
      <c r="A1350" s="130"/>
      <c r="B1350" s="37"/>
      <c r="C1350" s="37"/>
      <c r="D1350" s="37"/>
      <c r="E1350" s="37"/>
      <c r="F1350" s="37"/>
      <c r="G1350" s="37"/>
      <c r="H1350" s="37"/>
      <c r="I1350" s="37"/>
      <c r="J1350" s="37"/>
    </row>
    <row r="1351" spans="1:10" x14ac:dyDescent="0.3">
      <c r="A1351" s="130"/>
      <c r="B1351" s="37"/>
      <c r="C1351" s="37"/>
      <c r="D1351" s="37"/>
      <c r="E1351" s="37"/>
      <c r="F1351" s="37"/>
      <c r="G1351" s="37"/>
      <c r="H1351" s="37"/>
      <c r="I1351" s="37"/>
      <c r="J1351" s="37"/>
    </row>
    <row r="1352" spans="1:10" x14ac:dyDescent="0.3">
      <c r="A1352" s="130"/>
      <c r="B1352" s="37"/>
      <c r="C1352" s="37"/>
      <c r="D1352" s="37"/>
      <c r="E1352" s="37"/>
      <c r="F1352" s="37"/>
      <c r="G1352" s="37"/>
      <c r="H1352" s="37"/>
      <c r="I1352" s="37"/>
      <c r="J1352" s="37"/>
    </row>
    <row r="1353" spans="1:10" x14ac:dyDescent="0.3">
      <c r="A1353" s="130"/>
      <c r="B1353" s="37"/>
      <c r="C1353" s="37"/>
      <c r="D1353" s="37"/>
      <c r="E1353" s="37"/>
      <c r="F1353" s="37"/>
      <c r="G1353" s="37"/>
      <c r="H1353" s="37"/>
      <c r="I1353" s="37"/>
      <c r="J1353" s="37"/>
    </row>
    <row r="1354" spans="1:10" x14ac:dyDescent="0.3">
      <c r="A1354" s="130"/>
      <c r="B1354" s="37"/>
      <c r="C1354" s="37"/>
      <c r="D1354" s="37"/>
      <c r="E1354" s="37"/>
      <c r="F1354" s="37"/>
      <c r="G1354" s="37"/>
      <c r="H1354" s="37"/>
      <c r="I1354" s="37"/>
      <c r="J1354" s="37"/>
    </row>
    <row r="1355" spans="1:10" x14ac:dyDescent="0.3">
      <c r="A1355" s="130"/>
      <c r="B1355" s="37"/>
      <c r="C1355" s="37"/>
      <c r="D1355" s="37"/>
      <c r="E1355" s="37"/>
      <c r="F1355" s="37"/>
      <c r="G1355" s="37"/>
      <c r="H1355" s="37"/>
      <c r="I1355" s="37"/>
      <c r="J1355" s="37"/>
    </row>
    <row r="1356" spans="1:10" x14ac:dyDescent="0.3">
      <c r="A1356" s="130"/>
      <c r="B1356" s="37"/>
      <c r="C1356" s="37"/>
      <c r="D1356" s="37"/>
      <c r="E1356" s="37"/>
      <c r="F1356" s="37"/>
      <c r="G1356" s="37"/>
      <c r="H1356" s="37"/>
      <c r="I1356" s="37"/>
      <c r="J1356" s="37"/>
    </row>
    <row r="1357" spans="1:10" x14ac:dyDescent="0.3">
      <c r="A1357" s="130"/>
      <c r="B1357" s="37"/>
      <c r="C1357" s="37"/>
      <c r="D1357" s="37"/>
      <c r="E1357" s="37"/>
      <c r="F1357" s="37"/>
      <c r="G1357" s="37"/>
      <c r="H1357" s="37"/>
      <c r="I1357" s="37"/>
      <c r="J1357" s="37"/>
    </row>
    <row r="1358" spans="1:10" x14ac:dyDescent="0.3">
      <c r="A1358" s="130"/>
      <c r="B1358" s="37"/>
      <c r="C1358" s="37"/>
      <c r="D1358" s="37"/>
      <c r="E1358" s="37"/>
      <c r="F1358" s="37"/>
      <c r="G1358" s="37"/>
      <c r="H1358" s="37"/>
      <c r="I1358" s="37"/>
      <c r="J1358" s="37"/>
    </row>
    <row r="1359" spans="1:10" x14ac:dyDescent="0.3">
      <c r="A1359" s="130"/>
      <c r="B1359" s="37"/>
      <c r="C1359" s="37"/>
      <c r="D1359" s="37"/>
      <c r="E1359" s="37"/>
      <c r="F1359" s="37"/>
      <c r="G1359" s="37"/>
      <c r="H1359" s="37"/>
      <c r="I1359" s="37"/>
      <c r="J1359" s="37"/>
    </row>
    <row r="1360" spans="1:10" x14ac:dyDescent="0.3">
      <c r="A1360" s="130"/>
      <c r="B1360" s="37"/>
      <c r="C1360" s="37"/>
      <c r="D1360" s="37"/>
      <c r="E1360" s="37"/>
      <c r="F1360" s="37"/>
      <c r="G1360" s="37"/>
      <c r="H1360" s="37"/>
      <c r="I1360" s="37"/>
      <c r="J1360" s="37"/>
    </row>
    <row r="1361" spans="1:10" x14ac:dyDescent="0.3">
      <c r="A1361" s="130"/>
      <c r="B1361" s="37"/>
      <c r="C1361" s="37"/>
      <c r="D1361" s="37"/>
      <c r="E1361" s="37"/>
      <c r="F1361" s="37"/>
      <c r="G1361" s="37"/>
      <c r="H1361" s="37"/>
      <c r="I1361" s="37"/>
      <c r="J1361" s="37"/>
    </row>
    <row r="1362" spans="1:10" x14ac:dyDescent="0.3">
      <c r="A1362" s="130"/>
      <c r="B1362" s="37"/>
      <c r="C1362" s="37"/>
      <c r="D1362" s="37"/>
      <c r="E1362" s="37"/>
      <c r="F1362" s="37"/>
      <c r="G1362" s="37"/>
      <c r="H1362" s="37"/>
      <c r="I1362" s="37"/>
      <c r="J1362" s="37"/>
    </row>
    <row r="1363" spans="1:10" x14ac:dyDescent="0.3">
      <c r="A1363" s="130"/>
      <c r="B1363" s="37"/>
      <c r="C1363" s="37"/>
      <c r="D1363" s="37"/>
      <c r="E1363" s="37"/>
      <c r="F1363" s="37"/>
      <c r="G1363" s="37"/>
      <c r="H1363" s="37"/>
      <c r="I1363" s="37"/>
      <c r="J1363" s="37"/>
    </row>
    <row r="1364" spans="1:10" x14ac:dyDescent="0.3">
      <c r="A1364" s="130"/>
      <c r="B1364" s="37"/>
      <c r="C1364" s="37"/>
      <c r="D1364" s="37"/>
      <c r="E1364" s="37"/>
      <c r="F1364" s="37"/>
      <c r="G1364" s="37"/>
      <c r="H1364" s="37"/>
      <c r="I1364" s="37"/>
      <c r="J1364" s="37"/>
    </row>
    <row r="1365" spans="1:10" x14ac:dyDescent="0.3">
      <c r="A1365" s="130"/>
      <c r="B1365" s="37"/>
      <c r="C1365" s="37"/>
      <c r="D1365" s="37"/>
      <c r="E1365" s="37"/>
      <c r="F1365" s="37"/>
      <c r="G1365" s="37"/>
      <c r="H1365" s="37"/>
      <c r="I1365" s="37"/>
      <c r="J1365" s="37"/>
    </row>
    <row r="1366" spans="1:10" x14ac:dyDescent="0.3">
      <c r="A1366" s="130"/>
      <c r="B1366" s="37"/>
      <c r="C1366" s="37"/>
      <c r="D1366" s="37"/>
      <c r="E1366" s="37"/>
      <c r="F1366" s="37"/>
      <c r="G1366" s="37"/>
      <c r="H1366" s="37"/>
      <c r="I1366" s="37"/>
      <c r="J1366" s="37"/>
    </row>
    <row r="1367" spans="1:10" x14ac:dyDescent="0.3">
      <c r="A1367" s="130"/>
      <c r="B1367" s="37"/>
      <c r="C1367" s="37"/>
      <c r="D1367" s="37"/>
      <c r="E1367" s="37"/>
      <c r="F1367" s="37"/>
      <c r="G1367" s="37"/>
      <c r="H1367" s="37"/>
      <c r="I1367" s="37"/>
      <c r="J1367" s="37"/>
    </row>
    <row r="1368" spans="1:10" x14ac:dyDescent="0.3">
      <c r="A1368" s="130"/>
      <c r="B1368" s="37"/>
      <c r="C1368" s="37"/>
      <c r="D1368" s="37"/>
      <c r="E1368" s="37"/>
      <c r="F1368" s="37"/>
      <c r="G1368" s="37"/>
      <c r="H1368" s="37"/>
      <c r="I1368" s="37"/>
      <c r="J1368" s="37"/>
    </row>
    <row r="1369" spans="1:10" x14ac:dyDescent="0.3">
      <c r="A1369" s="130"/>
      <c r="B1369" s="37"/>
      <c r="C1369" s="37"/>
      <c r="D1369" s="37"/>
      <c r="E1369" s="37"/>
      <c r="F1369" s="37"/>
      <c r="G1369" s="37"/>
      <c r="H1369" s="37"/>
      <c r="I1369" s="37"/>
      <c r="J1369" s="37"/>
    </row>
    <row r="1370" spans="1:10" x14ac:dyDescent="0.3">
      <c r="A1370" s="130"/>
      <c r="B1370" s="37"/>
      <c r="C1370" s="37"/>
      <c r="D1370" s="37"/>
      <c r="E1370" s="37"/>
      <c r="F1370" s="37"/>
      <c r="G1370" s="37"/>
      <c r="H1370" s="37"/>
      <c r="I1370" s="37"/>
      <c r="J1370" s="37"/>
    </row>
    <row r="1371" spans="1:10" x14ac:dyDescent="0.3">
      <c r="A1371" s="130"/>
      <c r="B1371" s="37"/>
      <c r="C1371" s="37"/>
      <c r="D1371" s="37"/>
      <c r="E1371" s="37"/>
      <c r="F1371" s="37"/>
      <c r="G1371" s="37"/>
      <c r="H1371" s="37"/>
      <c r="I1371" s="37"/>
      <c r="J1371" s="37"/>
    </row>
    <row r="1372" spans="1:10" x14ac:dyDescent="0.3">
      <c r="A1372" s="130"/>
      <c r="B1372" s="37"/>
      <c r="C1372" s="37"/>
      <c r="D1372" s="37"/>
      <c r="E1372" s="37"/>
      <c r="F1372" s="37"/>
      <c r="G1372" s="37"/>
      <c r="H1372" s="37"/>
      <c r="I1372" s="37"/>
      <c r="J1372" s="37"/>
    </row>
    <row r="1373" spans="1:10" x14ac:dyDescent="0.3">
      <c r="A1373" s="130"/>
      <c r="B1373" s="37"/>
      <c r="C1373" s="37"/>
      <c r="D1373" s="37"/>
      <c r="E1373" s="37"/>
      <c r="F1373" s="37"/>
      <c r="G1373" s="37"/>
      <c r="H1373" s="37"/>
      <c r="I1373" s="37"/>
      <c r="J1373" s="37"/>
    </row>
    <row r="1374" spans="1:10" x14ac:dyDescent="0.3">
      <c r="A1374" s="130"/>
      <c r="B1374" s="37"/>
      <c r="C1374" s="37"/>
      <c r="D1374" s="37"/>
      <c r="E1374" s="37"/>
      <c r="F1374" s="37"/>
      <c r="G1374" s="37"/>
      <c r="H1374" s="37"/>
      <c r="I1374" s="37"/>
      <c r="J1374" s="37"/>
    </row>
    <row r="1375" spans="1:10" x14ac:dyDescent="0.3">
      <c r="A1375" s="130"/>
      <c r="B1375" s="37"/>
      <c r="C1375" s="37"/>
      <c r="D1375" s="37"/>
      <c r="E1375" s="37"/>
      <c r="F1375" s="37"/>
      <c r="G1375" s="37"/>
      <c r="H1375" s="37"/>
      <c r="I1375" s="37"/>
      <c r="J1375" s="37"/>
    </row>
    <row r="1376" spans="1:10" x14ac:dyDescent="0.3">
      <c r="A1376" s="130"/>
      <c r="B1376" s="37"/>
      <c r="C1376" s="37"/>
      <c r="D1376" s="37"/>
      <c r="E1376" s="37"/>
      <c r="F1376" s="37"/>
      <c r="G1376" s="37"/>
      <c r="H1376" s="37"/>
      <c r="I1376" s="37"/>
      <c r="J1376" s="37"/>
    </row>
    <row r="1377" spans="1:10" x14ac:dyDescent="0.3">
      <c r="A1377" s="130"/>
      <c r="B1377" s="37"/>
      <c r="C1377" s="37"/>
      <c r="D1377" s="37"/>
      <c r="E1377" s="37"/>
      <c r="F1377" s="37"/>
      <c r="G1377" s="37"/>
      <c r="H1377" s="37"/>
      <c r="I1377" s="37"/>
      <c r="J1377" s="37"/>
    </row>
    <row r="1378" spans="1:10" x14ac:dyDescent="0.3">
      <c r="A1378" s="130"/>
      <c r="B1378" s="37"/>
      <c r="C1378" s="37"/>
      <c r="D1378" s="37"/>
      <c r="E1378" s="37"/>
      <c r="F1378" s="37"/>
      <c r="G1378" s="37"/>
      <c r="H1378" s="37"/>
      <c r="I1378" s="37"/>
      <c r="J1378" s="37"/>
    </row>
    <row r="1379" spans="1:10" x14ac:dyDescent="0.3">
      <c r="A1379" s="130"/>
      <c r="B1379" s="37"/>
      <c r="C1379" s="37"/>
      <c r="D1379" s="37"/>
      <c r="E1379" s="37"/>
      <c r="F1379" s="37"/>
      <c r="G1379" s="37"/>
      <c r="H1379" s="37"/>
      <c r="I1379" s="37"/>
      <c r="J1379" s="37"/>
    </row>
    <row r="1380" spans="1:10" x14ac:dyDescent="0.3">
      <c r="A1380" s="130"/>
      <c r="B1380" s="37"/>
      <c r="C1380" s="37"/>
      <c r="D1380" s="37"/>
      <c r="E1380" s="37"/>
      <c r="F1380" s="37"/>
      <c r="G1380" s="37"/>
      <c r="H1380" s="37"/>
      <c r="I1380" s="37"/>
      <c r="J1380" s="37"/>
    </row>
    <row r="1381" spans="1:10" x14ac:dyDescent="0.3">
      <c r="A1381" s="130"/>
      <c r="B1381" s="37"/>
      <c r="C1381" s="37"/>
      <c r="D1381" s="37"/>
      <c r="E1381" s="37"/>
      <c r="F1381" s="37"/>
      <c r="G1381" s="37"/>
      <c r="H1381" s="37"/>
      <c r="I1381" s="37"/>
      <c r="J1381" s="37"/>
    </row>
    <row r="1382" spans="1:10" x14ac:dyDescent="0.3">
      <c r="A1382" s="130"/>
      <c r="B1382" s="37"/>
      <c r="C1382" s="37"/>
      <c r="D1382" s="37"/>
      <c r="E1382" s="37"/>
      <c r="F1382" s="37"/>
      <c r="G1382" s="37"/>
      <c r="H1382" s="37"/>
      <c r="I1382" s="37"/>
      <c r="J1382" s="37"/>
    </row>
    <row r="1383" spans="1:10" x14ac:dyDescent="0.3">
      <c r="A1383" s="130"/>
      <c r="B1383" s="37"/>
      <c r="C1383" s="37"/>
      <c r="D1383" s="37"/>
      <c r="E1383" s="37"/>
      <c r="F1383" s="37"/>
      <c r="G1383" s="37"/>
      <c r="H1383" s="37"/>
      <c r="I1383" s="37"/>
      <c r="J1383" s="37"/>
    </row>
    <row r="1384" spans="1:10" x14ac:dyDescent="0.3">
      <c r="A1384" s="130"/>
      <c r="B1384" s="37"/>
      <c r="C1384" s="37"/>
      <c r="D1384" s="37"/>
      <c r="E1384" s="37"/>
      <c r="F1384" s="37"/>
      <c r="G1384" s="37"/>
      <c r="H1384" s="37"/>
      <c r="I1384" s="37"/>
      <c r="J1384" s="37"/>
    </row>
    <row r="1385" spans="1:10" x14ac:dyDescent="0.3">
      <c r="A1385" s="130"/>
      <c r="B1385" s="37"/>
      <c r="C1385" s="37"/>
      <c r="D1385" s="37"/>
      <c r="E1385" s="37"/>
      <c r="F1385" s="37"/>
      <c r="G1385" s="37"/>
      <c r="H1385" s="37"/>
      <c r="I1385" s="37"/>
      <c r="J1385" s="37"/>
    </row>
    <row r="1386" spans="1:10" x14ac:dyDescent="0.3">
      <c r="A1386" s="130"/>
      <c r="B1386" s="37"/>
      <c r="C1386" s="37"/>
      <c r="D1386" s="37"/>
      <c r="E1386" s="37"/>
      <c r="F1386" s="37"/>
      <c r="G1386" s="37"/>
      <c r="H1386" s="37"/>
      <c r="I1386" s="37"/>
      <c r="J1386" s="37"/>
    </row>
    <row r="1387" spans="1:10" x14ac:dyDescent="0.3">
      <c r="A1387" s="130"/>
      <c r="B1387" s="37"/>
      <c r="C1387" s="37"/>
      <c r="D1387" s="37"/>
      <c r="E1387" s="37"/>
      <c r="F1387" s="37"/>
      <c r="G1387" s="37"/>
      <c r="H1387" s="37"/>
      <c r="I1387" s="37"/>
      <c r="J1387" s="37"/>
    </row>
    <row r="1388" spans="1:10" x14ac:dyDescent="0.3">
      <c r="A1388" s="130"/>
      <c r="B1388" s="37"/>
      <c r="C1388" s="37"/>
      <c r="D1388" s="37"/>
      <c r="E1388" s="37"/>
      <c r="F1388" s="37"/>
      <c r="G1388" s="37"/>
      <c r="H1388" s="37"/>
      <c r="I1388" s="37"/>
      <c r="J1388" s="37"/>
    </row>
    <row r="1389" spans="1:10" x14ac:dyDescent="0.3">
      <c r="A1389" s="130"/>
      <c r="B1389" s="37"/>
      <c r="C1389" s="37"/>
      <c r="D1389" s="37"/>
      <c r="E1389" s="37"/>
      <c r="F1389" s="37"/>
      <c r="G1389" s="37"/>
      <c r="H1389" s="37"/>
      <c r="I1389" s="37"/>
      <c r="J1389" s="37"/>
    </row>
    <row r="1390" spans="1:10" x14ac:dyDescent="0.3">
      <c r="A1390" s="130"/>
      <c r="B1390" s="37"/>
      <c r="C1390" s="37"/>
      <c r="D1390" s="37"/>
      <c r="E1390" s="37"/>
      <c r="F1390" s="37"/>
      <c r="G1390" s="37"/>
      <c r="H1390" s="37"/>
      <c r="I1390" s="37"/>
      <c r="J1390" s="37"/>
    </row>
    <row r="1391" spans="1:10" x14ac:dyDescent="0.3">
      <c r="A1391" s="130"/>
      <c r="B1391" s="37"/>
      <c r="C1391" s="37"/>
      <c r="D1391" s="37"/>
      <c r="E1391" s="37"/>
      <c r="F1391" s="37"/>
      <c r="G1391" s="37"/>
      <c r="H1391" s="37"/>
      <c r="I1391" s="37"/>
      <c r="J1391" s="37"/>
    </row>
    <row r="1392" spans="1:10" x14ac:dyDescent="0.3">
      <c r="A1392" s="130"/>
      <c r="B1392" s="37"/>
      <c r="C1392" s="37"/>
      <c r="D1392" s="37"/>
      <c r="E1392" s="37"/>
      <c r="F1392" s="37"/>
      <c r="G1392" s="37"/>
      <c r="H1392" s="37"/>
      <c r="I1392" s="37"/>
      <c r="J1392" s="37"/>
    </row>
    <row r="1393" spans="1:10" x14ac:dyDescent="0.3">
      <c r="A1393" s="130"/>
      <c r="B1393" s="37"/>
      <c r="C1393" s="37"/>
      <c r="D1393" s="37"/>
      <c r="E1393" s="37"/>
      <c r="F1393" s="37"/>
      <c r="G1393" s="37"/>
      <c r="H1393" s="37"/>
      <c r="I1393" s="37"/>
      <c r="J1393" s="37"/>
    </row>
    <row r="1394" spans="1:10" x14ac:dyDescent="0.3">
      <c r="A1394" s="130"/>
      <c r="B1394" s="37"/>
      <c r="C1394" s="37"/>
      <c r="D1394" s="37"/>
      <c r="E1394" s="37"/>
      <c r="F1394" s="37"/>
      <c r="G1394" s="37"/>
      <c r="H1394" s="37"/>
      <c r="I1394" s="37"/>
      <c r="J1394" s="37"/>
    </row>
    <row r="1395" spans="1:10" x14ac:dyDescent="0.3">
      <c r="A1395" s="130"/>
      <c r="B1395" s="37"/>
      <c r="C1395" s="37"/>
      <c r="D1395" s="37"/>
      <c r="E1395" s="37"/>
      <c r="F1395" s="37"/>
      <c r="G1395" s="37"/>
      <c r="H1395" s="37"/>
      <c r="I1395" s="37"/>
      <c r="J1395" s="37"/>
    </row>
    <row r="1396" spans="1:10" x14ac:dyDescent="0.3">
      <c r="A1396" s="130"/>
      <c r="B1396" s="37"/>
      <c r="C1396" s="37"/>
      <c r="D1396" s="37"/>
      <c r="E1396" s="37"/>
      <c r="F1396" s="37"/>
      <c r="G1396" s="37"/>
      <c r="H1396" s="37"/>
      <c r="I1396" s="37"/>
      <c r="J1396" s="37"/>
    </row>
    <row r="1397" spans="1:10" x14ac:dyDescent="0.3">
      <c r="A1397" s="130"/>
      <c r="B1397" s="37"/>
      <c r="C1397" s="37"/>
      <c r="D1397" s="37"/>
      <c r="E1397" s="37"/>
      <c r="F1397" s="37"/>
      <c r="G1397" s="37"/>
      <c r="H1397" s="37"/>
      <c r="I1397" s="37"/>
      <c r="J1397" s="37"/>
    </row>
    <row r="1398" spans="1:10" x14ac:dyDescent="0.3">
      <c r="A1398" s="130"/>
      <c r="B1398" s="37"/>
      <c r="C1398" s="37"/>
      <c r="D1398" s="37"/>
      <c r="E1398" s="37"/>
      <c r="F1398" s="37"/>
      <c r="G1398" s="37"/>
      <c r="H1398" s="37"/>
      <c r="I1398" s="37"/>
      <c r="J1398" s="37"/>
    </row>
    <row r="1399" spans="1:10" x14ac:dyDescent="0.3">
      <c r="A1399" s="130"/>
      <c r="B1399" s="37"/>
      <c r="C1399" s="37"/>
      <c r="D1399" s="37"/>
      <c r="E1399" s="37"/>
      <c r="F1399" s="37"/>
      <c r="G1399" s="37"/>
      <c r="H1399" s="37"/>
      <c r="I1399" s="37"/>
      <c r="J1399" s="37"/>
    </row>
    <row r="1400" spans="1:10" x14ac:dyDescent="0.3">
      <c r="A1400" s="130"/>
      <c r="B1400" s="37"/>
      <c r="C1400" s="37"/>
      <c r="D1400" s="37"/>
      <c r="E1400" s="37"/>
      <c r="F1400" s="37"/>
      <c r="G1400" s="37"/>
      <c r="H1400" s="37"/>
      <c r="I1400" s="37"/>
      <c r="J1400" s="37"/>
    </row>
    <row r="1401" spans="1:10" x14ac:dyDescent="0.3">
      <c r="A1401" s="130"/>
      <c r="B1401" s="37"/>
      <c r="C1401" s="37"/>
      <c r="D1401" s="37"/>
      <c r="E1401" s="37"/>
      <c r="F1401" s="37"/>
      <c r="G1401" s="37"/>
      <c r="H1401" s="37"/>
      <c r="I1401" s="37"/>
      <c r="J1401" s="37"/>
    </row>
    <row r="1402" spans="1:10" x14ac:dyDescent="0.3">
      <c r="A1402" s="130"/>
      <c r="B1402" s="37"/>
      <c r="C1402" s="37"/>
      <c r="D1402" s="37"/>
      <c r="E1402" s="37"/>
      <c r="F1402" s="37"/>
      <c r="G1402" s="37"/>
      <c r="H1402" s="37"/>
      <c r="I1402" s="37"/>
      <c r="J1402" s="37"/>
    </row>
    <row r="1403" spans="1:10" x14ac:dyDescent="0.3">
      <c r="A1403" s="130"/>
      <c r="B1403" s="37"/>
      <c r="C1403" s="37"/>
      <c r="D1403" s="37"/>
      <c r="E1403" s="37"/>
      <c r="F1403" s="37"/>
      <c r="G1403" s="37"/>
      <c r="H1403" s="37"/>
      <c r="I1403" s="37"/>
      <c r="J1403" s="37"/>
    </row>
    <row r="1404" spans="1:10" x14ac:dyDescent="0.3">
      <c r="A1404" s="130"/>
      <c r="B1404" s="37"/>
      <c r="C1404" s="37"/>
      <c r="D1404" s="37"/>
      <c r="E1404" s="37"/>
      <c r="F1404" s="37"/>
      <c r="G1404" s="37"/>
      <c r="H1404" s="37"/>
      <c r="I1404" s="37"/>
      <c r="J1404" s="37"/>
    </row>
    <row r="1405" spans="1:10" x14ac:dyDescent="0.3">
      <c r="A1405" s="130"/>
      <c r="B1405" s="37"/>
      <c r="C1405" s="37"/>
      <c r="D1405" s="37"/>
      <c r="E1405" s="37"/>
      <c r="F1405" s="37"/>
      <c r="G1405" s="37"/>
      <c r="H1405" s="37"/>
      <c r="I1405" s="37"/>
      <c r="J1405" s="37"/>
    </row>
    <row r="1406" spans="1:10" x14ac:dyDescent="0.3">
      <c r="A1406" s="130"/>
      <c r="B1406" s="37"/>
      <c r="C1406" s="37"/>
      <c r="D1406" s="37"/>
      <c r="E1406" s="37"/>
      <c r="F1406" s="37"/>
      <c r="G1406" s="37"/>
      <c r="H1406" s="37"/>
      <c r="I1406" s="37"/>
      <c r="J1406" s="37"/>
    </row>
    <row r="1407" spans="1:10" x14ac:dyDescent="0.3">
      <c r="A1407" s="130"/>
      <c r="B1407" s="37"/>
      <c r="C1407" s="37"/>
      <c r="D1407" s="37"/>
      <c r="E1407" s="37"/>
      <c r="F1407" s="37"/>
      <c r="G1407" s="37"/>
      <c r="H1407" s="37"/>
      <c r="I1407" s="37"/>
      <c r="J1407" s="37"/>
    </row>
    <row r="1408" spans="1:10" x14ac:dyDescent="0.3">
      <c r="A1408" s="130"/>
      <c r="B1408" s="37"/>
      <c r="C1408" s="37"/>
      <c r="D1408" s="37"/>
      <c r="E1408" s="37"/>
      <c r="F1408" s="37"/>
      <c r="G1408" s="37"/>
      <c r="H1408" s="37"/>
      <c r="I1408" s="37"/>
      <c r="J1408" s="37"/>
    </row>
    <row r="1409" spans="1:10" x14ac:dyDescent="0.3">
      <c r="A1409" s="130"/>
      <c r="B1409" s="37"/>
      <c r="C1409" s="37"/>
      <c r="D1409" s="37"/>
      <c r="E1409" s="37"/>
      <c r="F1409" s="37"/>
      <c r="G1409" s="37"/>
      <c r="H1409" s="37"/>
      <c r="I1409" s="37"/>
      <c r="J1409" s="37"/>
    </row>
    <row r="1410" spans="1:10" x14ac:dyDescent="0.3">
      <c r="A1410" s="130"/>
      <c r="B1410" s="37"/>
      <c r="C1410" s="37"/>
      <c r="D1410" s="37"/>
      <c r="E1410" s="37"/>
      <c r="F1410" s="37"/>
      <c r="G1410" s="37"/>
      <c r="H1410" s="37"/>
      <c r="I1410" s="37"/>
      <c r="J1410" s="37"/>
    </row>
    <row r="1411" spans="1:10" x14ac:dyDescent="0.3">
      <c r="A1411" s="130"/>
      <c r="B1411" s="37"/>
      <c r="C1411" s="37"/>
      <c r="D1411" s="37"/>
      <c r="E1411" s="37"/>
      <c r="F1411" s="37"/>
      <c r="G1411" s="37"/>
      <c r="H1411" s="37"/>
      <c r="I1411" s="37"/>
      <c r="J1411" s="37"/>
    </row>
    <row r="1412" spans="1:10" x14ac:dyDescent="0.3">
      <c r="A1412" s="130"/>
      <c r="B1412" s="37"/>
      <c r="C1412" s="37"/>
      <c r="D1412" s="37"/>
      <c r="E1412" s="37"/>
      <c r="F1412" s="37"/>
      <c r="G1412" s="37"/>
      <c r="H1412" s="37"/>
      <c r="I1412" s="37"/>
      <c r="J1412" s="37"/>
    </row>
    <row r="1413" spans="1:10" x14ac:dyDescent="0.3">
      <c r="A1413" s="130"/>
      <c r="B1413" s="37"/>
      <c r="C1413" s="37"/>
      <c r="D1413" s="37"/>
      <c r="E1413" s="37"/>
      <c r="F1413" s="37"/>
      <c r="G1413" s="37"/>
      <c r="H1413" s="37"/>
      <c r="I1413" s="37"/>
      <c r="J1413" s="37"/>
    </row>
    <row r="1414" spans="1:10" x14ac:dyDescent="0.3">
      <c r="A1414" s="130"/>
      <c r="B1414" s="37"/>
      <c r="C1414" s="37"/>
      <c r="D1414" s="37"/>
      <c r="E1414" s="37"/>
      <c r="F1414" s="37"/>
      <c r="G1414" s="37"/>
      <c r="H1414" s="37"/>
      <c r="I1414" s="37"/>
      <c r="J1414" s="37"/>
    </row>
    <row r="1415" spans="1:10" x14ac:dyDescent="0.3">
      <c r="A1415" s="130"/>
      <c r="B1415" s="37"/>
      <c r="C1415" s="37"/>
      <c r="D1415" s="37"/>
      <c r="E1415" s="37"/>
      <c r="F1415" s="37"/>
      <c r="G1415" s="37"/>
      <c r="H1415" s="37"/>
      <c r="I1415" s="37"/>
      <c r="J1415" s="37"/>
    </row>
    <row r="1416" spans="1:10" x14ac:dyDescent="0.3">
      <c r="A1416" s="130"/>
      <c r="B1416" s="37"/>
      <c r="C1416" s="37"/>
      <c r="D1416" s="37"/>
      <c r="E1416" s="37"/>
      <c r="F1416" s="37"/>
      <c r="G1416" s="37"/>
      <c r="H1416" s="37"/>
      <c r="I1416" s="37"/>
      <c r="J1416" s="37"/>
    </row>
    <row r="1417" spans="1:10" x14ac:dyDescent="0.3">
      <c r="A1417" s="130"/>
      <c r="B1417" s="37"/>
      <c r="C1417" s="37"/>
      <c r="D1417" s="37"/>
      <c r="E1417" s="37"/>
      <c r="F1417" s="37"/>
      <c r="G1417" s="37"/>
      <c r="H1417" s="37"/>
      <c r="I1417" s="37"/>
      <c r="J1417" s="37"/>
    </row>
    <row r="1418" spans="1:10" x14ac:dyDescent="0.3">
      <c r="A1418" s="130"/>
      <c r="B1418" s="37"/>
      <c r="C1418" s="37"/>
      <c r="D1418" s="37"/>
      <c r="E1418" s="37"/>
      <c r="F1418" s="37"/>
      <c r="G1418" s="37"/>
      <c r="H1418" s="37"/>
      <c r="I1418" s="37"/>
      <c r="J1418" s="37"/>
    </row>
    <row r="1419" spans="1:10" x14ac:dyDescent="0.3">
      <c r="A1419" s="130"/>
      <c r="B1419" s="37"/>
      <c r="C1419" s="37"/>
      <c r="D1419" s="37"/>
      <c r="E1419" s="37"/>
      <c r="F1419" s="37"/>
      <c r="G1419" s="37"/>
      <c r="H1419" s="37"/>
      <c r="I1419" s="37"/>
      <c r="J1419" s="37"/>
    </row>
    <row r="1420" spans="1:10" x14ac:dyDescent="0.3">
      <c r="A1420" s="130"/>
      <c r="B1420" s="37"/>
      <c r="C1420" s="37"/>
      <c r="D1420" s="37"/>
      <c r="E1420" s="37"/>
      <c r="F1420" s="37"/>
      <c r="G1420" s="37"/>
      <c r="H1420" s="37"/>
      <c r="I1420" s="37"/>
      <c r="J1420" s="37"/>
    </row>
    <row r="1421" spans="1:10" x14ac:dyDescent="0.3">
      <c r="A1421" s="130"/>
      <c r="B1421" s="37"/>
      <c r="C1421" s="37"/>
      <c r="D1421" s="37"/>
      <c r="E1421" s="37"/>
      <c r="F1421" s="37"/>
      <c r="G1421" s="37"/>
      <c r="H1421" s="37"/>
      <c r="I1421" s="37"/>
      <c r="J1421" s="37"/>
    </row>
    <row r="1422" spans="1:10" x14ac:dyDescent="0.3">
      <c r="A1422" s="130"/>
      <c r="B1422" s="37"/>
      <c r="C1422" s="37"/>
      <c r="D1422" s="37"/>
      <c r="E1422" s="37"/>
      <c r="F1422" s="37"/>
      <c r="G1422" s="37"/>
      <c r="H1422" s="37"/>
      <c r="I1422" s="37"/>
      <c r="J1422" s="37"/>
    </row>
    <row r="1423" spans="1:10" x14ac:dyDescent="0.3">
      <c r="A1423" s="130"/>
      <c r="B1423" s="37"/>
      <c r="C1423" s="37"/>
      <c r="D1423" s="37"/>
      <c r="E1423" s="37"/>
      <c r="F1423" s="37"/>
      <c r="G1423" s="37"/>
      <c r="H1423" s="37"/>
      <c r="I1423" s="37"/>
      <c r="J1423" s="37"/>
    </row>
    <row r="1424" spans="1:10" x14ac:dyDescent="0.3">
      <c r="A1424" s="130"/>
      <c r="B1424" s="37"/>
      <c r="C1424" s="37"/>
      <c r="D1424" s="37"/>
      <c r="E1424" s="37"/>
      <c r="F1424" s="37"/>
      <c r="G1424" s="37"/>
      <c r="H1424" s="37"/>
      <c r="I1424" s="37"/>
      <c r="J1424" s="37"/>
    </row>
    <row r="1425" spans="1:10" x14ac:dyDescent="0.3">
      <c r="A1425" s="130"/>
      <c r="B1425" s="37"/>
      <c r="C1425" s="37"/>
      <c r="D1425" s="37"/>
      <c r="E1425" s="37"/>
      <c r="F1425" s="37"/>
      <c r="G1425" s="37"/>
      <c r="H1425" s="37"/>
      <c r="I1425" s="37"/>
      <c r="J1425" s="37"/>
    </row>
    <row r="1426" spans="1:10" x14ac:dyDescent="0.3">
      <c r="A1426" s="130"/>
      <c r="B1426" s="37"/>
      <c r="C1426" s="37"/>
      <c r="D1426" s="37"/>
      <c r="E1426" s="37"/>
      <c r="F1426" s="37"/>
      <c r="G1426" s="37"/>
      <c r="H1426" s="37"/>
      <c r="I1426" s="37"/>
      <c r="J1426" s="37"/>
    </row>
    <row r="1427" spans="1:10" x14ac:dyDescent="0.3">
      <c r="A1427" s="130"/>
      <c r="B1427" s="37"/>
      <c r="C1427" s="37"/>
      <c r="D1427" s="37"/>
      <c r="E1427" s="37"/>
      <c r="F1427" s="37"/>
      <c r="G1427" s="37"/>
      <c r="H1427" s="37"/>
      <c r="I1427" s="37"/>
      <c r="J1427" s="37"/>
    </row>
    <row r="1428" spans="1:10" x14ac:dyDescent="0.3">
      <c r="A1428" s="130"/>
      <c r="B1428" s="37"/>
      <c r="C1428" s="37"/>
      <c r="D1428" s="37"/>
      <c r="E1428" s="37"/>
      <c r="F1428" s="37"/>
      <c r="G1428" s="37"/>
      <c r="H1428" s="37"/>
      <c r="I1428" s="37"/>
      <c r="J1428" s="37"/>
    </row>
    <row r="1429" spans="1:10" x14ac:dyDescent="0.3">
      <c r="A1429" s="130"/>
      <c r="B1429" s="37"/>
      <c r="C1429" s="37"/>
      <c r="D1429" s="37"/>
      <c r="E1429" s="37"/>
      <c r="F1429" s="37"/>
      <c r="G1429" s="37"/>
      <c r="H1429" s="37"/>
      <c r="I1429" s="37"/>
      <c r="J1429" s="37"/>
    </row>
    <row r="1430" spans="1:10" x14ac:dyDescent="0.3">
      <c r="A1430" s="130"/>
      <c r="B1430" s="37"/>
      <c r="C1430" s="37"/>
      <c r="D1430" s="37"/>
      <c r="E1430" s="37"/>
      <c r="F1430" s="37"/>
      <c r="G1430" s="37"/>
      <c r="H1430" s="37"/>
      <c r="I1430" s="37"/>
      <c r="J1430" s="37"/>
    </row>
    <row r="1431" spans="1:10" x14ac:dyDescent="0.3">
      <c r="A1431" s="130"/>
      <c r="B1431" s="37"/>
      <c r="C1431" s="37"/>
      <c r="D1431" s="37"/>
      <c r="E1431" s="37"/>
      <c r="F1431" s="37"/>
      <c r="G1431" s="37"/>
      <c r="H1431" s="37"/>
      <c r="I1431" s="37"/>
      <c r="J1431" s="37"/>
    </row>
    <row r="1432" spans="1:10" x14ac:dyDescent="0.3">
      <c r="A1432" s="130"/>
      <c r="B1432" s="37"/>
      <c r="C1432" s="37"/>
      <c r="D1432" s="37"/>
      <c r="E1432" s="37"/>
      <c r="F1432" s="37"/>
      <c r="G1432" s="37"/>
      <c r="H1432" s="37"/>
      <c r="I1432" s="37"/>
      <c r="J1432" s="37"/>
    </row>
    <row r="1433" spans="1:10" x14ac:dyDescent="0.3">
      <c r="A1433" s="130"/>
      <c r="B1433" s="37"/>
      <c r="C1433" s="37"/>
      <c r="D1433" s="37"/>
      <c r="E1433" s="37"/>
      <c r="F1433" s="37"/>
      <c r="G1433" s="37"/>
      <c r="H1433" s="37"/>
      <c r="I1433" s="37"/>
      <c r="J1433" s="37"/>
    </row>
    <row r="1434" spans="1:10" x14ac:dyDescent="0.3">
      <c r="A1434" s="130"/>
      <c r="B1434" s="37"/>
      <c r="C1434" s="37"/>
      <c r="D1434" s="37"/>
      <c r="E1434" s="37"/>
      <c r="F1434" s="37"/>
      <c r="G1434" s="37"/>
      <c r="H1434" s="37"/>
      <c r="I1434" s="37"/>
      <c r="J1434" s="37"/>
    </row>
    <row r="1435" spans="1:10" x14ac:dyDescent="0.3">
      <c r="A1435" s="130"/>
      <c r="B1435" s="37"/>
      <c r="C1435" s="37"/>
      <c r="D1435" s="37"/>
      <c r="E1435" s="37"/>
      <c r="F1435" s="37"/>
      <c r="G1435" s="37"/>
      <c r="H1435" s="37"/>
      <c r="I1435" s="37"/>
      <c r="J1435" s="37"/>
    </row>
    <row r="1436" spans="1:10" x14ac:dyDescent="0.3">
      <c r="A1436" s="130"/>
      <c r="B1436" s="37"/>
      <c r="C1436" s="37"/>
      <c r="D1436" s="37"/>
      <c r="E1436" s="37"/>
      <c r="F1436" s="37"/>
      <c r="G1436" s="37"/>
      <c r="H1436" s="37"/>
      <c r="I1436" s="37"/>
      <c r="J1436" s="37"/>
    </row>
    <row r="1437" spans="1:10" x14ac:dyDescent="0.3">
      <c r="A1437" s="130"/>
      <c r="B1437" s="37"/>
      <c r="C1437" s="37"/>
      <c r="D1437" s="37"/>
      <c r="E1437" s="37"/>
      <c r="F1437" s="37"/>
      <c r="G1437" s="37"/>
      <c r="H1437" s="37"/>
      <c r="I1437" s="37"/>
      <c r="J1437" s="37"/>
    </row>
    <row r="1438" spans="1:10" x14ac:dyDescent="0.3">
      <c r="A1438" s="130"/>
      <c r="B1438" s="37"/>
      <c r="C1438" s="37"/>
      <c r="D1438" s="37"/>
      <c r="E1438" s="37"/>
      <c r="F1438" s="37"/>
      <c r="G1438" s="37"/>
      <c r="H1438" s="37"/>
      <c r="I1438" s="37"/>
      <c r="J1438" s="37"/>
    </row>
    <row r="1439" spans="1:10" x14ac:dyDescent="0.3">
      <c r="A1439" s="130"/>
      <c r="B1439" s="37"/>
      <c r="C1439" s="37"/>
      <c r="D1439" s="37"/>
      <c r="E1439" s="37"/>
      <c r="F1439" s="37"/>
      <c r="G1439" s="37"/>
      <c r="H1439" s="37"/>
      <c r="I1439" s="37"/>
      <c r="J1439" s="37"/>
    </row>
    <row r="1440" spans="1:10" x14ac:dyDescent="0.3">
      <c r="A1440" s="130"/>
      <c r="B1440" s="37"/>
      <c r="C1440" s="37"/>
      <c r="D1440" s="37"/>
      <c r="E1440" s="37"/>
      <c r="F1440" s="37"/>
      <c r="G1440" s="37"/>
      <c r="H1440" s="37"/>
      <c r="I1440" s="37"/>
      <c r="J1440" s="37"/>
    </row>
    <row r="1441" spans="1:10" x14ac:dyDescent="0.3">
      <c r="A1441" s="130"/>
      <c r="B1441" s="37"/>
      <c r="C1441" s="37"/>
      <c r="D1441" s="37"/>
      <c r="E1441" s="37"/>
      <c r="F1441" s="37"/>
      <c r="G1441" s="37"/>
      <c r="H1441" s="37"/>
      <c r="I1441" s="37"/>
      <c r="J1441" s="37"/>
    </row>
    <row r="1442" spans="1:10" x14ac:dyDescent="0.3">
      <c r="A1442" s="130"/>
      <c r="B1442" s="37"/>
      <c r="C1442" s="37"/>
      <c r="D1442" s="37"/>
      <c r="E1442" s="37"/>
      <c r="F1442" s="37"/>
      <c r="G1442" s="37"/>
      <c r="H1442" s="37"/>
      <c r="I1442" s="37"/>
      <c r="J1442" s="37"/>
    </row>
    <row r="1443" spans="1:10" x14ac:dyDescent="0.3">
      <c r="A1443" s="130"/>
      <c r="B1443" s="37"/>
      <c r="C1443" s="37"/>
      <c r="D1443" s="37"/>
      <c r="E1443" s="37"/>
      <c r="F1443" s="37"/>
      <c r="G1443" s="37"/>
      <c r="H1443" s="37"/>
      <c r="I1443" s="37"/>
      <c r="J1443" s="37"/>
    </row>
    <row r="1444" spans="1:10" x14ac:dyDescent="0.3">
      <c r="A1444" s="130"/>
      <c r="B1444" s="37"/>
      <c r="C1444" s="37"/>
      <c r="D1444" s="37"/>
      <c r="E1444" s="37"/>
      <c r="F1444" s="37"/>
      <c r="G1444" s="37"/>
      <c r="H1444" s="37"/>
      <c r="I1444" s="37"/>
      <c r="J1444" s="37"/>
    </row>
    <row r="1445" spans="1:10" x14ac:dyDescent="0.3">
      <c r="A1445" s="130"/>
      <c r="B1445" s="37"/>
      <c r="C1445" s="37"/>
      <c r="D1445" s="37"/>
      <c r="E1445" s="37"/>
      <c r="F1445" s="37"/>
      <c r="G1445" s="37"/>
      <c r="H1445" s="37"/>
      <c r="I1445" s="37"/>
      <c r="J1445" s="37"/>
    </row>
    <row r="1446" spans="1:10" x14ac:dyDescent="0.3">
      <c r="A1446" s="130"/>
      <c r="B1446" s="37"/>
      <c r="C1446" s="37"/>
      <c r="D1446" s="37"/>
      <c r="E1446" s="37"/>
      <c r="F1446" s="37"/>
      <c r="G1446" s="37"/>
      <c r="H1446" s="37"/>
      <c r="I1446" s="37"/>
      <c r="J1446" s="37"/>
    </row>
    <row r="1447" spans="1:10" x14ac:dyDescent="0.3">
      <c r="A1447" s="130"/>
      <c r="B1447" s="37"/>
      <c r="C1447" s="37"/>
      <c r="D1447" s="37"/>
      <c r="E1447" s="37"/>
      <c r="F1447" s="37"/>
      <c r="G1447" s="37"/>
      <c r="H1447" s="37"/>
      <c r="I1447" s="37"/>
      <c r="J1447" s="37"/>
    </row>
    <row r="1448" spans="1:10" x14ac:dyDescent="0.3">
      <c r="A1448" s="130"/>
      <c r="B1448" s="37"/>
      <c r="C1448" s="37"/>
      <c r="D1448" s="37"/>
      <c r="E1448" s="37"/>
      <c r="F1448" s="37"/>
      <c r="G1448" s="37"/>
      <c r="H1448" s="37"/>
      <c r="I1448" s="37"/>
      <c r="J1448" s="37"/>
    </row>
    <row r="1449" spans="1:10" x14ac:dyDescent="0.3">
      <c r="A1449" s="130"/>
      <c r="B1449" s="37"/>
      <c r="C1449" s="37"/>
      <c r="D1449" s="37"/>
      <c r="E1449" s="37"/>
      <c r="F1449" s="37"/>
      <c r="G1449" s="37"/>
      <c r="H1449" s="37"/>
      <c r="I1449" s="37"/>
      <c r="J1449" s="37"/>
    </row>
    <row r="1450" spans="1:10" x14ac:dyDescent="0.3">
      <c r="A1450" s="130"/>
      <c r="B1450" s="37"/>
      <c r="C1450" s="37"/>
      <c r="D1450" s="37"/>
      <c r="E1450" s="37"/>
      <c r="F1450" s="37"/>
      <c r="G1450" s="37"/>
      <c r="H1450" s="37"/>
      <c r="I1450" s="37"/>
      <c r="J1450" s="37"/>
    </row>
    <row r="1451" spans="1:10" x14ac:dyDescent="0.3">
      <c r="A1451" s="130"/>
      <c r="B1451" s="37"/>
      <c r="C1451" s="37"/>
      <c r="D1451" s="37"/>
      <c r="E1451" s="37"/>
      <c r="F1451" s="37"/>
      <c r="G1451" s="37"/>
      <c r="H1451" s="37"/>
      <c r="I1451" s="37"/>
      <c r="J1451" s="37"/>
    </row>
    <row r="1452" spans="1:10" x14ac:dyDescent="0.3">
      <c r="A1452" s="130"/>
      <c r="B1452" s="37"/>
      <c r="C1452" s="37"/>
      <c r="D1452" s="37"/>
      <c r="E1452" s="37"/>
      <c r="F1452" s="37"/>
      <c r="G1452" s="37"/>
      <c r="H1452" s="37"/>
      <c r="I1452" s="37"/>
      <c r="J1452" s="37"/>
    </row>
    <row r="1453" spans="1:10" x14ac:dyDescent="0.3">
      <c r="A1453" s="130"/>
      <c r="B1453" s="37"/>
      <c r="C1453" s="37"/>
      <c r="D1453" s="37"/>
      <c r="E1453" s="37"/>
      <c r="F1453" s="37"/>
      <c r="G1453" s="37"/>
      <c r="H1453" s="37"/>
      <c r="I1453" s="37"/>
      <c r="J1453" s="37"/>
    </row>
    <row r="1454" spans="1:10" x14ac:dyDescent="0.3">
      <c r="A1454" s="130"/>
      <c r="B1454" s="37"/>
      <c r="C1454" s="37"/>
      <c r="D1454" s="37"/>
      <c r="E1454" s="37"/>
      <c r="F1454" s="37"/>
      <c r="G1454" s="37"/>
      <c r="H1454" s="37"/>
      <c r="I1454" s="37"/>
      <c r="J1454" s="37"/>
    </row>
    <row r="1455" spans="1:10" x14ac:dyDescent="0.3">
      <c r="A1455" s="130"/>
      <c r="B1455" s="37"/>
      <c r="C1455" s="37"/>
      <c r="D1455" s="37"/>
      <c r="E1455" s="37"/>
      <c r="F1455" s="37"/>
      <c r="G1455" s="37"/>
      <c r="H1455" s="37"/>
      <c r="I1455" s="37"/>
      <c r="J1455" s="37"/>
    </row>
    <row r="1456" spans="1:10" x14ac:dyDescent="0.3">
      <c r="A1456" s="130"/>
      <c r="B1456" s="37"/>
      <c r="C1456" s="37"/>
      <c r="D1456" s="37"/>
      <c r="E1456" s="37"/>
      <c r="F1456" s="37"/>
      <c r="G1456" s="37"/>
      <c r="H1456" s="37"/>
      <c r="I1456" s="37"/>
      <c r="J1456" s="37"/>
    </row>
    <row r="1457" spans="1:10" x14ac:dyDescent="0.3">
      <c r="A1457" s="130"/>
      <c r="B1457" s="37"/>
      <c r="C1457" s="37"/>
      <c r="D1457" s="37"/>
      <c r="E1457" s="37"/>
      <c r="F1457" s="37"/>
      <c r="G1457" s="37"/>
      <c r="H1457" s="37"/>
      <c r="I1457" s="37"/>
      <c r="J1457" s="37"/>
    </row>
    <row r="1458" spans="1:10" x14ac:dyDescent="0.3">
      <c r="A1458" s="130"/>
      <c r="B1458" s="37"/>
      <c r="C1458" s="37"/>
      <c r="D1458" s="37"/>
      <c r="E1458" s="37"/>
      <c r="F1458" s="37"/>
      <c r="G1458" s="37"/>
      <c r="H1458" s="37"/>
      <c r="I1458" s="37"/>
      <c r="J1458" s="37"/>
    </row>
    <row r="1459" spans="1:10" x14ac:dyDescent="0.3">
      <c r="A1459" s="130"/>
      <c r="B1459" s="37"/>
      <c r="C1459" s="37"/>
      <c r="D1459" s="37"/>
      <c r="E1459" s="37"/>
      <c r="F1459" s="37"/>
      <c r="G1459" s="37"/>
      <c r="H1459" s="37"/>
      <c r="I1459" s="37"/>
      <c r="J1459" s="37"/>
    </row>
    <row r="1460" spans="1:10" x14ac:dyDescent="0.3">
      <c r="A1460" s="130"/>
      <c r="B1460" s="37"/>
      <c r="C1460" s="37"/>
      <c r="D1460" s="37"/>
      <c r="E1460" s="37"/>
      <c r="F1460" s="37"/>
      <c r="G1460" s="37"/>
      <c r="H1460" s="37"/>
      <c r="I1460" s="37"/>
      <c r="J1460" s="37"/>
    </row>
    <row r="1461" spans="1:10" x14ac:dyDescent="0.3">
      <c r="A1461" s="130"/>
      <c r="B1461" s="37"/>
      <c r="C1461" s="37"/>
      <c r="D1461" s="37"/>
      <c r="E1461" s="37"/>
      <c r="F1461" s="37"/>
      <c r="G1461" s="37"/>
      <c r="H1461" s="37"/>
      <c r="I1461" s="37"/>
      <c r="J1461" s="37"/>
    </row>
    <row r="1462" spans="1:10" x14ac:dyDescent="0.3">
      <c r="A1462" s="130"/>
      <c r="B1462" s="37"/>
      <c r="C1462" s="37"/>
      <c r="D1462" s="37"/>
      <c r="E1462" s="37"/>
      <c r="F1462" s="37"/>
      <c r="G1462" s="37"/>
      <c r="H1462" s="37"/>
      <c r="I1462" s="37"/>
      <c r="J1462" s="37"/>
    </row>
    <row r="1463" spans="1:10" x14ac:dyDescent="0.3">
      <c r="A1463" s="130"/>
      <c r="B1463" s="37"/>
      <c r="C1463" s="37"/>
      <c r="D1463" s="37"/>
      <c r="E1463" s="37"/>
      <c r="F1463" s="37"/>
      <c r="G1463" s="37"/>
      <c r="H1463" s="37"/>
      <c r="I1463" s="37"/>
      <c r="J1463" s="37"/>
    </row>
    <row r="1464" spans="1:10" x14ac:dyDescent="0.3">
      <c r="A1464" s="130"/>
      <c r="B1464" s="37"/>
      <c r="C1464" s="37"/>
      <c r="D1464" s="37"/>
      <c r="E1464" s="37"/>
      <c r="F1464" s="37"/>
      <c r="G1464" s="37"/>
      <c r="H1464" s="37"/>
      <c r="I1464" s="37"/>
      <c r="J1464" s="37"/>
    </row>
    <row r="1465" spans="1:10" x14ac:dyDescent="0.3">
      <c r="A1465" s="130"/>
      <c r="B1465" s="37"/>
      <c r="C1465" s="37"/>
      <c r="D1465" s="37"/>
      <c r="E1465" s="37"/>
      <c r="F1465" s="37"/>
      <c r="G1465" s="37"/>
      <c r="H1465" s="37"/>
      <c r="I1465" s="37"/>
      <c r="J1465" s="37"/>
    </row>
    <row r="1466" spans="1:10" x14ac:dyDescent="0.3">
      <c r="A1466" s="130"/>
      <c r="B1466" s="37"/>
      <c r="C1466" s="37"/>
      <c r="D1466" s="37"/>
      <c r="E1466" s="37"/>
      <c r="F1466" s="37"/>
      <c r="G1466" s="37"/>
      <c r="H1466" s="37"/>
      <c r="I1466" s="37"/>
      <c r="J1466" s="37"/>
    </row>
    <row r="1467" spans="1:10" x14ac:dyDescent="0.3">
      <c r="A1467" s="130"/>
      <c r="B1467" s="37"/>
      <c r="C1467" s="37"/>
      <c r="D1467" s="37"/>
      <c r="E1467" s="37"/>
      <c r="F1467" s="37"/>
      <c r="G1467" s="37"/>
      <c r="H1467" s="37"/>
      <c r="I1467" s="37"/>
      <c r="J1467" s="37"/>
    </row>
    <row r="1468" spans="1:10" x14ac:dyDescent="0.3">
      <c r="A1468" s="130"/>
      <c r="B1468" s="37"/>
      <c r="C1468" s="37"/>
      <c r="D1468" s="37"/>
      <c r="E1468" s="37"/>
      <c r="F1468" s="37"/>
      <c r="G1468" s="37"/>
      <c r="H1468" s="37"/>
      <c r="I1468" s="37"/>
      <c r="J1468" s="37"/>
    </row>
    <row r="1469" spans="1:10" x14ac:dyDescent="0.3">
      <c r="A1469" s="130"/>
      <c r="B1469" s="37"/>
      <c r="C1469" s="37"/>
      <c r="D1469" s="37"/>
      <c r="E1469" s="37"/>
      <c r="F1469" s="37"/>
      <c r="G1469" s="37"/>
      <c r="H1469" s="37"/>
      <c r="I1469" s="37"/>
      <c r="J1469" s="37"/>
    </row>
    <row r="1470" spans="1:10" x14ac:dyDescent="0.3">
      <c r="A1470" s="130"/>
      <c r="B1470" s="37"/>
      <c r="C1470" s="37"/>
      <c r="D1470" s="37"/>
      <c r="E1470" s="37"/>
      <c r="F1470" s="37"/>
      <c r="G1470" s="37"/>
      <c r="H1470" s="37"/>
      <c r="I1470" s="37"/>
      <c r="J1470" s="37"/>
    </row>
    <row r="1471" spans="1:10" x14ac:dyDescent="0.3">
      <c r="A1471" s="130"/>
      <c r="B1471" s="37"/>
      <c r="C1471" s="37"/>
      <c r="D1471" s="37"/>
      <c r="E1471" s="37"/>
      <c r="F1471" s="37"/>
      <c r="G1471" s="37"/>
      <c r="H1471" s="37"/>
      <c r="I1471" s="37"/>
      <c r="J1471" s="37"/>
    </row>
    <row r="1472" spans="1:10" x14ac:dyDescent="0.3">
      <c r="A1472" s="130"/>
      <c r="B1472" s="37"/>
      <c r="C1472" s="37"/>
      <c r="D1472" s="37"/>
      <c r="E1472" s="37"/>
      <c r="F1472" s="37"/>
      <c r="G1472" s="37"/>
      <c r="H1472" s="37"/>
      <c r="I1472" s="37"/>
      <c r="J1472" s="37"/>
    </row>
    <row r="1473" spans="1:10" x14ac:dyDescent="0.3">
      <c r="A1473" s="130"/>
      <c r="B1473" s="37"/>
      <c r="C1473" s="37"/>
      <c r="D1473" s="37"/>
      <c r="E1473" s="37"/>
      <c r="F1473" s="37"/>
      <c r="G1473" s="37"/>
      <c r="H1473" s="37"/>
      <c r="I1473" s="37"/>
      <c r="J1473" s="37"/>
    </row>
    <row r="1474" spans="1:10" x14ac:dyDescent="0.3">
      <c r="A1474" s="130"/>
      <c r="B1474" s="37"/>
      <c r="C1474" s="37"/>
      <c r="D1474" s="37"/>
      <c r="E1474" s="37"/>
      <c r="F1474" s="37"/>
      <c r="G1474" s="37"/>
      <c r="H1474" s="37"/>
      <c r="I1474" s="37"/>
      <c r="J1474" s="37"/>
    </row>
    <row r="1475" spans="1:10" x14ac:dyDescent="0.3">
      <c r="A1475" s="130"/>
      <c r="B1475" s="37"/>
      <c r="C1475" s="37"/>
      <c r="D1475" s="37"/>
      <c r="E1475" s="37"/>
      <c r="F1475" s="37"/>
      <c r="G1475" s="37"/>
      <c r="H1475" s="37"/>
      <c r="I1475" s="37"/>
      <c r="J1475" s="37"/>
    </row>
    <row r="1476" spans="1:10" x14ac:dyDescent="0.3">
      <c r="A1476" s="130"/>
      <c r="B1476" s="37"/>
      <c r="C1476" s="37"/>
      <c r="D1476" s="37"/>
      <c r="E1476" s="37"/>
      <c r="F1476" s="37"/>
      <c r="G1476" s="37"/>
      <c r="H1476" s="37"/>
      <c r="I1476" s="37"/>
      <c r="J1476" s="37"/>
    </row>
    <row r="1477" spans="1:10" x14ac:dyDescent="0.3">
      <c r="A1477" s="130"/>
      <c r="B1477" s="37"/>
      <c r="C1477" s="37"/>
      <c r="D1477" s="37"/>
      <c r="E1477" s="37"/>
      <c r="F1477" s="37"/>
      <c r="G1477" s="37"/>
      <c r="H1477" s="37"/>
      <c r="I1477" s="37"/>
      <c r="J1477" s="37"/>
    </row>
    <row r="1478" spans="1:10" x14ac:dyDescent="0.3">
      <c r="A1478" s="130"/>
      <c r="B1478" s="37"/>
      <c r="C1478" s="37"/>
      <c r="D1478" s="37"/>
      <c r="E1478" s="37"/>
      <c r="F1478" s="37"/>
      <c r="G1478" s="37"/>
      <c r="H1478" s="37"/>
      <c r="I1478" s="37"/>
      <c r="J1478" s="37"/>
    </row>
    <row r="1479" spans="1:10" x14ac:dyDescent="0.3">
      <c r="A1479" s="130"/>
      <c r="B1479" s="37"/>
      <c r="C1479" s="37"/>
      <c r="D1479" s="37"/>
      <c r="E1479" s="37"/>
      <c r="F1479" s="37"/>
      <c r="G1479" s="37"/>
      <c r="H1479" s="37"/>
      <c r="I1479" s="37"/>
      <c r="J1479" s="37"/>
    </row>
    <row r="1480" spans="1:10" x14ac:dyDescent="0.3">
      <c r="A1480" s="130"/>
      <c r="B1480" s="37"/>
      <c r="C1480" s="37"/>
      <c r="D1480" s="37"/>
      <c r="E1480" s="37"/>
      <c r="F1480" s="37"/>
      <c r="G1480" s="37"/>
      <c r="H1480" s="37"/>
      <c r="I1480" s="37"/>
      <c r="J1480" s="37"/>
    </row>
    <row r="1481" spans="1:10" x14ac:dyDescent="0.3">
      <c r="A1481" s="130"/>
      <c r="B1481" s="37"/>
      <c r="C1481" s="37"/>
      <c r="D1481" s="37"/>
      <c r="E1481" s="37"/>
      <c r="F1481" s="37"/>
      <c r="G1481" s="37"/>
      <c r="H1481" s="37"/>
      <c r="I1481" s="37"/>
      <c r="J1481" s="37"/>
    </row>
    <row r="1482" spans="1:10" x14ac:dyDescent="0.3">
      <c r="A1482" s="130"/>
      <c r="B1482" s="37"/>
      <c r="C1482" s="37"/>
      <c r="D1482" s="37"/>
      <c r="E1482" s="37"/>
      <c r="F1482" s="37"/>
      <c r="G1482" s="37"/>
      <c r="H1482" s="37"/>
      <c r="I1482" s="37"/>
      <c r="J1482" s="37"/>
    </row>
    <row r="1483" spans="1:10" x14ac:dyDescent="0.3">
      <c r="A1483" s="130"/>
      <c r="B1483" s="37"/>
      <c r="C1483" s="37"/>
      <c r="D1483" s="37"/>
      <c r="E1483" s="37"/>
      <c r="F1483" s="37"/>
      <c r="G1483" s="37"/>
      <c r="H1483" s="37"/>
      <c r="I1483" s="37"/>
      <c r="J1483" s="37"/>
    </row>
    <row r="1484" spans="1:10" x14ac:dyDescent="0.3">
      <c r="A1484" s="130"/>
      <c r="B1484" s="37"/>
      <c r="C1484" s="37"/>
      <c r="D1484" s="37"/>
      <c r="E1484" s="37"/>
      <c r="F1484" s="37"/>
      <c r="G1484" s="37"/>
      <c r="H1484" s="37"/>
      <c r="I1484" s="37"/>
      <c r="J1484" s="37"/>
    </row>
    <row r="1485" spans="1:10" x14ac:dyDescent="0.3">
      <c r="A1485" s="130"/>
      <c r="B1485" s="37"/>
      <c r="C1485" s="37"/>
      <c r="D1485" s="37"/>
      <c r="E1485" s="37"/>
      <c r="F1485" s="37"/>
      <c r="G1485" s="37"/>
      <c r="H1485" s="37"/>
      <c r="I1485" s="37"/>
      <c r="J1485" s="37"/>
    </row>
    <row r="1486" spans="1:10" x14ac:dyDescent="0.3">
      <c r="A1486" s="130"/>
      <c r="B1486" s="37"/>
      <c r="C1486" s="37"/>
      <c r="D1486" s="37"/>
      <c r="E1486" s="37"/>
      <c r="F1486" s="37"/>
      <c r="G1486" s="37"/>
      <c r="H1486" s="37"/>
      <c r="I1486" s="37"/>
      <c r="J1486" s="37"/>
    </row>
    <row r="1487" spans="1:10" x14ac:dyDescent="0.3">
      <c r="A1487" s="130"/>
      <c r="B1487" s="37"/>
      <c r="C1487" s="37"/>
      <c r="D1487" s="37"/>
      <c r="E1487" s="37"/>
      <c r="F1487" s="37"/>
      <c r="G1487" s="37"/>
      <c r="H1487" s="37"/>
      <c r="I1487" s="37"/>
      <c r="J1487" s="37"/>
    </row>
    <row r="1488" spans="1:10" x14ac:dyDescent="0.3">
      <c r="A1488" s="130"/>
      <c r="B1488" s="37"/>
      <c r="C1488" s="37"/>
      <c r="D1488" s="37"/>
      <c r="E1488" s="37"/>
      <c r="F1488" s="37"/>
      <c r="G1488" s="37"/>
      <c r="H1488" s="37"/>
      <c r="I1488" s="37"/>
      <c r="J1488" s="37"/>
    </row>
    <row r="1489" spans="1:10" x14ac:dyDescent="0.3">
      <c r="A1489" s="130"/>
      <c r="B1489" s="37"/>
      <c r="C1489" s="37"/>
      <c r="D1489" s="37"/>
      <c r="E1489" s="37"/>
      <c r="F1489" s="37"/>
      <c r="G1489" s="37"/>
      <c r="H1489" s="37"/>
      <c r="I1489" s="37"/>
      <c r="J1489" s="37"/>
    </row>
    <row r="1490" spans="1:10" x14ac:dyDescent="0.3">
      <c r="A1490" s="130"/>
      <c r="B1490" s="37"/>
      <c r="C1490" s="37"/>
      <c r="D1490" s="37"/>
      <c r="E1490" s="37"/>
      <c r="F1490" s="37"/>
      <c r="G1490" s="37"/>
      <c r="H1490" s="37"/>
      <c r="I1490" s="37"/>
      <c r="J1490" s="37"/>
    </row>
    <row r="1491" spans="1:10" x14ac:dyDescent="0.3">
      <c r="A1491" s="130"/>
      <c r="B1491" s="37"/>
      <c r="C1491" s="37"/>
      <c r="D1491" s="37"/>
      <c r="E1491" s="37"/>
      <c r="F1491" s="37"/>
      <c r="G1491" s="37"/>
      <c r="H1491" s="37"/>
      <c r="I1491" s="37"/>
      <c r="J1491" s="37"/>
    </row>
    <row r="1492" spans="1:10" x14ac:dyDescent="0.3">
      <c r="A1492" s="130"/>
      <c r="B1492" s="37"/>
      <c r="C1492" s="37"/>
      <c r="D1492" s="37"/>
      <c r="E1492" s="37"/>
      <c r="F1492" s="37"/>
      <c r="G1492" s="37"/>
      <c r="H1492" s="37"/>
      <c r="I1492" s="37"/>
      <c r="J1492" s="37"/>
    </row>
    <row r="1493" spans="1:10" x14ac:dyDescent="0.3">
      <c r="A1493" s="130"/>
      <c r="B1493" s="37"/>
      <c r="C1493" s="37"/>
      <c r="D1493" s="37"/>
      <c r="E1493" s="37"/>
      <c r="F1493" s="37"/>
      <c r="G1493" s="37"/>
      <c r="H1493" s="37"/>
      <c r="I1493" s="37"/>
      <c r="J1493" s="37"/>
    </row>
    <row r="1494" spans="1:10" x14ac:dyDescent="0.3">
      <c r="A1494" s="130"/>
      <c r="B1494" s="37"/>
      <c r="C1494" s="37"/>
      <c r="D1494" s="37"/>
      <c r="E1494" s="37"/>
      <c r="F1494" s="37"/>
      <c r="G1494" s="37"/>
      <c r="H1494" s="37"/>
      <c r="I1494" s="37"/>
      <c r="J1494" s="37"/>
    </row>
    <row r="1495" spans="1:10" x14ac:dyDescent="0.3">
      <c r="A1495" s="130"/>
      <c r="B1495" s="37"/>
      <c r="C1495" s="37"/>
      <c r="D1495" s="37"/>
      <c r="E1495" s="37"/>
      <c r="F1495" s="37"/>
      <c r="G1495" s="37"/>
      <c r="H1495" s="37"/>
      <c r="I1495" s="37"/>
      <c r="J1495" s="37"/>
    </row>
    <row r="1496" spans="1:10" x14ac:dyDescent="0.3">
      <c r="A1496" s="130"/>
      <c r="B1496" s="37"/>
      <c r="C1496" s="37"/>
      <c r="D1496" s="37"/>
      <c r="E1496" s="37"/>
      <c r="F1496" s="37"/>
      <c r="G1496" s="37"/>
      <c r="H1496" s="37"/>
      <c r="I1496" s="37"/>
      <c r="J1496" s="37"/>
    </row>
    <row r="1497" spans="1:10" x14ac:dyDescent="0.3">
      <c r="A1497" s="130"/>
      <c r="B1497" s="37"/>
      <c r="C1497" s="37"/>
      <c r="D1497" s="37"/>
      <c r="E1497" s="37"/>
      <c r="F1497" s="37"/>
      <c r="G1497" s="37"/>
      <c r="H1497" s="37"/>
      <c r="I1497" s="37"/>
      <c r="J1497" s="37"/>
    </row>
    <row r="1498" spans="1:10" x14ac:dyDescent="0.3">
      <c r="A1498" s="130"/>
      <c r="B1498" s="37"/>
      <c r="C1498" s="37"/>
      <c r="D1498" s="37"/>
      <c r="E1498" s="37"/>
      <c r="F1498" s="37"/>
      <c r="G1498" s="37"/>
      <c r="H1498" s="37"/>
      <c r="I1498" s="37"/>
      <c r="J1498" s="37"/>
    </row>
    <row r="1499" spans="1:10" x14ac:dyDescent="0.3">
      <c r="A1499" s="130"/>
      <c r="B1499" s="37"/>
      <c r="C1499" s="37"/>
      <c r="D1499" s="37"/>
      <c r="E1499" s="37"/>
      <c r="F1499" s="37"/>
      <c r="G1499" s="37"/>
      <c r="H1499" s="37"/>
      <c r="I1499" s="37"/>
      <c r="J1499" s="37"/>
    </row>
    <row r="1500" spans="1:10" x14ac:dyDescent="0.3">
      <c r="A1500" s="130"/>
      <c r="B1500" s="37"/>
      <c r="C1500" s="37"/>
      <c r="D1500" s="37"/>
      <c r="E1500" s="37"/>
      <c r="F1500" s="37"/>
      <c r="G1500" s="37"/>
      <c r="H1500" s="37"/>
      <c r="I1500" s="37"/>
      <c r="J1500" s="37"/>
    </row>
    <row r="1501" spans="1:10" x14ac:dyDescent="0.3">
      <c r="A1501" s="130"/>
      <c r="B1501" s="37"/>
      <c r="C1501" s="37"/>
      <c r="D1501" s="37"/>
      <c r="E1501" s="37"/>
      <c r="F1501" s="37"/>
      <c r="G1501" s="37"/>
      <c r="H1501" s="37"/>
      <c r="I1501" s="37"/>
      <c r="J1501" s="37"/>
    </row>
    <row r="1502" spans="1:10" x14ac:dyDescent="0.3">
      <c r="A1502" s="130"/>
      <c r="B1502" s="37"/>
      <c r="C1502" s="37"/>
      <c r="D1502" s="37"/>
      <c r="E1502" s="37"/>
      <c r="F1502" s="37"/>
      <c r="G1502" s="37"/>
      <c r="H1502" s="37"/>
      <c r="I1502" s="37"/>
      <c r="J1502" s="37"/>
    </row>
    <row r="1503" spans="1:10" x14ac:dyDescent="0.3">
      <c r="A1503" s="130"/>
      <c r="B1503" s="37"/>
      <c r="C1503" s="37"/>
      <c r="D1503" s="37"/>
      <c r="E1503" s="37"/>
      <c r="F1503" s="37"/>
      <c r="G1503" s="37"/>
      <c r="H1503" s="37"/>
      <c r="I1503" s="37"/>
      <c r="J1503" s="37"/>
    </row>
    <row r="1504" spans="1:10" x14ac:dyDescent="0.3">
      <c r="A1504" s="130"/>
      <c r="B1504" s="37"/>
      <c r="C1504" s="37"/>
      <c r="D1504" s="37"/>
      <c r="E1504" s="37"/>
      <c r="F1504" s="37"/>
      <c r="G1504" s="37"/>
      <c r="H1504" s="37"/>
      <c r="I1504" s="37"/>
      <c r="J1504" s="37"/>
    </row>
    <row r="1505" spans="1:10" x14ac:dyDescent="0.3">
      <c r="A1505" s="130"/>
      <c r="B1505" s="37"/>
      <c r="C1505" s="37"/>
      <c r="D1505" s="37"/>
      <c r="E1505" s="37"/>
      <c r="F1505" s="37"/>
      <c r="G1505" s="37"/>
      <c r="H1505" s="37"/>
      <c r="I1505" s="37"/>
      <c r="J1505" s="37"/>
    </row>
    <row r="1506" spans="1:10" x14ac:dyDescent="0.3">
      <c r="A1506" s="130"/>
      <c r="B1506" s="37"/>
      <c r="C1506" s="37"/>
      <c r="D1506" s="37"/>
      <c r="E1506" s="37"/>
      <c r="F1506" s="37"/>
      <c r="G1506" s="37"/>
      <c r="H1506" s="37"/>
      <c r="I1506" s="37"/>
      <c r="J1506" s="37"/>
    </row>
    <row r="1507" spans="1:10" x14ac:dyDescent="0.3">
      <c r="A1507" s="130"/>
      <c r="B1507" s="37"/>
      <c r="C1507" s="37"/>
      <c r="D1507" s="37"/>
      <c r="E1507" s="37"/>
      <c r="F1507" s="37"/>
      <c r="G1507" s="37"/>
      <c r="H1507" s="37"/>
      <c r="I1507" s="37"/>
      <c r="J1507" s="37"/>
    </row>
    <row r="1508" spans="1:10" x14ac:dyDescent="0.3">
      <c r="A1508" s="130"/>
      <c r="B1508" s="37"/>
      <c r="C1508" s="37"/>
      <c r="D1508" s="37"/>
      <c r="E1508" s="37"/>
      <c r="F1508" s="37"/>
      <c r="G1508" s="37"/>
      <c r="H1508" s="37"/>
      <c r="I1508" s="37"/>
      <c r="J1508" s="37"/>
    </row>
    <row r="1509" spans="1:10" x14ac:dyDescent="0.3">
      <c r="A1509" s="130"/>
      <c r="B1509" s="37"/>
      <c r="C1509" s="37"/>
      <c r="D1509" s="37"/>
      <c r="E1509" s="37"/>
      <c r="F1509" s="37"/>
      <c r="G1509" s="37"/>
      <c r="H1509" s="37"/>
      <c r="I1509" s="37"/>
      <c r="J1509" s="37"/>
    </row>
    <row r="1510" spans="1:10" x14ac:dyDescent="0.3">
      <c r="A1510" s="130"/>
      <c r="B1510" s="37"/>
      <c r="C1510" s="37"/>
      <c r="D1510" s="37"/>
      <c r="E1510" s="37"/>
      <c r="F1510" s="37"/>
      <c r="G1510" s="37"/>
      <c r="H1510" s="37"/>
      <c r="I1510" s="37"/>
      <c r="J1510" s="37"/>
    </row>
    <row r="1511" spans="1:10" x14ac:dyDescent="0.3">
      <c r="A1511" s="130"/>
      <c r="B1511" s="37"/>
      <c r="C1511" s="37"/>
      <c r="D1511" s="37"/>
      <c r="E1511" s="37"/>
      <c r="F1511" s="37"/>
      <c r="G1511" s="37"/>
      <c r="H1511" s="37"/>
      <c r="I1511" s="37"/>
      <c r="J1511" s="37"/>
    </row>
    <row r="1512" spans="1:10" x14ac:dyDescent="0.3">
      <c r="A1512" s="130"/>
      <c r="B1512" s="37"/>
      <c r="C1512" s="37"/>
      <c r="D1512" s="37"/>
      <c r="E1512" s="37"/>
      <c r="F1512" s="37"/>
      <c r="G1512" s="37"/>
      <c r="H1512" s="37"/>
      <c r="I1512" s="37"/>
      <c r="J1512" s="37"/>
    </row>
    <row r="1513" spans="1:10" x14ac:dyDescent="0.3">
      <c r="A1513" s="130"/>
      <c r="B1513" s="37"/>
      <c r="C1513" s="37"/>
      <c r="D1513" s="37"/>
      <c r="E1513" s="37"/>
      <c r="F1513" s="37"/>
      <c r="G1513" s="37"/>
      <c r="H1513" s="37"/>
      <c r="I1513" s="37"/>
      <c r="J1513" s="37"/>
    </row>
    <row r="1514" spans="1:10" x14ac:dyDescent="0.3">
      <c r="A1514" s="130"/>
      <c r="B1514" s="37"/>
      <c r="C1514" s="37"/>
      <c r="D1514" s="37"/>
      <c r="E1514" s="37"/>
      <c r="F1514" s="37"/>
      <c r="G1514" s="37"/>
      <c r="H1514" s="37"/>
      <c r="I1514" s="37"/>
      <c r="J1514" s="37"/>
    </row>
    <row r="1515" spans="1:10" x14ac:dyDescent="0.3">
      <c r="A1515" s="130"/>
      <c r="B1515" s="37"/>
      <c r="C1515" s="37"/>
      <c r="D1515" s="37"/>
      <c r="E1515" s="37"/>
      <c r="F1515" s="37"/>
      <c r="G1515" s="37"/>
      <c r="H1515" s="37"/>
      <c r="I1515" s="37"/>
      <c r="J1515" s="37"/>
    </row>
    <row r="1516" spans="1:10" x14ac:dyDescent="0.3">
      <c r="A1516" s="130"/>
      <c r="B1516" s="37"/>
      <c r="C1516" s="37"/>
      <c r="D1516" s="37"/>
      <c r="E1516" s="37"/>
      <c r="F1516" s="37"/>
      <c r="G1516" s="37"/>
      <c r="H1516" s="37"/>
      <c r="I1516" s="37"/>
      <c r="J1516" s="37"/>
    </row>
    <row r="1517" spans="1:10" x14ac:dyDescent="0.3">
      <c r="A1517" s="130"/>
      <c r="B1517" s="37"/>
      <c r="C1517" s="37"/>
      <c r="D1517" s="37"/>
      <c r="E1517" s="37"/>
      <c r="F1517" s="37"/>
      <c r="G1517" s="37"/>
      <c r="H1517" s="37"/>
      <c r="I1517" s="37"/>
      <c r="J1517" s="37"/>
    </row>
    <row r="1518" spans="1:10" x14ac:dyDescent="0.3">
      <c r="A1518" s="130"/>
      <c r="B1518" s="37"/>
      <c r="C1518" s="37"/>
      <c r="D1518" s="37"/>
      <c r="E1518" s="37"/>
      <c r="F1518" s="37"/>
      <c r="G1518" s="37"/>
      <c r="H1518" s="37"/>
      <c r="I1518" s="37"/>
      <c r="J1518" s="37"/>
    </row>
    <row r="1519" spans="1:10" x14ac:dyDescent="0.3">
      <c r="A1519" s="130"/>
      <c r="B1519" s="37"/>
      <c r="C1519" s="37"/>
      <c r="D1519" s="37"/>
      <c r="E1519" s="37"/>
      <c r="F1519" s="37"/>
      <c r="G1519" s="37"/>
      <c r="H1519" s="37"/>
      <c r="I1519" s="37"/>
      <c r="J1519" s="37"/>
    </row>
    <row r="1520" spans="1:10" x14ac:dyDescent="0.3">
      <c r="A1520" s="130"/>
      <c r="B1520" s="37"/>
      <c r="C1520" s="37"/>
      <c r="D1520" s="37"/>
      <c r="E1520" s="37"/>
      <c r="F1520" s="37"/>
      <c r="G1520" s="37"/>
      <c r="H1520" s="37"/>
      <c r="I1520" s="37"/>
      <c r="J1520" s="37"/>
    </row>
    <row r="1521" spans="1:10" x14ac:dyDescent="0.3">
      <c r="A1521" s="130"/>
      <c r="B1521" s="37"/>
      <c r="C1521" s="37"/>
      <c r="D1521" s="37"/>
      <c r="E1521" s="37"/>
      <c r="F1521" s="37"/>
      <c r="G1521" s="37"/>
      <c r="H1521" s="37"/>
      <c r="I1521" s="37"/>
      <c r="J1521" s="37"/>
    </row>
    <row r="1522" spans="1:10" x14ac:dyDescent="0.3">
      <c r="A1522" s="130"/>
      <c r="B1522" s="37"/>
      <c r="C1522" s="37"/>
      <c r="D1522" s="37"/>
      <c r="E1522" s="37"/>
      <c r="F1522" s="37"/>
      <c r="G1522" s="37"/>
      <c r="H1522" s="37"/>
      <c r="I1522" s="37"/>
      <c r="J1522" s="37"/>
    </row>
    <row r="1523" spans="1:10" x14ac:dyDescent="0.3">
      <c r="A1523" s="130"/>
      <c r="B1523" s="37"/>
      <c r="C1523" s="37"/>
      <c r="D1523" s="37"/>
      <c r="E1523" s="37"/>
      <c r="F1523" s="37"/>
      <c r="G1523" s="37"/>
      <c r="H1523" s="37"/>
      <c r="I1523" s="37"/>
      <c r="J1523" s="37"/>
    </row>
    <row r="1524" spans="1:10" x14ac:dyDescent="0.3">
      <c r="A1524" s="130"/>
      <c r="B1524" s="37"/>
      <c r="C1524" s="37"/>
      <c r="D1524" s="37"/>
      <c r="E1524" s="37"/>
      <c r="F1524" s="37"/>
      <c r="G1524" s="37"/>
      <c r="H1524" s="37"/>
      <c r="I1524" s="37"/>
      <c r="J1524" s="37"/>
    </row>
    <row r="1525" spans="1:10" x14ac:dyDescent="0.3">
      <c r="A1525" s="130"/>
      <c r="B1525" s="37"/>
      <c r="C1525" s="37"/>
      <c r="D1525" s="37"/>
      <c r="E1525" s="37"/>
      <c r="F1525" s="37"/>
      <c r="G1525" s="37"/>
      <c r="H1525" s="37"/>
      <c r="I1525" s="37"/>
      <c r="J1525" s="37"/>
    </row>
    <row r="1526" spans="1:10" x14ac:dyDescent="0.3">
      <c r="A1526" s="130"/>
      <c r="B1526" s="37"/>
      <c r="C1526" s="37"/>
      <c r="D1526" s="37"/>
      <c r="E1526" s="37"/>
      <c r="F1526" s="37"/>
      <c r="G1526" s="37"/>
      <c r="H1526" s="37"/>
      <c r="I1526" s="37"/>
      <c r="J1526" s="37"/>
    </row>
    <row r="1527" spans="1:10" x14ac:dyDescent="0.3">
      <c r="A1527" s="130"/>
      <c r="B1527" s="37"/>
      <c r="C1527" s="37"/>
      <c r="D1527" s="37"/>
      <c r="E1527" s="37"/>
      <c r="F1527" s="37"/>
      <c r="G1527" s="37"/>
      <c r="H1527" s="37"/>
      <c r="I1527" s="37"/>
      <c r="J1527" s="37"/>
    </row>
    <row r="1528" spans="1:10" x14ac:dyDescent="0.3">
      <c r="A1528" s="130"/>
      <c r="B1528" s="37"/>
      <c r="C1528" s="37"/>
      <c r="D1528" s="37"/>
      <c r="E1528" s="37"/>
      <c r="F1528" s="37"/>
      <c r="G1528" s="37"/>
      <c r="H1528" s="37"/>
      <c r="I1528" s="37"/>
      <c r="J1528" s="37"/>
    </row>
    <row r="1529" spans="1:10" x14ac:dyDescent="0.3">
      <c r="A1529" s="130"/>
      <c r="B1529" s="37"/>
      <c r="C1529" s="37"/>
      <c r="D1529" s="37"/>
      <c r="E1529" s="37"/>
      <c r="F1529" s="37"/>
      <c r="G1529" s="37"/>
      <c r="H1529" s="37"/>
      <c r="I1529" s="37"/>
      <c r="J1529" s="37"/>
    </row>
    <row r="1530" spans="1:10" x14ac:dyDescent="0.3">
      <c r="A1530" s="130"/>
      <c r="B1530" s="37"/>
      <c r="C1530" s="37"/>
      <c r="D1530" s="37"/>
      <c r="E1530" s="37"/>
      <c r="F1530" s="37"/>
      <c r="G1530" s="37"/>
      <c r="H1530" s="37"/>
      <c r="I1530" s="37"/>
      <c r="J1530" s="37"/>
    </row>
    <row r="1531" spans="1:10" x14ac:dyDescent="0.3">
      <c r="A1531" s="130"/>
      <c r="B1531" s="37"/>
      <c r="C1531" s="37"/>
      <c r="D1531" s="37"/>
      <c r="E1531" s="37"/>
      <c r="F1531" s="37"/>
      <c r="G1531" s="37"/>
      <c r="H1531" s="37"/>
      <c r="I1531" s="37"/>
      <c r="J1531" s="37"/>
    </row>
    <row r="1532" spans="1:10" x14ac:dyDescent="0.3">
      <c r="A1532" s="130"/>
      <c r="B1532" s="37"/>
      <c r="C1532" s="37"/>
      <c r="D1532" s="37"/>
      <c r="E1532" s="37"/>
      <c r="F1532" s="37"/>
      <c r="G1532" s="37"/>
      <c r="H1532" s="37"/>
      <c r="I1532" s="37"/>
      <c r="J1532" s="37"/>
    </row>
    <row r="1533" spans="1:10" x14ac:dyDescent="0.3">
      <c r="A1533" s="130"/>
      <c r="B1533" s="37"/>
      <c r="C1533" s="37"/>
      <c r="D1533" s="37"/>
      <c r="E1533" s="37"/>
      <c r="F1533" s="37"/>
      <c r="G1533" s="37"/>
      <c r="H1533" s="37"/>
      <c r="I1533" s="37"/>
      <c r="J1533" s="37"/>
    </row>
    <row r="1534" spans="1:10" x14ac:dyDescent="0.3">
      <c r="A1534" s="130"/>
      <c r="B1534" s="37"/>
      <c r="C1534" s="37"/>
      <c r="D1534" s="37"/>
      <c r="E1534" s="37"/>
      <c r="F1534" s="37"/>
      <c r="G1534" s="37"/>
      <c r="H1534" s="37"/>
      <c r="I1534" s="37"/>
      <c r="J1534" s="37"/>
    </row>
    <row r="1535" spans="1:10" x14ac:dyDescent="0.3">
      <c r="A1535" s="130"/>
      <c r="B1535" s="37"/>
      <c r="C1535" s="37"/>
      <c r="D1535" s="37"/>
      <c r="E1535" s="37"/>
      <c r="F1535" s="37"/>
      <c r="G1535" s="37"/>
      <c r="H1535" s="37"/>
      <c r="I1535" s="37"/>
      <c r="J1535" s="37"/>
    </row>
    <row r="1536" spans="1:10" x14ac:dyDescent="0.3">
      <c r="A1536" s="130"/>
      <c r="B1536" s="37"/>
      <c r="C1536" s="37"/>
      <c r="D1536" s="37"/>
      <c r="E1536" s="37"/>
      <c r="F1536" s="37"/>
      <c r="G1536" s="37"/>
      <c r="H1536" s="37"/>
      <c r="I1536" s="37"/>
      <c r="J1536" s="37"/>
    </row>
    <row r="1537" spans="1:10" x14ac:dyDescent="0.3">
      <c r="A1537" s="130"/>
      <c r="B1537" s="37"/>
      <c r="C1537" s="37"/>
      <c r="D1537" s="37"/>
      <c r="E1537" s="37"/>
      <c r="F1537" s="37"/>
      <c r="G1537" s="37"/>
      <c r="H1537" s="37"/>
      <c r="I1537" s="37"/>
      <c r="J1537" s="37"/>
    </row>
    <row r="1538" spans="1:10" x14ac:dyDescent="0.3">
      <c r="A1538" s="130"/>
      <c r="B1538" s="37"/>
      <c r="C1538" s="37"/>
      <c r="D1538" s="37"/>
      <c r="E1538" s="37"/>
      <c r="F1538" s="37"/>
      <c r="G1538" s="37"/>
      <c r="H1538" s="37"/>
      <c r="I1538" s="37"/>
      <c r="J1538" s="37"/>
    </row>
    <row r="1539" spans="1:10" x14ac:dyDescent="0.3">
      <c r="A1539" s="130"/>
      <c r="B1539" s="37"/>
      <c r="C1539" s="37"/>
      <c r="D1539" s="37"/>
      <c r="E1539" s="37"/>
      <c r="F1539" s="37"/>
      <c r="G1539" s="37"/>
      <c r="H1539" s="37"/>
      <c r="I1539" s="37"/>
      <c r="J1539" s="37"/>
    </row>
    <row r="1540" spans="1:10" x14ac:dyDescent="0.3">
      <c r="A1540" s="130"/>
      <c r="B1540" s="37"/>
      <c r="C1540" s="37"/>
      <c r="D1540" s="37"/>
      <c r="E1540" s="37"/>
      <c r="F1540" s="37"/>
      <c r="G1540" s="37"/>
      <c r="H1540" s="37"/>
      <c r="I1540" s="37"/>
      <c r="J1540" s="37"/>
    </row>
    <row r="1541" spans="1:10" x14ac:dyDescent="0.3">
      <c r="A1541" s="130"/>
      <c r="B1541" s="37"/>
      <c r="C1541" s="37"/>
      <c r="D1541" s="37"/>
      <c r="E1541" s="37"/>
      <c r="F1541" s="37"/>
      <c r="G1541" s="37"/>
      <c r="H1541" s="37"/>
      <c r="I1541" s="37"/>
      <c r="J1541" s="37"/>
    </row>
    <row r="1542" spans="1:10" x14ac:dyDescent="0.3">
      <c r="A1542" s="130"/>
      <c r="B1542" s="37"/>
      <c r="C1542" s="37"/>
      <c r="D1542" s="37"/>
      <c r="E1542" s="37"/>
      <c r="F1542" s="37"/>
      <c r="G1542" s="37"/>
      <c r="H1542" s="37"/>
      <c r="I1542" s="37"/>
      <c r="J1542" s="37"/>
    </row>
    <row r="1543" spans="1:10" x14ac:dyDescent="0.3">
      <c r="A1543" s="130"/>
      <c r="B1543" s="37"/>
      <c r="C1543" s="37"/>
      <c r="D1543" s="37"/>
      <c r="E1543" s="37"/>
      <c r="F1543" s="37"/>
      <c r="G1543" s="37"/>
      <c r="H1543" s="37"/>
      <c r="I1543" s="37"/>
      <c r="J1543" s="37"/>
    </row>
    <row r="1544" spans="1:10" x14ac:dyDescent="0.3">
      <c r="A1544" s="130"/>
      <c r="B1544" s="37"/>
      <c r="C1544" s="37"/>
      <c r="D1544" s="37"/>
      <c r="E1544" s="37"/>
      <c r="F1544" s="37"/>
      <c r="G1544" s="37"/>
      <c r="H1544" s="37"/>
      <c r="I1544" s="37"/>
      <c r="J1544" s="37"/>
    </row>
    <row r="1545" spans="1:10" x14ac:dyDescent="0.3">
      <c r="A1545" s="130"/>
      <c r="B1545" s="37"/>
      <c r="C1545" s="37"/>
      <c r="D1545" s="37"/>
      <c r="E1545" s="37"/>
      <c r="F1545" s="37"/>
      <c r="G1545" s="37"/>
      <c r="H1545" s="37"/>
      <c r="I1545" s="37"/>
      <c r="J1545" s="37"/>
    </row>
    <row r="1546" spans="1:10" x14ac:dyDescent="0.3">
      <c r="A1546" s="130"/>
      <c r="B1546" s="37"/>
      <c r="C1546" s="37"/>
      <c r="D1546" s="37"/>
      <c r="E1546" s="37"/>
      <c r="F1546" s="37"/>
      <c r="G1546" s="37"/>
      <c r="H1546" s="37"/>
      <c r="I1546" s="37"/>
      <c r="J1546" s="37"/>
    </row>
    <row r="1547" spans="1:10" x14ac:dyDescent="0.3">
      <c r="A1547" s="130"/>
      <c r="B1547" s="37"/>
      <c r="C1547" s="37"/>
      <c r="D1547" s="37"/>
      <c r="E1547" s="37"/>
      <c r="F1547" s="37"/>
      <c r="G1547" s="37"/>
      <c r="H1547" s="37"/>
      <c r="I1547" s="37"/>
      <c r="J1547" s="37"/>
    </row>
    <row r="1548" spans="1:10" x14ac:dyDescent="0.3">
      <c r="A1548" s="130"/>
      <c r="B1548" s="37"/>
      <c r="C1548" s="37"/>
      <c r="D1548" s="37"/>
      <c r="E1548" s="37"/>
      <c r="F1548" s="37"/>
      <c r="G1548" s="37"/>
      <c r="H1548" s="37"/>
      <c r="I1548" s="37"/>
      <c r="J1548" s="37"/>
    </row>
    <row r="1549" spans="1:10" x14ac:dyDescent="0.3">
      <c r="A1549" s="130"/>
      <c r="B1549" s="37"/>
      <c r="C1549" s="37"/>
      <c r="D1549" s="37"/>
      <c r="E1549" s="37"/>
      <c r="F1549" s="37"/>
      <c r="G1549" s="37"/>
      <c r="H1549" s="37"/>
      <c r="I1549" s="37"/>
      <c r="J1549" s="37"/>
    </row>
    <row r="1550" spans="1:10" x14ac:dyDescent="0.3">
      <c r="A1550" s="130"/>
      <c r="B1550" s="37"/>
      <c r="C1550" s="37"/>
      <c r="D1550" s="37"/>
      <c r="E1550" s="37"/>
      <c r="F1550" s="37"/>
      <c r="G1550" s="37"/>
      <c r="H1550" s="37"/>
      <c r="I1550" s="37"/>
      <c r="J1550" s="37"/>
    </row>
    <row r="1551" spans="1:10" x14ac:dyDescent="0.3">
      <c r="A1551" s="130"/>
      <c r="B1551" s="37"/>
      <c r="C1551" s="37"/>
      <c r="D1551" s="37"/>
      <c r="E1551" s="37"/>
      <c r="F1551" s="37"/>
      <c r="G1551" s="37"/>
      <c r="H1551" s="37"/>
      <c r="I1551" s="37"/>
      <c r="J1551" s="37"/>
    </row>
    <row r="1552" spans="1:10" x14ac:dyDescent="0.3">
      <c r="A1552" s="130"/>
      <c r="B1552" s="37"/>
      <c r="C1552" s="37"/>
      <c r="D1552" s="37"/>
      <c r="E1552" s="37"/>
      <c r="F1552" s="37"/>
      <c r="G1552" s="37"/>
      <c r="H1552" s="37"/>
      <c r="I1552" s="37"/>
      <c r="J1552" s="37"/>
    </row>
    <row r="1553" spans="1:10" x14ac:dyDescent="0.3">
      <c r="A1553" s="130"/>
      <c r="B1553" s="37"/>
      <c r="C1553" s="37"/>
      <c r="D1553" s="37"/>
      <c r="E1553" s="37"/>
      <c r="F1553" s="37"/>
      <c r="G1553" s="37"/>
      <c r="H1553" s="37"/>
      <c r="I1553" s="37"/>
      <c r="J1553" s="37"/>
    </row>
    <row r="1554" spans="1:10" x14ac:dyDescent="0.3">
      <c r="A1554" s="130"/>
      <c r="B1554" s="37"/>
      <c r="C1554" s="37"/>
      <c r="D1554" s="37"/>
      <c r="E1554" s="37"/>
      <c r="F1554" s="37"/>
      <c r="G1554" s="37"/>
      <c r="H1554" s="37"/>
      <c r="I1554" s="37"/>
      <c r="J1554" s="37"/>
    </row>
    <row r="1555" spans="1:10" x14ac:dyDescent="0.3">
      <c r="A1555" s="130"/>
      <c r="B1555" s="37"/>
      <c r="C1555" s="37"/>
      <c r="D1555" s="37"/>
      <c r="E1555" s="37"/>
      <c r="F1555" s="37"/>
      <c r="G1555" s="37"/>
      <c r="H1555" s="37"/>
      <c r="I1555" s="37"/>
      <c r="J1555" s="37"/>
    </row>
    <row r="1556" spans="1:10" x14ac:dyDescent="0.3">
      <c r="A1556" s="130"/>
      <c r="B1556" s="37"/>
      <c r="C1556" s="37"/>
      <c r="D1556" s="37"/>
      <c r="E1556" s="37"/>
      <c r="F1556" s="37"/>
      <c r="G1556" s="37"/>
      <c r="H1556" s="37"/>
      <c r="I1556" s="37"/>
      <c r="J1556" s="37"/>
    </row>
    <row r="1557" spans="1:10" x14ac:dyDescent="0.3">
      <c r="A1557" s="130"/>
      <c r="B1557" s="37"/>
      <c r="C1557" s="37"/>
      <c r="D1557" s="37"/>
      <c r="E1557" s="37"/>
      <c r="F1557" s="37"/>
      <c r="G1557" s="37"/>
      <c r="H1557" s="37"/>
      <c r="I1557" s="37"/>
      <c r="J1557" s="37"/>
    </row>
    <row r="1558" spans="1:10" x14ac:dyDescent="0.3">
      <c r="A1558" s="130"/>
      <c r="B1558" s="37"/>
      <c r="C1558" s="37"/>
      <c r="D1558" s="37"/>
      <c r="E1558" s="37"/>
      <c r="F1558" s="37"/>
      <c r="G1558" s="37"/>
      <c r="H1558" s="37"/>
      <c r="I1558" s="37"/>
      <c r="J1558" s="37"/>
    </row>
    <row r="1559" spans="1:10" x14ac:dyDescent="0.3">
      <c r="A1559" s="130"/>
      <c r="B1559" s="37"/>
      <c r="C1559" s="37"/>
      <c r="D1559" s="37"/>
      <c r="E1559" s="37"/>
      <c r="F1559" s="37"/>
      <c r="G1559" s="37"/>
      <c r="H1559" s="37"/>
      <c r="I1559" s="37"/>
      <c r="J1559" s="37"/>
    </row>
    <row r="1560" spans="1:10" x14ac:dyDescent="0.3">
      <c r="A1560" s="130"/>
      <c r="B1560" s="37"/>
      <c r="C1560" s="37"/>
      <c r="D1560" s="37"/>
      <c r="E1560" s="37"/>
      <c r="F1560" s="37"/>
      <c r="G1560" s="37"/>
      <c r="H1560" s="37"/>
      <c r="I1560" s="37"/>
      <c r="J1560" s="37"/>
    </row>
    <row r="1561" spans="1:10" x14ac:dyDescent="0.3">
      <c r="A1561" s="130"/>
      <c r="B1561" s="37"/>
      <c r="C1561" s="37"/>
      <c r="D1561" s="37"/>
      <c r="E1561" s="37"/>
      <c r="F1561" s="37"/>
      <c r="G1561" s="37"/>
      <c r="H1561" s="37"/>
      <c r="I1561" s="37"/>
      <c r="J1561" s="37"/>
    </row>
    <row r="1562" spans="1:10" x14ac:dyDescent="0.3">
      <c r="A1562" s="130"/>
      <c r="B1562" s="37"/>
      <c r="C1562" s="37"/>
      <c r="D1562" s="37"/>
      <c r="E1562" s="37"/>
      <c r="F1562" s="37"/>
      <c r="G1562" s="37"/>
      <c r="H1562" s="37"/>
      <c r="I1562" s="37"/>
      <c r="J1562" s="37"/>
    </row>
    <row r="1563" spans="1:10" x14ac:dyDescent="0.3">
      <c r="A1563" s="130"/>
      <c r="B1563" s="37"/>
      <c r="C1563" s="37"/>
      <c r="D1563" s="37"/>
      <c r="E1563" s="37"/>
      <c r="F1563" s="37"/>
      <c r="G1563" s="37"/>
      <c r="H1563" s="37"/>
      <c r="I1563" s="37"/>
      <c r="J1563" s="37"/>
    </row>
    <row r="1564" spans="1:10" x14ac:dyDescent="0.3">
      <c r="A1564" s="130"/>
      <c r="B1564" s="37"/>
      <c r="C1564" s="37"/>
      <c r="D1564" s="37"/>
      <c r="E1564" s="37"/>
      <c r="F1564" s="37"/>
      <c r="G1564" s="37"/>
      <c r="H1564" s="37"/>
      <c r="I1564" s="37"/>
      <c r="J1564" s="37"/>
    </row>
    <row r="1565" spans="1:10" x14ac:dyDescent="0.3">
      <c r="A1565" s="130"/>
      <c r="B1565" s="37"/>
      <c r="C1565" s="37"/>
      <c r="D1565" s="37"/>
      <c r="E1565" s="37"/>
      <c r="F1565" s="37"/>
      <c r="G1565" s="37"/>
      <c r="H1565" s="37"/>
      <c r="I1565" s="37"/>
      <c r="J1565" s="37"/>
    </row>
    <row r="1566" spans="1:10" x14ac:dyDescent="0.3">
      <c r="A1566" s="130"/>
      <c r="B1566" s="37"/>
      <c r="C1566" s="37"/>
      <c r="D1566" s="37"/>
      <c r="E1566" s="37"/>
      <c r="F1566" s="37"/>
      <c r="G1566" s="37"/>
      <c r="H1566" s="37"/>
      <c r="I1566" s="37"/>
      <c r="J1566" s="37"/>
    </row>
    <row r="1567" spans="1:10" x14ac:dyDescent="0.3">
      <c r="A1567" s="130"/>
      <c r="B1567" s="37"/>
      <c r="C1567" s="37"/>
      <c r="D1567" s="37"/>
      <c r="E1567" s="37"/>
      <c r="F1567" s="37"/>
      <c r="G1567" s="37"/>
      <c r="H1567" s="37"/>
      <c r="I1567" s="37"/>
      <c r="J1567" s="37"/>
    </row>
    <row r="1568" spans="1:10" x14ac:dyDescent="0.3">
      <c r="A1568" s="130"/>
      <c r="B1568" s="37"/>
      <c r="C1568" s="37"/>
      <c r="D1568" s="37"/>
      <c r="E1568" s="37"/>
      <c r="F1568" s="37"/>
      <c r="G1568" s="37"/>
      <c r="H1568" s="37"/>
      <c r="I1568" s="37"/>
      <c r="J1568" s="37"/>
    </row>
    <row r="1569" spans="1:10" x14ac:dyDescent="0.3">
      <c r="A1569" s="130"/>
      <c r="B1569" s="37"/>
      <c r="C1569" s="37"/>
      <c r="D1569" s="37"/>
      <c r="E1569" s="37"/>
      <c r="F1569" s="37"/>
      <c r="G1569" s="37"/>
      <c r="H1569" s="37"/>
      <c r="I1569" s="37"/>
      <c r="J1569" s="37"/>
    </row>
    <row r="1570" spans="1:10" x14ac:dyDescent="0.3">
      <c r="A1570" s="130"/>
      <c r="B1570" s="37"/>
      <c r="C1570" s="37"/>
      <c r="D1570" s="37"/>
      <c r="E1570" s="37"/>
      <c r="F1570" s="37"/>
      <c r="G1570" s="37"/>
      <c r="H1570" s="37"/>
      <c r="I1570" s="37"/>
      <c r="J1570" s="37"/>
    </row>
    <row r="1571" spans="1:10" x14ac:dyDescent="0.3">
      <c r="A1571" s="130"/>
      <c r="B1571" s="37"/>
      <c r="C1571" s="37"/>
      <c r="D1571" s="37"/>
      <c r="E1571" s="37"/>
      <c r="F1571" s="37"/>
      <c r="G1571" s="37"/>
      <c r="H1571" s="37"/>
      <c r="I1571" s="37"/>
      <c r="J1571" s="37"/>
    </row>
    <row r="1572" spans="1:10" x14ac:dyDescent="0.3">
      <c r="A1572" s="130"/>
      <c r="B1572" s="37"/>
      <c r="C1572" s="37"/>
      <c r="D1572" s="37"/>
      <c r="E1572" s="37"/>
      <c r="F1572" s="37"/>
      <c r="G1572" s="37"/>
      <c r="H1572" s="37"/>
      <c r="I1572" s="37"/>
      <c r="J1572" s="37"/>
    </row>
    <row r="1573" spans="1:10" x14ac:dyDescent="0.3">
      <c r="A1573" s="130"/>
      <c r="B1573" s="37"/>
      <c r="C1573" s="37"/>
      <c r="D1573" s="37"/>
      <c r="E1573" s="37"/>
      <c r="F1573" s="37"/>
      <c r="G1573" s="37"/>
      <c r="H1573" s="37"/>
      <c r="I1573" s="37"/>
      <c r="J1573" s="37"/>
    </row>
    <row r="1574" spans="1:10" x14ac:dyDescent="0.3">
      <c r="A1574" s="130"/>
      <c r="B1574" s="37"/>
      <c r="C1574" s="37"/>
      <c r="D1574" s="37"/>
      <c r="E1574" s="37"/>
      <c r="F1574" s="37"/>
      <c r="G1574" s="37"/>
      <c r="H1574" s="37"/>
      <c r="I1574" s="37"/>
      <c r="J1574" s="37"/>
    </row>
    <row r="1575" spans="1:10" x14ac:dyDescent="0.3">
      <c r="A1575" s="130"/>
      <c r="B1575" s="37"/>
      <c r="C1575" s="37"/>
      <c r="D1575" s="37"/>
      <c r="E1575" s="37"/>
      <c r="F1575" s="37"/>
      <c r="G1575" s="37"/>
      <c r="H1575" s="37"/>
      <c r="I1575" s="37"/>
      <c r="J1575" s="37"/>
    </row>
    <row r="1576" spans="1:10" x14ac:dyDescent="0.3">
      <c r="A1576" s="130"/>
      <c r="B1576" s="37"/>
      <c r="C1576" s="37"/>
      <c r="D1576" s="37"/>
      <c r="E1576" s="37"/>
      <c r="F1576" s="37"/>
      <c r="G1576" s="37"/>
      <c r="H1576" s="37"/>
      <c r="I1576" s="37"/>
      <c r="J1576" s="37"/>
    </row>
    <row r="1577" spans="1:10" x14ac:dyDescent="0.3">
      <c r="A1577" s="130"/>
      <c r="B1577" s="37"/>
      <c r="C1577" s="37"/>
      <c r="D1577" s="37"/>
      <c r="E1577" s="37"/>
      <c r="F1577" s="37"/>
      <c r="G1577" s="37"/>
      <c r="H1577" s="37"/>
      <c r="I1577" s="37"/>
      <c r="J1577" s="37"/>
    </row>
    <row r="1578" spans="1:10" x14ac:dyDescent="0.3">
      <c r="A1578" s="130"/>
      <c r="B1578" s="37"/>
      <c r="C1578" s="37"/>
      <c r="D1578" s="37"/>
      <c r="E1578" s="37"/>
      <c r="F1578" s="37"/>
      <c r="G1578" s="37"/>
      <c r="H1578" s="37"/>
      <c r="I1578" s="37"/>
      <c r="J1578" s="37"/>
    </row>
    <row r="1579" spans="1:10" x14ac:dyDescent="0.3">
      <c r="A1579" s="130"/>
      <c r="B1579" s="37"/>
      <c r="C1579" s="37"/>
      <c r="D1579" s="37"/>
      <c r="E1579" s="37"/>
      <c r="F1579" s="37"/>
      <c r="G1579" s="37"/>
      <c r="H1579" s="37"/>
      <c r="I1579" s="37"/>
      <c r="J1579" s="37"/>
    </row>
    <row r="1580" spans="1:10" x14ac:dyDescent="0.3">
      <c r="A1580" s="130"/>
      <c r="B1580" s="37"/>
      <c r="C1580" s="37"/>
      <c r="D1580" s="37"/>
      <c r="E1580" s="37"/>
      <c r="F1580" s="37"/>
      <c r="G1580" s="37"/>
      <c r="H1580" s="37"/>
      <c r="I1580" s="37"/>
      <c r="J1580" s="37"/>
    </row>
    <row r="1581" spans="1:10" x14ac:dyDescent="0.3">
      <c r="A1581" s="130"/>
      <c r="B1581" s="37"/>
      <c r="C1581" s="37"/>
      <c r="D1581" s="37"/>
      <c r="E1581" s="37"/>
      <c r="F1581" s="37"/>
      <c r="G1581" s="37"/>
      <c r="H1581" s="37"/>
      <c r="I1581" s="37"/>
      <c r="J1581" s="37"/>
    </row>
    <row r="1582" spans="1:10" x14ac:dyDescent="0.3">
      <c r="A1582" s="130"/>
      <c r="B1582" s="37"/>
      <c r="C1582" s="37"/>
      <c r="D1582" s="37"/>
      <c r="E1582" s="37"/>
      <c r="F1582" s="37"/>
      <c r="G1582" s="37"/>
      <c r="H1582" s="37"/>
      <c r="I1582" s="37"/>
      <c r="J1582" s="37"/>
    </row>
    <row r="1583" spans="1:10" x14ac:dyDescent="0.3">
      <c r="A1583" s="130"/>
      <c r="B1583" s="37"/>
      <c r="C1583" s="37"/>
      <c r="D1583" s="37"/>
      <c r="E1583" s="37"/>
      <c r="F1583" s="37"/>
      <c r="G1583" s="37"/>
      <c r="H1583" s="37"/>
      <c r="I1583" s="37"/>
      <c r="J1583" s="37"/>
    </row>
    <row r="1584" spans="1:10" x14ac:dyDescent="0.3">
      <c r="A1584" s="130"/>
      <c r="B1584" s="37"/>
      <c r="C1584" s="37"/>
      <c r="D1584" s="37"/>
      <c r="E1584" s="37"/>
      <c r="F1584" s="37"/>
      <c r="G1584" s="37"/>
      <c r="H1584" s="37"/>
      <c r="I1584" s="37"/>
      <c r="J1584" s="37"/>
    </row>
    <row r="1585" spans="1:10" x14ac:dyDescent="0.3">
      <c r="A1585" s="130"/>
      <c r="B1585" s="37"/>
      <c r="C1585" s="37"/>
      <c r="D1585" s="37"/>
      <c r="E1585" s="37"/>
      <c r="F1585" s="37"/>
      <c r="G1585" s="37"/>
      <c r="H1585" s="37"/>
      <c r="I1585" s="37"/>
      <c r="J1585" s="37"/>
    </row>
    <row r="1586" spans="1:10" x14ac:dyDescent="0.3">
      <c r="A1586" s="130"/>
      <c r="B1586" s="37"/>
      <c r="C1586" s="37"/>
      <c r="D1586" s="37"/>
      <c r="E1586" s="37"/>
      <c r="F1586" s="37"/>
      <c r="G1586" s="37"/>
      <c r="H1586" s="37"/>
      <c r="I1586" s="37"/>
      <c r="J1586" s="37"/>
    </row>
    <row r="1587" spans="1:10" x14ac:dyDescent="0.3">
      <c r="A1587" s="130"/>
      <c r="B1587" s="37"/>
      <c r="C1587" s="37"/>
      <c r="D1587" s="37"/>
      <c r="E1587" s="37"/>
      <c r="F1587" s="37"/>
      <c r="G1587" s="37"/>
      <c r="H1587" s="37"/>
      <c r="I1587" s="37"/>
      <c r="J1587" s="37"/>
    </row>
    <row r="1588" spans="1:10" x14ac:dyDescent="0.3">
      <c r="A1588" s="130"/>
      <c r="B1588" s="37"/>
      <c r="C1588" s="37"/>
      <c r="D1588" s="37"/>
      <c r="E1588" s="37"/>
      <c r="F1588" s="37"/>
      <c r="G1588" s="37"/>
      <c r="H1588" s="37"/>
      <c r="I1588" s="37"/>
      <c r="J1588" s="37"/>
    </row>
    <row r="1589" spans="1:10" x14ac:dyDescent="0.3">
      <c r="A1589" s="130"/>
      <c r="B1589" s="37"/>
      <c r="C1589" s="37"/>
      <c r="D1589" s="37"/>
      <c r="E1589" s="37"/>
      <c r="F1589" s="37"/>
      <c r="G1589" s="37"/>
      <c r="H1589" s="37"/>
      <c r="I1589" s="37"/>
      <c r="J1589" s="37"/>
    </row>
    <row r="1590" spans="1:10" x14ac:dyDescent="0.3">
      <c r="A1590" s="130"/>
      <c r="B1590" s="37"/>
      <c r="C1590" s="37"/>
      <c r="D1590" s="37"/>
      <c r="E1590" s="37"/>
      <c r="F1590" s="37"/>
      <c r="G1590" s="37"/>
      <c r="H1590" s="37"/>
      <c r="I1590" s="37"/>
      <c r="J1590" s="37"/>
    </row>
    <row r="1591" spans="1:10" x14ac:dyDescent="0.3">
      <c r="A1591" s="130"/>
      <c r="B1591" s="37"/>
      <c r="C1591" s="37"/>
      <c r="D1591" s="37"/>
      <c r="E1591" s="37"/>
      <c r="F1591" s="37"/>
      <c r="G1591" s="37"/>
      <c r="H1591" s="37"/>
      <c r="I1591" s="37"/>
      <c r="J1591" s="37"/>
    </row>
    <row r="1592" spans="1:10" x14ac:dyDescent="0.3">
      <c r="A1592" s="130"/>
      <c r="B1592" s="37"/>
      <c r="C1592" s="37"/>
      <c r="D1592" s="37"/>
      <c r="E1592" s="37"/>
      <c r="F1592" s="37"/>
      <c r="G1592" s="37"/>
      <c r="H1592" s="37"/>
      <c r="I1592" s="37"/>
      <c r="J1592" s="37"/>
    </row>
    <row r="1593" spans="1:10" x14ac:dyDescent="0.3">
      <c r="A1593" s="130"/>
      <c r="B1593" s="37"/>
      <c r="C1593" s="37"/>
      <c r="D1593" s="37"/>
      <c r="E1593" s="37"/>
      <c r="F1593" s="37"/>
      <c r="G1593" s="37"/>
      <c r="H1593" s="37"/>
      <c r="I1593" s="37"/>
      <c r="J1593" s="37"/>
    </row>
    <row r="1594" spans="1:10" x14ac:dyDescent="0.3">
      <c r="A1594" s="130"/>
      <c r="B1594" s="37"/>
      <c r="C1594" s="37"/>
      <c r="D1594" s="37"/>
      <c r="E1594" s="37"/>
      <c r="F1594" s="37"/>
      <c r="G1594" s="37"/>
      <c r="H1594" s="37"/>
      <c r="I1594" s="37"/>
      <c r="J1594" s="37"/>
    </row>
    <row r="1595" spans="1:10" x14ac:dyDescent="0.3">
      <c r="A1595" s="130"/>
      <c r="B1595" s="37"/>
      <c r="C1595" s="37"/>
      <c r="D1595" s="37"/>
      <c r="E1595" s="37"/>
      <c r="F1595" s="37"/>
      <c r="G1595" s="37"/>
      <c r="H1595" s="37"/>
      <c r="I1595" s="37"/>
      <c r="J1595" s="37"/>
    </row>
    <row r="1596" spans="1:10" x14ac:dyDescent="0.3">
      <c r="A1596" s="130"/>
      <c r="B1596" s="37"/>
      <c r="C1596" s="37"/>
      <c r="D1596" s="37"/>
      <c r="E1596" s="37"/>
      <c r="F1596" s="37"/>
      <c r="G1596" s="37"/>
      <c r="H1596" s="37"/>
      <c r="I1596" s="37"/>
      <c r="J1596" s="37"/>
    </row>
    <row r="1597" spans="1:10" x14ac:dyDescent="0.3">
      <c r="A1597" s="130"/>
      <c r="B1597" s="37"/>
      <c r="C1597" s="37"/>
      <c r="D1597" s="37"/>
      <c r="E1597" s="37"/>
      <c r="F1597" s="37"/>
      <c r="G1597" s="37"/>
      <c r="H1597" s="37"/>
      <c r="I1597" s="37"/>
      <c r="J1597" s="37"/>
    </row>
    <row r="1598" spans="1:10" x14ac:dyDescent="0.3">
      <c r="A1598" s="130"/>
      <c r="B1598" s="37"/>
      <c r="C1598" s="37"/>
      <c r="D1598" s="37"/>
      <c r="E1598" s="37"/>
      <c r="F1598" s="37"/>
      <c r="G1598" s="37"/>
      <c r="H1598" s="37"/>
      <c r="I1598" s="37"/>
      <c r="J1598" s="37"/>
    </row>
    <row r="1599" spans="1:10" x14ac:dyDescent="0.3">
      <c r="A1599" s="130"/>
      <c r="B1599" s="37"/>
      <c r="C1599" s="37"/>
      <c r="D1599" s="37"/>
      <c r="E1599" s="37"/>
      <c r="F1599" s="37"/>
      <c r="G1599" s="37"/>
      <c r="H1599" s="37"/>
      <c r="I1599" s="37"/>
      <c r="J1599" s="37"/>
    </row>
    <row r="1600" spans="1:10" x14ac:dyDescent="0.3">
      <c r="A1600" s="130"/>
      <c r="B1600" s="37"/>
      <c r="C1600" s="37"/>
      <c r="D1600" s="37"/>
      <c r="E1600" s="37"/>
      <c r="F1600" s="37"/>
      <c r="G1600" s="37"/>
      <c r="H1600" s="37"/>
      <c r="I1600" s="37"/>
      <c r="J1600" s="37"/>
    </row>
    <row r="1601" spans="1:10" x14ac:dyDescent="0.3">
      <c r="A1601" s="130"/>
      <c r="B1601" s="37"/>
      <c r="C1601" s="37"/>
      <c r="D1601" s="37"/>
      <c r="E1601" s="37"/>
      <c r="F1601" s="37"/>
      <c r="G1601" s="37"/>
      <c r="H1601" s="37"/>
      <c r="I1601" s="37"/>
      <c r="J1601" s="37"/>
    </row>
    <row r="1602" spans="1:10" x14ac:dyDescent="0.3">
      <c r="A1602" s="130"/>
      <c r="B1602" s="37"/>
      <c r="C1602" s="37"/>
      <c r="D1602" s="37"/>
      <c r="E1602" s="37"/>
      <c r="F1602" s="37"/>
      <c r="G1602" s="37"/>
      <c r="H1602" s="37"/>
      <c r="I1602" s="37"/>
      <c r="J1602" s="37"/>
    </row>
    <row r="1603" spans="1:10" x14ac:dyDescent="0.3">
      <c r="A1603" s="130"/>
      <c r="B1603" s="37"/>
      <c r="C1603" s="37"/>
      <c r="D1603" s="37"/>
      <c r="E1603" s="37"/>
      <c r="F1603" s="37"/>
      <c r="G1603" s="37"/>
      <c r="H1603" s="37"/>
      <c r="I1603" s="37"/>
      <c r="J1603" s="37"/>
    </row>
    <row r="1604" spans="1:10" x14ac:dyDescent="0.3">
      <c r="A1604" s="130"/>
      <c r="B1604" s="37"/>
      <c r="C1604" s="37"/>
      <c r="D1604" s="37"/>
      <c r="E1604" s="37"/>
      <c r="F1604" s="37"/>
      <c r="G1604" s="37"/>
      <c r="H1604" s="37"/>
      <c r="I1604" s="37"/>
      <c r="J1604" s="37"/>
    </row>
    <row r="1605" spans="1:10" x14ac:dyDescent="0.3">
      <c r="A1605" s="130"/>
      <c r="B1605" s="37"/>
      <c r="C1605" s="37"/>
      <c r="D1605" s="37"/>
      <c r="E1605" s="37"/>
      <c r="F1605" s="37"/>
      <c r="G1605" s="37"/>
      <c r="H1605" s="37"/>
      <c r="I1605" s="37"/>
      <c r="J1605" s="37"/>
    </row>
    <row r="1606" spans="1:10" x14ac:dyDescent="0.3">
      <c r="A1606" s="130"/>
      <c r="B1606" s="37"/>
      <c r="C1606" s="37"/>
      <c r="D1606" s="37"/>
      <c r="E1606" s="37"/>
      <c r="F1606" s="37"/>
      <c r="G1606" s="37"/>
      <c r="H1606" s="37"/>
      <c r="I1606" s="37"/>
      <c r="J1606" s="37"/>
    </row>
    <row r="1607" spans="1:10" x14ac:dyDescent="0.3">
      <c r="A1607" s="130"/>
      <c r="B1607" s="37"/>
      <c r="C1607" s="37"/>
      <c r="D1607" s="37"/>
      <c r="E1607" s="37"/>
      <c r="F1607" s="37"/>
      <c r="G1607" s="37"/>
      <c r="H1607" s="37"/>
      <c r="I1607" s="37"/>
      <c r="J1607" s="37"/>
    </row>
    <row r="1608" spans="1:10" x14ac:dyDescent="0.3">
      <c r="A1608" s="130"/>
      <c r="B1608" s="37"/>
      <c r="C1608" s="37"/>
      <c r="D1608" s="37"/>
      <c r="E1608" s="37"/>
      <c r="F1608" s="37"/>
      <c r="G1608" s="37"/>
      <c r="H1608" s="37"/>
      <c r="I1608" s="37"/>
      <c r="J1608" s="37"/>
    </row>
    <row r="1609" spans="1:10" x14ac:dyDescent="0.3">
      <c r="A1609" s="130"/>
      <c r="B1609" s="37"/>
      <c r="C1609" s="37"/>
      <c r="D1609" s="37"/>
      <c r="E1609" s="37"/>
      <c r="F1609" s="37"/>
      <c r="G1609" s="37"/>
      <c r="H1609" s="37"/>
      <c r="I1609" s="37"/>
      <c r="J1609" s="37"/>
    </row>
    <row r="1610" spans="1:10" x14ac:dyDescent="0.3">
      <c r="A1610" s="130"/>
      <c r="B1610" s="37"/>
      <c r="C1610" s="37"/>
      <c r="D1610" s="37"/>
      <c r="E1610" s="37"/>
      <c r="F1610" s="37"/>
      <c r="G1610" s="37"/>
      <c r="H1610" s="37"/>
      <c r="I1610" s="37"/>
      <c r="J1610" s="37"/>
    </row>
    <row r="1611" spans="1:10" x14ac:dyDescent="0.3">
      <c r="A1611" s="130"/>
      <c r="B1611" s="37"/>
      <c r="C1611" s="37"/>
      <c r="D1611" s="37"/>
      <c r="E1611" s="37"/>
      <c r="F1611" s="37"/>
      <c r="G1611" s="37"/>
      <c r="H1611" s="37"/>
      <c r="I1611" s="37"/>
      <c r="J1611" s="37"/>
    </row>
    <row r="1612" spans="1:10" x14ac:dyDescent="0.3">
      <c r="A1612" s="130"/>
      <c r="B1612" s="37"/>
      <c r="C1612" s="37"/>
      <c r="D1612" s="37"/>
      <c r="E1612" s="37"/>
      <c r="F1612" s="37"/>
      <c r="G1612" s="37"/>
      <c r="H1612" s="37"/>
      <c r="I1612" s="37"/>
      <c r="J1612" s="37"/>
    </row>
    <row r="1613" spans="1:10" x14ac:dyDescent="0.3">
      <c r="A1613" s="130"/>
      <c r="B1613" s="37"/>
      <c r="C1613" s="37"/>
      <c r="D1613" s="37"/>
      <c r="E1613" s="37"/>
      <c r="F1613" s="37"/>
      <c r="G1613" s="37"/>
      <c r="H1613" s="37"/>
      <c r="I1613" s="37"/>
      <c r="J1613" s="37"/>
    </row>
    <row r="1614" spans="1:10" x14ac:dyDescent="0.3">
      <c r="A1614" s="130"/>
      <c r="B1614" s="37"/>
      <c r="C1614" s="37"/>
      <c r="D1614" s="37"/>
      <c r="E1614" s="37"/>
      <c r="F1614" s="37"/>
      <c r="G1614" s="37"/>
      <c r="H1614" s="37"/>
      <c r="I1614" s="37"/>
      <c r="J1614" s="37"/>
    </row>
    <row r="1615" spans="1:10" x14ac:dyDescent="0.3">
      <c r="A1615" s="130"/>
      <c r="B1615" s="37"/>
      <c r="C1615" s="37"/>
      <c r="D1615" s="37"/>
      <c r="E1615" s="37"/>
      <c r="F1615" s="37"/>
      <c r="G1615" s="37"/>
      <c r="H1615" s="37"/>
      <c r="I1615" s="37"/>
      <c r="J1615" s="37"/>
    </row>
    <row r="1616" spans="1:10" x14ac:dyDescent="0.3">
      <c r="A1616" s="130"/>
      <c r="B1616" s="37"/>
      <c r="C1616" s="37"/>
      <c r="D1616" s="37"/>
      <c r="E1616" s="37"/>
      <c r="F1616" s="37"/>
      <c r="G1616" s="37"/>
      <c r="H1616" s="37"/>
      <c r="I1616" s="37"/>
      <c r="J1616" s="37"/>
    </row>
    <row r="1617" spans="1:10" x14ac:dyDescent="0.3">
      <c r="A1617" s="130"/>
      <c r="B1617" s="37"/>
      <c r="C1617" s="37"/>
      <c r="D1617" s="37"/>
      <c r="E1617" s="37"/>
      <c r="F1617" s="37"/>
      <c r="G1617" s="37"/>
      <c r="H1617" s="37"/>
      <c r="I1617" s="37"/>
      <c r="J1617" s="37"/>
    </row>
    <row r="1618" spans="1:10" x14ac:dyDescent="0.3">
      <c r="A1618" s="130"/>
      <c r="B1618" s="37"/>
      <c r="C1618" s="37"/>
      <c r="D1618" s="37"/>
      <c r="E1618" s="37"/>
      <c r="F1618" s="37"/>
      <c r="G1618" s="37"/>
      <c r="H1618" s="37"/>
      <c r="I1618" s="37"/>
      <c r="J1618" s="37"/>
    </row>
    <row r="1619" spans="1:10" x14ac:dyDescent="0.3">
      <c r="A1619" s="130"/>
      <c r="B1619" s="37"/>
      <c r="C1619" s="37"/>
      <c r="D1619" s="37"/>
      <c r="E1619" s="37"/>
      <c r="F1619" s="37"/>
      <c r="G1619" s="37"/>
      <c r="H1619" s="37"/>
      <c r="I1619" s="37"/>
      <c r="J1619" s="37"/>
    </row>
    <row r="1620" spans="1:10" x14ac:dyDescent="0.3">
      <c r="A1620" s="130"/>
      <c r="B1620" s="37"/>
      <c r="C1620" s="37"/>
      <c r="D1620" s="37"/>
      <c r="E1620" s="37"/>
      <c r="F1620" s="37"/>
      <c r="G1620" s="37"/>
      <c r="H1620" s="37"/>
      <c r="I1620" s="37"/>
      <c r="J1620" s="37"/>
    </row>
    <row r="1621" spans="1:10" x14ac:dyDescent="0.3">
      <c r="A1621" s="130"/>
      <c r="B1621" s="37"/>
      <c r="C1621" s="37"/>
      <c r="D1621" s="37"/>
      <c r="E1621" s="37"/>
      <c r="F1621" s="37"/>
      <c r="G1621" s="37"/>
      <c r="H1621" s="37"/>
      <c r="I1621" s="37"/>
      <c r="J1621" s="37"/>
    </row>
    <row r="1622" spans="1:10" x14ac:dyDescent="0.3">
      <c r="A1622" s="130"/>
      <c r="B1622" s="37"/>
      <c r="C1622" s="37"/>
      <c r="D1622" s="37"/>
      <c r="E1622" s="37"/>
      <c r="F1622" s="37"/>
      <c r="G1622" s="37"/>
      <c r="H1622" s="37"/>
      <c r="I1622" s="37"/>
      <c r="J1622" s="37"/>
    </row>
    <row r="1623" spans="1:10" x14ac:dyDescent="0.3">
      <c r="A1623" s="130"/>
      <c r="B1623" s="37"/>
      <c r="C1623" s="37"/>
      <c r="D1623" s="37"/>
      <c r="E1623" s="37"/>
      <c r="F1623" s="37"/>
      <c r="G1623" s="37"/>
      <c r="H1623" s="37"/>
      <c r="I1623" s="37"/>
      <c r="J1623" s="37"/>
    </row>
    <row r="1624" spans="1:10" x14ac:dyDescent="0.3">
      <c r="A1624" s="130"/>
      <c r="B1624" s="37"/>
      <c r="C1624" s="37"/>
      <c r="D1624" s="37"/>
      <c r="E1624" s="37"/>
      <c r="F1624" s="37"/>
      <c r="G1624" s="37"/>
      <c r="H1624" s="37"/>
      <c r="I1624" s="37"/>
      <c r="J1624" s="37"/>
    </row>
    <row r="1625" spans="1:10" x14ac:dyDescent="0.3">
      <c r="A1625" s="130"/>
      <c r="B1625" s="37"/>
      <c r="C1625" s="37"/>
      <c r="D1625" s="37"/>
      <c r="E1625" s="37"/>
      <c r="F1625" s="37"/>
      <c r="G1625" s="37"/>
      <c r="H1625" s="37"/>
      <c r="I1625" s="37"/>
      <c r="J1625" s="37"/>
    </row>
    <row r="1626" spans="1:10" x14ac:dyDescent="0.3">
      <c r="A1626" s="130"/>
      <c r="B1626" s="37"/>
      <c r="C1626" s="37"/>
      <c r="D1626" s="37"/>
      <c r="E1626" s="37"/>
      <c r="F1626" s="37"/>
      <c r="G1626" s="37"/>
      <c r="H1626" s="37"/>
      <c r="I1626" s="37"/>
      <c r="J1626" s="37"/>
    </row>
    <row r="1627" spans="1:10" x14ac:dyDescent="0.3">
      <c r="A1627" s="130"/>
      <c r="B1627" s="37"/>
      <c r="C1627" s="37"/>
      <c r="D1627" s="37"/>
      <c r="E1627" s="37"/>
      <c r="F1627" s="37"/>
      <c r="G1627" s="37"/>
      <c r="H1627" s="37"/>
      <c r="I1627" s="37"/>
      <c r="J1627" s="37"/>
    </row>
    <row r="1628" spans="1:10" x14ac:dyDescent="0.3">
      <c r="A1628" s="130"/>
      <c r="B1628" s="37"/>
      <c r="C1628" s="37"/>
      <c r="D1628" s="37"/>
      <c r="E1628" s="37"/>
      <c r="F1628" s="37"/>
      <c r="G1628" s="37"/>
      <c r="H1628" s="37"/>
      <c r="I1628" s="37"/>
      <c r="J1628" s="37"/>
    </row>
    <row r="1629" spans="1:10" x14ac:dyDescent="0.3">
      <c r="A1629" s="130"/>
      <c r="B1629" s="37"/>
      <c r="C1629" s="37"/>
      <c r="D1629" s="37"/>
      <c r="E1629" s="37"/>
      <c r="F1629" s="37"/>
      <c r="G1629" s="37"/>
      <c r="H1629" s="37"/>
      <c r="I1629" s="37"/>
      <c r="J1629" s="37"/>
    </row>
    <row r="1630" spans="1:10" x14ac:dyDescent="0.3">
      <c r="A1630" s="130"/>
      <c r="B1630" s="37"/>
      <c r="C1630" s="37"/>
      <c r="D1630" s="37"/>
      <c r="E1630" s="37"/>
      <c r="F1630" s="37"/>
      <c r="G1630" s="37"/>
      <c r="H1630" s="37"/>
      <c r="I1630" s="37"/>
      <c r="J1630" s="37"/>
    </row>
    <row r="1631" spans="1:10" x14ac:dyDescent="0.3">
      <c r="A1631" s="130"/>
      <c r="B1631" s="37"/>
      <c r="C1631" s="37"/>
      <c r="D1631" s="37"/>
      <c r="E1631" s="37"/>
      <c r="F1631" s="37"/>
      <c r="G1631" s="37"/>
      <c r="H1631" s="37"/>
      <c r="I1631" s="37"/>
      <c r="J1631" s="37"/>
    </row>
    <row r="1632" spans="1:10" x14ac:dyDescent="0.3">
      <c r="A1632" s="130"/>
      <c r="B1632" s="37"/>
      <c r="C1632" s="37"/>
      <c r="D1632" s="37"/>
      <c r="E1632" s="37"/>
      <c r="F1632" s="37"/>
      <c r="G1632" s="37"/>
      <c r="H1632" s="37"/>
      <c r="I1632" s="37"/>
      <c r="J1632" s="37"/>
    </row>
    <row r="1633" spans="1:10" x14ac:dyDescent="0.3">
      <c r="A1633" s="130"/>
      <c r="B1633" s="37"/>
      <c r="C1633" s="37"/>
      <c r="D1633" s="37"/>
      <c r="E1633" s="37"/>
      <c r="F1633" s="37"/>
      <c r="G1633" s="37"/>
      <c r="H1633" s="37"/>
      <c r="I1633" s="37"/>
      <c r="J1633" s="37"/>
    </row>
    <row r="1634" spans="1:10" x14ac:dyDescent="0.3">
      <c r="A1634" s="130"/>
      <c r="B1634" s="37"/>
      <c r="C1634" s="37"/>
      <c r="D1634" s="37"/>
      <c r="E1634" s="37"/>
      <c r="F1634" s="37"/>
      <c r="G1634" s="37"/>
      <c r="H1634" s="37"/>
      <c r="I1634" s="37"/>
      <c r="J1634" s="37"/>
    </row>
    <row r="1635" spans="1:10" x14ac:dyDescent="0.3">
      <c r="A1635" s="130"/>
      <c r="B1635" s="37"/>
      <c r="C1635" s="37"/>
      <c r="D1635" s="37"/>
      <c r="E1635" s="37"/>
      <c r="F1635" s="37"/>
      <c r="G1635" s="37"/>
      <c r="H1635" s="37"/>
      <c r="I1635" s="37"/>
      <c r="J1635" s="37"/>
    </row>
    <row r="1636" spans="1:10" x14ac:dyDescent="0.3">
      <c r="A1636" s="130"/>
      <c r="B1636" s="37"/>
      <c r="C1636" s="37"/>
      <c r="D1636" s="37"/>
      <c r="E1636" s="37"/>
      <c r="F1636" s="37"/>
      <c r="G1636" s="37"/>
      <c r="H1636" s="37"/>
      <c r="I1636" s="37"/>
      <c r="J1636" s="37"/>
    </row>
    <row r="1637" spans="1:10" x14ac:dyDescent="0.3">
      <c r="A1637" s="130"/>
      <c r="B1637" s="37"/>
      <c r="C1637" s="37"/>
      <c r="D1637" s="37"/>
      <c r="E1637" s="37"/>
      <c r="F1637" s="37"/>
      <c r="G1637" s="37"/>
      <c r="H1637" s="37"/>
      <c r="I1637" s="37"/>
      <c r="J1637" s="37"/>
    </row>
    <row r="1638" spans="1:10" x14ac:dyDescent="0.3">
      <c r="A1638" s="130"/>
      <c r="B1638" s="37"/>
      <c r="C1638" s="37"/>
      <c r="D1638" s="37"/>
      <c r="E1638" s="37"/>
      <c r="F1638" s="37"/>
      <c r="G1638" s="37"/>
      <c r="H1638" s="37"/>
      <c r="I1638" s="37"/>
      <c r="J1638" s="37"/>
    </row>
    <row r="1639" spans="1:10" x14ac:dyDescent="0.3">
      <c r="A1639" s="130"/>
      <c r="B1639" s="37"/>
      <c r="C1639" s="37"/>
      <c r="D1639" s="37"/>
      <c r="E1639" s="37"/>
      <c r="F1639" s="37"/>
      <c r="G1639" s="37"/>
      <c r="H1639" s="37"/>
      <c r="I1639" s="37"/>
      <c r="J1639" s="37"/>
    </row>
    <row r="1640" spans="1:10" x14ac:dyDescent="0.3">
      <c r="A1640" s="130"/>
      <c r="B1640" s="37"/>
      <c r="C1640" s="37"/>
      <c r="D1640" s="37"/>
      <c r="E1640" s="37"/>
      <c r="F1640" s="37"/>
      <c r="G1640" s="37"/>
      <c r="H1640" s="37"/>
      <c r="I1640" s="37"/>
      <c r="J1640" s="37"/>
    </row>
    <row r="1641" spans="1:10" x14ac:dyDescent="0.3">
      <c r="A1641" s="130"/>
      <c r="B1641" s="37"/>
      <c r="C1641" s="37"/>
      <c r="D1641" s="37"/>
      <c r="E1641" s="37"/>
      <c r="F1641" s="37"/>
      <c r="G1641" s="37"/>
      <c r="H1641" s="37"/>
      <c r="I1641" s="37"/>
      <c r="J1641" s="37"/>
    </row>
    <row r="1642" spans="1:10" x14ac:dyDescent="0.3">
      <c r="A1642" s="130"/>
      <c r="B1642" s="37"/>
      <c r="C1642" s="37"/>
      <c r="D1642" s="37"/>
      <c r="E1642" s="37"/>
      <c r="F1642" s="37"/>
      <c r="G1642" s="37"/>
      <c r="H1642" s="37"/>
      <c r="I1642" s="37"/>
      <c r="J1642" s="37"/>
    </row>
    <row r="1643" spans="1:10" x14ac:dyDescent="0.3">
      <c r="A1643" s="130"/>
      <c r="B1643" s="37"/>
      <c r="C1643" s="37"/>
      <c r="D1643" s="37"/>
      <c r="E1643" s="37"/>
      <c r="F1643" s="37"/>
      <c r="G1643" s="37"/>
      <c r="H1643" s="37"/>
      <c r="I1643" s="37"/>
      <c r="J1643" s="37"/>
    </row>
    <row r="1644" spans="1:10" x14ac:dyDescent="0.3">
      <c r="A1644" s="130"/>
      <c r="B1644" s="37"/>
      <c r="C1644" s="37"/>
      <c r="D1644" s="37"/>
      <c r="E1644" s="37"/>
      <c r="F1644" s="37"/>
      <c r="G1644" s="37"/>
      <c r="H1644" s="37"/>
      <c r="I1644" s="37"/>
      <c r="J1644" s="37"/>
    </row>
    <row r="1645" spans="1:10" x14ac:dyDescent="0.3">
      <c r="A1645" s="130"/>
      <c r="B1645" s="37"/>
      <c r="C1645" s="37"/>
      <c r="D1645" s="37"/>
      <c r="E1645" s="37"/>
      <c r="F1645" s="37"/>
      <c r="G1645" s="37"/>
      <c r="H1645" s="37"/>
      <c r="I1645" s="37"/>
      <c r="J1645" s="37"/>
    </row>
    <row r="1646" spans="1:10" x14ac:dyDescent="0.3">
      <c r="A1646" s="130"/>
      <c r="B1646" s="37"/>
      <c r="C1646" s="37"/>
      <c r="D1646" s="37"/>
      <c r="E1646" s="37"/>
      <c r="F1646" s="37"/>
      <c r="G1646" s="37"/>
      <c r="H1646" s="37"/>
      <c r="I1646" s="37"/>
      <c r="J1646" s="37"/>
    </row>
    <row r="1647" spans="1:10" x14ac:dyDescent="0.3">
      <c r="A1647" s="130"/>
      <c r="B1647" s="37"/>
      <c r="C1647" s="37"/>
      <c r="D1647" s="37"/>
      <c r="E1647" s="37"/>
      <c r="F1647" s="37"/>
      <c r="G1647" s="37"/>
      <c r="H1647" s="37"/>
      <c r="I1647" s="37"/>
      <c r="J1647" s="37"/>
    </row>
    <row r="1648" spans="1:10" x14ac:dyDescent="0.3">
      <c r="A1648" s="130"/>
      <c r="B1648" s="37"/>
      <c r="C1648" s="37"/>
      <c r="D1648" s="37"/>
      <c r="E1648" s="37"/>
      <c r="F1648" s="37"/>
      <c r="G1648" s="37"/>
      <c r="H1648" s="37"/>
      <c r="I1648" s="37"/>
      <c r="J1648" s="37"/>
    </row>
    <row r="1649" spans="1:10" x14ac:dyDescent="0.3">
      <c r="A1649" s="130"/>
      <c r="B1649" s="37"/>
      <c r="C1649" s="37"/>
      <c r="D1649" s="37"/>
      <c r="E1649" s="37"/>
      <c r="F1649" s="37"/>
      <c r="G1649" s="37"/>
      <c r="H1649" s="37"/>
      <c r="I1649" s="37"/>
      <c r="J1649" s="37"/>
    </row>
    <row r="1650" spans="1:10" x14ac:dyDescent="0.3">
      <c r="A1650" s="130"/>
      <c r="B1650" s="37"/>
      <c r="C1650" s="37"/>
      <c r="D1650" s="37"/>
      <c r="E1650" s="37"/>
      <c r="F1650" s="37"/>
      <c r="G1650" s="37"/>
      <c r="H1650" s="37"/>
      <c r="I1650" s="37"/>
      <c r="J1650" s="37"/>
    </row>
    <row r="1651" spans="1:10" x14ac:dyDescent="0.3">
      <c r="A1651" s="130"/>
      <c r="B1651" s="37"/>
      <c r="C1651" s="37"/>
      <c r="D1651" s="37"/>
      <c r="E1651" s="37"/>
      <c r="F1651" s="37"/>
      <c r="G1651" s="37"/>
      <c r="H1651" s="37"/>
      <c r="I1651" s="37"/>
      <c r="J1651" s="37"/>
    </row>
    <row r="1652" spans="1:10" x14ac:dyDescent="0.3">
      <c r="A1652" s="130"/>
      <c r="B1652" s="37"/>
      <c r="C1652" s="37"/>
      <c r="D1652" s="37"/>
      <c r="E1652" s="37"/>
      <c r="F1652" s="37"/>
      <c r="G1652" s="37"/>
      <c r="H1652" s="37"/>
      <c r="I1652" s="37"/>
      <c r="J1652" s="37"/>
    </row>
    <row r="1653" spans="1:10" x14ac:dyDescent="0.3">
      <c r="A1653" s="130"/>
      <c r="B1653" s="37"/>
      <c r="C1653" s="37"/>
      <c r="D1653" s="37"/>
      <c r="E1653" s="37"/>
      <c r="F1653" s="37"/>
      <c r="G1653" s="37"/>
      <c r="H1653" s="37"/>
      <c r="I1653" s="37"/>
      <c r="J1653" s="37"/>
    </row>
    <row r="1654" spans="1:10" x14ac:dyDescent="0.3">
      <c r="A1654" s="130"/>
      <c r="B1654" s="37"/>
      <c r="C1654" s="37"/>
      <c r="D1654" s="37"/>
      <c r="E1654" s="37"/>
      <c r="F1654" s="37"/>
      <c r="G1654" s="37"/>
      <c r="H1654" s="37"/>
      <c r="I1654" s="37"/>
      <c r="J1654" s="37"/>
    </row>
    <row r="1655" spans="1:10" x14ac:dyDescent="0.3">
      <c r="A1655" s="130"/>
      <c r="B1655" s="37"/>
      <c r="C1655" s="37"/>
      <c r="D1655" s="37"/>
      <c r="E1655" s="37"/>
      <c r="F1655" s="37"/>
      <c r="G1655" s="37"/>
      <c r="H1655" s="37"/>
      <c r="I1655" s="37"/>
      <c r="J1655" s="37"/>
    </row>
    <row r="1656" spans="1:10" x14ac:dyDescent="0.3">
      <c r="A1656" s="130"/>
      <c r="B1656" s="37"/>
      <c r="C1656" s="37"/>
      <c r="D1656" s="37"/>
      <c r="E1656" s="37"/>
      <c r="F1656" s="37"/>
      <c r="G1656" s="37"/>
      <c r="H1656" s="37"/>
      <c r="I1656" s="37"/>
      <c r="J1656" s="37"/>
    </row>
    <row r="1657" spans="1:10" x14ac:dyDescent="0.3">
      <c r="A1657" s="130"/>
      <c r="B1657" s="37"/>
      <c r="C1657" s="37"/>
      <c r="D1657" s="37"/>
      <c r="E1657" s="37"/>
      <c r="F1657" s="37"/>
      <c r="G1657" s="37"/>
      <c r="H1657" s="37"/>
      <c r="I1657" s="37"/>
      <c r="J1657" s="37"/>
    </row>
    <row r="1658" spans="1:10" x14ac:dyDescent="0.3">
      <c r="A1658" s="130"/>
      <c r="B1658" s="37"/>
      <c r="C1658" s="37"/>
      <c r="D1658" s="37"/>
      <c r="E1658" s="37"/>
      <c r="F1658" s="37"/>
      <c r="G1658" s="37"/>
      <c r="H1658" s="37"/>
      <c r="I1658" s="37"/>
      <c r="J1658" s="37"/>
    </row>
    <row r="1659" spans="1:10" x14ac:dyDescent="0.3">
      <c r="A1659" s="130"/>
      <c r="B1659" s="37"/>
      <c r="C1659" s="37"/>
      <c r="D1659" s="37"/>
      <c r="E1659" s="37"/>
      <c r="F1659" s="37"/>
      <c r="G1659" s="37"/>
      <c r="H1659" s="37"/>
      <c r="I1659" s="37"/>
      <c r="J1659" s="37"/>
    </row>
    <row r="1660" spans="1:10" x14ac:dyDescent="0.3">
      <c r="A1660" s="130"/>
      <c r="B1660" s="37"/>
      <c r="C1660" s="37"/>
      <c r="D1660" s="37"/>
      <c r="E1660" s="37"/>
      <c r="F1660" s="37"/>
      <c r="G1660" s="37"/>
      <c r="H1660" s="37"/>
      <c r="I1660" s="37"/>
      <c r="J1660" s="37"/>
    </row>
    <row r="1661" spans="1:10" x14ac:dyDescent="0.3">
      <c r="A1661" s="130"/>
      <c r="B1661" s="37"/>
      <c r="C1661" s="37"/>
      <c r="D1661" s="37"/>
      <c r="E1661" s="37"/>
      <c r="F1661" s="37"/>
      <c r="G1661" s="37"/>
      <c r="H1661" s="37"/>
      <c r="I1661" s="37"/>
      <c r="J1661" s="37"/>
    </row>
    <row r="1662" spans="1:10" x14ac:dyDescent="0.3">
      <c r="A1662" s="130"/>
      <c r="B1662" s="37"/>
      <c r="C1662" s="37"/>
      <c r="D1662" s="37"/>
      <c r="E1662" s="37"/>
      <c r="F1662" s="37"/>
      <c r="G1662" s="37"/>
      <c r="H1662" s="37"/>
      <c r="I1662" s="37"/>
      <c r="J1662" s="37"/>
    </row>
    <row r="1663" spans="1:10" x14ac:dyDescent="0.3">
      <c r="A1663" s="130"/>
      <c r="B1663" s="37"/>
      <c r="C1663" s="37"/>
      <c r="D1663" s="37"/>
      <c r="E1663" s="37"/>
      <c r="F1663" s="37"/>
      <c r="G1663" s="37"/>
      <c r="H1663" s="37"/>
      <c r="I1663" s="37"/>
      <c r="J1663" s="37"/>
    </row>
    <row r="1664" spans="1:10" x14ac:dyDescent="0.3">
      <c r="A1664" s="130"/>
      <c r="B1664" s="37"/>
      <c r="C1664" s="37"/>
      <c r="D1664" s="37"/>
      <c r="E1664" s="37"/>
      <c r="F1664" s="37"/>
      <c r="G1664" s="37"/>
      <c r="H1664" s="37"/>
      <c r="I1664" s="37"/>
      <c r="J1664" s="37"/>
    </row>
    <row r="1665" spans="1:10" x14ac:dyDescent="0.3">
      <c r="A1665" s="130"/>
      <c r="B1665" s="37"/>
      <c r="C1665" s="37"/>
      <c r="D1665" s="37"/>
      <c r="E1665" s="37"/>
      <c r="F1665" s="37"/>
      <c r="G1665" s="37"/>
      <c r="H1665" s="37"/>
      <c r="I1665" s="37"/>
      <c r="J1665" s="37"/>
    </row>
    <row r="1666" spans="1:10" x14ac:dyDescent="0.3">
      <c r="A1666" s="130"/>
      <c r="B1666" s="37"/>
      <c r="C1666" s="37"/>
      <c r="D1666" s="37"/>
      <c r="E1666" s="37"/>
      <c r="F1666" s="37"/>
      <c r="G1666" s="37"/>
      <c r="H1666" s="37"/>
      <c r="I1666" s="37"/>
      <c r="J1666" s="37"/>
    </row>
    <row r="1667" spans="1:10" x14ac:dyDescent="0.3">
      <c r="A1667" s="130"/>
      <c r="B1667" s="37"/>
      <c r="C1667" s="37"/>
      <c r="D1667" s="37"/>
      <c r="E1667" s="37"/>
      <c r="F1667" s="37"/>
      <c r="G1667" s="37"/>
      <c r="H1667" s="37"/>
      <c r="I1667" s="37"/>
      <c r="J1667" s="37"/>
    </row>
    <row r="1668" spans="1:10" x14ac:dyDescent="0.3">
      <c r="A1668" s="130"/>
      <c r="B1668" s="37"/>
      <c r="C1668" s="37"/>
      <c r="D1668" s="37"/>
      <c r="E1668" s="37"/>
      <c r="F1668" s="37"/>
      <c r="G1668" s="37"/>
      <c r="H1668" s="37"/>
      <c r="I1668" s="37"/>
      <c r="J1668" s="37"/>
    </row>
    <row r="1669" spans="1:10" x14ac:dyDescent="0.3">
      <c r="A1669" s="130"/>
      <c r="B1669" s="37"/>
      <c r="C1669" s="37"/>
      <c r="D1669" s="37"/>
      <c r="E1669" s="37"/>
      <c r="F1669" s="37"/>
      <c r="G1669" s="37"/>
      <c r="H1669" s="37"/>
      <c r="I1669" s="37"/>
      <c r="J1669" s="37"/>
    </row>
    <row r="1670" spans="1:10" x14ac:dyDescent="0.3">
      <c r="A1670" s="130"/>
      <c r="B1670" s="37"/>
      <c r="C1670" s="37"/>
      <c r="D1670" s="37"/>
      <c r="E1670" s="37"/>
      <c r="F1670" s="37"/>
      <c r="G1670" s="37"/>
      <c r="H1670" s="37"/>
      <c r="I1670" s="37"/>
      <c r="J1670" s="37"/>
    </row>
    <row r="1671" spans="1:10" x14ac:dyDescent="0.3">
      <c r="A1671" s="130"/>
      <c r="B1671" s="37"/>
      <c r="C1671" s="37"/>
      <c r="D1671" s="37"/>
      <c r="E1671" s="37"/>
      <c r="F1671" s="37"/>
      <c r="G1671" s="37"/>
      <c r="H1671" s="37"/>
      <c r="I1671" s="37"/>
      <c r="J1671" s="37"/>
    </row>
    <row r="1672" spans="1:10" x14ac:dyDescent="0.3">
      <c r="A1672" s="130"/>
      <c r="B1672" s="37"/>
      <c r="C1672" s="37"/>
      <c r="D1672" s="37"/>
      <c r="E1672" s="37"/>
      <c r="F1672" s="37"/>
      <c r="G1672" s="37"/>
      <c r="H1672" s="37"/>
      <c r="I1672" s="37"/>
      <c r="J1672" s="37"/>
    </row>
    <row r="1673" spans="1:10" x14ac:dyDescent="0.3">
      <c r="A1673" s="130"/>
      <c r="B1673" s="37"/>
      <c r="C1673" s="37"/>
      <c r="D1673" s="37"/>
      <c r="E1673" s="37"/>
      <c r="F1673" s="37"/>
      <c r="G1673" s="37"/>
      <c r="H1673" s="37"/>
      <c r="I1673" s="37"/>
      <c r="J1673" s="37"/>
    </row>
    <row r="1674" spans="1:10" x14ac:dyDescent="0.3">
      <c r="A1674" s="130"/>
      <c r="B1674" s="37"/>
      <c r="C1674" s="37"/>
      <c r="D1674" s="37"/>
      <c r="E1674" s="37"/>
      <c r="F1674" s="37"/>
      <c r="G1674" s="37"/>
      <c r="H1674" s="37"/>
      <c r="I1674" s="37"/>
      <c r="J1674" s="37"/>
    </row>
    <row r="1675" spans="1:10" x14ac:dyDescent="0.3">
      <c r="A1675" s="130"/>
      <c r="B1675" s="37"/>
      <c r="C1675" s="37"/>
      <c r="D1675" s="37"/>
      <c r="E1675" s="37"/>
      <c r="F1675" s="37"/>
      <c r="G1675" s="37"/>
      <c r="H1675" s="37"/>
      <c r="I1675" s="37"/>
      <c r="J1675" s="37"/>
    </row>
    <row r="1676" spans="1:10" x14ac:dyDescent="0.3">
      <c r="A1676" s="130"/>
      <c r="B1676" s="37"/>
      <c r="C1676" s="37"/>
      <c r="D1676" s="37"/>
      <c r="E1676" s="37"/>
      <c r="F1676" s="37"/>
      <c r="G1676" s="37"/>
      <c r="H1676" s="37"/>
      <c r="I1676" s="37"/>
      <c r="J1676" s="37"/>
    </row>
    <row r="1677" spans="1:10" x14ac:dyDescent="0.3">
      <c r="A1677" s="130"/>
      <c r="B1677" s="37"/>
      <c r="C1677" s="37"/>
      <c r="D1677" s="37"/>
      <c r="E1677" s="37"/>
      <c r="F1677" s="37"/>
      <c r="G1677" s="37"/>
      <c r="H1677" s="37"/>
      <c r="I1677" s="37"/>
      <c r="J1677" s="37"/>
    </row>
    <row r="1678" spans="1:10" x14ac:dyDescent="0.3">
      <c r="A1678" s="130"/>
      <c r="B1678" s="37"/>
      <c r="C1678" s="37"/>
      <c r="D1678" s="37"/>
      <c r="E1678" s="37"/>
      <c r="F1678" s="37"/>
      <c r="G1678" s="37"/>
      <c r="H1678" s="37"/>
      <c r="I1678" s="37"/>
      <c r="J1678" s="37"/>
    </row>
    <row r="1679" spans="1:10" x14ac:dyDescent="0.3">
      <c r="A1679" s="130"/>
      <c r="B1679" s="37"/>
      <c r="C1679" s="37"/>
      <c r="D1679" s="37"/>
      <c r="E1679" s="37"/>
      <c r="F1679" s="37"/>
      <c r="G1679" s="37"/>
      <c r="H1679" s="37"/>
      <c r="I1679" s="37"/>
      <c r="J1679" s="37"/>
    </row>
    <row r="1680" spans="1:10" x14ac:dyDescent="0.3">
      <c r="A1680" s="130"/>
      <c r="B1680" s="37"/>
      <c r="C1680" s="37"/>
      <c r="D1680" s="37"/>
      <c r="E1680" s="37"/>
      <c r="F1680" s="37"/>
      <c r="G1680" s="37"/>
      <c r="H1680" s="37"/>
      <c r="I1680" s="37"/>
      <c r="J1680" s="37"/>
    </row>
    <row r="1681" spans="1:10" x14ac:dyDescent="0.3">
      <c r="A1681" s="130"/>
      <c r="B1681" s="37"/>
      <c r="C1681" s="37"/>
      <c r="D1681" s="37"/>
      <c r="E1681" s="37"/>
      <c r="F1681" s="37"/>
      <c r="G1681" s="37"/>
      <c r="H1681" s="37"/>
      <c r="I1681" s="37"/>
      <c r="J1681" s="37"/>
    </row>
    <row r="1682" spans="1:10" x14ac:dyDescent="0.3">
      <c r="A1682" s="130"/>
      <c r="B1682" s="37"/>
      <c r="C1682" s="37"/>
      <c r="D1682" s="37"/>
      <c r="E1682" s="37"/>
      <c r="F1682" s="37"/>
      <c r="G1682" s="37"/>
      <c r="H1682" s="37"/>
      <c r="I1682" s="37"/>
      <c r="J1682" s="37"/>
    </row>
    <row r="1683" spans="1:10" x14ac:dyDescent="0.3">
      <c r="A1683" s="130"/>
      <c r="B1683" s="37"/>
      <c r="C1683" s="37"/>
      <c r="D1683" s="37"/>
      <c r="E1683" s="37"/>
      <c r="F1683" s="37"/>
      <c r="G1683" s="37"/>
      <c r="H1683" s="37"/>
      <c r="I1683" s="37"/>
      <c r="J1683" s="37"/>
    </row>
    <row r="1684" spans="1:10" x14ac:dyDescent="0.3">
      <c r="A1684" s="130"/>
      <c r="B1684" s="37"/>
      <c r="C1684" s="37"/>
      <c r="D1684" s="37"/>
      <c r="E1684" s="37"/>
      <c r="F1684" s="37"/>
      <c r="G1684" s="37"/>
      <c r="H1684" s="37"/>
      <c r="I1684" s="37"/>
      <c r="J1684" s="37"/>
    </row>
    <row r="1685" spans="1:10" x14ac:dyDescent="0.3">
      <c r="A1685" s="130"/>
      <c r="B1685" s="37"/>
      <c r="C1685" s="37"/>
      <c r="D1685" s="37"/>
      <c r="E1685" s="37"/>
      <c r="F1685" s="37"/>
      <c r="G1685" s="37"/>
      <c r="H1685" s="37"/>
      <c r="I1685" s="37"/>
      <c r="J1685" s="37"/>
    </row>
    <row r="1686" spans="1:10" x14ac:dyDescent="0.3">
      <c r="A1686" s="130"/>
      <c r="B1686" s="37"/>
      <c r="C1686" s="37"/>
      <c r="D1686" s="37"/>
      <c r="E1686" s="37"/>
      <c r="F1686" s="37"/>
      <c r="G1686" s="37"/>
      <c r="H1686" s="37"/>
      <c r="I1686" s="37"/>
      <c r="J1686" s="37"/>
    </row>
    <row r="1687" spans="1:10" x14ac:dyDescent="0.3">
      <c r="A1687" s="130"/>
      <c r="B1687" s="37"/>
      <c r="C1687" s="37"/>
      <c r="D1687" s="37"/>
      <c r="E1687" s="37"/>
      <c r="F1687" s="37"/>
      <c r="G1687" s="37"/>
      <c r="H1687" s="37"/>
      <c r="I1687" s="37"/>
      <c r="J1687" s="37"/>
    </row>
    <row r="1688" spans="1:10" x14ac:dyDescent="0.3">
      <c r="A1688" s="130"/>
      <c r="B1688" s="37"/>
      <c r="C1688" s="37"/>
      <c r="D1688" s="37"/>
      <c r="E1688" s="37"/>
      <c r="F1688" s="37"/>
      <c r="G1688" s="37"/>
      <c r="H1688" s="37"/>
      <c r="I1688" s="37"/>
      <c r="J1688" s="37"/>
    </row>
    <row r="1689" spans="1:10" x14ac:dyDescent="0.3">
      <c r="A1689" s="130"/>
      <c r="B1689" s="37"/>
      <c r="C1689" s="37"/>
      <c r="D1689" s="37"/>
      <c r="E1689" s="37"/>
      <c r="F1689" s="37"/>
      <c r="G1689" s="37"/>
      <c r="H1689" s="37"/>
      <c r="I1689" s="37"/>
      <c r="J1689" s="37"/>
    </row>
    <row r="1690" spans="1:10" x14ac:dyDescent="0.3">
      <c r="A1690" s="130"/>
      <c r="B1690" s="37"/>
      <c r="C1690" s="37"/>
      <c r="D1690" s="37"/>
      <c r="E1690" s="37"/>
      <c r="F1690" s="37"/>
      <c r="G1690" s="37"/>
      <c r="H1690" s="37"/>
      <c r="I1690" s="37"/>
      <c r="J1690" s="37"/>
    </row>
    <row r="1691" spans="1:10" x14ac:dyDescent="0.3">
      <c r="A1691" s="130"/>
      <c r="B1691" s="37"/>
      <c r="C1691" s="37"/>
      <c r="D1691" s="37"/>
      <c r="E1691" s="37"/>
      <c r="F1691" s="37"/>
      <c r="G1691" s="37"/>
      <c r="H1691" s="37"/>
      <c r="I1691" s="37"/>
      <c r="J1691" s="37"/>
    </row>
    <row r="1692" spans="1:10" x14ac:dyDescent="0.3">
      <c r="A1692" s="130"/>
      <c r="B1692" s="37"/>
      <c r="C1692" s="37"/>
      <c r="D1692" s="37"/>
      <c r="E1692" s="37"/>
      <c r="F1692" s="37"/>
      <c r="G1692" s="37"/>
      <c r="H1692" s="37"/>
      <c r="I1692" s="37"/>
      <c r="J1692" s="37"/>
    </row>
    <row r="1693" spans="1:10" x14ac:dyDescent="0.3">
      <c r="A1693" s="130"/>
      <c r="B1693" s="37"/>
      <c r="C1693" s="37"/>
      <c r="D1693" s="37"/>
      <c r="E1693" s="37"/>
      <c r="F1693" s="37"/>
      <c r="G1693" s="37"/>
      <c r="H1693" s="37"/>
      <c r="I1693" s="37"/>
      <c r="J1693" s="37"/>
    </row>
    <row r="1694" spans="1:10" x14ac:dyDescent="0.3">
      <c r="A1694" s="130"/>
      <c r="B1694" s="37"/>
      <c r="C1694" s="37"/>
      <c r="D1694" s="37"/>
      <c r="E1694" s="37"/>
      <c r="F1694" s="37"/>
      <c r="G1694" s="37"/>
      <c r="H1694" s="37"/>
      <c r="I1694" s="37"/>
      <c r="J1694" s="37"/>
    </row>
    <row r="1695" spans="1:10" x14ac:dyDescent="0.3">
      <c r="A1695" s="130"/>
      <c r="B1695" s="37"/>
      <c r="C1695" s="37"/>
      <c r="D1695" s="37"/>
      <c r="E1695" s="37"/>
      <c r="F1695" s="37"/>
      <c r="G1695" s="37"/>
      <c r="H1695" s="37"/>
      <c r="I1695" s="37"/>
      <c r="J1695" s="37"/>
    </row>
    <row r="1696" spans="1:10" x14ac:dyDescent="0.3">
      <c r="A1696" s="130"/>
      <c r="B1696" s="37"/>
      <c r="C1696" s="37"/>
      <c r="D1696" s="37"/>
      <c r="E1696" s="37"/>
      <c r="F1696" s="37"/>
      <c r="G1696" s="37"/>
      <c r="H1696" s="37"/>
      <c r="I1696" s="37"/>
      <c r="J1696" s="37"/>
    </row>
    <row r="1697" spans="1:10" x14ac:dyDescent="0.3">
      <c r="A1697" s="130"/>
      <c r="B1697" s="37"/>
      <c r="C1697" s="37"/>
      <c r="D1697" s="37"/>
      <c r="E1697" s="37"/>
      <c r="F1697" s="37"/>
      <c r="G1697" s="37"/>
      <c r="H1697" s="37"/>
      <c r="I1697" s="37"/>
      <c r="J1697" s="37"/>
    </row>
    <row r="1698" spans="1:10" x14ac:dyDescent="0.3">
      <c r="A1698" s="130"/>
      <c r="B1698" s="37"/>
      <c r="C1698" s="37"/>
      <c r="D1698" s="37"/>
      <c r="E1698" s="37"/>
      <c r="F1698" s="37"/>
      <c r="G1698" s="37"/>
      <c r="H1698" s="37"/>
      <c r="I1698" s="37"/>
      <c r="J1698" s="37"/>
    </row>
    <row r="1699" spans="1:10" x14ac:dyDescent="0.3">
      <c r="A1699" s="130"/>
      <c r="B1699" s="37"/>
      <c r="C1699" s="37"/>
      <c r="D1699" s="37"/>
      <c r="E1699" s="37"/>
      <c r="F1699" s="37"/>
      <c r="G1699" s="37"/>
      <c r="H1699" s="37"/>
      <c r="I1699" s="37"/>
      <c r="J1699" s="37"/>
    </row>
    <row r="1700" spans="1:10" x14ac:dyDescent="0.3">
      <c r="A1700" s="130"/>
      <c r="B1700" s="37"/>
      <c r="C1700" s="37"/>
      <c r="D1700" s="37"/>
      <c r="E1700" s="37"/>
      <c r="F1700" s="37"/>
      <c r="G1700" s="37"/>
      <c r="H1700" s="37"/>
      <c r="I1700" s="37"/>
      <c r="J1700" s="37"/>
    </row>
    <row r="1701" spans="1:10" x14ac:dyDescent="0.3">
      <c r="A1701" s="130"/>
      <c r="B1701" s="37"/>
      <c r="C1701" s="37"/>
      <c r="D1701" s="37"/>
      <c r="E1701" s="37"/>
      <c r="F1701" s="37"/>
      <c r="G1701" s="37"/>
      <c r="H1701" s="37"/>
      <c r="I1701" s="37"/>
      <c r="J1701" s="37"/>
    </row>
    <row r="1702" spans="1:10" x14ac:dyDescent="0.3">
      <c r="A1702" s="130"/>
      <c r="B1702" s="37"/>
      <c r="C1702" s="37"/>
      <c r="D1702" s="37"/>
      <c r="E1702" s="37"/>
      <c r="F1702" s="37"/>
      <c r="G1702" s="37"/>
      <c r="H1702" s="37"/>
      <c r="I1702" s="37"/>
      <c r="J1702" s="37"/>
    </row>
    <row r="1703" spans="1:10" x14ac:dyDescent="0.3">
      <c r="A1703" s="130"/>
      <c r="B1703" s="37"/>
      <c r="C1703" s="37"/>
      <c r="D1703" s="37"/>
      <c r="E1703" s="37"/>
      <c r="F1703" s="37"/>
      <c r="G1703" s="37"/>
      <c r="H1703" s="37"/>
      <c r="I1703" s="37"/>
      <c r="J1703" s="37"/>
    </row>
    <row r="1704" spans="1:10" x14ac:dyDescent="0.3">
      <c r="A1704" s="130"/>
      <c r="B1704" s="37"/>
      <c r="C1704" s="37"/>
      <c r="D1704" s="37"/>
      <c r="E1704" s="37"/>
      <c r="F1704" s="37"/>
      <c r="G1704" s="37"/>
      <c r="H1704" s="37"/>
      <c r="I1704" s="37"/>
      <c r="J1704" s="37"/>
    </row>
    <row r="1705" spans="1:10" x14ac:dyDescent="0.3">
      <c r="A1705" s="130"/>
      <c r="B1705" s="37"/>
      <c r="C1705" s="37"/>
      <c r="D1705" s="37"/>
      <c r="E1705" s="37"/>
      <c r="F1705" s="37"/>
      <c r="G1705" s="37"/>
      <c r="H1705" s="37"/>
      <c r="I1705" s="37"/>
      <c r="J1705" s="37"/>
    </row>
    <row r="1706" spans="1:10" x14ac:dyDescent="0.3">
      <c r="A1706" s="130"/>
      <c r="B1706" s="37"/>
      <c r="C1706" s="37"/>
      <c r="D1706" s="37"/>
      <c r="E1706" s="37"/>
      <c r="F1706" s="37"/>
      <c r="G1706" s="37"/>
      <c r="H1706" s="37"/>
      <c r="I1706" s="37"/>
      <c r="J1706" s="37"/>
    </row>
    <row r="1707" spans="1:10" x14ac:dyDescent="0.3">
      <c r="A1707" s="130"/>
      <c r="B1707" s="37"/>
      <c r="C1707" s="37"/>
      <c r="D1707" s="37"/>
      <c r="E1707" s="37"/>
      <c r="F1707" s="37"/>
      <c r="G1707" s="37"/>
      <c r="H1707" s="37"/>
      <c r="I1707" s="37"/>
      <c r="J1707" s="37"/>
    </row>
    <row r="1708" spans="1:10" x14ac:dyDescent="0.3">
      <c r="A1708" s="130"/>
      <c r="B1708" s="37"/>
      <c r="C1708" s="37"/>
      <c r="D1708" s="37"/>
      <c r="E1708" s="37"/>
      <c r="F1708" s="37"/>
      <c r="G1708" s="37"/>
      <c r="H1708" s="37"/>
      <c r="I1708" s="37"/>
      <c r="J1708" s="37"/>
    </row>
    <row r="1709" spans="1:10" x14ac:dyDescent="0.3">
      <c r="A1709" s="130"/>
      <c r="B1709" s="37"/>
      <c r="C1709" s="37"/>
      <c r="D1709" s="37"/>
      <c r="E1709" s="37"/>
      <c r="F1709" s="37"/>
      <c r="G1709" s="37"/>
      <c r="H1709" s="37"/>
      <c r="I1709" s="37"/>
      <c r="J1709" s="37"/>
    </row>
    <row r="1710" spans="1:10" x14ac:dyDescent="0.3">
      <c r="A1710" s="130"/>
      <c r="B1710" s="37"/>
      <c r="C1710" s="37"/>
      <c r="D1710" s="37"/>
      <c r="E1710" s="37"/>
      <c r="F1710" s="37"/>
      <c r="G1710" s="37"/>
      <c r="H1710" s="37"/>
      <c r="I1710" s="37"/>
      <c r="J1710" s="37"/>
    </row>
    <row r="1711" spans="1:10" x14ac:dyDescent="0.3">
      <c r="A1711" s="130"/>
      <c r="B1711" s="37"/>
      <c r="C1711" s="37"/>
      <c r="D1711" s="37"/>
      <c r="E1711" s="37"/>
      <c r="F1711" s="37"/>
      <c r="G1711" s="37"/>
      <c r="H1711" s="37"/>
      <c r="I1711" s="37"/>
      <c r="J1711" s="37"/>
    </row>
    <row r="1712" spans="1:10" x14ac:dyDescent="0.3">
      <c r="A1712" s="130"/>
      <c r="B1712" s="37"/>
      <c r="C1712" s="37"/>
      <c r="D1712" s="37"/>
      <c r="E1712" s="37"/>
      <c r="F1712" s="37"/>
      <c r="G1712" s="37"/>
      <c r="H1712" s="37"/>
      <c r="I1712" s="37"/>
      <c r="J1712" s="37"/>
    </row>
    <row r="1713" spans="1:10" x14ac:dyDescent="0.3">
      <c r="A1713" s="130"/>
      <c r="B1713" s="37"/>
      <c r="C1713" s="37"/>
      <c r="D1713" s="37"/>
      <c r="E1713" s="37"/>
      <c r="F1713" s="37"/>
      <c r="G1713" s="37"/>
      <c r="H1713" s="37"/>
      <c r="I1713" s="37"/>
      <c r="J1713" s="37"/>
    </row>
    <row r="1714" spans="1:10" x14ac:dyDescent="0.3">
      <c r="A1714" s="130"/>
      <c r="B1714" s="37"/>
      <c r="C1714" s="37"/>
      <c r="D1714" s="37"/>
      <c r="E1714" s="37"/>
      <c r="F1714" s="37"/>
      <c r="G1714" s="37"/>
      <c r="H1714" s="37"/>
      <c r="I1714" s="37"/>
      <c r="J1714" s="37"/>
    </row>
    <row r="1715" spans="1:10" x14ac:dyDescent="0.3">
      <c r="A1715" s="130"/>
      <c r="B1715" s="37"/>
      <c r="C1715" s="37"/>
      <c r="D1715" s="37"/>
      <c r="E1715" s="37"/>
      <c r="F1715" s="37"/>
      <c r="G1715" s="37"/>
      <c r="H1715" s="37"/>
      <c r="I1715" s="37"/>
      <c r="J1715" s="37"/>
    </row>
    <row r="1716" spans="1:10" x14ac:dyDescent="0.3">
      <c r="A1716" s="130"/>
      <c r="B1716" s="37"/>
      <c r="C1716" s="37"/>
      <c r="D1716" s="37"/>
      <c r="E1716" s="37"/>
      <c r="F1716" s="37"/>
      <c r="G1716" s="37"/>
      <c r="H1716" s="37"/>
      <c r="I1716" s="37"/>
      <c r="J1716" s="37"/>
    </row>
    <row r="1717" spans="1:10" x14ac:dyDescent="0.3">
      <c r="A1717" s="130"/>
      <c r="B1717" s="37"/>
      <c r="C1717" s="37"/>
      <c r="D1717" s="37"/>
      <c r="E1717" s="37"/>
      <c r="F1717" s="37"/>
      <c r="G1717" s="37"/>
      <c r="H1717" s="37"/>
      <c r="I1717" s="37"/>
      <c r="J1717" s="37"/>
    </row>
    <row r="1718" spans="1:10" x14ac:dyDescent="0.3">
      <c r="A1718" s="130"/>
      <c r="B1718" s="37"/>
      <c r="C1718" s="37"/>
      <c r="D1718" s="37"/>
      <c r="E1718" s="37"/>
      <c r="F1718" s="37"/>
      <c r="G1718" s="37"/>
      <c r="H1718" s="37"/>
      <c r="I1718" s="37"/>
      <c r="J1718" s="37"/>
    </row>
    <row r="1719" spans="1:10" x14ac:dyDescent="0.3">
      <c r="A1719" s="130"/>
      <c r="B1719" s="37"/>
      <c r="C1719" s="37"/>
      <c r="D1719" s="37"/>
      <c r="E1719" s="37"/>
      <c r="F1719" s="37"/>
      <c r="G1719" s="37"/>
      <c r="H1719" s="37"/>
      <c r="I1719" s="37"/>
      <c r="J1719" s="37"/>
    </row>
    <row r="1720" spans="1:10" x14ac:dyDescent="0.3">
      <c r="A1720" s="130"/>
      <c r="B1720" s="37"/>
      <c r="C1720" s="37"/>
      <c r="D1720" s="37"/>
      <c r="E1720" s="37"/>
      <c r="F1720" s="37"/>
      <c r="G1720" s="37"/>
      <c r="H1720" s="37"/>
      <c r="I1720" s="37"/>
      <c r="J1720" s="37"/>
    </row>
    <row r="1721" spans="1:10" x14ac:dyDescent="0.3">
      <c r="A1721" s="130"/>
      <c r="B1721" s="37"/>
      <c r="C1721" s="37"/>
      <c r="D1721" s="37"/>
      <c r="E1721" s="37"/>
      <c r="F1721" s="37"/>
      <c r="G1721" s="37"/>
      <c r="H1721" s="37"/>
      <c r="I1721" s="37"/>
      <c r="J1721" s="37"/>
    </row>
    <row r="1722" spans="1:10" x14ac:dyDescent="0.3">
      <c r="A1722" s="130"/>
      <c r="B1722" s="37"/>
      <c r="C1722" s="37"/>
      <c r="D1722" s="37"/>
      <c r="E1722" s="37"/>
      <c r="F1722" s="37"/>
      <c r="G1722" s="37"/>
      <c r="H1722" s="37"/>
      <c r="I1722" s="37"/>
      <c r="J1722" s="37"/>
    </row>
    <row r="1723" spans="1:10" x14ac:dyDescent="0.3">
      <c r="A1723" s="130"/>
      <c r="B1723" s="37"/>
      <c r="C1723" s="37"/>
      <c r="D1723" s="37"/>
      <c r="E1723" s="37"/>
      <c r="F1723" s="37"/>
      <c r="G1723" s="37"/>
      <c r="H1723" s="37"/>
      <c r="I1723" s="37"/>
      <c r="J1723" s="37"/>
    </row>
    <row r="1724" spans="1:10" x14ac:dyDescent="0.3">
      <c r="A1724" s="130"/>
      <c r="B1724" s="37"/>
      <c r="C1724" s="37"/>
      <c r="D1724" s="37"/>
      <c r="E1724" s="37"/>
      <c r="F1724" s="37"/>
      <c r="G1724" s="37"/>
      <c r="H1724" s="37"/>
      <c r="I1724" s="37"/>
      <c r="J1724" s="37"/>
    </row>
    <row r="1725" spans="1:10" x14ac:dyDescent="0.3">
      <c r="A1725" s="130"/>
      <c r="B1725" s="37"/>
      <c r="C1725" s="37"/>
      <c r="D1725" s="37"/>
      <c r="E1725" s="37"/>
      <c r="F1725" s="37"/>
      <c r="G1725" s="37"/>
      <c r="H1725" s="37"/>
      <c r="I1725" s="37"/>
      <c r="J1725" s="37"/>
    </row>
    <row r="1726" spans="1:10" x14ac:dyDescent="0.3">
      <c r="A1726" s="130"/>
      <c r="B1726" s="37"/>
      <c r="C1726" s="37"/>
      <c r="D1726" s="37"/>
      <c r="E1726" s="37"/>
      <c r="F1726" s="37"/>
      <c r="G1726" s="37"/>
      <c r="H1726" s="37"/>
      <c r="I1726" s="37"/>
      <c r="J1726" s="37"/>
    </row>
    <row r="1727" spans="1:10" x14ac:dyDescent="0.3">
      <c r="A1727" s="130"/>
      <c r="B1727" s="37"/>
      <c r="C1727" s="37"/>
      <c r="D1727" s="37"/>
      <c r="E1727" s="37"/>
      <c r="F1727" s="37"/>
      <c r="G1727" s="37"/>
      <c r="H1727" s="37"/>
      <c r="I1727" s="37"/>
      <c r="J1727" s="37"/>
    </row>
    <row r="1728" spans="1:10" x14ac:dyDescent="0.3">
      <c r="A1728" s="130"/>
      <c r="B1728" s="37"/>
      <c r="C1728" s="37"/>
      <c r="D1728" s="37"/>
      <c r="E1728" s="37"/>
      <c r="F1728" s="37"/>
      <c r="G1728" s="37"/>
      <c r="H1728" s="37"/>
      <c r="I1728" s="37"/>
      <c r="J1728" s="37"/>
    </row>
    <row r="1729" spans="1:10" x14ac:dyDescent="0.3">
      <c r="A1729" s="130"/>
      <c r="B1729" s="37"/>
      <c r="C1729" s="37"/>
      <c r="D1729" s="37"/>
      <c r="E1729" s="37"/>
      <c r="F1729" s="37"/>
      <c r="G1729" s="37"/>
      <c r="H1729" s="37"/>
      <c r="I1729" s="37"/>
      <c r="J1729" s="37"/>
    </row>
    <row r="1730" spans="1:10" x14ac:dyDescent="0.3">
      <c r="A1730" s="130"/>
      <c r="B1730" s="37"/>
      <c r="C1730" s="37"/>
      <c r="D1730" s="37"/>
      <c r="E1730" s="37"/>
      <c r="F1730" s="37"/>
      <c r="G1730" s="37"/>
      <c r="H1730" s="37"/>
      <c r="I1730" s="37"/>
      <c r="J1730" s="37"/>
    </row>
    <row r="1731" spans="1:10" x14ac:dyDescent="0.3">
      <c r="A1731" s="130"/>
      <c r="B1731" s="37"/>
      <c r="C1731" s="37"/>
      <c r="D1731" s="37"/>
      <c r="E1731" s="37"/>
      <c r="F1731" s="37"/>
      <c r="G1731" s="37"/>
      <c r="H1731" s="37"/>
      <c r="I1731" s="37"/>
      <c r="J1731" s="37"/>
    </row>
    <row r="1732" spans="1:10" x14ac:dyDescent="0.3">
      <c r="A1732" s="130"/>
      <c r="B1732" s="37"/>
      <c r="C1732" s="37"/>
      <c r="D1732" s="37"/>
      <c r="E1732" s="37"/>
      <c r="F1732" s="37"/>
      <c r="G1732" s="37"/>
      <c r="H1732" s="37"/>
      <c r="I1732" s="37"/>
      <c r="J1732" s="37"/>
    </row>
    <row r="1733" spans="1:10" x14ac:dyDescent="0.3">
      <c r="A1733" s="130"/>
      <c r="B1733" s="37"/>
      <c r="C1733" s="37"/>
      <c r="D1733" s="37"/>
      <c r="E1733" s="37"/>
      <c r="F1733" s="37"/>
      <c r="G1733" s="37"/>
      <c r="H1733" s="37"/>
      <c r="I1733" s="37"/>
      <c r="J1733" s="37"/>
    </row>
    <row r="1734" spans="1:10" x14ac:dyDescent="0.3">
      <c r="A1734" s="130"/>
      <c r="B1734" s="37"/>
      <c r="C1734" s="37"/>
      <c r="D1734" s="37"/>
      <c r="E1734" s="37"/>
      <c r="F1734" s="37"/>
      <c r="G1734" s="37"/>
      <c r="H1734" s="37"/>
      <c r="I1734" s="37"/>
      <c r="J1734" s="37"/>
    </row>
    <row r="1735" spans="1:10" x14ac:dyDescent="0.3">
      <c r="A1735" s="130"/>
      <c r="B1735" s="37"/>
      <c r="C1735" s="37"/>
      <c r="D1735" s="37"/>
      <c r="E1735" s="37"/>
      <c r="F1735" s="37"/>
      <c r="G1735" s="37"/>
      <c r="H1735" s="37"/>
      <c r="I1735" s="37"/>
      <c r="J1735" s="37"/>
    </row>
    <row r="1736" spans="1:10" x14ac:dyDescent="0.3">
      <c r="A1736" s="130"/>
      <c r="B1736" s="37"/>
      <c r="C1736" s="37"/>
      <c r="D1736" s="37"/>
      <c r="E1736" s="37"/>
      <c r="F1736" s="37"/>
      <c r="G1736" s="37"/>
      <c r="H1736" s="37"/>
      <c r="I1736" s="37"/>
      <c r="J1736" s="37"/>
    </row>
    <row r="1737" spans="1:10" x14ac:dyDescent="0.3">
      <c r="A1737" s="130"/>
      <c r="B1737" s="37"/>
      <c r="C1737" s="37"/>
      <c r="D1737" s="37"/>
      <c r="E1737" s="37"/>
      <c r="F1737" s="37"/>
      <c r="G1737" s="37"/>
      <c r="H1737" s="37"/>
      <c r="I1737" s="37"/>
      <c r="J1737" s="37"/>
    </row>
    <row r="1738" spans="1:10" x14ac:dyDescent="0.3">
      <c r="A1738" s="130"/>
      <c r="B1738" s="37"/>
      <c r="C1738" s="37"/>
      <c r="D1738" s="37"/>
      <c r="E1738" s="37"/>
      <c r="F1738" s="37"/>
      <c r="G1738" s="37"/>
      <c r="H1738" s="37"/>
      <c r="I1738" s="37"/>
      <c r="J1738" s="37"/>
    </row>
    <row r="1739" spans="1:10" x14ac:dyDescent="0.3">
      <c r="A1739" s="130"/>
      <c r="B1739" s="37"/>
      <c r="C1739" s="37"/>
      <c r="D1739" s="37"/>
      <c r="E1739" s="37"/>
      <c r="F1739" s="37"/>
      <c r="G1739" s="37"/>
      <c r="H1739" s="37"/>
      <c r="I1739" s="37"/>
      <c r="J1739" s="37"/>
    </row>
    <row r="1740" spans="1:10" x14ac:dyDescent="0.3">
      <c r="A1740" s="130"/>
      <c r="B1740" s="37"/>
      <c r="C1740" s="37"/>
      <c r="D1740" s="37"/>
      <c r="E1740" s="37"/>
      <c r="F1740" s="37"/>
      <c r="G1740" s="37"/>
      <c r="H1740" s="37"/>
      <c r="I1740" s="37"/>
      <c r="J1740" s="37"/>
    </row>
    <row r="1741" spans="1:10" x14ac:dyDescent="0.3">
      <c r="A1741" s="130"/>
      <c r="B1741" s="37"/>
      <c r="C1741" s="37"/>
      <c r="D1741" s="37"/>
      <c r="E1741" s="37"/>
      <c r="F1741" s="37"/>
      <c r="G1741" s="37"/>
      <c r="H1741" s="37"/>
      <c r="I1741" s="37"/>
      <c r="J1741" s="37"/>
    </row>
    <row r="1742" spans="1:10" x14ac:dyDescent="0.3">
      <c r="A1742" s="130"/>
      <c r="B1742" s="37"/>
      <c r="C1742" s="37"/>
      <c r="D1742" s="37"/>
      <c r="E1742" s="37"/>
      <c r="F1742" s="37"/>
      <c r="G1742" s="37"/>
      <c r="H1742" s="37"/>
      <c r="I1742" s="37"/>
      <c r="J1742" s="37"/>
    </row>
    <row r="1743" spans="1:10" x14ac:dyDescent="0.3">
      <c r="A1743" s="130"/>
      <c r="B1743" s="37"/>
      <c r="C1743" s="37"/>
      <c r="D1743" s="37"/>
      <c r="E1743" s="37"/>
      <c r="F1743" s="37"/>
      <c r="G1743" s="37"/>
      <c r="H1743" s="37"/>
      <c r="I1743" s="37"/>
      <c r="J1743" s="37"/>
    </row>
    <row r="1744" spans="1:10" x14ac:dyDescent="0.3">
      <c r="A1744" s="130"/>
      <c r="B1744" s="37"/>
      <c r="C1744" s="37"/>
      <c r="D1744" s="37"/>
      <c r="E1744" s="37"/>
      <c r="F1744" s="37"/>
      <c r="G1744" s="37"/>
      <c r="H1744" s="37"/>
      <c r="I1744" s="37"/>
      <c r="J1744" s="37"/>
    </row>
    <row r="1745" spans="1:10" x14ac:dyDescent="0.3">
      <c r="A1745" s="130"/>
      <c r="B1745" s="37"/>
      <c r="C1745" s="37"/>
      <c r="D1745" s="37"/>
      <c r="E1745" s="37"/>
      <c r="F1745" s="37"/>
      <c r="G1745" s="37"/>
      <c r="H1745" s="37"/>
      <c r="I1745" s="37"/>
      <c r="J1745" s="37"/>
    </row>
    <row r="1746" spans="1:10" x14ac:dyDescent="0.3">
      <c r="A1746" s="130"/>
      <c r="B1746" s="37"/>
      <c r="C1746" s="37"/>
      <c r="D1746" s="37"/>
      <c r="E1746" s="37"/>
      <c r="F1746" s="37"/>
      <c r="G1746" s="37"/>
      <c r="H1746" s="37"/>
      <c r="I1746" s="37"/>
      <c r="J1746" s="37"/>
    </row>
    <row r="1747" spans="1:10" x14ac:dyDescent="0.3">
      <c r="A1747" s="130"/>
      <c r="B1747" s="37"/>
      <c r="C1747" s="37"/>
      <c r="D1747" s="37"/>
      <c r="E1747" s="37"/>
      <c r="F1747" s="37"/>
      <c r="G1747" s="37"/>
      <c r="H1747" s="37"/>
      <c r="I1747" s="37"/>
      <c r="J1747" s="37"/>
    </row>
    <row r="1748" spans="1:10" x14ac:dyDescent="0.3">
      <c r="A1748" s="130"/>
      <c r="B1748" s="37"/>
      <c r="C1748" s="37"/>
      <c r="D1748" s="37"/>
      <c r="E1748" s="37"/>
      <c r="F1748" s="37"/>
      <c r="G1748" s="37"/>
      <c r="H1748" s="37"/>
      <c r="I1748" s="37"/>
      <c r="J1748" s="37"/>
    </row>
    <row r="1749" spans="1:10" x14ac:dyDescent="0.3">
      <c r="A1749" s="130"/>
      <c r="B1749" s="37"/>
      <c r="C1749" s="37"/>
      <c r="D1749" s="37"/>
      <c r="E1749" s="37"/>
      <c r="F1749" s="37"/>
      <c r="G1749" s="37"/>
      <c r="H1749" s="37"/>
      <c r="I1749" s="37"/>
      <c r="J1749" s="37"/>
    </row>
    <row r="1750" spans="1:10" x14ac:dyDescent="0.3">
      <c r="A1750" s="130"/>
      <c r="B1750" s="37"/>
      <c r="C1750" s="37"/>
      <c r="D1750" s="37"/>
      <c r="E1750" s="37"/>
      <c r="F1750" s="37"/>
      <c r="G1750" s="37"/>
      <c r="H1750" s="37"/>
      <c r="I1750" s="37"/>
      <c r="J1750" s="37"/>
    </row>
    <row r="1751" spans="1:10" x14ac:dyDescent="0.3">
      <c r="A1751" s="130"/>
      <c r="B1751" s="37"/>
      <c r="C1751" s="37"/>
      <c r="D1751" s="37"/>
      <c r="E1751" s="37"/>
      <c r="F1751" s="37"/>
      <c r="G1751" s="37"/>
      <c r="H1751" s="37"/>
      <c r="I1751" s="37"/>
      <c r="J1751" s="37"/>
    </row>
    <row r="1752" spans="1:10" x14ac:dyDescent="0.3">
      <c r="A1752" s="130"/>
      <c r="B1752" s="37"/>
      <c r="C1752" s="37"/>
      <c r="D1752" s="37"/>
      <c r="E1752" s="37"/>
      <c r="F1752" s="37"/>
      <c r="G1752" s="37"/>
      <c r="H1752" s="37"/>
      <c r="I1752" s="37"/>
      <c r="J1752" s="37"/>
    </row>
    <row r="1753" spans="1:10" x14ac:dyDescent="0.3">
      <c r="A1753" s="130"/>
      <c r="B1753" s="37"/>
      <c r="C1753" s="37"/>
      <c r="D1753" s="37"/>
      <c r="E1753" s="37"/>
      <c r="F1753" s="37"/>
      <c r="G1753" s="37"/>
      <c r="H1753" s="37"/>
      <c r="I1753" s="37"/>
      <c r="J1753" s="37"/>
    </row>
    <row r="1754" spans="1:10" x14ac:dyDescent="0.3">
      <c r="A1754" s="130"/>
      <c r="B1754" s="37"/>
      <c r="C1754" s="37"/>
      <c r="D1754" s="37"/>
      <c r="E1754" s="37"/>
      <c r="F1754" s="37"/>
      <c r="G1754" s="37"/>
      <c r="H1754" s="37"/>
      <c r="I1754" s="37"/>
      <c r="J1754" s="37"/>
    </row>
    <row r="1755" spans="1:10" x14ac:dyDescent="0.3">
      <c r="A1755" s="130"/>
      <c r="B1755" s="37"/>
      <c r="C1755" s="37"/>
      <c r="D1755" s="37"/>
      <c r="E1755" s="37"/>
      <c r="F1755" s="37"/>
      <c r="G1755" s="37"/>
      <c r="H1755" s="37"/>
      <c r="I1755" s="37"/>
      <c r="J1755" s="37"/>
    </row>
    <row r="1756" spans="1:10" x14ac:dyDescent="0.3">
      <c r="A1756" s="130"/>
      <c r="B1756" s="37"/>
      <c r="C1756" s="37"/>
      <c r="D1756" s="37"/>
      <c r="E1756" s="37"/>
      <c r="F1756" s="37"/>
      <c r="G1756" s="37"/>
      <c r="H1756" s="37"/>
      <c r="I1756" s="37"/>
      <c r="J1756" s="37"/>
    </row>
    <row r="1757" spans="1:10" x14ac:dyDescent="0.3">
      <c r="A1757" s="130"/>
      <c r="B1757" s="37"/>
      <c r="C1757" s="37"/>
      <c r="D1757" s="37"/>
      <c r="E1757" s="37"/>
      <c r="F1757" s="37"/>
      <c r="G1757" s="37"/>
      <c r="H1757" s="37"/>
      <c r="I1757" s="37"/>
      <c r="J1757" s="37"/>
    </row>
    <row r="1758" spans="1:10" x14ac:dyDescent="0.3">
      <c r="A1758" s="130"/>
      <c r="B1758" s="37"/>
      <c r="C1758" s="37"/>
      <c r="D1758" s="37"/>
      <c r="E1758" s="37"/>
      <c r="F1758" s="37"/>
      <c r="G1758" s="37"/>
      <c r="H1758" s="37"/>
      <c r="I1758" s="37"/>
      <c r="J1758" s="37"/>
    </row>
    <row r="1759" spans="1:10" x14ac:dyDescent="0.3">
      <c r="A1759" s="130"/>
      <c r="B1759" s="37"/>
      <c r="C1759" s="37"/>
      <c r="D1759" s="37"/>
      <c r="E1759" s="37"/>
      <c r="F1759" s="37"/>
      <c r="G1759" s="37"/>
      <c r="H1759" s="37"/>
      <c r="I1759" s="37"/>
      <c r="J1759" s="37"/>
    </row>
    <row r="1760" spans="1:10" x14ac:dyDescent="0.3">
      <c r="A1760" s="130"/>
      <c r="B1760" s="37"/>
      <c r="C1760" s="37"/>
      <c r="D1760" s="37"/>
      <c r="E1760" s="37"/>
      <c r="F1760" s="37"/>
      <c r="G1760" s="37"/>
      <c r="H1760" s="37"/>
      <c r="I1760" s="37"/>
      <c r="J1760" s="37"/>
    </row>
    <row r="1761" spans="1:10" x14ac:dyDescent="0.3">
      <c r="A1761" s="130"/>
      <c r="B1761" s="37"/>
      <c r="C1761" s="37"/>
      <c r="D1761" s="37"/>
      <c r="E1761" s="37"/>
      <c r="F1761" s="37"/>
      <c r="G1761" s="37"/>
      <c r="H1761" s="37"/>
      <c r="I1761" s="37"/>
      <c r="J1761" s="37"/>
    </row>
    <row r="1762" spans="1:10" x14ac:dyDescent="0.3">
      <c r="A1762" s="130"/>
      <c r="B1762" s="37"/>
      <c r="C1762" s="37"/>
      <c r="D1762" s="37"/>
      <c r="E1762" s="37"/>
      <c r="F1762" s="37"/>
      <c r="G1762" s="37"/>
      <c r="H1762" s="37"/>
      <c r="I1762" s="37"/>
      <c r="J1762" s="37"/>
    </row>
    <row r="1763" spans="1:10" x14ac:dyDescent="0.3">
      <c r="A1763" s="130"/>
      <c r="B1763" s="37"/>
      <c r="C1763" s="37"/>
      <c r="D1763" s="37"/>
      <c r="E1763" s="37"/>
      <c r="F1763" s="37"/>
      <c r="G1763" s="37"/>
      <c r="H1763" s="37"/>
      <c r="I1763" s="37"/>
      <c r="J1763" s="37"/>
    </row>
    <row r="1764" spans="1:10" x14ac:dyDescent="0.3">
      <c r="A1764" s="130"/>
      <c r="B1764" s="37"/>
      <c r="C1764" s="37"/>
      <c r="D1764" s="37"/>
      <c r="E1764" s="37"/>
      <c r="F1764" s="37"/>
      <c r="G1764" s="37"/>
      <c r="H1764" s="37"/>
      <c r="I1764" s="37"/>
      <c r="J1764" s="37"/>
    </row>
    <row r="1765" spans="1:10" x14ac:dyDescent="0.3">
      <c r="A1765" s="130"/>
      <c r="B1765" s="37"/>
      <c r="C1765" s="37"/>
      <c r="D1765" s="37"/>
      <c r="E1765" s="37"/>
      <c r="F1765" s="37"/>
      <c r="G1765" s="37"/>
      <c r="H1765" s="37"/>
      <c r="I1765" s="37"/>
      <c r="J1765" s="37"/>
    </row>
    <row r="1766" spans="1:10" x14ac:dyDescent="0.3">
      <c r="A1766" s="130"/>
      <c r="B1766" s="37"/>
      <c r="C1766" s="37"/>
      <c r="D1766" s="37"/>
      <c r="E1766" s="37"/>
      <c r="F1766" s="37"/>
      <c r="G1766" s="37"/>
      <c r="H1766" s="37"/>
      <c r="I1766" s="37"/>
      <c r="J1766" s="37"/>
    </row>
    <row r="1767" spans="1:10" x14ac:dyDescent="0.3">
      <c r="A1767" s="130"/>
      <c r="B1767" s="37"/>
      <c r="C1767" s="37"/>
      <c r="D1767" s="37"/>
      <c r="E1767" s="37"/>
      <c r="F1767" s="37"/>
      <c r="G1767" s="37"/>
      <c r="H1767" s="37"/>
      <c r="I1767" s="37"/>
      <c r="J1767" s="37"/>
    </row>
    <row r="1768" spans="1:10" x14ac:dyDescent="0.3">
      <c r="A1768" s="130"/>
      <c r="B1768" s="37"/>
      <c r="C1768" s="37"/>
      <c r="D1768" s="37"/>
      <c r="E1768" s="37"/>
      <c r="F1768" s="37"/>
      <c r="G1768" s="37"/>
      <c r="H1768" s="37"/>
      <c r="I1768" s="37"/>
      <c r="J1768" s="37"/>
    </row>
    <row r="1769" spans="1:10" x14ac:dyDescent="0.3">
      <c r="A1769" s="130"/>
      <c r="B1769" s="37"/>
      <c r="C1769" s="37"/>
      <c r="D1769" s="37"/>
      <c r="E1769" s="37"/>
      <c r="F1769" s="37"/>
      <c r="G1769" s="37"/>
      <c r="H1769" s="37"/>
      <c r="I1769" s="37"/>
      <c r="J1769" s="37"/>
    </row>
    <row r="1770" spans="1:10" x14ac:dyDescent="0.3">
      <c r="A1770" s="130"/>
      <c r="B1770" s="37"/>
      <c r="C1770" s="37"/>
      <c r="D1770" s="37"/>
      <c r="E1770" s="37"/>
      <c r="F1770" s="37"/>
      <c r="G1770" s="37"/>
      <c r="H1770" s="37"/>
      <c r="I1770" s="37"/>
      <c r="J1770" s="37"/>
    </row>
    <row r="1771" spans="1:10" x14ac:dyDescent="0.3">
      <c r="A1771" s="130"/>
      <c r="B1771" s="37"/>
      <c r="C1771" s="37"/>
      <c r="D1771" s="37"/>
      <c r="E1771" s="37"/>
      <c r="F1771" s="37"/>
      <c r="G1771" s="37"/>
      <c r="H1771" s="37"/>
      <c r="I1771" s="37"/>
      <c r="J1771" s="37"/>
    </row>
    <row r="1772" spans="1:10" x14ac:dyDescent="0.3">
      <c r="A1772" s="130"/>
      <c r="B1772" s="37"/>
      <c r="C1772" s="37"/>
      <c r="D1772" s="37"/>
      <c r="E1772" s="37"/>
      <c r="F1772" s="37"/>
      <c r="G1772" s="37"/>
      <c r="H1772" s="37"/>
      <c r="I1772" s="37"/>
      <c r="J1772" s="37"/>
    </row>
    <row r="1773" spans="1:10" x14ac:dyDescent="0.3">
      <c r="A1773" s="130"/>
      <c r="B1773" s="37"/>
      <c r="C1773" s="37"/>
      <c r="D1773" s="37"/>
      <c r="E1773" s="37"/>
      <c r="F1773" s="37"/>
      <c r="G1773" s="37"/>
      <c r="H1773" s="37"/>
      <c r="I1773" s="37"/>
      <c r="J1773" s="37"/>
    </row>
    <row r="1774" spans="1:10" x14ac:dyDescent="0.3">
      <c r="A1774" s="130"/>
      <c r="B1774" s="37"/>
      <c r="C1774" s="37"/>
      <c r="D1774" s="37"/>
      <c r="E1774" s="37"/>
      <c r="F1774" s="37"/>
      <c r="G1774" s="37"/>
      <c r="H1774" s="37"/>
      <c r="I1774" s="37"/>
      <c r="J1774" s="37"/>
    </row>
    <row r="1775" spans="1:10" x14ac:dyDescent="0.3">
      <c r="A1775" s="130"/>
      <c r="B1775" s="37"/>
      <c r="C1775" s="37"/>
      <c r="D1775" s="37"/>
      <c r="E1775" s="37"/>
      <c r="F1775" s="37"/>
      <c r="G1775" s="37"/>
      <c r="H1775" s="37"/>
      <c r="I1775" s="37"/>
      <c r="J1775" s="37"/>
    </row>
    <row r="1776" spans="1:10" x14ac:dyDescent="0.3">
      <c r="A1776" s="130"/>
      <c r="B1776" s="37"/>
      <c r="C1776" s="37"/>
      <c r="D1776" s="37"/>
      <c r="E1776" s="37"/>
      <c r="F1776" s="37"/>
      <c r="G1776" s="37"/>
      <c r="H1776" s="37"/>
      <c r="I1776" s="37"/>
      <c r="J1776" s="37"/>
    </row>
    <row r="1777" spans="1:10" x14ac:dyDescent="0.3">
      <c r="A1777" s="130"/>
      <c r="B1777" s="37"/>
      <c r="C1777" s="37"/>
      <c r="D1777" s="37"/>
      <c r="E1777" s="37"/>
      <c r="F1777" s="37"/>
      <c r="G1777" s="37"/>
      <c r="H1777" s="37"/>
      <c r="I1777" s="37"/>
      <c r="J1777" s="37"/>
    </row>
    <row r="1778" spans="1:10" x14ac:dyDescent="0.3">
      <c r="A1778" s="130"/>
      <c r="B1778" s="37"/>
      <c r="C1778" s="37"/>
      <c r="D1778" s="37"/>
      <c r="E1778" s="37"/>
      <c r="F1778" s="37"/>
      <c r="G1778" s="37"/>
      <c r="H1778" s="37"/>
      <c r="I1778" s="37"/>
      <c r="J1778" s="37"/>
    </row>
    <row r="1779" spans="1:10" x14ac:dyDescent="0.3">
      <c r="A1779" s="130"/>
      <c r="B1779" s="37"/>
      <c r="C1779" s="37"/>
      <c r="D1779" s="37"/>
      <c r="E1779" s="37"/>
      <c r="F1779" s="37"/>
      <c r="G1779" s="37"/>
      <c r="H1779" s="37"/>
      <c r="I1779" s="37"/>
      <c r="J1779" s="37"/>
    </row>
    <row r="1780" spans="1:10" x14ac:dyDescent="0.3">
      <c r="A1780" s="130"/>
      <c r="B1780" s="37"/>
      <c r="C1780" s="37"/>
      <c r="D1780" s="37"/>
      <c r="E1780" s="37"/>
      <c r="F1780" s="37"/>
      <c r="G1780" s="37"/>
      <c r="H1780" s="37"/>
      <c r="I1780" s="37"/>
      <c r="J1780" s="37"/>
    </row>
    <row r="1781" spans="1:10" x14ac:dyDescent="0.3">
      <c r="A1781" s="130"/>
      <c r="B1781" s="37"/>
      <c r="C1781" s="37"/>
      <c r="D1781" s="37"/>
      <c r="E1781" s="37"/>
      <c r="F1781" s="37"/>
      <c r="G1781" s="37"/>
      <c r="H1781" s="37"/>
      <c r="I1781" s="37"/>
      <c r="J1781" s="37"/>
    </row>
    <row r="1782" spans="1:10" x14ac:dyDescent="0.3">
      <c r="A1782" s="130"/>
      <c r="B1782" s="37"/>
      <c r="C1782" s="37"/>
      <c r="D1782" s="37"/>
      <c r="E1782" s="37"/>
      <c r="F1782" s="37"/>
      <c r="G1782" s="37"/>
      <c r="H1782" s="37"/>
      <c r="I1782" s="37"/>
      <c r="J1782" s="37"/>
    </row>
    <row r="1783" spans="1:10" x14ac:dyDescent="0.3">
      <c r="A1783" s="130"/>
      <c r="B1783" s="37"/>
      <c r="C1783" s="37"/>
      <c r="D1783" s="37"/>
      <c r="E1783" s="37"/>
      <c r="F1783" s="37"/>
      <c r="G1783" s="37"/>
      <c r="H1783" s="37"/>
      <c r="I1783" s="37"/>
      <c r="J1783" s="37"/>
    </row>
    <row r="1784" spans="1:10" x14ac:dyDescent="0.3">
      <c r="A1784" s="130"/>
      <c r="B1784" s="37"/>
      <c r="C1784" s="37"/>
      <c r="D1784" s="37"/>
      <c r="E1784" s="37"/>
      <c r="F1784" s="37"/>
      <c r="G1784" s="37"/>
      <c r="H1784" s="37"/>
      <c r="I1784" s="37"/>
      <c r="J1784" s="37"/>
    </row>
    <row r="1785" spans="1:10" x14ac:dyDescent="0.3">
      <c r="A1785" s="130"/>
      <c r="B1785" s="37"/>
      <c r="C1785" s="37"/>
      <c r="D1785" s="37"/>
      <c r="E1785" s="37"/>
      <c r="F1785" s="37"/>
      <c r="G1785" s="37"/>
      <c r="H1785" s="37"/>
      <c r="I1785" s="37"/>
      <c r="J1785" s="37"/>
    </row>
    <row r="1786" spans="1:10" x14ac:dyDescent="0.3">
      <c r="A1786" s="130"/>
      <c r="B1786" s="37"/>
      <c r="C1786" s="37"/>
      <c r="D1786" s="37"/>
      <c r="E1786" s="37"/>
      <c r="F1786" s="37"/>
      <c r="G1786" s="37"/>
      <c r="H1786" s="37"/>
      <c r="I1786" s="37"/>
      <c r="J1786" s="37"/>
    </row>
    <row r="1787" spans="1:10" x14ac:dyDescent="0.3">
      <c r="A1787" s="130"/>
      <c r="B1787" s="37"/>
      <c r="C1787" s="37"/>
      <c r="D1787" s="37"/>
      <c r="E1787" s="37"/>
      <c r="F1787" s="37"/>
      <c r="G1787" s="37"/>
      <c r="H1787" s="37"/>
      <c r="I1787" s="37"/>
      <c r="J1787" s="37"/>
    </row>
    <row r="1788" spans="1:10" x14ac:dyDescent="0.3">
      <c r="A1788" s="130"/>
      <c r="B1788" s="37"/>
      <c r="C1788" s="37"/>
      <c r="D1788" s="37"/>
      <c r="E1788" s="37"/>
      <c r="F1788" s="37"/>
      <c r="G1788" s="37"/>
      <c r="H1788" s="37"/>
      <c r="I1788" s="37"/>
      <c r="J1788" s="37"/>
    </row>
    <row r="1789" spans="1:10" x14ac:dyDescent="0.3">
      <c r="A1789" s="130"/>
      <c r="B1789" s="37"/>
      <c r="C1789" s="37"/>
      <c r="D1789" s="37"/>
      <c r="E1789" s="37"/>
      <c r="F1789" s="37"/>
      <c r="G1789" s="37"/>
      <c r="H1789" s="37"/>
      <c r="I1789" s="37"/>
      <c r="J1789" s="37"/>
    </row>
    <row r="1790" spans="1:10" x14ac:dyDescent="0.3">
      <c r="A1790" s="130"/>
      <c r="B1790" s="37"/>
      <c r="C1790" s="37"/>
      <c r="D1790" s="37"/>
      <c r="E1790" s="37"/>
      <c r="F1790" s="37"/>
      <c r="G1790" s="37"/>
      <c r="H1790" s="37"/>
      <c r="I1790" s="37"/>
      <c r="J1790" s="37"/>
    </row>
    <row r="1791" spans="1:10" x14ac:dyDescent="0.3">
      <c r="A1791" s="130"/>
      <c r="B1791" s="37"/>
      <c r="C1791" s="37"/>
      <c r="D1791" s="37"/>
      <c r="E1791" s="37"/>
      <c r="F1791" s="37"/>
      <c r="G1791" s="37"/>
      <c r="H1791" s="37"/>
      <c r="I1791" s="37"/>
      <c r="J1791" s="37"/>
    </row>
    <row r="1792" spans="1:10" x14ac:dyDescent="0.3">
      <c r="A1792" s="130"/>
      <c r="B1792" s="37"/>
      <c r="C1792" s="37"/>
      <c r="D1792" s="37"/>
      <c r="E1792" s="37"/>
      <c r="F1792" s="37"/>
      <c r="G1792" s="37"/>
      <c r="H1792" s="37"/>
      <c r="I1792" s="37"/>
      <c r="J1792" s="37"/>
    </row>
    <row r="1793" spans="1:10" x14ac:dyDescent="0.3">
      <c r="A1793" s="130"/>
      <c r="B1793" s="37"/>
      <c r="C1793" s="37"/>
      <c r="D1793" s="37"/>
      <c r="E1793" s="37"/>
      <c r="F1793" s="37"/>
      <c r="G1793" s="37"/>
      <c r="H1793" s="37"/>
      <c r="I1793" s="37"/>
      <c r="J1793" s="37"/>
    </row>
    <row r="1794" spans="1:10" x14ac:dyDescent="0.3">
      <c r="A1794" s="130"/>
      <c r="B1794" s="37"/>
      <c r="C1794" s="37"/>
      <c r="D1794" s="37"/>
      <c r="E1794" s="37"/>
      <c r="F1794" s="37"/>
      <c r="G1794" s="37"/>
      <c r="H1794" s="37"/>
      <c r="I1794" s="37"/>
      <c r="J1794" s="37"/>
    </row>
    <row r="1795" spans="1:10" x14ac:dyDescent="0.3">
      <c r="A1795" s="130"/>
      <c r="B1795" s="37"/>
      <c r="C1795" s="37"/>
      <c r="D1795" s="37"/>
      <c r="E1795" s="37"/>
      <c r="F1795" s="37"/>
      <c r="G1795" s="37"/>
      <c r="H1795" s="37"/>
      <c r="I1795" s="37"/>
      <c r="J1795" s="37"/>
    </row>
    <row r="1796" spans="1:10" x14ac:dyDescent="0.3">
      <c r="A1796" s="130"/>
      <c r="B1796" s="37"/>
      <c r="C1796" s="37"/>
      <c r="D1796" s="37"/>
      <c r="E1796" s="37"/>
      <c r="F1796" s="37"/>
      <c r="G1796" s="37"/>
      <c r="H1796" s="37"/>
      <c r="I1796" s="37"/>
      <c r="J1796" s="37"/>
    </row>
    <row r="1797" spans="1:10" x14ac:dyDescent="0.3">
      <c r="A1797" s="130"/>
      <c r="B1797" s="37"/>
      <c r="C1797" s="37"/>
      <c r="D1797" s="37"/>
      <c r="E1797" s="37"/>
      <c r="F1797" s="37"/>
      <c r="G1797" s="37"/>
      <c r="H1797" s="37"/>
      <c r="I1797" s="37"/>
      <c r="J1797" s="37"/>
    </row>
    <row r="1798" spans="1:10" x14ac:dyDescent="0.3">
      <c r="A1798" s="130"/>
      <c r="B1798" s="37"/>
      <c r="C1798" s="37"/>
      <c r="D1798" s="37"/>
      <c r="E1798" s="37"/>
      <c r="F1798" s="37"/>
      <c r="G1798" s="37"/>
      <c r="H1798" s="37"/>
      <c r="I1798" s="37"/>
      <c r="J1798" s="37"/>
    </row>
    <row r="1799" spans="1:10" x14ac:dyDescent="0.3">
      <c r="A1799" s="130"/>
      <c r="B1799" s="37"/>
      <c r="C1799" s="37"/>
      <c r="D1799" s="37"/>
      <c r="E1799" s="37"/>
      <c r="F1799" s="37"/>
      <c r="G1799" s="37"/>
      <c r="H1799" s="37"/>
      <c r="I1799" s="37"/>
      <c r="J1799" s="37"/>
    </row>
    <row r="1800" spans="1:10" x14ac:dyDescent="0.3">
      <c r="A1800" s="130"/>
      <c r="B1800" s="37"/>
      <c r="C1800" s="37"/>
      <c r="D1800" s="37"/>
      <c r="E1800" s="37"/>
      <c r="F1800" s="37"/>
      <c r="G1800" s="37"/>
      <c r="H1800" s="37"/>
      <c r="I1800" s="37"/>
      <c r="J1800" s="37"/>
    </row>
    <row r="1801" spans="1:10" x14ac:dyDescent="0.3">
      <c r="A1801" s="130"/>
      <c r="B1801" s="37"/>
      <c r="C1801" s="37"/>
      <c r="D1801" s="37"/>
      <c r="E1801" s="37"/>
      <c r="F1801" s="37"/>
      <c r="G1801" s="37"/>
      <c r="H1801" s="37"/>
      <c r="I1801" s="37"/>
      <c r="J1801" s="37"/>
    </row>
    <row r="1802" spans="1:10" x14ac:dyDescent="0.3">
      <c r="A1802" s="130"/>
      <c r="B1802" s="37"/>
      <c r="C1802" s="37"/>
      <c r="D1802" s="37"/>
      <c r="E1802" s="37"/>
      <c r="F1802" s="37"/>
      <c r="G1802" s="37"/>
      <c r="H1802" s="37"/>
      <c r="I1802" s="37"/>
      <c r="J1802" s="37"/>
    </row>
    <row r="1803" spans="1:10" x14ac:dyDescent="0.3">
      <c r="A1803" s="130"/>
      <c r="B1803" s="37"/>
      <c r="C1803" s="37"/>
      <c r="D1803" s="37"/>
      <c r="E1803" s="37"/>
      <c r="F1803" s="37"/>
      <c r="G1803" s="37"/>
      <c r="H1803" s="37"/>
      <c r="I1803" s="37"/>
      <c r="J1803" s="37"/>
    </row>
    <row r="1804" spans="1:10" x14ac:dyDescent="0.3">
      <c r="A1804" s="130"/>
      <c r="B1804" s="37"/>
      <c r="C1804" s="37"/>
      <c r="D1804" s="37"/>
      <c r="E1804" s="37"/>
      <c r="F1804" s="37"/>
      <c r="G1804" s="37"/>
      <c r="H1804" s="37"/>
      <c r="I1804" s="37"/>
      <c r="J1804" s="37"/>
    </row>
    <row r="1805" spans="1:10" x14ac:dyDescent="0.3">
      <c r="A1805" s="130"/>
      <c r="B1805" s="37"/>
      <c r="C1805" s="37"/>
      <c r="D1805" s="37"/>
      <c r="E1805" s="37"/>
      <c r="F1805" s="37"/>
      <c r="G1805" s="37"/>
      <c r="H1805" s="37"/>
      <c r="I1805" s="37"/>
      <c r="J1805" s="37"/>
    </row>
    <row r="1806" spans="1:10" x14ac:dyDescent="0.3">
      <c r="A1806" s="130"/>
      <c r="B1806" s="37"/>
      <c r="C1806" s="37"/>
      <c r="D1806" s="37"/>
      <c r="E1806" s="37"/>
      <c r="F1806" s="37"/>
      <c r="G1806" s="37"/>
      <c r="H1806" s="37"/>
      <c r="I1806" s="37"/>
      <c r="J1806" s="37"/>
    </row>
    <row r="1807" spans="1:10" x14ac:dyDescent="0.3">
      <c r="A1807" s="130"/>
      <c r="B1807" s="37"/>
      <c r="C1807" s="37"/>
      <c r="D1807" s="37"/>
      <c r="E1807" s="37"/>
      <c r="F1807" s="37"/>
      <c r="G1807" s="37"/>
      <c r="H1807" s="37"/>
      <c r="I1807" s="37"/>
      <c r="J1807" s="37"/>
    </row>
    <row r="1808" spans="1:10" x14ac:dyDescent="0.3">
      <c r="A1808" s="130"/>
      <c r="B1808" s="37"/>
      <c r="C1808" s="37"/>
      <c r="D1808" s="37"/>
      <c r="E1808" s="37"/>
      <c r="F1808" s="37"/>
      <c r="G1808" s="37"/>
      <c r="H1808" s="37"/>
      <c r="I1808" s="37"/>
      <c r="J1808" s="37"/>
    </row>
    <row r="1809" spans="1:10" x14ac:dyDescent="0.3">
      <c r="A1809" s="130"/>
      <c r="B1809" s="37"/>
      <c r="C1809" s="37"/>
      <c r="D1809" s="37"/>
      <c r="E1809" s="37"/>
      <c r="F1809" s="37"/>
      <c r="G1809" s="37"/>
      <c r="H1809" s="37"/>
      <c r="I1809" s="37"/>
      <c r="J1809" s="37"/>
    </row>
    <row r="1810" spans="1:10" x14ac:dyDescent="0.3">
      <c r="A1810" s="130"/>
      <c r="B1810" s="37"/>
      <c r="C1810" s="37"/>
      <c r="D1810" s="37"/>
      <c r="E1810" s="37"/>
      <c r="F1810" s="37"/>
      <c r="G1810" s="37"/>
      <c r="H1810" s="37"/>
      <c r="I1810" s="37"/>
      <c r="J1810" s="37"/>
    </row>
    <row r="1811" spans="1:10" x14ac:dyDescent="0.3">
      <c r="A1811" s="130"/>
      <c r="B1811" s="37"/>
      <c r="C1811" s="37"/>
      <c r="D1811" s="37"/>
      <c r="E1811" s="37"/>
      <c r="F1811" s="37"/>
      <c r="G1811" s="37"/>
      <c r="H1811" s="37"/>
      <c r="I1811" s="37"/>
      <c r="J1811" s="37"/>
    </row>
    <row r="1812" spans="1:10" x14ac:dyDescent="0.3">
      <c r="A1812" s="130"/>
      <c r="B1812" s="37"/>
      <c r="C1812" s="37"/>
      <c r="D1812" s="37"/>
      <c r="E1812" s="37"/>
      <c r="F1812" s="37"/>
      <c r="G1812" s="37"/>
      <c r="H1812" s="37"/>
      <c r="I1812" s="37"/>
      <c r="J1812" s="37"/>
    </row>
    <row r="1813" spans="1:10" x14ac:dyDescent="0.3">
      <c r="A1813" s="130"/>
      <c r="B1813" s="37"/>
      <c r="C1813" s="37"/>
      <c r="D1813" s="37"/>
      <c r="E1813" s="37"/>
      <c r="F1813" s="37"/>
      <c r="G1813" s="37"/>
      <c r="H1813" s="37"/>
      <c r="I1813" s="37"/>
      <c r="J1813" s="37"/>
    </row>
    <row r="1814" spans="1:10" x14ac:dyDescent="0.3">
      <c r="A1814" s="130"/>
      <c r="B1814" s="37"/>
      <c r="C1814" s="37"/>
      <c r="D1814" s="37"/>
      <c r="E1814" s="37"/>
      <c r="F1814" s="37"/>
      <c r="G1814" s="37"/>
      <c r="H1814" s="37"/>
      <c r="I1814" s="37"/>
      <c r="J1814" s="37"/>
    </row>
    <row r="1815" spans="1:10" x14ac:dyDescent="0.3">
      <c r="A1815" s="130"/>
      <c r="B1815" s="37"/>
      <c r="C1815" s="37"/>
      <c r="D1815" s="37"/>
      <c r="E1815" s="37"/>
      <c r="F1815" s="37"/>
      <c r="G1815" s="37"/>
      <c r="H1815" s="37"/>
      <c r="I1815" s="37"/>
      <c r="J1815" s="37"/>
    </row>
    <row r="1816" spans="1:10" x14ac:dyDescent="0.3">
      <c r="A1816" s="130"/>
      <c r="B1816" s="37"/>
      <c r="C1816" s="37"/>
      <c r="D1816" s="37"/>
      <c r="E1816" s="37"/>
      <c r="F1816" s="37"/>
      <c r="G1816" s="37"/>
      <c r="H1816" s="37"/>
      <c r="I1816" s="37"/>
      <c r="J1816" s="37"/>
    </row>
    <row r="1817" spans="1:10" x14ac:dyDescent="0.3">
      <c r="A1817" s="130"/>
      <c r="B1817" s="37"/>
      <c r="C1817" s="37"/>
      <c r="D1817" s="37"/>
      <c r="E1817" s="37"/>
      <c r="F1817" s="37"/>
      <c r="G1817" s="37"/>
      <c r="H1817" s="37"/>
      <c r="I1817" s="37"/>
      <c r="J1817" s="37"/>
    </row>
    <row r="1818" spans="1:10" x14ac:dyDescent="0.3">
      <c r="A1818" s="130"/>
      <c r="B1818" s="37"/>
      <c r="C1818" s="37"/>
      <c r="D1818" s="37"/>
      <c r="E1818" s="37"/>
      <c r="F1818" s="37"/>
      <c r="G1818" s="37"/>
      <c r="H1818" s="37"/>
      <c r="I1818" s="37"/>
      <c r="J1818" s="37"/>
    </row>
    <row r="1819" spans="1:10" x14ac:dyDescent="0.3">
      <c r="A1819" s="130"/>
      <c r="B1819" s="37"/>
      <c r="C1819" s="37"/>
      <c r="D1819" s="37"/>
      <c r="E1819" s="37"/>
      <c r="F1819" s="37"/>
      <c r="G1819" s="37"/>
      <c r="H1819" s="37"/>
      <c r="I1819" s="37"/>
      <c r="J1819" s="37"/>
    </row>
    <row r="1820" spans="1:10" x14ac:dyDescent="0.3">
      <c r="A1820" s="130"/>
      <c r="B1820" s="37"/>
      <c r="C1820" s="37"/>
      <c r="D1820" s="37"/>
      <c r="E1820" s="37"/>
      <c r="F1820" s="37"/>
      <c r="G1820" s="37"/>
      <c r="H1820" s="37"/>
      <c r="I1820" s="37"/>
      <c r="J1820" s="37"/>
    </row>
    <row r="1821" spans="1:10" x14ac:dyDescent="0.3">
      <c r="A1821" s="130"/>
      <c r="B1821" s="37"/>
      <c r="C1821" s="37"/>
      <c r="D1821" s="37"/>
      <c r="E1821" s="37"/>
      <c r="F1821" s="37"/>
      <c r="G1821" s="37"/>
      <c r="H1821" s="37"/>
      <c r="I1821" s="37"/>
      <c r="J1821" s="37"/>
    </row>
    <row r="1822" spans="1:10" x14ac:dyDescent="0.3">
      <c r="A1822" s="130"/>
      <c r="B1822" s="37"/>
      <c r="C1822" s="37"/>
      <c r="D1822" s="37"/>
      <c r="E1822" s="37"/>
      <c r="F1822" s="37"/>
      <c r="G1822" s="37"/>
      <c r="H1822" s="37"/>
      <c r="I1822" s="37"/>
      <c r="J1822" s="37"/>
    </row>
    <row r="1823" spans="1:10" x14ac:dyDescent="0.3">
      <c r="A1823" s="130"/>
      <c r="B1823" s="37"/>
      <c r="C1823" s="37"/>
      <c r="D1823" s="37"/>
      <c r="E1823" s="37"/>
      <c r="F1823" s="37"/>
      <c r="G1823" s="37"/>
      <c r="H1823" s="37"/>
      <c r="I1823" s="37"/>
      <c r="J1823" s="37"/>
    </row>
    <row r="1824" spans="1:10" x14ac:dyDescent="0.3">
      <c r="A1824" s="130"/>
      <c r="B1824" s="37"/>
      <c r="C1824" s="37"/>
      <c r="D1824" s="37"/>
      <c r="E1824" s="37"/>
      <c r="F1824" s="37"/>
      <c r="G1824" s="37"/>
      <c r="H1824" s="37"/>
      <c r="I1824" s="37"/>
      <c r="J1824" s="37"/>
    </row>
    <row r="1825" spans="1:10" x14ac:dyDescent="0.3">
      <c r="A1825" s="130"/>
      <c r="B1825" s="37"/>
      <c r="C1825" s="37"/>
      <c r="D1825" s="37"/>
      <c r="E1825" s="37"/>
      <c r="F1825" s="37"/>
      <c r="G1825" s="37"/>
      <c r="H1825" s="37"/>
      <c r="I1825" s="37"/>
      <c r="J1825" s="37"/>
    </row>
    <row r="1826" spans="1:10" x14ac:dyDescent="0.3">
      <c r="A1826" s="130"/>
      <c r="B1826" s="37"/>
      <c r="C1826" s="37"/>
      <c r="D1826" s="37"/>
      <c r="E1826" s="37"/>
      <c r="F1826" s="37"/>
      <c r="G1826" s="37"/>
      <c r="H1826" s="37"/>
      <c r="I1826" s="37"/>
      <c r="J1826" s="37"/>
    </row>
    <row r="1827" spans="1:10" x14ac:dyDescent="0.3">
      <c r="A1827" s="130"/>
      <c r="B1827" s="37"/>
      <c r="C1827" s="37"/>
      <c r="D1827" s="37"/>
      <c r="E1827" s="37"/>
      <c r="F1827" s="37"/>
      <c r="G1827" s="37"/>
      <c r="H1827" s="37"/>
      <c r="I1827" s="37"/>
      <c r="J1827" s="37"/>
    </row>
    <row r="1828" spans="1:10" x14ac:dyDescent="0.3">
      <c r="A1828" s="130"/>
      <c r="B1828" s="37"/>
      <c r="C1828" s="37"/>
      <c r="D1828" s="37"/>
      <c r="E1828" s="37"/>
      <c r="F1828" s="37"/>
      <c r="G1828" s="37"/>
      <c r="H1828" s="37"/>
      <c r="I1828" s="37"/>
      <c r="J1828" s="37"/>
    </row>
    <row r="1829" spans="1:10" x14ac:dyDescent="0.3">
      <c r="A1829" s="130"/>
      <c r="B1829" s="37"/>
      <c r="C1829" s="37"/>
      <c r="D1829" s="37"/>
      <c r="E1829" s="37"/>
      <c r="F1829" s="37"/>
      <c r="G1829" s="37"/>
      <c r="H1829" s="37"/>
      <c r="I1829" s="37"/>
      <c r="J1829" s="37"/>
    </row>
    <row r="1830" spans="1:10" x14ac:dyDescent="0.3">
      <c r="A1830" s="130"/>
      <c r="B1830" s="37"/>
      <c r="C1830" s="37"/>
      <c r="D1830" s="37"/>
      <c r="E1830" s="37"/>
      <c r="F1830" s="37"/>
      <c r="G1830" s="37"/>
      <c r="H1830" s="37"/>
      <c r="I1830" s="37"/>
      <c r="J1830" s="37"/>
    </row>
    <row r="1831" spans="1:10" x14ac:dyDescent="0.3">
      <c r="A1831" s="130"/>
      <c r="B1831" s="37"/>
      <c r="C1831" s="37"/>
      <c r="D1831" s="37"/>
      <c r="E1831" s="37"/>
      <c r="F1831" s="37"/>
      <c r="G1831" s="37"/>
      <c r="H1831" s="37"/>
      <c r="I1831" s="37"/>
      <c r="J1831" s="37"/>
    </row>
    <row r="1832" spans="1:10" x14ac:dyDescent="0.3">
      <c r="A1832" s="130"/>
      <c r="B1832" s="37"/>
      <c r="C1832" s="37"/>
      <c r="D1832" s="37"/>
      <c r="E1832" s="37"/>
      <c r="F1832" s="37"/>
      <c r="G1832" s="37"/>
      <c r="H1832" s="37"/>
      <c r="I1832" s="37"/>
      <c r="J1832" s="37"/>
    </row>
    <row r="1833" spans="1:10" x14ac:dyDescent="0.3">
      <c r="A1833" s="130"/>
      <c r="B1833" s="37"/>
      <c r="C1833" s="37"/>
      <c r="D1833" s="37"/>
      <c r="E1833" s="37"/>
      <c r="F1833" s="37"/>
      <c r="G1833" s="37"/>
      <c r="H1833" s="37"/>
      <c r="I1833" s="37"/>
      <c r="J1833" s="37"/>
    </row>
    <row r="1834" spans="1:10" x14ac:dyDescent="0.3">
      <c r="A1834" s="130"/>
      <c r="B1834" s="37"/>
      <c r="C1834" s="37"/>
      <c r="D1834" s="37"/>
      <c r="E1834" s="37"/>
      <c r="F1834" s="37"/>
      <c r="G1834" s="37"/>
      <c r="H1834" s="37"/>
      <c r="I1834" s="37"/>
      <c r="J1834" s="37"/>
    </row>
    <row r="1835" spans="1:10" x14ac:dyDescent="0.3">
      <c r="A1835" s="130"/>
      <c r="B1835" s="37"/>
      <c r="C1835" s="37"/>
      <c r="D1835" s="37"/>
      <c r="E1835" s="37"/>
      <c r="F1835" s="37"/>
      <c r="G1835" s="37"/>
      <c r="H1835" s="37"/>
      <c r="I1835" s="37"/>
      <c r="J1835" s="37"/>
    </row>
    <row r="1836" spans="1:10" x14ac:dyDescent="0.3">
      <c r="A1836" s="130"/>
      <c r="B1836" s="37"/>
      <c r="C1836" s="37"/>
      <c r="D1836" s="37"/>
      <c r="E1836" s="37"/>
      <c r="F1836" s="37"/>
      <c r="G1836" s="37"/>
      <c r="H1836" s="37"/>
      <c r="I1836" s="37"/>
      <c r="J1836" s="37"/>
    </row>
    <row r="1837" spans="1:10" x14ac:dyDescent="0.3">
      <c r="A1837" s="130"/>
      <c r="B1837" s="37"/>
      <c r="C1837" s="37"/>
      <c r="D1837" s="37"/>
      <c r="E1837" s="37"/>
      <c r="F1837" s="37"/>
      <c r="G1837" s="37"/>
      <c r="H1837" s="37"/>
      <c r="I1837" s="37"/>
      <c r="J1837" s="37"/>
    </row>
    <row r="1838" spans="1:10" x14ac:dyDescent="0.3">
      <c r="A1838" s="130"/>
      <c r="B1838" s="37"/>
      <c r="C1838" s="37"/>
      <c r="D1838" s="37"/>
      <c r="E1838" s="37"/>
      <c r="F1838" s="37"/>
      <c r="G1838" s="37"/>
      <c r="H1838" s="37"/>
      <c r="I1838" s="37"/>
      <c r="J1838" s="37"/>
    </row>
    <row r="1839" spans="1:10" x14ac:dyDescent="0.3">
      <c r="A1839" s="130"/>
      <c r="B1839" s="37"/>
      <c r="C1839" s="37"/>
      <c r="D1839" s="37"/>
      <c r="E1839" s="37"/>
      <c r="F1839" s="37"/>
      <c r="G1839" s="37"/>
      <c r="H1839" s="37"/>
      <c r="I1839" s="37"/>
      <c r="J1839" s="37"/>
    </row>
    <row r="1840" spans="1:10" x14ac:dyDescent="0.3">
      <c r="A1840" s="130"/>
      <c r="B1840" s="37"/>
      <c r="C1840" s="37"/>
      <c r="D1840" s="37"/>
      <c r="E1840" s="37"/>
      <c r="F1840" s="37"/>
      <c r="G1840" s="37"/>
      <c r="H1840" s="37"/>
      <c r="I1840" s="37"/>
      <c r="J1840" s="37"/>
    </row>
    <row r="1841" spans="1:10" x14ac:dyDescent="0.3">
      <c r="A1841" s="130"/>
      <c r="B1841" s="37"/>
      <c r="C1841" s="37"/>
      <c r="D1841" s="37"/>
      <c r="E1841" s="37"/>
      <c r="F1841" s="37"/>
      <c r="G1841" s="37"/>
      <c r="H1841" s="37"/>
      <c r="I1841" s="37"/>
      <c r="J1841" s="37"/>
    </row>
    <row r="1842" spans="1:10" x14ac:dyDescent="0.3">
      <c r="A1842" s="130"/>
      <c r="B1842" s="37"/>
      <c r="C1842" s="37"/>
      <c r="D1842" s="37"/>
      <c r="E1842" s="37"/>
      <c r="F1842" s="37"/>
      <c r="G1842" s="37"/>
      <c r="H1842" s="37"/>
      <c r="I1842" s="37"/>
      <c r="J1842" s="37"/>
    </row>
    <row r="1843" spans="1:10" x14ac:dyDescent="0.3">
      <c r="A1843" s="130"/>
      <c r="B1843" s="37"/>
      <c r="C1843" s="37"/>
      <c r="D1843" s="37"/>
      <c r="E1843" s="37"/>
      <c r="F1843" s="37"/>
      <c r="G1843" s="37"/>
      <c r="H1843" s="37"/>
      <c r="I1843" s="37"/>
      <c r="J1843" s="37"/>
    </row>
    <row r="1844" spans="1:10" x14ac:dyDescent="0.3">
      <c r="A1844" s="130"/>
      <c r="B1844" s="37"/>
      <c r="C1844" s="37"/>
      <c r="D1844" s="37"/>
      <c r="E1844" s="37"/>
      <c r="F1844" s="37"/>
      <c r="G1844" s="37"/>
      <c r="H1844" s="37"/>
      <c r="I1844" s="37"/>
      <c r="J1844" s="37"/>
    </row>
    <row r="1845" spans="1:10" x14ac:dyDescent="0.3">
      <c r="A1845" s="130"/>
      <c r="B1845" s="37"/>
      <c r="C1845" s="37"/>
      <c r="D1845" s="37"/>
      <c r="E1845" s="37"/>
      <c r="F1845" s="37"/>
      <c r="G1845" s="37"/>
      <c r="H1845" s="37"/>
      <c r="I1845" s="37"/>
      <c r="J1845" s="37"/>
    </row>
    <row r="1846" spans="1:10" x14ac:dyDescent="0.3">
      <c r="A1846" s="130"/>
      <c r="B1846" s="37"/>
      <c r="C1846" s="37"/>
      <c r="D1846" s="37"/>
      <c r="E1846" s="37"/>
      <c r="F1846" s="37"/>
      <c r="G1846" s="37"/>
      <c r="H1846" s="37"/>
      <c r="I1846" s="37"/>
      <c r="J1846" s="37"/>
    </row>
    <row r="1847" spans="1:10" x14ac:dyDescent="0.3">
      <c r="A1847" s="130"/>
      <c r="B1847" s="37"/>
      <c r="C1847" s="37"/>
      <c r="D1847" s="37"/>
      <c r="E1847" s="37"/>
      <c r="F1847" s="37"/>
      <c r="G1847" s="37"/>
      <c r="H1847" s="37"/>
      <c r="I1847" s="37"/>
      <c r="J1847" s="37"/>
    </row>
    <row r="1848" spans="1:10" x14ac:dyDescent="0.3">
      <c r="A1848" s="130"/>
      <c r="B1848" s="37"/>
      <c r="C1848" s="37"/>
      <c r="D1848" s="37"/>
      <c r="E1848" s="37"/>
      <c r="F1848" s="37"/>
      <c r="G1848" s="37"/>
      <c r="H1848" s="37"/>
      <c r="I1848" s="37"/>
      <c r="J1848" s="37"/>
    </row>
    <row r="1849" spans="1:10" x14ac:dyDescent="0.3">
      <c r="A1849" s="130"/>
      <c r="B1849" s="37"/>
      <c r="C1849" s="37"/>
      <c r="D1849" s="37"/>
      <c r="E1849" s="37"/>
      <c r="F1849" s="37"/>
      <c r="G1849" s="37"/>
      <c r="H1849" s="37"/>
      <c r="I1849" s="37"/>
      <c r="J1849" s="37"/>
    </row>
    <row r="1850" spans="1:10" x14ac:dyDescent="0.3">
      <c r="A1850" s="130"/>
      <c r="B1850" s="37"/>
      <c r="C1850" s="37"/>
      <c r="D1850" s="37"/>
      <c r="E1850" s="37"/>
      <c r="F1850" s="37"/>
      <c r="G1850" s="37"/>
      <c r="H1850" s="37"/>
      <c r="I1850" s="37"/>
      <c r="J1850" s="37"/>
    </row>
    <row r="1851" spans="1:10" x14ac:dyDescent="0.3">
      <c r="A1851" s="130"/>
      <c r="B1851" s="37"/>
      <c r="C1851" s="37"/>
      <c r="D1851" s="37"/>
      <c r="E1851" s="37"/>
      <c r="F1851" s="37"/>
      <c r="G1851" s="37"/>
      <c r="H1851" s="37"/>
      <c r="I1851" s="37"/>
      <c r="J1851" s="37"/>
    </row>
    <row r="1852" spans="1:10" x14ac:dyDescent="0.3">
      <c r="A1852" s="130"/>
      <c r="B1852" s="37"/>
      <c r="C1852" s="37"/>
      <c r="D1852" s="37"/>
      <c r="E1852" s="37"/>
      <c r="F1852" s="37"/>
      <c r="G1852" s="37"/>
      <c r="H1852" s="37"/>
      <c r="I1852" s="37"/>
      <c r="J1852" s="37"/>
    </row>
    <row r="1853" spans="1:10" x14ac:dyDescent="0.3">
      <c r="A1853" s="130"/>
      <c r="B1853" s="37"/>
      <c r="C1853" s="37"/>
      <c r="D1853" s="37"/>
      <c r="E1853" s="37"/>
      <c r="F1853" s="37"/>
      <c r="G1853" s="37"/>
      <c r="H1853" s="37"/>
      <c r="I1853" s="37"/>
      <c r="J1853" s="37"/>
    </row>
    <row r="1854" spans="1:10" x14ac:dyDescent="0.3">
      <c r="A1854" s="130"/>
      <c r="B1854" s="37"/>
      <c r="C1854" s="37"/>
      <c r="D1854" s="37"/>
      <c r="E1854" s="37"/>
      <c r="F1854" s="37"/>
      <c r="G1854" s="37"/>
      <c r="H1854" s="37"/>
      <c r="I1854" s="37"/>
      <c r="J1854" s="37"/>
    </row>
    <row r="1855" spans="1:10" x14ac:dyDescent="0.3">
      <c r="A1855" s="130"/>
      <c r="B1855" s="37"/>
      <c r="C1855" s="37"/>
      <c r="D1855" s="37"/>
      <c r="E1855" s="37"/>
      <c r="F1855" s="37"/>
      <c r="G1855" s="37"/>
      <c r="H1855" s="37"/>
      <c r="I1855" s="37"/>
      <c r="J1855" s="37"/>
    </row>
    <row r="1856" spans="1:10" x14ac:dyDescent="0.3">
      <c r="A1856" s="130"/>
      <c r="B1856" s="37"/>
      <c r="C1856" s="37"/>
      <c r="D1856" s="37"/>
      <c r="E1856" s="37"/>
      <c r="F1856" s="37"/>
      <c r="G1856" s="37"/>
      <c r="H1856" s="37"/>
      <c r="I1856" s="37"/>
      <c r="J1856" s="37"/>
    </row>
    <row r="1857" spans="1:10" x14ac:dyDescent="0.3">
      <c r="A1857" s="130"/>
      <c r="B1857" s="37"/>
      <c r="C1857" s="37"/>
      <c r="D1857" s="37"/>
      <c r="E1857" s="37"/>
      <c r="F1857" s="37"/>
      <c r="G1857" s="37"/>
      <c r="H1857" s="37"/>
      <c r="I1857" s="37"/>
      <c r="J1857" s="37"/>
    </row>
    <row r="1858" spans="1:10" x14ac:dyDescent="0.3">
      <c r="A1858" s="130"/>
      <c r="B1858" s="37"/>
      <c r="C1858" s="37"/>
      <c r="D1858" s="37"/>
      <c r="E1858" s="37"/>
      <c r="F1858" s="37"/>
      <c r="G1858" s="37"/>
      <c r="H1858" s="37"/>
      <c r="I1858" s="37"/>
      <c r="J1858" s="37"/>
    </row>
    <row r="1859" spans="1:10" x14ac:dyDescent="0.3">
      <c r="A1859" s="130"/>
      <c r="B1859" s="37"/>
      <c r="C1859" s="37"/>
      <c r="D1859" s="37"/>
      <c r="E1859" s="37"/>
      <c r="F1859" s="37"/>
      <c r="G1859" s="37"/>
      <c r="H1859" s="37"/>
      <c r="I1859" s="37"/>
      <c r="J1859" s="37"/>
    </row>
    <row r="1860" spans="1:10" x14ac:dyDescent="0.3">
      <c r="A1860" s="130"/>
      <c r="B1860" s="37"/>
      <c r="C1860" s="37"/>
      <c r="D1860" s="37"/>
      <c r="E1860" s="37"/>
      <c r="F1860" s="37"/>
      <c r="G1860" s="37"/>
      <c r="H1860" s="37"/>
      <c r="I1860" s="37"/>
      <c r="J1860" s="37"/>
    </row>
    <row r="1861" spans="1:10" x14ac:dyDescent="0.3">
      <c r="A1861" s="130"/>
      <c r="B1861" s="37"/>
      <c r="C1861" s="37"/>
      <c r="D1861" s="37"/>
      <c r="E1861" s="37"/>
      <c r="F1861" s="37"/>
      <c r="G1861" s="37"/>
      <c r="H1861" s="37"/>
      <c r="I1861" s="37"/>
      <c r="J1861" s="37"/>
    </row>
    <row r="1862" spans="1:10" x14ac:dyDescent="0.3">
      <c r="A1862" s="130"/>
      <c r="B1862" s="37"/>
      <c r="C1862" s="37"/>
      <c r="D1862" s="37"/>
      <c r="E1862" s="37"/>
      <c r="F1862" s="37"/>
      <c r="G1862" s="37"/>
      <c r="H1862" s="37"/>
      <c r="I1862" s="37"/>
      <c r="J1862" s="37"/>
    </row>
    <row r="1863" spans="1:10" x14ac:dyDescent="0.3">
      <c r="A1863" s="130"/>
      <c r="B1863" s="37"/>
      <c r="C1863" s="37"/>
      <c r="D1863" s="37"/>
      <c r="E1863" s="37"/>
      <c r="F1863" s="37"/>
      <c r="G1863" s="37"/>
      <c r="H1863" s="37"/>
      <c r="I1863" s="37"/>
      <c r="J1863" s="37"/>
    </row>
    <row r="1864" spans="1:10" x14ac:dyDescent="0.3">
      <c r="A1864" s="130"/>
      <c r="B1864" s="37"/>
      <c r="C1864" s="37"/>
      <c r="D1864" s="37"/>
      <c r="E1864" s="37"/>
      <c r="F1864" s="37"/>
      <c r="G1864" s="37"/>
      <c r="H1864" s="37"/>
      <c r="I1864" s="37"/>
      <c r="J1864" s="37"/>
    </row>
    <row r="1865" spans="1:10" x14ac:dyDescent="0.3">
      <c r="A1865" s="130"/>
      <c r="B1865" s="37"/>
      <c r="C1865" s="37"/>
      <c r="D1865" s="37"/>
      <c r="E1865" s="37"/>
      <c r="F1865" s="37"/>
      <c r="G1865" s="37"/>
      <c r="H1865" s="37"/>
      <c r="I1865" s="37"/>
      <c r="J1865" s="37"/>
    </row>
    <row r="1866" spans="1:10" x14ac:dyDescent="0.3">
      <c r="A1866" s="130"/>
      <c r="B1866" s="37"/>
      <c r="C1866" s="37"/>
      <c r="D1866" s="37"/>
      <c r="E1866" s="37"/>
      <c r="F1866" s="37"/>
      <c r="G1866" s="37"/>
      <c r="H1866" s="37"/>
      <c r="I1866" s="37"/>
      <c r="J1866" s="37"/>
    </row>
    <row r="1867" spans="1:10" x14ac:dyDescent="0.3">
      <c r="A1867" s="130"/>
      <c r="B1867" s="37"/>
      <c r="C1867" s="37"/>
      <c r="D1867" s="37"/>
      <c r="E1867" s="37"/>
      <c r="F1867" s="37"/>
      <c r="G1867" s="37"/>
      <c r="H1867" s="37"/>
      <c r="I1867" s="37"/>
      <c r="J1867" s="37"/>
    </row>
    <row r="1868" spans="1:10" x14ac:dyDescent="0.3">
      <c r="A1868" s="130"/>
      <c r="B1868" s="37"/>
      <c r="C1868" s="37"/>
      <c r="D1868" s="37"/>
      <c r="E1868" s="37"/>
      <c r="F1868" s="37"/>
      <c r="G1868" s="37"/>
      <c r="H1868" s="37"/>
      <c r="I1868" s="37"/>
      <c r="J1868" s="37"/>
    </row>
    <row r="1869" spans="1:10" x14ac:dyDescent="0.3">
      <c r="A1869" s="130"/>
      <c r="B1869" s="37"/>
      <c r="C1869" s="37"/>
      <c r="D1869" s="37"/>
      <c r="E1869" s="37"/>
      <c r="F1869" s="37"/>
      <c r="G1869" s="37"/>
      <c r="H1869" s="37"/>
      <c r="I1869" s="37"/>
      <c r="J1869" s="37"/>
    </row>
    <row r="1870" spans="1:10" x14ac:dyDescent="0.3">
      <c r="A1870" s="130"/>
      <c r="B1870" s="37"/>
      <c r="C1870" s="37"/>
      <c r="D1870" s="37"/>
      <c r="E1870" s="37"/>
      <c r="F1870" s="37"/>
      <c r="G1870" s="37"/>
      <c r="H1870" s="37"/>
      <c r="I1870" s="37"/>
      <c r="J1870" s="37"/>
    </row>
    <row r="1871" spans="1:10" x14ac:dyDescent="0.3">
      <c r="A1871" s="130"/>
      <c r="B1871" s="37"/>
      <c r="C1871" s="37"/>
      <c r="D1871" s="37"/>
      <c r="E1871" s="37"/>
      <c r="F1871" s="37"/>
      <c r="G1871" s="37"/>
      <c r="H1871" s="37"/>
      <c r="I1871" s="37"/>
      <c r="J1871" s="37"/>
    </row>
    <row r="1872" spans="1:10" x14ac:dyDescent="0.3">
      <c r="A1872" s="130"/>
      <c r="B1872" s="37"/>
      <c r="C1872" s="37"/>
      <c r="D1872" s="37"/>
      <c r="E1872" s="37"/>
      <c r="F1872" s="37"/>
      <c r="G1872" s="37"/>
      <c r="H1872" s="37"/>
      <c r="I1872" s="37"/>
      <c r="J1872" s="37"/>
    </row>
    <row r="1873" spans="1:10" x14ac:dyDescent="0.3">
      <c r="A1873" s="130"/>
      <c r="B1873" s="37"/>
      <c r="C1873" s="37"/>
      <c r="D1873" s="37"/>
      <c r="E1873" s="37"/>
      <c r="F1873" s="37"/>
      <c r="G1873" s="37"/>
      <c r="H1873" s="37"/>
      <c r="I1873" s="37"/>
      <c r="J1873" s="37"/>
    </row>
    <row r="1874" spans="1:10" x14ac:dyDescent="0.3">
      <c r="A1874" s="130"/>
      <c r="B1874" s="37"/>
      <c r="C1874" s="37"/>
      <c r="D1874" s="37"/>
      <c r="E1874" s="37"/>
      <c r="F1874" s="37"/>
      <c r="G1874" s="37"/>
      <c r="H1874" s="37"/>
      <c r="I1874" s="37"/>
      <c r="J1874" s="37"/>
    </row>
    <row r="1875" spans="1:10" x14ac:dyDescent="0.3">
      <c r="A1875" s="130"/>
      <c r="B1875" s="37"/>
      <c r="C1875" s="37"/>
      <c r="D1875" s="37"/>
      <c r="E1875" s="37"/>
      <c r="F1875" s="37"/>
      <c r="G1875" s="37"/>
      <c r="H1875" s="37"/>
      <c r="I1875" s="37"/>
      <c r="J1875" s="37"/>
    </row>
    <row r="1876" spans="1:10" x14ac:dyDescent="0.3">
      <c r="A1876" s="130"/>
      <c r="B1876" s="37"/>
      <c r="C1876" s="37"/>
      <c r="D1876" s="37"/>
      <c r="E1876" s="37"/>
      <c r="F1876" s="37"/>
      <c r="G1876" s="37"/>
      <c r="H1876" s="37"/>
      <c r="I1876" s="37"/>
      <c r="J1876" s="37"/>
    </row>
    <row r="1877" spans="1:10" x14ac:dyDescent="0.3">
      <c r="A1877" s="130"/>
      <c r="B1877" s="37"/>
      <c r="C1877" s="37"/>
      <c r="D1877" s="37"/>
      <c r="E1877" s="37"/>
      <c r="F1877" s="37"/>
      <c r="G1877" s="37"/>
      <c r="H1877" s="37"/>
      <c r="I1877" s="37"/>
      <c r="J1877" s="37"/>
    </row>
    <row r="1878" spans="1:10" x14ac:dyDescent="0.3">
      <c r="A1878" s="130"/>
      <c r="B1878" s="37"/>
      <c r="C1878" s="37"/>
      <c r="D1878" s="37"/>
      <c r="E1878" s="37"/>
      <c r="F1878" s="37"/>
      <c r="G1878" s="37"/>
      <c r="H1878" s="37"/>
      <c r="I1878" s="37"/>
      <c r="J1878" s="37"/>
    </row>
    <row r="1879" spans="1:10" x14ac:dyDescent="0.3">
      <c r="A1879" s="130"/>
      <c r="B1879" s="37"/>
      <c r="C1879" s="37"/>
      <c r="D1879" s="37"/>
      <c r="E1879" s="37"/>
      <c r="F1879" s="37"/>
      <c r="G1879" s="37"/>
      <c r="H1879" s="37"/>
      <c r="I1879" s="37"/>
      <c r="J1879" s="37"/>
    </row>
    <row r="1880" spans="1:10" x14ac:dyDescent="0.3">
      <c r="A1880" s="130"/>
      <c r="B1880" s="37"/>
      <c r="C1880" s="37"/>
      <c r="D1880" s="37"/>
      <c r="E1880" s="37"/>
      <c r="F1880" s="37"/>
      <c r="G1880" s="37"/>
      <c r="H1880" s="37"/>
      <c r="I1880" s="37"/>
      <c r="J1880" s="37"/>
    </row>
    <row r="1881" spans="1:10" x14ac:dyDescent="0.3">
      <c r="A1881" s="130"/>
      <c r="B1881" s="37"/>
      <c r="C1881" s="37"/>
      <c r="D1881" s="37"/>
      <c r="E1881" s="37"/>
      <c r="F1881" s="37"/>
      <c r="G1881" s="37"/>
      <c r="H1881" s="37"/>
      <c r="I1881" s="37"/>
      <c r="J1881" s="37"/>
    </row>
    <row r="1882" spans="1:10" x14ac:dyDescent="0.3">
      <c r="A1882" s="130"/>
      <c r="B1882" s="37"/>
      <c r="C1882" s="37"/>
      <c r="D1882" s="37"/>
      <c r="E1882" s="37"/>
      <c r="F1882" s="37"/>
      <c r="G1882" s="37"/>
      <c r="H1882" s="37"/>
      <c r="I1882" s="37"/>
      <c r="J1882" s="37"/>
    </row>
    <row r="1883" spans="1:10" x14ac:dyDescent="0.3">
      <c r="A1883" s="130"/>
      <c r="B1883" s="37"/>
      <c r="C1883" s="37"/>
      <c r="D1883" s="37"/>
      <c r="E1883" s="37"/>
      <c r="F1883" s="37"/>
      <c r="G1883" s="37"/>
      <c r="H1883" s="37"/>
      <c r="I1883" s="37"/>
      <c r="J1883" s="37"/>
    </row>
    <row r="1884" spans="1:10" x14ac:dyDescent="0.3">
      <c r="A1884" s="130"/>
      <c r="B1884" s="37"/>
      <c r="C1884" s="37"/>
      <c r="D1884" s="37"/>
      <c r="E1884" s="37"/>
      <c r="F1884" s="37"/>
      <c r="G1884" s="37"/>
      <c r="H1884" s="37"/>
      <c r="I1884" s="37"/>
      <c r="J1884" s="37"/>
    </row>
    <row r="1885" spans="1:10" x14ac:dyDescent="0.3">
      <c r="A1885" s="130"/>
      <c r="B1885" s="37"/>
      <c r="C1885" s="37"/>
      <c r="D1885" s="37"/>
      <c r="E1885" s="37"/>
      <c r="F1885" s="37"/>
      <c r="G1885" s="37"/>
      <c r="H1885" s="37"/>
      <c r="I1885" s="37"/>
      <c r="J1885" s="37"/>
    </row>
    <row r="1886" spans="1:10" x14ac:dyDescent="0.3">
      <c r="A1886" s="130"/>
      <c r="B1886" s="37"/>
      <c r="C1886" s="37"/>
      <c r="D1886" s="37"/>
      <c r="E1886" s="37"/>
      <c r="F1886" s="37"/>
      <c r="G1886" s="37"/>
      <c r="H1886" s="37"/>
      <c r="I1886" s="37"/>
      <c r="J1886" s="37"/>
    </row>
    <row r="1887" spans="1:10" x14ac:dyDescent="0.3">
      <c r="A1887" s="130"/>
      <c r="B1887" s="37"/>
      <c r="C1887" s="37"/>
      <c r="D1887" s="37"/>
      <c r="E1887" s="37"/>
      <c r="F1887" s="37"/>
      <c r="G1887" s="37"/>
      <c r="H1887" s="37"/>
      <c r="I1887" s="37"/>
      <c r="J1887" s="37"/>
    </row>
    <row r="1888" spans="1:10" x14ac:dyDescent="0.3">
      <c r="A1888" s="130"/>
      <c r="B1888" s="37"/>
      <c r="C1888" s="37"/>
      <c r="D1888" s="37"/>
      <c r="E1888" s="37"/>
      <c r="F1888" s="37"/>
      <c r="G1888" s="37"/>
      <c r="H1888" s="37"/>
      <c r="I1888" s="37"/>
      <c r="J1888" s="37"/>
    </row>
    <row r="1889" spans="1:10" x14ac:dyDescent="0.3">
      <c r="A1889" s="130"/>
      <c r="B1889" s="37"/>
      <c r="C1889" s="37"/>
      <c r="D1889" s="37"/>
      <c r="E1889" s="37"/>
      <c r="F1889" s="37"/>
      <c r="G1889" s="37"/>
      <c r="H1889" s="37"/>
      <c r="I1889" s="37"/>
      <c r="J1889" s="37"/>
    </row>
    <row r="1890" spans="1:10" x14ac:dyDescent="0.3">
      <c r="A1890" s="130"/>
      <c r="B1890" s="37"/>
      <c r="C1890" s="37"/>
      <c r="D1890" s="37"/>
      <c r="E1890" s="37"/>
      <c r="F1890" s="37"/>
      <c r="G1890" s="37"/>
      <c r="H1890" s="37"/>
      <c r="I1890" s="37"/>
      <c r="J1890" s="37"/>
    </row>
    <row r="1891" spans="1:10" x14ac:dyDescent="0.3">
      <c r="A1891" s="130"/>
      <c r="B1891" s="37"/>
      <c r="C1891" s="37"/>
      <c r="D1891" s="37"/>
      <c r="E1891" s="37"/>
      <c r="F1891" s="37"/>
      <c r="G1891" s="37"/>
      <c r="H1891" s="37"/>
      <c r="I1891" s="37"/>
      <c r="J1891" s="37"/>
    </row>
    <row r="1892" spans="1:10" x14ac:dyDescent="0.3">
      <c r="A1892" s="130"/>
      <c r="B1892" s="37"/>
      <c r="C1892" s="37"/>
      <c r="D1892" s="37"/>
      <c r="E1892" s="37"/>
      <c r="F1892" s="37"/>
      <c r="G1892" s="37"/>
      <c r="H1892" s="37"/>
      <c r="I1892" s="37"/>
      <c r="J1892" s="37"/>
    </row>
    <row r="1893" spans="1:10" x14ac:dyDescent="0.3">
      <c r="A1893" s="130"/>
      <c r="B1893" s="37"/>
      <c r="C1893" s="37"/>
      <c r="D1893" s="37"/>
      <c r="E1893" s="37"/>
      <c r="F1893" s="37"/>
      <c r="G1893" s="37"/>
      <c r="H1893" s="37"/>
      <c r="I1893" s="37"/>
      <c r="J1893" s="37"/>
    </row>
    <row r="1894" spans="1:10" x14ac:dyDescent="0.3">
      <c r="A1894" s="130"/>
      <c r="B1894" s="37"/>
      <c r="C1894" s="37"/>
      <c r="D1894" s="37"/>
      <c r="E1894" s="37"/>
      <c r="F1894" s="37"/>
      <c r="G1894" s="37"/>
      <c r="H1894" s="37"/>
      <c r="I1894" s="37"/>
      <c r="J1894" s="37"/>
    </row>
    <row r="1895" spans="1:10" x14ac:dyDescent="0.3">
      <c r="A1895" s="130"/>
      <c r="B1895" s="37"/>
      <c r="C1895" s="37"/>
      <c r="D1895" s="37"/>
      <c r="E1895" s="37"/>
      <c r="F1895" s="37"/>
      <c r="G1895" s="37"/>
      <c r="H1895" s="37"/>
      <c r="I1895" s="37"/>
      <c r="J1895" s="37"/>
    </row>
    <row r="1896" spans="1:10" x14ac:dyDescent="0.3">
      <c r="A1896" s="130"/>
      <c r="B1896" s="37"/>
      <c r="C1896" s="37"/>
      <c r="D1896" s="37"/>
      <c r="E1896" s="37"/>
      <c r="F1896" s="37"/>
      <c r="G1896" s="37"/>
      <c r="H1896" s="37"/>
      <c r="I1896" s="37"/>
      <c r="J1896" s="37"/>
    </row>
    <row r="1897" spans="1:10" x14ac:dyDescent="0.3">
      <c r="A1897" s="130"/>
      <c r="B1897" s="37"/>
      <c r="C1897" s="37"/>
      <c r="D1897" s="37"/>
      <c r="E1897" s="37"/>
      <c r="F1897" s="37"/>
      <c r="G1897" s="37"/>
      <c r="H1897" s="37"/>
      <c r="I1897" s="37"/>
      <c r="J1897" s="37"/>
    </row>
    <row r="1898" spans="1:10" x14ac:dyDescent="0.3">
      <c r="A1898" s="130"/>
      <c r="B1898" s="37"/>
      <c r="C1898" s="37"/>
      <c r="D1898" s="37"/>
      <c r="E1898" s="37"/>
      <c r="F1898" s="37"/>
      <c r="G1898" s="37"/>
      <c r="H1898" s="37"/>
      <c r="I1898" s="37"/>
      <c r="J1898" s="37"/>
    </row>
    <row r="1899" spans="1:10" x14ac:dyDescent="0.3">
      <c r="A1899" s="130"/>
      <c r="B1899" s="37"/>
      <c r="C1899" s="37"/>
      <c r="D1899" s="37"/>
      <c r="E1899" s="37"/>
      <c r="F1899" s="37"/>
      <c r="G1899" s="37"/>
      <c r="H1899" s="37"/>
      <c r="I1899" s="37"/>
      <c r="J1899" s="37"/>
    </row>
    <row r="1900" spans="1:10" x14ac:dyDescent="0.3">
      <c r="A1900" s="130"/>
      <c r="B1900" s="37"/>
      <c r="C1900" s="37"/>
      <c r="D1900" s="37"/>
      <c r="E1900" s="37"/>
      <c r="F1900" s="37"/>
      <c r="G1900" s="37"/>
      <c r="H1900" s="37"/>
      <c r="I1900" s="37"/>
      <c r="J1900" s="37"/>
    </row>
    <row r="1901" spans="1:10" x14ac:dyDescent="0.3">
      <c r="A1901" s="130"/>
      <c r="B1901" s="37"/>
      <c r="C1901" s="37"/>
      <c r="D1901" s="37"/>
      <c r="E1901" s="37"/>
      <c r="F1901" s="37"/>
      <c r="G1901" s="37"/>
      <c r="H1901" s="37"/>
      <c r="I1901" s="37"/>
      <c r="J1901" s="37"/>
    </row>
    <row r="1902" spans="1:10" x14ac:dyDescent="0.3">
      <c r="A1902" s="130"/>
      <c r="B1902" s="37"/>
      <c r="C1902" s="37"/>
      <c r="D1902" s="37"/>
      <c r="E1902" s="37"/>
      <c r="F1902" s="37"/>
      <c r="G1902" s="37"/>
      <c r="H1902" s="37"/>
      <c r="I1902" s="37"/>
      <c r="J1902" s="37"/>
    </row>
    <row r="1903" spans="1:10" x14ac:dyDescent="0.3">
      <c r="A1903" s="130"/>
      <c r="B1903" s="37"/>
      <c r="C1903" s="37"/>
      <c r="D1903" s="37"/>
      <c r="E1903" s="37"/>
      <c r="F1903" s="37"/>
      <c r="G1903" s="37"/>
      <c r="H1903" s="37"/>
      <c r="I1903" s="37"/>
      <c r="J1903" s="37"/>
    </row>
    <row r="1904" spans="1:10" x14ac:dyDescent="0.3">
      <c r="A1904" s="130"/>
      <c r="B1904" s="37"/>
      <c r="C1904" s="37"/>
      <c r="D1904" s="37"/>
      <c r="E1904" s="37"/>
      <c r="F1904" s="37"/>
      <c r="G1904" s="37"/>
      <c r="H1904" s="37"/>
      <c r="I1904" s="37"/>
      <c r="J1904" s="37"/>
    </row>
    <row r="1905" spans="1:10" x14ac:dyDescent="0.3">
      <c r="A1905" s="130"/>
      <c r="B1905" s="37"/>
      <c r="C1905" s="37"/>
      <c r="D1905" s="37"/>
      <c r="E1905" s="37"/>
      <c r="F1905" s="37"/>
      <c r="G1905" s="37"/>
      <c r="H1905" s="37"/>
      <c r="I1905" s="37"/>
      <c r="J1905" s="37"/>
    </row>
    <row r="1906" spans="1:10" x14ac:dyDescent="0.3">
      <c r="A1906" s="130"/>
      <c r="B1906" s="37"/>
      <c r="C1906" s="37"/>
      <c r="D1906" s="37"/>
      <c r="E1906" s="37"/>
      <c r="F1906" s="37"/>
      <c r="G1906" s="37"/>
      <c r="H1906" s="37"/>
      <c r="I1906" s="37"/>
      <c r="J1906" s="37"/>
    </row>
    <row r="1907" spans="1:10" x14ac:dyDescent="0.3">
      <c r="A1907" s="130"/>
      <c r="B1907" s="37"/>
      <c r="C1907" s="37"/>
      <c r="D1907" s="37"/>
      <c r="E1907" s="37"/>
      <c r="F1907" s="37"/>
      <c r="G1907" s="37"/>
      <c r="H1907" s="37"/>
      <c r="I1907" s="37"/>
      <c r="J1907" s="37"/>
    </row>
    <row r="1908" spans="1:10" x14ac:dyDescent="0.3">
      <c r="A1908" s="130"/>
      <c r="B1908" s="37"/>
      <c r="C1908" s="37"/>
      <c r="D1908" s="37"/>
      <c r="E1908" s="37"/>
      <c r="F1908" s="37"/>
      <c r="G1908" s="37"/>
      <c r="H1908" s="37"/>
      <c r="I1908" s="37"/>
      <c r="J1908" s="37"/>
    </row>
    <row r="1909" spans="1:10" x14ac:dyDescent="0.3">
      <c r="A1909" s="130"/>
      <c r="B1909" s="37"/>
      <c r="C1909" s="37"/>
      <c r="D1909" s="37"/>
      <c r="E1909" s="37"/>
      <c r="F1909" s="37"/>
      <c r="G1909" s="37"/>
      <c r="H1909" s="37"/>
      <c r="I1909" s="37"/>
      <c r="J1909" s="37"/>
    </row>
    <row r="1910" spans="1:10" x14ac:dyDescent="0.3">
      <c r="A1910" s="130"/>
      <c r="B1910" s="37"/>
      <c r="C1910" s="37"/>
      <c r="D1910" s="37"/>
      <c r="E1910" s="37"/>
      <c r="F1910" s="37"/>
      <c r="G1910" s="37"/>
      <c r="H1910" s="37"/>
      <c r="I1910" s="37"/>
      <c r="J1910" s="37"/>
    </row>
    <row r="1911" spans="1:10" x14ac:dyDescent="0.3">
      <c r="A1911" s="130"/>
      <c r="B1911" s="37"/>
      <c r="C1911" s="37"/>
      <c r="D1911" s="37"/>
      <c r="E1911" s="37"/>
      <c r="F1911" s="37"/>
      <c r="G1911" s="37"/>
      <c r="H1911" s="37"/>
      <c r="I1911" s="37"/>
      <c r="J1911" s="37"/>
    </row>
    <row r="1912" spans="1:10" x14ac:dyDescent="0.3">
      <c r="A1912" s="130"/>
      <c r="B1912" s="37"/>
      <c r="C1912" s="37"/>
      <c r="D1912" s="37"/>
      <c r="E1912" s="37"/>
      <c r="F1912" s="37"/>
      <c r="G1912" s="37"/>
      <c r="H1912" s="37"/>
      <c r="I1912" s="37"/>
      <c r="J1912" s="37"/>
    </row>
    <row r="1913" spans="1:10" x14ac:dyDescent="0.3">
      <c r="A1913" s="130"/>
      <c r="B1913" s="37"/>
      <c r="C1913" s="37"/>
      <c r="D1913" s="37"/>
      <c r="E1913" s="37"/>
      <c r="F1913" s="37"/>
      <c r="G1913" s="37"/>
      <c r="H1913" s="37"/>
      <c r="I1913" s="37"/>
      <c r="J1913" s="37"/>
    </row>
    <row r="1914" spans="1:10" x14ac:dyDescent="0.3">
      <c r="A1914" s="130"/>
      <c r="B1914" s="37"/>
      <c r="C1914" s="37"/>
      <c r="D1914" s="37"/>
      <c r="E1914" s="37"/>
      <c r="F1914" s="37"/>
      <c r="G1914" s="37"/>
      <c r="H1914" s="37"/>
      <c r="I1914" s="37"/>
      <c r="J1914" s="37"/>
    </row>
    <row r="1915" spans="1:10" x14ac:dyDescent="0.3">
      <c r="A1915" s="130"/>
      <c r="B1915" s="37"/>
      <c r="C1915" s="37"/>
      <c r="D1915" s="37"/>
      <c r="E1915" s="37"/>
      <c r="F1915" s="37"/>
      <c r="G1915" s="37"/>
      <c r="H1915" s="37"/>
      <c r="I1915" s="37"/>
      <c r="J1915" s="37"/>
    </row>
    <row r="1916" spans="1:10" x14ac:dyDescent="0.3">
      <c r="A1916" s="130"/>
      <c r="B1916" s="37"/>
      <c r="C1916" s="37"/>
      <c r="D1916" s="37"/>
      <c r="E1916" s="37"/>
      <c r="F1916" s="37"/>
      <c r="G1916" s="37"/>
      <c r="H1916" s="37"/>
      <c r="I1916" s="37"/>
      <c r="J1916" s="37"/>
    </row>
    <row r="1917" spans="1:10" x14ac:dyDescent="0.3">
      <c r="A1917" s="130"/>
      <c r="B1917" s="37"/>
      <c r="C1917" s="37"/>
      <c r="D1917" s="37"/>
      <c r="E1917" s="37"/>
      <c r="F1917" s="37"/>
      <c r="G1917" s="37"/>
      <c r="H1917" s="37"/>
      <c r="I1917" s="37"/>
      <c r="J1917" s="37"/>
    </row>
    <row r="1918" spans="1:10" x14ac:dyDescent="0.3">
      <c r="A1918" s="130"/>
      <c r="B1918" s="37"/>
      <c r="C1918" s="37"/>
      <c r="D1918" s="37"/>
      <c r="E1918" s="37"/>
      <c r="F1918" s="37"/>
      <c r="G1918" s="37"/>
      <c r="H1918" s="37"/>
      <c r="I1918" s="37"/>
      <c r="J1918" s="37"/>
    </row>
    <row r="1919" spans="1:10" x14ac:dyDescent="0.3">
      <c r="A1919" s="130"/>
      <c r="B1919" s="37"/>
      <c r="C1919" s="37"/>
      <c r="D1919" s="37"/>
      <c r="E1919" s="37"/>
      <c r="F1919" s="37"/>
      <c r="G1919" s="37"/>
      <c r="H1919" s="37"/>
      <c r="I1919" s="37"/>
      <c r="J1919" s="37"/>
    </row>
    <row r="1920" spans="1:10" x14ac:dyDescent="0.3">
      <c r="A1920" s="130"/>
      <c r="B1920" s="37"/>
      <c r="C1920" s="37"/>
      <c r="D1920" s="37"/>
      <c r="E1920" s="37"/>
      <c r="F1920" s="37"/>
      <c r="G1920" s="37"/>
      <c r="H1920" s="37"/>
      <c r="I1920" s="37"/>
      <c r="J1920" s="37"/>
    </row>
    <row r="1921" spans="1:10" x14ac:dyDescent="0.3">
      <c r="A1921" s="130"/>
      <c r="B1921" s="37"/>
      <c r="C1921" s="37"/>
      <c r="D1921" s="37"/>
      <c r="E1921" s="37"/>
      <c r="F1921" s="37"/>
      <c r="G1921" s="37"/>
      <c r="H1921" s="37"/>
      <c r="I1921" s="37"/>
      <c r="J1921" s="37"/>
    </row>
    <row r="1922" spans="1:10" x14ac:dyDescent="0.3">
      <c r="A1922" s="130"/>
      <c r="B1922" s="37"/>
      <c r="C1922" s="37"/>
      <c r="D1922" s="37"/>
      <c r="E1922" s="37"/>
      <c r="F1922" s="37"/>
      <c r="G1922" s="37"/>
      <c r="H1922" s="37"/>
      <c r="I1922" s="37"/>
      <c r="J1922" s="37"/>
    </row>
    <row r="1923" spans="1:10" x14ac:dyDescent="0.3">
      <c r="A1923" s="130"/>
      <c r="B1923" s="37"/>
      <c r="C1923" s="37"/>
      <c r="D1923" s="37"/>
      <c r="E1923" s="37"/>
      <c r="F1923" s="37"/>
      <c r="G1923" s="37"/>
      <c r="H1923" s="37"/>
      <c r="I1923" s="37"/>
      <c r="J1923" s="37"/>
    </row>
    <row r="1924" spans="1:10" x14ac:dyDescent="0.3">
      <c r="A1924" s="130"/>
      <c r="B1924" s="37"/>
      <c r="C1924" s="37"/>
      <c r="D1924" s="37"/>
      <c r="E1924" s="37"/>
      <c r="F1924" s="37"/>
      <c r="G1924" s="37"/>
      <c r="H1924" s="37"/>
      <c r="I1924" s="37"/>
      <c r="J1924" s="37"/>
    </row>
    <row r="1925" spans="1:10" x14ac:dyDescent="0.3">
      <c r="A1925" s="130"/>
      <c r="B1925" s="37"/>
      <c r="C1925" s="37"/>
      <c r="D1925" s="37"/>
      <c r="E1925" s="37"/>
      <c r="F1925" s="37"/>
      <c r="G1925" s="37"/>
      <c r="H1925" s="37"/>
      <c r="I1925" s="37"/>
      <c r="J1925" s="37"/>
    </row>
    <row r="1926" spans="1:10" x14ac:dyDescent="0.3">
      <c r="A1926" s="130"/>
      <c r="B1926" s="37"/>
      <c r="C1926" s="37"/>
      <c r="D1926" s="37"/>
      <c r="E1926" s="37"/>
      <c r="F1926" s="37"/>
      <c r="G1926" s="37"/>
      <c r="H1926" s="37"/>
      <c r="I1926" s="37"/>
      <c r="J1926" s="37"/>
    </row>
    <row r="1927" spans="1:10" x14ac:dyDescent="0.3">
      <c r="A1927" s="130"/>
      <c r="B1927" s="37"/>
      <c r="C1927" s="37"/>
      <c r="D1927" s="37"/>
      <c r="E1927" s="37"/>
      <c r="F1927" s="37"/>
      <c r="G1927" s="37"/>
      <c r="H1927" s="37"/>
      <c r="I1927" s="37"/>
      <c r="J1927" s="37"/>
    </row>
    <row r="1928" spans="1:10" x14ac:dyDescent="0.3">
      <c r="A1928" s="130"/>
      <c r="B1928" s="37"/>
      <c r="C1928" s="37"/>
      <c r="D1928" s="37"/>
      <c r="E1928" s="37"/>
      <c r="F1928" s="37"/>
      <c r="G1928" s="37"/>
      <c r="H1928" s="37"/>
      <c r="I1928" s="37"/>
      <c r="J1928" s="37"/>
    </row>
    <row r="1929" spans="1:10" x14ac:dyDescent="0.3">
      <c r="A1929" s="130"/>
      <c r="B1929" s="37"/>
      <c r="C1929" s="37"/>
      <c r="D1929" s="37"/>
      <c r="E1929" s="37"/>
      <c r="F1929" s="37"/>
      <c r="G1929" s="37"/>
      <c r="H1929" s="37"/>
      <c r="I1929" s="37"/>
      <c r="J1929" s="37"/>
    </row>
    <row r="1930" spans="1:10" x14ac:dyDescent="0.3">
      <c r="A1930" s="130"/>
      <c r="B1930" s="37"/>
      <c r="C1930" s="37"/>
      <c r="D1930" s="37"/>
      <c r="E1930" s="37"/>
      <c r="F1930" s="37"/>
      <c r="G1930" s="37"/>
      <c r="H1930" s="37"/>
      <c r="I1930" s="37"/>
      <c r="J1930" s="37"/>
    </row>
    <row r="1931" spans="1:10" x14ac:dyDescent="0.3">
      <c r="A1931" s="130"/>
      <c r="B1931" s="37"/>
      <c r="C1931" s="37"/>
      <c r="D1931" s="37"/>
      <c r="E1931" s="37"/>
      <c r="F1931" s="37"/>
      <c r="G1931" s="37"/>
      <c r="H1931" s="37"/>
      <c r="I1931" s="37"/>
      <c r="J1931" s="37"/>
    </row>
    <row r="1932" spans="1:10" x14ac:dyDescent="0.3">
      <c r="A1932" s="130"/>
      <c r="B1932" s="37"/>
      <c r="C1932" s="37"/>
      <c r="D1932" s="37"/>
      <c r="E1932" s="37"/>
      <c r="F1932" s="37"/>
      <c r="G1932" s="37"/>
      <c r="H1932" s="37"/>
      <c r="I1932" s="37"/>
      <c r="J1932" s="37"/>
    </row>
    <row r="1933" spans="1:10" x14ac:dyDescent="0.3">
      <c r="A1933" s="130"/>
      <c r="B1933" s="37"/>
      <c r="C1933" s="37"/>
      <c r="D1933" s="37"/>
      <c r="E1933" s="37"/>
      <c r="F1933" s="37"/>
      <c r="G1933" s="37"/>
      <c r="H1933" s="37"/>
      <c r="I1933" s="37"/>
      <c r="J1933" s="37"/>
    </row>
    <row r="1934" spans="1:10" x14ac:dyDescent="0.3">
      <c r="A1934" s="130"/>
      <c r="B1934" s="37"/>
      <c r="C1934" s="37"/>
      <c r="D1934" s="37"/>
      <c r="E1934" s="37"/>
      <c r="F1934" s="37"/>
      <c r="G1934" s="37"/>
      <c r="H1934" s="37"/>
      <c r="I1934" s="37"/>
      <c r="J1934" s="37"/>
    </row>
    <row r="1935" spans="1:10" x14ac:dyDescent="0.3">
      <c r="A1935" s="130"/>
      <c r="B1935" s="37"/>
      <c r="C1935" s="37"/>
      <c r="D1935" s="37"/>
      <c r="E1935" s="37"/>
      <c r="F1935" s="37"/>
      <c r="G1935" s="37"/>
      <c r="H1935" s="37"/>
      <c r="I1935" s="37"/>
      <c r="J1935" s="37"/>
    </row>
    <row r="1936" spans="1:10" x14ac:dyDescent="0.3">
      <c r="A1936" s="130"/>
      <c r="B1936" s="37"/>
      <c r="C1936" s="37"/>
      <c r="D1936" s="37"/>
      <c r="E1936" s="37"/>
      <c r="F1936" s="37"/>
      <c r="G1936" s="37"/>
      <c r="H1936" s="37"/>
      <c r="I1936" s="37"/>
      <c r="J1936" s="37"/>
    </row>
    <row r="1937" spans="1:10" x14ac:dyDescent="0.3">
      <c r="A1937" s="130"/>
      <c r="B1937" s="37"/>
      <c r="C1937" s="37"/>
      <c r="D1937" s="37"/>
      <c r="E1937" s="37"/>
      <c r="F1937" s="37"/>
      <c r="G1937" s="37"/>
      <c r="H1937" s="37"/>
      <c r="I1937" s="37"/>
      <c r="J1937" s="37"/>
    </row>
    <row r="1938" spans="1:10" x14ac:dyDescent="0.3">
      <c r="A1938" s="130"/>
      <c r="B1938" s="37"/>
      <c r="C1938" s="37"/>
      <c r="D1938" s="37"/>
      <c r="E1938" s="37"/>
      <c r="F1938" s="37"/>
      <c r="G1938" s="37"/>
      <c r="H1938" s="37"/>
      <c r="I1938" s="37"/>
      <c r="J1938" s="37"/>
    </row>
    <row r="1939" spans="1:10" x14ac:dyDescent="0.3">
      <c r="A1939" s="130"/>
      <c r="B1939" s="37"/>
      <c r="C1939" s="37"/>
      <c r="D1939" s="37"/>
      <c r="E1939" s="37"/>
      <c r="F1939" s="37"/>
      <c r="G1939" s="37"/>
      <c r="H1939" s="37"/>
      <c r="I1939" s="37"/>
      <c r="J1939" s="37"/>
    </row>
    <row r="1940" spans="1:10" x14ac:dyDescent="0.3">
      <c r="A1940" s="130"/>
      <c r="B1940" s="37"/>
      <c r="C1940" s="37"/>
      <c r="D1940" s="37"/>
      <c r="E1940" s="37"/>
      <c r="F1940" s="37"/>
      <c r="G1940" s="37"/>
      <c r="H1940" s="37"/>
      <c r="I1940" s="37"/>
      <c r="J1940" s="37"/>
    </row>
    <row r="1941" spans="1:10" x14ac:dyDescent="0.3">
      <c r="A1941" s="130"/>
      <c r="B1941" s="37"/>
      <c r="C1941" s="37"/>
      <c r="D1941" s="37"/>
      <c r="E1941" s="37"/>
      <c r="F1941" s="37"/>
      <c r="G1941" s="37"/>
      <c r="H1941" s="37"/>
      <c r="I1941" s="37"/>
      <c r="J1941" s="37"/>
    </row>
    <row r="1942" spans="1:10" x14ac:dyDescent="0.3">
      <c r="A1942" s="130"/>
      <c r="B1942" s="37"/>
      <c r="C1942" s="37"/>
      <c r="D1942" s="37"/>
      <c r="E1942" s="37"/>
      <c r="F1942" s="37"/>
      <c r="G1942" s="37"/>
      <c r="H1942" s="37"/>
      <c r="I1942" s="37"/>
      <c r="J1942" s="37"/>
    </row>
    <row r="1943" spans="1:10" x14ac:dyDescent="0.3">
      <c r="A1943" s="130"/>
      <c r="B1943" s="37"/>
      <c r="C1943" s="37"/>
      <c r="D1943" s="37"/>
      <c r="E1943" s="37"/>
      <c r="F1943" s="37"/>
      <c r="G1943" s="37"/>
      <c r="H1943" s="37"/>
      <c r="I1943" s="37"/>
      <c r="J1943" s="37"/>
    </row>
    <row r="1944" spans="1:10" x14ac:dyDescent="0.3">
      <c r="A1944" s="130"/>
      <c r="B1944" s="37"/>
      <c r="C1944" s="37"/>
      <c r="D1944" s="37"/>
      <c r="E1944" s="37"/>
      <c r="F1944" s="37"/>
      <c r="G1944" s="37"/>
      <c r="H1944" s="37"/>
      <c r="I1944" s="37"/>
      <c r="J1944" s="37"/>
    </row>
    <row r="1945" spans="1:10" x14ac:dyDescent="0.3">
      <c r="A1945" s="130"/>
      <c r="B1945" s="37"/>
      <c r="C1945" s="37"/>
      <c r="D1945" s="37"/>
      <c r="E1945" s="37"/>
      <c r="F1945" s="37"/>
      <c r="G1945" s="37"/>
      <c r="H1945" s="37"/>
      <c r="I1945" s="37"/>
      <c r="J1945" s="37"/>
    </row>
    <row r="1946" spans="1:10" x14ac:dyDescent="0.3">
      <c r="A1946" s="130"/>
      <c r="B1946" s="37"/>
      <c r="C1946" s="37"/>
      <c r="D1946" s="37"/>
      <c r="E1946" s="37"/>
      <c r="F1946" s="37"/>
      <c r="G1946" s="37"/>
      <c r="H1946" s="37"/>
      <c r="I1946" s="37"/>
      <c r="J1946" s="37"/>
    </row>
    <row r="1947" spans="1:10" x14ac:dyDescent="0.3">
      <c r="A1947" s="130"/>
      <c r="B1947" s="37"/>
      <c r="C1947" s="37"/>
      <c r="D1947" s="37"/>
      <c r="E1947" s="37"/>
      <c r="F1947" s="37"/>
      <c r="G1947" s="37"/>
      <c r="H1947" s="37"/>
      <c r="I1947" s="37"/>
      <c r="J1947" s="37"/>
    </row>
    <row r="1948" spans="1:10" x14ac:dyDescent="0.3">
      <c r="A1948" s="130"/>
      <c r="B1948" s="37"/>
      <c r="C1948" s="37"/>
      <c r="D1948" s="37"/>
      <c r="E1948" s="37"/>
      <c r="F1948" s="37"/>
      <c r="G1948" s="37"/>
      <c r="H1948" s="37"/>
      <c r="I1948" s="37"/>
      <c r="J1948" s="37"/>
    </row>
    <row r="1949" spans="1:10" x14ac:dyDescent="0.3">
      <c r="A1949" s="130"/>
      <c r="B1949" s="37"/>
      <c r="C1949" s="37"/>
      <c r="D1949" s="37"/>
      <c r="E1949" s="37"/>
      <c r="F1949" s="37"/>
      <c r="G1949" s="37"/>
      <c r="H1949" s="37"/>
      <c r="I1949" s="37"/>
      <c r="J1949" s="37"/>
    </row>
    <row r="1950" spans="1:10" x14ac:dyDescent="0.3">
      <c r="A1950" s="130"/>
      <c r="B1950" s="37"/>
      <c r="C1950" s="37"/>
      <c r="D1950" s="37"/>
      <c r="E1950" s="37"/>
      <c r="F1950" s="37"/>
      <c r="G1950" s="37"/>
      <c r="H1950" s="37"/>
      <c r="I1950" s="37"/>
      <c r="J1950" s="37"/>
    </row>
    <row r="1951" spans="1:10" x14ac:dyDescent="0.3">
      <c r="A1951" s="130"/>
      <c r="B1951" s="37"/>
      <c r="C1951" s="37"/>
      <c r="D1951" s="37"/>
      <c r="E1951" s="37"/>
      <c r="F1951" s="37"/>
      <c r="G1951" s="37"/>
      <c r="H1951" s="37"/>
      <c r="I1951" s="37"/>
      <c r="J1951" s="37"/>
    </row>
    <row r="1952" spans="1:10" x14ac:dyDescent="0.3">
      <c r="A1952" s="130"/>
      <c r="B1952" s="37"/>
      <c r="C1952" s="37"/>
      <c r="D1952" s="37"/>
      <c r="E1952" s="37"/>
      <c r="F1952" s="37"/>
      <c r="G1952" s="37"/>
      <c r="H1952" s="37"/>
      <c r="I1952" s="37"/>
      <c r="J1952" s="37"/>
    </row>
    <row r="1953" spans="1:10" x14ac:dyDescent="0.3">
      <c r="A1953" s="130"/>
      <c r="B1953" s="37"/>
      <c r="C1953" s="37"/>
      <c r="D1953" s="37"/>
      <c r="E1953" s="37"/>
      <c r="F1953" s="37"/>
      <c r="G1953" s="37"/>
      <c r="H1953" s="37"/>
      <c r="I1953" s="37"/>
      <c r="J1953" s="37"/>
    </row>
    <row r="1954" spans="1:10" x14ac:dyDescent="0.3">
      <c r="A1954" s="130"/>
      <c r="B1954" s="37"/>
      <c r="C1954" s="37"/>
      <c r="D1954" s="37"/>
      <c r="E1954" s="37"/>
      <c r="F1954" s="37"/>
      <c r="G1954" s="37"/>
      <c r="H1954" s="37"/>
      <c r="I1954" s="37"/>
      <c r="J1954" s="37"/>
    </row>
    <row r="1955" spans="1:10" x14ac:dyDescent="0.3">
      <c r="A1955" s="130"/>
      <c r="B1955" s="37"/>
      <c r="C1955" s="37"/>
      <c r="D1955" s="37"/>
      <c r="E1955" s="37"/>
      <c r="F1955" s="37"/>
      <c r="G1955" s="37"/>
      <c r="H1955" s="37"/>
      <c r="I1955" s="37"/>
      <c r="J1955" s="37"/>
    </row>
    <row r="1956" spans="1:10" x14ac:dyDescent="0.3">
      <c r="A1956" s="130"/>
      <c r="B1956" s="37"/>
      <c r="C1956" s="37"/>
      <c r="D1956" s="37"/>
      <c r="E1956" s="37"/>
      <c r="F1956" s="37"/>
      <c r="G1956" s="37"/>
      <c r="H1956" s="37"/>
      <c r="I1956" s="37"/>
      <c r="J1956" s="37"/>
    </row>
    <row r="1957" spans="1:10" x14ac:dyDescent="0.3">
      <c r="A1957" s="130"/>
      <c r="B1957" s="37"/>
      <c r="C1957" s="37"/>
      <c r="D1957" s="37"/>
      <c r="E1957" s="37"/>
      <c r="F1957" s="37"/>
      <c r="G1957" s="37"/>
      <c r="H1957" s="37"/>
      <c r="I1957" s="37"/>
      <c r="J1957" s="37"/>
    </row>
    <row r="1958" spans="1:10" x14ac:dyDescent="0.3">
      <c r="A1958" s="130"/>
      <c r="B1958" s="37"/>
      <c r="C1958" s="37"/>
      <c r="D1958" s="37"/>
      <c r="E1958" s="37"/>
      <c r="F1958" s="37"/>
      <c r="G1958" s="37"/>
      <c r="H1958" s="37"/>
      <c r="I1958" s="37"/>
      <c r="J1958" s="37"/>
    </row>
    <row r="1959" spans="1:10" x14ac:dyDescent="0.3">
      <c r="A1959" s="130"/>
      <c r="B1959" s="37"/>
      <c r="C1959" s="37"/>
      <c r="D1959" s="37"/>
      <c r="E1959" s="37"/>
      <c r="F1959" s="37"/>
      <c r="G1959" s="37"/>
      <c r="H1959" s="37"/>
      <c r="I1959" s="37"/>
      <c r="J1959" s="37"/>
    </row>
    <row r="1960" spans="1:10" x14ac:dyDescent="0.3">
      <c r="A1960" s="130"/>
      <c r="B1960" s="37"/>
      <c r="C1960" s="37"/>
      <c r="D1960" s="37"/>
      <c r="E1960" s="37"/>
      <c r="F1960" s="37"/>
      <c r="G1960" s="37"/>
      <c r="H1960" s="37"/>
      <c r="I1960" s="37"/>
      <c r="J1960" s="37"/>
    </row>
    <row r="1961" spans="1:10" x14ac:dyDescent="0.3">
      <c r="A1961" s="130"/>
      <c r="B1961" s="37"/>
      <c r="C1961" s="37"/>
      <c r="D1961" s="37"/>
      <c r="E1961" s="37"/>
      <c r="F1961" s="37"/>
      <c r="G1961" s="37"/>
      <c r="H1961" s="37"/>
      <c r="I1961" s="37"/>
      <c r="J1961" s="37"/>
    </row>
    <row r="1962" spans="1:10" x14ac:dyDescent="0.3">
      <c r="A1962" s="130"/>
      <c r="B1962" s="37"/>
      <c r="C1962" s="37"/>
      <c r="D1962" s="37"/>
      <c r="E1962" s="37"/>
      <c r="F1962" s="37"/>
      <c r="G1962" s="37"/>
      <c r="H1962" s="37"/>
      <c r="I1962" s="37"/>
      <c r="J1962" s="37"/>
    </row>
    <row r="1963" spans="1:10" x14ac:dyDescent="0.3">
      <c r="A1963" s="130"/>
      <c r="B1963" s="37"/>
      <c r="C1963" s="37"/>
      <c r="D1963" s="37"/>
      <c r="E1963" s="37"/>
      <c r="F1963" s="37"/>
      <c r="G1963" s="37"/>
      <c r="H1963" s="37"/>
      <c r="I1963" s="37"/>
      <c r="J1963" s="37"/>
    </row>
    <row r="1964" spans="1:10" x14ac:dyDescent="0.3">
      <c r="A1964" s="130"/>
      <c r="B1964" s="37"/>
      <c r="C1964" s="37"/>
      <c r="D1964" s="37"/>
      <c r="E1964" s="37"/>
      <c r="F1964" s="37"/>
      <c r="G1964" s="37"/>
      <c r="H1964" s="37"/>
      <c r="I1964" s="37"/>
      <c r="J1964" s="37"/>
    </row>
    <row r="1965" spans="1:10" x14ac:dyDescent="0.3">
      <c r="A1965" s="130"/>
      <c r="B1965" s="37"/>
      <c r="C1965" s="37"/>
      <c r="D1965" s="37"/>
      <c r="E1965" s="37"/>
      <c r="F1965" s="37"/>
      <c r="G1965" s="37"/>
      <c r="H1965" s="37"/>
      <c r="I1965" s="37"/>
      <c r="J1965" s="37"/>
    </row>
    <row r="1966" spans="1:10" x14ac:dyDescent="0.3">
      <c r="A1966" s="130"/>
      <c r="B1966" s="37"/>
      <c r="C1966" s="37"/>
      <c r="D1966" s="37"/>
      <c r="E1966" s="37"/>
      <c r="F1966" s="37"/>
      <c r="G1966" s="37"/>
      <c r="H1966" s="37"/>
      <c r="I1966" s="37"/>
      <c r="J1966" s="37"/>
    </row>
    <row r="1967" spans="1:10" x14ac:dyDescent="0.3">
      <c r="A1967" s="130"/>
      <c r="B1967" s="37"/>
      <c r="C1967" s="37"/>
      <c r="D1967" s="37"/>
      <c r="E1967" s="37"/>
      <c r="F1967" s="37"/>
      <c r="G1967" s="37"/>
      <c r="H1967" s="37"/>
      <c r="I1967" s="37"/>
      <c r="J1967" s="37"/>
    </row>
    <row r="1968" spans="1:10" x14ac:dyDescent="0.3">
      <c r="A1968" s="130"/>
      <c r="B1968" s="37"/>
      <c r="C1968" s="37"/>
      <c r="D1968" s="37"/>
      <c r="E1968" s="37"/>
      <c r="F1968" s="37"/>
      <c r="G1968" s="37"/>
      <c r="H1968" s="37"/>
      <c r="I1968" s="37"/>
      <c r="J1968" s="37"/>
    </row>
    <row r="1969" spans="1:10" x14ac:dyDescent="0.3">
      <c r="A1969" s="130"/>
      <c r="B1969" s="37"/>
      <c r="C1969" s="37"/>
      <c r="D1969" s="37"/>
      <c r="E1969" s="37"/>
      <c r="F1969" s="37"/>
      <c r="G1969" s="37"/>
      <c r="H1969" s="37"/>
      <c r="I1969" s="37"/>
      <c r="J1969" s="37"/>
    </row>
    <row r="1970" spans="1:10" x14ac:dyDescent="0.3">
      <c r="A1970" s="130"/>
      <c r="B1970" s="37"/>
      <c r="C1970" s="37"/>
      <c r="D1970" s="37"/>
      <c r="E1970" s="37"/>
      <c r="F1970" s="37"/>
      <c r="G1970" s="37"/>
      <c r="H1970" s="37"/>
      <c r="I1970" s="37"/>
      <c r="J1970" s="37"/>
    </row>
    <row r="1971" spans="1:10" x14ac:dyDescent="0.3">
      <c r="A1971" s="130"/>
      <c r="B1971" s="37"/>
      <c r="C1971" s="37"/>
      <c r="D1971" s="37"/>
      <c r="E1971" s="37"/>
      <c r="F1971" s="37"/>
      <c r="G1971" s="37"/>
      <c r="H1971" s="37"/>
      <c r="I1971" s="37"/>
      <c r="J1971" s="37"/>
    </row>
    <row r="1972" spans="1:10" x14ac:dyDescent="0.3">
      <c r="A1972" s="130"/>
      <c r="B1972" s="37"/>
      <c r="C1972" s="37"/>
      <c r="D1972" s="37"/>
      <c r="E1972" s="37"/>
      <c r="F1972" s="37"/>
      <c r="G1972" s="37"/>
      <c r="H1972" s="37"/>
      <c r="I1972" s="37"/>
      <c r="J1972" s="37"/>
    </row>
    <row r="1973" spans="1:10" x14ac:dyDescent="0.3">
      <c r="A1973" s="130"/>
      <c r="B1973" s="37"/>
      <c r="C1973" s="37"/>
      <c r="D1973" s="37"/>
      <c r="E1973" s="37"/>
      <c r="F1973" s="37"/>
      <c r="G1973" s="37"/>
      <c r="H1973" s="37"/>
      <c r="I1973" s="37"/>
      <c r="J1973" s="37"/>
    </row>
    <row r="1974" spans="1:10" x14ac:dyDescent="0.3">
      <c r="A1974" s="130"/>
      <c r="B1974" s="37"/>
      <c r="C1974" s="37"/>
      <c r="D1974" s="37"/>
      <c r="E1974" s="37"/>
      <c r="F1974" s="37"/>
      <c r="G1974" s="37"/>
      <c r="H1974" s="37"/>
      <c r="I1974" s="37"/>
      <c r="J1974" s="37"/>
    </row>
    <row r="1975" spans="1:10" x14ac:dyDescent="0.3">
      <c r="A1975" s="130"/>
      <c r="B1975" s="37"/>
      <c r="C1975" s="37"/>
      <c r="D1975" s="37"/>
      <c r="E1975" s="37"/>
      <c r="F1975" s="37"/>
      <c r="G1975" s="37"/>
      <c r="H1975" s="37"/>
      <c r="I1975" s="37"/>
      <c r="J1975" s="37"/>
    </row>
    <row r="1976" spans="1:10" x14ac:dyDescent="0.3">
      <c r="A1976" s="130"/>
      <c r="B1976" s="37"/>
      <c r="C1976" s="37"/>
      <c r="D1976" s="37"/>
      <c r="E1976" s="37"/>
      <c r="F1976" s="37"/>
      <c r="G1976" s="37"/>
      <c r="H1976" s="37"/>
      <c r="I1976" s="37"/>
      <c r="J1976" s="37"/>
    </row>
    <row r="1977" spans="1:10" x14ac:dyDescent="0.3">
      <c r="A1977" s="130"/>
      <c r="B1977" s="37"/>
      <c r="C1977" s="37"/>
      <c r="D1977" s="37"/>
      <c r="E1977" s="37"/>
      <c r="F1977" s="37"/>
      <c r="G1977" s="37"/>
      <c r="H1977" s="37"/>
      <c r="I1977" s="37"/>
      <c r="J1977" s="37"/>
    </row>
    <row r="1978" spans="1:10" x14ac:dyDescent="0.3">
      <c r="A1978" s="130"/>
      <c r="B1978" s="37"/>
      <c r="C1978" s="37"/>
      <c r="D1978" s="37"/>
      <c r="E1978" s="37"/>
      <c r="F1978" s="37"/>
      <c r="G1978" s="37"/>
      <c r="H1978" s="37"/>
      <c r="I1978" s="37"/>
      <c r="J1978" s="37"/>
    </row>
    <row r="1979" spans="1:10" x14ac:dyDescent="0.3">
      <c r="A1979" s="130"/>
      <c r="B1979" s="37"/>
      <c r="C1979" s="37"/>
      <c r="D1979" s="37"/>
      <c r="E1979" s="37"/>
      <c r="F1979" s="37"/>
      <c r="G1979" s="37"/>
      <c r="H1979" s="37"/>
      <c r="I1979" s="37"/>
      <c r="J1979" s="37"/>
    </row>
    <row r="1980" spans="1:10" x14ac:dyDescent="0.3">
      <c r="A1980" s="130"/>
      <c r="B1980" s="37"/>
      <c r="C1980" s="37"/>
      <c r="D1980" s="37"/>
      <c r="E1980" s="37"/>
      <c r="F1980" s="37"/>
      <c r="G1980" s="37"/>
      <c r="H1980" s="37"/>
      <c r="I1980" s="37"/>
      <c r="J1980" s="37"/>
    </row>
    <row r="1981" spans="1:10" x14ac:dyDescent="0.3">
      <c r="A1981" s="130"/>
      <c r="B1981" s="37"/>
      <c r="C1981" s="37"/>
      <c r="D1981" s="37"/>
      <c r="E1981" s="37"/>
      <c r="F1981" s="37"/>
      <c r="G1981" s="37"/>
      <c r="H1981" s="37"/>
      <c r="I1981" s="37"/>
      <c r="J1981" s="37"/>
    </row>
    <row r="1982" spans="1:10" x14ac:dyDescent="0.3">
      <c r="A1982" s="130"/>
      <c r="B1982" s="37"/>
      <c r="C1982" s="37"/>
      <c r="D1982" s="37"/>
      <c r="E1982" s="37"/>
      <c r="F1982" s="37"/>
      <c r="G1982" s="37"/>
      <c r="H1982" s="37"/>
      <c r="I1982" s="37"/>
      <c r="J1982" s="37"/>
    </row>
    <row r="1983" spans="1:10" x14ac:dyDescent="0.3">
      <c r="A1983" s="130"/>
      <c r="B1983" s="37"/>
      <c r="C1983" s="37"/>
      <c r="D1983" s="37"/>
      <c r="E1983" s="37"/>
      <c r="F1983" s="37"/>
      <c r="G1983" s="37"/>
      <c r="H1983" s="37"/>
      <c r="I1983" s="37"/>
      <c r="J1983" s="37"/>
    </row>
    <row r="1984" spans="1:10" x14ac:dyDescent="0.3">
      <c r="A1984" s="130"/>
      <c r="B1984" s="37"/>
      <c r="C1984" s="37"/>
      <c r="D1984" s="37"/>
      <c r="E1984" s="37"/>
      <c r="F1984" s="37"/>
      <c r="G1984" s="37"/>
      <c r="H1984" s="37"/>
      <c r="I1984" s="37"/>
      <c r="J1984" s="37"/>
    </row>
    <row r="1985" spans="1:10" x14ac:dyDescent="0.3">
      <c r="A1985" s="130"/>
      <c r="B1985" s="37"/>
      <c r="C1985" s="37"/>
      <c r="D1985" s="37"/>
      <c r="E1985" s="37"/>
      <c r="F1985" s="37"/>
      <c r="G1985" s="37"/>
      <c r="H1985" s="37"/>
      <c r="I1985" s="37"/>
      <c r="J1985" s="37"/>
    </row>
    <row r="1986" spans="1:10" x14ac:dyDescent="0.3">
      <c r="A1986" s="130"/>
      <c r="B1986" s="37"/>
      <c r="C1986" s="37"/>
      <c r="D1986" s="37"/>
      <c r="E1986" s="37"/>
      <c r="F1986" s="37"/>
      <c r="G1986" s="37"/>
      <c r="H1986" s="37"/>
      <c r="I1986" s="37"/>
      <c r="J1986" s="37"/>
    </row>
    <row r="1987" spans="1:10" x14ac:dyDescent="0.3">
      <c r="A1987" s="130"/>
      <c r="B1987" s="37"/>
      <c r="C1987" s="37"/>
      <c r="D1987" s="37"/>
      <c r="E1987" s="37"/>
      <c r="F1987" s="37"/>
      <c r="G1987" s="37"/>
      <c r="H1987" s="37"/>
      <c r="I1987" s="37"/>
      <c r="J1987" s="37"/>
    </row>
    <row r="1988" spans="1:10" x14ac:dyDescent="0.3">
      <c r="A1988" s="130"/>
      <c r="B1988" s="37"/>
      <c r="C1988" s="37"/>
      <c r="D1988" s="37"/>
      <c r="E1988" s="37"/>
      <c r="F1988" s="37"/>
      <c r="G1988" s="37"/>
      <c r="H1988" s="37"/>
      <c r="I1988" s="37"/>
      <c r="J1988" s="37"/>
    </row>
    <row r="1989" spans="1:10" x14ac:dyDescent="0.3">
      <c r="A1989" s="130"/>
      <c r="B1989" s="37"/>
      <c r="C1989" s="37"/>
      <c r="D1989" s="37"/>
      <c r="E1989" s="37"/>
      <c r="F1989" s="37"/>
      <c r="G1989" s="37"/>
      <c r="H1989" s="37"/>
      <c r="I1989" s="37"/>
      <c r="J1989" s="37"/>
    </row>
    <row r="1990" spans="1:10" x14ac:dyDescent="0.3">
      <c r="A1990" s="130"/>
      <c r="B1990" s="37"/>
      <c r="C1990" s="37"/>
      <c r="D1990" s="37"/>
      <c r="E1990" s="37"/>
      <c r="F1990" s="37"/>
      <c r="G1990" s="37"/>
      <c r="H1990" s="37"/>
      <c r="I1990" s="37"/>
      <c r="J1990" s="37"/>
    </row>
    <row r="1991" spans="1:10" x14ac:dyDescent="0.3">
      <c r="A1991" s="130"/>
      <c r="B1991" s="37"/>
      <c r="C1991" s="37"/>
      <c r="D1991" s="37"/>
      <c r="E1991" s="37"/>
      <c r="F1991" s="37"/>
      <c r="G1991" s="37"/>
      <c r="H1991" s="37"/>
      <c r="I1991" s="37"/>
      <c r="J1991" s="37"/>
    </row>
    <row r="1992" spans="1:10" x14ac:dyDescent="0.3">
      <c r="A1992" s="130"/>
      <c r="B1992" s="37"/>
      <c r="C1992" s="37"/>
      <c r="D1992" s="37"/>
      <c r="E1992" s="37"/>
      <c r="F1992" s="37"/>
      <c r="G1992" s="37"/>
      <c r="H1992" s="37"/>
      <c r="I1992" s="37"/>
      <c r="J1992" s="37"/>
    </row>
    <row r="1993" spans="1:10" x14ac:dyDescent="0.3">
      <c r="A1993" s="130"/>
      <c r="B1993" s="37"/>
      <c r="C1993" s="37"/>
      <c r="D1993" s="37"/>
      <c r="E1993" s="37"/>
      <c r="F1993" s="37"/>
      <c r="G1993" s="37"/>
      <c r="H1993" s="37"/>
      <c r="I1993" s="37"/>
      <c r="J1993" s="37"/>
    </row>
    <row r="1994" spans="1:10" x14ac:dyDescent="0.3">
      <c r="A1994" s="130"/>
      <c r="B1994" s="37"/>
      <c r="C1994" s="37"/>
      <c r="D1994" s="37"/>
      <c r="E1994" s="37"/>
      <c r="F1994" s="37"/>
      <c r="G1994" s="37"/>
      <c r="H1994" s="37"/>
      <c r="I1994" s="37"/>
      <c r="J1994" s="37"/>
    </row>
    <row r="1995" spans="1:10" x14ac:dyDescent="0.3">
      <c r="A1995" s="130"/>
      <c r="B1995" s="37"/>
      <c r="C1995" s="37"/>
      <c r="D1995" s="37"/>
      <c r="E1995" s="37"/>
      <c r="F1995" s="37"/>
      <c r="G1995" s="37"/>
      <c r="H1995" s="37"/>
      <c r="I1995" s="37"/>
      <c r="J1995" s="37"/>
    </row>
    <row r="1996" spans="1:10" x14ac:dyDescent="0.3">
      <c r="A1996" s="130"/>
      <c r="B1996" s="37"/>
      <c r="C1996" s="37"/>
      <c r="D1996" s="37"/>
      <c r="E1996" s="37"/>
      <c r="F1996" s="37"/>
      <c r="G1996" s="37"/>
      <c r="H1996" s="37"/>
      <c r="I1996" s="37"/>
      <c r="J1996" s="37"/>
    </row>
    <row r="1997" spans="1:10" x14ac:dyDescent="0.3">
      <c r="A1997" s="130"/>
      <c r="B1997" s="37"/>
      <c r="C1997" s="37"/>
      <c r="D1997" s="37"/>
      <c r="E1997" s="37"/>
      <c r="F1997" s="37"/>
      <c r="G1997" s="37"/>
      <c r="H1997" s="37"/>
      <c r="I1997" s="37"/>
      <c r="J1997" s="37"/>
    </row>
    <row r="1998" spans="1:10" x14ac:dyDescent="0.3">
      <c r="A1998" s="130"/>
      <c r="B1998" s="37"/>
      <c r="C1998" s="37"/>
      <c r="D1998" s="37"/>
      <c r="E1998" s="37"/>
      <c r="F1998" s="37"/>
      <c r="G1998" s="37"/>
      <c r="H1998" s="37"/>
      <c r="I1998" s="37"/>
      <c r="J1998" s="37"/>
    </row>
    <row r="1999" spans="1:10" x14ac:dyDescent="0.3">
      <c r="A1999" s="130"/>
      <c r="B1999" s="37"/>
      <c r="C1999" s="37"/>
      <c r="D1999" s="37"/>
      <c r="E1999" s="37"/>
      <c r="F1999" s="37"/>
      <c r="G1999" s="37"/>
      <c r="H1999" s="37"/>
      <c r="I1999" s="37"/>
      <c r="J1999" s="37"/>
    </row>
    <row r="2000" spans="1:10" x14ac:dyDescent="0.3">
      <c r="A2000" s="130"/>
      <c r="B2000" s="37"/>
      <c r="C2000" s="37"/>
      <c r="D2000" s="37"/>
      <c r="E2000" s="37"/>
      <c r="F2000" s="37"/>
      <c r="G2000" s="37"/>
      <c r="H2000" s="37"/>
      <c r="I2000" s="37"/>
      <c r="J2000" s="37"/>
    </row>
    <row r="2001" spans="1:10" x14ac:dyDescent="0.3">
      <c r="A2001" s="130"/>
      <c r="B2001" s="37"/>
      <c r="C2001" s="37"/>
      <c r="D2001" s="37"/>
      <c r="E2001" s="37"/>
      <c r="F2001" s="37"/>
      <c r="G2001" s="37"/>
      <c r="H2001" s="37"/>
      <c r="I2001" s="37"/>
      <c r="J2001" s="37"/>
    </row>
    <row r="2002" spans="1:10" x14ac:dyDescent="0.3">
      <c r="A2002" s="130"/>
      <c r="B2002" s="37"/>
      <c r="C2002" s="37"/>
      <c r="D2002" s="37"/>
      <c r="E2002" s="37"/>
      <c r="F2002" s="37"/>
      <c r="G2002" s="37"/>
      <c r="H2002" s="37"/>
      <c r="I2002" s="37"/>
      <c r="J2002" s="37"/>
    </row>
    <row r="2003" spans="1:10" x14ac:dyDescent="0.3">
      <c r="A2003" s="130"/>
      <c r="B2003" s="37"/>
      <c r="C2003" s="37"/>
      <c r="D2003" s="37"/>
      <c r="E2003" s="37"/>
      <c r="F2003" s="37"/>
      <c r="G2003" s="37"/>
      <c r="H2003" s="37"/>
      <c r="I2003" s="37"/>
      <c r="J2003" s="37"/>
    </row>
    <row r="2004" spans="1:10" x14ac:dyDescent="0.3">
      <c r="A2004" s="130"/>
      <c r="B2004" s="37"/>
      <c r="C2004" s="37"/>
      <c r="D2004" s="37"/>
      <c r="E2004" s="37"/>
      <c r="F2004" s="37"/>
      <c r="G2004" s="37"/>
      <c r="H2004" s="37"/>
      <c r="I2004" s="37"/>
      <c r="J2004" s="37"/>
    </row>
    <row r="2005" spans="1:10" x14ac:dyDescent="0.3">
      <c r="A2005" s="130"/>
      <c r="B2005" s="37"/>
      <c r="C2005" s="37"/>
      <c r="D2005" s="37"/>
      <c r="E2005" s="37"/>
      <c r="F2005" s="37"/>
      <c r="G2005" s="37"/>
      <c r="H2005" s="37"/>
      <c r="I2005" s="37"/>
      <c r="J2005" s="37"/>
    </row>
    <row r="2006" spans="1:10" x14ac:dyDescent="0.3">
      <c r="A2006" s="130"/>
      <c r="B2006" s="37"/>
      <c r="C2006" s="37"/>
      <c r="D2006" s="37"/>
      <c r="E2006" s="37"/>
      <c r="F2006" s="37"/>
      <c r="G2006" s="37"/>
      <c r="H2006" s="37"/>
      <c r="I2006" s="37"/>
      <c r="J2006" s="37"/>
    </row>
    <row r="2007" spans="1:10" x14ac:dyDescent="0.3">
      <c r="A2007" s="130"/>
      <c r="B2007" s="37"/>
      <c r="C2007" s="37"/>
      <c r="D2007" s="37"/>
      <c r="E2007" s="37"/>
      <c r="F2007" s="37"/>
      <c r="G2007" s="37"/>
      <c r="H2007" s="37"/>
      <c r="I2007" s="37"/>
      <c r="J2007" s="37"/>
    </row>
    <row r="2008" spans="1:10" x14ac:dyDescent="0.3">
      <c r="A2008" s="130"/>
      <c r="B2008" s="37"/>
      <c r="C2008" s="37"/>
      <c r="D2008" s="37"/>
      <c r="E2008" s="37"/>
      <c r="F2008" s="37"/>
      <c r="G2008" s="37"/>
      <c r="H2008" s="37"/>
      <c r="I2008" s="37"/>
      <c r="J2008" s="37"/>
    </row>
    <row r="2009" spans="1:10" x14ac:dyDescent="0.3">
      <c r="A2009" s="130"/>
      <c r="B2009" s="37"/>
      <c r="C2009" s="37"/>
      <c r="D2009" s="37"/>
      <c r="E2009" s="37"/>
      <c r="F2009" s="37"/>
      <c r="G2009" s="37"/>
      <c r="H2009" s="37"/>
      <c r="I2009" s="37"/>
      <c r="J2009" s="37"/>
    </row>
    <row r="2010" spans="1:10" x14ac:dyDescent="0.3">
      <c r="A2010" s="130"/>
      <c r="B2010" s="37"/>
      <c r="C2010" s="37"/>
      <c r="D2010" s="37"/>
      <c r="E2010" s="37"/>
      <c r="F2010" s="37"/>
      <c r="G2010" s="37"/>
      <c r="H2010" s="37"/>
      <c r="I2010" s="37"/>
      <c r="J2010" s="37"/>
    </row>
    <row r="2011" spans="1:10" x14ac:dyDescent="0.3">
      <c r="A2011" s="130"/>
      <c r="B2011" s="37"/>
      <c r="C2011" s="37"/>
      <c r="D2011" s="37"/>
      <c r="E2011" s="37"/>
      <c r="F2011" s="37"/>
      <c r="G2011" s="37"/>
      <c r="H2011" s="37"/>
      <c r="I2011" s="37"/>
      <c r="J2011" s="37"/>
    </row>
    <row r="2012" spans="1:10" x14ac:dyDescent="0.3">
      <c r="A2012" s="130"/>
      <c r="B2012" s="37"/>
      <c r="C2012" s="37"/>
      <c r="D2012" s="37"/>
      <c r="E2012" s="37"/>
      <c r="F2012" s="37"/>
      <c r="G2012" s="37"/>
      <c r="H2012" s="37"/>
      <c r="I2012" s="37"/>
      <c r="J2012" s="37"/>
    </row>
    <row r="2013" spans="1:10" x14ac:dyDescent="0.3">
      <c r="A2013" s="130"/>
      <c r="B2013" s="37"/>
      <c r="C2013" s="37"/>
      <c r="D2013" s="37"/>
      <c r="E2013" s="37"/>
      <c r="F2013" s="37"/>
      <c r="G2013" s="37"/>
      <c r="H2013" s="37"/>
      <c r="I2013" s="37"/>
      <c r="J2013" s="37"/>
    </row>
    <row r="2014" spans="1:10" x14ac:dyDescent="0.3">
      <c r="A2014" s="130"/>
      <c r="B2014" s="37"/>
      <c r="C2014" s="37"/>
      <c r="D2014" s="37"/>
      <c r="E2014" s="37"/>
      <c r="F2014" s="37"/>
      <c r="G2014" s="37"/>
      <c r="H2014" s="37"/>
      <c r="I2014" s="37"/>
      <c r="J2014" s="37"/>
    </row>
    <row r="2015" spans="1:10" x14ac:dyDescent="0.3">
      <c r="A2015" s="130"/>
      <c r="B2015" s="37"/>
      <c r="C2015" s="37"/>
      <c r="D2015" s="37"/>
      <c r="E2015" s="37"/>
      <c r="F2015" s="37"/>
      <c r="G2015" s="37"/>
      <c r="H2015" s="37"/>
      <c r="I2015" s="37"/>
      <c r="J2015" s="37"/>
    </row>
    <row r="2016" spans="1:10" x14ac:dyDescent="0.3">
      <c r="A2016" s="130"/>
      <c r="B2016" s="37"/>
      <c r="C2016" s="37"/>
      <c r="D2016" s="37"/>
      <c r="E2016" s="37"/>
      <c r="F2016" s="37"/>
      <c r="G2016" s="37"/>
      <c r="H2016" s="37"/>
      <c r="I2016" s="37"/>
      <c r="J2016" s="37"/>
    </row>
    <row r="2017" spans="1:10" x14ac:dyDescent="0.3">
      <c r="A2017" s="130"/>
      <c r="B2017" s="37"/>
      <c r="C2017" s="37"/>
      <c r="D2017" s="37"/>
      <c r="E2017" s="37"/>
      <c r="F2017" s="37"/>
      <c r="G2017" s="37"/>
      <c r="H2017" s="37"/>
      <c r="I2017" s="37"/>
      <c r="J2017" s="37"/>
    </row>
    <row r="2018" spans="1:10" x14ac:dyDescent="0.3">
      <c r="A2018" s="130"/>
      <c r="B2018" s="37"/>
      <c r="C2018" s="37"/>
      <c r="D2018" s="37"/>
      <c r="E2018" s="37"/>
      <c r="F2018" s="37"/>
      <c r="G2018" s="37"/>
      <c r="H2018" s="37"/>
      <c r="I2018" s="37"/>
      <c r="J2018" s="37"/>
    </row>
    <row r="2019" spans="1:10" x14ac:dyDescent="0.3">
      <c r="A2019" s="130"/>
      <c r="B2019" s="37"/>
      <c r="C2019" s="37"/>
      <c r="D2019" s="37"/>
      <c r="E2019" s="37"/>
      <c r="F2019" s="37"/>
      <c r="G2019" s="37"/>
      <c r="H2019" s="37"/>
      <c r="I2019" s="37"/>
      <c r="J2019" s="37"/>
    </row>
    <row r="2020" spans="1:10" x14ac:dyDescent="0.3">
      <c r="A2020" s="130"/>
      <c r="B2020" s="37"/>
      <c r="C2020" s="37"/>
      <c r="D2020" s="37"/>
      <c r="E2020" s="37"/>
      <c r="F2020" s="37"/>
      <c r="G2020" s="37"/>
      <c r="H2020" s="37"/>
      <c r="I2020" s="37"/>
      <c r="J2020" s="37"/>
    </row>
    <row r="2021" spans="1:10" x14ac:dyDescent="0.3">
      <c r="A2021" s="130"/>
      <c r="B2021" s="37"/>
      <c r="C2021" s="37"/>
      <c r="D2021" s="37"/>
      <c r="E2021" s="37"/>
      <c r="F2021" s="37"/>
      <c r="G2021" s="37"/>
      <c r="H2021" s="37"/>
      <c r="I2021" s="37"/>
      <c r="J2021" s="37"/>
    </row>
    <row r="2022" spans="1:10" x14ac:dyDescent="0.3">
      <c r="A2022" s="130"/>
      <c r="B2022" s="37"/>
      <c r="C2022" s="37"/>
      <c r="D2022" s="37"/>
      <c r="E2022" s="37"/>
      <c r="F2022" s="37"/>
      <c r="G2022" s="37"/>
      <c r="H2022" s="37"/>
      <c r="I2022" s="37"/>
      <c r="J2022" s="37"/>
    </row>
    <row r="2023" spans="1:10" x14ac:dyDescent="0.3">
      <c r="A2023" s="130"/>
      <c r="B2023" s="37"/>
      <c r="C2023" s="37"/>
      <c r="D2023" s="37"/>
      <c r="E2023" s="37"/>
      <c r="F2023" s="37"/>
      <c r="G2023" s="37"/>
      <c r="H2023" s="37"/>
      <c r="I2023" s="37"/>
      <c r="J2023" s="37"/>
    </row>
    <row r="2024" spans="1:10" x14ac:dyDescent="0.3">
      <c r="A2024" s="130"/>
      <c r="B2024" s="37"/>
      <c r="C2024" s="37"/>
      <c r="D2024" s="37"/>
      <c r="E2024" s="37"/>
      <c r="F2024" s="37"/>
      <c r="G2024" s="37"/>
      <c r="H2024" s="37"/>
      <c r="I2024" s="37"/>
      <c r="J2024" s="37"/>
    </row>
    <row r="2025" spans="1:10" x14ac:dyDescent="0.3">
      <c r="A2025" s="130"/>
      <c r="B2025" s="37"/>
      <c r="C2025" s="37"/>
      <c r="D2025" s="37"/>
      <c r="E2025" s="37"/>
      <c r="F2025" s="37"/>
      <c r="G2025" s="37"/>
      <c r="H2025" s="37"/>
      <c r="I2025" s="37"/>
      <c r="J2025" s="37"/>
    </row>
    <row r="2026" spans="1:10" x14ac:dyDescent="0.3">
      <c r="A2026" s="130"/>
      <c r="B2026" s="37"/>
      <c r="C2026" s="37"/>
      <c r="D2026" s="37"/>
      <c r="E2026" s="37"/>
      <c r="F2026" s="37"/>
      <c r="G2026" s="37"/>
      <c r="H2026" s="37"/>
      <c r="I2026" s="37"/>
      <c r="J2026" s="37"/>
    </row>
    <row r="2027" spans="1:10" x14ac:dyDescent="0.3">
      <c r="A2027" s="130"/>
      <c r="B2027" s="37"/>
      <c r="C2027" s="37"/>
      <c r="D2027" s="37"/>
      <c r="E2027" s="37"/>
      <c r="F2027" s="37"/>
      <c r="G2027" s="37"/>
      <c r="H2027" s="37"/>
      <c r="I2027" s="37"/>
      <c r="J2027" s="37"/>
    </row>
    <row r="2028" spans="1:10" x14ac:dyDescent="0.3">
      <c r="A2028" s="130"/>
      <c r="B2028" s="37"/>
      <c r="C2028" s="37"/>
      <c r="D2028" s="37"/>
      <c r="E2028" s="37"/>
      <c r="F2028" s="37"/>
      <c r="G2028" s="37"/>
      <c r="H2028" s="37"/>
      <c r="I2028" s="37"/>
      <c r="J2028" s="37"/>
    </row>
    <row r="2029" spans="1:10" x14ac:dyDescent="0.3">
      <c r="A2029" s="130"/>
      <c r="B2029" s="37"/>
      <c r="C2029" s="37"/>
      <c r="D2029" s="37"/>
      <c r="E2029" s="37"/>
      <c r="F2029" s="37"/>
      <c r="G2029" s="37"/>
      <c r="H2029" s="37"/>
      <c r="I2029" s="37"/>
      <c r="J2029" s="37"/>
    </row>
    <row r="2030" spans="1:10" x14ac:dyDescent="0.3">
      <c r="A2030" s="130"/>
      <c r="B2030" s="37"/>
      <c r="C2030" s="37"/>
      <c r="D2030" s="37"/>
      <c r="E2030" s="37"/>
      <c r="F2030" s="37"/>
      <c r="G2030" s="37"/>
      <c r="H2030" s="37"/>
      <c r="I2030" s="37"/>
      <c r="J2030" s="37"/>
    </row>
    <row r="2031" spans="1:10" x14ac:dyDescent="0.3">
      <c r="A2031" s="130"/>
      <c r="B2031" s="37"/>
      <c r="C2031" s="37"/>
      <c r="D2031" s="37"/>
      <c r="E2031" s="37"/>
      <c r="F2031" s="37"/>
      <c r="G2031" s="37"/>
      <c r="H2031" s="37"/>
      <c r="I2031" s="37"/>
      <c r="J2031" s="37"/>
    </row>
    <row r="2032" spans="1:10" x14ac:dyDescent="0.3">
      <c r="A2032" s="130"/>
      <c r="B2032" s="37"/>
      <c r="C2032" s="37"/>
      <c r="D2032" s="37"/>
      <c r="E2032" s="37"/>
      <c r="F2032" s="37"/>
      <c r="G2032" s="37"/>
      <c r="H2032" s="37"/>
      <c r="I2032" s="37"/>
      <c r="J2032" s="37"/>
    </row>
    <row r="2033" spans="1:10" x14ac:dyDescent="0.3">
      <c r="A2033" s="130"/>
      <c r="B2033" s="37"/>
      <c r="C2033" s="37"/>
      <c r="D2033" s="37"/>
      <c r="E2033" s="37"/>
      <c r="F2033" s="37"/>
      <c r="G2033" s="37"/>
      <c r="H2033" s="37"/>
      <c r="I2033" s="37"/>
      <c r="J2033" s="37"/>
    </row>
    <row r="2034" spans="1:10" x14ac:dyDescent="0.3">
      <c r="A2034" s="130"/>
      <c r="B2034" s="37"/>
      <c r="C2034" s="37"/>
      <c r="D2034" s="37"/>
      <c r="E2034" s="37"/>
      <c r="F2034" s="37"/>
      <c r="G2034" s="37"/>
      <c r="H2034" s="37"/>
      <c r="I2034" s="37"/>
      <c r="J2034" s="37"/>
    </row>
    <row r="2035" spans="1:10" x14ac:dyDescent="0.3">
      <c r="A2035" s="130"/>
      <c r="B2035" s="37"/>
      <c r="C2035" s="37"/>
      <c r="D2035" s="37"/>
      <c r="E2035" s="37"/>
      <c r="F2035" s="37"/>
      <c r="G2035" s="37"/>
      <c r="H2035" s="37"/>
      <c r="I2035" s="37"/>
      <c r="J2035" s="37"/>
    </row>
    <row r="2036" spans="1:10" x14ac:dyDescent="0.3">
      <c r="A2036" s="130"/>
      <c r="B2036" s="37"/>
      <c r="C2036" s="37"/>
      <c r="D2036" s="37"/>
      <c r="E2036" s="37"/>
      <c r="F2036" s="37"/>
      <c r="G2036" s="37"/>
      <c r="H2036" s="37"/>
      <c r="I2036" s="37"/>
      <c r="J2036" s="37"/>
    </row>
    <row r="2037" spans="1:10" x14ac:dyDescent="0.3">
      <c r="A2037" s="130"/>
      <c r="B2037" s="37"/>
      <c r="C2037" s="37"/>
      <c r="D2037" s="37"/>
      <c r="E2037" s="37"/>
      <c r="F2037" s="37"/>
      <c r="G2037" s="37"/>
      <c r="H2037" s="37"/>
      <c r="I2037" s="37"/>
      <c r="J2037" s="37"/>
    </row>
    <row r="2038" spans="1:10" x14ac:dyDescent="0.3">
      <c r="A2038" s="130"/>
      <c r="B2038" s="37"/>
      <c r="C2038" s="37"/>
      <c r="D2038" s="37"/>
      <c r="E2038" s="37"/>
      <c r="F2038" s="37"/>
      <c r="G2038" s="37"/>
      <c r="H2038" s="37"/>
      <c r="I2038" s="37"/>
      <c r="J2038" s="37"/>
    </row>
    <row r="2039" spans="1:10" x14ac:dyDescent="0.3">
      <c r="A2039" s="130"/>
      <c r="B2039" s="37"/>
      <c r="C2039" s="37"/>
      <c r="D2039" s="37"/>
      <c r="E2039" s="37"/>
      <c r="F2039" s="37"/>
      <c r="G2039" s="37"/>
      <c r="H2039" s="37"/>
      <c r="I2039" s="37"/>
      <c r="J2039" s="37"/>
    </row>
    <row r="2040" spans="1:10" x14ac:dyDescent="0.3">
      <c r="A2040" s="130"/>
      <c r="B2040" s="37"/>
      <c r="C2040" s="37"/>
      <c r="D2040" s="37"/>
      <c r="E2040" s="37"/>
      <c r="F2040" s="37"/>
      <c r="G2040" s="37"/>
      <c r="H2040" s="37"/>
      <c r="I2040" s="37"/>
      <c r="J2040" s="37"/>
    </row>
    <row r="2041" spans="1:10" x14ac:dyDescent="0.3">
      <c r="A2041" s="130"/>
      <c r="B2041" s="37"/>
      <c r="C2041" s="37"/>
      <c r="D2041" s="37"/>
      <c r="E2041" s="37"/>
      <c r="F2041" s="37"/>
      <c r="G2041" s="37"/>
      <c r="H2041" s="37"/>
      <c r="I2041" s="37"/>
      <c r="J2041" s="37"/>
    </row>
    <row r="2042" spans="1:10" x14ac:dyDescent="0.3">
      <c r="A2042" s="130"/>
      <c r="B2042" s="37"/>
      <c r="C2042" s="37"/>
      <c r="D2042" s="37"/>
      <c r="E2042" s="37"/>
      <c r="F2042" s="37"/>
      <c r="G2042" s="37"/>
      <c r="H2042" s="37"/>
      <c r="I2042" s="37"/>
      <c r="J2042" s="37"/>
    </row>
    <row r="2043" spans="1:10" x14ac:dyDescent="0.3">
      <c r="A2043" s="130"/>
      <c r="B2043" s="37"/>
      <c r="C2043" s="37"/>
      <c r="D2043" s="37"/>
      <c r="E2043" s="37"/>
      <c r="F2043" s="37"/>
      <c r="G2043" s="37"/>
      <c r="H2043" s="37"/>
      <c r="I2043" s="37"/>
      <c r="J2043" s="37"/>
    </row>
    <row r="2044" spans="1:10" x14ac:dyDescent="0.3">
      <c r="A2044" s="130"/>
      <c r="B2044" s="37"/>
      <c r="C2044" s="37"/>
      <c r="D2044" s="37"/>
      <c r="E2044" s="37"/>
      <c r="F2044" s="37"/>
      <c r="G2044" s="37"/>
      <c r="H2044" s="37"/>
      <c r="I2044" s="37"/>
      <c r="J2044" s="37"/>
    </row>
    <row r="2045" spans="1:10" x14ac:dyDescent="0.3">
      <c r="A2045" s="130"/>
      <c r="B2045" s="37"/>
      <c r="C2045" s="37"/>
      <c r="D2045" s="37"/>
      <c r="E2045" s="37"/>
      <c r="F2045" s="37"/>
      <c r="G2045" s="37"/>
      <c r="H2045" s="37"/>
      <c r="I2045" s="37"/>
      <c r="J2045" s="37"/>
    </row>
    <row r="2046" spans="1:10" x14ac:dyDescent="0.3">
      <c r="A2046" s="130"/>
      <c r="B2046" s="37"/>
      <c r="C2046" s="37"/>
      <c r="D2046" s="37"/>
      <c r="E2046" s="37"/>
      <c r="F2046" s="37"/>
      <c r="G2046" s="37"/>
      <c r="H2046" s="37"/>
      <c r="I2046" s="37"/>
      <c r="J2046" s="37"/>
    </row>
    <row r="2047" spans="1:10" x14ac:dyDescent="0.3">
      <c r="A2047" s="130"/>
      <c r="B2047" s="37"/>
      <c r="C2047" s="37"/>
      <c r="D2047" s="37"/>
      <c r="E2047" s="37"/>
      <c r="F2047" s="37"/>
      <c r="G2047" s="37"/>
      <c r="H2047" s="37"/>
      <c r="I2047" s="37"/>
      <c r="J2047" s="37"/>
    </row>
    <row r="2048" spans="1:10" x14ac:dyDescent="0.3">
      <c r="A2048" s="130"/>
      <c r="B2048" s="37"/>
      <c r="C2048" s="37"/>
      <c r="D2048" s="37"/>
      <c r="E2048" s="37"/>
      <c r="F2048" s="37"/>
      <c r="G2048" s="37"/>
      <c r="H2048" s="37"/>
      <c r="I2048" s="37"/>
      <c r="J2048" s="37"/>
    </row>
    <row r="2049" spans="1:10" x14ac:dyDescent="0.3">
      <c r="A2049" s="130"/>
      <c r="B2049" s="37"/>
      <c r="C2049" s="37"/>
      <c r="D2049" s="37"/>
      <c r="E2049" s="37"/>
      <c r="F2049" s="37"/>
      <c r="G2049" s="37"/>
      <c r="H2049" s="37"/>
      <c r="I2049" s="37"/>
      <c r="J2049" s="37"/>
    </row>
    <row r="2050" spans="1:10" x14ac:dyDescent="0.3">
      <c r="A2050" s="130"/>
      <c r="B2050" s="37"/>
      <c r="C2050" s="37"/>
      <c r="D2050" s="37"/>
      <c r="E2050" s="37"/>
      <c r="F2050" s="37"/>
      <c r="G2050" s="37"/>
      <c r="H2050" s="37"/>
      <c r="I2050" s="37"/>
      <c r="J2050" s="37"/>
    </row>
    <row r="2051" spans="1:10" x14ac:dyDescent="0.3">
      <c r="A2051" s="130"/>
      <c r="B2051" s="37"/>
      <c r="C2051" s="37"/>
      <c r="D2051" s="37"/>
      <c r="E2051" s="37"/>
      <c r="F2051" s="37"/>
      <c r="G2051" s="37"/>
      <c r="H2051" s="37"/>
      <c r="I2051" s="37"/>
      <c r="J2051" s="37"/>
    </row>
    <row r="2052" spans="1:10" x14ac:dyDescent="0.3">
      <c r="A2052" s="130"/>
      <c r="B2052" s="37"/>
      <c r="C2052" s="37"/>
      <c r="D2052" s="37"/>
      <c r="E2052" s="37"/>
      <c r="F2052" s="37"/>
      <c r="G2052" s="37"/>
      <c r="H2052" s="37"/>
      <c r="I2052" s="37"/>
      <c r="J2052" s="37"/>
    </row>
    <row r="2053" spans="1:10" x14ac:dyDescent="0.3">
      <c r="A2053" s="130"/>
      <c r="B2053" s="37"/>
      <c r="C2053" s="37"/>
      <c r="D2053" s="37"/>
      <c r="E2053" s="37"/>
      <c r="F2053" s="37"/>
      <c r="G2053" s="37"/>
      <c r="H2053" s="37"/>
      <c r="I2053" s="37"/>
      <c r="J2053" s="37"/>
    </row>
    <row r="2054" spans="1:10" x14ac:dyDescent="0.3">
      <c r="A2054" s="130"/>
      <c r="B2054" s="37"/>
      <c r="C2054" s="37"/>
      <c r="D2054" s="37"/>
      <c r="E2054" s="37"/>
      <c r="F2054" s="37"/>
      <c r="G2054" s="37"/>
      <c r="H2054" s="37"/>
      <c r="I2054" s="37"/>
      <c r="J2054" s="37"/>
    </row>
    <row r="2055" spans="1:10" x14ac:dyDescent="0.3">
      <c r="A2055" s="130"/>
      <c r="B2055" s="37"/>
      <c r="C2055" s="37"/>
      <c r="D2055" s="37"/>
      <c r="E2055" s="37"/>
      <c r="F2055" s="37"/>
      <c r="G2055" s="37"/>
      <c r="H2055" s="37"/>
      <c r="I2055" s="37"/>
      <c r="J2055" s="37"/>
    </row>
    <row r="2056" spans="1:10" x14ac:dyDescent="0.3">
      <c r="A2056" s="130"/>
      <c r="B2056" s="37"/>
      <c r="C2056" s="37"/>
      <c r="D2056" s="37"/>
      <c r="E2056" s="37"/>
      <c r="F2056" s="37"/>
      <c r="G2056" s="37"/>
      <c r="H2056" s="37"/>
      <c r="I2056" s="37"/>
      <c r="J2056" s="37"/>
    </row>
    <row r="2057" spans="1:10" x14ac:dyDescent="0.3">
      <c r="A2057" s="130"/>
      <c r="B2057" s="37"/>
      <c r="C2057" s="37"/>
      <c r="D2057" s="37"/>
      <c r="E2057" s="37"/>
      <c r="F2057" s="37"/>
      <c r="G2057" s="37"/>
      <c r="H2057" s="37"/>
      <c r="I2057" s="37"/>
      <c r="J2057" s="37"/>
    </row>
    <row r="2058" spans="1:10" x14ac:dyDescent="0.3">
      <c r="A2058" s="130"/>
      <c r="B2058" s="37"/>
      <c r="C2058" s="37"/>
      <c r="D2058" s="37"/>
      <c r="E2058" s="37"/>
      <c r="F2058" s="37"/>
      <c r="G2058" s="37"/>
      <c r="H2058" s="37"/>
      <c r="I2058" s="37"/>
      <c r="J2058" s="37"/>
    </row>
    <row r="2059" spans="1:10" x14ac:dyDescent="0.3">
      <c r="A2059" s="130"/>
      <c r="B2059" s="37"/>
      <c r="C2059" s="37"/>
      <c r="D2059" s="37"/>
      <c r="E2059" s="37"/>
      <c r="F2059" s="37"/>
      <c r="G2059" s="37"/>
      <c r="H2059" s="37"/>
      <c r="I2059" s="37"/>
      <c r="J2059" s="37"/>
    </row>
    <row r="2060" spans="1:10" x14ac:dyDescent="0.3">
      <c r="A2060" s="130"/>
      <c r="B2060" s="37"/>
      <c r="C2060" s="37"/>
      <c r="D2060" s="37"/>
      <c r="E2060" s="37"/>
      <c r="F2060" s="37"/>
      <c r="G2060" s="37"/>
      <c r="H2060" s="37"/>
      <c r="I2060" s="37"/>
      <c r="J2060" s="37"/>
    </row>
    <row r="2061" spans="1:10" x14ac:dyDescent="0.3">
      <c r="A2061" s="130"/>
      <c r="B2061" s="37"/>
      <c r="C2061" s="37"/>
      <c r="D2061" s="37"/>
      <c r="E2061" s="37"/>
      <c r="F2061" s="37"/>
      <c r="G2061" s="37"/>
      <c r="H2061" s="37"/>
      <c r="I2061" s="37"/>
      <c r="J2061" s="37"/>
    </row>
    <row r="2062" spans="1:10" x14ac:dyDescent="0.3">
      <c r="A2062" s="130"/>
      <c r="B2062" s="37"/>
      <c r="C2062" s="37"/>
      <c r="D2062" s="37"/>
      <c r="E2062" s="37"/>
      <c r="F2062" s="37"/>
      <c r="G2062" s="37"/>
      <c r="H2062" s="37"/>
      <c r="I2062" s="37"/>
      <c r="J2062" s="37"/>
    </row>
    <row r="2063" spans="1:10" x14ac:dyDescent="0.3">
      <c r="A2063" s="130"/>
      <c r="B2063" s="37"/>
      <c r="C2063" s="37"/>
      <c r="D2063" s="37"/>
      <c r="E2063" s="37"/>
      <c r="F2063" s="37"/>
      <c r="G2063" s="37"/>
      <c r="H2063" s="37"/>
      <c r="I2063" s="37"/>
      <c r="J2063" s="37"/>
    </row>
    <row r="2064" spans="1:10" x14ac:dyDescent="0.3">
      <c r="A2064" s="130"/>
      <c r="B2064" s="37"/>
      <c r="C2064" s="37"/>
      <c r="D2064" s="37"/>
      <c r="E2064" s="37"/>
      <c r="F2064" s="37"/>
      <c r="G2064" s="37"/>
      <c r="H2064" s="37"/>
      <c r="I2064" s="37"/>
      <c r="J2064" s="37"/>
    </row>
    <row r="2065" spans="1:10" x14ac:dyDescent="0.3">
      <c r="A2065" s="130"/>
      <c r="B2065" s="37"/>
      <c r="C2065" s="37"/>
      <c r="D2065" s="37"/>
      <c r="E2065" s="37"/>
      <c r="F2065" s="37"/>
      <c r="G2065" s="37"/>
      <c r="H2065" s="37"/>
      <c r="I2065" s="37"/>
      <c r="J2065" s="37"/>
    </row>
    <row r="2066" spans="1:10" x14ac:dyDescent="0.3">
      <c r="A2066" s="130"/>
      <c r="B2066" s="37"/>
      <c r="C2066" s="37"/>
      <c r="D2066" s="37"/>
      <c r="E2066" s="37"/>
      <c r="F2066" s="37"/>
      <c r="G2066" s="37"/>
      <c r="H2066" s="37"/>
      <c r="I2066" s="37"/>
      <c r="J2066" s="37"/>
    </row>
    <row r="2067" spans="1:10" x14ac:dyDescent="0.3">
      <c r="A2067" s="130"/>
      <c r="B2067" s="37"/>
      <c r="C2067" s="37"/>
      <c r="D2067" s="37"/>
      <c r="E2067" s="37"/>
      <c r="F2067" s="37"/>
      <c r="G2067" s="37"/>
      <c r="H2067" s="37"/>
      <c r="I2067" s="37"/>
      <c r="J2067" s="37"/>
    </row>
    <row r="2068" spans="1:10" x14ac:dyDescent="0.3">
      <c r="A2068" s="130"/>
      <c r="B2068" s="37"/>
      <c r="C2068" s="37"/>
      <c r="D2068" s="37"/>
      <c r="E2068" s="37"/>
      <c r="F2068" s="37"/>
      <c r="G2068" s="37"/>
      <c r="H2068" s="37"/>
      <c r="I2068" s="37"/>
      <c r="J2068" s="37"/>
    </row>
    <row r="2069" spans="1:10" x14ac:dyDescent="0.3">
      <c r="A2069" s="130"/>
      <c r="B2069" s="37"/>
      <c r="C2069" s="37"/>
      <c r="D2069" s="37"/>
      <c r="E2069" s="37"/>
      <c r="F2069" s="37"/>
      <c r="G2069" s="37"/>
      <c r="H2069" s="37"/>
      <c r="I2069" s="37"/>
      <c r="J2069" s="37"/>
    </row>
    <row r="2070" spans="1:10" x14ac:dyDescent="0.3">
      <c r="A2070" s="130"/>
      <c r="B2070" s="37"/>
      <c r="C2070" s="37"/>
      <c r="D2070" s="37"/>
      <c r="E2070" s="37"/>
      <c r="F2070" s="37"/>
      <c r="G2070" s="37"/>
      <c r="H2070" s="37"/>
      <c r="I2070" s="37"/>
      <c r="J2070" s="37"/>
    </row>
    <row r="2071" spans="1:10" x14ac:dyDescent="0.3">
      <c r="A2071" s="130"/>
      <c r="B2071" s="37"/>
      <c r="C2071" s="37"/>
      <c r="D2071" s="37"/>
      <c r="E2071" s="37"/>
      <c r="F2071" s="37"/>
      <c r="G2071" s="37"/>
      <c r="H2071" s="37"/>
      <c r="I2071" s="37"/>
      <c r="J2071" s="37"/>
    </row>
    <row r="2072" spans="1:10" x14ac:dyDescent="0.3">
      <c r="A2072" s="130"/>
      <c r="B2072" s="37"/>
      <c r="C2072" s="37"/>
      <c r="D2072" s="37"/>
      <c r="E2072" s="37"/>
      <c r="F2072" s="37"/>
      <c r="G2072" s="37"/>
      <c r="H2072" s="37"/>
      <c r="I2072" s="37"/>
      <c r="J2072" s="37"/>
    </row>
    <row r="2073" spans="1:10" x14ac:dyDescent="0.3">
      <c r="A2073" s="130"/>
      <c r="B2073" s="37"/>
      <c r="C2073" s="37"/>
      <c r="D2073" s="37"/>
      <c r="E2073" s="37"/>
      <c r="F2073" s="37"/>
      <c r="G2073" s="37"/>
      <c r="H2073" s="37"/>
      <c r="I2073" s="37"/>
      <c r="J2073" s="37"/>
    </row>
    <row r="2074" spans="1:10" x14ac:dyDescent="0.3">
      <c r="A2074" s="130"/>
      <c r="B2074" s="37"/>
      <c r="C2074" s="37"/>
      <c r="D2074" s="37"/>
      <c r="E2074" s="37"/>
      <c r="F2074" s="37"/>
      <c r="G2074" s="37"/>
      <c r="H2074" s="37"/>
      <c r="I2074" s="37"/>
      <c r="J2074" s="37"/>
    </row>
    <row r="2075" spans="1:10" x14ac:dyDescent="0.3">
      <c r="A2075" s="130"/>
      <c r="B2075" s="37"/>
      <c r="C2075" s="37"/>
      <c r="D2075" s="37"/>
      <c r="E2075" s="37"/>
      <c r="F2075" s="37"/>
      <c r="G2075" s="37"/>
      <c r="H2075" s="37"/>
      <c r="I2075" s="37"/>
      <c r="J2075" s="37"/>
    </row>
    <row r="2076" spans="1:10" x14ac:dyDescent="0.3">
      <c r="A2076" s="130"/>
      <c r="B2076" s="37"/>
      <c r="C2076" s="37"/>
      <c r="D2076" s="37"/>
      <c r="E2076" s="37"/>
      <c r="F2076" s="37"/>
      <c r="G2076" s="37"/>
      <c r="H2076" s="37"/>
      <c r="I2076" s="37"/>
      <c r="J2076" s="37"/>
    </row>
    <row r="2077" spans="1:10" x14ac:dyDescent="0.3">
      <c r="A2077" s="130"/>
      <c r="B2077" s="37"/>
      <c r="C2077" s="37"/>
      <c r="D2077" s="37"/>
      <c r="E2077" s="37"/>
      <c r="F2077" s="37"/>
      <c r="G2077" s="37"/>
      <c r="H2077" s="37"/>
      <c r="I2077" s="37"/>
      <c r="J2077" s="37"/>
    </row>
    <row r="2078" spans="1:10" x14ac:dyDescent="0.3">
      <c r="A2078" s="130"/>
      <c r="B2078" s="37"/>
      <c r="C2078" s="37"/>
      <c r="D2078" s="37"/>
      <c r="E2078" s="37"/>
      <c r="F2078" s="37"/>
      <c r="G2078" s="37"/>
      <c r="H2078" s="37"/>
      <c r="I2078" s="37"/>
      <c r="J2078" s="37"/>
    </row>
    <row r="2079" spans="1:10" x14ac:dyDescent="0.3">
      <c r="A2079" s="130"/>
      <c r="B2079" s="37"/>
      <c r="C2079" s="37"/>
      <c r="D2079" s="37"/>
      <c r="E2079" s="37"/>
      <c r="F2079" s="37"/>
      <c r="G2079" s="37"/>
      <c r="H2079" s="37"/>
      <c r="I2079" s="37"/>
      <c r="J2079" s="37"/>
    </row>
    <row r="2080" spans="1:10" x14ac:dyDescent="0.3">
      <c r="A2080" s="130"/>
      <c r="B2080" s="37"/>
      <c r="C2080" s="37"/>
      <c r="D2080" s="37"/>
      <c r="E2080" s="37"/>
      <c r="F2080" s="37"/>
      <c r="G2080" s="37"/>
      <c r="H2080" s="37"/>
      <c r="I2080" s="37"/>
      <c r="J2080" s="37"/>
    </row>
    <row r="2081" spans="1:10" x14ac:dyDescent="0.3">
      <c r="A2081" s="130"/>
      <c r="B2081" s="37"/>
      <c r="C2081" s="37"/>
      <c r="D2081" s="37"/>
      <c r="E2081" s="37"/>
      <c r="F2081" s="37"/>
      <c r="G2081" s="37"/>
      <c r="H2081" s="37"/>
      <c r="I2081" s="37"/>
      <c r="J2081" s="37"/>
    </row>
    <row r="2082" spans="1:10" x14ac:dyDescent="0.3">
      <c r="A2082" s="130"/>
      <c r="B2082" s="37"/>
      <c r="C2082" s="37"/>
      <c r="D2082" s="37"/>
      <c r="E2082" s="37"/>
      <c r="F2082" s="37"/>
      <c r="G2082" s="37"/>
      <c r="H2082" s="37"/>
      <c r="I2082" s="37"/>
      <c r="J2082" s="37"/>
    </row>
    <row r="2083" spans="1:10" x14ac:dyDescent="0.3">
      <c r="A2083" s="130"/>
      <c r="B2083" s="37"/>
      <c r="C2083" s="37"/>
      <c r="D2083" s="37"/>
      <c r="E2083" s="37"/>
      <c r="F2083" s="37"/>
      <c r="G2083" s="37"/>
      <c r="H2083" s="37"/>
      <c r="I2083" s="37"/>
      <c r="J2083" s="37"/>
    </row>
    <row r="2084" spans="1:10" x14ac:dyDescent="0.3">
      <c r="A2084" s="130"/>
      <c r="B2084" s="37"/>
      <c r="C2084" s="37"/>
      <c r="D2084" s="37"/>
      <c r="E2084" s="37"/>
      <c r="F2084" s="37"/>
      <c r="G2084" s="37"/>
      <c r="H2084" s="37"/>
      <c r="I2084" s="37"/>
      <c r="J2084" s="37"/>
    </row>
    <row r="2085" spans="1:10" x14ac:dyDescent="0.3">
      <c r="A2085" s="130"/>
      <c r="B2085" s="37"/>
      <c r="C2085" s="37"/>
      <c r="D2085" s="37"/>
      <c r="E2085" s="37"/>
      <c r="F2085" s="37"/>
      <c r="G2085" s="37"/>
      <c r="H2085" s="37"/>
      <c r="I2085" s="37"/>
      <c r="J2085" s="37"/>
    </row>
    <row r="2086" spans="1:10" x14ac:dyDescent="0.3">
      <c r="A2086" s="130"/>
      <c r="B2086" s="37"/>
      <c r="C2086" s="37"/>
      <c r="D2086" s="37"/>
      <c r="E2086" s="37"/>
      <c r="F2086" s="37"/>
      <c r="G2086" s="37"/>
      <c r="H2086" s="37"/>
      <c r="I2086" s="37"/>
      <c r="J2086" s="37"/>
    </row>
    <row r="2087" spans="1:10" x14ac:dyDescent="0.3">
      <c r="A2087" s="130"/>
      <c r="B2087" s="37"/>
      <c r="C2087" s="37"/>
      <c r="D2087" s="37"/>
      <c r="E2087" s="37"/>
      <c r="F2087" s="37"/>
      <c r="G2087" s="37"/>
      <c r="H2087" s="37"/>
      <c r="I2087" s="37"/>
      <c r="J2087" s="37"/>
    </row>
    <row r="2088" spans="1:10" x14ac:dyDescent="0.3">
      <c r="A2088" s="130"/>
      <c r="B2088" s="37"/>
      <c r="C2088" s="37"/>
      <c r="D2088" s="37"/>
      <c r="E2088" s="37"/>
      <c r="F2088" s="37"/>
      <c r="G2088" s="37"/>
      <c r="H2088" s="37"/>
      <c r="I2088" s="37"/>
      <c r="J2088" s="37"/>
    </row>
    <row r="2089" spans="1:10" x14ac:dyDescent="0.3">
      <c r="A2089" s="130"/>
      <c r="B2089" s="37"/>
      <c r="C2089" s="37"/>
      <c r="D2089" s="37"/>
      <c r="E2089" s="37"/>
      <c r="F2089" s="37"/>
      <c r="G2089" s="37"/>
      <c r="H2089" s="37"/>
      <c r="I2089" s="37"/>
      <c r="J2089" s="37"/>
    </row>
    <row r="2090" spans="1:10" x14ac:dyDescent="0.3">
      <c r="A2090" s="130"/>
      <c r="B2090" s="37"/>
      <c r="C2090" s="37"/>
      <c r="D2090" s="37"/>
      <c r="E2090" s="37"/>
      <c r="F2090" s="37"/>
      <c r="G2090" s="37"/>
      <c r="H2090" s="37"/>
      <c r="I2090" s="37"/>
      <c r="J2090" s="37"/>
    </row>
    <row r="2091" spans="1:10" x14ac:dyDescent="0.3">
      <c r="A2091" s="130"/>
      <c r="B2091" s="37"/>
      <c r="C2091" s="37"/>
      <c r="D2091" s="37"/>
      <c r="E2091" s="37"/>
      <c r="F2091" s="37"/>
      <c r="G2091" s="37"/>
      <c r="H2091" s="37"/>
      <c r="I2091" s="37"/>
      <c r="J2091" s="37"/>
    </row>
    <row r="2092" spans="1:10" x14ac:dyDescent="0.3">
      <c r="A2092" s="130"/>
      <c r="B2092" s="37"/>
      <c r="C2092" s="37"/>
      <c r="D2092" s="37"/>
      <c r="E2092" s="37"/>
      <c r="F2092" s="37"/>
      <c r="G2092" s="37"/>
      <c r="H2092" s="37"/>
      <c r="I2092" s="37"/>
      <c r="J2092" s="37"/>
    </row>
    <row r="2093" spans="1:10" x14ac:dyDescent="0.3">
      <c r="A2093" s="130"/>
      <c r="B2093" s="37"/>
      <c r="C2093" s="37"/>
      <c r="D2093" s="37"/>
      <c r="E2093" s="37"/>
      <c r="F2093" s="37"/>
      <c r="G2093" s="37"/>
      <c r="H2093" s="37"/>
      <c r="I2093" s="37"/>
      <c r="J2093" s="37"/>
    </row>
    <row r="2094" spans="1:10" x14ac:dyDescent="0.3">
      <c r="A2094" s="130"/>
      <c r="B2094" s="37"/>
      <c r="C2094" s="37"/>
      <c r="D2094" s="37"/>
      <c r="E2094" s="37"/>
      <c r="F2094" s="37"/>
      <c r="G2094" s="37"/>
      <c r="H2094" s="37"/>
      <c r="I2094" s="37"/>
      <c r="J2094" s="37"/>
    </row>
    <row r="2095" spans="1:10" x14ac:dyDescent="0.3">
      <c r="A2095" s="130"/>
      <c r="B2095" s="37"/>
      <c r="C2095" s="37"/>
      <c r="D2095" s="37"/>
      <c r="E2095" s="37"/>
      <c r="F2095" s="37"/>
      <c r="G2095" s="37"/>
      <c r="H2095" s="37"/>
      <c r="I2095" s="37"/>
      <c r="J2095" s="37"/>
    </row>
    <row r="2096" spans="1:10" x14ac:dyDescent="0.3">
      <c r="A2096" s="130"/>
      <c r="B2096" s="37"/>
      <c r="C2096" s="37"/>
      <c r="D2096" s="37"/>
      <c r="E2096" s="37"/>
      <c r="F2096" s="37"/>
      <c r="G2096" s="37"/>
      <c r="H2096" s="37"/>
      <c r="I2096" s="37"/>
      <c r="J2096" s="37"/>
    </row>
    <row r="2097" spans="1:10" x14ac:dyDescent="0.3">
      <c r="A2097" s="130"/>
      <c r="B2097" s="37"/>
      <c r="C2097" s="37"/>
      <c r="D2097" s="37"/>
      <c r="E2097" s="37"/>
      <c r="F2097" s="37"/>
      <c r="G2097" s="37"/>
      <c r="H2097" s="37"/>
      <c r="I2097" s="37"/>
      <c r="J2097" s="37"/>
    </row>
    <row r="2098" spans="1:10" x14ac:dyDescent="0.3">
      <c r="A2098" s="130"/>
      <c r="B2098" s="37"/>
      <c r="C2098" s="37"/>
      <c r="D2098" s="37"/>
      <c r="E2098" s="37"/>
      <c r="F2098" s="37"/>
      <c r="G2098" s="37"/>
      <c r="H2098" s="37"/>
      <c r="I2098" s="37"/>
      <c r="J2098" s="37"/>
    </row>
    <row r="2099" spans="1:10" x14ac:dyDescent="0.3">
      <c r="A2099" s="130"/>
      <c r="B2099" s="37"/>
      <c r="C2099" s="37"/>
      <c r="D2099" s="37"/>
      <c r="E2099" s="37"/>
      <c r="F2099" s="37"/>
      <c r="G2099" s="37"/>
      <c r="H2099" s="37"/>
      <c r="I2099" s="37"/>
      <c r="J2099" s="37"/>
    </row>
    <row r="2100" spans="1:10" x14ac:dyDescent="0.3">
      <c r="A2100" s="130"/>
      <c r="B2100" s="37"/>
      <c r="C2100" s="37"/>
      <c r="D2100" s="37"/>
      <c r="E2100" s="37"/>
      <c r="F2100" s="37"/>
      <c r="G2100" s="37"/>
      <c r="H2100" s="37"/>
      <c r="I2100" s="37"/>
      <c r="J2100" s="37"/>
    </row>
    <row r="2101" spans="1:10" x14ac:dyDescent="0.3">
      <c r="A2101" s="130"/>
      <c r="B2101" s="37"/>
      <c r="C2101" s="37"/>
      <c r="D2101" s="37"/>
      <c r="E2101" s="37"/>
      <c r="F2101" s="37"/>
      <c r="G2101" s="37"/>
      <c r="H2101" s="37"/>
      <c r="I2101" s="37"/>
      <c r="J2101" s="37"/>
    </row>
    <row r="2102" spans="1:10" x14ac:dyDescent="0.3">
      <c r="A2102" s="130"/>
      <c r="B2102" s="37"/>
      <c r="C2102" s="37"/>
      <c r="D2102" s="37"/>
      <c r="E2102" s="37"/>
      <c r="F2102" s="37"/>
      <c r="G2102" s="37"/>
      <c r="H2102" s="37"/>
      <c r="I2102" s="37"/>
      <c r="J2102" s="37"/>
    </row>
    <row r="2103" spans="1:10" x14ac:dyDescent="0.3">
      <c r="A2103" s="130"/>
      <c r="B2103" s="37"/>
      <c r="C2103" s="37"/>
      <c r="D2103" s="37"/>
      <c r="E2103" s="37"/>
      <c r="F2103" s="37"/>
      <c r="G2103" s="37"/>
      <c r="H2103" s="37"/>
      <c r="I2103" s="37"/>
      <c r="J2103" s="37"/>
    </row>
    <row r="2104" spans="1:10" x14ac:dyDescent="0.3">
      <c r="A2104" s="130"/>
      <c r="B2104" s="37"/>
      <c r="C2104" s="37"/>
      <c r="D2104" s="37"/>
      <c r="E2104" s="37"/>
      <c r="F2104" s="37"/>
      <c r="G2104" s="37"/>
      <c r="H2104" s="37"/>
      <c r="I2104" s="37"/>
      <c r="J2104" s="37"/>
    </row>
    <row r="2105" spans="1:10" x14ac:dyDescent="0.3">
      <c r="A2105" s="130"/>
      <c r="B2105" s="37"/>
      <c r="C2105" s="37"/>
      <c r="D2105" s="37"/>
      <c r="E2105" s="37"/>
      <c r="F2105" s="37"/>
      <c r="G2105" s="37"/>
      <c r="H2105" s="37"/>
      <c r="I2105" s="37"/>
      <c r="J2105" s="37"/>
    </row>
    <row r="2106" spans="1:10" x14ac:dyDescent="0.3">
      <c r="A2106" s="130"/>
      <c r="B2106" s="37"/>
      <c r="C2106" s="37"/>
      <c r="D2106" s="37"/>
      <c r="E2106" s="37"/>
      <c r="F2106" s="37"/>
      <c r="G2106" s="37"/>
      <c r="H2106" s="37"/>
      <c r="I2106" s="37"/>
      <c r="J2106" s="37"/>
    </row>
    <row r="2107" spans="1:10" x14ac:dyDescent="0.3">
      <c r="A2107" s="130"/>
      <c r="B2107" s="37"/>
      <c r="C2107" s="37"/>
      <c r="D2107" s="37"/>
      <c r="E2107" s="37"/>
      <c r="F2107" s="37"/>
      <c r="G2107" s="37"/>
      <c r="H2107" s="37"/>
      <c r="I2107" s="37"/>
      <c r="J2107" s="37"/>
    </row>
    <row r="2108" spans="1:10" x14ac:dyDescent="0.3">
      <c r="A2108" s="130"/>
      <c r="B2108" s="37"/>
      <c r="C2108" s="37"/>
      <c r="D2108" s="37"/>
      <c r="E2108" s="37"/>
      <c r="F2108" s="37"/>
      <c r="G2108" s="37"/>
      <c r="H2108" s="37"/>
      <c r="I2108" s="37"/>
      <c r="J2108" s="37"/>
    </row>
    <row r="2109" spans="1:10" x14ac:dyDescent="0.3">
      <c r="A2109" s="130"/>
      <c r="B2109" s="37"/>
      <c r="C2109" s="37"/>
      <c r="D2109" s="37"/>
      <c r="E2109" s="37"/>
      <c r="F2109" s="37"/>
      <c r="G2109" s="37"/>
      <c r="H2109" s="37"/>
      <c r="I2109" s="37"/>
      <c r="J2109" s="37"/>
    </row>
    <row r="2110" spans="1:10" x14ac:dyDescent="0.3">
      <c r="A2110" s="130"/>
      <c r="B2110" s="37"/>
      <c r="C2110" s="37"/>
      <c r="D2110" s="37"/>
      <c r="E2110" s="37"/>
      <c r="F2110" s="37"/>
      <c r="G2110" s="37"/>
      <c r="H2110" s="37"/>
      <c r="I2110" s="37"/>
      <c r="J2110" s="37"/>
    </row>
    <row r="2111" spans="1:10" x14ac:dyDescent="0.3">
      <c r="A2111" s="130"/>
      <c r="B2111" s="37"/>
      <c r="C2111" s="37"/>
      <c r="D2111" s="37"/>
      <c r="E2111" s="37"/>
      <c r="F2111" s="37"/>
      <c r="G2111" s="37"/>
      <c r="H2111" s="37"/>
      <c r="I2111" s="37"/>
      <c r="J2111" s="37"/>
    </row>
    <row r="2112" spans="1:10" x14ac:dyDescent="0.3">
      <c r="A2112" s="130"/>
      <c r="B2112" s="37"/>
      <c r="C2112" s="37"/>
      <c r="D2112" s="37"/>
      <c r="E2112" s="37"/>
      <c r="F2112" s="37"/>
      <c r="G2112" s="37"/>
      <c r="H2112" s="37"/>
      <c r="I2112" s="37"/>
      <c r="J2112" s="37"/>
    </row>
    <row r="2113" spans="1:10" x14ac:dyDescent="0.3">
      <c r="A2113" s="130"/>
      <c r="B2113" s="37"/>
      <c r="C2113" s="37"/>
      <c r="D2113" s="37"/>
      <c r="E2113" s="37"/>
      <c r="F2113" s="37"/>
      <c r="G2113" s="37"/>
      <c r="H2113" s="37"/>
      <c r="I2113" s="37"/>
      <c r="J2113" s="37"/>
    </row>
    <row r="2114" spans="1:10" x14ac:dyDescent="0.3">
      <c r="A2114" s="130"/>
      <c r="B2114" s="37"/>
      <c r="C2114" s="37"/>
      <c r="D2114" s="37"/>
      <c r="E2114" s="37"/>
      <c r="F2114" s="37"/>
      <c r="G2114" s="37"/>
      <c r="H2114" s="37"/>
      <c r="I2114" s="37"/>
      <c r="J2114" s="37"/>
    </row>
    <row r="2115" spans="1:10" x14ac:dyDescent="0.3">
      <c r="A2115" s="130"/>
      <c r="B2115" s="37"/>
      <c r="C2115" s="37"/>
      <c r="D2115" s="37"/>
      <c r="E2115" s="37"/>
      <c r="F2115" s="37"/>
      <c r="G2115" s="37"/>
      <c r="H2115" s="37"/>
      <c r="I2115" s="37"/>
      <c r="J2115" s="37"/>
    </row>
    <row r="2116" spans="1:10" x14ac:dyDescent="0.3">
      <c r="A2116" s="130"/>
      <c r="B2116" s="37"/>
      <c r="C2116" s="37"/>
      <c r="D2116" s="37"/>
      <c r="E2116" s="37"/>
      <c r="F2116" s="37"/>
      <c r="G2116" s="37"/>
      <c r="H2116" s="37"/>
      <c r="I2116" s="37"/>
      <c r="J2116" s="37"/>
    </row>
    <row r="2117" spans="1:10" x14ac:dyDescent="0.3">
      <c r="A2117" s="130"/>
      <c r="B2117" s="37"/>
      <c r="C2117" s="37"/>
      <c r="D2117" s="37"/>
      <c r="E2117" s="37"/>
      <c r="F2117" s="37"/>
      <c r="G2117" s="37"/>
      <c r="H2117" s="37"/>
      <c r="I2117" s="37"/>
      <c r="J2117" s="37"/>
    </row>
    <row r="2118" spans="1:10" x14ac:dyDescent="0.3">
      <c r="A2118" s="130"/>
      <c r="B2118" s="37"/>
      <c r="C2118" s="37"/>
      <c r="D2118" s="37"/>
      <c r="E2118" s="37"/>
      <c r="F2118" s="37"/>
      <c r="G2118" s="37"/>
      <c r="H2118" s="37"/>
      <c r="I2118" s="37"/>
      <c r="J2118" s="37"/>
    </row>
    <row r="2119" spans="1:10" x14ac:dyDescent="0.3">
      <c r="A2119" s="130"/>
      <c r="B2119" s="37"/>
      <c r="C2119" s="37"/>
      <c r="D2119" s="37"/>
      <c r="E2119" s="37"/>
      <c r="F2119" s="37"/>
      <c r="G2119" s="37"/>
      <c r="H2119" s="37"/>
      <c r="I2119" s="37"/>
      <c r="J2119" s="37"/>
    </row>
    <row r="2120" spans="1:10" x14ac:dyDescent="0.3">
      <c r="A2120" s="130"/>
      <c r="B2120" s="37"/>
      <c r="C2120" s="37"/>
      <c r="D2120" s="37"/>
      <c r="E2120" s="37"/>
      <c r="F2120" s="37"/>
      <c r="G2120" s="37"/>
      <c r="H2120" s="37"/>
      <c r="I2120" s="37"/>
      <c r="J2120" s="37"/>
    </row>
    <row r="2121" spans="1:10" x14ac:dyDescent="0.3">
      <c r="A2121" s="130"/>
      <c r="B2121" s="37"/>
      <c r="C2121" s="37"/>
      <c r="D2121" s="37"/>
      <c r="E2121" s="37"/>
      <c r="F2121" s="37"/>
      <c r="G2121" s="37"/>
      <c r="H2121" s="37"/>
      <c r="I2121" s="37"/>
      <c r="J2121" s="37"/>
    </row>
    <row r="2122" spans="1:10" x14ac:dyDescent="0.3">
      <c r="A2122" s="130"/>
      <c r="B2122" s="37"/>
      <c r="C2122" s="37"/>
      <c r="D2122" s="37"/>
      <c r="E2122" s="37"/>
      <c r="F2122" s="37"/>
      <c r="G2122" s="37"/>
      <c r="H2122" s="37"/>
      <c r="I2122" s="37"/>
      <c r="J2122" s="37"/>
    </row>
    <row r="2123" spans="1:10" x14ac:dyDescent="0.3">
      <c r="A2123" s="130"/>
      <c r="B2123" s="37"/>
      <c r="C2123" s="37"/>
      <c r="D2123" s="37"/>
      <c r="E2123" s="37"/>
      <c r="F2123" s="37"/>
      <c r="G2123" s="37"/>
      <c r="H2123" s="37"/>
      <c r="I2123" s="37"/>
      <c r="J2123" s="37"/>
    </row>
    <row r="2124" spans="1:10" x14ac:dyDescent="0.3">
      <c r="A2124" s="130"/>
      <c r="B2124" s="37"/>
      <c r="C2124" s="37"/>
      <c r="D2124" s="37"/>
      <c r="E2124" s="37"/>
      <c r="F2124" s="37"/>
      <c r="G2124" s="37"/>
      <c r="H2124" s="37"/>
      <c r="I2124" s="37"/>
      <c r="J2124" s="37"/>
    </row>
    <row r="2125" spans="1:10" x14ac:dyDescent="0.3">
      <c r="A2125" s="130"/>
      <c r="B2125" s="37"/>
      <c r="C2125" s="37"/>
      <c r="D2125" s="37"/>
      <c r="E2125" s="37"/>
      <c r="F2125" s="37"/>
      <c r="G2125" s="37"/>
      <c r="H2125" s="37"/>
      <c r="I2125" s="37"/>
      <c r="J2125" s="37"/>
    </row>
    <row r="2126" spans="1:10" x14ac:dyDescent="0.3">
      <c r="A2126" s="130"/>
      <c r="B2126" s="37"/>
      <c r="C2126" s="37"/>
      <c r="D2126" s="37"/>
      <c r="E2126" s="37"/>
      <c r="F2126" s="37"/>
      <c r="G2126" s="37"/>
      <c r="H2126" s="37"/>
      <c r="I2126" s="37"/>
      <c r="J2126" s="37"/>
    </row>
    <row r="2127" spans="1:10" x14ac:dyDescent="0.3">
      <c r="A2127" s="130"/>
      <c r="B2127" s="37"/>
      <c r="C2127" s="37"/>
      <c r="D2127" s="37"/>
      <c r="E2127" s="37"/>
      <c r="F2127" s="37"/>
      <c r="G2127" s="37"/>
      <c r="H2127" s="37"/>
      <c r="I2127" s="37"/>
      <c r="J2127" s="37"/>
    </row>
    <row r="2128" spans="1:10" x14ac:dyDescent="0.3">
      <c r="A2128" s="130"/>
      <c r="B2128" s="37"/>
      <c r="C2128" s="37"/>
      <c r="D2128" s="37"/>
      <c r="E2128" s="37"/>
      <c r="F2128" s="37"/>
      <c r="G2128" s="37"/>
      <c r="H2128" s="37"/>
      <c r="I2128" s="37"/>
      <c r="J2128" s="37"/>
    </row>
    <row r="2129" spans="1:10" x14ac:dyDescent="0.3">
      <c r="A2129" s="130"/>
      <c r="B2129" s="37"/>
      <c r="C2129" s="37"/>
      <c r="D2129" s="37"/>
      <c r="E2129" s="37"/>
      <c r="F2129" s="37"/>
      <c r="G2129" s="37"/>
      <c r="H2129" s="37"/>
      <c r="I2129" s="37"/>
      <c r="J2129" s="37"/>
    </row>
    <row r="2130" spans="1:10" x14ac:dyDescent="0.3">
      <c r="A2130" s="130"/>
      <c r="B2130" s="37"/>
      <c r="C2130" s="37"/>
      <c r="D2130" s="37"/>
      <c r="E2130" s="37"/>
      <c r="F2130" s="37"/>
      <c r="G2130" s="37"/>
      <c r="H2130" s="37"/>
      <c r="I2130" s="37"/>
      <c r="J2130" s="37"/>
    </row>
    <row r="2131" spans="1:10" x14ac:dyDescent="0.3">
      <c r="A2131" s="130"/>
      <c r="B2131" s="37"/>
      <c r="C2131" s="37"/>
      <c r="D2131" s="37"/>
      <c r="E2131" s="37"/>
      <c r="F2131" s="37"/>
      <c r="G2131" s="37"/>
      <c r="H2131" s="37"/>
      <c r="I2131" s="37"/>
      <c r="J2131" s="37"/>
    </row>
    <row r="2132" spans="1:10" x14ac:dyDescent="0.3">
      <c r="A2132" s="130"/>
      <c r="B2132" s="37"/>
      <c r="C2132" s="37"/>
      <c r="D2132" s="37"/>
      <c r="E2132" s="37"/>
      <c r="F2132" s="37"/>
      <c r="G2132" s="37"/>
      <c r="H2132" s="37"/>
      <c r="I2132" s="37"/>
      <c r="J2132" s="37"/>
    </row>
    <row r="2133" spans="1:10" x14ac:dyDescent="0.3">
      <c r="A2133" s="130"/>
      <c r="B2133" s="37"/>
      <c r="C2133" s="37"/>
      <c r="D2133" s="37"/>
      <c r="E2133" s="37"/>
      <c r="F2133" s="37"/>
      <c r="G2133" s="37"/>
      <c r="H2133" s="37"/>
      <c r="I2133" s="37"/>
      <c r="J2133" s="37"/>
    </row>
    <row r="2134" spans="1:10" x14ac:dyDescent="0.3">
      <c r="A2134" s="130"/>
      <c r="B2134" s="37"/>
      <c r="C2134" s="37"/>
      <c r="D2134" s="37"/>
      <c r="E2134" s="37"/>
      <c r="F2134" s="37"/>
      <c r="G2134" s="37"/>
      <c r="H2134" s="37"/>
      <c r="I2134" s="37"/>
      <c r="J2134" s="37"/>
    </row>
    <row r="2135" spans="1:10" x14ac:dyDescent="0.3">
      <c r="A2135" s="130"/>
      <c r="B2135" s="37"/>
      <c r="C2135" s="37"/>
      <c r="D2135" s="37"/>
      <c r="E2135" s="37"/>
      <c r="F2135" s="37"/>
      <c r="G2135" s="37"/>
      <c r="H2135" s="37"/>
      <c r="I2135" s="37"/>
      <c r="J2135" s="37"/>
    </row>
    <row r="2136" spans="1:10" x14ac:dyDescent="0.3">
      <c r="A2136" s="130"/>
      <c r="B2136" s="37"/>
      <c r="C2136" s="37"/>
      <c r="D2136" s="37"/>
      <c r="E2136" s="37"/>
      <c r="F2136" s="37"/>
      <c r="G2136" s="37"/>
      <c r="H2136" s="37"/>
      <c r="I2136" s="37"/>
      <c r="J2136" s="37"/>
    </row>
    <row r="2137" spans="1:10" x14ac:dyDescent="0.3">
      <c r="A2137" s="130"/>
      <c r="B2137" s="37"/>
      <c r="C2137" s="37"/>
      <c r="D2137" s="37"/>
      <c r="E2137" s="37"/>
      <c r="F2137" s="37"/>
      <c r="G2137" s="37"/>
      <c r="H2137" s="37"/>
      <c r="I2137" s="37"/>
      <c r="J2137" s="37"/>
    </row>
    <row r="2138" spans="1:10" x14ac:dyDescent="0.3">
      <c r="A2138" s="130"/>
      <c r="B2138" s="37"/>
      <c r="C2138" s="37"/>
      <c r="D2138" s="37"/>
      <c r="E2138" s="37"/>
      <c r="F2138" s="37"/>
      <c r="G2138" s="37"/>
      <c r="H2138" s="37"/>
      <c r="I2138" s="37"/>
      <c r="J2138" s="37"/>
    </row>
    <row r="2139" spans="1:10" x14ac:dyDescent="0.3">
      <c r="A2139" s="130"/>
      <c r="B2139" s="37"/>
      <c r="C2139" s="37"/>
      <c r="D2139" s="37"/>
      <c r="E2139" s="37"/>
      <c r="F2139" s="37"/>
      <c r="G2139" s="37"/>
      <c r="H2139" s="37"/>
      <c r="I2139" s="37"/>
      <c r="J2139" s="37"/>
    </row>
    <row r="2140" spans="1:10" x14ac:dyDescent="0.3">
      <c r="A2140" s="130"/>
      <c r="B2140" s="37"/>
      <c r="C2140" s="37"/>
      <c r="D2140" s="37"/>
      <c r="E2140" s="37"/>
      <c r="F2140" s="37"/>
      <c r="G2140" s="37"/>
      <c r="H2140" s="37"/>
      <c r="I2140" s="37"/>
      <c r="J2140" s="37"/>
    </row>
    <row r="2141" spans="1:10" x14ac:dyDescent="0.3">
      <c r="A2141" s="130"/>
      <c r="B2141" s="37"/>
      <c r="C2141" s="37"/>
      <c r="D2141" s="37"/>
      <c r="E2141" s="37"/>
      <c r="F2141" s="37"/>
      <c r="G2141" s="37"/>
      <c r="H2141" s="37"/>
      <c r="I2141" s="37"/>
      <c r="J2141" s="37"/>
    </row>
    <row r="2142" spans="1:10" x14ac:dyDescent="0.3">
      <c r="A2142" s="130"/>
      <c r="B2142" s="37"/>
      <c r="C2142" s="37"/>
      <c r="D2142" s="37"/>
      <c r="E2142" s="37"/>
      <c r="F2142" s="37"/>
      <c r="G2142" s="37"/>
      <c r="H2142" s="37"/>
      <c r="I2142" s="37"/>
      <c r="J2142" s="37"/>
    </row>
    <row r="2143" spans="1:10" x14ac:dyDescent="0.3">
      <c r="A2143" s="130"/>
      <c r="B2143" s="37"/>
      <c r="C2143" s="37"/>
      <c r="D2143" s="37"/>
      <c r="E2143" s="37"/>
      <c r="F2143" s="37"/>
      <c r="G2143" s="37"/>
      <c r="H2143" s="37"/>
      <c r="I2143" s="37"/>
      <c r="J2143" s="37"/>
    </row>
    <row r="2144" spans="1:10" x14ac:dyDescent="0.3">
      <c r="A2144" s="130"/>
      <c r="B2144" s="37"/>
      <c r="C2144" s="37"/>
      <c r="D2144" s="37"/>
      <c r="E2144" s="37"/>
      <c r="F2144" s="37"/>
      <c r="G2144" s="37"/>
      <c r="H2144" s="37"/>
      <c r="I2144" s="37"/>
      <c r="J2144" s="37"/>
    </row>
    <row r="2145" spans="1:10" x14ac:dyDescent="0.3">
      <c r="A2145" s="130"/>
      <c r="B2145" s="37"/>
      <c r="C2145" s="37"/>
      <c r="D2145" s="37"/>
      <c r="E2145" s="37"/>
      <c r="F2145" s="37"/>
      <c r="G2145" s="37"/>
      <c r="H2145" s="37"/>
      <c r="I2145" s="37"/>
      <c r="J2145" s="37"/>
    </row>
    <row r="2146" spans="1:10" x14ac:dyDescent="0.3">
      <c r="A2146" s="130"/>
      <c r="B2146" s="37"/>
      <c r="C2146" s="37"/>
      <c r="D2146" s="37"/>
      <c r="E2146" s="37"/>
      <c r="F2146" s="37"/>
      <c r="G2146" s="37"/>
      <c r="H2146" s="37"/>
      <c r="I2146" s="37"/>
      <c r="J2146" s="37"/>
    </row>
    <row r="2147" spans="1:10" x14ac:dyDescent="0.3">
      <c r="A2147" s="130"/>
      <c r="B2147" s="37"/>
      <c r="C2147" s="37"/>
      <c r="D2147" s="37"/>
      <c r="E2147" s="37"/>
      <c r="F2147" s="37"/>
      <c r="G2147" s="37"/>
      <c r="H2147" s="37"/>
      <c r="I2147" s="37"/>
      <c r="J2147" s="37"/>
    </row>
    <row r="2148" spans="1:10" x14ac:dyDescent="0.3">
      <c r="A2148" s="130"/>
      <c r="B2148" s="37"/>
      <c r="C2148" s="37"/>
      <c r="D2148" s="37"/>
      <c r="E2148" s="37"/>
      <c r="F2148" s="37"/>
      <c r="G2148" s="37"/>
      <c r="H2148" s="37"/>
      <c r="I2148" s="37"/>
      <c r="J2148" s="37"/>
    </row>
    <row r="2149" spans="1:10" x14ac:dyDescent="0.3">
      <c r="A2149" s="130"/>
      <c r="B2149" s="37"/>
      <c r="C2149" s="37"/>
      <c r="D2149" s="37"/>
      <c r="E2149" s="37"/>
      <c r="F2149" s="37"/>
      <c r="G2149" s="37"/>
      <c r="H2149" s="37"/>
      <c r="I2149" s="37"/>
      <c r="J2149" s="37"/>
    </row>
    <row r="2150" spans="1:10" x14ac:dyDescent="0.3">
      <c r="A2150" s="130"/>
      <c r="B2150" s="37"/>
      <c r="C2150" s="37"/>
      <c r="D2150" s="37"/>
      <c r="E2150" s="37"/>
      <c r="F2150" s="37"/>
      <c r="G2150" s="37"/>
      <c r="H2150" s="37"/>
      <c r="I2150" s="37"/>
      <c r="J2150" s="37"/>
    </row>
    <row r="2151" spans="1:10" x14ac:dyDescent="0.3">
      <c r="A2151" s="130"/>
      <c r="B2151" s="37"/>
      <c r="C2151" s="37"/>
      <c r="D2151" s="37"/>
      <c r="E2151" s="37"/>
      <c r="F2151" s="37"/>
      <c r="G2151" s="37"/>
      <c r="H2151" s="37"/>
      <c r="I2151" s="37"/>
      <c r="J2151" s="37"/>
    </row>
    <row r="2152" spans="1:10" x14ac:dyDescent="0.3">
      <c r="A2152" s="130"/>
      <c r="B2152" s="37"/>
      <c r="C2152" s="37"/>
      <c r="D2152" s="37"/>
      <c r="E2152" s="37"/>
      <c r="F2152" s="37"/>
      <c r="G2152" s="37"/>
      <c r="H2152" s="37"/>
      <c r="I2152" s="37"/>
      <c r="J2152" s="37"/>
    </row>
    <row r="2153" spans="1:10" x14ac:dyDescent="0.3">
      <c r="A2153" s="130"/>
      <c r="B2153" s="37"/>
      <c r="C2153" s="37"/>
      <c r="D2153" s="37"/>
      <c r="E2153" s="37"/>
      <c r="F2153" s="37"/>
      <c r="G2153" s="37"/>
      <c r="H2153" s="37"/>
      <c r="I2153" s="37"/>
      <c r="J2153" s="37"/>
    </row>
    <row r="2154" spans="1:10" x14ac:dyDescent="0.3">
      <c r="A2154" s="130"/>
      <c r="B2154" s="37"/>
      <c r="C2154" s="37"/>
      <c r="D2154" s="37"/>
      <c r="E2154" s="37"/>
      <c r="F2154" s="37"/>
      <c r="G2154" s="37"/>
      <c r="H2154" s="37"/>
      <c r="I2154" s="37"/>
      <c r="J2154" s="37"/>
    </row>
    <row r="2155" spans="1:10" x14ac:dyDescent="0.3">
      <c r="A2155" s="130"/>
      <c r="B2155" s="37"/>
      <c r="C2155" s="37"/>
      <c r="D2155" s="37"/>
      <c r="E2155" s="37"/>
      <c r="F2155" s="37"/>
      <c r="G2155" s="37"/>
      <c r="H2155" s="37"/>
      <c r="I2155" s="37"/>
      <c r="J2155" s="37"/>
    </row>
    <row r="2156" spans="1:10" x14ac:dyDescent="0.3">
      <c r="A2156" s="130"/>
      <c r="B2156" s="37"/>
      <c r="C2156" s="37"/>
      <c r="D2156" s="37"/>
      <c r="E2156" s="37"/>
      <c r="F2156" s="37"/>
      <c r="G2156" s="37"/>
      <c r="H2156" s="37"/>
      <c r="I2156" s="37"/>
      <c r="J2156" s="37"/>
    </row>
    <row r="2157" spans="1:10" x14ac:dyDescent="0.3">
      <c r="A2157" s="130"/>
      <c r="B2157" s="37"/>
      <c r="C2157" s="37"/>
      <c r="D2157" s="37"/>
      <c r="E2157" s="37"/>
      <c r="F2157" s="37"/>
      <c r="G2157" s="37"/>
      <c r="H2157" s="37"/>
      <c r="I2157" s="37"/>
      <c r="J2157" s="37"/>
    </row>
    <row r="2158" spans="1:10" x14ac:dyDescent="0.3">
      <c r="A2158" s="130"/>
      <c r="B2158" s="37"/>
      <c r="C2158" s="37"/>
      <c r="D2158" s="37"/>
      <c r="E2158" s="37"/>
      <c r="F2158" s="37"/>
      <c r="G2158" s="37"/>
      <c r="H2158" s="37"/>
      <c r="I2158" s="37"/>
      <c r="J2158" s="37"/>
    </row>
    <row r="2159" spans="1:10" x14ac:dyDescent="0.3">
      <c r="A2159" s="130"/>
      <c r="B2159" s="37"/>
      <c r="C2159" s="37"/>
      <c r="D2159" s="37"/>
      <c r="E2159" s="37"/>
      <c r="F2159" s="37"/>
      <c r="G2159" s="37"/>
      <c r="H2159" s="37"/>
      <c r="I2159" s="37"/>
      <c r="J2159" s="37"/>
    </row>
    <row r="2160" spans="1:10" x14ac:dyDescent="0.3">
      <c r="A2160" s="130"/>
      <c r="B2160" s="37"/>
      <c r="C2160" s="37"/>
      <c r="D2160" s="37"/>
      <c r="E2160" s="37"/>
      <c r="F2160" s="37"/>
      <c r="G2160" s="37"/>
      <c r="H2160" s="37"/>
      <c r="I2160" s="37"/>
      <c r="J2160" s="37"/>
    </row>
    <row r="2161" spans="1:10" x14ac:dyDescent="0.3">
      <c r="A2161" s="130"/>
      <c r="B2161" s="37"/>
      <c r="C2161" s="37"/>
      <c r="D2161" s="37"/>
      <c r="E2161" s="37"/>
      <c r="F2161" s="37"/>
      <c r="G2161" s="37"/>
      <c r="H2161" s="37"/>
      <c r="I2161" s="37"/>
      <c r="J2161" s="37"/>
    </row>
    <row r="2162" spans="1:10" x14ac:dyDescent="0.3">
      <c r="A2162" s="130"/>
      <c r="B2162" s="37"/>
      <c r="C2162" s="37"/>
      <c r="D2162" s="37"/>
      <c r="E2162" s="37"/>
      <c r="F2162" s="37"/>
      <c r="G2162" s="37"/>
      <c r="H2162" s="37"/>
      <c r="I2162" s="37"/>
      <c r="J2162" s="37"/>
    </row>
    <row r="2163" spans="1:10" x14ac:dyDescent="0.3">
      <c r="A2163" s="130"/>
      <c r="B2163" s="37"/>
      <c r="C2163" s="37"/>
      <c r="D2163" s="37"/>
      <c r="E2163" s="37"/>
      <c r="F2163" s="37"/>
      <c r="G2163" s="37"/>
      <c r="H2163" s="37"/>
      <c r="I2163" s="37"/>
      <c r="J2163" s="37"/>
    </row>
    <row r="2164" spans="1:10" x14ac:dyDescent="0.3">
      <c r="A2164" s="130"/>
      <c r="B2164" s="37"/>
      <c r="C2164" s="37"/>
      <c r="D2164" s="37"/>
      <c r="E2164" s="37"/>
      <c r="F2164" s="37"/>
      <c r="G2164" s="37"/>
      <c r="H2164" s="37"/>
      <c r="I2164" s="37"/>
      <c r="J2164" s="37"/>
    </row>
    <row r="2165" spans="1:10" x14ac:dyDescent="0.3">
      <c r="A2165" s="130"/>
      <c r="B2165" s="37"/>
      <c r="C2165" s="37"/>
      <c r="D2165" s="37"/>
      <c r="E2165" s="37"/>
      <c r="F2165" s="37"/>
      <c r="G2165" s="37"/>
      <c r="H2165" s="37"/>
      <c r="I2165" s="37"/>
      <c r="J2165" s="37"/>
    </row>
    <row r="2166" spans="1:10" x14ac:dyDescent="0.3">
      <c r="A2166" s="130"/>
      <c r="B2166" s="37"/>
      <c r="C2166" s="37"/>
      <c r="D2166" s="37"/>
      <c r="E2166" s="37"/>
      <c r="F2166" s="37"/>
      <c r="G2166" s="37"/>
      <c r="H2166" s="37"/>
      <c r="I2166" s="37"/>
      <c r="J2166" s="37"/>
    </row>
    <row r="2167" spans="1:10" x14ac:dyDescent="0.3">
      <c r="A2167" s="130"/>
      <c r="B2167" s="37"/>
      <c r="C2167" s="37"/>
      <c r="D2167" s="37"/>
      <c r="E2167" s="37"/>
      <c r="F2167" s="37"/>
      <c r="G2167" s="37"/>
      <c r="H2167" s="37"/>
      <c r="I2167" s="37"/>
      <c r="J2167" s="37"/>
    </row>
    <row r="2168" spans="1:10" x14ac:dyDescent="0.3">
      <c r="A2168" s="130"/>
      <c r="B2168" s="37"/>
      <c r="C2168" s="37"/>
      <c r="D2168" s="37"/>
      <c r="E2168" s="37"/>
      <c r="F2168" s="37"/>
      <c r="G2168" s="37"/>
      <c r="H2168" s="37"/>
      <c r="I2168" s="37"/>
      <c r="J2168" s="37"/>
    </row>
    <row r="2169" spans="1:10" x14ac:dyDescent="0.3">
      <c r="A2169" s="130"/>
      <c r="B2169" s="37"/>
      <c r="C2169" s="37"/>
      <c r="D2169" s="37"/>
      <c r="E2169" s="37"/>
      <c r="F2169" s="37"/>
      <c r="G2169" s="37"/>
      <c r="H2169" s="37"/>
      <c r="I2169" s="37"/>
      <c r="J2169" s="37"/>
    </row>
    <row r="2170" spans="1:10" x14ac:dyDescent="0.3">
      <c r="A2170" s="130"/>
      <c r="B2170" s="37"/>
      <c r="C2170" s="37"/>
      <c r="D2170" s="37"/>
      <c r="E2170" s="37"/>
      <c r="F2170" s="37"/>
      <c r="G2170" s="37"/>
      <c r="H2170" s="37"/>
      <c r="I2170" s="37"/>
      <c r="J2170" s="37"/>
    </row>
    <row r="2171" spans="1:10" x14ac:dyDescent="0.3">
      <c r="A2171" s="130"/>
      <c r="B2171" s="37"/>
      <c r="C2171" s="37"/>
      <c r="D2171" s="37"/>
      <c r="E2171" s="37"/>
      <c r="F2171" s="37"/>
      <c r="G2171" s="37"/>
      <c r="H2171" s="37"/>
      <c r="I2171" s="37"/>
      <c r="J2171" s="37"/>
    </row>
    <row r="2172" spans="1:10" x14ac:dyDescent="0.3">
      <c r="A2172" s="130"/>
      <c r="B2172" s="37"/>
      <c r="C2172" s="37"/>
      <c r="D2172" s="37"/>
      <c r="E2172" s="37"/>
      <c r="F2172" s="37"/>
      <c r="G2172" s="37"/>
      <c r="H2172" s="37"/>
      <c r="I2172" s="37"/>
      <c r="J2172" s="37"/>
    </row>
    <row r="2173" spans="1:10" x14ac:dyDescent="0.3">
      <c r="A2173" s="130"/>
      <c r="B2173" s="37"/>
      <c r="C2173" s="37"/>
      <c r="D2173" s="37"/>
      <c r="E2173" s="37"/>
      <c r="F2173" s="37"/>
      <c r="G2173" s="37"/>
      <c r="H2173" s="37"/>
      <c r="I2173" s="37"/>
      <c r="J2173" s="37"/>
    </row>
    <row r="2174" spans="1:10" x14ac:dyDescent="0.3">
      <c r="A2174" s="130"/>
      <c r="B2174" s="37"/>
      <c r="C2174" s="37"/>
      <c r="D2174" s="37"/>
      <c r="E2174" s="37"/>
      <c r="F2174" s="37"/>
      <c r="G2174" s="37"/>
      <c r="H2174" s="37"/>
      <c r="I2174" s="37"/>
      <c r="J2174" s="37"/>
    </row>
    <row r="2175" spans="1:10" x14ac:dyDescent="0.3">
      <c r="A2175" s="130"/>
      <c r="B2175" s="37"/>
      <c r="C2175" s="37"/>
      <c r="D2175" s="37"/>
      <c r="E2175" s="37"/>
      <c r="F2175" s="37"/>
      <c r="G2175" s="37"/>
      <c r="H2175" s="37"/>
      <c r="I2175" s="37"/>
      <c r="J2175" s="37"/>
    </row>
    <row r="2176" spans="1:10" x14ac:dyDescent="0.3">
      <c r="A2176" s="130"/>
      <c r="B2176" s="37"/>
      <c r="C2176" s="37"/>
      <c r="D2176" s="37"/>
      <c r="E2176" s="37"/>
      <c r="F2176" s="37"/>
      <c r="G2176" s="37"/>
      <c r="H2176" s="37"/>
      <c r="I2176" s="37"/>
      <c r="J2176" s="37"/>
    </row>
    <row r="2177" spans="1:10" x14ac:dyDescent="0.3">
      <c r="A2177" s="130"/>
      <c r="B2177" s="37"/>
      <c r="C2177" s="37"/>
      <c r="D2177" s="37"/>
      <c r="E2177" s="37"/>
      <c r="F2177" s="37"/>
      <c r="G2177" s="37"/>
      <c r="H2177" s="37"/>
      <c r="I2177" s="37"/>
      <c r="J2177" s="37"/>
    </row>
    <row r="2178" spans="1:10" x14ac:dyDescent="0.3">
      <c r="A2178" s="130"/>
      <c r="B2178" s="37"/>
      <c r="C2178" s="37"/>
      <c r="D2178" s="37"/>
      <c r="E2178" s="37"/>
      <c r="F2178" s="37"/>
      <c r="G2178" s="37"/>
      <c r="H2178" s="37"/>
      <c r="I2178" s="37"/>
      <c r="J2178" s="37"/>
    </row>
    <row r="2179" spans="1:10" x14ac:dyDescent="0.3">
      <c r="A2179" s="130"/>
      <c r="B2179" s="37"/>
      <c r="C2179" s="37"/>
      <c r="D2179" s="37"/>
      <c r="E2179" s="37"/>
      <c r="F2179" s="37"/>
      <c r="G2179" s="37"/>
      <c r="H2179" s="37"/>
      <c r="I2179" s="37"/>
      <c r="J2179" s="37"/>
    </row>
    <row r="2180" spans="1:10" x14ac:dyDescent="0.3">
      <c r="A2180" s="130"/>
      <c r="B2180" s="37"/>
      <c r="C2180" s="37"/>
      <c r="D2180" s="37"/>
      <c r="E2180" s="37"/>
      <c r="F2180" s="37"/>
      <c r="G2180" s="37"/>
      <c r="H2180" s="37"/>
      <c r="I2180" s="37"/>
      <c r="J2180" s="37"/>
    </row>
    <row r="2181" spans="1:10" x14ac:dyDescent="0.3">
      <c r="A2181" s="130"/>
      <c r="B2181" s="37"/>
      <c r="C2181" s="37"/>
      <c r="D2181" s="37"/>
      <c r="E2181" s="37"/>
      <c r="F2181" s="37"/>
      <c r="G2181" s="37"/>
      <c r="H2181" s="37"/>
      <c r="I2181" s="37"/>
      <c r="J2181" s="37"/>
    </row>
    <row r="2182" spans="1:10" x14ac:dyDescent="0.3">
      <c r="A2182" s="130"/>
      <c r="B2182" s="37"/>
      <c r="C2182" s="37"/>
      <c r="D2182" s="37"/>
      <c r="E2182" s="37"/>
      <c r="F2182" s="37"/>
      <c r="G2182" s="37"/>
      <c r="H2182" s="37"/>
      <c r="I2182" s="37"/>
      <c r="J2182" s="37"/>
    </row>
    <row r="2183" spans="1:10" x14ac:dyDescent="0.3">
      <c r="A2183" s="130"/>
      <c r="B2183" s="37"/>
      <c r="C2183" s="37"/>
      <c r="D2183" s="37"/>
      <c r="E2183" s="37"/>
      <c r="F2183" s="37"/>
      <c r="G2183" s="37"/>
      <c r="H2183" s="37"/>
      <c r="I2183" s="37"/>
      <c r="J2183" s="37"/>
    </row>
    <row r="2184" spans="1:10" x14ac:dyDescent="0.3">
      <c r="A2184" s="130"/>
      <c r="B2184" s="37"/>
      <c r="C2184" s="37"/>
      <c r="D2184" s="37"/>
      <c r="E2184" s="37"/>
      <c r="F2184" s="37"/>
      <c r="G2184" s="37"/>
      <c r="H2184" s="37"/>
      <c r="I2184" s="37"/>
      <c r="J2184" s="37"/>
    </row>
    <row r="2185" spans="1:10" x14ac:dyDescent="0.3">
      <c r="A2185" s="130"/>
      <c r="B2185" s="37"/>
      <c r="C2185" s="37"/>
      <c r="D2185" s="37"/>
      <c r="E2185" s="37"/>
      <c r="F2185" s="37"/>
      <c r="G2185" s="37"/>
      <c r="H2185" s="37"/>
      <c r="I2185" s="37"/>
      <c r="J2185" s="37"/>
    </row>
    <row r="2186" spans="1:10" x14ac:dyDescent="0.3">
      <c r="A2186" s="130"/>
      <c r="B2186" s="37"/>
      <c r="C2186" s="37"/>
      <c r="D2186" s="37"/>
      <c r="E2186" s="37"/>
      <c r="F2186" s="37"/>
      <c r="G2186" s="37"/>
      <c r="H2186" s="37"/>
      <c r="I2186" s="37"/>
      <c r="J2186" s="37"/>
    </row>
    <row r="2187" spans="1:10" x14ac:dyDescent="0.3">
      <c r="A2187" s="130"/>
      <c r="B2187" s="37"/>
      <c r="C2187" s="37"/>
      <c r="D2187" s="37"/>
      <c r="E2187" s="37"/>
      <c r="F2187" s="37"/>
      <c r="G2187" s="37"/>
      <c r="H2187" s="37"/>
      <c r="I2187" s="37"/>
      <c r="J2187" s="37"/>
    </row>
    <row r="2188" spans="1:10" x14ac:dyDescent="0.3">
      <c r="A2188" s="130"/>
      <c r="B2188" s="37"/>
      <c r="C2188" s="37"/>
      <c r="D2188" s="37"/>
      <c r="E2188" s="37"/>
      <c r="F2188" s="37"/>
      <c r="G2188" s="37"/>
      <c r="H2188" s="37"/>
      <c r="I2188" s="37"/>
      <c r="J2188" s="37"/>
    </row>
    <row r="2189" spans="1:10" x14ac:dyDescent="0.3">
      <c r="A2189" s="130"/>
      <c r="B2189" s="37"/>
      <c r="C2189" s="37"/>
      <c r="D2189" s="37"/>
      <c r="E2189" s="37"/>
      <c r="F2189" s="37"/>
      <c r="G2189" s="37"/>
      <c r="H2189" s="37"/>
      <c r="I2189" s="37"/>
      <c r="J2189" s="37"/>
    </row>
    <row r="2190" spans="1:10" x14ac:dyDescent="0.3">
      <c r="A2190" s="130"/>
      <c r="B2190" s="37"/>
      <c r="C2190" s="37"/>
      <c r="D2190" s="37"/>
      <c r="E2190" s="37"/>
      <c r="F2190" s="37"/>
      <c r="G2190" s="37"/>
      <c r="H2190" s="37"/>
      <c r="I2190" s="37"/>
      <c r="J2190" s="37"/>
    </row>
    <row r="2191" spans="1:10" x14ac:dyDescent="0.3">
      <c r="A2191" s="130"/>
      <c r="B2191" s="37"/>
      <c r="C2191" s="37"/>
      <c r="D2191" s="37"/>
      <c r="E2191" s="37"/>
      <c r="F2191" s="37"/>
      <c r="G2191" s="37"/>
      <c r="H2191" s="37"/>
      <c r="I2191" s="37"/>
      <c r="J2191" s="37"/>
    </row>
    <row r="2192" spans="1:10" x14ac:dyDescent="0.3">
      <c r="A2192" s="130"/>
      <c r="B2192" s="37"/>
      <c r="C2192" s="37"/>
      <c r="D2192" s="37"/>
      <c r="E2192" s="37"/>
      <c r="F2192" s="37"/>
      <c r="G2192" s="37"/>
      <c r="H2192" s="37"/>
      <c r="I2192" s="37"/>
      <c r="J2192" s="37"/>
    </row>
    <row r="2193" spans="1:10" x14ac:dyDescent="0.3">
      <c r="A2193" s="130"/>
      <c r="B2193" s="37"/>
      <c r="C2193" s="37"/>
      <c r="D2193" s="37"/>
      <c r="E2193" s="37"/>
      <c r="F2193" s="37"/>
      <c r="G2193" s="37"/>
      <c r="H2193" s="37"/>
      <c r="I2193" s="37"/>
      <c r="J2193" s="37"/>
    </row>
    <row r="2194" spans="1:10" x14ac:dyDescent="0.3">
      <c r="A2194" s="130"/>
      <c r="B2194" s="37"/>
      <c r="C2194" s="37"/>
      <c r="D2194" s="37"/>
      <c r="E2194" s="37"/>
      <c r="F2194" s="37"/>
      <c r="G2194" s="37"/>
      <c r="H2194" s="37"/>
      <c r="I2194" s="37"/>
      <c r="J2194" s="37"/>
    </row>
    <row r="2195" spans="1:10" x14ac:dyDescent="0.3">
      <c r="A2195" s="130"/>
      <c r="B2195" s="37"/>
      <c r="C2195" s="37"/>
      <c r="D2195" s="37"/>
      <c r="E2195" s="37"/>
      <c r="F2195" s="37"/>
      <c r="G2195" s="37"/>
      <c r="H2195" s="37"/>
      <c r="I2195" s="37"/>
      <c r="J2195" s="37"/>
    </row>
    <row r="2196" spans="1:10" x14ac:dyDescent="0.3">
      <c r="A2196" s="130"/>
      <c r="B2196" s="37"/>
      <c r="C2196" s="37"/>
      <c r="D2196" s="37"/>
      <c r="E2196" s="37"/>
      <c r="F2196" s="37"/>
      <c r="G2196" s="37"/>
      <c r="H2196" s="37"/>
      <c r="I2196" s="37"/>
      <c r="J2196" s="37"/>
    </row>
    <row r="2197" spans="1:10" x14ac:dyDescent="0.3">
      <c r="A2197" s="130"/>
      <c r="B2197" s="37"/>
      <c r="C2197" s="37"/>
      <c r="D2197" s="37"/>
      <c r="E2197" s="37"/>
      <c r="F2197" s="37"/>
      <c r="G2197" s="37"/>
      <c r="H2197" s="37"/>
      <c r="I2197" s="37"/>
      <c r="J2197" s="37"/>
    </row>
    <row r="2198" spans="1:10" x14ac:dyDescent="0.3">
      <c r="A2198" s="130"/>
      <c r="B2198" s="37"/>
      <c r="C2198" s="37"/>
      <c r="D2198" s="37"/>
      <c r="E2198" s="37"/>
      <c r="F2198" s="37"/>
      <c r="G2198" s="37"/>
      <c r="H2198" s="37"/>
      <c r="I2198" s="37"/>
      <c r="J2198" s="37"/>
    </row>
    <row r="2199" spans="1:10" x14ac:dyDescent="0.3">
      <c r="A2199" s="130"/>
      <c r="B2199" s="37"/>
      <c r="C2199" s="37"/>
      <c r="D2199" s="37"/>
      <c r="E2199" s="37"/>
      <c r="F2199" s="37"/>
      <c r="G2199" s="37"/>
      <c r="H2199" s="37"/>
      <c r="I2199" s="37"/>
      <c r="J2199" s="37"/>
    </row>
    <row r="2200" spans="1:10" x14ac:dyDescent="0.3">
      <c r="A2200" s="130"/>
      <c r="B2200" s="37"/>
      <c r="C2200" s="37"/>
      <c r="D2200" s="37"/>
      <c r="E2200" s="37"/>
      <c r="F2200" s="37"/>
      <c r="G2200" s="37"/>
      <c r="H2200" s="37"/>
      <c r="I2200" s="37"/>
      <c r="J2200" s="37"/>
    </row>
    <row r="2201" spans="1:10" x14ac:dyDescent="0.3">
      <c r="A2201" s="130"/>
      <c r="B2201" s="37"/>
      <c r="C2201" s="37"/>
      <c r="D2201" s="37"/>
      <c r="E2201" s="37"/>
      <c r="F2201" s="37"/>
      <c r="G2201" s="37"/>
      <c r="H2201" s="37"/>
      <c r="I2201" s="37"/>
      <c r="J2201" s="37"/>
    </row>
    <row r="2202" spans="1:10" x14ac:dyDescent="0.3">
      <c r="A2202" s="130"/>
      <c r="B2202" s="37"/>
      <c r="C2202" s="37"/>
      <c r="D2202" s="37"/>
      <c r="E2202" s="37"/>
      <c r="F2202" s="37"/>
      <c r="G2202" s="37"/>
      <c r="H2202" s="37"/>
      <c r="I2202" s="37"/>
      <c r="J2202" s="37"/>
    </row>
    <row r="2203" spans="1:10" x14ac:dyDescent="0.3">
      <c r="A2203" s="130"/>
      <c r="B2203" s="37"/>
      <c r="C2203" s="37"/>
      <c r="D2203" s="37"/>
      <c r="E2203" s="37"/>
      <c r="F2203" s="37"/>
      <c r="G2203" s="37"/>
      <c r="H2203" s="37"/>
      <c r="I2203" s="37"/>
      <c r="J2203" s="37"/>
    </row>
    <row r="2204" spans="1:10" x14ac:dyDescent="0.3">
      <c r="A2204" s="130"/>
      <c r="B2204" s="37"/>
      <c r="C2204" s="37"/>
      <c r="D2204" s="37"/>
      <c r="E2204" s="37"/>
      <c r="F2204" s="37"/>
      <c r="G2204" s="37"/>
      <c r="H2204" s="37"/>
      <c r="I2204" s="37"/>
      <c r="J2204" s="37"/>
    </row>
    <row r="2205" spans="1:10" x14ac:dyDescent="0.3">
      <c r="A2205" s="130"/>
      <c r="B2205" s="37"/>
      <c r="C2205" s="37"/>
      <c r="D2205" s="37"/>
      <c r="E2205" s="37"/>
      <c r="F2205" s="37"/>
      <c r="G2205" s="37"/>
      <c r="H2205" s="37"/>
      <c r="I2205" s="37"/>
      <c r="J2205" s="37"/>
    </row>
    <row r="2206" spans="1:10" x14ac:dyDescent="0.3">
      <c r="A2206" s="130"/>
      <c r="B2206" s="37"/>
      <c r="C2206" s="37"/>
      <c r="D2206" s="37"/>
      <c r="E2206" s="37"/>
      <c r="F2206" s="37"/>
      <c r="G2206" s="37"/>
      <c r="H2206" s="37"/>
      <c r="I2206" s="37"/>
      <c r="J2206" s="37"/>
    </row>
    <row r="2207" spans="1:10" x14ac:dyDescent="0.3">
      <c r="A2207" s="130"/>
      <c r="B2207" s="37"/>
      <c r="C2207" s="37"/>
      <c r="D2207" s="37"/>
      <c r="E2207" s="37"/>
      <c r="F2207" s="37"/>
      <c r="G2207" s="37"/>
      <c r="H2207" s="37"/>
      <c r="I2207" s="37"/>
      <c r="J2207" s="37"/>
    </row>
    <row r="2208" spans="1:10" x14ac:dyDescent="0.3">
      <c r="A2208" s="130"/>
      <c r="B2208" s="37"/>
      <c r="C2208" s="37"/>
      <c r="D2208" s="37"/>
      <c r="E2208" s="37"/>
      <c r="F2208" s="37"/>
      <c r="G2208" s="37"/>
      <c r="H2208" s="37"/>
      <c r="I2208" s="37"/>
      <c r="J2208" s="37"/>
    </row>
    <row r="2209" spans="1:10" x14ac:dyDescent="0.3">
      <c r="A2209" s="130"/>
      <c r="B2209" s="37"/>
      <c r="C2209" s="37"/>
      <c r="D2209" s="37"/>
      <c r="E2209" s="37"/>
      <c r="F2209" s="37"/>
      <c r="G2209" s="37"/>
      <c r="H2209" s="37"/>
      <c r="I2209" s="37"/>
      <c r="J2209" s="37"/>
    </row>
    <row r="2210" spans="1:10" x14ac:dyDescent="0.3">
      <c r="A2210" s="130"/>
      <c r="B2210" s="37"/>
      <c r="C2210" s="37"/>
      <c r="D2210" s="37"/>
      <c r="E2210" s="37"/>
      <c r="F2210" s="37"/>
      <c r="G2210" s="37"/>
      <c r="H2210" s="37"/>
      <c r="I2210" s="37"/>
      <c r="J2210" s="37"/>
    </row>
    <row r="2211" spans="1:10" x14ac:dyDescent="0.3">
      <c r="A2211" s="130"/>
      <c r="B2211" s="37"/>
      <c r="C2211" s="37"/>
      <c r="D2211" s="37"/>
      <c r="E2211" s="37"/>
      <c r="F2211" s="37"/>
      <c r="G2211" s="37"/>
      <c r="H2211" s="37"/>
      <c r="I2211" s="37"/>
      <c r="J2211" s="37"/>
    </row>
    <row r="2212" spans="1:10" x14ac:dyDescent="0.3">
      <c r="A2212" s="130"/>
      <c r="B2212" s="37"/>
      <c r="C2212" s="37"/>
      <c r="D2212" s="37"/>
      <c r="E2212" s="37"/>
      <c r="F2212" s="37"/>
      <c r="G2212" s="37"/>
      <c r="H2212" s="37"/>
      <c r="I2212" s="37"/>
      <c r="J2212" s="37"/>
    </row>
    <row r="2213" spans="1:10" x14ac:dyDescent="0.3">
      <c r="A2213" s="130"/>
      <c r="B2213" s="37"/>
      <c r="C2213" s="37"/>
      <c r="D2213" s="37"/>
      <c r="E2213" s="37"/>
      <c r="F2213" s="37"/>
      <c r="G2213" s="37"/>
      <c r="H2213" s="37"/>
      <c r="I2213" s="37"/>
      <c r="J2213" s="37"/>
    </row>
    <row r="2214" spans="1:10" x14ac:dyDescent="0.3">
      <c r="A2214" s="130"/>
      <c r="B2214" s="37"/>
      <c r="C2214" s="37"/>
      <c r="D2214" s="37"/>
      <c r="E2214" s="37"/>
      <c r="F2214" s="37"/>
      <c r="G2214" s="37"/>
      <c r="H2214" s="37"/>
      <c r="I2214" s="37"/>
      <c r="J2214" s="37"/>
    </row>
    <row r="2215" spans="1:10" x14ac:dyDescent="0.3">
      <c r="A2215" s="130"/>
      <c r="B2215" s="37"/>
      <c r="C2215" s="37"/>
      <c r="D2215" s="37"/>
      <c r="E2215" s="37"/>
      <c r="F2215" s="37"/>
      <c r="G2215" s="37"/>
      <c r="H2215" s="37"/>
      <c r="I2215" s="37"/>
      <c r="J2215" s="37"/>
    </row>
    <row r="2216" spans="1:10" x14ac:dyDescent="0.3">
      <c r="A2216" s="130"/>
      <c r="B2216" s="37"/>
      <c r="C2216" s="37"/>
      <c r="D2216" s="37"/>
      <c r="E2216" s="37"/>
      <c r="F2216" s="37"/>
      <c r="G2216" s="37"/>
      <c r="H2216" s="37"/>
      <c r="I2216" s="37"/>
      <c r="J2216" s="37"/>
    </row>
    <row r="2217" spans="1:10" x14ac:dyDescent="0.3">
      <c r="A2217" s="130"/>
      <c r="B2217" s="37"/>
      <c r="C2217" s="37"/>
      <c r="D2217" s="37"/>
      <c r="E2217" s="37"/>
      <c r="F2217" s="37"/>
      <c r="G2217" s="37"/>
      <c r="H2217" s="37"/>
      <c r="I2217" s="37"/>
      <c r="J2217" s="37"/>
    </row>
    <row r="2218" spans="1:10" x14ac:dyDescent="0.3">
      <c r="A2218" s="130"/>
      <c r="B2218" s="37"/>
      <c r="C2218" s="37"/>
      <c r="D2218" s="37"/>
      <c r="E2218" s="37"/>
      <c r="F2218" s="37"/>
      <c r="G2218" s="37"/>
      <c r="H2218" s="37"/>
      <c r="I2218" s="37"/>
      <c r="J2218" s="37"/>
    </row>
    <row r="2219" spans="1:10" x14ac:dyDescent="0.3">
      <c r="A2219" s="130"/>
      <c r="B2219" s="37"/>
      <c r="C2219" s="37"/>
      <c r="D2219" s="37"/>
      <c r="E2219" s="37"/>
      <c r="F2219" s="37"/>
      <c r="G2219" s="37"/>
      <c r="H2219" s="37"/>
      <c r="I2219" s="37"/>
      <c r="J2219" s="37"/>
    </row>
    <row r="2220" spans="1:10" x14ac:dyDescent="0.3">
      <c r="A2220" s="130"/>
      <c r="B2220" s="37"/>
      <c r="C2220" s="37"/>
      <c r="D2220" s="37"/>
      <c r="E2220" s="37"/>
      <c r="F2220" s="37"/>
      <c r="G2220" s="37"/>
      <c r="H2220" s="37"/>
      <c r="I2220" s="37"/>
      <c r="J2220" s="37"/>
    </row>
    <row r="2221" spans="1:10" x14ac:dyDescent="0.3">
      <c r="A2221" s="130"/>
      <c r="B2221" s="37"/>
      <c r="C2221" s="37"/>
      <c r="D2221" s="37"/>
      <c r="E2221" s="37"/>
      <c r="F2221" s="37"/>
      <c r="G2221" s="37"/>
      <c r="H2221" s="37"/>
      <c r="I2221" s="37"/>
      <c r="J2221" s="37"/>
    </row>
    <row r="2222" spans="1:10" x14ac:dyDescent="0.3">
      <c r="A2222" s="130"/>
      <c r="B2222" s="37"/>
      <c r="C2222" s="37"/>
      <c r="D2222" s="37"/>
      <c r="E2222" s="37"/>
      <c r="F2222" s="37"/>
      <c r="G2222" s="37"/>
      <c r="H2222" s="37"/>
      <c r="I2222" s="37"/>
      <c r="J2222" s="37"/>
    </row>
    <row r="2223" spans="1:10" x14ac:dyDescent="0.3">
      <c r="A2223" s="130"/>
      <c r="B2223" s="37"/>
      <c r="C2223" s="37"/>
      <c r="D2223" s="37"/>
      <c r="E2223" s="37"/>
      <c r="F2223" s="37"/>
      <c r="G2223" s="37"/>
      <c r="H2223" s="37"/>
      <c r="I2223" s="37"/>
      <c r="J2223" s="37"/>
    </row>
    <row r="2224" spans="1:10" x14ac:dyDescent="0.3">
      <c r="A2224" s="130"/>
      <c r="B2224" s="37"/>
      <c r="C2224" s="37"/>
      <c r="D2224" s="37"/>
      <c r="E2224" s="37"/>
      <c r="F2224" s="37"/>
      <c r="G2224" s="37"/>
      <c r="H2224" s="37"/>
      <c r="I2224" s="37"/>
      <c r="J2224" s="37"/>
    </row>
    <row r="2225" spans="1:10" x14ac:dyDescent="0.3">
      <c r="A2225" s="130"/>
      <c r="B2225" s="37"/>
      <c r="C2225" s="37"/>
      <c r="D2225" s="37"/>
      <c r="E2225" s="37"/>
      <c r="F2225" s="37"/>
      <c r="G2225" s="37"/>
      <c r="H2225" s="37"/>
      <c r="I2225" s="37"/>
      <c r="J2225" s="37"/>
    </row>
    <row r="2226" spans="1:10" x14ac:dyDescent="0.3">
      <c r="A2226" s="130"/>
      <c r="B2226" s="37"/>
      <c r="C2226" s="37"/>
      <c r="D2226" s="37"/>
      <c r="E2226" s="37"/>
      <c r="F2226" s="37"/>
      <c r="G2226" s="37"/>
      <c r="H2226" s="37"/>
      <c r="I2226" s="37"/>
      <c r="J2226" s="37"/>
    </row>
    <row r="2227" spans="1:10" x14ac:dyDescent="0.3">
      <c r="A2227" s="130"/>
      <c r="B2227" s="37"/>
      <c r="C2227" s="37"/>
      <c r="D2227" s="37"/>
      <c r="E2227" s="37"/>
      <c r="F2227" s="37"/>
      <c r="G2227" s="37"/>
      <c r="H2227" s="37"/>
      <c r="I2227" s="37"/>
      <c r="J2227" s="37"/>
    </row>
    <row r="2228" spans="1:10" x14ac:dyDescent="0.3">
      <c r="A2228" s="130"/>
      <c r="B2228" s="37"/>
      <c r="C2228" s="37"/>
      <c r="D2228" s="37"/>
      <c r="E2228" s="37"/>
      <c r="F2228" s="37"/>
      <c r="G2228" s="37"/>
      <c r="H2228" s="37"/>
      <c r="I2228" s="37"/>
      <c r="J2228" s="37"/>
    </row>
    <row r="2229" spans="1:10" x14ac:dyDescent="0.3">
      <c r="A2229" s="130"/>
      <c r="B2229" s="37"/>
      <c r="C2229" s="37"/>
      <c r="D2229" s="37"/>
      <c r="E2229" s="37"/>
      <c r="F2229" s="37"/>
      <c r="G2229" s="37"/>
      <c r="H2229" s="37"/>
      <c r="I2229" s="37"/>
      <c r="J2229" s="37"/>
    </row>
    <row r="2230" spans="1:10" x14ac:dyDescent="0.3">
      <c r="A2230" s="130"/>
      <c r="B2230" s="37"/>
      <c r="C2230" s="37"/>
      <c r="D2230" s="37"/>
      <c r="E2230" s="37"/>
      <c r="F2230" s="37"/>
      <c r="G2230" s="37"/>
      <c r="H2230" s="37"/>
      <c r="I2230" s="37"/>
      <c r="J2230" s="37"/>
    </row>
    <row r="2231" spans="1:10" x14ac:dyDescent="0.3">
      <c r="A2231" s="130"/>
      <c r="B2231" s="37"/>
      <c r="C2231" s="37"/>
      <c r="D2231" s="37"/>
      <c r="E2231" s="37"/>
      <c r="F2231" s="37"/>
      <c r="G2231" s="37"/>
      <c r="H2231" s="37"/>
      <c r="I2231" s="37"/>
      <c r="J2231" s="37"/>
    </row>
    <row r="2232" spans="1:10" x14ac:dyDescent="0.3">
      <c r="A2232" s="130"/>
      <c r="B2232" s="37"/>
      <c r="C2232" s="37"/>
      <c r="D2232" s="37"/>
      <c r="E2232" s="37"/>
      <c r="F2232" s="37"/>
      <c r="G2232" s="37"/>
      <c r="H2232" s="37"/>
      <c r="I2232" s="37"/>
      <c r="J2232" s="37"/>
    </row>
    <row r="2233" spans="1:10" x14ac:dyDescent="0.3">
      <c r="A2233" s="130"/>
      <c r="B2233" s="37"/>
      <c r="C2233" s="37"/>
      <c r="D2233" s="37"/>
      <c r="E2233" s="37"/>
      <c r="F2233" s="37"/>
      <c r="G2233" s="37"/>
      <c r="H2233" s="37"/>
      <c r="I2233" s="37"/>
      <c r="J2233" s="37"/>
    </row>
    <row r="2234" spans="1:10" x14ac:dyDescent="0.3">
      <c r="A2234" s="130"/>
      <c r="B2234" s="37"/>
      <c r="C2234" s="37"/>
      <c r="D2234" s="37"/>
      <c r="E2234" s="37"/>
      <c r="F2234" s="37"/>
      <c r="G2234" s="37"/>
      <c r="H2234" s="37"/>
      <c r="I2234" s="37"/>
      <c r="J2234" s="37"/>
    </row>
    <row r="2235" spans="1:10" x14ac:dyDescent="0.3">
      <c r="A2235" s="130"/>
      <c r="B2235" s="37"/>
      <c r="C2235" s="37"/>
      <c r="D2235" s="37"/>
      <c r="E2235" s="37"/>
      <c r="F2235" s="37"/>
      <c r="G2235" s="37"/>
      <c r="H2235" s="37"/>
      <c r="I2235" s="37"/>
      <c r="J2235" s="37"/>
    </row>
    <row r="2236" spans="1:10" x14ac:dyDescent="0.3">
      <c r="A2236" s="130"/>
      <c r="B2236" s="37"/>
      <c r="C2236" s="37"/>
      <c r="D2236" s="37"/>
      <c r="E2236" s="37"/>
      <c r="F2236" s="37"/>
      <c r="G2236" s="37"/>
      <c r="H2236" s="37"/>
      <c r="I2236" s="37"/>
      <c r="J2236" s="37"/>
    </row>
    <row r="2237" spans="1:10" x14ac:dyDescent="0.3">
      <c r="A2237" s="130"/>
      <c r="B2237" s="37"/>
      <c r="C2237" s="37"/>
      <c r="D2237" s="37"/>
      <c r="E2237" s="37"/>
      <c r="F2237" s="37"/>
      <c r="G2237" s="37"/>
      <c r="H2237" s="37"/>
      <c r="I2237" s="37"/>
      <c r="J2237" s="37"/>
    </row>
    <row r="2238" spans="1:10" x14ac:dyDescent="0.3">
      <c r="A2238" s="130"/>
      <c r="B2238" s="37"/>
      <c r="C2238" s="37"/>
      <c r="D2238" s="37"/>
      <c r="E2238" s="37"/>
      <c r="F2238" s="37"/>
      <c r="G2238" s="37"/>
      <c r="H2238" s="37"/>
      <c r="I2238" s="37"/>
      <c r="J2238" s="37"/>
    </row>
    <row r="2239" spans="1:10" x14ac:dyDescent="0.3">
      <c r="A2239" s="130"/>
      <c r="B2239" s="37"/>
      <c r="C2239" s="37"/>
      <c r="D2239" s="37"/>
      <c r="E2239" s="37"/>
      <c r="F2239" s="37"/>
      <c r="G2239" s="37"/>
      <c r="H2239" s="37"/>
      <c r="I2239" s="37"/>
      <c r="J2239" s="37"/>
    </row>
    <row r="2240" spans="1:10" x14ac:dyDescent="0.3">
      <c r="A2240" s="130"/>
      <c r="B2240" s="37"/>
      <c r="C2240" s="37"/>
      <c r="D2240" s="37"/>
      <c r="E2240" s="37"/>
      <c r="F2240" s="37"/>
      <c r="G2240" s="37"/>
      <c r="H2240" s="37"/>
      <c r="I2240" s="37"/>
      <c r="J2240" s="37"/>
    </row>
    <row r="2241" spans="1:10" x14ac:dyDescent="0.3">
      <c r="A2241" s="130"/>
      <c r="B2241" s="37"/>
      <c r="C2241" s="37"/>
      <c r="D2241" s="37"/>
      <c r="E2241" s="37"/>
      <c r="F2241" s="37"/>
      <c r="G2241" s="37"/>
      <c r="H2241" s="37"/>
      <c r="I2241" s="37"/>
      <c r="J2241" s="37"/>
    </row>
    <row r="2242" spans="1:10" x14ac:dyDescent="0.3">
      <c r="A2242" s="130"/>
      <c r="B2242" s="37"/>
      <c r="C2242" s="37"/>
      <c r="D2242" s="37"/>
      <c r="E2242" s="37"/>
      <c r="F2242" s="37"/>
      <c r="G2242" s="37"/>
      <c r="H2242" s="37"/>
      <c r="I2242" s="37"/>
      <c r="J2242" s="37"/>
    </row>
    <row r="2243" spans="1:10" x14ac:dyDescent="0.3">
      <c r="A2243" s="130"/>
      <c r="B2243" s="37"/>
      <c r="C2243" s="37"/>
      <c r="D2243" s="37"/>
      <c r="E2243" s="37"/>
      <c r="F2243" s="37"/>
      <c r="G2243" s="37"/>
      <c r="H2243" s="37"/>
      <c r="I2243" s="37"/>
      <c r="J2243" s="37"/>
    </row>
    <row r="2244" spans="1:10" x14ac:dyDescent="0.3">
      <c r="A2244" s="130"/>
      <c r="B2244" s="37"/>
      <c r="C2244" s="37"/>
      <c r="D2244" s="37"/>
      <c r="E2244" s="37"/>
      <c r="F2244" s="37"/>
      <c r="G2244" s="37"/>
      <c r="H2244" s="37"/>
      <c r="I2244" s="37"/>
      <c r="J2244" s="37"/>
    </row>
    <row r="2245" spans="1:10" x14ac:dyDescent="0.3">
      <c r="A2245" s="130"/>
      <c r="B2245" s="37"/>
      <c r="C2245" s="37"/>
      <c r="D2245" s="37"/>
      <c r="E2245" s="37"/>
      <c r="F2245" s="37"/>
      <c r="G2245" s="37"/>
      <c r="H2245" s="37"/>
      <c r="I2245" s="37"/>
      <c r="J2245" s="37"/>
    </row>
    <row r="2246" spans="1:10" x14ac:dyDescent="0.3">
      <c r="A2246" s="130"/>
      <c r="B2246" s="37"/>
      <c r="C2246" s="37"/>
      <c r="D2246" s="37"/>
      <c r="E2246" s="37"/>
      <c r="F2246" s="37"/>
      <c r="G2246" s="37"/>
      <c r="H2246" s="37"/>
      <c r="I2246" s="37"/>
      <c r="J2246" s="37"/>
    </row>
    <row r="2247" spans="1:10" x14ac:dyDescent="0.3">
      <c r="A2247" s="130"/>
      <c r="B2247" s="37"/>
      <c r="C2247" s="37"/>
      <c r="D2247" s="37"/>
      <c r="E2247" s="37"/>
      <c r="F2247" s="37"/>
      <c r="G2247" s="37"/>
      <c r="H2247" s="37"/>
      <c r="I2247" s="37"/>
      <c r="J2247" s="37"/>
    </row>
    <row r="2248" spans="1:10" x14ac:dyDescent="0.3">
      <c r="A2248" s="130"/>
      <c r="B2248" s="37"/>
      <c r="C2248" s="37"/>
      <c r="D2248" s="37"/>
      <c r="E2248" s="37"/>
      <c r="F2248" s="37"/>
      <c r="G2248" s="37"/>
      <c r="H2248" s="37"/>
      <c r="I2248" s="37"/>
      <c r="J2248" s="37"/>
    </row>
    <row r="2249" spans="1:10" x14ac:dyDescent="0.3">
      <c r="A2249" s="130"/>
      <c r="B2249" s="37"/>
      <c r="C2249" s="37"/>
      <c r="D2249" s="37"/>
      <c r="E2249" s="37"/>
      <c r="F2249" s="37"/>
      <c r="G2249" s="37"/>
      <c r="H2249" s="37"/>
      <c r="I2249" s="37"/>
      <c r="J2249" s="37"/>
    </row>
    <row r="2250" spans="1:10" x14ac:dyDescent="0.3">
      <c r="A2250" s="130"/>
      <c r="B2250" s="37"/>
      <c r="C2250" s="37"/>
      <c r="D2250" s="37"/>
      <c r="E2250" s="37"/>
      <c r="F2250" s="37"/>
      <c r="G2250" s="37"/>
      <c r="H2250" s="37"/>
      <c r="I2250" s="37"/>
      <c r="J2250" s="37"/>
    </row>
    <row r="2251" spans="1:10" x14ac:dyDescent="0.3">
      <c r="A2251" s="130"/>
      <c r="B2251" s="37"/>
      <c r="C2251" s="37"/>
      <c r="D2251" s="37"/>
      <c r="E2251" s="37"/>
      <c r="F2251" s="37"/>
      <c r="G2251" s="37"/>
      <c r="H2251" s="37"/>
      <c r="I2251" s="37"/>
      <c r="J2251" s="37"/>
    </row>
    <row r="2252" spans="1:10" x14ac:dyDescent="0.3">
      <c r="A2252" s="130"/>
      <c r="B2252" s="37"/>
      <c r="C2252" s="37"/>
      <c r="D2252" s="37"/>
      <c r="E2252" s="37"/>
      <c r="F2252" s="37"/>
      <c r="G2252" s="37"/>
      <c r="H2252" s="37"/>
      <c r="I2252" s="37"/>
      <c r="J2252" s="37"/>
    </row>
    <row r="2253" spans="1:10" x14ac:dyDescent="0.3">
      <c r="A2253" s="130"/>
      <c r="B2253" s="37"/>
      <c r="C2253" s="37"/>
      <c r="D2253" s="37"/>
      <c r="E2253" s="37"/>
      <c r="F2253" s="37"/>
      <c r="G2253" s="37"/>
      <c r="H2253" s="37"/>
      <c r="I2253" s="37"/>
      <c r="J2253" s="37"/>
    </row>
    <row r="2254" spans="1:10" x14ac:dyDescent="0.3">
      <c r="A2254" s="130"/>
      <c r="B2254" s="37"/>
      <c r="C2254" s="37"/>
      <c r="D2254" s="37"/>
      <c r="E2254" s="37"/>
      <c r="F2254" s="37"/>
      <c r="G2254" s="37"/>
      <c r="H2254" s="37"/>
      <c r="I2254" s="37"/>
      <c r="J2254" s="37"/>
    </row>
    <row r="2255" spans="1:10" x14ac:dyDescent="0.3">
      <c r="A2255" s="130"/>
      <c r="B2255" s="37"/>
      <c r="C2255" s="37"/>
      <c r="D2255" s="37"/>
      <c r="E2255" s="37"/>
      <c r="F2255" s="37"/>
      <c r="G2255" s="37"/>
      <c r="H2255" s="37"/>
      <c r="I2255" s="37"/>
      <c r="J2255" s="37"/>
    </row>
    <row r="2256" spans="1:10" x14ac:dyDescent="0.3">
      <c r="A2256" s="130"/>
      <c r="B2256" s="37"/>
      <c r="C2256" s="37"/>
      <c r="D2256" s="37"/>
      <c r="E2256" s="37"/>
      <c r="F2256" s="37"/>
      <c r="G2256" s="37"/>
      <c r="H2256" s="37"/>
      <c r="I2256" s="37"/>
      <c r="J2256" s="37"/>
    </row>
    <row r="2257" spans="1:10" x14ac:dyDescent="0.3">
      <c r="A2257" s="130"/>
      <c r="B2257" s="37"/>
      <c r="C2257" s="37"/>
      <c r="D2257" s="37"/>
      <c r="E2257" s="37"/>
      <c r="F2257" s="37"/>
      <c r="G2257" s="37"/>
      <c r="H2257" s="37"/>
      <c r="I2257" s="37"/>
      <c r="J2257" s="37"/>
    </row>
    <row r="2258" spans="1:10" x14ac:dyDescent="0.3">
      <c r="A2258" s="130"/>
      <c r="B2258" s="37"/>
      <c r="C2258" s="37"/>
      <c r="D2258" s="37"/>
      <c r="E2258" s="37"/>
      <c r="F2258" s="37"/>
      <c r="G2258" s="37"/>
      <c r="H2258" s="37"/>
      <c r="I2258" s="37"/>
      <c r="J2258" s="37"/>
    </row>
    <row r="2259" spans="1:10" x14ac:dyDescent="0.3">
      <c r="A2259" s="130"/>
      <c r="B2259" s="37"/>
      <c r="C2259" s="37"/>
      <c r="D2259" s="37"/>
      <c r="E2259" s="37"/>
      <c r="F2259" s="37"/>
      <c r="G2259" s="37"/>
      <c r="H2259" s="37"/>
      <c r="I2259" s="37"/>
      <c r="J2259" s="37"/>
    </row>
    <row r="2260" spans="1:10" x14ac:dyDescent="0.3">
      <c r="A2260" s="130"/>
      <c r="B2260" s="37"/>
      <c r="C2260" s="37"/>
      <c r="D2260" s="37"/>
      <c r="E2260" s="37"/>
      <c r="F2260" s="37"/>
      <c r="G2260" s="37"/>
      <c r="H2260" s="37"/>
      <c r="I2260" s="37"/>
      <c r="J2260" s="37"/>
    </row>
    <row r="2261" spans="1:10" x14ac:dyDescent="0.3">
      <c r="A2261" s="130"/>
      <c r="B2261" s="37"/>
      <c r="C2261" s="37"/>
      <c r="D2261" s="37"/>
      <c r="E2261" s="37"/>
      <c r="F2261" s="37"/>
      <c r="G2261" s="37"/>
      <c r="H2261" s="37"/>
      <c r="I2261" s="37"/>
      <c r="J2261" s="37"/>
    </row>
    <row r="2262" spans="1:10" x14ac:dyDescent="0.3">
      <c r="A2262" s="130"/>
      <c r="B2262" s="37"/>
      <c r="C2262" s="37"/>
      <c r="D2262" s="37"/>
      <c r="E2262" s="37"/>
      <c r="F2262" s="37"/>
      <c r="G2262" s="37"/>
      <c r="H2262" s="37"/>
      <c r="I2262" s="37"/>
      <c r="J2262" s="37"/>
    </row>
    <row r="2263" spans="1:10" x14ac:dyDescent="0.3">
      <c r="A2263" s="130"/>
      <c r="B2263" s="37"/>
      <c r="C2263" s="37"/>
      <c r="D2263" s="37"/>
      <c r="E2263" s="37"/>
      <c r="F2263" s="37"/>
      <c r="G2263" s="37"/>
      <c r="H2263" s="37"/>
      <c r="I2263" s="37"/>
      <c r="J2263" s="37"/>
    </row>
    <row r="2264" spans="1:10" x14ac:dyDescent="0.3">
      <c r="A2264" s="130"/>
      <c r="B2264" s="37"/>
      <c r="C2264" s="37"/>
      <c r="D2264" s="37"/>
      <c r="E2264" s="37"/>
      <c r="F2264" s="37"/>
      <c r="G2264" s="37"/>
      <c r="H2264" s="37"/>
      <c r="I2264" s="37"/>
      <c r="J2264" s="37"/>
    </row>
    <row r="2265" spans="1:10" x14ac:dyDescent="0.3">
      <c r="A2265" s="130"/>
      <c r="B2265" s="37"/>
      <c r="C2265" s="37"/>
      <c r="D2265" s="37"/>
      <c r="E2265" s="37"/>
      <c r="F2265" s="37"/>
      <c r="G2265" s="37"/>
      <c r="H2265" s="37"/>
      <c r="I2265" s="37"/>
      <c r="J2265" s="37"/>
    </row>
    <row r="2266" spans="1:10" x14ac:dyDescent="0.3">
      <c r="A2266" s="130"/>
      <c r="B2266" s="37"/>
      <c r="C2266" s="37"/>
      <c r="D2266" s="37"/>
      <c r="E2266" s="37"/>
      <c r="F2266" s="37"/>
      <c r="G2266" s="37"/>
      <c r="H2266" s="37"/>
      <c r="I2266" s="37"/>
      <c r="J2266" s="37"/>
    </row>
    <row r="2267" spans="1:10" x14ac:dyDescent="0.3">
      <c r="A2267" s="130"/>
      <c r="B2267" s="37"/>
      <c r="C2267" s="37"/>
      <c r="D2267" s="37"/>
      <c r="E2267" s="37"/>
      <c r="F2267" s="37"/>
      <c r="G2267" s="37"/>
      <c r="H2267" s="37"/>
      <c r="I2267" s="37"/>
      <c r="J2267" s="37"/>
    </row>
    <row r="2268" spans="1:10" x14ac:dyDescent="0.3">
      <c r="A2268" s="130"/>
      <c r="B2268" s="37"/>
      <c r="C2268" s="37"/>
      <c r="D2268" s="37"/>
      <c r="E2268" s="37"/>
      <c r="F2268" s="37"/>
      <c r="G2268" s="37"/>
      <c r="H2268" s="37"/>
      <c r="I2268" s="37"/>
      <c r="J2268" s="37"/>
    </row>
    <row r="2269" spans="1:10" x14ac:dyDescent="0.3">
      <c r="A2269" s="130"/>
      <c r="B2269" s="37"/>
      <c r="C2269" s="37"/>
      <c r="D2269" s="37"/>
      <c r="E2269" s="37"/>
      <c r="F2269" s="37"/>
      <c r="G2269" s="37"/>
      <c r="H2269" s="37"/>
      <c r="I2269" s="37"/>
      <c r="J2269" s="37"/>
    </row>
    <row r="2270" spans="1:10" x14ac:dyDescent="0.3">
      <c r="A2270" s="130"/>
      <c r="B2270" s="37"/>
      <c r="C2270" s="37"/>
      <c r="D2270" s="37"/>
      <c r="E2270" s="37"/>
      <c r="F2270" s="37"/>
      <c r="G2270" s="37"/>
      <c r="H2270" s="37"/>
      <c r="I2270" s="37"/>
      <c r="J2270" s="37"/>
    </row>
    <row r="2271" spans="1:10" x14ac:dyDescent="0.3">
      <c r="A2271" s="130"/>
      <c r="B2271" s="37"/>
      <c r="C2271" s="37"/>
      <c r="D2271" s="37"/>
      <c r="E2271" s="37"/>
      <c r="F2271" s="37"/>
      <c r="G2271" s="37"/>
      <c r="H2271" s="37"/>
      <c r="I2271" s="37"/>
      <c r="J2271" s="37"/>
    </row>
    <row r="2272" spans="1:10" x14ac:dyDescent="0.3">
      <c r="A2272" s="130"/>
      <c r="B2272" s="37"/>
      <c r="C2272" s="37"/>
      <c r="D2272" s="37"/>
      <c r="E2272" s="37"/>
      <c r="F2272" s="37"/>
      <c r="G2272" s="37"/>
      <c r="H2272" s="37"/>
      <c r="I2272" s="37"/>
      <c r="J2272" s="37"/>
    </row>
    <row r="2273" spans="1:10" x14ac:dyDescent="0.3">
      <c r="A2273" s="130"/>
      <c r="B2273" s="37"/>
      <c r="C2273" s="37"/>
      <c r="D2273" s="37"/>
      <c r="E2273" s="37"/>
      <c r="F2273" s="37"/>
      <c r="G2273" s="37"/>
      <c r="H2273" s="37"/>
      <c r="I2273" s="37"/>
      <c r="J2273" s="37"/>
    </row>
    <row r="2274" spans="1:10" x14ac:dyDescent="0.3">
      <c r="A2274" s="130"/>
      <c r="B2274" s="37"/>
      <c r="C2274" s="37"/>
      <c r="D2274" s="37"/>
      <c r="E2274" s="37"/>
      <c r="F2274" s="37"/>
      <c r="G2274" s="37"/>
      <c r="H2274" s="37"/>
      <c r="I2274" s="37"/>
      <c r="J2274" s="37"/>
    </row>
    <row r="2275" spans="1:10" x14ac:dyDescent="0.3">
      <c r="A2275" s="130"/>
      <c r="B2275" s="37"/>
      <c r="C2275" s="37"/>
      <c r="D2275" s="37"/>
      <c r="E2275" s="37"/>
      <c r="F2275" s="37"/>
      <c r="G2275" s="37"/>
      <c r="H2275" s="37"/>
      <c r="I2275" s="37"/>
      <c r="J2275" s="37"/>
    </row>
    <row r="2276" spans="1:10" x14ac:dyDescent="0.3">
      <c r="A2276" s="130"/>
      <c r="B2276" s="37"/>
      <c r="C2276" s="37"/>
      <c r="D2276" s="37"/>
      <c r="E2276" s="37"/>
      <c r="F2276" s="37"/>
      <c r="G2276" s="37"/>
      <c r="H2276" s="37"/>
      <c r="I2276" s="37"/>
      <c r="J2276" s="37"/>
    </row>
    <row r="2277" spans="1:10" x14ac:dyDescent="0.3">
      <c r="A2277" s="130"/>
      <c r="B2277" s="37"/>
      <c r="C2277" s="37"/>
      <c r="D2277" s="37"/>
      <c r="E2277" s="37"/>
      <c r="F2277" s="37"/>
      <c r="G2277" s="37"/>
      <c r="H2277" s="37"/>
      <c r="I2277" s="37"/>
      <c r="J2277" s="37"/>
    </row>
    <row r="2278" spans="1:10" x14ac:dyDescent="0.3">
      <c r="A2278" s="130"/>
      <c r="B2278" s="37"/>
      <c r="C2278" s="37"/>
      <c r="D2278" s="37"/>
      <c r="E2278" s="37"/>
      <c r="F2278" s="37"/>
      <c r="G2278" s="37"/>
      <c r="H2278" s="37"/>
      <c r="I2278" s="37"/>
      <c r="J2278" s="37"/>
    </row>
    <row r="2279" spans="1:10" x14ac:dyDescent="0.3">
      <c r="A2279" s="130"/>
      <c r="B2279" s="37"/>
      <c r="C2279" s="37"/>
      <c r="D2279" s="37"/>
      <c r="E2279" s="37"/>
      <c r="F2279" s="37"/>
      <c r="G2279" s="37"/>
      <c r="H2279" s="37"/>
      <c r="I2279" s="37"/>
      <c r="J2279" s="37"/>
    </row>
    <row r="2280" spans="1:10" x14ac:dyDescent="0.3">
      <c r="A2280" s="130"/>
      <c r="B2280" s="37"/>
      <c r="C2280" s="37"/>
      <c r="D2280" s="37"/>
      <c r="E2280" s="37"/>
      <c r="F2280" s="37"/>
      <c r="G2280" s="37"/>
      <c r="H2280" s="37"/>
      <c r="I2280" s="37"/>
      <c r="J2280" s="37"/>
    </row>
    <row r="2281" spans="1:10" x14ac:dyDescent="0.3">
      <c r="A2281" s="130"/>
      <c r="B2281" s="37"/>
      <c r="C2281" s="37"/>
      <c r="D2281" s="37"/>
      <c r="E2281" s="37"/>
      <c r="F2281" s="37"/>
      <c r="G2281" s="37"/>
      <c r="H2281" s="37"/>
      <c r="I2281" s="37"/>
      <c r="J2281" s="37"/>
    </row>
    <row r="2282" spans="1:10" x14ac:dyDescent="0.3">
      <c r="A2282" s="130"/>
      <c r="B2282" s="37"/>
      <c r="C2282" s="37"/>
      <c r="D2282" s="37"/>
      <c r="E2282" s="37"/>
      <c r="F2282" s="37"/>
      <c r="G2282" s="37"/>
      <c r="H2282" s="37"/>
      <c r="I2282" s="37"/>
      <c r="J2282" s="37"/>
    </row>
    <row r="2283" spans="1:10" x14ac:dyDescent="0.3">
      <c r="A2283" s="130"/>
      <c r="B2283" s="37"/>
      <c r="C2283" s="37"/>
      <c r="D2283" s="37"/>
      <c r="E2283" s="37"/>
      <c r="F2283" s="37"/>
      <c r="G2283" s="37"/>
      <c r="H2283" s="37"/>
      <c r="I2283" s="37"/>
      <c r="J2283" s="37"/>
    </row>
    <row r="2284" spans="1:10" x14ac:dyDescent="0.3">
      <c r="A2284" s="130"/>
      <c r="B2284" s="37"/>
      <c r="C2284" s="37"/>
      <c r="D2284" s="37"/>
      <c r="E2284" s="37"/>
      <c r="F2284" s="37"/>
      <c r="G2284" s="37"/>
      <c r="H2284" s="37"/>
      <c r="I2284" s="37"/>
      <c r="J2284" s="37"/>
    </row>
    <row r="2285" spans="1:10" x14ac:dyDescent="0.3">
      <c r="A2285" s="130"/>
      <c r="B2285" s="37"/>
      <c r="C2285" s="37"/>
      <c r="D2285" s="37"/>
      <c r="E2285" s="37"/>
      <c r="F2285" s="37"/>
      <c r="G2285" s="37"/>
      <c r="H2285" s="37"/>
      <c r="I2285" s="37"/>
      <c r="J2285" s="37"/>
    </row>
    <row r="2286" spans="1:10" x14ac:dyDescent="0.3">
      <c r="A2286" s="130"/>
      <c r="B2286" s="37"/>
      <c r="C2286" s="37"/>
      <c r="D2286" s="37"/>
      <c r="E2286" s="37"/>
      <c r="F2286" s="37"/>
      <c r="G2286" s="37"/>
      <c r="H2286" s="37"/>
      <c r="I2286" s="37"/>
      <c r="J2286" s="37"/>
    </row>
    <row r="2287" spans="1:10" x14ac:dyDescent="0.3">
      <c r="A2287" s="130"/>
      <c r="B2287" s="37"/>
      <c r="C2287" s="37"/>
      <c r="D2287" s="37"/>
      <c r="E2287" s="37"/>
      <c r="F2287" s="37"/>
      <c r="G2287" s="37"/>
      <c r="H2287" s="37"/>
      <c r="I2287" s="37"/>
      <c r="J2287" s="37"/>
    </row>
    <row r="2288" spans="1:10" x14ac:dyDescent="0.3">
      <c r="A2288" s="130"/>
      <c r="B2288" s="37"/>
      <c r="C2288" s="37"/>
      <c r="D2288" s="37"/>
      <c r="E2288" s="37"/>
      <c r="F2288" s="37"/>
      <c r="G2288" s="37"/>
      <c r="H2288" s="37"/>
      <c r="I2288" s="37"/>
      <c r="J2288" s="37"/>
    </row>
    <row r="2289" spans="1:10" x14ac:dyDescent="0.3">
      <c r="A2289" s="130"/>
      <c r="B2289" s="37"/>
      <c r="C2289" s="37"/>
      <c r="D2289" s="37"/>
      <c r="E2289" s="37"/>
      <c r="F2289" s="37"/>
      <c r="G2289" s="37"/>
      <c r="H2289" s="37"/>
      <c r="I2289" s="37"/>
      <c r="J2289" s="37"/>
    </row>
    <row r="2290" spans="1:10" x14ac:dyDescent="0.3">
      <c r="A2290" s="130"/>
      <c r="B2290" s="37"/>
      <c r="C2290" s="37"/>
      <c r="D2290" s="37"/>
      <c r="E2290" s="37"/>
      <c r="F2290" s="37"/>
      <c r="G2290" s="37"/>
      <c r="H2290" s="37"/>
      <c r="I2290" s="37"/>
      <c r="J2290" s="37"/>
    </row>
    <row r="2291" spans="1:10" x14ac:dyDescent="0.3">
      <c r="A2291" s="130"/>
      <c r="B2291" s="37"/>
      <c r="C2291" s="37"/>
      <c r="D2291" s="37"/>
      <c r="E2291" s="37"/>
      <c r="F2291" s="37"/>
      <c r="G2291" s="37"/>
      <c r="H2291" s="37"/>
      <c r="I2291" s="37"/>
      <c r="J2291" s="37"/>
    </row>
    <row r="2292" spans="1:10" x14ac:dyDescent="0.3">
      <c r="A2292" s="130"/>
      <c r="B2292" s="37"/>
      <c r="C2292" s="37"/>
      <c r="D2292" s="37"/>
      <c r="E2292" s="37"/>
      <c r="F2292" s="37"/>
      <c r="G2292" s="37"/>
      <c r="H2292" s="37"/>
      <c r="I2292" s="37"/>
      <c r="J2292" s="37"/>
    </row>
    <row r="2293" spans="1:10" x14ac:dyDescent="0.3">
      <c r="A2293" s="130"/>
      <c r="B2293" s="37"/>
      <c r="C2293" s="37"/>
      <c r="D2293" s="37"/>
      <c r="E2293" s="37"/>
      <c r="F2293" s="37"/>
      <c r="G2293" s="37"/>
      <c r="H2293" s="37"/>
      <c r="I2293" s="37"/>
      <c r="J2293" s="37"/>
    </row>
    <row r="2294" spans="1:10" x14ac:dyDescent="0.3">
      <c r="A2294" s="130"/>
      <c r="B2294" s="37"/>
      <c r="C2294" s="37"/>
      <c r="D2294" s="37"/>
      <c r="E2294" s="37"/>
      <c r="F2294" s="37"/>
      <c r="G2294" s="37"/>
      <c r="H2294" s="37"/>
      <c r="I2294" s="37"/>
      <c r="J2294" s="37"/>
    </row>
    <row r="2295" spans="1:10" x14ac:dyDescent="0.3">
      <c r="A2295" s="130"/>
      <c r="B2295" s="37"/>
      <c r="C2295" s="37"/>
      <c r="D2295" s="37"/>
      <c r="E2295" s="37"/>
      <c r="F2295" s="37"/>
      <c r="G2295" s="37"/>
      <c r="H2295" s="37"/>
      <c r="I2295" s="37"/>
      <c r="J2295" s="37"/>
    </row>
    <row r="2296" spans="1:10" x14ac:dyDescent="0.3">
      <c r="A2296" s="130"/>
      <c r="B2296" s="37"/>
      <c r="C2296" s="37"/>
      <c r="D2296" s="37"/>
      <c r="E2296" s="37"/>
      <c r="F2296" s="37"/>
      <c r="G2296" s="37"/>
      <c r="H2296" s="37"/>
      <c r="I2296" s="37"/>
      <c r="J2296" s="37"/>
    </row>
    <row r="2297" spans="1:10" x14ac:dyDescent="0.3">
      <c r="A2297" s="130"/>
      <c r="B2297" s="37"/>
      <c r="C2297" s="37"/>
      <c r="D2297" s="37"/>
      <c r="E2297" s="37"/>
      <c r="F2297" s="37"/>
      <c r="G2297" s="37"/>
      <c r="H2297" s="37"/>
      <c r="I2297" s="37"/>
      <c r="J2297" s="37"/>
    </row>
    <row r="2298" spans="1:10" x14ac:dyDescent="0.3">
      <c r="A2298" s="130"/>
      <c r="B2298" s="37"/>
      <c r="C2298" s="37"/>
      <c r="D2298" s="37"/>
      <c r="E2298" s="37"/>
      <c r="F2298" s="37"/>
      <c r="G2298" s="37"/>
      <c r="H2298" s="37"/>
      <c r="I2298" s="37"/>
      <c r="J2298" s="37"/>
    </row>
    <row r="2299" spans="1:10" x14ac:dyDescent="0.3">
      <c r="A2299" s="130"/>
      <c r="B2299" s="37"/>
      <c r="C2299" s="37"/>
      <c r="D2299" s="37"/>
      <c r="E2299" s="37"/>
      <c r="F2299" s="37"/>
      <c r="G2299" s="37"/>
      <c r="H2299" s="37"/>
      <c r="I2299" s="37"/>
      <c r="J2299" s="37"/>
    </row>
    <row r="2300" spans="1:10" x14ac:dyDescent="0.3">
      <c r="A2300" s="130"/>
      <c r="B2300" s="37"/>
      <c r="C2300" s="37"/>
      <c r="D2300" s="37"/>
      <c r="E2300" s="37"/>
      <c r="F2300" s="37"/>
      <c r="G2300" s="37"/>
      <c r="H2300" s="37"/>
      <c r="I2300" s="37"/>
      <c r="J2300" s="37"/>
    </row>
    <row r="2301" spans="1:10" x14ac:dyDescent="0.3">
      <c r="A2301" s="130"/>
      <c r="B2301" s="37"/>
      <c r="C2301" s="37"/>
      <c r="D2301" s="37"/>
      <c r="E2301" s="37"/>
      <c r="F2301" s="37"/>
      <c r="G2301" s="37"/>
      <c r="H2301" s="37"/>
      <c r="I2301" s="37"/>
      <c r="J2301" s="37"/>
    </row>
    <row r="2302" spans="1:10" x14ac:dyDescent="0.3">
      <c r="A2302" s="130"/>
      <c r="B2302" s="37"/>
      <c r="C2302" s="37"/>
      <c r="D2302" s="37"/>
      <c r="E2302" s="37"/>
      <c r="F2302" s="37"/>
      <c r="G2302" s="37"/>
      <c r="H2302" s="37"/>
      <c r="I2302" s="37"/>
      <c r="J2302" s="37"/>
    </row>
    <row r="2303" spans="1:10" x14ac:dyDescent="0.3">
      <c r="A2303" s="130"/>
      <c r="B2303" s="37"/>
      <c r="C2303" s="37"/>
      <c r="D2303" s="37"/>
      <c r="E2303" s="37"/>
      <c r="F2303" s="37"/>
      <c r="G2303" s="37"/>
      <c r="H2303" s="37"/>
      <c r="I2303" s="37"/>
      <c r="J2303" s="37"/>
    </row>
    <row r="2304" spans="1:10" x14ac:dyDescent="0.3">
      <c r="A2304" s="130"/>
      <c r="B2304" s="37"/>
      <c r="C2304" s="37"/>
      <c r="D2304" s="37"/>
      <c r="E2304" s="37"/>
      <c r="F2304" s="37"/>
      <c r="G2304" s="37"/>
      <c r="H2304" s="37"/>
      <c r="I2304" s="37"/>
      <c r="J2304" s="37"/>
    </row>
    <row r="2305" spans="1:10" x14ac:dyDescent="0.3">
      <c r="A2305" s="130"/>
      <c r="B2305" s="37"/>
      <c r="C2305" s="37"/>
      <c r="D2305" s="37"/>
      <c r="E2305" s="37"/>
      <c r="F2305" s="37"/>
      <c r="G2305" s="37"/>
      <c r="H2305" s="37"/>
      <c r="I2305" s="37"/>
      <c r="J2305" s="37"/>
    </row>
    <row r="2306" spans="1:10" x14ac:dyDescent="0.3">
      <c r="A2306" s="130"/>
      <c r="B2306" s="37"/>
      <c r="C2306" s="37"/>
      <c r="D2306" s="37"/>
      <c r="E2306" s="37"/>
      <c r="F2306" s="37"/>
      <c r="G2306" s="37"/>
      <c r="H2306" s="37"/>
      <c r="I2306" s="37"/>
      <c r="J2306" s="37"/>
    </row>
    <row r="2307" spans="1:10" x14ac:dyDescent="0.3">
      <c r="A2307" s="130"/>
      <c r="B2307" s="37"/>
      <c r="C2307" s="37"/>
      <c r="D2307" s="37"/>
      <c r="E2307" s="37"/>
      <c r="F2307" s="37"/>
      <c r="G2307" s="37"/>
      <c r="H2307" s="37"/>
      <c r="I2307" s="37"/>
      <c r="J2307" s="37"/>
    </row>
    <row r="2308" spans="1:10" x14ac:dyDescent="0.3">
      <c r="A2308" s="130"/>
      <c r="B2308" s="37"/>
      <c r="C2308" s="37"/>
      <c r="D2308" s="37"/>
      <c r="E2308" s="37"/>
      <c r="F2308" s="37"/>
      <c r="G2308" s="37"/>
      <c r="H2308" s="37"/>
      <c r="I2308" s="37"/>
      <c r="J2308" s="37"/>
    </row>
    <row r="2309" spans="1:10" x14ac:dyDescent="0.3">
      <c r="A2309" s="130"/>
      <c r="B2309" s="37"/>
      <c r="C2309" s="37"/>
      <c r="D2309" s="37"/>
      <c r="E2309" s="37"/>
      <c r="F2309" s="37"/>
      <c r="G2309" s="37"/>
      <c r="H2309" s="37"/>
      <c r="I2309" s="37"/>
      <c r="J2309" s="37"/>
    </row>
    <row r="2310" spans="1:10" x14ac:dyDescent="0.3">
      <c r="A2310" s="130"/>
      <c r="B2310" s="37"/>
      <c r="C2310" s="37"/>
      <c r="D2310" s="37"/>
      <c r="E2310" s="37"/>
      <c r="F2310" s="37"/>
      <c r="G2310" s="37"/>
      <c r="H2310" s="37"/>
      <c r="I2310" s="37"/>
      <c r="J2310" s="37"/>
    </row>
    <row r="2311" spans="1:10" x14ac:dyDescent="0.3">
      <c r="A2311" s="130"/>
      <c r="B2311" s="37"/>
      <c r="C2311" s="37"/>
      <c r="D2311" s="37"/>
      <c r="E2311" s="37"/>
      <c r="F2311" s="37"/>
      <c r="G2311" s="37"/>
      <c r="H2311" s="37"/>
      <c r="I2311" s="37"/>
      <c r="J2311" s="37"/>
    </row>
    <row r="2312" spans="1:10" x14ac:dyDescent="0.3">
      <c r="A2312" s="130"/>
      <c r="B2312" s="37"/>
      <c r="C2312" s="37"/>
      <c r="D2312" s="37"/>
      <c r="E2312" s="37"/>
      <c r="F2312" s="37"/>
      <c r="G2312" s="37"/>
      <c r="H2312" s="37"/>
      <c r="I2312" s="37"/>
      <c r="J2312" s="37"/>
    </row>
    <row r="2313" spans="1:10" x14ac:dyDescent="0.3">
      <c r="A2313" s="130"/>
      <c r="B2313" s="37"/>
      <c r="C2313" s="37"/>
      <c r="D2313" s="37"/>
      <c r="E2313" s="37"/>
      <c r="F2313" s="37"/>
      <c r="G2313" s="37"/>
      <c r="H2313" s="37"/>
      <c r="I2313" s="37"/>
      <c r="J2313" s="37"/>
    </row>
    <row r="2314" spans="1:10" x14ac:dyDescent="0.3">
      <c r="A2314" s="130"/>
      <c r="B2314" s="37"/>
      <c r="C2314" s="37"/>
      <c r="D2314" s="37"/>
      <c r="E2314" s="37"/>
      <c r="F2314" s="37"/>
      <c r="G2314" s="37"/>
      <c r="H2314" s="37"/>
      <c r="I2314" s="37"/>
      <c r="J2314" s="37"/>
    </row>
    <row r="2315" spans="1:10" x14ac:dyDescent="0.3">
      <c r="A2315" s="130"/>
      <c r="B2315" s="37"/>
      <c r="C2315" s="37"/>
      <c r="D2315" s="37"/>
      <c r="E2315" s="37"/>
      <c r="F2315" s="37"/>
      <c r="G2315" s="37"/>
      <c r="H2315" s="37"/>
      <c r="I2315" s="37"/>
      <c r="J2315" s="37"/>
    </row>
    <row r="2316" spans="1:10" x14ac:dyDescent="0.3">
      <c r="A2316" s="130"/>
      <c r="B2316" s="37"/>
      <c r="C2316" s="37"/>
      <c r="D2316" s="37"/>
      <c r="E2316" s="37"/>
      <c r="F2316" s="37"/>
      <c r="G2316" s="37"/>
      <c r="H2316" s="37"/>
      <c r="I2316" s="37"/>
      <c r="J2316" s="37"/>
    </row>
    <row r="2317" spans="1:10" x14ac:dyDescent="0.3">
      <c r="A2317" s="130"/>
      <c r="B2317" s="37"/>
      <c r="C2317" s="37"/>
      <c r="D2317" s="37"/>
      <c r="E2317" s="37"/>
      <c r="F2317" s="37"/>
      <c r="G2317" s="37"/>
      <c r="H2317" s="37"/>
      <c r="I2317" s="37"/>
      <c r="J2317" s="37"/>
    </row>
    <row r="2318" spans="1:10" x14ac:dyDescent="0.3">
      <c r="A2318" s="130"/>
      <c r="B2318" s="37"/>
      <c r="C2318" s="37"/>
      <c r="D2318" s="37"/>
      <c r="E2318" s="37"/>
      <c r="F2318" s="37"/>
      <c r="G2318" s="37"/>
      <c r="H2318" s="37"/>
      <c r="I2318" s="37"/>
      <c r="J2318" s="37"/>
    </row>
    <row r="2319" spans="1:10" x14ac:dyDescent="0.3">
      <c r="A2319" s="130"/>
      <c r="B2319" s="37"/>
      <c r="C2319" s="37"/>
      <c r="D2319" s="37"/>
      <c r="E2319" s="37"/>
      <c r="F2319" s="37"/>
      <c r="G2319" s="37"/>
      <c r="H2319" s="37"/>
      <c r="I2319" s="37"/>
      <c r="J2319" s="37"/>
    </row>
    <row r="2320" spans="1:10" x14ac:dyDescent="0.3">
      <c r="A2320" s="130"/>
      <c r="B2320" s="37"/>
      <c r="C2320" s="37"/>
      <c r="D2320" s="37"/>
      <c r="E2320" s="37"/>
      <c r="F2320" s="37"/>
      <c r="G2320" s="37"/>
      <c r="H2320" s="37"/>
      <c r="I2320" s="37"/>
      <c r="J2320" s="37"/>
    </row>
    <row r="2321" spans="1:10" x14ac:dyDescent="0.3">
      <c r="A2321" s="130"/>
      <c r="B2321" s="37"/>
      <c r="C2321" s="37"/>
      <c r="D2321" s="37"/>
      <c r="E2321" s="37"/>
      <c r="F2321" s="37"/>
      <c r="G2321" s="37"/>
      <c r="H2321" s="37"/>
      <c r="I2321" s="37"/>
      <c r="J2321" s="37"/>
    </row>
    <row r="2322" spans="1:10" x14ac:dyDescent="0.3">
      <c r="A2322" s="130"/>
      <c r="B2322" s="37"/>
      <c r="C2322" s="37"/>
      <c r="D2322" s="37"/>
      <c r="E2322" s="37"/>
      <c r="F2322" s="37"/>
      <c r="G2322" s="37"/>
      <c r="H2322" s="37"/>
      <c r="I2322" s="37"/>
      <c r="J2322" s="37"/>
    </row>
    <row r="2323" spans="1:10" x14ac:dyDescent="0.3">
      <c r="A2323" s="130"/>
      <c r="B2323" s="37"/>
      <c r="C2323" s="37"/>
      <c r="D2323" s="37"/>
      <c r="E2323" s="37"/>
      <c r="F2323" s="37"/>
      <c r="G2323" s="37"/>
      <c r="H2323" s="37"/>
      <c r="I2323" s="37"/>
      <c r="J2323" s="37"/>
    </row>
    <row r="2324" spans="1:10" x14ac:dyDescent="0.3">
      <c r="A2324" s="130"/>
      <c r="B2324" s="37"/>
      <c r="C2324" s="37"/>
      <c r="D2324" s="37"/>
      <c r="E2324" s="37"/>
      <c r="F2324" s="37"/>
      <c r="G2324" s="37"/>
      <c r="H2324" s="37"/>
      <c r="I2324" s="37"/>
      <c r="J2324" s="37"/>
    </row>
    <row r="2325" spans="1:10" x14ac:dyDescent="0.3">
      <c r="A2325" s="130"/>
      <c r="B2325" s="37"/>
      <c r="C2325" s="37"/>
      <c r="D2325" s="37"/>
      <c r="E2325" s="37"/>
      <c r="F2325" s="37"/>
      <c r="G2325" s="37"/>
      <c r="H2325" s="37"/>
      <c r="I2325" s="37"/>
      <c r="J2325" s="37"/>
    </row>
    <row r="2326" spans="1:10" x14ac:dyDescent="0.3">
      <c r="A2326" s="130"/>
      <c r="B2326" s="37"/>
      <c r="C2326" s="37"/>
      <c r="D2326" s="37"/>
      <c r="E2326" s="37"/>
      <c r="F2326" s="37"/>
      <c r="G2326" s="37"/>
      <c r="H2326" s="37"/>
      <c r="I2326" s="37"/>
      <c r="J2326" s="37"/>
    </row>
    <row r="2327" spans="1:10" x14ac:dyDescent="0.3">
      <c r="A2327" s="130"/>
      <c r="B2327" s="37"/>
      <c r="C2327" s="37"/>
      <c r="D2327" s="37"/>
      <c r="E2327" s="37"/>
      <c r="F2327" s="37"/>
      <c r="G2327" s="37"/>
      <c r="H2327" s="37"/>
      <c r="I2327" s="37"/>
      <c r="J2327" s="37"/>
    </row>
    <row r="2328" spans="1:10" x14ac:dyDescent="0.3">
      <c r="A2328" s="130"/>
      <c r="B2328" s="37"/>
      <c r="C2328" s="37"/>
      <c r="D2328" s="37"/>
      <c r="E2328" s="37"/>
      <c r="F2328" s="37"/>
      <c r="G2328" s="37"/>
      <c r="H2328" s="37"/>
      <c r="I2328" s="37"/>
      <c r="J2328" s="37"/>
    </row>
    <row r="2329" spans="1:10" x14ac:dyDescent="0.3">
      <c r="A2329" s="130"/>
      <c r="B2329" s="37"/>
      <c r="C2329" s="37"/>
      <c r="D2329" s="37"/>
      <c r="E2329" s="37"/>
      <c r="F2329" s="37"/>
      <c r="G2329" s="37"/>
      <c r="H2329" s="37"/>
      <c r="I2329" s="37"/>
      <c r="J2329" s="37"/>
    </row>
    <row r="2330" spans="1:10" x14ac:dyDescent="0.3">
      <c r="A2330" s="130"/>
      <c r="B2330" s="37"/>
      <c r="C2330" s="37"/>
      <c r="D2330" s="37"/>
      <c r="E2330" s="37"/>
      <c r="F2330" s="37"/>
      <c r="G2330" s="37"/>
      <c r="H2330" s="37"/>
      <c r="I2330" s="37"/>
      <c r="J2330" s="37"/>
    </row>
    <row r="2331" spans="1:10" x14ac:dyDescent="0.3">
      <c r="A2331" s="130"/>
      <c r="B2331" s="37"/>
      <c r="C2331" s="37"/>
      <c r="D2331" s="37"/>
      <c r="E2331" s="37"/>
      <c r="F2331" s="37"/>
      <c r="G2331" s="37"/>
      <c r="H2331" s="37"/>
      <c r="I2331" s="37"/>
      <c r="J2331" s="37"/>
    </row>
    <row r="2332" spans="1:10" x14ac:dyDescent="0.3">
      <c r="A2332" s="130"/>
      <c r="B2332" s="37"/>
      <c r="C2332" s="37"/>
      <c r="D2332" s="37"/>
      <c r="E2332" s="37"/>
      <c r="F2332" s="37"/>
      <c r="G2332" s="37"/>
      <c r="H2332" s="37"/>
      <c r="I2332" s="37"/>
      <c r="J2332" s="37"/>
    </row>
    <row r="2333" spans="1:10" x14ac:dyDescent="0.3">
      <c r="A2333" s="130"/>
      <c r="B2333" s="37"/>
      <c r="C2333" s="37"/>
      <c r="D2333" s="37"/>
      <c r="E2333" s="37"/>
      <c r="F2333" s="37"/>
      <c r="G2333" s="37"/>
      <c r="H2333" s="37"/>
      <c r="I2333" s="37"/>
      <c r="J2333" s="37"/>
    </row>
    <row r="2334" spans="1:10" x14ac:dyDescent="0.3">
      <c r="A2334" s="130"/>
      <c r="B2334" s="37"/>
      <c r="C2334" s="37"/>
      <c r="D2334" s="37"/>
      <c r="E2334" s="37"/>
      <c r="F2334" s="37"/>
      <c r="G2334" s="37"/>
      <c r="H2334" s="37"/>
      <c r="I2334" s="37"/>
      <c r="J2334" s="37"/>
    </row>
    <row r="2335" spans="1:10" x14ac:dyDescent="0.3">
      <c r="A2335" s="130"/>
      <c r="B2335" s="37"/>
      <c r="C2335" s="37"/>
      <c r="D2335" s="37"/>
      <c r="E2335" s="37"/>
      <c r="F2335" s="37"/>
      <c r="G2335" s="37"/>
      <c r="H2335" s="37"/>
      <c r="I2335" s="37"/>
      <c r="J2335" s="37"/>
    </row>
    <row r="2336" spans="1:10" x14ac:dyDescent="0.3">
      <c r="A2336" s="130"/>
      <c r="B2336" s="37"/>
      <c r="C2336" s="37"/>
      <c r="D2336" s="37"/>
      <c r="E2336" s="37"/>
      <c r="F2336" s="37"/>
      <c r="G2336" s="37"/>
      <c r="H2336" s="37"/>
      <c r="I2336" s="37"/>
      <c r="J2336" s="37"/>
    </row>
    <row r="2337" spans="1:10" x14ac:dyDescent="0.3">
      <c r="A2337" s="130"/>
      <c r="B2337" s="37"/>
      <c r="C2337" s="37"/>
      <c r="D2337" s="37"/>
      <c r="E2337" s="37"/>
      <c r="F2337" s="37"/>
      <c r="G2337" s="37"/>
      <c r="H2337" s="37"/>
      <c r="I2337" s="37"/>
      <c r="J2337" s="37"/>
    </row>
    <row r="2338" spans="1:10" x14ac:dyDescent="0.3">
      <c r="A2338" s="130"/>
      <c r="B2338" s="37"/>
      <c r="C2338" s="37"/>
      <c r="D2338" s="37"/>
      <c r="E2338" s="37"/>
      <c r="F2338" s="37"/>
      <c r="G2338" s="37"/>
      <c r="H2338" s="37"/>
      <c r="I2338" s="37"/>
      <c r="J2338" s="37"/>
    </row>
    <row r="2339" spans="1:10" x14ac:dyDescent="0.3">
      <c r="A2339" s="130"/>
      <c r="B2339" s="37"/>
      <c r="C2339" s="37"/>
      <c r="D2339" s="37"/>
      <c r="E2339" s="37"/>
      <c r="F2339" s="37"/>
      <c r="G2339" s="37"/>
      <c r="H2339" s="37"/>
      <c r="I2339" s="37"/>
      <c r="J2339" s="37"/>
    </row>
    <row r="2340" spans="1:10" x14ac:dyDescent="0.3">
      <c r="A2340" s="130"/>
      <c r="B2340" s="37"/>
      <c r="C2340" s="37"/>
      <c r="D2340" s="37"/>
      <c r="E2340" s="37"/>
      <c r="F2340" s="37"/>
      <c r="G2340" s="37"/>
      <c r="H2340" s="37"/>
      <c r="I2340" s="37"/>
      <c r="J2340" s="37"/>
    </row>
    <row r="2341" spans="1:10" x14ac:dyDescent="0.3">
      <c r="A2341" s="130"/>
      <c r="B2341" s="37"/>
      <c r="C2341" s="37"/>
      <c r="D2341" s="37"/>
      <c r="E2341" s="37"/>
      <c r="F2341" s="37"/>
      <c r="G2341" s="37"/>
      <c r="H2341" s="37"/>
      <c r="I2341" s="37"/>
      <c r="J2341" s="37"/>
    </row>
    <row r="2342" spans="1:10" x14ac:dyDescent="0.3">
      <c r="A2342" s="130"/>
      <c r="B2342" s="37"/>
      <c r="C2342" s="37"/>
      <c r="D2342" s="37"/>
      <c r="E2342" s="37"/>
      <c r="F2342" s="37"/>
      <c r="G2342" s="37"/>
      <c r="H2342" s="37"/>
      <c r="I2342" s="37"/>
      <c r="J2342" s="37"/>
    </row>
    <row r="2343" spans="1:10" x14ac:dyDescent="0.3">
      <c r="A2343" s="130"/>
      <c r="B2343" s="37"/>
      <c r="C2343" s="37"/>
      <c r="D2343" s="37"/>
      <c r="E2343" s="37"/>
      <c r="F2343" s="37"/>
      <c r="G2343" s="37"/>
      <c r="H2343" s="37"/>
      <c r="I2343" s="37"/>
      <c r="J2343" s="37"/>
    </row>
    <row r="2344" spans="1:10" x14ac:dyDescent="0.3">
      <c r="A2344" s="130"/>
      <c r="B2344" s="37"/>
      <c r="C2344" s="37"/>
      <c r="D2344" s="37"/>
      <c r="E2344" s="37"/>
      <c r="F2344" s="37"/>
      <c r="G2344" s="37"/>
      <c r="H2344" s="37"/>
      <c r="I2344" s="37"/>
      <c r="J2344" s="37"/>
    </row>
    <row r="2345" spans="1:10" x14ac:dyDescent="0.3">
      <c r="A2345" s="130"/>
      <c r="B2345" s="37"/>
      <c r="C2345" s="37"/>
      <c r="D2345" s="37"/>
      <c r="E2345" s="37"/>
      <c r="F2345" s="37"/>
      <c r="G2345" s="37"/>
      <c r="H2345" s="37"/>
      <c r="I2345" s="37"/>
      <c r="J2345" s="37"/>
    </row>
    <row r="2346" spans="1:10" x14ac:dyDescent="0.3">
      <c r="A2346" s="130"/>
      <c r="B2346" s="37"/>
      <c r="C2346" s="37"/>
      <c r="D2346" s="37"/>
      <c r="E2346" s="37"/>
      <c r="F2346" s="37"/>
      <c r="G2346" s="37"/>
      <c r="H2346" s="37"/>
      <c r="I2346" s="37"/>
      <c r="J2346" s="37"/>
    </row>
    <row r="2347" spans="1:10" x14ac:dyDescent="0.3">
      <c r="A2347" s="130"/>
      <c r="B2347" s="37"/>
      <c r="C2347" s="37"/>
      <c r="D2347" s="37"/>
      <c r="E2347" s="37"/>
      <c r="F2347" s="37"/>
      <c r="G2347" s="37"/>
      <c r="H2347" s="37"/>
      <c r="I2347" s="37"/>
      <c r="J2347" s="37"/>
    </row>
    <row r="2348" spans="1:10" x14ac:dyDescent="0.3">
      <c r="A2348" s="130"/>
      <c r="B2348" s="37"/>
      <c r="C2348" s="37"/>
      <c r="D2348" s="37"/>
      <c r="E2348" s="37"/>
      <c r="F2348" s="37"/>
      <c r="G2348" s="37"/>
      <c r="H2348" s="37"/>
      <c r="I2348" s="37"/>
      <c r="J2348" s="37"/>
    </row>
    <row r="2349" spans="1:10" x14ac:dyDescent="0.3">
      <c r="A2349" s="130"/>
      <c r="B2349" s="37"/>
      <c r="C2349" s="37"/>
      <c r="D2349" s="37"/>
      <c r="E2349" s="37"/>
      <c r="F2349" s="37"/>
      <c r="G2349" s="37"/>
      <c r="H2349" s="37"/>
      <c r="I2349" s="37"/>
      <c r="J2349" s="37"/>
    </row>
    <row r="2350" spans="1:10" x14ac:dyDescent="0.3">
      <c r="A2350" s="130"/>
      <c r="B2350" s="37"/>
      <c r="C2350" s="37"/>
      <c r="D2350" s="37"/>
      <c r="E2350" s="37"/>
      <c r="F2350" s="37"/>
      <c r="G2350" s="37"/>
      <c r="H2350" s="37"/>
      <c r="I2350" s="37"/>
      <c r="J2350" s="37"/>
    </row>
    <row r="2351" spans="1:10" x14ac:dyDescent="0.3">
      <c r="A2351" s="130"/>
      <c r="B2351" s="37"/>
      <c r="C2351" s="37"/>
      <c r="D2351" s="37"/>
      <c r="E2351" s="37"/>
      <c r="F2351" s="37"/>
      <c r="G2351" s="37"/>
      <c r="H2351" s="37"/>
      <c r="I2351" s="37"/>
      <c r="J2351" s="37"/>
    </row>
    <row r="2352" spans="1:10" x14ac:dyDescent="0.3">
      <c r="A2352" s="130"/>
      <c r="B2352" s="37"/>
      <c r="C2352" s="37"/>
      <c r="D2352" s="37"/>
      <c r="E2352" s="37"/>
      <c r="F2352" s="37"/>
      <c r="G2352" s="37"/>
      <c r="H2352" s="37"/>
      <c r="I2352" s="37"/>
      <c r="J2352" s="37"/>
    </row>
    <row r="2353" spans="1:10" x14ac:dyDescent="0.3">
      <c r="A2353" s="130"/>
      <c r="B2353" s="37"/>
      <c r="C2353" s="37"/>
      <c r="D2353" s="37"/>
      <c r="E2353" s="37"/>
      <c r="F2353" s="37"/>
      <c r="G2353" s="37"/>
      <c r="H2353" s="37"/>
      <c r="I2353" s="37"/>
      <c r="J2353" s="37"/>
    </row>
    <row r="2354" spans="1:10" x14ac:dyDescent="0.3">
      <c r="A2354" s="130"/>
      <c r="B2354" s="37"/>
      <c r="C2354" s="37"/>
      <c r="D2354" s="37"/>
      <c r="E2354" s="37"/>
      <c r="F2354" s="37"/>
      <c r="G2354" s="37"/>
      <c r="H2354" s="37"/>
      <c r="I2354" s="37"/>
      <c r="J2354" s="37"/>
    </row>
    <row r="2355" spans="1:10" x14ac:dyDescent="0.3">
      <c r="A2355" s="130"/>
      <c r="B2355" s="37"/>
      <c r="C2355" s="37"/>
      <c r="D2355" s="37"/>
      <c r="E2355" s="37"/>
      <c r="F2355" s="37"/>
      <c r="G2355" s="37"/>
      <c r="H2355" s="37"/>
      <c r="I2355" s="37"/>
      <c r="J2355" s="37"/>
    </row>
    <row r="2356" spans="1:10" x14ac:dyDescent="0.3">
      <c r="A2356" s="130"/>
      <c r="B2356" s="37"/>
      <c r="C2356" s="37"/>
      <c r="D2356" s="37"/>
      <c r="E2356" s="37"/>
      <c r="F2356" s="37"/>
      <c r="G2356" s="37"/>
      <c r="H2356" s="37"/>
      <c r="I2356" s="37"/>
      <c r="J2356" s="37"/>
    </row>
    <row r="2357" spans="1:10" x14ac:dyDescent="0.3">
      <c r="A2357" s="130"/>
      <c r="B2357" s="37"/>
      <c r="C2357" s="37"/>
      <c r="D2357" s="37"/>
      <c r="E2357" s="37"/>
      <c r="F2357" s="37"/>
      <c r="G2357" s="37"/>
      <c r="H2357" s="37"/>
      <c r="I2357" s="37"/>
      <c r="J2357" s="37"/>
    </row>
    <row r="2358" spans="1:10" x14ac:dyDescent="0.3">
      <c r="A2358" s="130"/>
      <c r="B2358" s="37"/>
      <c r="C2358" s="37"/>
      <c r="D2358" s="37"/>
      <c r="E2358" s="37"/>
      <c r="F2358" s="37"/>
      <c r="G2358" s="37"/>
      <c r="H2358" s="37"/>
      <c r="I2358" s="37"/>
      <c r="J2358" s="37"/>
    </row>
    <row r="2359" spans="1:10" x14ac:dyDescent="0.3">
      <c r="A2359" s="130"/>
      <c r="B2359" s="37"/>
      <c r="C2359" s="37"/>
      <c r="D2359" s="37"/>
      <c r="E2359" s="37"/>
      <c r="F2359" s="37"/>
      <c r="G2359" s="37"/>
      <c r="H2359" s="37"/>
      <c r="I2359" s="37"/>
      <c r="J2359" s="37"/>
    </row>
    <row r="2360" spans="1:10" x14ac:dyDescent="0.3">
      <c r="A2360" s="130"/>
      <c r="B2360" s="37"/>
      <c r="C2360" s="37"/>
      <c r="D2360" s="37"/>
      <c r="E2360" s="37"/>
      <c r="F2360" s="37"/>
      <c r="G2360" s="37"/>
      <c r="H2360" s="37"/>
      <c r="I2360" s="37"/>
      <c r="J2360" s="37"/>
    </row>
    <row r="2361" spans="1:10" x14ac:dyDescent="0.3">
      <c r="A2361" s="130"/>
      <c r="B2361" s="37"/>
      <c r="C2361" s="37"/>
      <c r="D2361" s="37"/>
      <c r="E2361" s="37"/>
      <c r="F2361" s="37"/>
      <c r="G2361" s="37"/>
      <c r="H2361" s="37"/>
      <c r="I2361" s="37"/>
      <c r="J2361" s="37"/>
    </row>
    <row r="2362" spans="1:10" x14ac:dyDescent="0.3">
      <c r="A2362" s="130"/>
      <c r="B2362" s="37"/>
      <c r="C2362" s="37"/>
      <c r="D2362" s="37"/>
      <c r="E2362" s="37"/>
      <c r="F2362" s="37"/>
      <c r="G2362" s="37"/>
      <c r="H2362" s="37"/>
      <c r="I2362" s="37"/>
      <c r="J2362" s="37"/>
    </row>
    <row r="2363" spans="1:10" x14ac:dyDescent="0.3">
      <c r="A2363" s="130"/>
      <c r="B2363" s="37"/>
      <c r="C2363" s="37"/>
      <c r="D2363" s="37"/>
      <c r="E2363" s="37"/>
      <c r="F2363" s="37"/>
      <c r="G2363" s="37"/>
      <c r="H2363" s="37"/>
      <c r="I2363" s="37"/>
      <c r="J2363" s="37"/>
    </row>
    <row r="2364" spans="1:10" x14ac:dyDescent="0.3">
      <c r="A2364" s="130"/>
      <c r="B2364" s="37"/>
      <c r="C2364" s="37"/>
      <c r="D2364" s="37"/>
      <c r="E2364" s="37"/>
      <c r="F2364" s="37"/>
      <c r="G2364" s="37"/>
      <c r="H2364" s="37"/>
      <c r="I2364" s="37"/>
      <c r="J2364" s="37"/>
    </row>
    <row r="2365" spans="1:10" x14ac:dyDescent="0.3">
      <c r="A2365" s="130"/>
      <c r="B2365" s="37"/>
      <c r="C2365" s="37"/>
      <c r="D2365" s="37"/>
      <c r="E2365" s="37"/>
      <c r="F2365" s="37"/>
      <c r="G2365" s="37"/>
      <c r="H2365" s="37"/>
      <c r="I2365" s="37"/>
      <c r="J2365" s="37"/>
    </row>
    <row r="2366" spans="1:10" x14ac:dyDescent="0.3">
      <c r="A2366" s="130"/>
      <c r="B2366" s="37"/>
      <c r="C2366" s="37"/>
      <c r="D2366" s="37"/>
      <c r="E2366" s="37"/>
      <c r="F2366" s="37"/>
      <c r="G2366" s="37"/>
      <c r="H2366" s="37"/>
      <c r="I2366" s="37"/>
      <c r="J2366" s="37"/>
    </row>
    <row r="2367" spans="1:10" x14ac:dyDescent="0.3">
      <c r="A2367" s="130"/>
      <c r="B2367" s="37"/>
      <c r="C2367" s="37"/>
      <c r="D2367" s="37"/>
      <c r="E2367" s="37"/>
      <c r="F2367" s="37"/>
      <c r="G2367" s="37"/>
      <c r="H2367" s="37"/>
      <c r="I2367" s="37"/>
      <c r="J2367" s="37"/>
    </row>
    <row r="2368" spans="1:10" x14ac:dyDescent="0.3">
      <c r="A2368" s="130"/>
      <c r="B2368" s="37"/>
      <c r="C2368" s="37"/>
      <c r="D2368" s="37"/>
      <c r="E2368" s="37"/>
      <c r="F2368" s="37"/>
      <c r="G2368" s="37"/>
      <c r="H2368" s="37"/>
      <c r="I2368" s="37"/>
      <c r="J2368" s="37"/>
    </row>
    <row r="2369" spans="1:10" x14ac:dyDescent="0.3">
      <c r="A2369" s="130"/>
      <c r="B2369" s="37"/>
      <c r="C2369" s="37"/>
      <c r="D2369" s="37"/>
      <c r="E2369" s="37"/>
      <c r="F2369" s="37"/>
      <c r="G2369" s="37"/>
      <c r="H2369" s="37"/>
      <c r="I2369" s="37"/>
      <c r="J2369" s="37"/>
    </row>
    <row r="2370" spans="1:10" x14ac:dyDescent="0.3">
      <c r="A2370" s="130"/>
      <c r="B2370" s="37"/>
      <c r="C2370" s="37"/>
      <c r="D2370" s="37"/>
      <c r="E2370" s="37"/>
      <c r="F2370" s="37"/>
      <c r="G2370" s="37"/>
      <c r="H2370" s="37"/>
      <c r="I2370" s="37"/>
      <c r="J2370" s="37"/>
    </row>
    <row r="2371" spans="1:10" x14ac:dyDescent="0.3">
      <c r="A2371" s="130"/>
      <c r="B2371" s="37"/>
      <c r="C2371" s="37"/>
      <c r="D2371" s="37"/>
      <c r="E2371" s="37"/>
      <c r="F2371" s="37"/>
      <c r="G2371" s="37"/>
      <c r="H2371" s="37"/>
      <c r="I2371" s="37"/>
      <c r="J2371" s="37"/>
    </row>
    <row r="2372" spans="1:10" x14ac:dyDescent="0.3">
      <c r="A2372" s="130"/>
      <c r="B2372" s="37"/>
      <c r="C2372" s="37"/>
      <c r="D2372" s="37"/>
      <c r="E2372" s="37"/>
      <c r="F2372" s="37"/>
      <c r="G2372" s="37"/>
      <c r="H2372" s="37"/>
      <c r="I2372" s="37"/>
      <c r="J2372" s="37"/>
    </row>
    <row r="2373" spans="1:10" x14ac:dyDescent="0.3">
      <c r="A2373" s="130"/>
      <c r="B2373" s="37"/>
      <c r="C2373" s="37"/>
      <c r="D2373" s="37"/>
      <c r="E2373" s="37"/>
      <c r="F2373" s="37"/>
      <c r="G2373" s="37"/>
      <c r="H2373" s="37"/>
      <c r="I2373" s="37"/>
      <c r="J2373" s="37"/>
    </row>
    <row r="2374" spans="1:10" x14ac:dyDescent="0.3">
      <c r="A2374" s="130"/>
      <c r="B2374" s="37"/>
      <c r="C2374" s="37"/>
      <c r="D2374" s="37"/>
      <c r="E2374" s="37"/>
      <c r="F2374" s="37"/>
      <c r="G2374" s="37"/>
      <c r="H2374" s="37"/>
      <c r="I2374" s="37"/>
      <c r="J2374" s="37"/>
    </row>
    <row r="2375" spans="1:10" x14ac:dyDescent="0.3">
      <c r="A2375" s="130"/>
      <c r="B2375" s="37"/>
      <c r="C2375" s="37"/>
      <c r="D2375" s="37"/>
      <c r="E2375" s="37"/>
      <c r="F2375" s="37"/>
      <c r="G2375" s="37"/>
      <c r="H2375" s="37"/>
      <c r="I2375" s="37"/>
      <c r="J2375" s="37"/>
    </row>
    <row r="2376" spans="1:10" x14ac:dyDescent="0.3">
      <c r="A2376" s="130"/>
      <c r="B2376" s="37"/>
      <c r="C2376" s="37"/>
      <c r="D2376" s="37"/>
      <c r="E2376" s="37"/>
      <c r="F2376" s="37"/>
      <c r="G2376" s="37"/>
      <c r="H2376" s="37"/>
      <c r="I2376" s="37"/>
      <c r="J2376" s="37"/>
    </row>
    <row r="2377" spans="1:10" x14ac:dyDescent="0.3">
      <c r="A2377" s="130"/>
      <c r="B2377" s="37"/>
      <c r="C2377" s="37"/>
      <c r="D2377" s="37"/>
      <c r="E2377" s="37"/>
      <c r="F2377" s="37"/>
      <c r="G2377" s="37"/>
      <c r="H2377" s="37"/>
      <c r="I2377" s="37"/>
      <c r="J2377" s="37"/>
    </row>
    <row r="2378" spans="1:10" x14ac:dyDescent="0.3">
      <c r="A2378" s="130"/>
      <c r="B2378" s="37"/>
      <c r="C2378" s="37"/>
      <c r="D2378" s="37"/>
      <c r="E2378" s="37"/>
      <c r="F2378" s="37"/>
      <c r="G2378" s="37"/>
      <c r="H2378" s="37"/>
      <c r="I2378" s="37"/>
      <c r="J2378" s="37"/>
    </row>
    <row r="2379" spans="1:10" x14ac:dyDescent="0.3">
      <c r="A2379" s="130"/>
      <c r="B2379" s="37"/>
      <c r="C2379" s="37"/>
      <c r="D2379" s="37"/>
      <c r="E2379" s="37"/>
      <c r="F2379" s="37"/>
      <c r="G2379" s="37"/>
      <c r="H2379" s="37"/>
      <c r="I2379" s="37"/>
      <c r="J2379" s="37"/>
    </row>
    <row r="2380" spans="1:10" x14ac:dyDescent="0.3">
      <c r="A2380" s="130"/>
      <c r="B2380" s="37"/>
      <c r="C2380" s="37"/>
      <c r="D2380" s="37"/>
      <c r="E2380" s="37"/>
      <c r="F2380" s="37"/>
      <c r="G2380" s="37"/>
      <c r="H2380" s="37"/>
      <c r="I2380" s="37"/>
      <c r="J2380" s="37"/>
    </row>
    <row r="2381" spans="1:10" x14ac:dyDescent="0.3">
      <c r="A2381" s="130"/>
      <c r="B2381" s="37"/>
      <c r="C2381" s="37"/>
      <c r="D2381" s="37"/>
      <c r="E2381" s="37"/>
      <c r="F2381" s="37"/>
      <c r="G2381" s="37"/>
      <c r="H2381" s="37"/>
      <c r="I2381" s="37"/>
      <c r="J2381" s="37"/>
    </row>
    <row r="2382" spans="1:10" x14ac:dyDescent="0.3">
      <c r="A2382" s="130"/>
      <c r="B2382" s="37"/>
      <c r="C2382" s="37"/>
      <c r="D2382" s="37"/>
      <c r="E2382" s="37"/>
      <c r="F2382" s="37"/>
      <c r="G2382" s="37"/>
      <c r="H2382" s="37"/>
      <c r="I2382" s="37"/>
      <c r="J2382" s="37"/>
    </row>
    <row r="2383" spans="1:10" x14ac:dyDescent="0.3">
      <c r="A2383" s="130"/>
      <c r="B2383" s="37"/>
      <c r="C2383" s="37"/>
      <c r="D2383" s="37"/>
      <c r="E2383" s="37"/>
      <c r="F2383" s="37"/>
      <c r="G2383" s="37"/>
      <c r="H2383" s="37"/>
      <c r="I2383" s="37"/>
      <c r="J2383" s="37"/>
    </row>
    <row r="2384" spans="1:10" x14ac:dyDescent="0.3">
      <c r="A2384" s="130"/>
      <c r="B2384" s="37"/>
      <c r="C2384" s="37"/>
      <c r="D2384" s="37"/>
      <c r="E2384" s="37"/>
      <c r="F2384" s="37"/>
      <c r="G2384" s="37"/>
      <c r="H2384" s="37"/>
      <c r="I2384" s="37"/>
      <c r="J2384" s="37"/>
    </row>
    <row r="2385" spans="1:10" x14ac:dyDescent="0.3">
      <c r="A2385" s="130"/>
      <c r="B2385" s="37"/>
      <c r="C2385" s="37"/>
      <c r="D2385" s="37"/>
      <c r="E2385" s="37"/>
      <c r="F2385" s="37"/>
      <c r="G2385" s="37"/>
      <c r="H2385" s="37"/>
      <c r="I2385" s="37"/>
      <c r="J2385" s="37"/>
    </row>
    <row r="2386" spans="1:10" x14ac:dyDescent="0.3">
      <c r="A2386" s="130"/>
      <c r="B2386" s="37"/>
      <c r="C2386" s="37"/>
      <c r="D2386" s="37"/>
      <c r="E2386" s="37"/>
      <c r="F2386" s="37"/>
      <c r="G2386" s="37"/>
      <c r="H2386" s="37"/>
      <c r="I2386" s="37"/>
      <c r="J2386" s="37"/>
    </row>
    <row r="2387" spans="1:10" x14ac:dyDescent="0.3">
      <c r="A2387" s="130"/>
      <c r="B2387" s="37"/>
      <c r="C2387" s="37"/>
      <c r="D2387" s="37"/>
      <c r="E2387" s="37"/>
      <c r="F2387" s="37"/>
      <c r="G2387" s="37"/>
      <c r="H2387" s="37"/>
      <c r="I2387" s="37"/>
      <c r="J2387" s="37"/>
    </row>
    <row r="2388" spans="1:10" x14ac:dyDescent="0.3">
      <c r="A2388" s="130"/>
      <c r="B2388" s="37"/>
      <c r="C2388" s="37"/>
      <c r="D2388" s="37"/>
      <c r="E2388" s="37"/>
      <c r="F2388" s="37"/>
      <c r="G2388" s="37"/>
      <c r="H2388" s="37"/>
      <c r="I2388" s="37"/>
      <c r="J2388" s="37"/>
    </row>
    <row r="2389" spans="1:10" x14ac:dyDescent="0.3">
      <c r="A2389" s="130"/>
      <c r="B2389" s="37"/>
      <c r="C2389" s="37"/>
      <c r="D2389" s="37"/>
      <c r="E2389" s="37"/>
      <c r="F2389" s="37"/>
      <c r="G2389" s="37"/>
      <c r="H2389" s="37"/>
      <c r="I2389" s="37"/>
      <c r="J2389" s="37"/>
    </row>
    <row r="2390" spans="1:10" x14ac:dyDescent="0.3">
      <c r="A2390" s="130"/>
      <c r="B2390" s="37"/>
      <c r="C2390" s="37"/>
      <c r="D2390" s="37"/>
      <c r="E2390" s="37"/>
      <c r="F2390" s="37"/>
      <c r="G2390" s="37"/>
      <c r="H2390" s="37"/>
      <c r="I2390" s="37"/>
      <c r="J2390" s="37"/>
    </row>
    <row r="2391" spans="1:10" x14ac:dyDescent="0.3">
      <c r="A2391" s="130"/>
      <c r="B2391" s="37"/>
      <c r="C2391" s="37"/>
      <c r="D2391" s="37"/>
      <c r="E2391" s="37"/>
      <c r="F2391" s="37"/>
      <c r="G2391" s="37"/>
      <c r="H2391" s="37"/>
      <c r="I2391" s="37"/>
      <c r="J2391" s="37"/>
    </row>
    <row r="2392" spans="1:10" x14ac:dyDescent="0.3">
      <c r="A2392" s="130"/>
      <c r="B2392" s="37"/>
      <c r="C2392" s="37"/>
      <c r="D2392" s="37"/>
      <c r="E2392" s="37"/>
      <c r="F2392" s="37"/>
      <c r="G2392" s="37"/>
      <c r="H2392" s="37"/>
      <c r="I2392" s="37"/>
      <c r="J2392" s="37"/>
    </row>
    <row r="2393" spans="1:10" x14ac:dyDescent="0.3">
      <c r="A2393" s="130"/>
      <c r="B2393" s="37"/>
      <c r="C2393" s="37"/>
      <c r="D2393" s="37"/>
      <c r="E2393" s="37"/>
      <c r="F2393" s="37"/>
      <c r="G2393" s="37"/>
      <c r="H2393" s="37"/>
      <c r="I2393" s="37"/>
      <c r="J2393" s="37"/>
    </row>
    <row r="2394" spans="1:10" x14ac:dyDescent="0.3">
      <c r="A2394" s="130"/>
      <c r="B2394" s="37"/>
      <c r="C2394" s="37"/>
      <c r="D2394" s="37"/>
      <c r="E2394" s="37"/>
      <c r="F2394" s="37"/>
      <c r="G2394" s="37"/>
      <c r="H2394" s="37"/>
      <c r="I2394" s="37"/>
      <c r="J2394" s="37"/>
    </row>
    <row r="2395" spans="1:10" x14ac:dyDescent="0.3">
      <c r="A2395" s="130"/>
      <c r="B2395" s="37"/>
      <c r="C2395" s="37"/>
      <c r="D2395" s="37"/>
      <c r="E2395" s="37"/>
      <c r="F2395" s="37"/>
      <c r="G2395" s="37"/>
      <c r="H2395" s="37"/>
      <c r="I2395" s="37"/>
      <c r="J2395" s="37"/>
    </row>
    <row r="2396" spans="1:10" x14ac:dyDescent="0.3">
      <c r="A2396" s="130"/>
      <c r="B2396" s="37"/>
      <c r="C2396" s="37"/>
      <c r="D2396" s="37"/>
      <c r="E2396" s="37"/>
      <c r="F2396" s="37"/>
      <c r="G2396" s="37"/>
      <c r="H2396" s="37"/>
      <c r="I2396" s="37"/>
      <c r="J2396" s="37"/>
    </row>
    <row r="2397" spans="1:10" x14ac:dyDescent="0.3">
      <c r="A2397" s="130"/>
      <c r="B2397" s="37"/>
      <c r="C2397" s="37"/>
      <c r="D2397" s="37"/>
      <c r="E2397" s="37"/>
      <c r="F2397" s="37"/>
      <c r="G2397" s="37"/>
      <c r="H2397" s="37"/>
      <c r="I2397" s="37"/>
      <c r="J2397" s="37"/>
    </row>
    <row r="2398" spans="1:10" x14ac:dyDescent="0.3">
      <c r="A2398" s="130"/>
      <c r="B2398" s="37"/>
      <c r="C2398" s="37"/>
      <c r="D2398" s="37"/>
      <c r="E2398" s="37"/>
      <c r="F2398" s="37"/>
      <c r="G2398" s="37"/>
      <c r="H2398" s="37"/>
      <c r="I2398" s="37"/>
      <c r="J2398" s="37"/>
    </row>
    <row r="2399" spans="1:10" x14ac:dyDescent="0.3">
      <c r="A2399" s="130"/>
      <c r="B2399" s="37"/>
      <c r="C2399" s="37"/>
      <c r="D2399" s="37"/>
      <c r="E2399" s="37"/>
      <c r="F2399" s="37"/>
      <c r="G2399" s="37"/>
      <c r="H2399" s="37"/>
      <c r="I2399" s="37"/>
      <c r="J2399" s="37"/>
    </row>
    <row r="2400" spans="1:10" x14ac:dyDescent="0.3">
      <c r="A2400" s="130"/>
      <c r="B2400" s="37"/>
      <c r="C2400" s="37"/>
      <c r="D2400" s="37"/>
      <c r="E2400" s="37"/>
      <c r="F2400" s="37"/>
      <c r="G2400" s="37"/>
      <c r="H2400" s="37"/>
      <c r="I2400" s="37"/>
      <c r="J2400" s="37"/>
    </row>
    <row r="2401" spans="1:10" x14ac:dyDescent="0.3">
      <c r="A2401" s="130"/>
      <c r="B2401" s="37"/>
      <c r="C2401" s="37"/>
      <c r="D2401" s="37"/>
      <c r="E2401" s="37"/>
      <c r="F2401" s="37"/>
      <c r="G2401" s="37"/>
      <c r="H2401" s="37"/>
      <c r="I2401" s="37"/>
      <c r="J2401" s="37"/>
    </row>
    <row r="2402" spans="1:10" x14ac:dyDescent="0.3">
      <c r="A2402" s="130"/>
      <c r="B2402" s="37"/>
      <c r="C2402" s="37"/>
      <c r="D2402" s="37"/>
      <c r="E2402" s="37"/>
      <c r="F2402" s="37"/>
      <c r="G2402" s="37"/>
      <c r="H2402" s="37"/>
      <c r="I2402" s="37"/>
      <c r="J2402" s="37"/>
    </row>
    <row r="2403" spans="1:10" x14ac:dyDescent="0.3">
      <c r="A2403" s="130"/>
      <c r="B2403" s="37"/>
      <c r="C2403" s="37"/>
      <c r="D2403" s="37"/>
      <c r="E2403" s="37"/>
      <c r="F2403" s="37"/>
      <c r="G2403" s="37"/>
      <c r="H2403" s="37"/>
      <c r="I2403" s="37"/>
      <c r="J2403" s="37"/>
    </row>
    <row r="2404" spans="1:10" x14ac:dyDescent="0.3">
      <c r="A2404" s="130"/>
      <c r="B2404" s="37"/>
      <c r="C2404" s="37"/>
      <c r="D2404" s="37"/>
      <c r="E2404" s="37"/>
      <c r="F2404" s="37"/>
      <c r="G2404" s="37"/>
      <c r="H2404" s="37"/>
      <c r="I2404" s="37"/>
      <c r="J2404" s="37"/>
    </row>
    <row r="2405" spans="1:10" x14ac:dyDescent="0.3">
      <c r="A2405" s="130"/>
      <c r="B2405" s="37"/>
      <c r="C2405" s="37"/>
      <c r="D2405" s="37"/>
      <c r="E2405" s="37"/>
      <c r="F2405" s="37"/>
      <c r="G2405" s="37"/>
      <c r="H2405" s="37"/>
      <c r="I2405" s="37"/>
      <c r="J2405" s="37"/>
    </row>
    <row r="2406" spans="1:10" x14ac:dyDescent="0.3">
      <c r="A2406" s="130"/>
      <c r="B2406" s="37"/>
      <c r="C2406" s="37"/>
      <c r="D2406" s="37"/>
      <c r="E2406" s="37"/>
      <c r="F2406" s="37"/>
      <c r="G2406" s="37"/>
      <c r="H2406" s="37"/>
      <c r="I2406" s="37"/>
      <c r="J2406" s="37"/>
    </row>
    <row r="2407" spans="1:10" x14ac:dyDescent="0.3">
      <c r="A2407" s="130"/>
      <c r="B2407" s="37"/>
      <c r="C2407" s="37"/>
      <c r="D2407" s="37"/>
      <c r="E2407" s="37"/>
      <c r="F2407" s="37"/>
      <c r="G2407" s="37"/>
      <c r="H2407" s="37"/>
      <c r="I2407" s="37"/>
      <c r="J2407" s="37"/>
    </row>
    <row r="2408" spans="1:10" x14ac:dyDescent="0.3">
      <c r="A2408" s="130"/>
      <c r="B2408" s="37"/>
      <c r="C2408" s="37"/>
      <c r="D2408" s="37"/>
      <c r="E2408" s="37"/>
      <c r="F2408" s="37"/>
      <c r="G2408" s="37"/>
      <c r="H2408" s="37"/>
      <c r="I2408" s="37"/>
      <c r="J2408" s="37"/>
    </row>
    <row r="2409" spans="1:10" x14ac:dyDescent="0.3">
      <c r="A2409" s="130"/>
      <c r="B2409" s="37"/>
      <c r="C2409" s="37"/>
      <c r="D2409" s="37"/>
      <c r="E2409" s="37"/>
      <c r="F2409" s="37"/>
      <c r="G2409" s="37"/>
      <c r="H2409" s="37"/>
      <c r="I2409" s="37"/>
      <c r="J2409" s="37"/>
    </row>
    <row r="2410" spans="1:10" x14ac:dyDescent="0.3">
      <c r="A2410" s="130"/>
      <c r="B2410" s="37"/>
      <c r="C2410" s="37"/>
      <c r="D2410" s="37"/>
      <c r="E2410" s="37"/>
      <c r="F2410" s="37"/>
      <c r="G2410" s="37"/>
      <c r="H2410" s="37"/>
      <c r="I2410" s="37"/>
      <c r="J2410" s="37"/>
    </row>
    <row r="2411" spans="1:10" x14ac:dyDescent="0.3">
      <c r="A2411" s="130"/>
      <c r="B2411" s="37"/>
      <c r="C2411" s="37"/>
      <c r="D2411" s="37"/>
      <c r="E2411" s="37"/>
      <c r="F2411" s="37"/>
      <c r="G2411" s="37"/>
      <c r="H2411" s="37"/>
      <c r="I2411" s="37"/>
      <c r="J2411" s="37"/>
    </row>
    <row r="2412" spans="1:10" x14ac:dyDescent="0.3">
      <c r="A2412" s="130"/>
      <c r="B2412" s="37"/>
      <c r="C2412" s="37"/>
      <c r="D2412" s="37"/>
      <c r="E2412" s="37"/>
      <c r="F2412" s="37"/>
      <c r="G2412" s="37"/>
      <c r="H2412" s="37"/>
      <c r="I2412" s="37"/>
      <c r="J2412" s="37"/>
    </row>
    <row r="2413" spans="1:10" x14ac:dyDescent="0.3">
      <c r="A2413" s="130"/>
      <c r="B2413" s="37"/>
      <c r="C2413" s="37"/>
      <c r="D2413" s="37"/>
      <c r="E2413" s="37"/>
      <c r="F2413" s="37"/>
      <c r="G2413" s="37"/>
      <c r="H2413" s="37"/>
      <c r="I2413" s="37"/>
      <c r="J2413" s="37"/>
    </row>
    <row r="2414" spans="1:10" x14ac:dyDescent="0.3">
      <c r="A2414" s="130"/>
      <c r="B2414" s="37"/>
      <c r="C2414" s="37"/>
      <c r="D2414" s="37"/>
      <c r="E2414" s="37"/>
      <c r="F2414" s="37"/>
      <c r="G2414" s="37"/>
      <c r="H2414" s="37"/>
      <c r="I2414" s="37"/>
      <c r="J2414" s="37"/>
    </row>
    <row r="2415" spans="1:10" x14ac:dyDescent="0.3">
      <c r="A2415" s="130"/>
      <c r="B2415" s="37"/>
      <c r="C2415" s="37"/>
      <c r="D2415" s="37"/>
      <c r="E2415" s="37"/>
      <c r="F2415" s="37"/>
      <c r="G2415" s="37"/>
      <c r="H2415" s="37"/>
      <c r="I2415" s="37"/>
      <c r="J2415" s="37"/>
    </row>
    <row r="2416" spans="1:10" x14ac:dyDescent="0.3">
      <c r="A2416" s="130"/>
      <c r="B2416" s="37"/>
      <c r="C2416" s="37"/>
      <c r="D2416" s="37"/>
      <c r="E2416" s="37"/>
      <c r="F2416" s="37"/>
      <c r="G2416" s="37"/>
      <c r="H2416" s="37"/>
      <c r="I2416" s="37"/>
      <c r="J2416" s="37"/>
    </row>
    <row r="2417" spans="1:10" x14ac:dyDescent="0.3">
      <c r="A2417" s="130"/>
      <c r="B2417" s="37"/>
      <c r="C2417" s="37"/>
      <c r="D2417" s="37"/>
      <c r="E2417" s="37"/>
      <c r="F2417" s="37"/>
      <c r="G2417" s="37"/>
      <c r="H2417" s="37"/>
      <c r="I2417" s="37"/>
      <c r="J2417" s="37"/>
    </row>
    <row r="2418" spans="1:10" x14ac:dyDescent="0.3">
      <c r="A2418" s="130"/>
      <c r="B2418" s="37"/>
      <c r="C2418" s="37"/>
      <c r="D2418" s="37"/>
      <c r="E2418" s="37"/>
      <c r="F2418" s="37"/>
      <c r="G2418" s="37"/>
      <c r="H2418" s="37"/>
      <c r="I2418" s="37"/>
      <c r="J2418" s="37"/>
    </row>
    <row r="2419" spans="1:10" x14ac:dyDescent="0.3">
      <c r="A2419" s="130"/>
      <c r="B2419" s="37"/>
      <c r="C2419" s="37"/>
      <c r="D2419" s="37"/>
      <c r="E2419" s="37"/>
      <c r="F2419" s="37"/>
      <c r="G2419" s="37"/>
      <c r="H2419" s="37"/>
      <c r="I2419" s="37"/>
      <c r="J2419" s="37"/>
    </row>
    <row r="2420" spans="1:10" x14ac:dyDescent="0.3">
      <c r="A2420" s="130"/>
      <c r="B2420" s="37"/>
      <c r="C2420" s="37"/>
      <c r="D2420" s="37"/>
      <c r="E2420" s="37"/>
      <c r="F2420" s="37"/>
      <c r="G2420" s="37"/>
      <c r="H2420" s="37"/>
      <c r="I2420" s="37"/>
      <c r="J2420" s="37"/>
    </row>
    <row r="2421" spans="1:10" x14ac:dyDescent="0.3">
      <c r="A2421" s="130"/>
      <c r="B2421" s="37"/>
      <c r="C2421" s="37"/>
      <c r="D2421" s="37"/>
      <c r="E2421" s="37"/>
      <c r="F2421" s="37"/>
      <c r="G2421" s="37"/>
      <c r="H2421" s="37"/>
      <c r="I2421" s="37"/>
      <c r="J2421" s="37"/>
    </row>
    <row r="2422" spans="1:10" x14ac:dyDescent="0.3">
      <c r="A2422" s="130"/>
      <c r="B2422" s="37"/>
      <c r="C2422" s="37"/>
      <c r="D2422" s="37"/>
      <c r="E2422" s="37"/>
      <c r="F2422" s="37"/>
      <c r="G2422" s="37"/>
      <c r="H2422" s="37"/>
      <c r="I2422" s="37"/>
      <c r="J2422" s="37"/>
    </row>
    <row r="2423" spans="1:10" x14ac:dyDescent="0.3">
      <c r="A2423" s="130"/>
      <c r="B2423" s="37"/>
      <c r="C2423" s="37"/>
      <c r="D2423" s="37"/>
      <c r="E2423" s="37"/>
      <c r="F2423" s="37"/>
      <c r="G2423" s="37"/>
      <c r="H2423" s="37"/>
      <c r="I2423" s="37"/>
      <c r="J2423" s="37"/>
    </row>
    <row r="2424" spans="1:10" x14ac:dyDescent="0.3">
      <c r="A2424" s="130"/>
      <c r="B2424" s="37"/>
      <c r="C2424" s="37"/>
      <c r="D2424" s="37"/>
      <c r="E2424" s="37"/>
      <c r="F2424" s="37"/>
      <c r="G2424" s="37"/>
      <c r="H2424" s="37"/>
      <c r="I2424" s="37"/>
      <c r="J2424" s="37"/>
    </row>
    <row r="2425" spans="1:10" x14ac:dyDescent="0.3">
      <c r="A2425" s="130"/>
      <c r="B2425" s="37"/>
      <c r="C2425" s="37"/>
      <c r="D2425" s="37"/>
      <c r="E2425" s="37"/>
      <c r="F2425" s="37"/>
      <c r="G2425" s="37"/>
      <c r="H2425" s="37"/>
      <c r="I2425" s="37"/>
      <c r="J2425" s="37"/>
    </row>
    <row r="2426" spans="1:10" x14ac:dyDescent="0.3">
      <c r="A2426" s="130"/>
      <c r="B2426" s="37"/>
      <c r="C2426" s="37"/>
      <c r="D2426" s="37"/>
      <c r="E2426" s="37"/>
      <c r="F2426" s="37"/>
      <c r="G2426" s="37"/>
      <c r="H2426" s="37"/>
      <c r="I2426" s="37"/>
      <c r="J2426" s="37"/>
    </row>
    <row r="2427" spans="1:10" x14ac:dyDescent="0.3">
      <c r="A2427" s="130"/>
      <c r="B2427" s="37"/>
      <c r="C2427" s="37"/>
      <c r="D2427" s="37"/>
      <c r="E2427" s="37"/>
      <c r="F2427" s="37"/>
      <c r="G2427" s="37"/>
      <c r="H2427" s="37"/>
      <c r="I2427" s="37"/>
      <c r="J2427" s="37"/>
    </row>
    <row r="2428" spans="1:10" x14ac:dyDescent="0.3">
      <c r="A2428" s="130"/>
      <c r="B2428" s="37"/>
      <c r="C2428" s="37"/>
      <c r="D2428" s="37"/>
      <c r="E2428" s="37"/>
      <c r="F2428" s="37"/>
      <c r="G2428" s="37"/>
      <c r="H2428" s="37"/>
      <c r="I2428" s="37"/>
      <c r="J2428" s="37"/>
    </row>
    <row r="2429" spans="1:10" x14ac:dyDescent="0.3">
      <c r="A2429" s="130"/>
      <c r="B2429" s="37"/>
      <c r="C2429" s="37"/>
      <c r="D2429" s="37"/>
      <c r="E2429" s="37"/>
      <c r="F2429" s="37"/>
      <c r="G2429" s="37"/>
      <c r="H2429" s="37"/>
      <c r="I2429" s="37"/>
      <c r="J2429" s="37"/>
    </row>
    <row r="2430" spans="1:10" x14ac:dyDescent="0.3">
      <c r="A2430" s="130"/>
      <c r="B2430" s="37"/>
      <c r="C2430" s="37"/>
      <c r="D2430" s="37"/>
      <c r="E2430" s="37"/>
      <c r="F2430" s="37"/>
      <c r="G2430" s="37"/>
      <c r="H2430" s="37"/>
      <c r="I2430" s="37"/>
      <c r="J2430" s="37"/>
    </row>
    <row r="2431" spans="1:10" x14ac:dyDescent="0.3">
      <c r="A2431" s="130"/>
      <c r="B2431" s="37"/>
      <c r="C2431" s="37"/>
      <c r="D2431" s="37"/>
      <c r="E2431" s="37"/>
      <c r="F2431" s="37"/>
      <c r="G2431" s="37"/>
      <c r="H2431" s="37"/>
      <c r="I2431" s="37"/>
      <c r="J2431" s="37"/>
    </row>
    <row r="2432" spans="1:10" x14ac:dyDescent="0.3">
      <c r="A2432" s="130"/>
      <c r="B2432" s="37"/>
      <c r="C2432" s="37"/>
      <c r="D2432" s="37"/>
      <c r="E2432" s="37"/>
      <c r="F2432" s="37"/>
      <c r="G2432" s="37"/>
      <c r="H2432" s="37"/>
      <c r="I2432" s="37"/>
      <c r="J2432" s="37"/>
    </row>
    <row r="2433" spans="1:10" x14ac:dyDescent="0.3">
      <c r="A2433" s="130"/>
      <c r="B2433" s="37"/>
      <c r="C2433" s="37"/>
      <c r="D2433" s="37"/>
      <c r="E2433" s="37"/>
      <c r="F2433" s="37"/>
      <c r="G2433" s="37"/>
      <c r="H2433" s="37"/>
      <c r="I2433" s="37"/>
      <c r="J2433" s="37"/>
    </row>
    <row r="2434" spans="1:10" x14ac:dyDescent="0.3">
      <c r="A2434" s="130"/>
      <c r="B2434" s="37"/>
      <c r="C2434" s="37"/>
      <c r="D2434" s="37"/>
      <c r="E2434" s="37"/>
      <c r="F2434" s="37"/>
      <c r="G2434" s="37"/>
      <c r="H2434" s="37"/>
      <c r="I2434" s="37"/>
      <c r="J2434" s="37"/>
    </row>
    <row r="2435" spans="1:10" x14ac:dyDescent="0.3">
      <c r="A2435" s="130"/>
      <c r="B2435" s="37"/>
      <c r="C2435" s="37"/>
      <c r="D2435" s="37"/>
      <c r="E2435" s="37"/>
      <c r="F2435" s="37"/>
      <c r="G2435" s="37"/>
      <c r="H2435" s="37"/>
      <c r="I2435" s="37"/>
      <c r="J2435" s="37"/>
    </row>
    <row r="2436" spans="1:10" x14ac:dyDescent="0.3">
      <c r="A2436" s="130"/>
      <c r="B2436" s="37"/>
      <c r="C2436" s="37"/>
      <c r="D2436" s="37"/>
      <c r="E2436" s="37"/>
      <c r="F2436" s="37"/>
      <c r="G2436" s="37"/>
      <c r="H2436" s="37"/>
      <c r="I2436" s="37"/>
      <c r="J2436" s="37"/>
    </row>
    <row r="2437" spans="1:10" x14ac:dyDescent="0.3">
      <c r="A2437" s="130"/>
      <c r="B2437" s="37"/>
      <c r="C2437" s="37"/>
      <c r="D2437" s="37"/>
      <c r="E2437" s="37"/>
      <c r="F2437" s="37"/>
      <c r="G2437" s="37"/>
      <c r="H2437" s="37"/>
      <c r="I2437" s="37"/>
      <c r="J2437" s="37"/>
    </row>
    <row r="2438" spans="1:10" x14ac:dyDescent="0.3">
      <c r="A2438" s="130"/>
      <c r="B2438" s="37"/>
      <c r="C2438" s="37"/>
      <c r="D2438" s="37"/>
      <c r="E2438" s="37"/>
      <c r="F2438" s="37"/>
      <c r="G2438" s="37"/>
      <c r="H2438" s="37"/>
      <c r="I2438" s="37"/>
      <c r="J2438" s="37"/>
    </row>
    <row r="2439" spans="1:10" x14ac:dyDescent="0.3">
      <c r="A2439" s="130"/>
      <c r="B2439" s="37"/>
      <c r="C2439" s="37"/>
      <c r="D2439" s="37"/>
      <c r="E2439" s="37"/>
      <c r="F2439" s="37"/>
      <c r="G2439" s="37"/>
      <c r="H2439" s="37"/>
      <c r="I2439" s="37"/>
      <c r="J2439" s="37"/>
    </row>
    <row r="2440" spans="1:10" x14ac:dyDescent="0.3">
      <c r="A2440" s="130"/>
      <c r="B2440" s="37"/>
      <c r="C2440" s="37"/>
      <c r="D2440" s="37"/>
      <c r="E2440" s="37"/>
      <c r="F2440" s="37"/>
      <c r="G2440" s="37"/>
      <c r="H2440" s="37"/>
      <c r="I2440" s="37"/>
      <c r="J2440" s="37"/>
    </row>
    <row r="2441" spans="1:10" x14ac:dyDescent="0.3">
      <c r="A2441" s="130"/>
      <c r="B2441" s="37"/>
      <c r="C2441" s="37"/>
      <c r="D2441" s="37"/>
      <c r="E2441" s="37"/>
      <c r="F2441" s="37"/>
      <c r="G2441" s="37"/>
      <c r="H2441" s="37"/>
      <c r="I2441" s="37"/>
      <c r="J2441" s="37"/>
    </row>
    <row r="2442" spans="1:10" x14ac:dyDescent="0.3">
      <c r="A2442" s="130"/>
      <c r="B2442" s="37"/>
      <c r="C2442" s="37"/>
      <c r="D2442" s="37"/>
      <c r="E2442" s="37"/>
      <c r="F2442" s="37"/>
      <c r="G2442" s="37"/>
      <c r="H2442" s="37"/>
      <c r="I2442" s="37"/>
      <c r="J2442" s="37"/>
    </row>
    <row r="2443" spans="1:10" x14ac:dyDescent="0.3">
      <c r="A2443" s="130"/>
      <c r="B2443" s="37"/>
      <c r="C2443" s="37"/>
      <c r="D2443" s="37"/>
      <c r="E2443" s="37"/>
      <c r="F2443" s="37"/>
      <c r="G2443" s="37"/>
      <c r="H2443" s="37"/>
      <c r="I2443" s="37"/>
      <c r="J2443" s="37"/>
    </row>
    <row r="2444" spans="1:10" x14ac:dyDescent="0.3">
      <c r="A2444" s="130"/>
      <c r="B2444" s="37"/>
      <c r="C2444" s="37"/>
      <c r="D2444" s="37"/>
      <c r="E2444" s="37"/>
      <c r="F2444" s="37"/>
      <c r="G2444" s="37"/>
      <c r="H2444" s="37"/>
      <c r="I2444" s="37"/>
      <c r="J2444" s="37"/>
    </row>
    <row r="2445" spans="1:10" x14ac:dyDescent="0.3">
      <c r="A2445" s="130"/>
      <c r="B2445" s="37"/>
      <c r="C2445" s="37"/>
      <c r="D2445" s="37"/>
      <c r="E2445" s="37"/>
      <c r="F2445" s="37"/>
      <c r="G2445" s="37"/>
      <c r="H2445" s="37"/>
      <c r="I2445" s="37"/>
      <c r="J2445" s="37"/>
    </row>
    <row r="2446" spans="1:10" x14ac:dyDescent="0.3">
      <c r="A2446" s="130"/>
      <c r="B2446" s="37"/>
      <c r="C2446" s="37"/>
      <c r="D2446" s="37"/>
      <c r="E2446" s="37"/>
      <c r="F2446" s="37"/>
      <c r="G2446" s="37"/>
      <c r="H2446" s="37"/>
      <c r="I2446" s="37"/>
      <c r="J2446" s="37"/>
    </row>
    <row r="2447" spans="1:10" x14ac:dyDescent="0.3">
      <c r="A2447" s="130"/>
      <c r="B2447" s="37"/>
      <c r="C2447" s="37"/>
      <c r="D2447" s="37"/>
      <c r="E2447" s="37"/>
      <c r="F2447" s="37"/>
      <c r="G2447" s="37"/>
      <c r="H2447" s="37"/>
      <c r="I2447" s="37"/>
      <c r="J2447" s="37"/>
    </row>
    <row r="2448" spans="1:10" x14ac:dyDescent="0.3">
      <c r="A2448" s="130"/>
      <c r="B2448" s="37"/>
      <c r="C2448" s="37"/>
      <c r="D2448" s="37"/>
      <c r="E2448" s="37"/>
      <c r="F2448" s="37"/>
      <c r="G2448" s="37"/>
      <c r="H2448" s="37"/>
      <c r="I2448" s="37"/>
      <c r="J2448" s="37"/>
    </row>
    <row r="2449" spans="1:10" x14ac:dyDescent="0.3">
      <c r="A2449" s="130"/>
      <c r="B2449" s="37"/>
      <c r="C2449" s="37"/>
      <c r="D2449" s="37"/>
      <c r="E2449" s="37"/>
      <c r="F2449" s="37"/>
      <c r="G2449" s="37"/>
      <c r="H2449" s="37"/>
      <c r="I2449" s="37"/>
      <c r="J2449" s="37"/>
    </row>
    <row r="2450" spans="1:10" x14ac:dyDescent="0.3">
      <c r="A2450" s="130"/>
      <c r="B2450" s="37"/>
      <c r="C2450" s="37"/>
      <c r="D2450" s="37"/>
      <c r="E2450" s="37"/>
      <c r="F2450" s="37"/>
      <c r="G2450" s="37"/>
      <c r="H2450" s="37"/>
      <c r="I2450" s="37"/>
      <c r="J2450" s="37"/>
    </row>
    <row r="2451" spans="1:10" x14ac:dyDescent="0.3">
      <c r="A2451" s="130"/>
      <c r="B2451" s="37"/>
      <c r="C2451" s="37"/>
      <c r="D2451" s="37"/>
      <c r="E2451" s="37"/>
      <c r="F2451" s="37"/>
      <c r="G2451" s="37"/>
      <c r="H2451" s="37"/>
      <c r="I2451" s="37"/>
      <c r="J2451" s="37"/>
    </row>
    <row r="2452" spans="1:10" x14ac:dyDescent="0.3">
      <c r="A2452" s="130"/>
      <c r="B2452" s="37"/>
      <c r="C2452" s="37"/>
      <c r="D2452" s="37"/>
      <c r="E2452" s="37"/>
      <c r="F2452" s="37"/>
      <c r="G2452" s="37"/>
      <c r="H2452" s="37"/>
      <c r="I2452" s="37"/>
      <c r="J2452" s="37"/>
    </row>
    <row r="2453" spans="1:10" x14ac:dyDescent="0.3">
      <c r="A2453" s="130"/>
      <c r="B2453" s="37"/>
      <c r="C2453" s="37"/>
      <c r="D2453" s="37"/>
      <c r="E2453" s="37"/>
      <c r="F2453" s="37"/>
      <c r="G2453" s="37"/>
      <c r="H2453" s="37"/>
      <c r="I2453" s="37"/>
      <c r="J2453" s="37"/>
    </row>
    <row r="2454" spans="1:10" x14ac:dyDescent="0.3">
      <c r="A2454" s="130"/>
      <c r="B2454" s="37"/>
      <c r="C2454" s="37"/>
      <c r="D2454" s="37"/>
      <c r="E2454" s="37"/>
      <c r="F2454" s="37"/>
      <c r="G2454" s="37"/>
      <c r="H2454" s="37"/>
      <c r="I2454" s="37"/>
      <c r="J2454" s="37"/>
    </row>
    <row r="2455" spans="1:10" x14ac:dyDescent="0.3">
      <c r="A2455" s="130"/>
      <c r="B2455" s="37"/>
      <c r="C2455" s="37"/>
      <c r="D2455" s="37"/>
      <c r="E2455" s="37"/>
      <c r="F2455" s="37"/>
      <c r="G2455" s="37"/>
      <c r="H2455" s="37"/>
      <c r="I2455" s="37"/>
      <c r="J2455" s="37"/>
    </row>
    <row r="2456" spans="1:10" x14ac:dyDescent="0.3">
      <c r="A2456" s="130"/>
      <c r="B2456" s="37"/>
      <c r="C2456" s="37"/>
      <c r="D2456" s="37"/>
      <c r="E2456" s="37"/>
      <c r="F2456" s="37"/>
      <c r="G2456" s="37"/>
      <c r="H2456" s="37"/>
      <c r="I2456" s="37"/>
      <c r="J2456" s="37"/>
    </row>
    <row r="2457" spans="1:10" x14ac:dyDescent="0.3">
      <c r="A2457" s="130"/>
      <c r="B2457" s="37"/>
      <c r="C2457" s="37"/>
      <c r="D2457" s="37"/>
      <c r="E2457" s="37"/>
      <c r="F2457" s="37"/>
      <c r="G2457" s="37"/>
      <c r="H2457" s="37"/>
      <c r="I2457" s="37"/>
      <c r="J2457" s="37"/>
    </row>
    <row r="2458" spans="1:10" x14ac:dyDescent="0.3">
      <c r="A2458" s="130"/>
      <c r="B2458" s="37"/>
      <c r="C2458" s="37"/>
      <c r="D2458" s="37"/>
      <c r="E2458" s="37"/>
      <c r="F2458" s="37"/>
      <c r="G2458" s="37"/>
      <c r="H2458" s="37"/>
      <c r="I2458" s="37"/>
      <c r="J2458" s="37"/>
    </row>
    <row r="2459" spans="1:10" x14ac:dyDescent="0.3">
      <c r="A2459" s="130"/>
      <c r="B2459" s="37"/>
      <c r="C2459" s="37"/>
      <c r="D2459" s="37"/>
      <c r="E2459" s="37"/>
      <c r="F2459" s="37"/>
      <c r="G2459" s="37"/>
      <c r="H2459" s="37"/>
      <c r="I2459" s="37"/>
      <c r="J2459" s="37"/>
    </row>
    <row r="2460" spans="1:10" x14ac:dyDescent="0.3">
      <c r="A2460" s="130"/>
      <c r="B2460" s="37"/>
      <c r="C2460" s="37"/>
      <c r="D2460" s="37"/>
      <c r="E2460" s="37"/>
      <c r="F2460" s="37"/>
      <c r="G2460" s="37"/>
      <c r="H2460" s="37"/>
      <c r="I2460" s="37"/>
      <c r="J2460" s="37"/>
    </row>
    <row r="2461" spans="1:10" x14ac:dyDescent="0.3">
      <c r="A2461" s="130"/>
      <c r="B2461" s="37"/>
      <c r="C2461" s="37"/>
      <c r="D2461" s="37"/>
      <c r="E2461" s="37"/>
      <c r="F2461" s="37"/>
      <c r="G2461" s="37"/>
      <c r="H2461" s="37"/>
      <c r="I2461" s="37"/>
      <c r="J2461" s="37"/>
    </row>
    <row r="2462" spans="1:10" x14ac:dyDescent="0.3">
      <c r="A2462" s="130"/>
      <c r="B2462" s="37"/>
      <c r="C2462" s="37"/>
      <c r="D2462" s="37"/>
      <c r="E2462" s="37"/>
      <c r="F2462" s="37"/>
      <c r="G2462" s="37"/>
      <c r="H2462" s="37"/>
      <c r="I2462" s="37"/>
      <c r="J2462" s="37"/>
    </row>
    <row r="2463" spans="1:10" x14ac:dyDescent="0.3">
      <c r="A2463" s="130"/>
      <c r="B2463" s="37"/>
      <c r="C2463" s="37"/>
      <c r="D2463" s="37"/>
      <c r="E2463" s="37"/>
      <c r="F2463" s="37"/>
      <c r="G2463" s="37"/>
      <c r="H2463" s="37"/>
      <c r="I2463" s="37"/>
      <c r="J2463" s="37"/>
    </row>
    <row r="2464" spans="1:10" x14ac:dyDescent="0.3">
      <c r="A2464" s="130"/>
      <c r="B2464" s="37"/>
      <c r="C2464" s="37"/>
      <c r="D2464" s="37"/>
      <c r="E2464" s="37"/>
      <c r="F2464" s="37"/>
      <c r="G2464" s="37"/>
      <c r="H2464" s="37"/>
      <c r="I2464" s="37"/>
      <c r="J2464" s="37"/>
    </row>
    <row r="2465" spans="1:10" x14ac:dyDescent="0.3">
      <c r="A2465" s="130"/>
      <c r="B2465" s="37"/>
      <c r="C2465" s="37"/>
      <c r="D2465" s="37"/>
      <c r="E2465" s="37"/>
      <c r="F2465" s="37"/>
      <c r="G2465" s="37"/>
      <c r="H2465" s="37"/>
      <c r="I2465" s="37"/>
      <c r="J2465" s="37"/>
    </row>
    <row r="2466" spans="1:10" x14ac:dyDescent="0.3">
      <c r="A2466" s="130"/>
      <c r="B2466" s="37"/>
      <c r="C2466" s="37"/>
      <c r="D2466" s="37"/>
      <c r="E2466" s="37"/>
      <c r="F2466" s="37"/>
      <c r="G2466" s="37"/>
      <c r="H2466" s="37"/>
      <c r="I2466" s="37"/>
      <c r="J2466" s="37"/>
    </row>
    <row r="2467" spans="1:10" x14ac:dyDescent="0.3">
      <c r="A2467" s="130"/>
      <c r="B2467" s="37"/>
      <c r="C2467" s="37"/>
      <c r="D2467" s="37"/>
      <c r="E2467" s="37"/>
      <c r="F2467" s="37"/>
      <c r="G2467" s="37"/>
      <c r="H2467" s="37"/>
      <c r="I2467" s="37"/>
      <c r="J2467" s="37"/>
    </row>
    <row r="2468" spans="1:10" x14ac:dyDescent="0.3">
      <c r="A2468" s="130"/>
      <c r="B2468" s="37"/>
      <c r="C2468" s="37"/>
      <c r="D2468" s="37"/>
      <c r="E2468" s="37"/>
      <c r="F2468" s="37"/>
      <c r="G2468" s="37"/>
      <c r="H2468" s="37"/>
      <c r="I2468" s="37"/>
      <c r="J2468" s="37"/>
    </row>
    <row r="2469" spans="1:10" x14ac:dyDescent="0.3">
      <c r="A2469" s="130"/>
      <c r="B2469" s="37"/>
      <c r="C2469" s="37"/>
      <c r="D2469" s="37"/>
      <c r="E2469" s="37"/>
      <c r="F2469" s="37"/>
      <c r="G2469" s="37"/>
      <c r="H2469" s="37"/>
      <c r="I2469" s="37"/>
      <c r="J2469" s="37"/>
    </row>
    <row r="2470" spans="1:10" x14ac:dyDescent="0.3">
      <c r="A2470" s="130"/>
      <c r="B2470" s="37"/>
      <c r="C2470" s="37"/>
      <c r="D2470" s="37"/>
      <c r="E2470" s="37"/>
      <c r="F2470" s="37"/>
      <c r="G2470" s="37"/>
      <c r="H2470" s="37"/>
      <c r="I2470" s="37"/>
      <c r="J2470" s="37"/>
    </row>
    <row r="2471" spans="1:10" x14ac:dyDescent="0.3">
      <c r="A2471" s="130"/>
      <c r="B2471" s="37"/>
      <c r="C2471" s="37"/>
      <c r="D2471" s="37"/>
      <c r="E2471" s="37"/>
      <c r="F2471" s="37"/>
      <c r="G2471" s="37"/>
      <c r="H2471" s="37"/>
      <c r="I2471" s="37"/>
      <c r="J2471" s="37"/>
    </row>
    <row r="2472" spans="1:10" x14ac:dyDescent="0.3">
      <c r="A2472" s="130"/>
      <c r="B2472" s="37"/>
      <c r="C2472" s="37"/>
      <c r="D2472" s="37"/>
      <c r="E2472" s="37"/>
      <c r="F2472" s="37"/>
      <c r="G2472" s="37"/>
      <c r="H2472" s="37"/>
      <c r="I2472" s="37"/>
      <c r="J2472" s="37"/>
    </row>
    <row r="2473" spans="1:10" x14ac:dyDescent="0.3">
      <c r="A2473" s="130"/>
      <c r="B2473" s="37"/>
      <c r="C2473" s="37"/>
      <c r="D2473" s="37"/>
      <c r="E2473" s="37"/>
      <c r="F2473" s="37"/>
      <c r="G2473" s="37"/>
      <c r="H2473" s="37"/>
      <c r="I2473" s="37"/>
      <c r="J2473" s="37"/>
    </row>
    <row r="2474" spans="1:10" x14ac:dyDescent="0.3">
      <c r="A2474" s="130"/>
      <c r="B2474" s="37"/>
      <c r="C2474" s="37"/>
      <c r="D2474" s="37"/>
      <c r="E2474" s="37"/>
      <c r="F2474" s="37"/>
      <c r="G2474" s="37"/>
      <c r="H2474" s="37"/>
      <c r="I2474" s="37"/>
      <c r="J2474" s="37"/>
    </row>
    <row r="2475" spans="1:10" x14ac:dyDescent="0.3">
      <c r="A2475" s="130"/>
      <c r="B2475" s="37"/>
      <c r="C2475" s="37"/>
      <c r="D2475" s="37"/>
      <c r="E2475" s="37"/>
      <c r="F2475" s="37"/>
      <c r="G2475" s="37"/>
      <c r="H2475" s="37"/>
      <c r="I2475" s="37"/>
      <c r="J2475" s="37"/>
    </row>
    <row r="2476" spans="1:10" x14ac:dyDescent="0.3">
      <c r="A2476" s="130"/>
      <c r="B2476" s="37"/>
      <c r="C2476" s="37"/>
      <c r="D2476" s="37"/>
      <c r="E2476" s="37"/>
      <c r="F2476" s="37"/>
      <c r="G2476" s="37"/>
      <c r="H2476" s="37"/>
      <c r="I2476" s="37"/>
      <c r="J2476" s="37"/>
    </row>
    <row r="2477" spans="1:10" x14ac:dyDescent="0.3">
      <c r="A2477" s="130"/>
      <c r="B2477" s="37"/>
      <c r="C2477" s="37"/>
      <c r="D2477" s="37"/>
      <c r="E2477" s="37"/>
      <c r="F2477" s="37"/>
      <c r="G2477" s="37"/>
      <c r="H2477" s="37"/>
      <c r="I2477" s="37"/>
      <c r="J2477" s="37"/>
    </row>
    <row r="2478" spans="1:10" x14ac:dyDescent="0.3">
      <c r="A2478" s="130"/>
      <c r="B2478" s="37"/>
      <c r="C2478" s="37"/>
      <c r="D2478" s="37"/>
      <c r="E2478" s="37"/>
      <c r="F2478" s="37"/>
      <c r="G2478" s="37"/>
      <c r="H2478" s="37"/>
      <c r="I2478" s="37"/>
      <c r="J2478" s="37"/>
    </row>
    <row r="2479" spans="1:10" x14ac:dyDescent="0.3">
      <c r="A2479" s="130"/>
      <c r="B2479" s="37"/>
      <c r="C2479" s="37"/>
      <c r="D2479" s="37"/>
      <c r="E2479" s="37"/>
      <c r="F2479" s="37"/>
      <c r="G2479" s="37"/>
      <c r="H2479" s="37"/>
      <c r="I2479" s="37"/>
      <c r="J2479" s="37"/>
    </row>
    <row r="2480" spans="1:10" x14ac:dyDescent="0.3">
      <c r="A2480" s="130"/>
      <c r="B2480" s="37"/>
      <c r="C2480" s="37"/>
      <c r="D2480" s="37"/>
      <c r="E2480" s="37"/>
      <c r="F2480" s="37"/>
      <c r="G2480" s="37"/>
      <c r="H2480" s="37"/>
      <c r="I2480" s="37"/>
      <c r="J2480" s="37"/>
    </row>
    <row r="2481" spans="1:10" x14ac:dyDescent="0.3">
      <c r="A2481" s="130"/>
      <c r="B2481" s="37"/>
      <c r="C2481" s="37"/>
      <c r="D2481" s="37"/>
      <c r="E2481" s="37"/>
      <c r="F2481" s="37"/>
      <c r="G2481" s="37"/>
      <c r="H2481" s="37"/>
      <c r="I2481" s="37"/>
      <c r="J2481" s="37"/>
    </row>
    <row r="2482" spans="1:10" x14ac:dyDescent="0.3">
      <c r="A2482" s="130"/>
      <c r="B2482" s="37"/>
      <c r="C2482" s="37"/>
      <c r="D2482" s="37"/>
      <c r="E2482" s="37"/>
      <c r="F2482" s="37"/>
      <c r="G2482" s="37"/>
      <c r="H2482" s="37"/>
      <c r="I2482" s="37"/>
      <c r="J2482" s="37"/>
    </row>
    <row r="2483" spans="1:10" x14ac:dyDescent="0.3">
      <c r="A2483" s="130"/>
      <c r="B2483" s="37"/>
      <c r="C2483" s="37"/>
      <c r="D2483" s="37"/>
      <c r="E2483" s="37"/>
      <c r="F2483" s="37"/>
      <c r="G2483" s="37"/>
      <c r="H2483" s="37"/>
      <c r="I2483" s="37"/>
      <c r="J2483" s="37"/>
    </row>
    <row r="2484" spans="1:10" x14ac:dyDescent="0.3">
      <c r="A2484" s="130"/>
      <c r="B2484" s="37"/>
      <c r="C2484" s="37"/>
      <c r="D2484" s="37"/>
      <c r="E2484" s="37"/>
      <c r="F2484" s="37"/>
      <c r="G2484" s="37"/>
      <c r="H2484" s="37"/>
      <c r="I2484" s="37"/>
      <c r="J2484" s="37"/>
    </row>
    <row r="2485" spans="1:10" x14ac:dyDescent="0.3">
      <c r="A2485" s="130"/>
      <c r="B2485" s="37"/>
      <c r="C2485" s="37"/>
      <c r="D2485" s="37"/>
      <c r="E2485" s="37"/>
      <c r="F2485" s="37"/>
      <c r="G2485" s="37"/>
      <c r="H2485" s="37"/>
      <c r="I2485" s="37"/>
      <c r="J2485" s="37"/>
    </row>
    <row r="2486" spans="1:10" x14ac:dyDescent="0.3">
      <c r="A2486" s="130"/>
      <c r="B2486" s="37"/>
      <c r="C2486" s="37"/>
      <c r="D2486" s="37"/>
      <c r="E2486" s="37"/>
      <c r="F2486" s="37"/>
      <c r="G2486" s="37"/>
      <c r="H2486" s="37"/>
      <c r="I2486" s="37"/>
      <c r="J2486" s="37"/>
    </row>
    <row r="2487" spans="1:10" x14ac:dyDescent="0.3">
      <c r="A2487" s="130"/>
      <c r="B2487" s="37"/>
      <c r="C2487" s="37"/>
      <c r="D2487" s="37"/>
      <c r="E2487" s="37"/>
      <c r="F2487" s="37"/>
      <c r="G2487" s="37"/>
      <c r="H2487" s="37"/>
      <c r="I2487" s="37"/>
      <c r="J2487" s="37"/>
    </row>
    <row r="2488" spans="1:10" x14ac:dyDescent="0.3">
      <c r="A2488" s="130"/>
      <c r="B2488" s="37"/>
      <c r="C2488" s="37"/>
      <c r="D2488" s="37"/>
      <c r="E2488" s="37"/>
      <c r="F2488" s="37"/>
      <c r="G2488" s="37"/>
      <c r="H2488" s="37"/>
      <c r="I2488" s="37"/>
      <c r="J2488" s="37"/>
    </row>
    <row r="2489" spans="1:10" x14ac:dyDescent="0.3">
      <c r="A2489" s="130"/>
      <c r="B2489" s="37"/>
      <c r="C2489" s="37"/>
      <c r="D2489" s="37"/>
      <c r="E2489" s="37"/>
      <c r="F2489" s="37"/>
      <c r="G2489" s="37"/>
      <c r="H2489" s="37"/>
      <c r="I2489" s="37"/>
      <c r="J2489" s="37"/>
    </row>
    <row r="2490" spans="1:10" x14ac:dyDescent="0.3">
      <c r="A2490" s="130"/>
      <c r="B2490" s="37"/>
      <c r="C2490" s="37"/>
      <c r="D2490" s="37"/>
      <c r="E2490" s="37"/>
      <c r="F2490" s="37"/>
      <c r="G2490" s="37"/>
      <c r="H2490" s="37"/>
      <c r="I2490" s="37"/>
      <c r="J2490" s="37"/>
    </row>
    <row r="2491" spans="1:10" x14ac:dyDescent="0.3">
      <c r="A2491" s="130"/>
      <c r="B2491" s="37"/>
      <c r="C2491" s="37"/>
      <c r="D2491" s="37"/>
      <c r="E2491" s="37"/>
      <c r="F2491" s="37"/>
      <c r="G2491" s="37"/>
      <c r="H2491" s="37"/>
      <c r="I2491" s="37"/>
      <c r="J2491" s="37"/>
    </row>
    <row r="2492" spans="1:10" x14ac:dyDescent="0.3">
      <c r="A2492" s="130"/>
      <c r="B2492" s="37"/>
      <c r="C2492" s="37"/>
      <c r="D2492" s="37"/>
      <c r="E2492" s="37"/>
      <c r="F2492" s="37"/>
      <c r="G2492" s="37"/>
      <c r="H2492" s="37"/>
      <c r="I2492" s="37"/>
      <c r="J2492" s="37"/>
    </row>
    <row r="2493" spans="1:10" x14ac:dyDescent="0.3">
      <c r="A2493" s="130"/>
      <c r="B2493" s="37"/>
      <c r="C2493" s="37"/>
      <c r="D2493" s="37"/>
      <c r="E2493" s="37"/>
      <c r="F2493" s="37"/>
      <c r="G2493" s="37"/>
      <c r="H2493" s="37"/>
      <c r="I2493" s="37"/>
      <c r="J2493" s="37"/>
    </row>
    <row r="2494" spans="1:10" x14ac:dyDescent="0.3">
      <c r="A2494" s="130"/>
      <c r="B2494" s="37"/>
      <c r="C2494" s="37"/>
      <c r="D2494" s="37"/>
      <c r="E2494" s="37"/>
      <c r="F2494" s="37"/>
      <c r="G2494" s="37"/>
      <c r="H2494" s="37"/>
      <c r="I2494" s="37"/>
      <c r="J2494" s="37"/>
    </row>
    <row r="2495" spans="1:10" x14ac:dyDescent="0.3">
      <c r="A2495" s="130"/>
      <c r="B2495" s="37"/>
      <c r="C2495" s="37"/>
      <c r="D2495" s="37"/>
      <c r="E2495" s="37"/>
      <c r="F2495" s="37"/>
      <c r="G2495" s="37"/>
      <c r="H2495" s="37"/>
      <c r="I2495" s="37"/>
      <c r="J2495" s="37"/>
    </row>
    <row r="2496" spans="1:10" x14ac:dyDescent="0.3">
      <c r="A2496" s="130"/>
      <c r="B2496" s="37"/>
      <c r="C2496" s="37"/>
      <c r="D2496" s="37"/>
      <c r="E2496" s="37"/>
      <c r="F2496" s="37"/>
      <c r="G2496" s="37"/>
      <c r="H2496" s="37"/>
      <c r="I2496" s="37"/>
      <c r="J2496" s="37"/>
    </row>
    <row r="2497" spans="1:10" x14ac:dyDescent="0.3">
      <c r="A2497" s="130"/>
      <c r="B2497" s="37"/>
      <c r="C2497" s="37"/>
      <c r="D2497" s="37"/>
      <c r="E2497" s="37"/>
      <c r="F2497" s="37"/>
      <c r="G2497" s="37"/>
      <c r="H2497" s="37"/>
      <c r="I2497" s="37"/>
      <c r="J2497" s="37"/>
    </row>
    <row r="2498" spans="1:10" x14ac:dyDescent="0.3">
      <c r="A2498" s="130"/>
      <c r="B2498" s="37"/>
      <c r="C2498" s="37"/>
      <c r="D2498" s="37"/>
      <c r="E2498" s="37"/>
      <c r="F2498" s="37"/>
      <c r="G2498" s="37"/>
      <c r="H2498" s="37"/>
      <c r="I2498" s="37"/>
      <c r="J2498" s="37"/>
    </row>
    <row r="2499" spans="1:10" x14ac:dyDescent="0.3">
      <c r="A2499" s="130"/>
      <c r="B2499" s="37"/>
      <c r="C2499" s="37"/>
      <c r="D2499" s="37"/>
      <c r="E2499" s="37"/>
      <c r="F2499" s="37"/>
      <c r="G2499" s="37"/>
      <c r="H2499" s="37"/>
      <c r="I2499" s="37"/>
      <c r="J2499" s="37"/>
    </row>
    <row r="2500" spans="1:10" x14ac:dyDescent="0.3">
      <c r="A2500" s="130"/>
      <c r="B2500" s="37"/>
      <c r="C2500" s="37"/>
      <c r="D2500" s="37"/>
      <c r="E2500" s="37"/>
      <c r="F2500" s="37"/>
      <c r="G2500" s="37"/>
      <c r="H2500" s="37"/>
      <c r="I2500" s="37"/>
      <c r="J2500" s="37"/>
    </row>
    <row r="2501" spans="1:10" x14ac:dyDescent="0.3">
      <c r="A2501" s="130"/>
      <c r="B2501" s="37"/>
      <c r="C2501" s="37"/>
      <c r="D2501" s="37"/>
      <c r="E2501" s="37"/>
      <c r="F2501" s="37"/>
      <c r="G2501" s="37"/>
      <c r="H2501" s="37"/>
      <c r="I2501" s="37"/>
      <c r="J2501" s="37"/>
    </row>
    <row r="2502" spans="1:10" x14ac:dyDescent="0.3">
      <c r="A2502" s="130"/>
      <c r="B2502" s="37"/>
      <c r="C2502" s="37"/>
      <c r="D2502" s="37"/>
      <c r="E2502" s="37"/>
      <c r="F2502" s="37"/>
      <c r="G2502" s="37"/>
      <c r="H2502" s="37"/>
      <c r="I2502" s="37"/>
      <c r="J2502" s="37"/>
    </row>
    <row r="2503" spans="1:10" x14ac:dyDescent="0.3">
      <c r="A2503" s="130"/>
      <c r="B2503" s="37"/>
      <c r="C2503" s="37"/>
      <c r="D2503" s="37"/>
      <c r="E2503" s="37"/>
      <c r="F2503" s="37"/>
      <c r="G2503" s="37"/>
      <c r="H2503" s="37"/>
      <c r="I2503" s="37"/>
      <c r="J2503" s="37"/>
    </row>
    <row r="2504" spans="1:10" x14ac:dyDescent="0.3">
      <c r="A2504" s="130"/>
      <c r="B2504" s="37"/>
      <c r="C2504" s="37"/>
      <c r="D2504" s="37"/>
      <c r="E2504" s="37"/>
      <c r="F2504" s="37"/>
      <c r="G2504" s="37"/>
      <c r="H2504" s="37"/>
      <c r="I2504" s="37"/>
      <c r="J2504" s="37"/>
    </row>
    <row r="2505" spans="1:10" x14ac:dyDescent="0.3">
      <c r="A2505" s="130"/>
      <c r="B2505" s="37"/>
      <c r="C2505" s="37"/>
      <c r="D2505" s="37"/>
      <c r="E2505" s="37"/>
      <c r="F2505" s="37"/>
      <c r="G2505" s="37"/>
      <c r="H2505" s="37"/>
      <c r="I2505" s="37"/>
      <c r="J2505" s="37"/>
    </row>
    <row r="2506" spans="1:10" x14ac:dyDescent="0.3">
      <c r="A2506" s="130"/>
      <c r="B2506" s="37"/>
      <c r="C2506" s="37"/>
      <c r="D2506" s="37"/>
      <c r="E2506" s="37"/>
      <c r="F2506" s="37"/>
      <c r="G2506" s="37"/>
      <c r="H2506" s="37"/>
      <c r="I2506" s="37"/>
      <c r="J2506" s="37"/>
    </row>
    <row r="2507" spans="1:10" x14ac:dyDescent="0.3">
      <c r="A2507" s="130"/>
      <c r="B2507" s="37"/>
      <c r="C2507" s="37"/>
      <c r="D2507" s="37"/>
      <c r="E2507" s="37"/>
      <c r="F2507" s="37"/>
      <c r="G2507" s="37"/>
      <c r="H2507" s="37"/>
      <c r="I2507" s="37"/>
      <c r="J2507" s="37"/>
    </row>
    <row r="2508" spans="1:10" x14ac:dyDescent="0.3">
      <c r="A2508" s="130"/>
      <c r="B2508" s="37"/>
      <c r="C2508" s="37"/>
      <c r="D2508" s="37"/>
      <c r="E2508" s="37"/>
      <c r="F2508" s="37"/>
      <c r="G2508" s="37"/>
      <c r="H2508" s="37"/>
      <c r="I2508" s="37"/>
      <c r="J2508" s="37"/>
    </row>
    <row r="2509" spans="1:10" x14ac:dyDescent="0.3">
      <c r="A2509" s="130"/>
      <c r="B2509" s="37"/>
      <c r="C2509" s="37"/>
      <c r="D2509" s="37"/>
      <c r="E2509" s="37"/>
      <c r="F2509" s="37"/>
      <c r="G2509" s="37"/>
      <c r="H2509" s="37"/>
      <c r="I2509" s="37"/>
      <c r="J2509" s="37"/>
    </row>
    <row r="2510" spans="1:10" x14ac:dyDescent="0.3">
      <c r="A2510" s="130"/>
      <c r="B2510" s="37"/>
      <c r="C2510" s="37"/>
      <c r="D2510" s="37"/>
      <c r="E2510" s="37"/>
      <c r="F2510" s="37"/>
      <c r="G2510" s="37"/>
      <c r="H2510" s="37"/>
      <c r="I2510" s="37"/>
      <c r="J2510" s="37"/>
    </row>
    <row r="2511" spans="1:10" x14ac:dyDescent="0.3">
      <c r="A2511" s="130"/>
      <c r="B2511" s="37"/>
      <c r="C2511" s="37"/>
      <c r="D2511" s="37"/>
      <c r="E2511" s="37"/>
      <c r="F2511" s="37"/>
      <c r="G2511" s="37"/>
      <c r="H2511" s="37"/>
      <c r="I2511" s="37"/>
      <c r="J2511" s="37"/>
    </row>
    <row r="2512" spans="1:10" x14ac:dyDescent="0.3">
      <c r="A2512" s="130"/>
      <c r="B2512" s="37"/>
      <c r="C2512" s="37"/>
      <c r="D2512" s="37"/>
      <c r="E2512" s="37"/>
      <c r="F2512" s="37"/>
      <c r="G2512" s="37"/>
      <c r="H2512" s="37"/>
      <c r="I2512" s="37"/>
      <c r="J2512" s="37"/>
    </row>
    <row r="2513" spans="1:10" x14ac:dyDescent="0.3">
      <c r="A2513" s="130"/>
      <c r="B2513" s="37"/>
      <c r="C2513" s="37"/>
      <c r="D2513" s="37"/>
      <c r="E2513" s="37"/>
      <c r="F2513" s="37"/>
      <c r="G2513" s="37"/>
      <c r="H2513" s="37"/>
      <c r="I2513" s="37"/>
      <c r="J2513" s="37"/>
    </row>
    <row r="2514" spans="1:10" x14ac:dyDescent="0.3">
      <c r="A2514" s="130"/>
      <c r="B2514" s="37"/>
      <c r="C2514" s="37"/>
      <c r="D2514" s="37"/>
      <c r="E2514" s="37"/>
      <c r="F2514" s="37"/>
      <c r="G2514" s="37"/>
      <c r="H2514" s="37"/>
      <c r="I2514" s="37"/>
      <c r="J2514" s="37"/>
    </row>
    <row r="2515" spans="1:10" x14ac:dyDescent="0.3">
      <c r="A2515" s="130"/>
      <c r="B2515" s="37"/>
      <c r="C2515" s="37"/>
      <c r="D2515" s="37"/>
      <c r="E2515" s="37"/>
      <c r="F2515" s="37"/>
      <c r="G2515" s="37"/>
      <c r="H2515" s="37"/>
      <c r="I2515" s="37"/>
      <c r="J2515" s="37"/>
    </row>
    <row r="2516" spans="1:10" x14ac:dyDescent="0.3">
      <c r="A2516" s="130"/>
      <c r="B2516" s="37"/>
      <c r="C2516" s="37"/>
      <c r="D2516" s="37"/>
      <c r="E2516" s="37"/>
      <c r="F2516" s="37"/>
      <c r="G2516" s="37"/>
      <c r="H2516" s="37"/>
      <c r="I2516" s="37"/>
      <c r="J2516" s="37"/>
    </row>
    <row r="2517" spans="1:10" x14ac:dyDescent="0.3">
      <c r="A2517" s="130"/>
      <c r="B2517" s="37"/>
      <c r="C2517" s="37"/>
      <c r="D2517" s="37"/>
      <c r="E2517" s="37"/>
      <c r="F2517" s="37"/>
      <c r="G2517" s="37"/>
      <c r="H2517" s="37"/>
      <c r="I2517" s="37"/>
      <c r="J2517" s="37"/>
    </row>
    <row r="2518" spans="1:10" x14ac:dyDescent="0.3">
      <c r="A2518" s="130"/>
      <c r="B2518" s="37"/>
      <c r="C2518" s="37"/>
      <c r="D2518" s="37"/>
      <c r="E2518" s="37"/>
      <c r="F2518" s="37"/>
      <c r="G2518" s="37"/>
      <c r="H2518" s="37"/>
      <c r="I2518" s="37"/>
      <c r="J2518" s="37"/>
    </row>
    <row r="2519" spans="1:10" x14ac:dyDescent="0.3">
      <c r="A2519" s="130"/>
      <c r="B2519" s="37"/>
      <c r="C2519" s="37"/>
      <c r="D2519" s="37"/>
      <c r="E2519" s="37"/>
      <c r="F2519" s="37"/>
      <c r="G2519" s="37"/>
      <c r="H2519" s="37"/>
      <c r="I2519" s="37"/>
      <c r="J2519" s="37"/>
    </row>
    <row r="2520" spans="1:10" x14ac:dyDescent="0.3">
      <c r="A2520" s="130"/>
      <c r="B2520" s="37"/>
      <c r="C2520" s="37"/>
      <c r="D2520" s="37"/>
      <c r="E2520" s="37"/>
      <c r="F2520" s="37"/>
      <c r="G2520" s="37"/>
      <c r="H2520" s="37"/>
      <c r="I2520" s="37"/>
      <c r="J2520" s="37"/>
    </row>
    <row r="2521" spans="1:10" x14ac:dyDescent="0.3">
      <c r="A2521" s="130"/>
      <c r="B2521" s="37"/>
      <c r="C2521" s="37"/>
      <c r="D2521" s="37"/>
      <c r="E2521" s="37"/>
      <c r="F2521" s="37"/>
      <c r="G2521" s="37"/>
      <c r="H2521" s="37"/>
      <c r="I2521" s="37"/>
      <c r="J2521" s="37"/>
    </row>
    <row r="2522" spans="1:10" x14ac:dyDescent="0.3">
      <c r="A2522" s="130"/>
      <c r="B2522" s="37"/>
      <c r="C2522" s="37"/>
      <c r="D2522" s="37"/>
      <c r="E2522" s="37"/>
      <c r="F2522" s="37"/>
      <c r="G2522" s="37"/>
      <c r="H2522" s="37"/>
      <c r="I2522" s="37"/>
      <c r="J2522" s="37"/>
    </row>
    <row r="2523" spans="1:10" x14ac:dyDescent="0.3">
      <c r="A2523" s="130"/>
      <c r="B2523" s="37"/>
      <c r="C2523" s="37"/>
      <c r="D2523" s="37"/>
      <c r="E2523" s="37"/>
      <c r="F2523" s="37"/>
      <c r="G2523" s="37"/>
      <c r="H2523" s="37"/>
      <c r="I2523" s="37"/>
      <c r="J2523" s="37"/>
    </row>
    <row r="2524" spans="1:10" x14ac:dyDescent="0.3">
      <c r="A2524" s="130"/>
      <c r="B2524" s="37"/>
      <c r="C2524" s="37"/>
      <c r="D2524" s="37"/>
      <c r="E2524" s="37"/>
      <c r="F2524" s="37"/>
      <c r="G2524" s="37"/>
      <c r="H2524" s="37"/>
      <c r="I2524" s="37"/>
      <c r="J2524" s="37"/>
    </row>
    <row r="2525" spans="1:10" x14ac:dyDescent="0.3">
      <c r="A2525" s="130"/>
      <c r="B2525" s="37"/>
      <c r="C2525" s="37"/>
      <c r="D2525" s="37"/>
      <c r="E2525" s="37"/>
      <c r="F2525" s="37"/>
      <c r="G2525" s="37"/>
      <c r="H2525" s="37"/>
      <c r="I2525" s="37"/>
      <c r="J2525" s="37"/>
    </row>
    <row r="2526" spans="1:10" x14ac:dyDescent="0.3">
      <c r="A2526" s="130"/>
      <c r="B2526" s="37"/>
      <c r="C2526" s="37"/>
      <c r="D2526" s="37"/>
      <c r="E2526" s="37"/>
      <c r="F2526" s="37"/>
      <c r="G2526" s="37"/>
      <c r="H2526" s="37"/>
      <c r="I2526" s="37"/>
      <c r="J2526" s="37"/>
    </row>
    <row r="2527" spans="1:10" x14ac:dyDescent="0.3">
      <c r="A2527" s="130"/>
      <c r="B2527" s="37"/>
      <c r="C2527" s="37"/>
      <c r="D2527" s="37"/>
      <c r="E2527" s="37"/>
      <c r="F2527" s="37"/>
      <c r="G2527" s="37"/>
      <c r="H2527" s="37"/>
      <c r="I2527" s="37"/>
      <c r="J2527" s="37"/>
    </row>
    <row r="2528" spans="1:10" x14ac:dyDescent="0.3">
      <c r="A2528" s="130"/>
      <c r="B2528" s="37"/>
      <c r="C2528" s="37"/>
      <c r="D2528" s="37"/>
      <c r="E2528" s="37"/>
      <c r="F2528" s="37"/>
      <c r="G2528" s="37"/>
      <c r="H2528" s="37"/>
      <c r="I2528" s="37"/>
      <c r="J2528" s="37"/>
    </row>
    <row r="2529" spans="1:10" x14ac:dyDescent="0.3">
      <c r="A2529" s="130"/>
      <c r="B2529" s="37"/>
      <c r="C2529" s="37"/>
      <c r="D2529" s="37"/>
      <c r="E2529" s="37"/>
      <c r="F2529" s="37"/>
      <c r="G2529" s="37"/>
      <c r="H2529" s="37"/>
      <c r="I2529" s="37"/>
      <c r="J2529" s="37"/>
    </row>
    <row r="2530" spans="1:10" x14ac:dyDescent="0.3">
      <c r="A2530" s="130"/>
      <c r="B2530" s="37"/>
      <c r="C2530" s="37"/>
      <c r="D2530" s="37"/>
      <c r="E2530" s="37"/>
      <c r="F2530" s="37"/>
      <c r="G2530" s="37"/>
      <c r="H2530" s="37"/>
      <c r="I2530" s="37"/>
      <c r="J2530" s="37"/>
    </row>
    <row r="2531" spans="1:10" x14ac:dyDescent="0.3">
      <c r="A2531" s="130"/>
      <c r="B2531" s="37"/>
      <c r="C2531" s="37"/>
      <c r="D2531" s="37"/>
      <c r="E2531" s="37"/>
      <c r="F2531" s="37"/>
      <c r="G2531" s="37"/>
      <c r="H2531" s="37"/>
      <c r="I2531" s="37"/>
      <c r="J2531" s="37"/>
    </row>
    <row r="2532" spans="1:10" x14ac:dyDescent="0.3">
      <c r="A2532" s="130"/>
      <c r="B2532" s="37"/>
      <c r="C2532" s="37"/>
      <c r="D2532" s="37"/>
      <c r="E2532" s="37"/>
      <c r="F2532" s="37"/>
      <c r="G2532" s="37"/>
      <c r="H2532" s="37"/>
      <c r="I2532" s="37"/>
      <c r="J2532" s="37"/>
    </row>
    <row r="2533" spans="1:10" x14ac:dyDescent="0.3">
      <c r="A2533" s="130"/>
      <c r="B2533" s="37"/>
      <c r="C2533" s="37"/>
      <c r="D2533" s="37"/>
      <c r="E2533" s="37"/>
      <c r="F2533" s="37"/>
      <c r="G2533" s="37"/>
      <c r="H2533" s="37"/>
      <c r="I2533" s="37"/>
      <c r="J2533" s="37"/>
    </row>
    <row r="2534" spans="1:10" x14ac:dyDescent="0.3">
      <c r="A2534" s="130"/>
      <c r="B2534" s="37"/>
      <c r="C2534" s="37"/>
      <c r="D2534" s="37"/>
      <c r="E2534" s="37"/>
      <c r="F2534" s="37"/>
      <c r="G2534" s="37"/>
      <c r="H2534" s="37"/>
      <c r="I2534" s="37"/>
      <c r="J2534" s="37"/>
    </row>
    <row r="2535" spans="1:10" x14ac:dyDescent="0.3">
      <c r="A2535" s="130"/>
      <c r="B2535" s="37"/>
      <c r="C2535" s="37"/>
      <c r="D2535" s="37"/>
      <c r="E2535" s="37"/>
      <c r="F2535" s="37"/>
      <c r="G2535" s="37"/>
      <c r="H2535" s="37"/>
      <c r="I2535" s="37"/>
      <c r="J2535" s="37"/>
    </row>
    <row r="2536" spans="1:10" x14ac:dyDescent="0.3">
      <c r="A2536" s="130"/>
      <c r="B2536" s="37"/>
      <c r="C2536" s="37"/>
      <c r="D2536" s="37"/>
      <c r="E2536" s="37"/>
      <c r="F2536" s="37"/>
      <c r="G2536" s="37"/>
      <c r="H2536" s="37"/>
      <c r="I2536" s="37"/>
      <c r="J2536" s="37"/>
    </row>
    <row r="2537" spans="1:10" x14ac:dyDescent="0.3">
      <c r="A2537" s="130"/>
      <c r="B2537" s="37"/>
      <c r="C2537" s="37"/>
      <c r="D2537" s="37"/>
      <c r="E2537" s="37"/>
      <c r="F2537" s="37"/>
      <c r="G2537" s="37"/>
      <c r="H2537" s="37"/>
      <c r="I2537" s="37"/>
      <c r="J2537" s="37"/>
    </row>
    <row r="2538" spans="1:10" x14ac:dyDescent="0.3">
      <c r="A2538" s="130"/>
      <c r="B2538" s="37"/>
      <c r="C2538" s="37"/>
      <c r="D2538" s="37"/>
      <c r="E2538" s="37"/>
      <c r="F2538" s="37"/>
      <c r="G2538" s="37"/>
      <c r="H2538" s="37"/>
      <c r="I2538" s="37"/>
      <c r="J2538" s="37"/>
    </row>
    <row r="2539" spans="1:10" x14ac:dyDescent="0.3">
      <c r="A2539" s="130"/>
      <c r="B2539" s="37"/>
      <c r="C2539" s="37"/>
      <c r="D2539" s="37"/>
      <c r="E2539" s="37"/>
      <c r="F2539" s="37"/>
      <c r="G2539" s="37"/>
      <c r="H2539" s="37"/>
      <c r="I2539" s="37"/>
      <c r="J2539" s="37"/>
    </row>
    <row r="2540" spans="1:10" x14ac:dyDescent="0.3">
      <c r="A2540" s="130"/>
      <c r="B2540" s="37"/>
      <c r="C2540" s="37"/>
      <c r="D2540" s="37"/>
      <c r="E2540" s="37"/>
      <c r="F2540" s="37"/>
      <c r="G2540" s="37"/>
      <c r="H2540" s="37"/>
      <c r="I2540" s="37"/>
      <c r="J2540" s="37"/>
    </row>
    <row r="2541" spans="1:10" x14ac:dyDescent="0.3">
      <c r="A2541" s="130"/>
      <c r="B2541" s="37"/>
      <c r="C2541" s="37"/>
      <c r="D2541" s="37"/>
      <c r="E2541" s="37"/>
      <c r="F2541" s="37"/>
      <c r="G2541" s="37"/>
      <c r="H2541" s="37"/>
      <c r="I2541" s="37"/>
      <c r="J2541" s="37"/>
    </row>
    <row r="2542" spans="1:10" x14ac:dyDescent="0.3">
      <c r="A2542" s="130"/>
      <c r="B2542" s="37"/>
      <c r="C2542" s="37"/>
      <c r="D2542" s="37"/>
      <c r="E2542" s="37"/>
      <c r="F2542" s="37"/>
      <c r="G2542" s="37"/>
      <c r="H2542" s="37"/>
      <c r="I2542" s="37"/>
      <c r="J2542" s="37"/>
    </row>
    <row r="2543" spans="1:10" x14ac:dyDescent="0.3">
      <c r="A2543" s="130"/>
      <c r="B2543" s="37"/>
      <c r="C2543" s="37"/>
      <c r="D2543" s="37"/>
      <c r="E2543" s="37"/>
      <c r="F2543" s="37"/>
      <c r="G2543" s="37"/>
      <c r="H2543" s="37"/>
      <c r="I2543" s="37"/>
      <c r="J2543" s="37"/>
    </row>
    <row r="2544" spans="1:10" x14ac:dyDescent="0.3">
      <c r="A2544" s="130"/>
      <c r="B2544" s="37"/>
      <c r="C2544" s="37"/>
      <c r="D2544" s="37"/>
      <c r="E2544" s="37"/>
      <c r="F2544" s="37"/>
      <c r="G2544" s="37"/>
      <c r="H2544" s="37"/>
      <c r="I2544" s="37"/>
      <c r="J2544" s="37"/>
    </row>
    <row r="2545" spans="1:10" x14ac:dyDescent="0.3">
      <c r="A2545" s="130"/>
      <c r="B2545" s="37"/>
      <c r="C2545" s="37"/>
      <c r="D2545" s="37"/>
      <c r="E2545" s="37"/>
      <c r="F2545" s="37"/>
      <c r="G2545" s="37"/>
      <c r="H2545" s="37"/>
      <c r="I2545" s="37"/>
      <c r="J2545" s="37"/>
    </row>
    <row r="2546" spans="1:10" x14ac:dyDescent="0.3">
      <c r="A2546" s="130"/>
      <c r="B2546" s="37"/>
      <c r="C2546" s="37"/>
      <c r="D2546" s="37"/>
      <c r="E2546" s="37"/>
      <c r="F2546" s="37"/>
      <c r="G2546" s="37"/>
      <c r="H2546" s="37"/>
      <c r="I2546" s="37"/>
      <c r="J2546" s="37"/>
    </row>
    <row r="2547" spans="1:10" x14ac:dyDescent="0.3">
      <c r="A2547" s="130"/>
      <c r="B2547" s="37"/>
      <c r="C2547" s="37"/>
      <c r="D2547" s="37"/>
      <c r="E2547" s="37"/>
      <c r="F2547" s="37"/>
      <c r="G2547" s="37"/>
      <c r="H2547" s="37"/>
      <c r="I2547" s="37"/>
      <c r="J2547" s="37"/>
    </row>
    <row r="2548" spans="1:10" x14ac:dyDescent="0.3">
      <c r="A2548" s="130"/>
      <c r="B2548" s="37"/>
      <c r="C2548" s="37"/>
      <c r="D2548" s="37"/>
      <c r="E2548" s="37"/>
      <c r="F2548" s="37"/>
      <c r="G2548" s="37"/>
      <c r="H2548" s="37"/>
      <c r="I2548" s="37"/>
      <c r="J2548" s="37"/>
    </row>
    <row r="2549" spans="1:10" x14ac:dyDescent="0.3">
      <c r="A2549" s="130"/>
      <c r="B2549" s="37"/>
      <c r="C2549" s="37"/>
      <c r="D2549" s="37"/>
      <c r="E2549" s="37"/>
      <c r="F2549" s="37"/>
      <c r="G2549" s="37"/>
      <c r="H2549" s="37"/>
      <c r="I2549" s="37"/>
      <c r="J2549" s="37"/>
    </row>
    <row r="2550" spans="1:10" x14ac:dyDescent="0.3">
      <c r="A2550" s="130"/>
      <c r="B2550" s="37"/>
      <c r="C2550" s="37"/>
      <c r="D2550" s="37"/>
      <c r="E2550" s="37"/>
      <c r="F2550" s="37"/>
      <c r="G2550" s="37"/>
      <c r="H2550" s="37"/>
      <c r="I2550" s="37"/>
      <c r="J2550" s="37"/>
    </row>
    <row r="2551" spans="1:10" x14ac:dyDescent="0.3">
      <c r="A2551" s="130"/>
      <c r="B2551" s="37"/>
      <c r="C2551" s="37"/>
      <c r="D2551" s="37"/>
      <c r="E2551" s="37"/>
      <c r="F2551" s="37"/>
      <c r="G2551" s="37"/>
      <c r="H2551" s="37"/>
      <c r="I2551" s="37"/>
      <c r="J2551" s="37"/>
    </row>
    <row r="2552" spans="1:10" x14ac:dyDescent="0.3">
      <c r="A2552" s="130"/>
      <c r="B2552" s="37"/>
      <c r="C2552" s="37"/>
      <c r="D2552" s="37"/>
      <c r="E2552" s="37"/>
      <c r="F2552" s="37"/>
      <c r="G2552" s="37"/>
      <c r="H2552" s="37"/>
      <c r="I2552" s="37"/>
      <c r="J2552" s="37"/>
    </row>
    <row r="2553" spans="1:10" x14ac:dyDescent="0.3">
      <c r="A2553" s="130"/>
      <c r="B2553" s="37"/>
      <c r="C2553" s="37"/>
      <c r="D2553" s="37"/>
      <c r="E2553" s="37"/>
      <c r="F2553" s="37"/>
      <c r="G2553" s="37"/>
      <c r="H2553" s="37"/>
      <c r="I2553" s="37"/>
      <c r="J2553" s="37"/>
    </row>
    <row r="2554" spans="1:10" x14ac:dyDescent="0.3">
      <c r="A2554" s="130"/>
      <c r="B2554" s="37"/>
      <c r="C2554" s="37"/>
      <c r="D2554" s="37"/>
      <c r="E2554" s="37"/>
      <c r="F2554" s="37"/>
      <c r="G2554" s="37"/>
      <c r="H2554" s="37"/>
      <c r="I2554" s="37"/>
      <c r="J2554" s="37"/>
    </row>
    <row r="2555" spans="1:10" x14ac:dyDescent="0.3">
      <c r="A2555" s="130"/>
      <c r="B2555" s="37"/>
      <c r="C2555" s="37"/>
      <c r="D2555" s="37"/>
      <c r="E2555" s="37"/>
      <c r="F2555" s="37"/>
      <c r="G2555" s="37"/>
      <c r="H2555" s="37"/>
      <c r="I2555" s="37"/>
      <c r="J2555" s="37"/>
    </row>
    <row r="2556" spans="1:10" x14ac:dyDescent="0.3">
      <c r="A2556" s="130"/>
      <c r="B2556" s="37"/>
      <c r="C2556" s="37"/>
      <c r="D2556" s="37"/>
      <c r="E2556" s="37"/>
      <c r="F2556" s="37"/>
      <c r="G2556" s="37"/>
      <c r="H2556" s="37"/>
      <c r="I2556" s="37"/>
      <c r="J2556" s="37"/>
    </row>
    <row r="2557" spans="1:10" x14ac:dyDescent="0.3">
      <c r="A2557" s="130"/>
      <c r="B2557" s="37"/>
      <c r="C2557" s="37"/>
      <c r="D2557" s="37"/>
      <c r="E2557" s="37"/>
      <c r="F2557" s="37"/>
      <c r="G2557" s="37"/>
      <c r="H2557" s="37"/>
      <c r="I2557" s="37"/>
      <c r="J2557" s="37"/>
    </row>
    <row r="2558" spans="1:10" x14ac:dyDescent="0.3">
      <c r="A2558" s="130"/>
      <c r="B2558" s="37"/>
      <c r="C2558" s="37"/>
      <c r="D2558" s="37"/>
      <c r="E2558" s="37"/>
      <c r="F2558" s="37"/>
      <c r="G2558" s="37"/>
      <c r="H2558" s="37"/>
      <c r="I2558" s="37"/>
      <c r="J2558" s="37"/>
    </row>
    <row r="2559" spans="1:10" x14ac:dyDescent="0.3">
      <c r="A2559" s="130"/>
      <c r="B2559" s="37"/>
      <c r="C2559" s="37"/>
      <c r="D2559" s="37"/>
      <c r="E2559" s="37"/>
      <c r="F2559" s="37"/>
      <c r="G2559" s="37"/>
      <c r="H2559" s="37"/>
      <c r="I2559" s="37"/>
      <c r="J2559" s="37"/>
    </row>
    <row r="2560" spans="1:10" x14ac:dyDescent="0.3">
      <c r="A2560" s="130"/>
      <c r="B2560" s="37"/>
      <c r="C2560" s="37"/>
      <c r="D2560" s="37"/>
      <c r="E2560" s="37"/>
      <c r="F2560" s="37"/>
      <c r="G2560" s="37"/>
      <c r="H2560" s="37"/>
      <c r="I2560" s="37"/>
      <c r="J2560" s="37"/>
    </row>
    <row r="2561" spans="1:10" x14ac:dyDescent="0.3">
      <c r="A2561" s="130"/>
      <c r="B2561" s="37"/>
      <c r="C2561" s="37"/>
      <c r="D2561" s="37"/>
      <c r="E2561" s="37"/>
      <c r="F2561" s="37"/>
      <c r="G2561" s="37"/>
      <c r="H2561" s="37"/>
      <c r="I2561" s="37"/>
      <c r="J2561" s="37"/>
    </row>
    <row r="2562" spans="1:10" x14ac:dyDescent="0.3">
      <c r="A2562" s="130"/>
      <c r="B2562" s="37"/>
      <c r="C2562" s="37"/>
      <c r="D2562" s="37"/>
      <c r="E2562" s="37"/>
      <c r="F2562" s="37"/>
      <c r="G2562" s="37"/>
      <c r="H2562" s="37"/>
      <c r="I2562" s="37"/>
      <c r="J2562" s="37"/>
    </row>
    <row r="2563" spans="1:10" x14ac:dyDescent="0.3">
      <c r="A2563" s="130"/>
      <c r="B2563" s="37"/>
      <c r="C2563" s="37"/>
      <c r="D2563" s="37"/>
      <c r="E2563" s="37"/>
      <c r="F2563" s="37"/>
      <c r="G2563" s="37"/>
      <c r="H2563" s="37"/>
      <c r="I2563" s="37"/>
      <c r="J2563" s="37"/>
    </row>
    <row r="2564" spans="1:10" x14ac:dyDescent="0.3">
      <c r="A2564" s="130"/>
      <c r="B2564" s="37"/>
      <c r="C2564" s="37"/>
      <c r="D2564" s="37"/>
      <c r="E2564" s="37"/>
      <c r="F2564" s="37"/>
      <c r="G2564" s="37"/>
      <c r="H2564" s="37"/>
      <c r="I2564" s="37"/>
      <c r="J2564" s="37"/>
    </row>
    <row r="2565" spans="1:10" x14ac:dyDescent="0.3">
      <c r="A2565" s="130"/>
      <c r="B2565" s="37"/>
      <c r="C2565" s="37"/>
      <c r="D2565" s="37"/>
      <c r="E2565" s="37"/>
      <c r="F2565" s="37"/>
      <c r="G2565" s="37"/>
      <c r="H2565" s="37"/>
      <c r="I2565" s="37"/>
      <c r="J2565" s="37"/>
    </row>
    <row r="2566" spans="1:10" x14ac:dyDescent="0.3">
      <c r="A2566" s="130"/>
      <c r="B2566" s="37"/>
      <c r="C2566" s="37"/>
      <c r="D2566" s="37"/>
      <c r="E2566" s="37"/>
      <c r="F2566" s="37"/>
      <c r="G2566" s="37"/>
      <c r="H2566" s="37"/>
      <c r="I2566" s="37"/>
      <c r="J2566" s="37"/>
    </row>
    <row r="2567" spans="1:10" x14ac:dyDescent="0.3">
      <c r="A2567" s="130"/>
      <c r="B2567" s="37"/>
      <c r="C2567" s="37"/>
      <c r="D2567" s="37"/>
      <c r="E2567" s="37"/>
      <c r="F2567" s="37"/>
      <c r="G2567" s="37"/>
      <c r="H2567" s="37"/>
      <c r="I2567" s="37"/>
      <c r="J2567" s="37"/>
    </row>
    <row r="2568" spans="1:10" x14ac:dyDescent="0.3">
      <c r="A2568" s="130"/>
      <c r="B2568" s="37"/>
      <c r="C2568" s="37"/>
      <c r="D2568" s="37"/>
      <c r="E2568" s="37"/>
      <c r="F2568" s="37"/>
      <c r="G2568" s="37"/>
      <c r="H2568" s="37"/>
      <c r="I2568" s="37"/>
      <c r="J2568" s="37"/>
    </row>
    <row r="2569" spans="1:10" x14ac:dyDescent="0.3">
      <c r="A2569" s="130"/>
      <c r="B2569" s="37"/>
      <c r="C2569" s="37"/>
      <c r="D2569" s="37"/>
      <c r="E2569" s="37"/>
      <c r="F2569" s="37"/>
      <c r="G2569" s="37"/>
      <c r="H2569" s="37"/>
      <c r="I2569" s="37"/>
      <c r="J2569" s="37"/>
    </row>
    <row r="2570" spans="1:10" x14ac:dyDescent="0.3">
      <c r="A2570" s="130"/>
      <c r="B2570" s="37"/>
      <c r="C2570" s="37"/>
      <c r="D2570" s="37"/>
      <c r="E2570" s="37"/>
      <c r="F2570" s="37"/>
      <c r="G2570" s="37"/>
      <c r="H2570" s="37"/>
      <c r="I2570" s="37"/>
      <c r="J2570" s="37"/>
    </row>
    <row r="2571" spans="1:10" x14ac:dyDescent="0.3">
      <c r="A2571" s="130"/>
      <c r="B2571" s="37"/>
      <c r="C2571" s="37"/>
      <c r="D2571" s="37"/>
      <c r="E2571" s="37"/>
      <c r="F2571" s="37"/>
      <c r="G2571" s="37"/>
      <c r="H2571" s="37"/>
      <c r="I2571" s="37"/>
      <c r="J2571" s="37"/>
    </row>
    <row r="2572" spans="1:10" x14ac:dyDescent="0.3">
      <c r="A2572" s="130"/>
      <c r="B2572" s="37"/>
      <c r="C2572" s="37"/>
      <c r="D2572" s="37"/>
      <c r="E2572" s="37"/>
      <c r="F2572" s="37"/>
      <c r="G2572" s="37"/>
      <c r="H2572" s="37"/>
      <c r="I2572" s="37"/>
      <c r="J2572" s="37"/>
    </row>
    <row r="2573" spans="1:10" x14ac:dyDescent="0.3">
      <c r="A2573" s="130"/>
      <c r="B2573" s="37"/>
      <c r="C2573" s="37"/>
      <c r="D2573" s="37"/>
      <c r="E2573" s="37"/>
      <c r="F2573" s="37"/>
      <c r="G2573" s="37"/>
      <c r="H2573" s="37"/>
      <c r="I2573" s="37"/>
      <c r="J2573" s="37"/>
    </row>
    <row r="2574" spans="1:10" x14ac:dyDescent="0.3">
      <c r="A2574" s="130"/>
      <c r="B2574" s="37"/>
      <c r="C2574" s="37"/>
      <c r="D2574" s="37"/>
      <c r="E2574" s="37"/>
      <c r="F2574" s="37"/>
      <c r="G2574" s="37"/>
      <c r="H2574" s="37"/>
      <c r="I2574" s="37"/>
      <c r="J2574" s="37"/>
    </row>
    <row r="2575" spans="1:10" x14ac:dyDescent="0.3">
      <c r="A2575" s="130"/>
      <c r="B2575" s="37"/>
      <c r="C2575" s="37"/>
      <c r="D2575" s="37"/>
      <c r="E2575" s="37"/>
      <c r="F2575" s="37"/>
      <c r="G2575" s="37"/>
      <c r="H2575" s="37"/>
      <c r="I2575" s="37"/>
      <c r="J2575" s="37"/>
    </row>
    <row r="2576" spans="1:10" x14ac:dyDescent="0.3">
      <c r="A2576" s="130"/>
      <c r="B2576" s="37"/>
      <c r="C2576" s="37"/>
      <c r="D2576" s="37"/>
      <c r="E2576" s="37"/>
      <c r="F2576" s="37"/>
      <c r="G2576" s="37"/>
      <c r="H2576" s="37"/>
      <c r="I2576" s="37"/>
      <c r="J2576" s="37"/>
    </row>
    <row r="2577" spans="1:10" x14ac:dyDescent="0.3">
      <c r="A2577" s="130"/>
      <c r="B2577" s="37"/>
      <c r="C2577" s="37"/>
      <c r="D2577" s="37"/>
      <c r="E2577" s="37"/>
      <c r="F2577" s="37"/>
      <c r="G2577" s="37"/>
      <c r="H2577" s="37"/>
      <c r="I2577" s="37"/>
      <c r="J2577" s="37"/>
    </row>
    <row r="2578" spans="1:10" x14ac:dyDescent="0.3">
      <c r="A2578" s="130"/>
      <c r="B2578" s="37"/>
      <c r="C2578" s="37"/>
      <c r="D2578" s="37"/>
      <c r="E2578" s="37"/>
      <c r="F2578" s="37"/>
      <c r="G2578" s="37"/>
      <c r="H2578" s="37"/>
      <c r="I2578" s="37"/>
      <c r="J2578" s="37"/>
    </row>
    <row r="2579" spans="1:10" x14ac:dyDescent="0.3">
      <c r="A2579" s="130"/>
      <c r="B2579" s="37"/>
      <c r="C2579" s="37"/>
      <c r="D2579" s="37"/>
      <c r="E2579" s="37"/>
      <c r="F2579" s="37"/>
      <c r="G2579" s="37"/>
      <c r="H2579" s="37"/>
      <c r="I2579" s="37"/>
      <c r="J2579" s="37"/>
    </row>
    <row r="2580" spans="1:10" x14ac:dyDescent="0.3">
      <c r="A2580" s="130"/>
      <c r="B2580" s="37"/>
      <c r="C2580" s="37"/>
      <c r="D2580" s="37"/>
      <c r="E2580" s="37"/>
      <c r="F2580" s="37"/>
      <c r="G2580" s="37"/>
      <c r="H2580" s="37"/>
      <c r="I2580" s="37"/>
      <c r="J2580" s="37"/>
    </row>
    <row r="2581" spans="1:10" x14ac:dyDescent="0.3">
      <c r="A2581" s="130"/>
      <c r="B2581" s="37"/>
      <c r="C2581" s="37"/>
      <c r="D2581" s="37"/>
      <c r="E2581" s="37"/>
      <c r="F2581" s="37"/>
      <c r="G2581" s="37"/>
      <c r="H2581" s="37"/>
      <c r="I2581" s="37"/>
      <c r="J2581" s="37"/>
    </row>
    <row r="2582" spans="1:10" x14ac:dyDescent="0.3">
      <c r="A2582" s="130"/>
      <c r="B2582" s="37"/>
      <c r="C2582" s="37"/>
      <c r="D2582" s="37"/>
      <c r="E2582" s="37"/>
      <c r="F2582" s="37"/>
      <c r="G2582" s="37"/>
      <c r="H2582" s="37"/>
      <c r="I2582" s="37"/>
      <c r="J2582" s="37"/>
    </row>
    <row r="2583" spans="1:10" x14ac:dyDescent="0.3">
      <c r="A2583" s="130"/>
      <c r="B2583" s="37"/>
      <c r="C2583" s="37"/>
      <c r="D2583" s="37"/>
      <c r="E2583" s="37"/>
      <c r="F2583" s="37"/>
      <c r="G2583" s="37"/>
      <c r="H2583" s="37"/>
      <c r="I2583" s="37"/>
      <c r="J2583" s="37"/>
    </row>
    <row r="2584" spans="1:10" x14ac:dyDescent="0.3">
      <c r="A2584" s="130"/>
      <c r="B2584" s="37"/>
      <c r="C2584" s="37"/>
      <c r="D2584" s="37"/>
      <c r="E2584" s="37"/>
      <c r="F2584" s="37"/>
      <c r="G2584" s="37"/>
      <c r="H2584" s="37"/>
      <c r="I2584" s="37"/>
      <c r="J2584" s="37"/>
    </row>
    <row r="2585" spans="1:10" x14ac:dyDescent="0.3">
      <c r="A2585" s="130"/>
      <c r="B2585" s="37"/>
      <c r="C2585" s="37"/>
      <c r="D2585" s="37"/>
      <c r="E2585" s="37"/>
      <c r="F2585" s="37"/>
      <c r="G2585" s="37"/>
      <c r="H2585" s="37"/>
      <c r="I2585" s="37"/>
      <c r="J2585" s="37"/>
    </row>
    <row r="2586" spans="1:10" x14ac:dyDescent="0.3">
      <c r="A2586" s="130"/>
      <c r="B2586" s="37"/>
      <c r="C2586" s="37"/>
      <c r="D2586" s="37"/>
      <c r="E2586" s="37"/>
      <c r="F2586" s="37"/>
      <c r="G2586" s="37"/>
      <c r="H2586" s="37"/>
      <c r="I2586" s="37"/>
      <c r="J2586" s="37"/>
    </row>
    <row r="2587" spans="1:10" x14ac:dyDescent="0.3">
      <c r="A2587" s="130"/>
      <c r="B2587" s="37"/>
      <c r="C2587" s="37"/>
      <c r="D2587" s="37"/>
      <c r="E2587" s="37"/>
      <c r="F2587" s="37"/>
      <c r="G2587" s="37"/>
      <c r="H2587" s="37"/>
      <c r="I2587" s="37"/>
      <c r="J2587" s="37"/>
    </row>
    <row r="2588" spans="1:10" x14ac:dyDescent="0.3">
      <c r="A2588" s="130"/>
      <c r="B2588" s="37"/>
      <c r="C2588" s="37"/>
      <c r="D2588" s="37"/>
      <c r="E2588" s="37"/>
      <c r="F2588" s="37"/>
      <c r="G2588" s="37"/>
      <c r="H2588" s="37"/>
      <c r="I2588" s="37"/>
      <c r="J2588" s="37"/>
    </row>
    <row r="2589" spans="1:10" x14ac:dyDescent="0.3">
      <c r="A2589" s="130"/>
      <c r="B2589" s="37"/>
      <c r="C2589" s="37"/>
      <c r="D2589" s="37"/>
      <c r="E2589" s="37"/>
      <c r="F2589" s="37"/>
      <c r="G2589" s="37"/>
      <c r="H2589" s="37"/>
      <c r="I2589" s="37"/>
      <c r="J2589" s="37"/>
    </row>
    <row r="2590" spans="1:10" x14ac:dyDescent="0.3">
      <c r="A2590" s="130"/>
      <c r="B2590" s="37"/>
      <c r="C2590" s="37"/>
      <c r="D2590" s="37"/>
      <c r="E2590" s="37"/>
      <c r="F2590" s="37"/>
      <c r="G2590" s="37"/>
      <c r="H2590" s="37"/>
      <c r="I2590" s="37"/>
      <c r="J2590" s="37"/>
    </row>
    <row r="2591" spans="1:10" x14ac:dyDescent="0.3">
      <c r="A2591" s="130"/>
      <c r="B2591" s="37"/>
      <c r="C2591" s="37"/>
      <c r="D2591" s="37"/>
      <c r="E2591" s="37"/>
      <c r="F2591" s="37"/>
      <c r="G2591" s="37"/>
      <c r="H2591" s="37"/>
      <c r="I2591" s="37"/>
      <c r="J2591" s="37"/>
    </row>
    <row r="2592" spans="1:10" x14ac:dyDescent="0.3">
      <c r="A2592" s="130"/>
      <c r="B2592" s="37"/>
      <c r="C2592" s="37"/>
      <c r="D2592" s="37"/>
      <c r="E2592" s="37"/>
      <c r="F2592" s="37"/>
      <c r="G2592" s="37"/>
      <c r="H2592" s="37"/>
      <c r="I2592" s="37"/>
      <c r="J2592" s="37"/>
    </row>
    <row r="2593" spans="1:10" x14ac:dyDescent="0.3">
      <c r="A2593" s="130"/>
      <c r="B2593" s="37"/>
      <c r="C2593" s="37"/>
      <c r="D2593" s="37"/>
      <c r="E2593" s="37"/>
      <c r="F2593" s="37"/>
      <c r="G2593" s="37"/>
      <c r="H2593" s="37"/>
      <c r="I2593" s="37"/>
      <c r="J2593" s="37"/>
    </row>
    <row r="2594" spans="1:10" x14ac:dyDescent="0.3">
      <c r="A2594" s="130"/>
      <c r="B2594" s="37"/>
      <c r="C2594" s="37"/>
      <c r="D2594" s="37"/>
      <c r="E2594" s="37"/>
      <c r="F2594" s="37"/>
      <c r="G2594" s="37"/>
      <c r="H2594" s="37"/>
      <c r="I2594" s="37"/>
      <c r="J2594" s="37"/>
    </row>
    <row r="2595" spans="1:10" x14ac:dyDescent="0.3">
      <c r="A2595" s="130"/>
      <c r="B2595" s="37"/>
      <c r="C2595" s="37"/>
      <c r="D2595" s="37"/>
      <c r="E2595" s="37"/>
      <c r="F2595" s="37"/>
      <c r="G2595" s="37"/>
      <c r="H2595" s="37"/>
      <c r="I2595" s="37"/>
      <c r="J2595" s="37"/>
    </row>
    <row r="2596" spans="1:10" x14ac:dyDescent="0.3">
      <c r="A2596" s="130"/>
      <c r="B2596" s="37"/>
      <c r="C2596" s="37"/>
      <c r="D2596" s="37"/>
      <c r="E2596" s="37"/>
      <c r="F2596" s="37"/>
      <c r="G2596" s="37"/>
      <c r="H2596" s="37"/>
      <c r="I2596" s="37"/>
      <c r="J2596" s="37"/>
    </row>
    <row r="2597" spans="1:10" x14ac:dyDescent="0.3">
      <c r="A2597" s="130"/>
      <c r="B2597" s="37"/>
      <c r="C2597" s="37"/>
      <c r="D2597" s="37"/>
      <c r="E2597" s="37"/>
      <c r="F2597" s="37"/>
      <c r="G2597" s="37"/>
      <c r="H2597" s="37"/>
      <c r="I2597" s="37"/>
      <c r="J2597" s="37"/>
    </row>
    <row r="2598" spans="1:10" x14ac:dyDescent="0.3">
      <c r="A2598" s="130"/>
      <c r="B2598" s="37"/>
      <c r="C2598" s="37"/>
      <c r="D2598" s="37"/>
      <c r="E2598" s="37"/>
      <c r="F2598" s="37"/>
      <c r="G2598" s="37"/>
      <c r="H2598" s="37"/>
      <c r="I2598" s="37"/>
      <c r="J2598" s="37"/>
    </row>
    <row r="2599" spans="1:10" x14ac:dyDescent="0.3">
      <c r="A2599" s="130"/>
      <c r="B2599" s="37"/>
      <c r="C2599" s="37"/>
      <c r="D2599" s="37"/>
      <c r="E2599" s="37"/>
      <c r="F2599" s="37"/>
      <c r="G2599" s="37"/>
      <c r="H2599" s="37"/>
      <c r="I2599" s="37"/>
      <c r="J2599" s="37"/>
    </row>
    <row r="2600" spans="1:10" x14ac:dyDescent="0.3">
      <c r="A2600" s="130"/>
      <c r="B2600" s="37"/>
      <c r="C2600" s="37"/>
      <c r="D2600" s="37"/>
      <c r="E2600" s="37"/>
      <c r="F2600" s="37"/>
      <c r="G2600" s="37"/>
      <c r="H2600" s="37"/>
      <c r="I2600" s="37"/>
      <c r="J2600" s="37"/>
    </row>
    <row r="2601" spans="1:10" x14ac:dyDescent="0.3">
      <c r="A2601" s="130"/>
      <c r="B2601" s="37"/>
      <c r="C2601" s="37"/>
      <c r="D2601" s="37"/>
      <c r="E2601" s="37"/>
      <c r="F2601" s="37"/>
      <c r="G2601" s="37"/>
      <c r="H2601" s="37"/>
      <c r="I2601" s="37"/>
      <c r="J2601" s="37"/>
    </row>
    <row r="2602" spans="1:10" x14ac:dyDescent="0.3">
      <c r="A2602" s="130"/>
      <c r="B2602" s="37"/>
      <c r="C2602" s="37"/>
      <c r="D2602" s="37"/>
      <c r="E2602" s="37"/>
      <c r="F2602" s="37"/>
      <c r="G2602" s="37"/>
      <c r="H2602" s="37"/>
      <c r="I2602" s="37"/>
      <c r="J2602" s="37"/>
    </row>
    <row r="2603" spans="1:10" x14ac:dyDescent="0.3">
      <c r="A2603" s="130"/>
      <c r="B2603" s="37"/>
      <c r="C2603" s="37"/>
      <c r="D2603" s="37"/>
      <c r="E2603" s="37"/>
      <c r="F2603" s="37"/>
      <c r="G2603" s="37"/>
      <c r="H2603" s="37"/>
      <c r="I2603" s="37"/>
      <c r="J2603" s="37"/>
    </row>
    <row r="2604" spans="1:10" x14ac:dyDescent="0.3">
      <c r="A2604" s="130"/>
      <c r="B2604" s="37"/>
      <c r="C2604" s="37"/>
      <c r="D2604" s="37"/>
      <c r="E2604" s="37"/>
      <c r="F2604" s="37"/>
      <c r="G2604" s="37"/>
      <c r="H2604" s="37"/>
      <c r="I2604" s="37"/>
      <c r="J2604" s="37"/>
    </row>
    <row r="2605" spans="1:10" x14ac:dyDescent="0.3">
      <c r="A2605" s="130"/>
      <c r="B2605" s="37"/>
      <c r="C2605" s="37"/>
      <c r="D2605" s="37"/>
      <c r="E2605" s="37"/>
      <c r="F2605" s="37"/>
      <c r="G2605" s="37"/>
      <c r="H2605" s="37"/>
      <c r="I2605" s="37"/>
      <c r="J2605" s="37"/>
    </row>
    <row r="2606" spans="1:10" x14ac:dyDescent="0.3">
      <c r="A2606" s="130"/>
      <c r="B2606" s="37"/>
      <c r="C2606" s="37"/>
      <c r="D2606" s="37"/>
      <c r="E2606" s="37"/>
      <c r="F2606" s="37"/>
      <c r="G2606" s="37"/>
      <c r="H2606" s="37"/>
      <c r="I2606" s="37"/>
      <c r="J2606" s="37"/>
    </row>
    <row r="2607" spans="1:10" x14ac:dyDescent="0.3">
      <c r="A2607" s="130"/>
      <c r="B2607" s="37"/>
      <c r="C2607" s="37"/>
      <c r="D2607" s="37"/>
      <c r="E2607" s="37"/>
      <c r="F2607" s="37"/>
      <c r="G2607" s="37"/>
      <c r="H2607" s="37"/>
      <c r="I2607" s="37"/>
      <c r="J2607" s="37"/>
    </row>
    <row r="2608" spans="1:10" x14ac:dyDescent="0.3">
      <c r="A2608" s="130"/>
      <c r="B2608" s="37"/>
      <c r="C2608" s="37"/>
      <c r="D2608" s="37"/>
      <c r="E2608" s="37"/>
      <c r="F2608" s="37"/>
      <c r="G2608" s="37"/>
      <c r="H2608" s="37"/>
      <c r="I2608" s="37"/>
      <c r="J2608" s="37"/>
    </row>
    <row r="2609" spans="1:10" x14ac:dyDescent="0.3">
      <c r="A2609" s="130"/>
      <c r="B2609" s="37"/>
      <c r="C2609" s="37"/>
      <c r="D2609" s="37"/>
      <c r="E2609" s="37"/>
      <c r="F2609" s="37"/>
      <c r="G2609" s="37"/>
      <c r="H2609" s="37"/>
      <c r="I2609" s="37"/>
      <c r="J2609" s="37"/>
    </row>
    <row r="2610" spans="1:10" x14ac:dyDescent="0.3">
      <c r="A2610" s="130"/>
      <c r="B2610" s="37"/>
      <c r="C2610" s="37"/>
      <c r="D2610" s="37"/>
      <c r="E2610" s="37"/>
      <c r="F2610" s="37"/>
      <c r="G2610" s="37"/>
      <c r="H2610" s="37"/>
      <c r="I2610" s="37"/>
      <c r="J2610" s="37"/>
    </row>
    <row r="2611" spans="1:10" x14ac:dyDescent="0.3">
      <c r="A2611" s="130"/>
      <c r="B2611" s="37"/>
      <c r="C2611" s="37"/>
      <c r="D2611" s="37"/>
      <c r="E2611" s="37"/>
      <c r="F2611" s="37"/>
      <c r="G2611" s="37"/>
      <c r="H2611" s="37"/>
      <c r="I2611" s="37"/>
      <c r="J2611" s="37"/>
    </row>
    <row r="2612" spans="1:10" x14ac:dyDescent="0.3">
      <c r="A2612" s="130"/>
      <c r="B2612" s="37"/>
      <c r="C2612" s="37"/>
      <c r="D2612" s="37"/>
      <c r="E2612" s="37"/>
      <c r="F2612" s="37"/>
      <c r="G2612" s="37"/>
      <c r="H2612" s="37"/>
      <c r="I2612" s="37"/>
      <c r="J2612" s="37"/>
    </row>
    <row r="2613" spans="1:10" x14ac:dyDescent="0.3">
      <c r="A2613" s="130"/>
      <c r="B2613" s="37"/>
      <c r="C2613" s="37"/>
      <c r="D2613" s="37"/>
      <c r="E2613" s="37"/>
      <c r="F2613" s="37"/>
      <c r="G2613" s="37"/>
      <c r="H2613" s="37"/>
      <c r="I2613" s="37"/>
      <c r="J2613" s="37"/>
    </row>
    <row r="2614" spans="1:10" x14ac:dyDescent="0.3">
      <c r="A2614" s="130"/>
      <c r="B2614" s="37"/>
      <c r="C2614" s="37"/>
      <c r="D2614" s="37"/>
      <c r="E2614" s="37"/>
      <c r="F2614" s="37"/>
      <c r="G2614" s="37"/>
      <c r="H2614" s="37"/>
      <c r="I2614" s="37"/>
      <c r="J2614" s="37"/>
    </row>
    <row r="2615" spans="1:10" x14ac:dyDescent="0.3">
      <c r="A2615" s="130"/>
      <c r="B2615" s="37"/>
      <c r="C2615" s="37"/>
      <c r="D2615" s="37"/>
      <c r="E2615" s="37"/>
      <c r="F2615" s="37"/>
      <c r="G2615" s="37"/>
      <c r="H2615" s="37"/>
      <c r="I2615" s="37"/>
      <c r="J2615" s="37"/>
    </row>
    <row r="2616" spans="1:10" x14ac:dyDescent="0.3">
      <c r="A2616" s="130"/>
      <c r="B2616" s="37"/>
      <c r="C2616" s="37"/>
      <c r="D2616" s="37"/>
      <c r="E2616" s="37"/>
      <c r="F2616" s="37"/>
      <c r="G2616" s="37"/>
      <c r="H2616" s="37"/>
      <c r="I2616" s="37"/>
      <c r="J2616" s="37"/>
    </row>
    <row r="2617" spans="1:10" x14ac:dyDescent="0.3">
      <c r="A2617" s="130"/>
      <c r="B2617" s="37"/>
      <c r="C2617" s="37"/>
      <c r="D2617" s="37"/>
      <c r="E2617" s="37"/>
      <c r="F2617" s="37"/>
      <c r="G2617" s="37"/>
      <c r="H2617" s="37"/>
      <c r="I2617" s="37"/>
      <c r="J2617" s="37"/>
    </row>
    <row r="2618" spans="1:10" x14ac:dyDescent="0.3">
      <c r="A2618" s="130"/>
      <c r="B2618" s="37"/>
      <c r="C2618" s="37"/>
      <c r="D2618" s="37"/>
      <c r="E2618" s="37"/>
      <c r="F2618" s="37"/>
      <c r="G2618" s="37"/>
      <c r="H2618" s="37"/>
      <c r="I2618" s="37"/>
      <c r="J2618" s="37"/>
    </row>
    <row r="2619" spans="1:10" x14ac:dyDescent="0.3">
      <c r="A2619" s="130"/>
      <c r="B2619" s="37"/>
      <c r="C2619" s="37"/>
      <c r="D2619" s="37"/>
      <c r="E2619" s="37"/>
      <c r="F2619" s="37"/>
      <c r="G2619" s="37"/>
      <c r="H2619" s="37"/>
      <c r="I2619" s="37"/>
      <c r="J2619" s="37"/>
    </row>
    <row r="2620" spans="1:10" x14ac:dyDescent="0.3">
      <c r="A2620" s="130"/>
      <c r="B2620" s="37"/>
      <c r="C2620" s="37"/>
      <c r="D2620" s="37"/>
      <c r="E2620" s="37"/>
      <c r="F2620" s="37"/>
      <c r="G2620" s="37"/>
      <c r="H2620" s="37"/>
      <c r="I2620" s="37"/>
      <c r="J2620" s="37"/>
    </row>
    <row r="2621" spans="1:10" x14ac:dyDescent="0.3">
      <c r="A2621" s="130"/>
      <c r="B2621" s="37"/>
      <c r="C2621" s="37"/>
      <c r="D2621" s="37"/>
      <c r="E2621" s="37"/>
      <c r="F2621" s="37"/>
      <c r="G2621" s="37"/>
      <c r="H2621" s="37"/>
      <c r="I2621" s="37"/>
      <c r="J2621" s="37"/>
    </row>
    <row r="2622" spans="1:10" x14ac:dyDescent="0.3">
      <c r="A2622" s="130"/>
      <c r="B2622" s="37"/>
      <c r="C2622" s="37"/>
      <c r="D2622" s="37"/>
      <c r="E2622" s="37"/>
      <c r="F2622" s="37"/>
      <c r="G2622" s="37"/>
      <c r="H2622" s="37"/>
      <c r="I2622" s="37"/>
      <c r="J2622" s="37"/>
    </row>
    <row r="2623" spans="1:10" x14ac:dyDescent="0.3">
      <c r="A2623" s="130"/>
      <c r="B2623" s="37"/>
      <c r="C2623" s="37"/>
      <c r="D2623" s="37"/>
      <c r="E2623" s="37"/>
      <c r="F2623" s="37"/>
      <c r="G2623" s="37"/>
      <c r="H2623" s="37"/>
      <c r="I2623" s="37"/>
      <c r="J2623" s="37"/>
    </row>
    <row r="2624" spans="1:10" x14ac:dyDescent="0.3">
      <c r="A2624" s="130"/>
      <c r="B2624" s="37"/>
      <c r="C2624" s="37"/>
      <c r="D2624" s="37"/>
      <c r="E2624" s="37"/>
      <c r="F2624" s="37"/>
      <c r="G2624" s="37"/>
      <c r="H2624" s="37"/>
      <c r="I2624" s="37"/>
      <c r="J2624" s="37"/>
    </row>
    <row r="2625" spans="1:10" x14ac:dyDescent="0.3">
      <c r="A2625" s="130"/>
      <c r="B2625" s="37"/>
      <c r="C2625" s="37"/>
      <c r="D2625" s="37"/>
      <c r="E2625" s="37"/>
      <c r="F2625" s="37"/>
      <c r="G2625" s="37"/>
      <c r="H2625" s="37"/>
      <c r="I2625" s="37"/>
      <c r="J2625" s="37"/>
    </row>
    <row r="2626" spans="1:10" x14ac:dyDescent="0.3">
      <c r="A2626" s="130"/>
      <c r="B2626" s="37"/>
      <c r="C2626" s="37"/>
      <c r="D2626" s="37"/>
      <c r="E2626" s="37"/>
      <c r="F2626" s="37"/>
      <c r="G2626" s="37"/>
      <c r="H2626" s="37"/>
      <c r="I2626" s="37"/>
      <c r="J2626" s="37"/>
    </row>
    <row r="2627" spans="1:10" x14ac:dyDescent="0.3">
      <c r="A2627" s="130"/>
      <c r="B2627" s="37"/>
      <c r="C2627" s="37"/>
      <c r="D2627" s="37"/>
      <c r="E2627" s="37"/>
      <c r="F2627" s="37"/>
      <c r="G2627" s="37"/>
      <c r="H2627" s="37"/>
      <c r="I2627" s="37"/>
      <c r="J2627" s="37"/>
    </row>
    <row r="2628" spans="1:10" x14ac:dyDescent="0.3">
      <c r="A2628" s="130"/>
      <c r="B2628" s="37"/>
      <c r="C2628" s="37"/>
      <c r="D2628" s="37"/>
      <c r="E2628" s="37"/>
      <c r="F2628" s="37"/>
      <c r="G2628" s="37"/>
      <c r="H2628" s="37"/>
      <c r="I2628" s="37"/>
      <c r="J2628" s="37"/>
    </row>
    <row r="2629" spans="1:10" x14ac:dyDescent="0.3">
      <c r="A2629" s="130"/>
      <c r="B2629" s="37"/>
      <c r="C2629" s="37"/>
      <c r="D2629" s="37"/>
      <c r="E2629" s="37"/>
      <c r="F2629" s="37"/>
      <c r="G2629" s="37"/>
      <c r="H2629" s="37"/>
      <c r="I2629" s="37"/>
      <c r="J2629" s="37"/>
    </row>
    <row r="2630" spans="1:10" x14ac:dyDescent="0.3">
      <c r="A2630" s="130"/>
      <c r="B2630" s="37"/>
      <c r="C2630" s="37"/>
      <c r="D2630" s="37"/>
      <c r="E2630" s="37"/>
      <c r="F2630" s="37"/>
      <c r="G2630" s="37"/>
      <c r="H2630" s="37"/>
      <c r="I2630" s="37"/>
      <c r="J2630" s="37"/>
    </row>
    <row r="2631" spans="1:10" x14ac:dyDescent="0.3">
      <c r="A2631" s="130"/>
      <c r="B2631" s="37"/>
      <c r="C2631" s="37"/>
      <c r="D2631" s="37"/>
      <c r="E2631" s="37"/>
      <c r="F2631" s="37"/>
      <c r="G2631" s="37"/>
      <c r="H2631" s="37"/>
      <c r="I2631" s="37"/>
      <c r="J2631" s="37"/>
    </row>
    <row r="2632" spans="1:10" x14ac:dyDescent="0.3">
      <c r="A2632" s="130"/>
      <c r="B2632" s="37"/>
      <c r="C2632" s="37"/>
      <c r="D2632" s="37"/>
      <c r="E2632" s="37"/>
      <c r="F2632" s="37"/>
      <c r="G2632" s="37"/>
      <c r="H2632" s="37"/>
      <c r="I2632" s="37"/>
      <c r="J2632" s="37"/>
    </row>
    <row r="2633" spans="1:10" x14ac:dyDescent="0.3">
      <c r="A2633" s="130"/>
      <c r="B2633" s="37"/>
      <c r="C2633" s="37"/>
      <c r="D2633" s="37"/>
      <c r="E2633" s="37"/>
      <c r="F2633" s="37"/>
      <c r="G2633" s="37"/>
      <c r="H2633" s="37"/>
      <c r="I2633" s="37"/>
      <c r="J2633" s="37"/>
    </row>
    <row r="2634" spans="1:10" x14ac:dyDescent="0.3">
      <c r="A2634" s="130"/>
      <c r="B2634" s="37"/>
      <c r="C2634" s="37"/>
      <c r="D2634" s="37"/>
      <c r="E2634" s="37"/>
      <c r="F2634" s="37"/>
      <c r="G2634" s="37"/>
      <c r="H2634" s="37"/>
      <c r="I2634" s="37"/>
      <c r="J2634" s="37"/>
    </row>
    <row r="2635" spans="1:10" x14ac:dyDescent="0.3">
      <c r="A2635" s="130"/>
      <c r="B2635" s="37"/>
      <c r="C2635" s="37"/>
      <c r="D2635" s="37"/>
      <c r="E2635" s="37"/>
      <c r="F2635" s="37"/>
      <c r="G2635" s="37"/>
      <c r="H2635" s="37"/>
      <c r="I2635" s="37"/>
      <c r="J2635" s="37"/>
    </row>
    <row r="2636" spans="1:10" x14ac:dyDescent="0.3">
      <c r="A2636" s="130"/>
      <c r="B2636" s="37"/>
      <c r="C2636" s="37"/>
      <c r="D2636" s="37"/>
      <c r="E2636" s="37"/>
      <c r="F2636" s="37"/>
      <c r="G2636" s="37"/>
      <c r="H2636" s="37"/>
      <c r="I2636" s="37"/>
      <c r="J2636" s="37"/>
    </row>
    <row r="2637" spans="1:10" x14ac:dyDescent="0.3">
      <c r="A2637" s="130"/>
      <c r="B2637" s="37"/>
      <c r="C2637" s="37"/>
      <c r="D2637" s="37"/>
      <c r="E2637" s="37"/>
      <c r="F2637" s="37"/>
      <c r="G2637" s="37"/>
      <c r="H2637" s="37"/>
      <c r="I2637" s="37"/>
      <c r="J2637" s="37"/>
    </row>
    <row r="2638" spans="1:10" x14ac:dyDescent="0.3">
      <c r="A2638" s="130"/>
      <c r="B2638" s="37"/>
      <c r="C2638" s="37"/>
      <c r="D2638" s="37"/>
      <c r="E2638" s="37"/>
      <c r="F2638" s="37"/>
      <c r="G2638" s="37"/>
      <c r="H2638" s="37"/>
      <c r="I2638" s="37"/>
      <c r="J2638" s="37"/>
    </row>
    <row r="2639" spans="1:10" x14ac:dyDescent="0.3">
      <c r="A2639" s="130"/>
      <c r="B2639" s="37"/>
      <c r="C2639" s="37"/>
      <c r="D2639" s="37"/>
      <c r="E2639" s="37"/>
      <c r="F2639" s="37"/>
      <c r="G2639" s="37"/>
      <c r="H2639" s="37"/>
      <c r="I2639" s="37"/>
      <c r="J2639" s="37"/>
    </row>
    <row r="2640" spans="1:10" x14ac:dyDescent="0.3">
      <c r="A2640" s="130"/>
      <c r="B2640" s="37"/>
      <c r="C2640" s="37"/>
      <c r="D2640" s="37"/>
      <c r="E2640" s="37"/>
      <c r="F2640" s="37"/>
      <c r="G2640" s="37"/>
      <c r="H2640" s="37"/>
      <c r="I2640" s="37"/>
      <c r="J2640" s="37"/>
    </row>
    <row r="2641" spans="1:10" x14ac:dyDescent="0.3">
      <c r="A2641" s="130"/>
      <c r="B2641" s="37"/>
      <c r="C2641" s="37"/>
      <c r="D2641" s="37"/>
      <c r="E2641" s="37"/>
      <c r="F2641" s="37"/>
      <c r="G2641" s="37"/>
      <c r="H2641" s="37"/>
      <c r="I2641" s="37"/>
      <c r="J2641" s="37"/>
    </row>
    <row r="2642" spans="1:10" x14ac:dyDescent="0.3">
      <c r="A2642" s="130"/>
      <c r="B2642" s="37"/>
      <c r="C2642" s="37"/>
      <c r="D2642" s="37"/>
      <c r="E2642" s="37"/>
      <c r="F2642" s="37"/>
      <c r="G2642" s="37"/>
      <c r="H2642" s="37"/>
      <c r="I2642" s="37"/>
      <c r="J2642" s="37"/>
    </row>
    <row r="2643" spans="1:10" x14ac:dyDescent="0.3">
      <c r="A2643" s="130"/>
      <c r="B2643" s="37"/>
      <c r="C2643" s="37"/>
      <c r="D2643" s="37"/>
      <c r="E2643" s="37"/>
      <c r="F2643" s="37"/>
      <c r="G2643" s="37"/>
      <c r="H2643" s="37"/>
      <c r="I2643" s="37"/>
      <c r="J2643" s="37"/>
    </row>
    <row r="2644" spans="1:10" x14ac:dyDescent="0.3">
      <c r="A2644" s="130"/>
      <c r="B2644" s="37"/>
      <c r="C2644" s="37"/>
      <c r="D2644" s="37"/>
      <c r="E2644" s="37"/>
      <c r="F2644" s="37"/>
      <c r="G2644" s="37"/>
      <c r="H2644" s="37"/>
      <c r="I2644" s="37"/>
      <c r="J2644" s="37"/>
    </row>
    <row r="2645" spans="1:10" x14ac:dyDescent="0.3">
      <c r="A2645" s="130"/>
      <c r="B2645" s="37"/>
      <c r="C2645" s="37"/>
      <c r="D2645" s="37"/>
      <c r="E2645" s="37"/>
      <c r="F2645" s="37"/>
      <c r="G2645" s="37"/>
      <c r="H2645" s="37"/>
      <c r="I2645" s="37"/>
      <c r="J2645" s="37"/>
    </row>
    <row r="2646" spans="1:10" x14ac:dyDescent="0.3">
      <c r="A2646" s="130"/>
      <c r="B2646" s="37"/>
      <c r="C2646" s="37"/>
      <c r="D2646" s="37"/>
      <c r="E2646" s="37"/>
      <c r="F2646" s="37"/>
      <c r="G2646" s="37"/>
      <c r="H2646" s="37"/>
      <c r="I2646" s="37"/>
      <c r="J2646" s="37"/>
    </row>
    <row r="2647" spans="1:10" x14ac:dyDescent="0.3">
      <c r="A2647" s="130"/>
      <c r="B2647" s="37"/>
      <c r="C2647" s="37"/>
      <c r="D2647" s="37"/>
      <c r="E2647" s="37"/>
      <c r="F2647" s="37"/>
      <c r="G2647" s="37"/>
      <c r="H2647" s="37"/>
      <c r="I2647" s="37"/>
      <c r="J2647" s="37"/>
    </row>
    <row r="2648" spans="1:10" x14ac:dyDescent="0.3">
      <c r="A2648" s="130"/>
      <c r="B2648" s="37"/>
      <c r="C2648" s="37"/>
      <c r="D2648" s="37"/>
      <c r="E2648" s="37"/>
      <c r="F2648" s="37"/>
      <c r="G2648" s="37"/>
      <c r="H2648" s="37"/>
      <c r="I2648" s="37"/>
      <c r="J2648" s="37"/>
    </row>
    <row r="2649" spans="1:10" x14ac:dyDescent="0.3">
      <c r="A2649" s="130"/>
      <c r="B2649" s="37"/>
      <c r="C2649" s="37"/>
      <c r="D2649" s="37"/>
      <c r="E2649" s="37"/>
      <c r="F2649" s="37"/>
      <c r="G2649" s="37"/>
      <c r="H2649" s="37"/>
      <c r="I2649" s="37"/>
      <c r="J2649" s="37"/>
    </row>
    <row r="2650" spans="1:10" x14ac:dyDescent="0.3">
      <c r="A2650" s="130"/>
      <c r="B2650" s="37"/>
      <c r="C2650" s="37"/>
      <c r="D2650" s="37"/>
      <c r="E2650" s="37"/>
      <c r="F2650" s="37"/>
      <c r="G2650" s="37"/>
      <c r="H2650" s="37"/>
      <c r="I2650" s="37"/>
      <c r="J2650" s="37"/>
    </row>
    <row r="2651" spans="1:10" x14ac:dyDescent="0.3">
      <c r="A2651" s="130"/>
      <c r="B2651" s="37"/>
      <c r="C2651" s="37"/>
      <c r="D2651" s="37"/>
      <c r="E2651" s="37"/>
      <c r="F2651" s="37"/>
      <c r="G2651" s="37"/>
      <c r="H2651" s="37"/>
      <c r="I2651" s="37"/>
      <c r="J2651" s="37"/>
    </row>
    <row r="2652" spans="1:10" x14ac:dyDescent="0.3">
      <c r="A2652" s="130"/>
      <c r="B2652" s="37"/>
      <c r="C2652" s="37"/>
      <c r="D2652" s="37"/>
      <c r="E2652" s="37"/>
      <c r="F2652" s="37"/>
      <c r="G2652" s="37"/>
      <c r="H2652" s="37"/>
      <c r="I2652" s="37"/>
      <c r="J2652" s="37"/>
    </row>
    <row r="2653" spans="1:10" x14ac:dyDescent="0.3">
      <c r="A2653" s="130"/>
      <c r="B2653" s="37"/>
      <c r="C2653" s="37"/>
      <c r="D2653" s="37"/>
      <c r="E2653" s="37"/>
      <c r="F2653" s="37"/>
      <c r="G2653" s="37"/>
      <c r="H2653" s="37"/>
      <c r="I2653" s="37"/>
      <c r="J2653" s="37"/>
    </row>
    <row r="2654" spans="1:10" x14ac:dyDescent="0.3">
      <c r="A2654" s="130"/>
      <c r="B2654" s="37"/>
      <c r="C2654" s="37"/>
      <c r="D2654" s="37"/>
      <c r="E2654" s="37"/>
      <c r="F2654" s="37"/>
      <c r="G2654" s="37"/>
      <c r="H2654" s="37"/>
      <c r="I2654" s="37"/>
      <c r="J2654" s="37"/>
    </row>
    <row r="2655" spans="1:10" x14ac:dyDescent="0.3">
      <c r="A2655" s="130"/>
      <c r="B2655" s="37"/>
      <c r="C2655" s="37"/>
      <c r="D2655" s="37"/>
      <c r="E2655" s="37"/>
      <c r="F2655" s="37"/>
      <c r="G2655" s="37"/>
      <c r="H2655" s="37"/>
      <c r="I2655" s="37"/>
      <c r="J2655" s="37"/>
    </row>
    <row r="2656" spans="1:10" x14ac:dyDescent="0.3">
      <c r="A2656" s="130"/>
      <c r="B2656" s="37"/>
      <c r="C2656" s="37"/>
      <c r="D2656" s="37"/>
      <c r="E2656" s="37"/>
      <c r="F2656" s="37"/>
      <c r="G2656" s="37"/>
      <c r="H2656" s="37"/>
      <c r="I2656" s="37"/>
      <c r="J2656" s="37"/>
    </row>
    <row r="2657" spans="1:10" x14ac:dyDescent="0.3">
      <c r="A2657" s="130"/>
      <c r="B2657" s="37"/>
      <c r="C2657" s="37"/>
      <c r="D2657" s="37"/>
      <c r="E2657" s="37"/>
      <c r="F2657" s="37"/>
      <c r="G2657" s="37"/>
      <c r="H2657" s="37"/>
      <c r="I2657" s="37"/>
      <c r="J2657" s="37"/>
    </row>
    <row r="2658" spans="1:10" x14ac:dyDescent="0.3">
      <c r="A2658" s="130"/>
      <c r="B2658" s="37"/>
      <c r="C2658" s="37"/>
      <c r="D2658" s="37"/>
      <c r="E2658" s="37"/>
      <c r="F2658" s="37"/>
      <c r="G2658" s="37"/>
      <c r="H2658" s="37"/>
      <c r="I2658" s="37"/>
      <c r="J2658" s="37"/>
    </row>
    <row r="2659" spans="1:10" x14ac:dyDescent="0.3">
      <c r="A2659" s="130"/>
      <c r="B2659" s="37"/>
      <c r="C2659" s="37"/>
      <c r="D2659" s="37"/>
      <c r="E2659" s="37"/>
      <c r="F2659" s="37"/>
      <c r="G2659" s="37"/>
      <c r="H2659" s="37"/>
      <c r="I2659" s="37"/>
      <c r="J2659" s="37"/>
    </row>
    <row r="2660" spans="1:10" x14ac:dyDescent="0.3">
      <c r="A2660" s="130"/>
      <c r="B2660" s="37"/>
      <c r="C2660" s="37"/>
      <c r="D2660" s="37"/>
      <c r="E2660" s="37"/>
      <c r="F2660" s="37"/>
      <c r="G2660" s="37"/>
      <c r="H2660" s="37"/>
      <c r="I2660" s="37"/>
      <c r="J2660" s="37"/>
    </row>
    <row r="2661" spans="1:10" x14ac:dyDescent="0.3">
      <c r="A2661" s="130"/>
      <c r="B2661" s="37"/>
      <c r="C2661" s="37"/>
      <c r="D2661" s="37"/>
      <c r="E2661" s="37"/>
      <c r="F2661" s="37"/>
      <c r="G2661" s="37"/>
      <c r="H2661" s="37"/>
      <c r="I2661" s="37"/>
      <c r="J2661" s="37"/>
    </row>
    <row r="2662" spans="1:10" x14ac:dyDescent="0.3">
      <c r="A2662" s="130"/>
      <c r="B2662" s="37"/>
      <c r="C2662" s="37"/>
      <c r="D2662" s="37"/>
      <c r="E2662" s="37"/>
      <c r="F2662" s="37"/>
      <c r="G2662" s="37"/>
      <c r="H2662" s="37"/>
      <c r="I2662" s="37"/>
      <c r="J2662" s="37"/>
    </row>
    <row r="2663" spans="1:10" x14ac:dyDescent="0.3">
      <c r="A2663" s="130"/>
      <c r="B2663" s="37"/>
      <c r="C2663" s="37"/>
      <c r="D2663" s="37"/>
      <c r="E2663" s="37"/>
      <c r="F2663" s="37"/>
      <c r="G2663" s="37"/>
      <c r="H2663" s="37"/>
      <c r="I2663" s="37"/>
      <c r="J2663" s="37"/>
    </row>
    <row r="2664" spans="1:10" x14ac:dyDescent="0.3">
      <c r="A2664" s="130"/>
      <c r="B2664" s="37"/>
      <c r="C2664" s="37"/>
      <c r="D2664" s="37"/>
      <c r="E2664" s="37"/>
      <c r="F2664" s="37"/>
      <c r="G2664" s="37"/>
      <c r="H2664" s="37"/>
      <c r="I2664" s="37"/>
      <c r="J2664" s="37"/>
    </row>
    <row r="2665" spans="1:10" x14ac:dyDescent="0.3">
      <c r="A2665" s="130"/>
      <c r="B2665" s="37"/>
      <c r="C2665" s="37"/>
      <c r="D2665" s="37"/>
      <c r="E2665" s="37"/>
      <c r="F2665" s="37"/>
      <c r="G2665" s="37"/>
      <c r="H2665" s="37"/>
      <c r="I2665" s="37"/>
      <c r="J2665" s="37"/>
    </row>
    <row r="2666" spans="1:10" x14ac:dyDescent="0.3">
      <c r="A2666" s="130"/>
      <c r="B2666" s="37"/>
      <c r="C2666" s="37"/>
      <c r="D2666" s="37"/>
      <c r="E2666" s="37"/>
      <c r="F2666" s="37"/>
      <c r="G2666" s="37"/>
      <c r="H2666" s="37"/>
      <c r="I2666" s="37"/>
      <c r="J2666" s="37"/>
    </row>
    <row r="2667" spans="1:10" x14ac:dyDescent="0.3">
      <c r="A2667" s="130"/>
      <c r="B2667" s="37"/>
      <c r="C2667" s="37"/>
      <c r="D2667" s="37"/>
      <c r="E2667" s="37"/>
      <c r="F2667" s="37"/>
      <c r="G2667" s="37"/>
      <c r="H2667" s="37"/>
      <c r="I2667" s="37"/>
      <c r="J2667" s="37"/>
    </row>
    <row r="2668" spans="1:10" x14ac:dyDescent="0.3">
      <c r="A2668" s="130"/>
      <c r="B2668" s="37"/>
      <c r="C2668" s="37"/>
      <c r="D2668" s="37"/>
      <c r="E2668" s="37"/>
      <c r="F2668" s="37"/>
      <c r="G2668" s="37"/>
      <c r="H2668" s="37"/>
      <c r="I2668" s="37"/>
      <c r="J2668" s="37"/>
    </row>
    <row r="2669" spans="1:10" x14ac:dyDescent="0.3">
      <c r="A2669" s="130"/>
      <c r="B2669" s="37"/>
      <c r="C2669" s="37"/>
      <c r="D2669" s="37"/>
      <c r="E2669" s="37"/>
      <c r="F2669" s="37"/>
      <c r="G2669" s="37"/>
      <c r="H2669" s="37"/>
      <c r="I2669" s="37"/>
      <c r="J2669" s="37"/>
    </row>
    <row r="2670" spans="1:10" x14ac:dyDescent="0.3">
      <c r="A2670" s="130"/>
      <c r="B2670" s="37"/>
      <c r="C2670" s="37"/>
      <c r="D2670" s="37"/>
      <c r="E2670" s="37"/>
      <c r="F2670" s="37"/>
      <c r="G2670" s="37"/>
      <c r="H2670" s="37"/>
      <c r="I2670" s="37"/>
      <c r="J2670" s="37"/>
    </row>
    <row r="2671" spans="1:10" x14ac:dyDescent="0.3">
      <c r="A2671" s="130"/>
      <c r="B2671" s="37"/>
      <c r="C2671" s="37"/>
      <c r="D2671" s="37"/>
      <c r="E2671" s="37"/>
      <c r="F2671" s="37"/>
      <c r="G2671" s="37"/>
      <c r="H2671" s="37"/>
      <c r="I2671" s="37"/>
      <c r="J2671" s="37"/>
    </row>
    <row r="2672" spans="1:10" x14ac:dyDescent="0.3">
      <c r="A2672" s="130"/>
      <c r="B2672" s="37"/>
      <c r="C2672" s="37"/>
      <c r="D2672" s="37"/>
      <c r="E2672" s="37"/>
      <c r="F2672" s="37"/>
      <c r="G2672" s="37"/>
      <c r="H2672" s="37"/>
      <c r="I2672" s="37"/>
      <c r="J2672" s="37"/>
    </row>
    <row r="2673" spans="1:10" x14ac:dyDescent="0.3">
      <c r="A2673" s="130"/>
      <c r="B2673" s="37"/>
      <c r="C2673" s="37"/>
      <c r="D2673" s="37"/>
      <c r="E2673" s="37"/>
      <c r="F2673" s="37"/>
      <c r="G2673" s="37"/>
      <c r="H2673" s="37"/>
      <c r="I2673" s="37"/>
      <c r="J2673" s="37"/>
    </row>
    <row r="2674" spans="1:10" x14ac:dyDescent="0.3">
      <c r="A2674" s="130"/>
      <c r="B2674" s="37"/>
      <c r="C2674" s="37"/>
      <c r="D2674" s="37"/>
      <c r="E2674" s="37"/>
      <c r="F2674" s="37"/>
      <c r="G2674" s="37"/>
      <c r="H2674" s="37"/>
      <c r="I2674" s="37"/>
      <c r="J2674" s="37"/>
    </row>
    <row r="2675" spans="1:10" x14ac:dyDescent="0.3">
      <c r="A2675" s="130"/>
      <c r="B2675" s="37"/>
      <c r="C2675" s="37"/>
      <c r="D2675" s="37"/>
      <c r="E2675" s="37"/>
      <c r="F2675" s="37"/>
      <c r="G2675" s="37"/>
      <c r="H2675" s="37"/>
      <c r="I2675" s="37"/>
      <c r="J2675" s="37"/>
    </row>
    <row r="2676" spans="1:10" x14ac:dyDescent="0.3">
      <c r="A2676" s="130"/>
      <c r="B2676" s="37"/>
      <c r="C2676" s="37"/>
      <c r="D2676" s="37"/>
      <c r="E2676" s="37"/>
      <c r="F2676" s="37"/>
      <c r="G2676" s="37"/>
      <c r="H2676" s="37"/>
      <c r="I2676" s="37"/>
      <c r="J2676" s="37"/>
    </row>
    <row r="2677" spans="1:10" x14ac:dyDescent="0.3">
      <c r="A2677" s="130"/>
      <c r="B2677" s="37"/>
      <c r="C2677" s="37"/>
      <c r="D2677" s="37"/>
      <c r="E2677" s="37"/>
      <c r="F2677" s="37"/>
      <c r="G2677" s="37"/>
      <c r="H2677" s="37"/>
      <c r="I2677" s="37"/>
      <c r="J2677" s="37"/>
    </row>
    <row r="2678" spans="1:10" x14ac:dyDescent="0.3">
      <c r="A2678" s="130"/>
      <c r="B2678" s="37"/>
      <c r="C2678" s="37"/>
      <c r="D2678" s="37"/>
      <c r="E2678" s="37"/>
      <c r="F2678" s="37"/>
      <c r="G2678" s="37"/>
      <c r="H2678" s="37"/>
      <c r="I2678" s="37"/>
      <c r="J2678" s="37"/>
    </row>
    <row r="2679" spans="1:10" x14ac:dyDescent="0.3">
      <c r="A2679" s="130"/>
      <c r="B2679" s="37"/>
      <c r="C2679" s="37"/>
      <c r="D2679" s="37"/>
      <c r="E2679" s="37"/>
      <c r="F2679" s="37"/>
      <c r="G2679" s="37"/>
      <c r="H2679" s="37"/>
      <c r="I2679" s="37"/>
      <c r="J2679" s="37"/>
    </row>
    <row r="2680" spans="1:10" x14ac:dyDescent="0.3">
      <c r="A2680" s="130"/>
      <c r="B2680" s="37"/>
      <c r="C2680" s="37"/>
      <c r="D2680" s="37"/>
      <c r="E2680" s="37"/>
      <c r="F2680" s="37"/>
      <c r="G2680" s="37"/>
      <c r="H2680" s="37"/>
      <c r="I2680" s="37"/>
      <c r="J2680" s="37"/>
    </row>
    <row r="2681" spans="1:10" x14ac:dyDescent="0.3">
      <c r="A2681" s="130"/>
      <c r="B2681" s="37"/>
      <c r="C2681" s="37"/>
      <c r="D2681" s="37"/>
      <c r="E2681" s="37"/>
      <c r="F2681" s="37"/>
      <c r="G2681" s="37"/>
      <c r="H2681" s="37"/>
      <c r="I2681" s="37"/>
      <c r="J2681" s="37"/>
    </row>
    <row r="2682" spans="1:10" x14ac:dyDescent="0.3">
      <c r="A2682" s="130"/>
      <c r="B2682" s="37"/>
      <c r="C2682" s="37"/>
      <c r="D2682" s="37"/>
      <c r="E2682" s="37"/>
      <c r="F2682" s="37"/>
      <c r="G2682" s="37"/>
      <c r="H2682" s="37"/>
      <c r="I2682" s="37"/>
      <c r="J2682" s="37"/>
    </row>
    <row r="2683" spans="1:10" x14ac:dyDescent="0.3">
      <c r="A2683" s="130"/>
      <c r="B2683" s="37"/>
      <c r="C2683" s="37"/>
      <c r="D2683" s="37"/>
      <c r="E2683" s="37"/>
      <c r="F2683" s="37"/>
      <c r="G2683" s="37"/>
      <c r="H2683" s="37"/>
      <c r="I2683" s="37"/>
      <c r="J2683" s="37"/>
    </row>
    <row r="2684" spans="1:10" x14ac:dyDescent="0.3">
      <c r="A2684" s="130"/>
      <c r="B2684" s="37"/>
      <c r="C2684" s="37"/>
      <c r="D2684" s="37"/>
      <c r="E2684" s="37"/>
      <c r="F2684" s="37"/>
      <c r="G2684" s="37"/>
      <c r="H2684" s="37"/>
      <c r="I2684" s="37"/>
      <c r="J2684" s="37"/>
    </row>
    <row r="2685" spans="1:10" x14ac:dyDescent="0.3">
      <c r="A2685" s="130"/>
      <c r="B2685" s="37"/>
      <c r="C2685" s="37"/>
      <c r="D2685" s="37"/>
      <c r="E2685" s="37"/>
      <c r="F2685" s="37"/>
      <c r="G2685" s="37"/>
      <c r="H2685" s="37"/>
      <c r="I2685" s="37"/>
      <c r="J2685" s="37"/>
    </row>
    <row r="2686" spans="1:10" x14ac:dyDescent="0.3">
      <c r="A2686" s="130"/>
      <c r="B2686" s="37"/>
      <c r="C2686" s="37"/>
      <c r="D2686" s="37"/>
      <c r="E2686" s="37"/>
      <c r="F2686" s="37"/>
      <c r="G2686" s="37"/>
      <c r="H2686" s="37"/>
      <c r="I2686" s="37"/>
      <c r="J2686" s="37"/>
    </row>
    <row r="2687" spans="1:10" x14ac:dyDescent="0.3">
      <c r="A2687" s="130"/>
      <c r="B2687" s="37"/>
      <c r="C2687" s="37"/>
      <c r="D2687" s="37"/>
      <c r="E2687" s="37"/>
      <c r="F2687" s="37"/>
      <c r="G2687" s="37"/>
      <c r="H2687" s="37"/>
      <c r="I2687" s="37"/>
      <c r="J2687" s="37"/>
    </row>
    <row r="2688" spans="1:10" x14ac:dyDescent="0.3">
      <c r="A2688" s="130"/>
      <c r="B2688" s="37"/>
      <c r="C2688" s="37"/>
      <c r="D2688" s="37"/>
      <c r="E2688" s="37"/>
      <c r="F2688" s="37"/>
      <c r="G2688" s="37"/>
      <c r="H2688" s="37"/>
      <c r="I2688" s="37"/>
      <c r="J2688" s="37"/>
    </row>
    <row r="2689" spans="1:10" x14ac:dyDescent="0.3">
      <c r="A2689" s="130"/>
      <c r="B2689" s="37"/>
      <c r="C2689" s="37"/>
      <c r="D2689" s="37"/>
      <c r="E2689" s="37"/>
      <c r="F2689" s="37"/>
      <c r="G2689" s="37"/>
      <c r="H2689" s="37"/>
      <c r="I2689" s="37"/>
      <c r="J2689" s="37"/>
    </row>
    <row r="2690" spans="1:10" x14ac:dyDescent="0.3">
      <c r="A2690" s="130"/>
      <c r="B2690" s="37"/>
      <c r="C2690" s="37"/>
      <c r="D2690" s="37"/>
      <c r="E2690" s="37"/>
      <c r="F2690" s="37"/>
      <c r="G2690" s="37"/>
      <c r="H2690" s="37"/>
      <c r="I2690" s="37"/>
      <c r="J2690" s="37"/>
    </row>
    <row r="2691" spans="1:10" x14ac:dyDescent="0.3">
      <c r="A2691" s="130"/>
      <c r="B2691" s="37"/>
      <c r="C2691" s="37"/>
      <c r="D2691" s="37"/>
      <c r="E2691" s="37"/>
      <c r="F2691" s="37"/>
      <c r="G2691" s="37"/>
      <c r="H2691" s="37"/>
      <c r="I2691" s="37"/>
      <c r="J2691" s="37"/>
    </row>
    <row r="2692" spans="1:10" x14ac:dyDescent="0.3">
      <c r="A2692" s="130"/>
      <c r="B2692" s="37"/>
      <c r="C2692" s="37"/>
      <c r="D2692" s="37"/>
      <c r="E2692" s="37"/>
      <c r="F2692" s="37"/>
      <c r="G2692" s="37"/>
      <c r="H2692" s="37"/>
      <c r="I2692" s="37"/>
      <c r="J2692" s="37"/>
    </row>
    <row r="2693" spans="1:10" x14ac:dyDescent="0.3">
      <c r="A2693" s="130"/>
      <c r="B2693" s="37"/>
      <c r="C2693" s="37"/>
      <c r="D2693" s="37"/>
      <c r="E2693" s="37"/>
      <c r="F2693" s="37"/>
      <c r="G2693" s="37"/>
      <c r="H2693" s="37"/>
      <c r="I2693" s="37"/>
      <c r="J2693" s="37"/>
    </row>
    <row r="2694" spans="1:10" x14ac:dyDescent="0.3">
      <c r="A2694" s="130"/>
      <c r="B2694" s="37"/>
      <c r="C2694" s="37"/>
      <c r="D2694" s="37"/>
      <c r="E2694" s="37"/>
      <c r="F2694" s="37"/>
      <c r="G2694" s="37"/>
      <c r="H2694" s="37"/>
      <c r="I2694" s="37"/>
      <c r="J2694" s="37"/>
    </row>
    <row r="2695" spans="1:10" x14ac:dyDescent="0.3">
      <c r="A2695" s="130"/>
      <c r="B2695" s="37"/>
      <c r="C2695" s="37"/>
      <c r="D2695" s="37"/>
      <c r="E2695" s="37"/>
      <c r="F2695" s="37"/>
      <c r="G2695" s="37"/>
      <c r="H2695" s="37"/>
      <c r="I2695" s="37"/>
      <c r="J2695" s="37"/>
    </row>
    <row r="2696" spans="1:10" x14ac:dyDescent="0.3">
      <c r="A2696" s="130"/>
      <c r="B2696" s="37"/>
      <c r="C2696" s="37"/>
      <c r="D2696" s="37"/>
      <c r="E2696" s="37"/>
      <c r="F2696" s="37"/>
      <c r="G2696" s="37"/>
      <c r="H2696" s="37"/>
      <c r="I2696" s="37"/>
      <c r="J2696" s="37"/>
    </row>
    <row r="2697" spans="1:10" x14ac:dyDescent="0.3">
      <c r="A2697" s="130"/>
      <c r="B2697" s="37"/>
      <c r="C2697" s="37"/>
      <c r="D2697" s="37"/>
      <c r="E2697" s="37"/>
      <c r="F2697" s="37"/>
      <c r="G2697" s="37"/>
      <c r="H2697" s="37"/>
      <c r="I2697" s="37"/>
      <c r="J2697" s="37"/>
    </row>
    <row r="2698" spans="1:10" x14ac:dyDescent="0.3">
      <c r="A2698" s="130"/>
      <c r="B2698" s="37"/>
      <c r="C2698" s="37"/>
      <c r="D2698" s="37"/>
      <c r="E2698" s="37"/>
      <c r="F2698" s="37"/>
      <c r="G2698" s="37"/>
      <c r="H2698" s="37"/>
      <c r="I2698" s="37"/>
      <c r="J2698" s="37"/>
    </row>
    <row r="2699" spans="1:10" x14ac:dyDescent="0.3">
      <c r="A2699" s="130"/>
      <c r="B2699" s="37"/>
      <c r="C2699" s="37"/>
      <c r="D2699" s="37"/>
      <c r="E2699" s="37"/>
      <c r="F2699" s="37"/>
      <c r="G2699" s="37"/>
      <c r="H2699" s="37"/>
      <c r="I2699" s="37"/>
      <c r="J2699" s="37"/>
    </row>
    <row r="2700" spans="1:10" x14ac:dyDescent="0.3">
      <c r="A2700" s="130"/>
      <c r="B2700" s="37"/>
      <c r="C2700" s="37"/>
      <c r="D2700" s="37"/>
      <c r="E2700" s="37"/>
      <c r="F2700" s="37"/>
      <c r="G2700" s="37"/>
      <c r="H2700" s="37"/>
      <c r="I2700" s="37"/>
      <c r="J2700" s="37"/>
    </row>
    <row r="2701" spans="1:10" x14ac:dyDescent="0.3">
      <c r="A2701" s="130"/>
      <c r="B2701" s="37"/>
      <c r="C2701" s="37"/>
      <c r="D2701" s="37"/>
      <c r="E2701" s="37"/>
      <c r="F2701" s="37"/>
      <c r="G2701" s="37"/>
      <c r="H2701" s="37"/>
      <c r="I2701" s="37"/>
      <c r="J2701" s="37"/>
    </row>
    <row r="2702" spans="1:10" x14ac:dyDescent="0.3">
      <c r="A2702" s="130"/>
      <c r="B2702" s="37"/>
      <c r="C2702" s="37"/>
      <c r="D2702" s="37"/>
      <c r="E2702" s="37"/>
      <c r="F2702" s="37"/>
      <c r="G2702" s="37"/>
      <c r="H2702" s="37"/>
      <c r="I2702" s="37"/>
      <c r="J2702" s="37"/>
    </row>
    <row r="2703" spans="1:10" x14ac:dyDescent="0.3">
      <c r="A2703" s="130"/>
      <c r="B2703" s="37"/>
      <c r="C2703" s="37"/>
      <c r="D2703" s="37"/>
      <c r="E2703" s="37"/>
      <c r="F2703" s="37"/>
      <c r="G2703" s="37"/>
      <c r="H2703" s="37"/>
      <c r="I2703" s="37"/>
      <c r="J2703" s="37"/>
    </row>
    <row r="2704" spans="1:10" x14ac:dyDescent="0.3">
      <c r="A2704" s="130"/>
      <c r="B2704" s="37"/>
      <c r="C2704" s="37"/>
      <c r="D2704" s="37"/>
      <c r="E2704" s="37"/>
      <c r="F2704" s="37"/>
      <c r="G2704" s="37"/>
      <c r="H2704" s="37"/>
      <c r="I2704" s="37"/>
      <c r="J2704" s="37"/>
    </row>
    <row r="2705" spans="1:10" x14ac:dyDescent="0.3">
      <c r="A2705" s="130"/>
      <c r="B2705" s="37"/>
      <c r="C2705" s="37"/>
      <c r="D2705" s="37"/>
      <c r="E2705" s="37"/>
      <c r="F2705" s="37"/>
      <c r="G2705" s="37"/>
      <c r="H2705" s="37"/>
      <c r="I2705" s="37"/>
      <c r="J2705" s="37"/>
    </row>
    <row r="2706" spans="1:10" x14ac:dyDescent="0.3">
      <c r="A2706" s="130"/>
      <c r="B2706" s="37"/>
      <c r="C2706" s="37"/>
      <c r="D2706" s="37"/>
      <c r="E2706" s="37"/>
      <c r="F2706" s="37"/>
      <c r="G2706" s="37"/>
      <c r="H2706" s="37"/>
      <c r="I2706" s="37"/>
      <c r="J2706" s="37"/>
    </row>
    <row r="2707" spans="1:10" x14ac:dyDescent="0.3">
      <c r="A2707" s="130"/>
      <c r="B2707" s="37"/>
      <c r="C2707" s="37"/>
      <c r="D2707" s="37"/>
      <c r="E2707" s="37"/>
      <c r="F2707" s="37"/>
      <c r="G2707" s="37"/>
      <c r="H2707" s="37"/>
      <c r="I2707" s="37"/>
      <c r="J2707" s="37"/>
    </row>
    <row r="2708" spans="1:10" x14ac:dyDescent="0.3">
      <c r="A2708" s="130"/>
      <c r="B2708" s="37"/>
      <c r="C2708" s="37"/>
      <c r="D2708" s="37"/>
      <c r="E2708" s="37"/>
      <c r="F2708" s="37"/>
      <c r="G2708" s="37"/>
      <c r="H2708" s="37"/>
      <c r="I2708" s="37"/>
      <c r="J2708" s="37"/>
    </row>
    <row r="2709" spans="1:10" x14ac:dyDescent="0.3">
      <c r="A2709" s="130"/>
      <c r="B2709" s="37"/>
      <c r="C2709" s="37"/>
      <c r="D2709" s="37"/>
      <c r="E2709" s="37"/>
      <c r="F2709" s="37"/>
      <c r="G2709" s="37"/>
      <c r="H2709" s="37"/>
      <c r="I2709" s="37"/>
      <c r="J2709" s="37"/>
    </row>
    <row r="2710" spans="1:10" x14ac:dyDescent="0.3">
      <c r="A2710" s="130"/>
      <c r="B2710" s="37"/>
      <c r="C2710" s="37"/>
      <c r="D2710" s="37"/>
      <c r="E2710" s="37"/>
      <c r="F2710" s="37"/>
      <c r="G2710" s="37"/>
      <c r="H2710" s="37"/>
      <c r="I2710" s="37"/>
      <c r="J2710" s="37"/>
    </row>
    <row r="2711" spans="1:10" x14ac:dyDescent="0.3">
      <c r="A2711" s="130"/>
      <c r="B2711" s="37"/>
      <c r="C2711" s="37"/>
      <c r="D2711" s="37"/>
      <c r="E2711" s="37"/>
      <c r="F2711" s="37"/>
      <c r="G2711" s="37"/>
      <c r="H2711" s="37"/>
      <c r="I2711" s="37"/>
      <c r="J2711" s="37"/>
    </row>
    <row r="2712" spans="1:10" x14ac:dyDescent="0.3">
      <c r="A2712" s="130"/>
      <c r="B2712" s="37"/>
      <c r="C2712" s="37"/>
      <c r="D2712" s="37"/>
      <c r="E2712" s="37"/>
      <c r="F2712" s="37"/>
      <c r="G2712" s="37"/>
      <c r="H2712" s="37"/>
      <c r="I2712" s="37"/>
      <c r="J2712" s="37"/>
    </row>
    <row r="2713" spans="1:10" x14ac:dyDescent="0.3">
      <c r="A2713" s="130"/>
      <c r="B2713" s="37"/>
      <c r="C2713" s="37"/>
      <c r="D2713" s="37"/>
      <c r="E2713" s="37"/>
      <c r="F2713" s="37"/>
      <c r="G2713" s="37"/>
      <c r="H2713" s="37"/>
      <c r="I2713" s="37"/>
      <c r="J2713" s="37"/>
    </row>
    <row r="2714" spans="1:10" x14ac:dyDescent="0.3">
      <c r="A2714" s="130"/>
      <c r="B2714" s="37"/>
      <c r="C2714" s="37"/>
      <c r="D2714" s="37"/>
      <c r="E2714" s="37"/>
      <c r="F2714" s="37"/>
      <c r="G2714" s="37"/>
      <c r="H2714" s="37"/>
      <c r="I2714" s="37"/>
      <c r="J2714" s="37"/>
    </row>
    <row r="2715" spans="1:10" x14ac:dyDescent="0.3">
      <c r="A2715" s="130"/>
      <c r="B2715" s="37"/>
      <c r="C2715" s="37"/>
      <c r="D2715" s="37"/>
      <c r="E2715" s="37"/>
      <c r="F2715" s="37"/>
      <c r="G2715" s="37"/>
      <c r="H2715" s="37"/>
      <c r="I2715" s="37"/>
      <c r="J2715" s="37"/>
    </row>
    <row r="2716" spans="1:10" x14ac:dyDescent="0.3">
      <c r="A2716" s="130"/>
      <c r="B2716" s="37"/>
      <c r="C2716" s="37"/>
      <c r="D2716" s="37"/>
      <c r="E2716" s="37"/>
      <c r="F2716" s="37"/>
      <c r="G2716" s="37"/>
      <c r="H2716" s="37"/>
      <c r="I2716" s="37"/>
      <c r="J2716" s="37"/>
    </row>
    <row r="2717" spans="1:10" x14ac:dyDescent="0.3">
      <c r="A2717" s="130"/>
      <c r="B2717" s="37"/>
      <c r="C2717" s="37"/>
      <c r="D2717" s="37"/>
      <c r="E2717" s="37"/>
      <c r="F2717" s="37"/>
      <c r="G2717" s="37"/>
      <c r="H2717" s="37"/>
      <c r="I2717" s="37"/>
      <c r="J2717" s="37"/>
    </row>
    <row r="2718" spans="1:10" x14ac:dyDescent="0.3">
      <c r="A2718" s="130"/>
      <c r="B2718" s="37"/>
      <c r="C2718" s="37"/>
      <c r="D2718" s="37"/>
      <c r="E2718" s="37"/>
      <c r="F2718" s="37"/>
      <c r="G2718" s="37"/>
      <c r="H2718" s="37"/>
      <c r="I2718" s="37"/>
      <c r="J2718" s="37"/>
    </row>
    <row r="2719" spans="1:10" x14ac:dyDescent="0.3">
      <c r="A2719" s="130"/>
      <c r="B2719" s="37"/>
      <c r="C2719" s="37"/>
      <c r="D2719" s="37"/>
      <c r="E2719" s="37"/>
      <c r="F2719" s="37"/>
      <c r="G2719" s="37"/>
      <c r="H2719" s="37"/>
      <c r="I2719" s="37"/>
      <c r="J2719" s="37"/>
    </row>
    <row r="2720" spans="1:10" x14ac:dyDescent="0.3">
      <c r="A2720" s="130"/>
      <c r="B2720" s="37"/>
      <c r="C2720" s="37"/>
      <c r="D2720" s="37"/>
      <c r="E2720" s="37"/>
      <c r="F2720" s="37"/>
      <c r="G2720" s="37"/>
      <c r="H2720" s="37"/>
      <c r="I2720" s="37"/>
      <c r="J2720" s="37"/>
    </row>
    <row r="2721" spans="1:10" x14ac:dyDescent="0.3">
      <c r="A2721" s="130"/>
      <c r="B2721" s="37"/>
      <c r="C2721" s="37"/>
      <c r="D2721" s="37"/>
      <c r="E2721" s="37"/>
      <c r="F2721" s="37"/>
      <c r="G2721" s="37"/>
      <c r="H2721" s="37"/>
      <c r="I2721" s="37"/>
      <c r="J2721" s="37"/>
    </row>
    <row r="2722" spans="1:10" x14ac:dyDescent="0.3">
      <c r="A2722" s="130"/>
      <c r="B2722" s="37"/>
      <c r="C2722" s="37"/>
      <c r="D2722" s="37"/>
      <c r="E2722" s="37"/>
      <c r="F2722" s="37"/>
      <c r="G2722" s="37"/>
      <c r="H2722" s="37"/>
      <c r="I2722" s="37"/>
      <c r="J2722" s="37"/>
    </row>
    <row r="2723" spans="1:10" x14ac:dyDescent="0.3">
      <c r="A2723" s="130"/>
      <c r="B2723" s="37"/>
      <c r="C2723" s="37"/>
      <c r="D2723" s="37"/>
      <c r="E2723" s="37"/>
      <c r="F2723" s="37"/>
      <c r="G2723" s="37"/>
      <c r="H2723" s="37"/>
      <c r="I2723" s="37"/>
      <c r="J2723" s="37"/>
    </row>
    <row r="2724" spans="1:10" x14ac:dyDescent="0.3">
      <c r="A2724" s="130"/>
      <c r="B2724" s="37"/>
      <c r="C2724" s="37"/>
      <c r="D2724" s="37"/>
      <c r="E2724" s="37"/>
      <c r="F2724" s="37"/>
      <c r="G2724" s="37"/>
      <c r="H2724" s="37"/>
      <c r="I2724" s="37"/>
      <c r="J2724" s="37"/>
    </row>
    <row r="2725" spans="1:10" x14ac:dyDescent="0.3">
      <c r="A2725" s="130"/>
      <c r="B2725" s="37"/>
      <c r="C2725" s="37"/>
      <c r="D2725" s="37"/>
      <c r="E2725" s="37"/>
      <c r="F2725" s="37"/>
      <c r="G2725" s="37"/>
      <c r="H2725" s="37"/>
      <c r="I2725" s="37"/>
      <c r="J2725" s="37"/>
    </row>
    <row r="2726" spans="1:10" x14ac:dyDescent="0.3">
      <c r="A2726" s="130"/>
      <c r="B2726" s="37"/>
      <c r="C2726" s="37"/>
      <c r="D2726" s="37"/>
      <c r="E2726" s="37"/>
      <c r="F2726" s="37"/>
      <c r="G2726" s="37"/>
      <c r="H2726" s="37"/>
      <c r="I2726" s="37"/>
      <c r="J2726" s="37"/>
    </row>
    <row r="2727" spans="1:10" x14ac:dyDescent="0.3">
      <c r="A2727" s="130"/>
      <c r="B2727" s="37"/>
      <c r="C2727" s="37"/>
      <c r="D2727" s="37"/>
      <c r="E2727" s="37"/>
      <c r="F2727" s="37"/>
      <c r="G2727" s="37"/>
      <c r="H2727" s="37"/>
      <c r="I2727" s="37"/>
      <c r="J2727" s="37"/>
    </row>
    <row r="2728" spans="1:10" x14ac:dyDescent="0.3">
      <c r="A2728" s="130"/>
      <c r="B2728" s="37"/>
      <c r="C2728" s="37"/>
      <c r="D2728" s="37"/>
      <c r="E2728" s="37"/>
      <c r="F2728" s="37"/>
      <c r="G2728" s="37"/>
      <c r="H2728" s="37"/>
      <c r="I2728" s="37"/>
      <c r="J2728" s="37"/>
    </row>
    <row r="2729" spans="1:10" x14ac:dyDescent="0.3">
      <c r="A2729" s="130"/>
      <c r="B2729" s="37"/>
      <c r="C2729" s="37"/>
      <c r="D2729" s="37"/>
      <c r="E2729" s="37"/>
      <c r="F2729" s="37"/>
      <c r="G2729" s="37"/>
      <c r="H2729" s="37"/>
      <c r="I2729" s="37"/>
      <c r="J2729" s="37"/>
    </row>
    <row r="2730" spans="1:10" x14ac:dyDescent="0.3">
      <c r="A2730" s="130"/>
      <c r="B2730" s="37"/>
      <c r="C2730" s="37"/>
      <c r="D2730" s="37"/>
      <c r="E2730" s="37"/>
      <c r="F2730" s="37"/>
      <c r="G2730" s="37"/>
      <c r="H2730" s="37"/>
      <c r="I2730" s="37"/>
      <c r="J2730" s="37"/>
    </row>
    <row r="2731" spans="1:10" x14ac:dyDescent="0.3">
      <c r="A2731" s="130"/>
      <c r="B2731" s="37"/>
      <c r="C2731" s="37"/>
      <c r="D2731" s="37"/>
      <c r="E2731" s="37"/>
      <c r="F2731" s="37"/>
      <c r="G2731" s="37"/>
      <c r="H2731" s="37"/>
      <c r="I2731" s="37"/>
      <c r="J2731" s="37"/>
    </row>
    <row r="2732" spans="1:10" x14ac:dyDescent="0.3">
      <c r="A2732" s="130"/>
      <c r="B2732" s="37"/>
      <c r="C2732" s="37"/>
      <c r="D2732" s="37"/>
      <c r="E2732" s="37"/>
      <c r="F2732" s="37"/>
      <c r="G2732" s="37"/>
      <c r="H2732" s="37"/>
      <c r="I2732" s="37"/>
      <c r="J2732" s="37"/>
    </row>
    <row r="2733" spans="1:10" x14ac:dyDescent="0.3">
      <c r="A2733" s="130"/>
      <c r="B2733" s="37"/>
      <c r="C2733" s="37"/>
      <c r="D2733" s="37"/>
      <c r="E2733" s="37"/>
      <c r="F2733" s="37"/>
      <c r="G2733" s="37"/>
      <c r="H2733" s="37"/>
      <c r="I2733" s="37"/>
      <c r="J2733" s="37"/>
    </row>
    <row r="2734" spans="1:10" x14ac:dyDescent="0.3">
      <c r="A2734" s="130"/>
      <c r="B2734" s="37"/>
      <c r="C2734" s="37"/>
      <c r="D2734" s="37"/>
      <c r="E2734" s="37"/>
      <c r="F2734" s="37"/>
      <c r="G2734" s="37"/>
      <c r="H2734" s="37"/>
      <c r="I2734" s="37"/>
      <c r="J2734" s="37"/>
    </row>
    <row r="2735" spans="1:10" x14ac:dyDescent="0.3">
      <c r="A2735" s="130"/>
      <c r="B2735" s="37"/>
      <c r="C2735" s="37"/>
      <c r="D2735" s="37"/>
      <c r="E2735" s="37"/>
      <c r="F2735" s="37"/>
      <c r="G2735" s="37"/>
      <c r="H2735" s="37"/>
      <c r="I2735" s="37"/>
      <c r="J2735" s="37"/>
    </row>
    <row r="2736" spans="1:10" x14ac:dyDescent="0.3">
      <c r="A2736" s="130"/>
      <c r="B2736" s="37"/>
      <c r="C2736" s="37"/>
      <c r="D2736" s="37"/>
      <c r="E2736" s="37"/>
      <c r="F2736" s="37"/>
      <c r="G2736" s="37"/>
      <c r="H2736" s="37"/>
      <c r="I2736" s="37"/>
      <c r="J2736" s="37"/>
    </row>
    <row r="2737" spans="1:10" x14ac:dyDescent="0.3">
      <c r="A2737" s="130"/>
      <c r="B2737" s="37"/>
      <c r="C2737" s="37"/>
      <c r="D2737" s="37"/>
      <c r="E2737" s="37"/>
      <c r="F2737" s="37"/>
      <c r="G2737" s="37"/>
      <c r="H2737" s="37"/>
      <c r="I2737" s="37"/>
      <c r="J2737" s="37"/>
    </row>
    <row r="2738" spans="1:10" x14ac:dyDescent="0.3">
      <c r="A2738" s="130"/>
      <c r="B2738" s="37"/>
      <c r="C2738" s="37"/>
      <c r="D2738" s="37"/>
      <c r="E2738" s="37"/>
      <c r="F2738" s="37"/>
      <c r="G2738" s="37"/>
      <c r="H2738" s="37"/>
      <c r="I2738" s="37"/>
      <c r="J2738" s="37"/>
    </row>
    <row r="2739" spans="1:10" x14ac:dyDescent="0.3">
      <c r="A2739" s="130"/>
      <c r="B2739" s="37"/>
      <c r="C2739" s="37"/>
      <c r="D2739" s="37"/>
      <c r="E2739" s="37"/>
      <c r="F2739" s="37"/>
      <c r="G2739" s="37"/>
      <c r="H2739" s="37"/>
      <c r="I2739" s="37"/>
      <c r="J2739" s="37"/>
    </row>
    <row r="2740" spans="1:10" x14ac:dyDescent="0.3">
      <c r="A2740" s="130"/>
      <c r="B2740" s="37"/>
      <c r="C2740" s="37"/>
      <c r="D2740" s="37"/>
      <c r="E2740" s="37"/>
      <c r="F2740" s="37"/>
      <c r="G2740" s="37"/>
      <c r="H2740" s="37"/>
      <c r="I2740" s="37"/>
      <c r="J2740" s="37"/>
    </row>
    <row r="2741" spans="1:10" x14ac:dyDescent="0.3">
      <c r="A2741" s="130"/>
      <c r="B2741" s="37"/>
      <c r="C2741" s="37"/>
      <c r="D2741" s="37"/>
      <c r="E2741" s="37"/>
      <c r="F2741" s="37"/>
      <c r="G2741" s="37"/>
      <c r="H2741" s="37"/>
      <c r="I2741" s="37"/>
      <c r="J2741" s="37"/>
    </row>
    <row r="2742" spans="1:10" x14ac:dyDescent="0.3">
      <c r="A2742" s="130"/>
      <c r="B2742" s="37"/>
      <c r="C2742" s="37"/>
      <c r="D2742" s="37"/>
      <c r="E2742" s="37"/>
      <c r="F2742" s="37"/>
      <c r="G2742" s="37"/>
      <c r="H2742" s="37"/>
      <c r="I2742" s="37"/>
      <c r="J2742" s="37"/>
    </row>
    <row r="2743" spans="1:10" x14ac:dyDescent="0.3">
      <c r="A2743" s="130"/>
      <c r="B2743" s="37"/>
      <c r="C2743" s="37"/>
      <c r="D2743" s="37"/>
      <c r="E2743" s="37"/>
      <c r="F2743" s="37"/>
      <c r="G2743" s="37"/>
      <c r="H2743" s="37"/>
      <c r="I2743" s="37"/>
      <c r="J2743" s="37"/>
    </row>
    <row r="2744" spans="1:10" x14ac:dyDescent="0.3">
      <c r="A2744" s="130"/>
      <c r="B2744" s="37"/>
      <c r="C2744" s="37"/>
      <c r="D2744" s="37"/>
      <c r="E2744" s="37"/>
      <c r="F2744" s="37"/>
      <c r="G2744" s="37"/>
      <c r="H2744" s="37"/>
      <c r="I2744" s="37"/>
      <c r="J2744" s="37"/>
    </row>
    <row r="2745" spans="1:10" x14ac:dyDescent="0.3">
      <c r="A2745" s="130"/>
      <c r="B2745" s="37"/>
      <c r="C2745" s="37"/>
      <c r="D2745" s="37"/>
      <c r="E2745" s="37"/>
      <c r="F2745" s="37"/>
      <c r="G2745" s="37"/>
      <c r="H2745" s="37"/>
      <c r="I2745" s="37"/>
      <c r="J2745" s="37"/>
    </row>
    <row r="2746" spans="1:10" x14ac:dyDescent="0.3">
      <c r="A2746" s="130"/>
      <c r="B2746" s="37"/>
      <c r="C2746" s="37"/>
      <c r="D2746" s="37"/>
      <c r="E2746" s="37"/>
      <c r="F2746" s="37"/>
      <c r="G2746" s="37"/>
      <c r="H2746" s="37"/>
      <c r="I2746" s="37"/>
      <c r="J2746" s="37"/>
    </row>
    <row r="2747" spans="1:10" x14ac:dyDescent="0.3">
      <c r="A2747" s="130"/>
      <c r="B2747" s="37"/>
      <c r="C2747" s="37"/>
      <c r="D2747" s="37"/>
      <c r="E2747" s="37"/>
      <c r="F2747" s="37"/>
      <c r="G2747" s="37"/>
      <c r="H2747" s="37"/>
      <c r="I2747" s="37"/>
      <c r="J2747" s="37"/>
    </row>
    <row r="2748" spans="1:10" x14ac:dyDescent="0.3">
      <c r="A2748" s="130"/>
      <c r="B2748" s="37"/>
      <c r="C2748" s="37"/>
      <c r="D2748" s="37"/>
      <c r="E2748" s="37"/>
      <c r="F2748" s="37"/>
      <c r="G2748" s="37"/>
      <c r="H2748" s="37"/>
      <c r="I2748" s="37"/>
      <c r="J2748" s="37"/>
    </row>
    <row r="2749" spans="1:10" x14ac:dyDescent="0.3">
      <c r="A2749" s="130"/>
      <c r="B2749" s="37"/>
      <c r="C2749" s="37"/>
      <c r="D2749" s="37"/>
      <c r="E2749" s="37"/>
      <c r="F2749" s="37"/>
      <c r="G2749" s="37"/>
      <c r="H2749" s="37"/>
      <c r="I2749" s="37"/>
      <c r="J2749" s="37"/>
    </row>
    <row r="2750" spans="1:10" x14ac:dyDescent="0.3">
      <c r="A2750" s="130"/>
      <c r="B2750" s="37"/>
      <c r="C2750" s="37"/>
      <c r="D2750" s="37"/>
      <c r="E2750" s="37"/>
      <c r="F2750" s="37"/>
      <c r="G2750" s="37"/>
      <c r="H2750" s="37"/>
      <c r="I2750" s="37"/>
      <c r="J2750" s="37"/>
    </row>
    <row r="2751" spans="1:10" x14ac:dyDescent="0.3">
      <c r="A2751" s="130"/>
      <c r="B2751" s="37"/>
      <c r="C2751" s="37"/>
      <c r="D2751" s="37"/>
      <c r="E2751" s="37"/>
      <c r="F2751" s="37"/>
      <c r="G2751" s="37"/>
      <c r="H2751" s="37"/>
      <c r="I2751" s="37"/>
      <c r="J2751" s="37"/>
    </row>
    <row r="2752" spans="1:10" x14ac:dyDescent="0.3">
      <c r="A2752" s="130"/>
      <c r="B2752" s="37"/>
      <c r="C2752" s="37"/>
      <c r="D2752" s="37"/>
      <c r="E2752" s="37"/>
      <c r="F2752" s="37"/>
      <c r="G2752" s="37"/>
      <c r="H2752" s="37"/>
      <c r="I2752" s="37"/>
      <c r="J2752" s="37"/>
    </row>
    <row r="2753" spans="1:10" x14ac:dyDescent="0.3">
      <c r="A2753" s="130"/>
      <c r="B2753" s="37"/>
      <c r="C2753" s="37"/>
      <c r="D2753" s="37"/>
      <c r="E2753" s="37"/>
      <c r="F2753" s="37"/>
      <c r="G2753" s="37"/>
      <c r="H2753" s="37"/>
      <c r="I2753" s="37"/>
      <c r="J2753" s="37"/>
    </row>
    <row r="2754" spans="1:10" x14ac:dyDescent="0.3">
      <c r="A2754" s="130"/>
      <c r="B2754" s="37"/>
      <c r="C2754" s="37"/>
      <c r="D2754" s="37"/>
      <c r="E2754" s="37"/>
      <c r="F2754" s="37"/>
      <c r="G2754" s="37"/>
      <c r="H2754" s="37"/>
      <c r="I2754" s="37"/>
      <c r="J2754" s="37"/>
    </row>
    <row r="2755" spans="1:10" x14ac:dyDescent="0.3">
      <c r="A2755" s="130"/>
      <c r="B2755" s="37"/>
      <c r="C2755" s="37"/>
      <c r="D2755" s="37"/>
      <c r="E2755" s="37"/>
      <c r="F2755" s="37"/>
      <c r="G2755" s="37"/>
      <c r="H2755" s="37"/>
      <c r="I2755" s="37"/>
      <c r="J2755" s="37"/>
    </row>
    <row r="2756" spans="1:10" x14ac:dyDescent="0.3">
      <c r="A2756" s="130"/>
      <c r="B2756" s="37"/>
      <c r="C2756" s="37"/>
      <c r="D2756" s="37"/>
      <c r="E2756" s="37"/>
      <c r="F2756" s="37"/>
      <c r="G2756" s="37"/>
      <c r="H2756" s="37"/>
      <c r="I2756" s="37"/>
      <c r="J2756" s="37"/>
    </row>
    <row r="2757" spans="1:10" x14ac:dyDescent="0.3">
      <c r="A2757" s="130"/>
      <c r="B2757" s="37"/>
      <c r="C2757" s="37"/>
      <c r="D2757" s="37"/>
      <c r="E2757" s="37"/>
      <c r="F2757" s="37"/>
      <c r="G2757" s="37"/>
      <c r="H2757" s="37"/>
      <c r="I2757" s="37"/>
      <c r="J2757" s="37"/>
    </row>
    <row r="2758" spans="1:10" x14ac:dyDescent="0.3">
      <c r="A2758" s="130"/>
      <c r="B2758" s="37"/>
      <c r="C2758" s="37"/>
      <c r="D2758" s="37"/>
      <c r="E2758" s="37"/>
      <c r="F2758" s="37"/>
      <c r="G2758" s="37"/>
      <c r="H2758" s="37"/>
      <c r="I2758" s="37"/>
      <c r="J2758" s="37"/>
    </row>
    <row r="2759" spans="1:10" x14ac:dyDescent="0.3">
      <c r="A2759" s="130"/>
      <c r="B2759" s="37"/>
      <c r="C2759" s="37"/>
      <c r="D2759" s="37"/>
      <c r="E2759" s="37"/>
      <c r="F2759" s="37"/>
      <c r="G2759" s="37"/>
      <c r="H2759" s="37"/>
      <c r="I2759" s="37"/>
      <c r="J2759" s="37"/>
    </row>
    <row r="2760" spans="1:10" x14ac:dyDescent="0.3">
      <c r="A2760" s="130"/>
      <c r="B2760" s="37"/>
      <c r="C2760" s="37"/>
      <c r="D2760" s="37"/>
      <c r="E2760" s="37"/>
      <c r="F2760" s="37"/>
      <c r="G2760" s="37"/>
      <c r="H2760" s="37"/>
      <c r="I2760" s="37"/>
      <c r="J2760" s="37"/>
    </row>
    <row r="2761" spans="1:10" x14ac:dyDescent="0.3">
      <c r="A2761" s="130"/>
      <c r="B2761" s="37"/>
      <c r="C2761" s="37"/>
      <c r="D2761" s="37"/>
      <c r="E2761" s="37"/>
      <c r="F2761" s="37"/>
      <c r="G2761" s="37"/>
      <c r="H2761" s="37"/>
      <c r="I2761" s="37"/>
      <c r="J2761" s="37"/>
    </row>
    <row r="2762" spans="1:10" x14ac:dyDescent="0.3">
      <c r="A2762" s="130"/>
      <c r="B2762" s="37"/>
      <c r="C2762" s="37"/>
      <c r="D2762" s="37"/>
      <c r="E2762" s="37"/>
      <c r="F2762" s="37"/>
      <c r="G2762" s="37"/>
      <c r="H2762" s="37"/>
      <c r="I2762" s="37"/>
      <c r="J2762" s="37"/>
    </row>
    <row r="2763" spans="1:10" x14ac:dyDescent="0.3">
      <c r="A2763" s="130"/>
      <c r="B2763" s="37"/>
      <c r="C2763" s="37"/>
      <c r="D2763" s="37"/>
      <c r="E2763" s="37"/>
      <c r="F2763" s="37"/>
      <c r="G2763" s="37"/>
      <c r="H2763" s="37"/>
      <c r="I2763" s="37"/>
      <c r="J2763" s="37"/>
    </row>
    <row r="2764" spans="1:10" x14ac:dyDescent="0.3">
      <c r="A2764" s="130"/>
      <c r="B2764" s="37"/>
      <c r="C2764" s="37"/>
      <c r="D2764" s="37"/>
      <c r="E2764" s="37"/>
      <c r="F2764" s="37"/>
      <c r="G2764" s="37"/>
      <c r="H2764" s="37"/>
      <c r="I2764" s="37"/>
      <c r="J2764" s="37"/>
    </row>
    <row r="2765" spans="1:10" x14ac:dyDescent="0.3">
      <c r="A2765" s="130"/>
      <c r="B2765" s="37"/>
      <c r="C2765" s="37"/>
      <c r="D2765" s="37"/>
      <c r="E2765" s="37"/>
      <c r="F2765" s="37"/>
      <c r="G2765" s="37"/>
      <c r="H2765" s="37"/>
      <c r="I2765" s="37"/>
      <c r="J2765" s="37"/>
    </row>
    <row r="2766" spans="1:10" x14ac:dyDescent="0.3">
      <c r="A2766" s="130"/>
      <c r="B2766" s="37"/>
      <c r="C2766" s="37"/>
      <c r="D2766" s="37"/>
      <c r="E2766" s="37"/>
      <c r="F2766" s="37"/>
      <c r="G2766" s="37"/>
      <c r="H2766" s="37"/>
      <c r="I2766" s="37"/>
      <c r="J2766" s="37"/>
    </row>
    <row r="2767" spans="1:10" x14ac:dyDescent="0.3">
      <c r="A2767" s="130"/>
      <c r="B2767" s="37"/>
      <c r="C2767" s="37"/>
      <c r="D2767" s="37"/>
      <c r="E2767" s="37"/>
      <c r="F2767" s="37"/>
      <c r="G2767" s="37"/>
      <c r="H2767" s="37"/>
      <c r="I2767" s="37"/>
      <c r="J2767" s="37"/>
    </row>
    <row r="2768" spans="1:10" x14ac:dyDescent="0.3">
      <c r="A2768" s="130"/>
      <c r="B2768" s="37"/>
      <c r="C2768" s="37"/>
      <c r="D2768" s="37"/>
      <c r="E2768" s="37"/>
      <c r="F2768" s="37"/>
      <c r="G2768" s="37"/>
      <c r="H2768" s="37"/>
      <c r="I2768" s="37"/>
      <c r="J2768" s="37"/>
    </row>
    <row r="2769" spans="1:10" x14ac:dyDescent="0.3">
      <c r="A2769" s="130"/>
      <c r="B2769" s="37"/>
      <c r="C2769" s="37"/>
      <c r="D2769" s="37"/>
      <c r="E2769" s="37"/>
      <c r="F2769" s="37"/>
      <c r="G2769" s="37"/>
      <c r="H2769" s="37"/>
      <c r="I2769" s="37"/>
      <c r="J2769" s="37"/>
    </row>
    <row r="2770" spans="1:10" x14ac:dyDescent="0.3">
      <c r="A2770" s="130"/>
      <c r="B2770" s="37"/>
      <c r="C2770" s="37"/>
      <c r="D2770" s="37"/>
      <c r="E2770" s="37"/>
      <c r="F2770" s="37"/>
      <c r="G2770" s="37"/>
      <c r="H2770" s="37"/>
      <c r="I2770" s="37"/>
      <c r="J2770" s="37"/>
    </row>
    <row r="2771" spans="1:10" x14ac:dyDescent="0.3">
      <c r="A2771" s="130"/>
      <c r="B2771" s="37"/>
      <c r="C2771" s="37"/>
      <c r="D2771" s="37"/>
      <c r="E2771" s="37"/>
      <c r="F2771" s="37"/>
      <c r="G2771" s="37"/>
      <c r="H2771" s="37"/>
      <c r="I2771" s="37"/>
      <c r="J2771" s="37"/>
    </row>
    <row r="2772" spans="1:10" x14ac:dyDescent="0.3">
      <c r="A2772" s="130"/>
      <c r="B2772" s="37"/>
      <c r="C2772" s="37"/>
      <c r="D2772" s="37"/>
      <c r="E2772" s="37"/>
      <c r="F2772" s="37"/>
      <c r="G2772" s="37"/>
      <c r="H2772" s="37"/>
      <c r="I2772" s="37"/>
      <c r="J2772" s="37"/>
    </row>
    <row r="2773" spans="1:10" x14ac:dyDescent="0.3">
      <c r="A2773" s="130"/>
      <c r="B2773" s="37"/>
      <c r="C2773" s="37"/>
      <c r="D2773" s="37"/>
      <c r="E2773" s="37"/>
      <c r="F2773" s="37"/>
      <c r="G2773" s="37"/>
      <c r="H2773" s="37"/>
      <c r="I2773" s="37"/>
      <c r="J2773" s="37"/>
    </row>
    <row r="2774" spans="1:10" x14ac:dyDescent="0.3">
      <c r="A2774" s="130"/>
      <c r="B2774" s="37"/>
      <c r="C2774" s="37"/>
      <c r="D2774" s="37"/>
      <c r="E2774" s="37"/>
      <c r="F2774" s="37"/>
      <c r="G2774" s="37"/>
      <c r="H2774" s="37"/>
      <c r="I2774" s="37"/>
      <c r="J2774" s="37"/>
    </row>
    <row r="2775" spans="1:10" x14ac:dyDescent="0.3">
      <c r="A2775" s="130"/>
      <c r="B2775" s="37"/>
      <c r="C2775" s="37"/>
      <c r="D2775" s="37"/>
      <c r="E2775" s="37"/>
      <c r="F2775" s="37"/>
      <c r="G2775" s="37"/>
      <c r="H2775" s="37"/>
      <c r="I2775" s="37"/>
      <c r="J2775" s="37"/>
    </row>
    <row r="2776" spans="1:10" x14ac:dyDescent="0.3">
      <c r="A2776" s="130"/>
      <c r="B2776" s="37"/>
      <c r="C2776" s="37"/>
      <c r="D2776" s="37"/>
      <c r="E2776" s="37"/>
      <c r="F2776" s="37"/>
      <c r="G2776" s="37"/>
      <c r="H2776" s="37"/>
      <c r="I2776" s="37"/>
      <c r="J2776" s="37"/>
    </row>
    <row r="2777" spans="1:10" x14ac:dyDescent="0.3">
      <c r="A2777" s="130"/>
      <c r="B2777" s="37"/>
      <c r="C2777" s="37"/>
      <c r="D2777" s="37"/>
      <c r="E2777" s="37"/>
      <c r="F2777" s="37"/>
      <c r="G2777" s="37"/>
      <c r="H2777" s="37"/>
      <c r="I2777" s="37"/>
      <c r="J2777" s="37"/>
    </row>
    <row r="2778" spans="1:10" x14ac:dyDescent="0.3">
      <c r="A2778" s="130"/>
      <c r="B2778" s="37"/>
      <c r="C2778" s="37"/>
      <c r="D2778" s="37"/>
      <c r="E2778" s="37"/>
      <c r="F2778" s="37"/>
      <c r="G2778" s="37"/>
      <c r="H2778" s="37"/>
      <c r="I2778" s="37"/>
      <c r="J2778" s="37"/>
    </row>
    <row r="2779" spans="1:10" x14ac:dyDescent="0.3">
      <c r="A2779" s="130"/>
      <c r="B2779" s="37"/>
      <c r="C2779" s="37"/>
      <c r="D2779" s="37"/>
      <c r="E2779" s="37"/>
      <c r="F2779" s="37"/>
      <c r="G2779" s="37"/>
      <c r="H2779" s="37"/>
      <c r="I2779" s="37"/>
      <c r="J2779" s="37"/>
    </row>
    <row r="2780" spans="1:10" x14ac:dyDescent="0.3">
      <c r="A2780" s="130"/>
      <c r="B2780" s="37"/>
      <c r="C2780" s="37"/>
      <c r="D2780" s="37"/>
      <c r="E2780" s="37"/>
      <c r="F2780" s="37"/>
      <c r="G2780" s="37"/>
      <c r="H2780" s="37"/>
      <c r="I2780" s="37"/>
      <c r="J2780" s="37"/>
    </row>
    <row r="2781" spans="1:10" x14ac:dyDescent="0.3">
      <c r="A2781" s="130"/>
      <c r="B2781" s="37"/>
      <c r="C2781" s="37"/>
      <c r="D2781" s="37"/>
      <c r="E2781" s="37"/>
      <c r="F2781" s="37"/>
      <c r="G2781" s="37"/>
      <c r="H2781" s="37"/>
      <c r="I2781" s="37"/>
      <c r="J2781" s="37"/>
    </row>
    <row r="2782" spans="1:10" x14ac:dyDescent="0.3">
      <c r="A2782" s="130"/>
      <c r="B2782" s="37"/>
      <c r="C2782" s="37"/>
      <c r="D2782" s="37"/>
      <c r="E2782" s="37"/>
      <c r="F2782" s="37"/>
      <c r="G2782" s="37"/>
      <c r="H2782" s="37"/>
      <c r="I2782" s="37"/>
      <c r="J2782" s="37"/>
    </row>
    <row r="2783" spans="1:10" x14ac:dyDescent="0.3">
      <c r="A2783" s="130"/>
      <c r="B2783" s="37"/>
      <c r="C2783" s="37"/>
      <c r="D2783" s="37"/>
      <c r="E2783" s="37"/>
      <c r="F2783" s="37"/>
      <c r="G2783" s="37"/>
      <c r="H2783" s="37"/>
      <c r="I2783" s="37"/>
      <c r="J2783" s="37"/>
    </row>
    <row r="2784" spans="1:10" x14ac:dyDescent="0.3">
      <c r="A2784" s="130"/>
      <c r="B2784" s="37"/>
      <c r="C2784" s="37"/>
      <c r="D2784" s="37"/>
      <c r="E2784" s="37"/>
      <c r="F2784" s="37"/>
      <c r="G2784" s="37"/>
      <c r="H2784" s="37"/>
      <c r="I2784" s="37"/>
      <c r="J2784" s="37"/>
    </row>
    <row r="2785" spans="1:10" x14ac:dyDescent="0.3">
      <c r="A2785" s="130"/>
      <c r="B2785" s="37"/>
      <c r="C2785" s="37"/>
      <c r="D2785" s="37"/>
      <c r="E2785" s="37"/>
      <c r="F2785" s="37"/>
      <c r="G2785" s="37"/>
      <c r="H2785" s="37"/>
      <c r="I2785" s="37"/>
      <c r="J2785" s="37"/>
    </row>
    <row r="2786" spans="1:10" x14ac:dyDescent="0.3">
      <c r="A2786" s="130"/>
      <c r="B2786" s="37"/>
      <c r="C2786" s="37"/>
      <c r="D2786" s="37"/>
      <c r="E2786" s="37"/>
      <c r="F2786" s="37"/>
      <c r="G2786" s="37"/>
      <c r="H2786" s="37"/>
      <c r="I2786" s="37"/>
      <c r="J2786" s="37"/>
    </row>
    <row r="2787" spans="1:10" x14ac:dyDescent="0.3">
      <c r="A2787" s="130"/>
      <c r="B2787" s="37"/>
      <c r="C2787" s="37"/>
      <c r="D2787" s="37"/>
      <c r="E2787" s="37"/>
      <c r="F2787" s="37"/>
      <c r="G2787" s="37"/>
      <c r="H2787" s="37"/>
      <c r="I2787" s="37"/>
      <c r="J2787" s="37"/>
    </row>
    <row r="2788" spans="1:10" x14ac:dyDescent="0.3">
      <c r="A2788" s="130"/>
      <c r="B2788" s="37"/>
      <c r="C2788" s="37"/>
      <c r="D2788" s="37"/>
      <c r="E2788" s="37"/>
      <c r="F2788" s="37"/>
      <c r="G2788" s="37"/>
      <c r="H2788" s="37"/>
      <c r="I2788" s="37"/>
      <c r="J2788" s="37"/>
    </row>
    <row r="2789" spans="1:10" x14ac:dyDescent="0.3">
      <c r="A2789" s="130"/>
      <c r="B2789" s="37"/>
      <c r="C2789" s="37"/>
      <c r="D2789" s="37"/>
      <c r="E2789" s="37"/>
      <c r="F2789" s="37"/>
      <c r="G2789" s="37"/>
      <c r="H2789" s="37"/>
      <c r="I2789" s="37"/>
      <c r="J2789" s="37"/>
    </row>
    <row r="2790" spans="1:10" x14ac:dyDescent="0.3">
      <c r="A2790" s="130"/>
      <c r="B2790" s="37"/>
      <c r="C2790" s="37"/>
      <c r="D2790" s="37"/>
      <c r="E2790" s="37"/>
      <c r="F2790" s="37"/>
      <c r="G2790" s="37"/>
      <c r="H2790" s="37"/>
      <c r="I2790" s="37"/>
      <c r="J2790" s="37"/>
    </row>
    <row r="2791" spans="1:10" x14ac:dyDescent="0.3">
      <c r="A2791" s="130"/>
      <c r="B2791" s="37"/>
      <c r="C2791" s="37"/>
      <c r="D2791" s="37"/>
      <c r="E2791" s="37"/>
      <c r="F2791" s="37"/>
      <c r="G2791" s="37"/>
      <c r="H2791" s="37"/>
      <c r="I2791" s="37"/>
      <c r="J2791" s="37"/>
    </row>
    <row r="2792" spans="1:10" x14ac:dyDescent="0.3">
      <c r="A2792" s="130"/>
      <c r="B2792" s="37"/>
      <c r="C2792" s="37"/>
      <c r="D2792" s="37"/>
      <c r="E2792" s="37"/>
      <c r="F2792" s="37"/>
      <c r="G2792" s="37"/>
      <c r="H2792" s="37"/>
      <c r="I2792" s="37"/>
      <c r="J2792" s="37"/>
    </row>
    <row r="2793" spans="1:10" x14ac:dyDescent="0.3">
      <c r="A2793" s="130"/>
      <c r="B2793" s="37"/>
      <c r="C2793" s="37"/>
      <c r="D2793" s="37"/>
      <c r="E2793" s="37"/>
      <c r="F2793" s="37"/>
      <c r="G2793" s="37"/>
      <c r="H2793" s="37"/>
      <c r="I2793" s="37"/>
      <c r="J2793" s="37"/>
    </row>
    <row r="2794" spans="1:10" x14ac:dyDescent="0.3">
      <c r="A2794" s="130"/>
      <c r="B2794" s="37"/>
      <c r="C2794" s="37"/>
      <c r="D2794" s="37"/>
      <c r="E2794" s="37"/>
      <c r="F2794" s="37"/>
      <c r="G2794" s="37"/>
      <c r="H2794" s="37"/>
      <c r="I2794" s="37"/>
      <c r="J2794" s="37"/>
    </row>
    <row r="2795" spans="1:10" x14ac:dyDescent="0.3">
      <c r="A2795" s="130"/>
      <c r="B2795" s="37"/>
      <c r="C2795" s="37"/>
      <c r="D2795" s="37"/>
      <c r="E2795" s="37"/>
      <c r="F2795" s="37"/>
      <c r="G2795" s="37"/>
      <c r="H2795" s="37"/>
      <c r="I2795" s="37"/>
      <c r="J2795" s="37"/>
    </row>
    <row r="2796" spans="1:10" x14ac:dyDescent="0.3">
      <c r="A2796" s="130"/>
      <c r="B2796" s="37"/>
      <c r="C2796" s="37"/>
      <c r="D2796" s="37"/>
      <c r="E2796" s="37"/>
      <c r="F2796" s="37"/>
      <c r="G2796" s="37"/>
      <c r="H2796" s="37"/>
      <c r="I2796" s="37"/>
      <c r="J2796" s="37"/>
    </row>
    <row r="2797" spans="1:10" x14ac:dyDescent="0.3">
      <c r="A2797" s="130"/>
      <c r="B2797" s="37"/>
      <c r="C2797" s="37"/>
      <c r="D2797" s="37"/>
      <c r="E2797" s="37"/>
      <c r="F2797" s="37"/>
      <c r="G2797" s="37"/>
      <c r="H2797" s="37"/>
      <c r="I2797" s="37"/>
      <c r="J2797" s="37"/>
    </row>
    <row r="2798" spans="1:10" x14ac:dyDescent="0.3">
      <c r="A2798" s="130"/>
      <c r="B2798" s="37"/>
      <c r="C2798" s="37"/>
      <c r="D2798" s="37"/>
      <c r="E2798" s="37"/>
      <c r="F2798" s="37"/>
      <c r="G2798" s="37"/>
      <c r="H2798" s="37"/>
      <c r="I2798" s="37"/>
      <c r="J2798" s="37"/>
    </row>
    <row r="2799" spans="1:10" x14ac:dyDescent="0.3">
      <c r="A2799" s="130"/>
      <c r="B2799" s="37"/>
      <c r="C2799" s="37"/>
      <c r="D2799" s="37"/>
      <c r="E2799" s="37"/>
      <c r="F2799" s="37"/>
      <c r="G2799" s="37"/>
      <c r="H2799" s="37"/>
      <c r="I2799" s="37"/>
      <c r="J2799" s="37"/>
    </row>
    <row r="2800" spans="1:10" x14ac:dyDescent="0.3">
      <c r="A2800" s="130"/>
      <c r="B2800" s="37"/>
      <c r="C2800" s="37"/>
      <c r="D2800" s="37"/>
      <c r="E2800" s="37"/>
      <c r="F2800" s="37"/>
      <c r="G2800" s="37"/>
      <c r="H2800" s="37"/>
      <c r="I2800" s="37"/>
      <c r="J2800" s="37"/>
    </row>
    <row r="2801" spans="1:10" x14ac:dyDescent="0.3">
      <c r="A2801" s="130"/>
      <c r="B2801" s="37"/>
      <c r="C2801" s="37"/>
      <c r="D2801" s="37"/>
      <c r="E2801" s="37"/>
      <c r="F2801" s="37"/>
      <c r="G2801" s="37"/>
      <c r="H2801" s="37"/>
      <c r="I2801" s="37"/>
      <c r="J2801" s="37"/>
    </row>
    <row r="2802" spans="1:10" x14ac:dyDescent="0.3">
      <c r="A2802" s="130"/>
      <c r="B2802" s="37"/>
      <c r="C2802" s="37"/>
      <c r="D2802" s="37"/>
      <c r="E2802" s="37"/>
      <c r="F2802" s="37"/>
      <c r="G2802" s="37"/>
      <c r="H2802" s="37"/>
      <c r="I2802" s="37"/>
      <c r="J2802" s="37"/>
    </row>
    <row r="2803" spans="1:10" x14ac:dyDescent="0.3">
      <c r="A2803" s="130"/>
      <c r="B2803" s="37"/>
      <c r="C2803" s="37"/>
      <c r="D2803" s="37"/>
      <c r="E2803" s="37"/>
      <c r="F2803" s="37"/>
      <c r="G2803" s="37"/>
      <c r="H2803" s="37"/>
      <c r="I2803" s="37"/>
      <c r="J2803" s="37"/>
    </row>
    <row r="2804" spans="1:10" x14ac:dyDescent="0.3">
      <c r="A2804" s="130"/>
      <c r="B2804" s="37"/>
      <c r="C2804" s="37"/>
      <c r="D2804" s="37"/>
      <c r="E2804" s="37"/>
      <c r="F2804" s="37"/>
      <c r="G2804" s="37"/>
      <c r="H2804" s="37"/>
      <c r="I2804" s="37"/>
      <c r="J2804" s="37"/>
    </row>
    <row r="2805" spans="1:10" x14ac:dyDescent="0.3">
      <c r="A2805" s="130"/>
      <c r="B2805" s="37"/>
      <c r="C2805" s="37"/>
      <c r="D2805" s="37"/>
      <c r="E2805" s="37"/>
      <c r="F2805" s="37"/>
      <c r="G2805" s="37"/>
      <c r="H2805" s="37"/>
      <c r="I2805" s="37"/>
      <c r="J2805" s="37"/>
    </row>
    <row r="2806" spans="1:10" x14ac:dyDescent="0.3">
      <c r="A2806" s="130"/>
      <c r="B2806" s="37"/>
      <c r="C2806" s="37"/>
      <c r="D2806" s="37"/>
      <c r="E2806" s="37"/>
      <c r="F2806" s="37"/>
      <c r="G2806" s="37"/>
      <c r="H2806" s="37"/>
      <c r="I2806" s="37"/>
      <c r="J2806" s="37"/>
    </row>
    <row r="2807" spans="1:10" x14ac:dyDescent="0.3">
      <c r="A2807" s="130"/>
      <c r="B2807" s="37"/>
      <c r="C2807" s="37"/>
      <c r="D2807" s="37"/>
      <c r="E2807" s="37"/>
      <c r="F2807" s="37"/>
      <c r="G2807" s="37"/>
      <c r="H2807" s="37"/>
      <c r="I2807" s="37"/>
      <c r="J2807" s="37"/>
    </row>
    <row r="2808" spans="1:10" x14ac:dyDescent="0.3">
      <c r="A2808" s="130"/>
      <c r="B2808" s="37"/>
      <c r="C2808" s="37"/>
      <c r="D2808" s="37"/>
      <c r="E2808" s="37"/>
      <c r="F2808" s="37"/>
      <c r="G2808" s="37"/>
      <c r="H2808" s="37"/>
      <c r="I2808" s="37"/>
      <c r="J2808" s="37"/>
    </row>
    <row r="2809" spans="1:10" x14ac:dyDescent="0.3">
      <c r="A2809" s="130"/>
      <c r="B2809" s="37"/>
      <c r="C2809" s="37"/>
      <c r="D2809" s="37"/>
      <c r="E2809" s="37"/>
      <c r="F2809" s="37"/>
      <c r="G2809" s="37"/>
      <c r="H2809" s="37"/>
      <c r="I2809" s="37"/>
      <c r="J2809" s="37"/>
    </row>
    <row r="2810" spans="1:10" x14ac:dyDescent="0.3">
      <c r="A2810" s="130"/>
      <c r="B2810" s="37"/>
      <c r="C2810" s="37"/>
      <c r="D2810" s="37"/>
      <c r="E2810" s="37"/>
      <c r="F2810" s="37"/>
      <c r="G2810" s="37"/>
      <c r="H2810" s="37"/>
      <c r="I2810" s="37"/>
      <c r="J2810" s="37"/>
    </row>
    <row r="2811" spans="1:10" x14ac:dyDescent="0.3">
      <c r="A2811" s="130"/>
      <c r="B2811" s="37"/>
      <c r="C2811" s="37"/>
      <c r="D2811" s="37"/>
      <c r="E2811" s="37"/>
      <c r="F2811" s="37"/>
      <c r="G2811" s="37"/>
      <c r="H2811" s="37"/>
      <c r="I2811" s="37"/>
      <c r="J2811" s="37"/>
    </row>
    <row r="2812" spans="1:10" x14ac:dyDescent="0.3">
      <c r="A2812" s="130"/>
      <c r="B2812" s="37"/>
      <c r="C2812" s="37"/>
      <c r="D2812" s="37"/>
      <c r="E2812" s="37"/>
      <c r="F2812" s="37"/>
      <c r="G2812" s="37"/>
      <c r="H2812" s="37"/>
      <c r="I2812" s="37"/>
      <c r="J2812" s="37"/>
    </row>
    <row r="2813" spans="1:10" x14ac:dyDescent="0.3">
      <c r="A2813" s="130"/>
      <c r="B2813" s="37"/>
      <c r="C2813" s="37"/>
      <c r="D2813" s="37"/>
      <c r="E2813" s="37"/>
      <c r="F2813" s="37"/>
      <c r="G2813" s="37"/>
      <c r="H2813" s="37"/>
      <c r="I2813" s="37"/>
      <c r="J2813" s="37"/>
    </row>
    <row r="2814" spans="1:10" x14ac:dyDescent="0.3">
      <c r="A2814" s="130"/>
      <c r="B2814" s="37"/>
      <c r="C2814" s="37"/>
      <c r="D2814" s="37"/>
      <c r="E2814" s="37"/>
      <c r="F2814" s="37"/>
      <c r="G2814" s="37"/>
      <c r="H2814" s="37"/>
      <c r="I2814" s="37"/>
      <c r="J2814" s="37"/>
    </row>
    <row r="2815" spans="1:10" x14ac:dyDescent="0.3">
      <c r="A2815" s="130"/>
      <c r="B2815" s="37"/>
      <c r="C2815" s="37"/>
      <c r="D2815" s="37"/>
      <c r="E2815" s="37"/>
      <c r="F2815" s="37"/>
      <c r="G2815" s="37"/>
      <c r="H2815" s="37"/>
      <c r="I2815" s="37"/>
      <c r="J2815" s="37"/>
    </row>
    <row r="2816" spans="1:10" x14ac:dyDescent="0.3">
      <c r="A2816" s="130"/>
      <c r="B2816" s="37"/>
      <c r="C2816" s="37"/>
      <c r="D2816" s="37"/>
      <c r="E2816" s="37"/>
      <c r="F2816" s="37"/>
      <c r="G2816" s="37"/>
      <c r="H2816" s="37"/>
      <c r="I2816" s="37"/>
      <c r="J2816" s="37"/>
    </row>
    <row r="2817" spans="1:10" x14ac:dyDescent="0.3">
      <c r="A2817" s="130"/>
      <c r="B2817" s="37"/>
      <c r="C2817" s="37"/>
      <c r="D2817" s="37"/>
      <c r="E2817" s="37"/>
      <c r="F2817" s="37"/>
      <c r="G2817" s="37"/>
      <c r="H2817" s="37"/>
      <c r="I2817" s="37"/>
      <c r="J2817" s="37"/>
    </row>
    <row r="2818" spans="1:10" x14ac:dyDescent="0.3">
      <c r="A2818" s="130"/>
      <c r="B2818" s="37"/>
      <c r="C2818" s="37"/>
      <c r="D2818" s="37"/>
      <c r="E2818" s="37"/>
      <c r="F2818" s="37"/>
      <c r="G2818" s="37"/>
      <c r="H2818" s="37"/>
      <c r="I2818" s="37"/>
      <c r="J2818" s="37"/>
    </row>
    <row r="2819" spans="1:10" x14ac:dyDescent="0.3">
      <c r="A2819" s="130"/>
      <c r="B2819" s="37"/>
      <c r="C2819" s="37"/>
      <c r="D2819" s="37"/>
      <c r="E2819" s="37"/>
      <c r="F2819" s="37"/>
      <c r="G2819" s="37"/>
      <c r="H2819" s="37"/>
      <c r="I2819" s="37"/>
      <c r="J2819" s="37"/>
    </row>
    <row r="2820" spans="1:10" x14ac:dyDescent="0.3">
      <c r="A2820" s="130"/>
      <c r="B2820" s="37"/>
      <c r="C2820" s="37"/>
      <c r="D2820" s="37"/>
      <c r="E2820" s="37"/>
      <c r="F2820" s="37"/>
      <c r="G2820" s="37"/>
      <c r="H2820" s="37"/>
      <c r="I2820" s="37"/>
      <c r="J2820" s="37"/>
    </row>
    <row r="2821" spans="1:10" x14ac:dyDescent="0.3">
      <c r="A2821" s="130"/>
      <c r="B2821" s="37"/>
      <c r="C2821" s="37"/>
      <c r="D2821" s="37"/>
      <c r="E2821" s="37"/>
      <c r="F2821" s="37"/>
      <c r="G2821" s="37"/>
      <c r="H2821" s="37"/>
      <c r="I2821" s="37"/>
      <c r="J2821" s="37"/>
    </row>
    <row r="2822" spans="1:10" x14ac:dyDescent="0.3">
      <c r="A2822" s="130"/>
      <c r="B2822" s="37"/>
      <c r="C2822" s="37"/>
      <c r="D2822" s="37"/>
      <c r="E2822" s="37"/>
      <c r="F2822" s="37"/>
      <c r="G2822" s="37"/>
      <c r="H2822" s="37"/>
      <c r="I2822" s="37"/>
      <c r="J2822" s="37"/>
    </row>
    <row r="2823" spans="1:10" x14ac:dyDescent="0.3">
      <c r="A2823" s="130"/>
      <c r="B2823" s="37"/>
      <c r="C2823" s="37"/>
      <c r="D2823" s="37"/>
      <c r="E2823" s="37"/>
      <c r="F2823" s="37"/>
      <c r="G2823" s="37"/>
      <c r="H2823" s="37"/>
      <c r="I2823" s="37"/>
      <c r="J2823" s="37"/>
    </row>
    <row r="2824" spans="1:10" x14ac:dyDescent="0.3">
      <c r="A2824" s="130"/>
      <c r="B2824" s="37"/>
      <c r="C2824" s="37"/>
      <c r="D2824" s="37"/>
      <c r="E2824" s="37"/>
      <c r="F2824" s="37"/>
      <c r="G2824" s="37"/>
      <c r="H2824" s="37"/>
      <c r="I2824" s="37"/>
      <c r="J2824" s="37"/>
    </row>
    <row r="2825" spans="1:10" x14ac:dyDescent="0.3">
      <c r="A2825" s="130"/>
      <c r="B2825" s="37"/>
      <c r="C2825" s="37"/>
      <c r="D2825" s="37"/>
      <c r="E2825" s="37"/>
      <c r="F2825" s="37"/>
      <c r="G2825" s="37"/>
      <c r="H2825" s="37"/>
      <c r="I2825" s="37"/>
      <c r="J2825" s="37"/>
    </row>
    <row r="2826" spans="1:10" x14ac:dyDescent="0.3">
      <c r="A2826" s="130"/>
      <c r="B2826" s="37"/>
      <c r="C2826" s="37"/>
      <c r="D2826" s="37"/>
      <c r="E2826" s="37"/>
      <c r="F2826" s="37"/>
      <c r="G2826" s="37"/>
      <c r="H2826" s="37"/>
      <c r="I2826" s="37"/>
      <c r="J2826" s="37"/>
    </row>
    <row r="2827" spans="1:10" x14ac:dyDescent="0.3">
      <c r="A2827" s="130"/>
      <c r="B2827" s="37"/>
      <c r="C2827" s="37"/>
      <c r="D2827" s="37"/>
      <c r="E2827" s="37"/>
      <c r="F2827" s="37"/>
      <c r="G2827" s="37"/>
      <c r="H2827" s="37"/>
      <c r="I2827" s="37"/>
      <c r="J2827" s="37"/>
    </row>
    <row r="2828" spans="1:10" x14ac:dyDescent="0.3">
      <c r="A2828" s="130"/>
      <c r="B2828" s="37"/>
      <c r="C2828" s="37"/>
      <c r="D2828" s="37"/>
      <c r="E2828" s="37"/>
      <c r="F2828" s="37"/>
      <c r="G2828" s="37"/>
      <c r="H2828" s="37"/>
      <c r="I2828" s="37"/>
      <c r="J2828" s="37"/>
    </row>
    <row r="2829" spans="1:10" x14ac:dyDescent="0.3">
      <c r="A2829" s="130"/>
      <c r="B2829" s="37"/>
      <c r="C2829" s="37"/>
      <c r="D2829" s="37"/>
      <c r="E2829" s="37"/>
      <c r="F2829" s="37"/>
      <c r="G2829" s="37"/>
      <c r="H2829" s="37"/>
      <c r="I2829" s="37"/>
      <c r="J2829" s="37"/>
    </row>
    <row r="2830" spans="1:10" x14ac:dyDescent="0.3">
      <c r="A2830" s="130"/>
      <c r="B2830" s="37"/>
      <c r="C2830" s="37"/>
      <c r="D2830" s="37"/>
      <c r="E2830" s="37"/>
      <c r="F2830" s="37"/>
      <c r="G2830" s="37"/>
      <c r="H2830" s="37"/>
      <c r="I2830" s="37"/>
      <c r="J2830" s="37"/>
    </row>
    <row r="2831" spans="1:10" x14ac:dyDescent="0.3">
      <c r="A2831" s="130"/>
      <c r="B2831" s="37"/>
      <c r="C2831" s="37"/>
      <c r="D2831" s="37"/>
      <c r="E2831" s="37"/>
      <c r="F2831" s="37"/>
      <c r="G2831" s="37"/>
      <c r="H2831" s="37"/>
      <c r="I2831" s="37"/>
      <c r="J2831" s="37"/>
    </row>
    <row r="2832" spans="1:10" x14ac:dyDescent="0.3">
      <c r="A2832" s="130"/>
      <c r="B2832" s="37"/>
      <c r="C2832" s="37"/>
      <c r="D2832" s="37"/>
      <c r="E2832" s="37"/>
      <c r="F2832" s="37"/>
      <c r="G2832" s="37"/>
      <c r="H2832" s="37"/>
      <c r="I2832" s="37"/>
      <c r="J2832" s="37"/>
    </row>
    <row r="2833" spans="1:10" x14ac:dyDescent="0.3">
      <c r="A2833" s="130"/>
      <c r="B2833" s="37"/>
      <c r="C2833" s="37"/>
      <c r="D2833" s="37"/>
      <c r="E2833" s="37"/>
      <c r="F2833" s="37"/>
      <c r="G2833" s="37"/>
      <c r="H2833" s="37"/>
      <c r="I2833" s="37"/>
      <c r="J2833" s="37"/>
    </row>
    <row r="2834" spans="1:10" x14ac:dyDescent="0.3">
      <c r="A2834" s="130"/>
      <c r="B2834" s="37"/>
      <c r="C2834" s="37"/>
      <c r="D2834" s="37"/>
      <c r="E2834" s="37"/>
      <c r="F2834" s="37"/>
      <c r="G2834" s="37"/>
      <c r="H2834" s="37"/>
      <c r="I2834" s="37"/>
      <c r="J2834" s="37"/>
    </row>
    <row r="2835" spans="1:10" x14ac:dyDescent="0.3">
      <c r="A2835" s="130"/>
      <c r="B2835" s="37"/>
      <c r="C2835" s="37"/>
      <c r="D2835" s="37"/>
      <c r="E2835" s="37"/>
      <c r="F2835" s="37"/>
      <c r="G2835" s="37"/>
      <c r="H2835" s="37"/>
      <c r="I2835" s="37"/>
      <c r="J2835" s="37"/>
    </row>
    <row r="2836" spans="1:10" x14ac:dyDescent="0.3">
      <c r="A2836" s="130"/>
      <c r="B2836" s="37"/>
      <c r="C2836" s="37"/>
      <c r="D2836" s="37"/>
      <c r="E2836" s="37"/>
      <c r="F2836" s="37"/>
      <c r="G2836" s="37"/>
      <c r="H2836" s="37"/>
      <c r="I2836" s="37"/>
      <c r="J2836" s="37"/>
    </row>
    <row r="2837" spans="1:10" x14ac:dyDescent="0.3">
      <c r="A2837" s="130"/>
      <c r="B2837" s="37"/>
      <c r="C2837" s="37"/>
      <c r="D2837" s="37"/>
      <c r="E2837" s="37"/>
      <c r="F2837" s="37"/>
      <c r="G2837" s="37"/>
      <c r="H2837" s="37"/>
      <c r="I2837" s="37"/>
      <c r="J2837" s="37"/>
    </row>
    <row r="2838" spans="1:10" x14ac:dyDescent="0.3">
      <c r="A2838" s="130"/>
      <c r="B2838" s="37"/>
      <c r="C2838" s="37"/>
      <c r="D2838" s="37"/>
      <c r="E2838" s="37"/>
      <c r="F2838" s="37"/>
      <c r="G2838" s="37"/>
      <c r="H2838" s="37"/>
      <c r="I2838" s="37"/>
      <c r="J2838" s="37"/>
    </row>
    <row r="2839" spans="1:10" x14ac:dyDescent="0.3">
      <c r="A2839" s="130"/>
      <c r="B2839" s="37"/>
      <c r="C2839" s="37"/>
      <c r="D2839" s="37"/>
      <c r="E2839" s="37"/>
      <c r="F2839" s="37"/>
      <c r="G2839" s="37"/>
      <c r="H2839" s="37"/>
      <c r="I2839" s="37"/>
      <c r="J2839" s="37"/>
    </row>
    <row r="2840" spans="1:10" x14ac:dyDescent="0.3">
      <c r="A2840" s="130"/>
      <c r="B2840" s="37"/>
      <c r="C2840" s="37"/>
      <c r="D2840" s="37"/>
      <c r="E2840" s="37"/>
      <c r="F2840" s="37"/>
      <c r="G2840" s="37"/>
      <c r="H2840" s="37"/>
      <c r="I2840" s="37"/>
      <c r="J2840" s="37"/>
    </row>
    <row r="2841" spans="1:10" x14ac:dyDescent="0.3">
      <c r="A2841" s="130"/>
      <c r="B2841" s="37"/>
      <c r="C2841" s="37"/>
      <c r="D2841" s="37"/>
      <c r="E2841" s="37"/>
      <c r="F2841" s="37"/>
      <c r="G2841" s="37"/>
      <c r="H2841" s="37"/>
      <c r="I2841" s="37"/>
      <c r="J2841" s="37"/>
    </row>
    <row r="2842" spans="1:10" x14ac:dyDescent="0.3">
      <c r="A2842" s="130"/>
      <c r="B2842" s="37"/>
      <c r="C2842" s="37"/>
      <c r="D2842" s="37"/>
      <c r="E2842" s="37"/>
      <c r="F2842" s="37"/>
      <c r="G2842" s="37"/>
      <c r="H2842" s="37"/>
      <c r="I2842" s="37"/>
      <c r="J2842" s="37"/>
    </row>
    <row r="2843" spans="1:10" x14ac:dyDescent="0.3">
      <c r="A2843" s="130"/>
      <c r="B2843" s="37"/>
      <c r="C2843" s="37"/>
      <c r="D2843" s="37"/>
      <c r="E2843" s="37"/>
      <c r="F2843" s="37"/>
      <c r="G2843" s="37"/>
      <c r="H2843" s="37"/>
      <c r="I2843" s="37"/>
      <c r="J2843" s="37"/>
    </row>
    <row r="2844" spans="1:10" x14ac:dyDescent="0.3">
      <c r="A2844" s="130"/>
      <c r="B2844" s="37"/>
      <c r="C2844" s="37"/>
      <c r="D2844" s="37"/>
      <c r="E2844" s="37"/>
      <c r="F2844" s="37"/>
      <c r="G2844" s="37"/>
      <c r="H2844" s="37"/>
      <c r="I2844" s="37"/>
      <c r="J2844" s="37"/>
    </row>
    <row r="2845" spans="1:10" x14ac:dyDescent="0.3">
      <c r="A2845" s="130"/>
      <c r="B2845" s="37"/>
      <c r="C2845" s="37"/>
      <c r="D2845" s="37"/>
      <c r="E2845" s="37"/>
      <c r="F2845" s="37"/>
      <c r="G2845" s="37"/>
      <c r="H2845" s="37"/>
      <c r="I2845" s="37"/>
      <c r="J2845" s="37"/>
    </row>
    <row r="2846" spans="1:10" x14ac:dyDescent="0.3">
      <c r="A2846" s="130"/>
      <c r="B2846" s="37"/>
      <c r="C2846" s="37"/>
      <c r="D2846" s="37"/>
      <c r="E2846" s="37"/>
      <c r="F2846" s="37"/>
      <c r="G2846" s="37"/>
      <c r="H2846" s="37"/>
      <c r="I2846" s="37"/>
      <c r="J2846" s="37"/>
    </row>
    <row r="2847" spans="1:10" x14ac:dyDescent="0.3">
      <c r="A2847" s="130"/>
      <c r="B2847" s="37"/>
      <c r="C2847" s="37"/>
      <c r="D2847" s="37"/>
      <c r="E2847" s="37"/>
      <c r="F2847" s="37"/>
      <c r="G2847" s="37"/>
      <c r="H2847" s="37"/>
      <c r="I2847" s="37"/>
      <c r="J2847" s="37"/>
    </row>
    <row r="2848" spans="1:10" x14ac:dyDescent="0.3">
      <c r="A2848" s="130"/>
      <c r="B2848" s="37"/>
      <c r="C2848" s="37"/>
      <c r="D2848" s="37"/>
      <c r="E2848" s="37"/>
      <c r="F2848" s="37"/>
      <c r="G2848" s="37"/>
      <c r="H2848" s="37"/>
      <c r="I2848" s="37"/>
      <c r="J2848" s="37"/>
    </row>
    <row r="2849" spans="1:10" x14ac:dyDescent="0.3">
      <c r="A2849" s="130"/>
      <c r="B2849" s="37"/>
      <c r="C2849" s="37"/>
      <c r="D2849" s="37"/>
      <c r="E2849" s="37"/>
      <c r="F2849" s="37"/>
      <c r="G2849" s="37"/>
      <c r="H2849" s="37"/>
      <c r="I2849" s="37"/>
      <c r="J2849" s="37"/>
    </row>
    <row r="2850" spans="1:10" x14ac:dyDescent="0.3">
      <c r="A2850" s="130"/>
      <c r="B2850" s="37"/>
      <c r="C2850" s="37"/>
      <c r="D2850" s="37"/>
      <c r="E2850" s="37"/>
      <c r="F2850" s="37"/>
      <c r="G2850" s="37"/>
      <c r="H2850" s="37"/>
      <c r="I2850" s="37"/>
      <c r="J2850" s="37"/>
    </row>
    <row r="2851" spans="1:10" x14ac:dyDescent="0.3">
      <c r="A2851" s="130"/>
      <c r="B2851" s="37"/>
      <c r="C2851" s="37"/>
      <c r="D2851" s="37"/>
      <c r="E2851" s="37"/>
      <c r="F2851" s="37"/>
      <c r="G2851" s="37"/>
      <c r="H2851" s="37"/>
      <c r="I2851" s="37"/>
      <c r="J2851" s="37"/>
    </row>
    <row r="2852" spans="1:10" x14ac:dyDescent="0.3">
      <c r="A2852" s="130"/>
      <c r="B2852" s="37"/>
      <c r="C2852" s="37"/>
      <c r="D2852" s="37"/>
      <c r="E2852" s="37"/>
      <c r="F2852" s="37"/>
      <c r="G2852" s="37"/>
      <c r="H2852" s="37"/>
      <c r="I2852" s="37"/>
      <c r="J2852" s="37"/>
    </row>
    <row r="2853" spans="1:10" x14ac:dyDescent="0.3">
      <c r="A2853" s="130"/>
      <c r="B2853" s="37"/>
      <c r="C2853" s="37"/>
      <c r="D2853" s="37"/>
      <c r="E2853" s="37"/>
      <c r="F2853" s="37"/>
      <c r="G2853" s="37"/>
      <c r="H2853" s="37"/>
      <c r="I2853" s="37"/>
      <c r="J2853" s="37"/>
    </row>
    <row r="2854" spans="1:10" x14ac:dyDescent="0.3">
      <c r="A2854" s="130"/>
      <c r="B2854" s="37"/>
      <c r="C2854" s="37"/>
      <c r="D2854" s="37"/>
      <c r="E2854" s="37"/>
      <c r="F2854" s="37"/>
      <c r="G2854" s="37"/>
      <c r="H2854" s="37"/>
      <c r="I2854" s="37"/>
      <c r="J2854" s="37"/>
    </row>
    <row r="2855" spans="1:10" x14ac:dyDescent="0.3">
      <c r="A2855" s="130"/>
      <c r="B2855" s="37"/>
      <c r="C2855" s="37"/>
      <c r="D2855" s="37"/>
      <c r="E2855" s="37"/>
      <c r="F2855" s="37"/>
      <c r="G2855" s="37"/>
      <c r="H2855" s="37"/>
      <c r="I2855" s="37"/>
      <c r="J2855" s="37"/>
    </row>
    <row r="2856" spans="1:10" x14ac:dyDescent="0.3">
      <c r="A2856" s="130"/>
      <c r="B2856" s="37"/>
      <c r="C2856" s="37"/>
      <c r="D2856" s="37"/>
      <c r="E2856" s="37"/>
      <c r="F2856" s="37"/>
      <c r="G2856" s="37"/>
      <c r="H2856" s="37"/>
      <c r="I2856" s="37"/>
      <c r="J2856" s="37"/>
    </row>
    <row r="2857" spans="1:10" x14ac:dyDescent="0.3">
      <c r="A2857" s="130"/>
      <c r="B2857" s="37"/>
      <c r="C2857" s="37"/>
      <c r="D2857" s="37"/>
      <c r="E2857" s="37"/>
      <c r="F2857" s="37"/>
      <c r="G2857" s="37"/>
      <c r="H2857" s="37"/>
      <c r="I2857" s="37"/>
      <c r="J2857" s="37"/>
    </row>
    <row r="2858" spans="1:10" x14ac:dyDescent="0.3">
      <c r="A2858" s="130"/>
      <c r="B2858" s="37"/>
      <c r="C2858" s="37"/>
      <c r="D2858" s="37"/>
      <c r="E2858" s="37"/>
      <c r="F2858" s="37"/>
      <c r="G2858" s="37"/>
      <c r="H2858" s="37"/>
      <c r="I2858" s="37"/>
      <c r="J2858" s="37"/>
    </row>
    <row r="2859" spans="1:10" x14ac:dyDescent="0.3">
      <c r="A2859" s="130"/>
      <c r="B2859" s="37"/>
      <c r="C2859" s="37"/>
      <c r="D2859" s="37"/>
      <c r="E2859" s="37"/>
      <c r="F2859" s="37"/>
      <c r="G2859" s="37"/>
      <c r="H2859" s="37"/>
      <c r="I2859" s="37"/>
      <c r="J2859" s="37"/>
    </row>
    <row r="2860" spans="1:10" x14ac:dyDescent="0.3">
      <c r="A2860" s="130"/>
      <c r="B2860" s="37"/>
      <c r="C2860" s="37"/>
      <c r="D2860" s="37"/>
      <c r="E2860" s="37"/>
      <c r="F2860" s="37"/>
      <c r="G2860" s="37"/>
      <c r="H2860" s="37"/>
      <c r="I2860" s="37"/>
      <c r="J2860" s="37"/>
    </row>
    <row r="2861" spans="1:10" x14ac:dyDescent="0.3">
      <c r="A2861" s="130"/>
      <c r="B2861" s="37"/>
      <c r="C2861" s="37"/>
      <c r="D2861" s="37"/>
      <c r="E2861" s="37"/>
      <c r="F2861" s="37"/>
      <c r="G2861" s="37"/>
      <c r="H2861" s="37"/>
      <c r="I2861" s="37"/>
      <c r="J2861" s="37"/>
    </row>
    <row r="2862" spans="1:10" x14ac:dyDescent="0.3">
      <c r="A2862" s="130"/>
      <c r="B2862" s="37"/>
      <c r="C2862" s="37"/>
      <c r="D2862" s="37"/>
      <c r="E2862" s="37"/>
      <c r="F2862" s="37"/>
      <c r="G2862" s="37"/>
      <c r="H2862" s="37"/>
      <c r="I2862" s="37"/>
      <c r="J2862" s="37"/>
    </row>
    <row r="2863" spans="1:10" x14ac:dyDescent="0.3">
      <c r="A2863" s="130"/>
      <c r="B2863" s="37"/>
      <c r="C2863" s="37"/>
      <c r="D2863" s="37"/>
      <c r="E2863" s="37"/>
      <c r="F2863" s="37"/>
      <c r="G2863" s="37"/>
      <c r="H2863" s="37"/>
      <c r="I2863" s="37"/>
      <c r="J2863" s="37"/>
    </row>
    <row r="2864" spans="1:10" x14ac:dyDescent="0.3">
      <c r="A2864" s="130"/>
      <c r="B2864" s="37"/>
      <c r="C2864" s="37"/>
      <c r="D2864" s="37"/>
      <c r="E2864" s="37"/>
      <c r="F2864" s="37"/>
      <c r="G2864" s="37"/>
      <c r="H2864" s="37"/>
      <c r="I2864" s="37"/>
      <c r="J2864" s="37"/>
    </row>
    <row r="2865" spans="1:10" x14ac:dyDescent="0.3">
      <c r="A2865" s="130"/>
      <c r="B2865" s="37"/>
      <c r="C2865" s="37"/>
      <c r="D2865" s="37"/>
      <c r="E2865" s="37"/>
      <c r="F2865" s="37"/>
      <c r="G2865" s="37"/>
      <c r="H2865" s="37"/>
      <c r="I2865" s="37"/>
      <c r="J2865" s="37"/>
    </row>
    <row r="2866" spans="1:10" x14ac:dyDescent="0.3">
      <c r="A2866" s="130"/>
      <c r="B2866" s="37"/>
      <c r="C2866" s="37"/>
      <c r="D2866" s="37"/>
      <c r="E2866" s="37"/>
      <c r="F2866" s="37"/>
      <c r="G2866" s="37"/>
      <c r="H2866" s="37"/>
      <c r="I2866" s="37"/>
      <c r="J2866" s="37"/>
    </row>
    <row r="2867" spans="1:10" x14ac:dyDescent="0.3">
      <c r="A2867" s="130"/>
      <c r="B2867" s="37"/>
      <c r="C2867" s="37"/>
      <c r="D2867" s="37"/>
      <c r="E2867" s="37"/>
      <c r="F2867" s="37"/>
      <c r="G2867" s="37"/>
      <c r="H2867" s="37"/>
      <c r="I2867" s="37"/>
      <c r="J2867" s="37"/>
    </row>
    <row r="2868" spans="1:10" x14ac:dyDescent="0.3">
      <c r="A2868" s="130"/>
      <c r="B2868" s="37"/>
      <c r="C2868" s="37"/>
      <c r="D2868" s="37"/>
      <c r="E2868" s="37"/>
      <c r="F2868" s="37"/>
      <c r="G2868" s="37"/>
      <c r="H2868" s="37"/>
      <c r="I2868" s="37"/>
      <c r="J2868" s="37"/>
    </row>
    <row r="2869" spans="1:10" x14ac:dyDescent="0.3">
      <c r="A2869" s="130"/>
      <c r="B2869" s="37"/>
      <c r="C2869" s="37"/>
      <c r="D2869" s="37"/>
      <c r="E2869" s="37"/>
      <c r="F2869" s="37"/>
      <c r="G2869" s="37"/>
      <c r="H2869" s="37"/>
      <c r="I2869" s="37"/>
      <c r="J2869" s="37"/>
    </row>
    <row r="2870" spans="1:10" x14ac:dyDescent="0.3">
      <c r="A2870" s="130"/>
      <c r="B2870" s="37"/>
      <c r="C2870" s="37"/>
      <c r="D2870" s="37"/>
      <c r="E2870" s="37"/>
      <c r="F2870" s="37"/>
      <c r="G2870" s="37"/>
      <c r="H2870" s="37"/>
      <c r="I2870" s="37"/>
      <c r="J2870" s="37"/>
    </row>
    <row r="2871" spans="1:10" x14ac:dyDescent="0.3">
      <c r="A2871" s="130"/>
      <c r="B2871" s="37"/>
      <c r="C2871" s="37"/>
      <c r="D2871" s="37"/>
      <c r="E2871" s="37"/>
      <c r="F2871" s="37"/>
      <c r="G2871" s="37"/>
      <c r="H2871" s="37"/>
      <c r="I2871" s="37"/>
      <c r="J2871" s="37"/>
    </row>
    <row r="2872" spans="1:10" x14ac:dyDescent="0.3">
      <c r="A2872" s="130"/>
      <c r="B2872" s="37"/>
      <c r="C2872" s="37"/>
      <c r="D2872" s="37"/>
      <c r="E2872" s="37"/>
      <c r="F2872" s="37"/>
      <c r="G2872" s="37"/>
      <c r="H2872" s="37"/>
      <c r="I2872" s="37"/>
      <c r="J2872" s="37"/>
    </row>
    <row r="2873" spans="1:10" x14ac:dyDescent="0.3">
      <c r="A2873" s="130"/>
      <c r="B2873" s="37"/>
      <c r="C2873" s="37"/>
      <c r="D2873" s="37"/>
      <c r="E2873" s="37"/>
      <c r="F2873" s="37"/>
      <c r="G2873" s="37"/>
      <c r="H2873" s="37"/>
      <c r="I2873" s="37"/>
      <c r="J2873" s="37"/>
    </row>
    <row r="2874" spans="1:10" x14ac:dyDescent="0.3">
      <c r="A2874" s="130"/>
      <c r="B2874" s="37"/>
      <c r="C2874" s="37"/>
      <c r="D2874" s="37"/>
      <c r="E2874" s="37"/>
      <c r="F2874" s="37"/>
      <c r="G2874" s="37"/>
      <c r="H2874" s="37"/>
      <c r="I2874" s="37"/>
      <c r="J2874" s="37"/>
    </row>
    <row r="2875" spans="1:10" x14ac:dyDescent="0.3">
      <c r="A2875" s="130"/>
      <c r="B2875" s="37"/>
      <c r="C2875" s="37"/>
      <c r="D2875" s="37"/>
      <c r="E2875" s="37"/>
      <c r="F2875" s="37"/>
      <c r="G2875" s="37"/>
      <c r="H2875" s="37"/>
      <c r="I2875" s="37"/>
      <c r="J2875" s="37"/>
    </row>
    <row r="2876" spans="1:10" x14ac:dyDescent="0.3">
      <c r="A2876" s="130"/>
      <c r="B2876" s="37"/>
      <c r="C2876" s="37"/>
      <c r="D2876" s="37"/>
      <c r="E2876" s="37"/>
      <c r="F2876" s="37"/>
      <c r="G2876" s="37"/>
      <c r="H2876" s="37"/>
      <c r="I2876" s="37"/>
      <c r="J2876" s="37"/>
    </row>
    <row r="2877" spans="1:10" x14ac:dyDescent="0.3">
      <c r="A2877" s="130"/>
      <c r="B2877" s="37"/>
      <c r="C2877" s="37"/>
      <c r="D2877" s="37"/>
      <c r="E2877" s="37"/>
      <c r="F2877" s="37"/>
      <c r="G2877" s="37"/>
      <c r="H2877" s="37"/>
      <c r="I2877" s="37"/>
      <c r="J2877" s="37"/>
    </row>
    <row r="2878" spans="1:10" x14ac:dyDescent="0.3">
      <c r="A2878" s="130"/>
      <c r="B2878" s="37"/>
      <c r="C2878" s="37"/>
      <c r="D2878" s="37"/>
      <c r="E2878" s="37"/>
      <c r="F2878" s="37"/>
      <c r="G2878" s="37"/>
      <c r="H2878" s="37"/>
      <c r="I2878" s="37"/>
      <c r="J2878" s="37"/>
    </row>
    <row r="2879" spans="1:10" x14ac:dyDescent="0.3">
      <c r="A2879" s="130"/>
      <c r="B2879" s="37"/>
      <c r="C2879" s="37"/>
      <c r="D2879" s="37"/>
      <c r="E2879" s="37"/>
      <c r="F2879" s="37"/>
      <c r="G2879" s="37"/>
      <c r="H2879" s="37"/>
      <c r="I2879" s="37"/>
      <c r="J2879" s="37"/>
    </row>
    <row r="2880" spans="1:10" x14ac:dyDescent="0.3">
      <c r="A2880" s="130"/>
      <c r="B2880" s="37"/>
      <c r="C2880" s="37"/>
      <c r="D2880" s="37"/>
      <c r="E2880" s="37"/>
      <c r="F2880" s="37"/>
      <c r="G2880" s="37"/>
      <c r="H2880" s="37"/>
      <c r="I2880" s="37"/>
      <c r="J2880" s="37"/>
    </row>
    <row r="2881" spans="1:10" x14ac:dyDescent="0.3">
      <c r="A2881" s="130"/>
      <c r="B2881" s="37"/>
      <c r="C2881" s="37"/>
      <c r="D2881" s="37"/>
      <c r="E2881" s="37"/>
      <c r="F2881" s="37"/>
      <c r="G2881" s="37"/>
      <c r="H2881" s="37"/>
      <c r="I2881" s="37"/>
      <c r="J2881" s="37"/>
    </row>
    <row r="2882" spans="1:10" x14ac:dyDescent="0.3">
      <c r="A2882" s="130"/>
      <c r="B2882" s="37"/>
      <c r="C2882" s="37"/>
      <c r="D2882" s="37"/>
      <c r="E2882" s="37"/>
      <c r="F2882" s="37"/>
      <c r="G2882" s="37"/>
      <c r="H2882" s="37"/>
      <c r="I2882" s="37"/>
      <c r="J2882" s="37"/>
    </row>
    <row r="2883" spans="1:10" x14ac:dyDescent="0.3">
      <c r="A2883" s="130"/>
      <c r="B2883" s="37"/>
      <c r="C2883" s="37"/>
      <c r="D2883" s="37"/>
      <c r="E2883" s="37"/>
      <c r="F2883" s="37"/>
      <c r="G2883" s="37"/>
      <c r="H2883" s="37"/>
      <c r="I2883" s="37"/>
      <c r="J2883" s="37"/>
    </row>
    <row r="2884" spans="1:10" x14ac:dyDescent="0.3">
      <c r="A2884" s="130"/>
      <c r="B2884" s="37"/>
      <c r="C2884" s="37"/>
      <c r="D2884" s="37"/>
      <c r="E2884" s="37"/>
      <c r="F2884" s="37"/>
      <c r="G2884" s="37"/>
      <c r="H2884" s="37"/>
      <c r="I2884" s="37"/>
      <c r="J2884" s="37"/>
    </row>
    <row r="2885" spans="1:10" x14ac:dyDescent="0.3">
      <c r="A2885" s="130"/>
      <c r="B2885" s="37"/>
      <c r="C2885" s="37"/>
      <c r="D2885" s="37"/>
      <c r="E2885" s="37"/>
      <c r="F2885" s="37"/>
      <c r="G2885" s="37"/>
      <c r="H2885" s="37"/>
      <c r="I2885" s="37"/>
      <c r="J2885" s="37"/>
    </row>
    <row r="2886" spans="1:10" x14ac:dyDescent="0.3">
      <c r="A2886" s="130"/>
      <c r="B2886" s="37"/>
      <c r="C2886" s="37"/>
      <c r="D2886" s="37"/>
      <c r="E2886" s="37"/>
      <c r="F2886" s="37"/>
      <c r="G2886" s="37"/>
      <c r="H2886" s="37"/>
      <c r="I2886" s="37"/>
      <c r="J2886" s="37"/>
    </row>
    <row r="2887" spans="1:10" x14ac:dyDescent="0.3">
      <c r="A2887" s="130"/>
      <c r="B2887" s="37"/>
      <c r="C2887" s="37"/>
      <c r="D2887" s="37"/>
      <c r="E2887" s="37"/>
      <c r="F2887" s="37"/>
      <c r="G2887" s="37"/>
      <c r="H2887" s="37"/>
      <c r="I2887" s="37"/>
      <c r="J2887" s="37"/>
    </row>
    <row r="2888" spans="1:10" x14ac:dyDescent="0.3">
      <c r="A2888" s="130"/>
      <c r="B2888" s="37"/>
      <c r="C2888" s="37"/>
      <c r="D2888" s="37"/>
      <c r="E2888" s="37"/>
      <c r="F2888" s="37"/>
      <c r="G2888" s="37"/>
      <c r="H2888" s="37"/>
      <c r="I2888" s="37"/>
      <c r="J2888" s="37"/>
    </row>
    <row r="2889" spans="1:10" x14ac:dyDescent="0.3">
      <c r="A2889" s="130"/>
      <c r="B2889" s="37"/>
      <c r="C2889" s="37"/>
      <c r="D2889" s="37"/>
      <c r="E2889" s="37"/>
      <c r="F2889" s="37"/>
      <c r="G2889" s="37"/>
      <c r="H2889" s="37"/>
      <c r="I2889" s="37"/>
      <c r="J2889" s="37"/>
    </row>
    <row r="2890" spans="1:10" x14ac:dyDescent="0.3">
      <c r="A2890" s="130"/>
      <c r="B2890" s="37"/>
      <c r="C2890" s="37"/>
      <c r="D2890" s="37"/>
      <c r="E2890" s="37"/>
      <c r="F2890" s="37"/>
      <c r="G2890" s="37"/>
      <c r="H2890" s="37"/>
      <c r="I2890" s="37"/>
      <c r="J2890" s="37"/>
    </row>
    <row r="2891" spans="1:10" x14ac:dyDescent="0.3">
      <c r="A2891" s="130"/>
      <c r="B2891" s="37"/>
      <c r="C2891" s="37"/>
      <c r="D2891" s="37"/>
      <c r="E2891" s="37"/>
      <c r="F2891" s="37"/>
      <c r="G2891" s="37"/>
      <c r="H2891" s="37"/>
      <c r="I2891" s="37"/>
      <c r="J2891" s="37"/>
    </row>
    <row r="2892" spans="1:10" x14ac:dyDescent="0.3">
      <c r="A2892" s="130"/>
      <c r="B2892" s="37"/>
      <c r="C2892" s="37"/>
      <c r="D2892" s="37"/>
      <c r="E2892" s="37"/>
      <c r="F2892" s="37"/>
      <c r="G2892" s="37"/>
      <c r="H2892" s="37"/>
      <c r="I2892" s="37"/>
      <c r="J2892" s="37"/>
    </row>
    <row r="2893" spans="1:10" x14ac:dyDescent="0.3">
      <c r="A2893" s="130"/>
      <c r="B2893" s="37"/>
      <c r="C2893" s="37"/>
      <c r="D2893" s="37"/>
      <c r="E2893" s="37"/>
      <c r="F2893" s="37"/>
      <c r="G2893" s="37"/>
      <c r="H2893" s="37"/>
      <c r="I2893" s="37"/>
      <c r="J2893" s="37"/>
    </row>
    <row r="2894" spans="1:10" x14ac:dyDescent="0.3">
      <c r="A2894" s="130"/>
      <c r="B2894" s="37"/>
      <c r="C2894" s="37"/>
      <c r="D2894" s="37"/>
      <c r="E2894" s="37"/>
      <c r="F2894" s="37"/>
      <c r="G2894" s="37"/>
      <c r="H2894" s="37"/>
      <c r="I2894" s="37"/>
      <c r="J2894" s="37"/>
    </row>
    <row r="2895" spans="1:10" x14ac:dyDescent="0.3">
      <c r="A2895" s="130"/>
      <c r="B2895" s="37"/>
      <c r="C2895" s="37"/>
      <c r="D2895" s="37"/>
      <c r="E2895" s="37"/>
      <c r="F2895" s="37"/>
      <c r="G2895" s="37"/>
      <c r="H2895" s="37"/>
      <c r="I2895" s="37"/>
      <c r="J2895" s="37"/>
    </row>
    <row r="2896" spans="1:10" x14ac:dyDescent="0.3">
      <c r="A2896" s="130"/>
      <c r="B2896" s="37"/>
      <c r="C2896" s="37"/>
      <c r="D2896" s="37"/>
      <c r="E2896" s="37"/>
      <c r="F2896" s="37"/>
      <c r="G2896" s="37"/>
      <c r="H2896" s="37"/>
      <c r="I2896" s="37"/>
      <c r="J2896" s="37"/>
    </row>
    <row r="2897" spans="1:10" x14ac:dyDescent="0.3">
      <c r="A2897" s="130"/>
      <c r="B2897" s="37"/>
      <c r="C2897" s="37"/>
      <c r="D2897" s="37"/>
      <c r="E2897" s="37"/>
      <c r="F2897" s="37"/>
      <c r="G2897" s="37"/>
      <c r="H2897" s="37"/>
      <c r="I2897" s="37"/>
      <c r="J2897" s="37"/>
    </row>
    <row r="2898" spans="1:10" x14ac:dyDescent="0.3">
      <c r="A2898" s="130"/>
      <c r="B2898" s="37"/>
      <c r="C2898" s="37"/>
      <c r="D2898" s="37"/>
      <c r="E2898" s="37"/>
      <c r="F2898" s="37"/>
      <c r="G2898" s="37"/>
      <c r="H2898" s="37"/>
      <c r="I2898" s="37"/>
      <c r="J2898" s="37"/>
    </row>
    <row r="2899" spans="1:10" x14ac:dyDescent="0.3">
      <c r="A2899" s="130"/>
      <c r="B2899" s="37"/>
      <c r="C2899" s="37"/>
      <c r="D2899" s="37"/>
      <c r="E2899" s="37"/>
      <c r="F2899" s="37"/>
      <c r="G2899" s="37"/>
      <c r="H2899" s="37"/>
      <c r="I2899" s="37"/>
      <c r="J2899" s="37"/>
    </row>
    <row r="2900" spans="1:10" x14ac:dyDescent="0.3">
      <c r="A2900" s="130"/>
      <c r="B2900" s="37"/>
      <c r="C2900" s="37"/>
      <c r="D2900" s="37"/>
      <c r="E2900" s="37"/>
      <c r="F2900" s="37"/>
      <c r="G2900" s="37"/>
      <c r="H2900" s="37"/>
      <c r="I2900" s="37"/>
      <c r="J2900" s="37"/>
    </row>
    <row r="2901" spans="1:10" x14ac:dyDescent="0.3">
      <c r="A2901" s="130"/>
      <c r="B2901" s="37"/>
      <c r="C2901" s="37"/>
      <c r="D2901" s="37"/>
      <c r="E2901" s="37"/>
      <c r="F2901" s="37"/>
      <c r="G2901" s="37"/>
      <c r="H2901" s="37"/>
      <c r="I2901" s="37"/>
      <c r="J2901" s="37"/>
    </row>
    <row r="2902" spans="1:10" x14ac:dyDescent="0.3">
      <c r="A2902" s="130"/>
      <c r="B2902" s="37"/>
      <c r="C2902" s="37"/>
      <c r="D2902" s="37"/>
      <c r="E2902" s="37"/>
      <c r="F2902" s="37"/>
      <c r="G2902" s="37"/>
      <c r="H2902" s="37"/>
      <c r="I2902" s="37"/>
      <c r="J2902" s="37"/>
    </row>
    <row r="2903" spans="1:10" x14ac:dyDescent="0.3">
      <c r="A2903" s="130"/>
      <c r="B2903" s="37"/>
      <c r="C2903" s="37"/>
      <c r="D2903" s="37"/>
      <c r="E2903" s="37"/>
      <c r="F2903" s="37"/>
      <c r="G2903" s="37"/>
      <c r="H2903" s="37"/>
      <c r="I2903" s="37"/>
      <c r="J2903" s="37"/>
    </row>
    <row r="2904" spans="1:10" x14ac:dyDescent="0.3">
      <c r="A2904" s="130"/>
      <c r="B2904" s="37"/>
      <c r="C2904" s="37"/>
      <c r="D2904" s="37"/>
      <c r="E2904" s="37"/>
      <c r="F2904" s="37"/>
      <c r="G2904" s="37"/>
      <c r="H2904" s="37"/>
      <c r="I2904" s="37"/>
      <c r="J2904" s="37"/>
    </row>
    <row r="2905" spans="1:10" x14ac:dyDescent="0.3">
      <c r="A2905" s="130"/>
      <c r="B2905" s="37"/>
      <c r="C2905" s="37"/>
      <c r="D2905" s="37"/>
      <c r="E2905" s="37"/>
      <c r="F2905" s="37"/>
      <c r="G2905" s="37"/>
      <c r="H2905" s="37"/>
      <c r="I2905" s="37"/>
      <c r="J2905" s="37"/>
    </row>
    <row r="2906" spans="1:10" x14ac:dyDescent="0.3">
      <c r="A2906" s="130"/>
      <c r="B2906" s="37"/>
      <c r="C2906" s="37"/>
      <c r="D2906" s="37"/>
      <c r="E2906" s="37"/>
      <c r="F2906" s="37"/>
      <c r="G2906" s="37"/>
      <c r="H2906" s="37"/>
      <c r="I2906" s="37"/>
      <c r="J2906" s="37"/>
    </row>
    <row r="2907" spans="1:10" x14ac:dyDescent="0.3">
      <c r="A2907" s="130"/>
      <c r="B2907" s="37"/>
      <c r="C2907" s="37"/>
      <c r="D2907" s="37"/>
      <c r="E2907" s="37"/>
      <c r="F2907" s="37"/>
      <c r="G2907" s="37"/>
      <c r="H2907" s="37"/>
      <c r="I2907" s="37"/>
      <c r="J2907" s="37"/>
    </row>
    <row r="2908" spans="1:10" x14ac:dyDescent="0.3">
      <c r="A2908" s="130"/>
      <c r="B2908" s="37"/>
      <c r="C2908" s="37"/>
      <c r="D2908" s="37"/>
      <c r="E2908" s="37"/>
      <c r="F2908" s="37"/>
      <c r="G2908" s="37"/>
      <c r="H2908" s="37"/>
      <c r="I2908" s="37"/>
      <c r="J2908" s="37"/>
    </row>
    <row r="2909" spans="1:10" x14ac:dyDescent="0.3">
      <c r="A2909" s="130"/>
      <c r="B2909" s="37"/>
      <c r="C2909" s="37"/>
      <c r="D2909" s="37"/>
      <c r="E2909" s="37"/>
      <c r="F2909" s="37"/>
      <c r="G2909" s="37"/>
      <c r="H2909" s="37"/>
      <c r="I2909" s="37"/>
      <c r="J2909" s="37"/>
    </row>
    <row r="2910" spans="1:10" x14ac:dyDescent="0.3">
      <c r="A2910" s="130"/>
      <c r="B2910" s="37"/>
      <c r="C2910" s="37"/>
      <c r="D2910" s="37"/>
      <c r="E2910" s="37"/>
      <c r="F2910" s="37"/>
      <c r="G2910" s="37"/>
      <c r="H2910" s="37"/>
      <c r="I2910" s="37"/>
      <c r="J2910" s="37"/>
    </row>
    <row r="2911" spans="1:10" x14ac:dyDescent="0.3">
      <c r="A2911" s="130"/>
      <c r="B2911" s="37"/>
      <c r="C2911" s="37"/>
      <c r="D2911" s="37"/>
      <c r="E2911" s="37"/>
      <c r="F2911" s="37"/>
      <c r="G2911" s="37"/>
      <c r="H2911" s="37"/>
      <c r="I2911" s="37"/>
      <c r="J2911" s="37"/>
    </row>
    <row r="2912" spans="1:10" x14ac:dyDescent="0.3">
      <c r="A2912" s="130"/>
      <c r="B2912" s="37"/>
      <c r="C2912" s="37"/>
      <c r="D2912" s="37"/>
      <c r="E2912" s="37"/>
      <c r="F2912" s="37"/>
      <c r="G2912" s="37"/>
      <c r="H2912" s="37"/>
      <c r="I2912" s="37"/>
      <c r="J2912" s="37"/>
    </row>
    <row r="2913" spans="1:10" x14ac:dyDescent="0.3">
      <c r="A2913" s="130"/>
      <c r="B2913" s="37"/>
      <c r="C2913" s="37"/>
      <c r="D2913" s="37"/>
      <c r="E2913" s="37"/>
      <c r="F2913" s="37"/>
      <c r="G2913" s="37"/>
      <c r="H2913" s="37"/>
      <c r="I2913" s="37"/>
      <c r="J2913" s="37"/>
    </row>
    <row r="2914" spans="1:10" x14ac:dyDescent="0.3">
      <c r="A2914" s="130"/>
      <c r="B2914" s="37"/>
      <c r="C2914" s="37"/>
      <c r="D2914" s="37"/>
      <c r="E2914" s="37"/>
      <c r="F2914" s="37"/>
      <c r="G2914" s="37"/>
      <c r="H2914" s="37"/>
      <c r="I2914" s="37"/>
      <c r="J2914" s="37"/>
    </row>
    <row r="2915" spans="1:10" x14ac:dyDescent="0.3">
      <c r="A2915" s="130"/>
      <c r="B2915" s="37"/>
      <c r="C2915" s="37"/>
      <c r="D2915" s="37"/>
      <c r="E2915" s="37"/>
      <c r="F2915" s="37"/>
      <c r="G2915" s="37"/>
      <c r="H2915" s="37"/>
      <c r="I2915" s="37"/>
      <c r="J2915" s="37"/>
    </row>
    <row r="2916" spans="1:10" x14ac:dyDescent="0.3">
      <c r="A2916" s="130"/>
      <c r="B2916" s="37"/>
      <c r="C2916" s="37"/>
      <c r="D2916" s="37"/>
      <c r="E2916" s="37"/>
      <c r="F2916" s="37"/>
      <c r="G2916" s="37"/>
      <c r="H2916" s="37"/>
      <c r="I2916" s="37"/>
      <c r="J2916" s="37"/>
    </row>
    <row r="2917" spans="1:10" x14ac:dyDescent="0.3">
      <c r="A2917" s="130"/>
      <c r="B2917" s="37"/>
      <c r="C2917" s="37"/>
      <c r="D2917" s="37"/>
      <c r="E2917" s="37"/>
      <c r="F2917" s="37"/>
      <c r="G2917" s="37"/>
      <c r="H2917" s="37"/>
      <c r="I2917" s="37"/>
      <c r="J2917" s="37"/>
    </row>
    <row r="2918" spans="1:10" x14ac:dyDescent="0.3">
      <c r="A2918" s="130"/>
      <c r="B2918" s="37"/>
      <c r="C2918" s="37"/>
      <c r="D2918" s="37"/>
      <c r="E2918" s="37"/>
      <c r="F2918" s="37"/>
      <c r="G2918" s="37"/>
      <c r="H2918" s="37"/>
      <c r="I2918" s="37"/>
      <c r="J2918" s="37"/>
    </row>
    <row r="2919" spans="1:10" x14ac:dyDescent="0.3">
      <c r="A2919" s="130"/>
      <c r="B2919" s="37"/>
      <c r="C2919" s="37"/>
      <c r="D2919" s="37"/>
      <c r="E2919" s="37"/>
      <c r="F2919" s="37"/>
      <c r="G2919" s="37"/>
      <c r="H2919" s="37"/>
      <c r="I2919" s="37"/>
      <c r="J2919" s="37"/>
    </row>
    <row r="2920" spans="1:10" x14ac:dyDescent="0.3">
      <c r="A2920" s="130"/>
      <c r="B2920" s="37"/>
      <c r="C2920" s="37"/>
      <c r="D2920" s="37"/>
      <c r="E2920" s="37"/>
      <c r="F2920" s="37"/>
      <c r="G2920" s="37"/>
      <c r="H2920" s="37"/>
      <c r="I2920" s="37"/>
      <c r="J2920" s="37"/>
    </row>
    <row r="2921" spans="1:10" x14ac:dyDescent="0.3">
      <c r="A2921" s="130"/>
      <c r="B2921" s="37"/>
      <c r="C2921" s="37"/>
      <c r="D2921" s="37"/>
      <c r="E2921" s="37"/>
      <c r="F2921" s="37"/>
      <c r="G2921" s="37"/>
      <c r="H2921" s="37"/>
      <c r="I2921" s="37"/>
      <c r="J2921" s="37"/>
    </row>
    <row r="2922" spans="1:10" x14ac:dyDescent="0.3">
      <c r="A2922" s="130"/>
      <c r="B2922" s="37"/>
      <c r="C2922" s="37"/>
      <c r="D2922" s="37"/>
      <c r="E2922" s="37"/>
      <c r="F2922" s="37"/>
      <c r="G2922" s="37"/>
      <c r="H2922" s="37"/>
      <c r="I2922" s="37"/>
      <c r="J2922" s="37"/>
    </row>
    <row r="2923" spans="1:10" x14ac:dyDescent="0.3">
      <c r="A2923" s="130"/>
      <c r="B2923" s="37"/>
      <c r="C2923" s="37"/>
      <c r="D2923" s="37"/>
      <c r="E2923" s="37"/>
      <c r="F2923" s="37"/>
      <c r="G2923" s="37"/>
      <c r="H2923" s="37"/>
      <c r="I2923" s="37"/>
      <c r="J2923" s="37"/>
    </row>
    <row r="2924" spans="1:10" x14ac:dyDescent="0.3">
      <c r="A2924" s="130"/>
      <c r="B2924" s="37"/>
      <c r="C2924" s="37"/>
      <c r="D2924" s="37"/>
      <c r="E2924" s="37"/>
      <c r="F2924" s="37"/>
      <c r="G2924" s="37"/>
      <c r="H2924" s="37"/>
      <c r="I2924" s="37"/>
      <c r="J2924" s="37"/>
    </row>
    <row r="2925" spans="1:10" x14ac:dyDescent="0.3">
      <c r="A2925" s="130"/>
      <c r="B2925" s="37"/>
      <c r="C2925" s="37"/>
      <c r="D2925" s="37"/>
      <c r="E2925" s="37"/>
      <c r="F2925" s="37"/>
      <c r="G2925" s="37"/>
      <c r="H2925" s="37"/>
      <c r="I2925" s="37"/>
      <c r="J2925" s="37"/>
    </row>
    <row r="2926" spans="1:10" x14ac:dyDescent="0.3">
      <c r="A2926" s="130"/>
      <c r="B2926" s="37"/>
      <c r="C2926" s="37"/>
      <c r="D2926" s="37"/>
      <c r="E2926" s="37"/>
      <c r="F2926" s="37"/>
      <c r="G2926" s="37"/>
      <c r="H2926" s="37"/>
      <c r="I2926" s="37"/>
      <c r="J2926" s="37"/>
    </row>
    <row r="2927" spans="1:10" x14ac:dyDescent="0.3">
      <c r="A2927" s="130"/>
      <c r="B2927" s="37"/>
      <c r="C2927" s="37"/>
      <c r="D2927" s="37"/>
      <c r="E2927" s="37"/>
      <c r="F2927" s="37"/>
      <c r="G2927" s="37"/>
      <c r="H2927" s="37"/>
      <c r="I2927" s="37"/>
      <c r="J2927" s="37"/>
    </row>
    <row r="2928" spans="1:10" x14ac:dyDescent="0.3">
      <c r="A2928" s="130"/>
      <c r="B2928" s="37"/>
      <c r="C2928" s="37"/>
      <c r="D2928" s="37"/>
      <c r="E2928" s="37"/>
      <c r="F2928" s="37"/>
      <c r="G2928" s="37"/>
      <c r="H2928" s="37"/>
      <c r="I2928" s="37"/>
      <c r="J2928" s="37"/>
    </row>
    <row r="2929" spans="1:10" x14ac:dyDescent="0.3">
      <c r="A2929" s="130"/>
      <c r="B2929" s="37"/>
      <c r="C2929" s="37"/>
      <c r="D2929" s="37"/>
      <c r="E2929" s="37"/>
      <c r="F2929" s="37"/>
      <c r="G2929" s="37"/>
      <c r="H2929" s="37"/>
      <c r="I2929" s="37"/>
      <c r="J2929" s="37"/>
    </row>
    <row r="2930" spans="1:10" x14ac:dyDescent="0.3">
      <c r="A2930" s="130"/>
      <c r="B2930" s="37"/>
      <c r="C2930" s="37"/>
      <c r="D2930" s="37"/>
      <c r="E2930" s="37"/>
      <c r="F2930" s="37"/>
      <c r="G2930" s="37"/>
      <c r="H2930" s="37"/>
      <c r="I2930" s="37"/>
      <c r="J2930" s="37"/>
    </row>
    <row r="2931" spans="1:10" x14ac:dyDescent="0.3">
      <c r="A2931" s="130"/>
      <c r="B2931" s="37"/>
      <c r="C2931" s="37"/>
      <c r="D2931" s="37"/>
      <c r="E2931" s="37"/>
      <c r="F2931" s="37"/>
      <c r="G2931" s="37"/>
      <c r="H2931" s="37"/>
      <c r="I2931" s="37"/>
      <c r="J2931" s="37"/>
    </row>
    <row r="2932" spans="1:10" x14ac:dyDescent="0.3">
      <c r="A2932" s="130"/>
      <c r="B2932" s="37"/>
      <c r="C2932" s="37"/>
      <c r="D2932" s="37"/>
      <c r="E2932" s="37"/>
      <c r="F2932" s="37"/>
      <c r="G2932" s="37"/>
      <c r="H2932" s="37"/>
      <c r="I2932" s="37"/>
      <c r="J2932" s="37"/>
    </row>
    <row r="2933" spans="1:10" x14ac:dyDescent="0.3">
      <c r="A2933" s="130"/>
      <c r="B2933" s="37"/>
      <c r="C2933" s="37"/>
      <c r="D2933" s="37"/>
      <c r="E2933" s="37"/>
      <c r="F2933" s="37"/>
      <c r="G2933" s="37"/>
      <c r="H2933" s="37"/>
      <c r="I2933" s="37"/>
      <c r="J2933" s="37"/>
    </row>
    <row r="2934" spans="1:10" x14ac:dyDescent="0.3">
      <c r="A2934" s="130"/>
      <c r="B2934" s="37"/>
      <c r="C2934" s="37"/>
      <c r="D2934" s="37"/>
      <c r="E2934" s="37"/>
      <c r="F2934" s="37"/>
      <c r="G2934" s="37"/>
      <c r="H2934" s="37"/>
      <c r="I2934" s="37"/>
      <c r="J2934" s="37"/>
    </row>
    <row r="2935" spans="1:10" x14ac:dyDescent="0.3">
      <c r="A2935" s="130"/>
      <c r="B2935" s="37"/>
      <c r="C2935" s="37"/>
      <c r="D2935" s="37"/>
      <c r="E2935" s="37"/>
      <c r="F2935" s="37"/>
      <c r="G2935" s="37"/>
      <c r="H2935" s="37"/>
      <c r="I2935" s="37"/>
      <c r="J2935" s="37"/>
    </row>
    <row r="2936" spans="1:10" x14ac:dyDescent="0.3">
      <c r="A2936" s="130"/>
      <c r="B2936" s="37"/>
      <c r="C2936" s="37"/>
      <c r="D2936" s="37"/>
      <c r="E2936" s="37"/>
      <c r="F2936" s="37"/>
      <c r="G2936" s="37"/>
      <c r="H2936" s="37"/>
      <c r="I2936" s="37"/>
      <c r="J2936" s="37"/>
    </row>
    <row r="2937" spans="1:10" x14ac:dyDescent="0.3">
      <c r="A2937" s="130"/>
      <c r="B2937" s="37"/>
      <c r="C2937" s="37"/>
      <c r="D2937" s="37"/>
      <c r="E2937" s="37"/>
      <c r="F2937" s="37"/>
      <c r="G2937" s="37"/>
      <c r="H2937" s="37"/>
      <c r="I2937" s="37"/>
      <c r="J2937" s="37"/>
    </row>
    <row r="2938" spans="1:10" x14ac:dyDescent="0.3">
      <c r="A2938" s="130"/>
      <c r="B2938" s="37"/>
      <c r="C2938" s="37"/>
      <c r="D2938" s="37"/>
      <c r="E2938" s="37"/>
      <c r="F2938" s="37"/>
      <c r="G2938" s="37"/>
      <c r="H2938" s="37"/>
      <c r="I2938" s="37"/>
      <c r="J2938" s="37"/>
    </row>
    <row r="2939" spans="1:10" x14ac:dyDescent="0.3">
      <c r="A2939" s="130"/>
      <c r="B2939" s="37"/>
      <c r="C2939" s="37"/>
      <c r="D2939" s="37"/>
      <c r="E2939" s="37"/>
      <c r="F2939" s="37"/>
      <c r="G2939" s="37"/>
      <c r="H2939" s="37"/>
      <c r="I2939" s="37"/>
      <c r="J2939" s="37"/>
    </row>
    <row r="2940" spans="1:10" x14ac:dyDescent="0.3">
      <c r="A2940" s="130"/>
      <c r="B2940" s="37"/>
      <c r="C2940" s="37"/>
      <c r="D2940" s="37"/>
      <c r="E2940" s="37"/>
      <c r="F2940" s="37"/>
      <c r="G2940" s="37"/>
      <c r="H2940" s="37"/>
      <c r="I2940" s="37"/>
      <c r="J2940" s="37"/>
    </row>
    <row r="2941" spans="1:10" x14ac:dyDescent="0.3">
      <c r="A2941" s="130"/>
      <c r="B2941" s="37"/>
      <c r="C2941" s="37"/>
      <c r="D2941" s="37"/>
      <c r="E2941" s="37"/>
      <c r="F2941" s="37"/>
      <c r="G2941" s="37"/>
      <c r="H2941" s="37"/>
      <c r="I2941" s="37"/>
      <c r="J2941" s="37"/>
    </row>
    <row r="2942" spans="1:10" x14ac:dyDescent="0.3">
      <c r="A2942" s="130"/>
      <c r="B2942" s="37"/>
      <c r="C2942" s="37"/>
      <c r="D2942" s="37"/>
      <c r="E2942" s="37"/>
      <c r="F2942" s="37"/>
      <c r="G2942" s="37"/>
      <c r="H2942" s="37"/>
      <c r="I2942" s="37"/>
      <c r="J2942" s="37"/>
    </row>
    <row r="2943" spans="1:10" x14ac:dyDescent="0.3">
      <c r="A2943" s="130"/>
      <c r="B2943" s="37"/>
      <c r="C2943" s="37"/>
      <c r="D2943" s="37"/>
      <c r="E2943" s="37"/>
      <c r="F2943" s="37"/>
      <c r="G2943" s="37"/>
      <c r="H2943" s="37"/>
      <c r="I2943" s="37"/>
      <c r="J2943" s="37"/>
    </row>
    <row r="2944" spans="1:10" x14ac:dyDescent="0.3">
      <c r="A2944" s="130"/>
      <c r="B2944" s="37"/>
      <c r="C2944" s="37"/>
      <c r="D2944" s="37"/>
      <c r="E2944" s="37"/>
      <c r="F2944" s="37"/>
      <c r="G2944" s="37"/>
      <c r="H2944" s="37"/>
      <c r="I2944" s="37"/>
      <c r="J2944" s="37"/>
    </row>
    <row r="2945" spans="1:10" x14ac:dyDescent="0.3">
      <c r="A2945" s="130"/>
      <c r="B2945" s="37"/>
      <c r="C2945" s="37"/>
      <c r="D2945" s="37"/>
      <c r="E2945" s="37"/>
      <c r="F2945" s="37"/>
      <c r="G2945" s="37"/>
      <c r="H2945" s="37"/>
      <c r="I2945" s="37"/>
      <c r="J2945" s="37"/>
    </row>
    <row r="2946" spans="1:10" x14ac:dyDescent="0.3">
      <c r="A2946" s="130"/>
      <c r="B2946" s="37"/>
      <c r="C2946" s="37"/>
      <c r="D2946" s="37"/>
      <c r="E2946" s="37"/>
      <c r="F2946" s="37"/>
      <c r="G2946" s="37"/>
      <c r="H2946" s="37"/>
      <c r="I2946" s="37"/>
      <c r="J2946" s="37"/>
    </row>
    <row r="2947" spans="1:10" x14ac:dyDescent="0.3">
      <c r="A2947" s="130"/>
      <c r="B2947" s="37"/>
      <c r="C2947" s="37"/>
      <c r="D2947" s="37"/>
      <c r="E2947" s="37"/>
      <c r="F2947" s="37"/>
      <c r="G2947" s="37"/>
      <c r="H2947" s="37"/>
      <c r="I2947" s="37"/>
      <c r="J2947" s="37"/>
    </row>
    <row r="2948" spans="1:10" x14ac:dyDescent="0.3">
      <c r="A2948" s="130"/>
      <c r="B2948" s="37"/>
      <c r="C2948" s="37"/>
      <c r="D2948" s="37"/>
      <c r="E2948" s="37"/>
      <c r="F2948" s="37"/>
      <c r="G2948" s="37"/>
      <c r="H2948" s="37"/>
      <c r="I2948" s="37"/>
      <c r="J2948" s="37"/>
    </row>
    <row r="2949" spans="1:10" x14ac:dyDescent="0.3">
      <c r="A2949" s="130"/>
      <c r="B2949" s="37"/>
      <c r="C2949" s="37"/>
      <c r="D2949" s="37"/>
      <c r="E2949" s="37"/>
      <c r="F2949" s="37"/>
      <c r="G2949" s="37"/>
      <c r="H2949" s="37"/>
      <c r="I2949" s="37"/>
      <c r="J2949" s="37"/>
    </row>
    <row r="2950" spans="1:10" x14ac:dyDescent="0.3">
      <c r="A2950" s="130"/>
      <c r="B2950" s="37"/>
      <c r="C2950" s="37"/>
      <c r="D2950" s="37"/>
      <c r="E2950" s="37"/>
      <c r="F2950" s="37"/>
      <c r="G2950" s="37"/>
      <c r="H2950" s="37"/>
      <c r="I2950" s="37"/>
      <c r="J2950" s="37"/>
    </row>
    <row r="2951" spans="1:10" x14ac:dyDescent="0.3">
      <c r="A2951" s="130"/>
      <c r="B2951" s="37"/>
      <c r="C2951" s="37"/>
      <c r="D2951" s="37"/>
      <c r="E2951" s="37"/>
      <c r="F2951" s="37"/>
      <c r="G2951" s="37"/>
      <c r="H2951" s="37"/>
      <c r="I2951" s="37"/>
      <c r="J2951" s="37"/>
    </row>
    <row r="2952" spans="1:10" x14ac:dyDescent="0.3">
      <c r="A2952" s="130"/>
      <c r="B2952" s="37"/>
      <c r="C2952" s="37"/>
      <c r="D2952" s="37"/>
      <c r="E2952" s="37"/>
      <c r="F2952" s="37"/>
      <c r="G2952" s="37"/>
      <c r="H2952" s="37"/>
      <c r="I2952" s="37"/>
      <c r="J2952" s="37"/>
    </row>
    <row r="2953" spans="1:10" x14ac:dyDescent="0.3">
      <c r="A2953" s="130"/>
      <c r="B2953" s="37"/>
      <c r="C2953" s="37"/>
      <c r="D2953" s="37"/>
      <c r="E2953" s="37"/>
      <c r="F2953" s="37"/>
      <c r="G2953" s="37"/>
      <c r="H2953" s="37"/>
      <c r="I2953" s="37"/>
      <c r="J2953" s="37"/>
    </row>
    <row r="2954" spans="1:10" x14ac:dyDescent="0.3">
      <c r="A2954" s="130"/>
      <c r="B2954" s="37"/>
      <c r="C2954" s="37"/>
      <c r="D2954" s="37"/>
      <c r="E2954" s="37"/>
      <c r="F2954" s="37"/>
      <c r="G2954" s="37"/>
      <c r="H2954" s="37"/>
      <c r="I2954" s="37"/>
      <c r="J2954" s="37"/>
    </row>
    <row r="2955" spans="1:10" x14ac:dyDescent="0.3">
      <c r="A2955" s="130"/>
      <c r="B2955" s="37"/>
      <c r="C2955" s="37"/>
      <c r="D2955" s="37"/>
      <c r="E2955" s="37"/>
      <c r="F2955" s="37"/>
      <c r="G2955" s="37"/>
      <c r="H2955" s="37"/>
      <c r="I2955" s="37"/>
      <c r="J2955" s="37"/>
    </row>
    <row r="2956" spans="1:10" x14ac:dyDescent="0.3">
      <c r="A2956" s="130"/>
      <c r="B2956" s="37"/>
      <c r="C2956" s="37"/>
      <c r="D2956" s="37"/>
      <c r="E2956" s="37"/>
      <c r="F2956" s="37"/>
      <c r="G2956" s="37"/>
      <c r="H2956" s="37"/>
      <c r="I2956" s="37"/>
      <c r="J2956" s="37"/>
    </row>
    <row r="2957" spans="1:10" x14ac:dyDescent="0.3">
      <c r="A2957" s="130"/>
      <c r="B2957" s="37"/>
      <c r="C2957" s="37"/>
      <c r="D2957" s="37"/>
      <c r="E2957" s="37"/>
      <c r="F2957" s="37"/>
      <c r="G2957" s="37"/>
      <c r="H2957" s="37"/>
      <c r="I2957" s="37"/>
      <c r="J2957" s="37"/>
    </row>
    <row r="2958" spans="1:10" x14ac:dyDescent="0.3">
      <c r="A2958" s="130"/>
      <c r="B2958" s="37"/>
      <c r="C2958" s="37"/>
      <c r="D2958" s="37"/>
      <c r="E2958" s="37"/>
      <c r="F2958" s="37"/>
      <c r="G2958" s="37"/>
      <c r="H2958" s="37"/>
      <c r="I2958" s="37"/>
      <c r="J2958" s="37"/>
    </row>
    <row r="2959" spans="1:10" x14ac:dyDescent="0.3">
      <c r="A2959" s="130"/>
      <c r="B2959" s="37"/>
      <c r="C2959" s="37"/>
      <c r="D2959" s="37"/>
      <c r="E2959" s="37"/>
      <c r="F2959" s="37"/>
      <c r="G2959" s="37"/>
      <c r="H2959" s="37"/>
      <c r="I2959" s="37"/>
      <c r="J2959" s="37"/>
    </row>
    <row r="2960" spans="1:10" x14ac:dyDescent="0.3">
      <c r="A2960" s="130"/>
      <c r="B2960" s="37"/>
      <c r="C2960" s="37"/>
      <c r="D2960" s="37"/>
      <c r="E2960" s="37"/>
      <c r="F2960" s="37"/>
      <c r="G2960" s="37"/>
      <c r="H2960" s="37"/>
      <c r="I2960" s="37"/>
      <c r="J2960" s="37"/>
    </row>
    <row r="2961" spans="1:10" x14ac:dyDescent="0.3">
      <c r="A2961" s="130"/>
      <c r="B2961" s="37"/>
      <c r="C2961" s="37"/>
      <c r="D2961" s="37"/>
      <c r="E2961" s="37"/>
      <c r="F2961" s="37"/>
      <c r="G2961" s="37"/>
      <c r="H2961" s="37"/>
      <c r="I2961" s="37"/>
      <c r="J2961" s="37"/>
    </row>
    <row r="2962" spans="1:10" x14ac:dyDescent="0.3">
      <c r="A2962" s="130"/>
      <c r="B2962" s="37"/>
      <c r="C2962" s="37"/>
      <c r="D2962" s="37"/>
      <c r="E2962" s="37"/>
      <c r="F2962" s="37"/>
      <c r="G2962" s="37"/>
      <c r="H2962" s="37"/>
      <c r="I2962" s="37"/>
      <c r="J2962" s="37"/>
    </row>
    <row r="2963" spans="1:10" x14ac:dyDescent="0.3">
      <c r="A2963" s="130"/>
      <c r="B2963" s="37"/>
      <c r="C2963" s="37"/>
      <c r="D2963" s="37"/>
      <c r="E2963" s="37"/>
      <c r="F2963" s="37"/>
      <c r="G2963" s="37"/>
      <c r="H2963" s="37"/>
      <c r="I2963" s="37"/>
      <c r="J2963" s="37"/>
    </row>
    <row r="2964" spans="1:10" x14ac:dyDescent="0.3">
      <c r="A2964" s="130"/>
      <c r="B2964" s="37"/>
      <c r="C2964" s="37"/>
      <c r="D2964" s="37"/>
      <c r="E2964" s="37"/>
      <c r="F2964" s="37"/>
      <c r="G2964" s="37"/>
      <c r="H2964" s="37"/>
      <c r="I2964" s="37"/>
      <c r="J2964" s="37"/>
    </row>
    <row r="2965" spans="1:10" x14ac:dyDescent="0.3">
      <c r="A2965" s="130"/>
      <c r="B2965" s="37"/>
      <c r="C2965" s="37"/>
      <c r="D2965" s="37"/>
      <c r="E2965" s="37"/>
      <c r="F2965" s="37"/>
      <c r="G2965" s="37"/>
      <c r="H2965" s="37"/>
      <c r="I2965" s="37"/>
      <c r="J2965" s="37"/>
    </row>
    <row r="2966" spans="1:10" x14ac:dyDescent="0.3">
      <c r="A2966" s="130"/>
      <c r="B2966" s="37"/>
      <c r="C2966" s="37"/>
      <c r="D2966" s="37"/>
      <c r="E2966" s="37"/>
      <c r="F2966" s="37"/>
      <c r="G2966" s="37"/>
      <c r="H2966" s="37"/>
      <c r="I2966" s="37"/>
      <c r="J2966" s="37"/>
    </row>
    <row r="2967" spans="1:10" x14ac:dyDescent="0.3">
      <c r="A2967" s="130"/>
      <c r="B2967" s="37"/>
      <c r="C2967" s="37"/>
      <c r="D2967" s="37"/>
      <c r="E2967" s="37"/>
      <c r="F2967" s="37"/>
      <c r="G2967" s="37"/>
      <c r="H2967" s="37"/>
      <c r="I2967" s="37"/>
      <c r="J2967" s="37"/>
    </row>
    <row r="2968" spans="1:10" x14ac:dyDescent="0.3">
      <c r="A2968" s="130"/>
      <c r="B2968" s="37"/>
      <c r="C2968" s="37"/>
      <c r="D2968" s="37"/>
      <c r="E2968" s="37"/>
      <c r="F2968" s="37"/>
      <c r="G2968" s="37"/>
      <c r="H2968" s="37"/>
      <c r="I2968" s="37"/>
      <c r="J2968" s="37"/>
    </row>
    <row r="2969" spans="1:10" x14ac:dyDescent="0.3">
      <c r="A2969" s="130"/>
      <c r="B2969" s="37"/>
      <c r="C2969" s="37"/>
      <c r="D2969" s="37"/>
      <c r="E2969" s="37"/>
      <c r="F2969" s="37"/>
      <c r="G2969" s="37"/>
      <c r="H2969" s="37"/>
      <c r="I2969" s="37"/>
      <c r="J2969" s="37"/>
    </row>
    <row r="2970" spans="1:10" x14ac:dyDescent="0.3">
      <c r="A2970" s="130"/>
      <c r="B2970" s="37"/>
      <c r="C2970" s="37"/>
      <c r="D2970" s="37"/>
      <c r="E2970" s="37"/>
      <c r="F2970" s="37"/>
      <c r="G2970" s="37"/>
      <c r="H2970" s="37"/>
      <c r="I2970" s="37"/>
      <c r="J2970" s="37"/>
    </row>
    <row r="2971" spans="1:10" x14ac:dyDescent="0.3">
      <c r="A2971" s="130"/>
      <c r="B2971" s="37"/>
      <c r="C2971" s="37"/>
      <c r="D2971" s="37"/>
      <c r="E2971" s="37"/>
      <c r="F2971" s="37"/>
      <c r="G2971" s="37"/>
      <c r="H2971" s="37"/>
      <c r="I2971" s="37"/>
      <c r="J2971" s="37"/>
    </row>
    <row r="2972" spans="1:10" x14ac:dyDescent="0.3">
      <c r="A2972" s="130"/>
      <c r="B2972" s="37"/>
      <c r="C2972" s="37"/>
      <c r="D2972" s="37"/>
      <c r="E2972" s="37"/>
      <c r="F2972" s="37"/>
      <c r="G2972" s="37"/>
      <c r="H2972" s="37"/>
      <c r="I2972" s="37"/>
      <c r="J2972" s="37"/>
    </row>
    <row r="2973" spans="1:10" x14ac:dyDescent="0.3">
      <c r="A2973" s="130"/>
      <c r="B2973" s="37"/>
      <c r="C2973" s="37"/>
      <c r="D2973" s="37"/>
      <c r="E2973" s="37"/>
      <c r="F2973" s="37"/>
      <c r="G2973" s="37"/>
      <c r="H2973" s="37"/>
      <c r="I2973" s="37"/>
      <c r="J2973" s="37"/>
    </row>
    <row r="2974" spans="1:10" x14ac:dyDescent="0.3">
      <c r="A2974" s="130"/>
      <c r="B2974" s="37"/>
      <c r="C2974" s="37"/>
      <c r="D2974" s="37"/>
      <c r="E2974" s="37"/>
      <c r="F2974" s="37"/>
      <c r="G2974" s="37"/>
      <c r="H2974" s="37"/>
      <c r="I2974" s="37"/>
      <c r="J2974" s="37"/>
    </row>
    <row r="2975" spans="1:10" x14ac:dyDescent="0.3">
      <c r="A2975" s="130"/>
      <c r="B2975" s="37"/>
      <c r="C2975" s="37"/>
      <c r="D2975" s="37"/>
      <c r="E2975" s="37"/>
      <c r="F2975" s="37"/>
      <c r="G2975" s="37"/>
      <c r="H2975" s="37"/>
      <c r="I2975" s="37"/>
      <c r="J2975" s="37"/>
    </row>
    <row r="2976" spans="1:10" x14ac:dyDescent="0.3">
      <c r="A2976" s="130"/>
      <c r="B2976" s="37"/>
      <c r="C2976" s="37"/>
      <c r="D2976" s="37"/>
      <c r="E2976" s="37"/>
      <c r="F2976" s="37"/>
      <c r="G2976" s="37"/>
      <c r="H2976" s="37"/>
      <c r="I2976" s="37"/>
      <c r="J2976" s="37"/>
    </row>
    <row r="2977" spans="1:10" x14ac:dyDescent="0.3">
      <c r="A2977" s="130"/>
      <c r="B2977" s="37"/>
      <c r="C2977" s="37"/>
      <c r="D2977" s="37"/>
      <c r="E2977" s="37"/>
      <c r="F2977" s="37"/>
      <c r="G2977" s="37"/>
      <c r="H2977" s="37"/>
      <c r="I2977" s="37"/>
      <c r="J2977" s="37"/>
    </row>
    <row r="2978" spans="1:10" x14ac:dyDescent="0.3">
      <c r="A2978" s="130"/>
      <c r="B2978" s="37"/>
      <c r="C2978" s="37"/>
      <c r="D2978" s="37"/>
      <c r="E2978" s="37"/>
      <c r="F2978" s="37"/>
      <c r="G2978" s="37"/>
      <c r="H2978" s="37"/>
      <c r="I2978" s="37"/>
      <c r="J2978" s="37"/>
    </row>
    <row r="2979" spans="1:10" x14ac:dyDescent="0.3">
      <c r="A2979" s="130"/>
      <c r="B2979" s="37"/>
      <c r="C2979" s="37"/>
      <c r="D2979" s="37"/>
      <c r="E2979" s="37"/>
      <c r="F2979" s="37"/>
      <c r="G2979" s="37"/>
      <c r="H2979" s="37"/>
      <c r="I2979" s="37"/>
      <c r="J2979" s="37"/>
    </row>
    <row r="2980" spans="1:10" x14ac:dyDescent="0.3">
      <c r="A2980" s="130"/>
      <c r="B2980" s="37"/>
      <c r="C2980" s="37"/>
      <c r="D2980" s="37"/>
      <c r="E2980" s="37"/>
      <c r="F2980" s="37"/>
      <c r="G2980" s="37"/>
      <c r="H2980" s="37"/>
      <c r="I2980" s="37"/>
      <c r="J2980" s="37"/>
    </row>
    <row r="2981" spans="1:10" x14ac:dyDescent="0.3">
      <c r="A2981" s="130"/>
      <c r="B2981" s="37"/>
      <c r="C2981" s="37"/>
      <c r="D2981" s="37"/>
      <c r="E2981" s="37"/>
      <c r="F2981" s="37"/>
      <c r="G2981" s="37"/>
      <c r="H2981" s="37"/>
      <c r="I2981" s="37"/>
      <c r="J2981" s="37"/>
    </row>
    <row r="2982" spans="1:10" x14ac:dyDescent="0.3">
      <c r="A2982" s="130"/>
      <c r="B2982" s="37"/>
      <c r="C2982" s="37"/>
      <c r="D2982" s="37"/>
      <c r="E2982" s="37"/>
      <c r="F2982" s="37"/>
      <c r="G2982" s="37"/>
      <c r="H2982" s="37"/>
      <c r="I2982" s="37"/>
      <c r="J2982" s="37"/>
    </row>
    <row r="2983" spans="1:10" x14ac:dyDescent="0.3">
      <c r="A2983" s="130"/>
      <c r="B2983" s="37"/>
      <c r="C2983" s="37"/>
      <c r="D2983" s="37"/>
      <c r="E2983" s="37"/>
      <c r="F2983" s="37"/>
      <c r="G2983" s="37"/>
      <c r="H2983" s="37"/>
      <c r="I2983" s="37"/>
      <c r="J2983" s="37"/>
    </row>
    <row r="2984" spans="1:10" x14ac:dyDescent="0.3">
      <c r="A2984" s="130"/>
      <c r="B2984" s="37"/>
      <c r="C2984" s="37"/>
      <c r="D2984" s="37"/>
      <c r="E2984" s="37"/>
      <c r="F2984" s="37"/>
      <c r="G2984" s="37"/>
      <c r="H2984" s="37"/>
      <c r="I2984" s="37"/>
      <c r="J2984" s="37"/>
    </row>
    <row r="2985" spans="1:10" x14ac:dyDescent="0.3">
      <c r="A2985" s="130"/>
      <c r="B2985" s="37"/>
      <c r="C2985" s="37"/>
      <c r="D2985" s="37"/>
      <c r="E2985" s="37"/>
      <c r="F2985" s="37"/>
      <c r="G2985" s="37"/>
      <c r="H2985" s="37"/>
      <c r="I2985" s="37"/>
      <c r="J2985" s="37"/>
    </row>
    <row r="2986" spans="1:10" x14ac:dyDescent="0.3">
      <c r="A2986" s="130"/>
      <c r="B2986" s="37"/>
      <c r="C2986" s="37"/>
      <c r="D2986" s="37"/>
      <c r="E2986" s="37"/>
      <c r="F2986" s="37"/>
      <c r="G2986" s="37"/>
      <c r="H2986" s="37"/>
      <c r="I2986" s="37"/>
      <c r="J2986" s="37"/>
    </row>
    <row r="2987" spans="1:10" x14ac:dyDescent="0.3">
      <c r="A2987" s="130"/>
      <c r="B2987" s="37"/>
      <c r="C2987" s="37"/>
      <c r="D2987" s="37"/>
      <c r="E2987" s="37"/>
      <c r="F2987" s="37"/>
      <c r="G2987" s="37"/>
      <c r="H2987" s="37"/>
      <c r="I2987" s="37"/>
      <c r="J2987" s="37"/>
    </row>
    <row r="2988" spans="1:10" x14ac:dyDescent="0.3">
      <c r="A2988" s="130"/>
      <c r="B2988" s="37"/>
      <c r="C2988" s="37"/>
      <c r="D2988" s="37"/>
      <c r="E2988" s="37"/>
      <c r="F2988" s="37"/>
      <c r="G2988" s="37"/>
      <c r="H2988" s="37"/>
      <c r="I2988" s="37"/>
      <c r="J2988" s="37"/>
    </row>
    <row r="2989" spans="1:10" x14ac:dyDescent="0.3">
      <c r="A2989" s="130"/>
      <c r="B2989" s="37"/>
      <c r="C2989" s="37"/>
      <c r="D2989" s="37"/>
      <c r="E2989" s="37"/>
      <c r="F2989" s="37"/>
      <c r="G2989" s="37"/>
      <c r="H2989" s="37"/>
      <c r="I2989" s="37"/>
      <c r="J2989" s="37"/>
    </row>
    <row r="2990" spans="1:10" x14ac:dyDescent="0.3">
      <c r="A2990" s="130"/>
      <c r="B2990" s="37"/>
      <c r="C2990" s="37"/>
      <c r="D2990" s="37"/>
      <c r="E2990" s="37"/>
      <c r="F2990" s="37"/>
      <c r="G2990" s="37"/>
      <c r="H2990" s="37"/>
      <c r="I2990" s="37"/>
      <c r="J2990" s="37"/>
    </row>
    <row r="2991" spans="1:10" x14ac:dyDescent="0.3">
      <c r="A2991" s="130"/>
      <c r="B2991" s="37"/>
      <c r="C2991" s="37"/>
      <c r="D2991" s="37"/>
      <c r="E2991" s="37"/>
      <c r="F2991" s="37"/>
      <c r="G2991" s="37"/>
      <c r="H2991" s="37"/>
      <c r="I2991" s="37"/>
      <c r="J2991" s="37"/>
    </row>
    <row r="2992" spans="1:10" x14ac:dyDescent="0.3">
      <c r="A2992" s="130"/>
      <c r="B2992" s="37"/>
      <c r="C2992" s="37"/>
      <c r="D2992" s="37"/>
      <c r="E2992" s="37"/>
      <c r="F2992" s="37"/>
      <c r="G2992" s="37"/>
      <c r="H2992" s="37"/>
      <c r="I2992" s="37"/>
      <c r="J2992" s="37"/>
    </row>
    <row r="2993" spans="1:10" x14ac:dyDescent="0.3">
      <c r="A2993" s="130"/>
      <c r="B2993" s="37"/>
      <c r="C2993" s="37"/>
      <c r="D2993" s="37"/>
      <c r="E2993" s="37"/>
      <c r="F2993" s="37"/>
      <c r="G2993" s="37"/>
      <c r="H2993" s="37"/>
      <c r="I2993" s="37"/>
      <c r="J2993" s="37"/>
    </row>
    <row r="2994" spans="1:10" x14ac:dyDescent="0.3">
      <c r="A2994" s="130"/>
      <c r="B2994" s="37"/>
      <c r="C2994" s="37"/>
      <c r="D2994" s="37"/>
      <c r="E2994" s="37"/>
      <c r="F2994" s="37"/>
      <c r="G2994" s="37"/>
      <c r="H2994" s="37"/>
      <c r="I2994" s="37"/>
      <c r="J2994" s="37"/>
    </row>
    <row r="2995" spans="1:10" x14ac:dyDescent="0.3">
      <c r="A2995" s="130"/>
      <c r="B2995" s="37"/>
      <c r="C2995" s="37"/>
      <c r="D2995" s="37"/>
      <c r="E2995" s="37"/>
      <c r="F2995" s="37"/>
      <c r="G2995" s="37"/>
      <c r="H2995" s="37"/>
      <c r="I2995" s="37"/>
      <c r="J2995" s="37"/>
    </row>
    <row r="2996" spans="1:10" x14ac:dyDescent="0.3">
      <c r="A2996" s="130"/>
      <c r="B2996" s="37"/>
      <c r="C2996" s="37"/>
      <c r="D2996" s="37"/>
      <c r="E2996" s="37"/>
      <c r="F2996" s="37"/>
      <c r="G2996" s="37"/>
      <c r="H2996" s="37"/>
      <c r="I2996" s="37"/>
      <c r="J2996" s="37"/>
    </row>
    <row r="2997" spans="1:10" x14ac:dyDescent="0.3">
      <c r="A2997" s="130"/>
      <c r="B2997" s="37"/>
      <c r="C2997" s="37"/>
      <c r="D2997" s="37"/>
      <c r="E2997" s="37"/>
      <c r="F2997" s="37"/>
      <c r="G2997" s="37"/>
      <c r="H2997" s="37"/>
      <c r="I2997" s="37"/>
      <c r="J2997" s="37"/>
    </row>
    <row r="2998" spans="1:10" x14ac:dyDescent="0.3">
      <c r="A2998" s="130"/>
      <c r="B2998" s="37"/>
      <c r="C2998" s="37"/>
      <c r="D2998" s="37"/>
      <c r="E2998" s="37"/>
      <c r="F2998" s="37"/>
      <c r="G2998" s="37"/>
      <c r="H2998" s="37"/>
      <c r="I2998" s="37"/>
      <c r="J2998" s="37"/>
    </row>
    <row r="2999" spans="1:10" x14ac:dyDescent="0.3">
      <c r="A2999" s="130"/>
      <c r="B2999" s="37"/>
      <c r="C2999" s="37"/>
      <c r="D2999" s="37"/>
      <c r="E2999" s="37"/>
      <c r="F2999" s="37"/>
      <c r="G2999" s="37"/>
      <c r="H2999" s="37"/>
      <c r="I2999" s="37"/>
      <c r="J2999" s="37"/>
    </row>
    <row r="3000" spans="1:10" x14ac:dyDescent="0.3">
      <c r="A3000" s="130"/>
      <c r="B3000" s="37"/>
      <c r="C3000" s="37"/>
      <c r="D3000" s="37"/>
      <c r="E3000" s="37"/>
      <c r="F3000" s="37"/>
      <c r="G3000" s="37"/>
      <c r="H3000" s="37"/>
      <c r="I3000" s="37"/>
      <c r="J3000" s="37"/>
    </row>
    <row r="3001" spans="1:10" x14ac:dyDescent="0.3">
      <c r="A3001" s="130"/>
      <c r="B3001" s="37"/>
      <c r="C3001" s="37"/>
      <c r="D3001" s="37"/>
      <c r="E3001" s="37"/>
      <c r="F3001" s="37"/>
      <c r="G3001" s="37"/>
      <c r="H3001" s="37"/>
      <c r="I3001" s="37"/>
      <c r="J3001" s="37"/>
    </row>
    <row r="3002" spans="1:10" x14ac:dyDescent="0.3">
      <c r="A3002" s="130"/>
      <c r="B3002" s="37"/>
      <c r="C3002" s="37"/>
      <c r="D3002" s="37"/>
      <c r="E3002" s="37"/>
      <c r="F3002" s="37"/>
      <c r="G3002" s="37"/>
      <c r="H3002" s="37"/>
      <c r="I3002" s="37"/>
      <c r="J3002" s="37"/>
    </row>
    <row r="3003" spans="1:10" x14ac:dyDescent="0.3">
      <c r="A3003" s="130"/>
      <c r="B3003" s="37"/>
      <c r="C3003" s="37"/>
      <c r="D3003" s="37"/>
      <c r="E3003" s="37"/>
      <c r="F3003" s="37"/>
      <c r="G3003" s="37"/>
      <c r="H3003" s="37"/>
      <c r="I3003" s="37"/>
      <c r="J3003" s="37"/>
    </row>
    <row r="3004" spans="1:10" x14ac:dyDescent="0.3">
      <c r="A3004" s="130"/>
      <c r="B3004" s="37"/>
      <c r="C3004" s="37"/>
      <c r="D3004" s="37"/>
      <c r="E3004" s="37"/>
      <c r="F3004" s="37"/>
      <c r="G3004" s="37"/>
      <c r="H3004" s="37"/>
      <c r="I3004" s="37"/>
      <c r="J3004" s="37"/>
    </row>
    <row r="3005" spans="1:10" x14ac:dyDescent="0.3">
      <c r="A3005" s="130"/>
      <c r="B3005" s="37"/>
      <c r="C3005" s="37"/>
      <c r="D3005" s="37"/>
      <c r="E3005" s="37"/>
      <c r="F3005" s="37"/>
      <c r="G3005" s="37"/>
      <c r="H3005" s="37"/>
      <c r="I3005" s="37"/>
      <c r="J3005" s="37"/>
    </row>
    <row r="3006" spans="1:10" x14ac:dyDescent="0.3">
      <c r="A3006" s="130"/>
      <c r="B3006" s="37"/>
      <c r="C3006" s="37"/>
      <c r="D3006" s="37"/>
      <c r="E3006" s="37"/>
      <c r="F3006" s="37"/>
      <c r="G3006" s="37"/>
      <c r="H3006" s="37"/>
      <c r="I3006" s="37"/>
      <c r="J3006" s="37"/>
    </row>
    <row r="3007" spans="1:10" x14ac:dyDescent="0.3">
      <c r="A3007" s="130"/>
      <c r="B3007" s="37"/>
      <c r="C3007" s="37"/>
      <c r="D3007" s="37"/>
      <c r="E3007" s="37"/>
      <c r="F3007" s="37"/>
      <c r="G3007" s="37"/>
      <c r="H3007" s="37"/>
      <c r="I3007" s="37"/>
      <c r="J3007" s="37"/>
    </row>
    <row r="3008" spans="1:10" x14ac:dyDescent="0.3">
      <c r="A3008" s="130"/>
      <c r="B3008" s="37"/>
      <c r="C3008" s="37"/>
      <c r="D3008" s="37"/>
      <c r="E3008" s="37"/>
      <c r="F3008" s="37"/>
      <c r="G3008" s="37"/>
      <c r="H3008" s="37"/>
      <c r="I3008" s="37"/>
      <c r="J3008" s="37"/>
    </row>
    <row r="3009" spans="1:10" x14ac:dyDescent="0.3">
      <c r="A3009" s="130"/>
      <c r="B3009" s="37"/>
      <c r="C3009" s="37"/>
      <c r="D3009" s="37"/>
      <c r="E3009" s="37"/>
      <c r="F3009" s="37"/>
      <c r="G3009" s="37"/>
      <c r="H3009" s="37"/>
      <c r="I3009" s="37"/>
      <c r="J3009" s="37"/>
    </row>
    <row r="3010" spans="1:10" x14ac:dyDescent="0.3">
      <c r="A3010" s="130"/>
      <c r="B3010" s="37"/>
      <c r="C3010" s="37"/>
      <c r="D3010" s="37"/>
      <c r="E3010" s="37"/>
      <c r="F3010" s="37"/>
      <c r="G3010" s="37"/>
      <c r="H3010" s="37"/>
      <c r="I3010" s="37"/>
      <c r="J3010" s="37"/>
    </row>
    <row r="3011" spans="1:10" x14ac:dyDescent="0.3">
      <c r="A3011" s="130"/>
      <c r="B3011" s="37"/>
      <c r="C3011" s="37"/>
      <c r="D3011" s="37"/>
      <c r="E3011" s="37"/>
      <c r="F3011" s="37"/>
      <c r="G3011" s="37"/>
      <c r="H3011" s="37"/>
      <c r="I3011" s="37"/>
      <c r="J3011" s="37"/>
    </row>
    <row r="3012" spans="1:10" x14ac:dyDescent="0.3">
      <c r="A3012" s="130"/>
      <c r="B3012" s="37"/>
      <c r="C3012" s="37"/>
      <c r="D3012" s="37"/>
      <c r="E3012" s="37"/>
      <c r="F3012" s="37"/>
      <c r="G3012" s="37"/>
      <c r="H3012" s="37"/>
      <c r="I3012" s="37"/>
      <c r="J3012" s="37"/>
    </row>
    <row r="3013" spans="1:10" x14ac:dyDescent="0.3">
      <c r="A3013" s="130"/>
      <c r="B3013" s="37"/>
      <c r="C3013" s="37"/>
      <c r="D3013" s="37"/>
      <c r="E3013" s="37"/>
      <c r="F3013" s="37"/>
      <c r="G3013" s="37"/>
      <c r="H3013" s="37"/>
      <c r="I3013" s="37"/>
      <c r="J3013" s="37"/>
    </row>
    <row r="3014" spans="1:10" x14ac:dyDescent="0.3">
      <c r="A3014" s="130"/>
      <c r="B3014" s="37"/>
      <c r="C3014" s="37"/>
      <c r="D3014" s="37"/>
      <c r="E3014" s="37"/>
      <c r="F3014" s="37"/>
      <c r="G3014" s="37"/>
      <c r="H3014" s="37"/>
      <c r="I3014" s="37"/>
      <c r="J3014" s="37"/>
    </row>
    <row r="3015" spans="1:10" x14ac:dyDescent="0.3">
      <c r="A3015" s="130"/>
      <c r="B3015" s="37"/>
      <c r="C3015" s="37"/>
      <c r="D3015" s="37"/>
      <c r="E3015" s="37"/>
      <c r="F3015" s="37"/>
      <c r="G3015" s="37"/>
      <c r="H3015" s="37"/>
      <c r="I3015" s="37"/>
      <c r="J3015" s="37"/>
    </row>
    <row r="3016" spans="1:10" x14ac:dyDescent="0.3">
      <c r="A3016" s="130"/>
      <c r="B3016" s="37"/>
      <c r="C3016" s="37"/>
      <c r="D3016" s="37"/>
      <c r="E3016" s="37"/>
      <c r="F3016" s="37"/>
      <c r="G3016" s="37"/>
      <c r="H3016" s="37"/>
      <c r="I3016" s="37"/>
      <c r="J3016" s="37"/>
    </row>
    <row r="3017" spans="1:10" x14ac:dyDescent="0.3">
      <c r="A3017" s="130"/>
      <c r="B3017" s="37"/>
      <c r="C3017" s="37"/>
      <c r="D3017" s="37"/>
      <c r="E3017" s="37"/>
      <c r="F3017" s="37"/>
      <c r="G3017" s="37"/>
      <c r="H3017" s="37"/>
      <c r="I3017" s="37"/>
      <c r="J3017" s="37"/>
    </row>
    <row r="3018" spans="1:10" x14ac:dyDescent="0.3">
      <c r="A3018" s="130"/>
      <c r="B3018" s="37"/>
      <c r="C3018" s="37"/>
      <c r="D3018" s="37"/>
      <c r="E3018" s="37"/>
      <c r="F3018" s="37"/>
      <c r="G3018" s="37"/>
      <c r="H3018" s="37"/>
      <c r="I3018" s="37"/>
      <c r="J3018" s="37"/>
    </row>
    <row r="3019" spans="1:10" x14ac:dyDescent="0.3">
      <c r="A3019" s="130"/>
      <c r="B3019" s="37"/>
      <c r="C3019" s="37"/>
      <c r="D3019" s="37"/>
      <c r="E3019" s="37"/>
      <c r="F3019" s="37"/>
      <c r="G3019" s="37"/>
      <c r="H3019" s="37"/>
      <c r="I3019" s="37"/>
      <c r="J3019" s="37"/>
    </row>
    <row r="3020" spans="1:10" x14ac:dyDescent="0.3">
      <c r="A3020" s="130"/>
      <c r="B3020" s="37"/>
      <c r="C3020" s="37"/>
      <c r="D3020" s="37"/>
      <c r="E3020" s="37"/>
      <c r="F3020" s="37"/>
      <c r="G3020" s="37"/>
      <c r="H3020" s="37"/>
      <c r="I3020" s="37"/>
      <c r="J3020" s="37"/>
    </row>
    <row r="3021" spans="1:10" x14ac:dyDescent="0.3">
      <c r="A3021" s="130"/>
      <c r="B3021" s="37"/>
      <c r="C3021" s="37"/>
      <c r="D3021" s="37"/>
      <c r="E3021" s="37"/>
      <c r="F3021" s="37"/>
      <c r="G3021" s="37"/>
      <c r="H3021" s="37"/>
      <c r="I3021" s="37"/>
      <c r="J3021" s="37"/>
    </row>
    <row r="3022" spans="1:10" x14ac:dyDescent="0.3">
      <c r="A3022" s="130"/>
      <c r="B3022" s="37"/>
      <c r="C3022" s="37"/>
      <c r="D3022" s="37"/>
      <c r="E3022" s="37"/>
      <c r="F3022" s="37"/>
      <c r="G3022" s="37"/>
      <c r="H3022" s="37"/>
      <c r="I3022" s="37"/>
      <c r="J3022" s="37"/>
    </row>
    <row r="3023" spans="1:10" x14ac:dyDescent="0.3">
      <c r="A3023" s="130"/>
      <c r="B3023" s="37"/>
      <c r="C3023" s="37"/>
      <c r="D3023" s="37"/>
      <c r="E3023" s="37"/>
      <c r="F3023" s="37"/>
      <c r="G3023" s="37"/>
      <c r="H3023" s="37"/>
      <c r="I3023" s="37"/>
      <c r="J3023" s="37"/>
    </row>
    <row r="3024" spans="1:10" x14ac:dyDescent="0.3">
      <c r="A3024" s="130"/>
      <c r="B3024" s="37"/>
      <c r="C3024" s="37"/>
      <c r="D3024" s="37"/>
      <c r="E3024" s="37"/>
      <c r="F3024" s="37"/>
      <c r="G3024" s="37"/>
      <c r="H3024" s="37"/>
      <c r="I3024" s="37"/>
      <c r="J3024" s="37"/>
    </row>
    <row r="3025" spans="1:10" x14ac:dyDescent="0.3">
      <c r="A3025" s="130"/>
      <c r="B3025" s="37"/>
      <c r="C3025" s="37"/>
      <c r="D3025" s="37"/>
      <c r="E3025" s="37"/>
      <c r="F3025" s="37"/>
      <c r="G3025" s="37"/>
      <c r="H3025" s="37"/>
      <c r="I3025" s="37"/>
      <c r="J3025" s="37"/>
    </row>
    <row r="3026" spans="1:10" x14ac:dyDescent="0.3">
      <c r="A3026" s="130"/>
      <c r="B3026" s="37"/>
      <c r="C3026" s="37"/>
      <c r="D3026" s="37"/>
      <c r="E3026" s="37"/>
      <c r="F3026" s="37"/>
      <c r="G3026" s="37"/>
      <c r="H3026" s="37"/>
      <c r="I3026" s="37"/>
      <c r="J3026" s="37"/>
    </row>
    <row r="3027" spans="1:10" x14ac:dyDescent="0.3">
      <c r="A3027" s="130"/>
      <c r="B3027" s="37"/>
      <c r="C3027" s="37"/>
      <c r="D3027" s="37"/>
      <c r="E3027" s="37"/>
      <c r="F3027" s="37"/>
      <c r="G3027" s="37"/>
      <c r="H3027" s="37"/>
      <c r="I3027" s="37"/>
      <c r="J3027" s="37"/>
    </row>
    <row r="3028" spans="1:10" x14ac:dyDescent="0.3">
      <c r="A3028" s="130"/>
      <c r="B3028" s="37"/>
      <c r="C3028" s="37"/>
      <c r="D3028" s="37"/>
      <c r="E3028" s="37"/>
      <c r="F3028" s="37"/>
      <c r="G3028" s="37"/>
      <c r="H3028" s="37"/>
      <c r="I3028" s="37"/>
      <c r="J3028" s="37"/>
    </row>
    <row r="3029" spans="1:10" x14ac:dyDescent="0.3">
      <c r="A3029" s="130"/>
      <c r="B3029" s="37"/>
      <c r="C3029" s="37"/>
      <c r="D3029" s="37"/>
      <c r="E3029" s="37"/>
      <c r="F3029" s="37"/>
      <c r="G3029" s="37"/>
      <c r="H3029" s="37"/>
      <c r="I3029" s="37"/>
      <c r="J3029" s="37"/>
    </row>
    <row r="3030" spans="1:10" x14ac:dyDescent="0.3">
      <c r="A3030" s="130"/>
      <c r="B3030" s="37"/>
      <c r="C3030" s="37"/>
      <c r="D3030" s="37"/>
      <c r="E3030" s="37"/>
      <c r="F3030" s="37"/>
      <c r="G3030" s="37"/>
      <c r="H3030" s="37"/>
      <c r="I3030" s="37"/>
      <c r="J3030" s="37"/>
    </row>
    <row r="3031" spans="1:10" x14ac:dyDescent="0.3">
      <c r="A3031" s="130"/>
      <c r="B3031" s="37"/>
      <c r="C3031" s="37"/>
      <c r="D3031" s="37"/>
      <c r="E3031" s="37"/>
      <c r="F3031" s="37"/>
      <c r="G3031" s="37"/>
      <c r="H3031" s="37"/>
      <c r="I3031" s="37"/>
      <c r="J3031" s="37"/>
    </row>
    <row r="3032" spans="1:10" x14ac:dyDescent="0.3">
      <c r="A3032" s="130"/>
      <c r="B3032" s="37"/>
      <c r="C3032" s="37"/>
      <c r="D3032" s="37"/>
      <c r="E3032" s="37"/>
      <c r="F3032" s="37"/>
      <c r="G3032" s="37"/>
      <c r="H3032" s="37"/>
      <c r="I3032" s="37"/>
      <c r="J3032" s="37"/>
    </row>
    <row r="3033" spans="1:10" x14ac:dyDescent="0.3">
      <c r="A3033" s="130"/>
      <c r="B3033" s="37"/>
      <c r="C3033" s="37"/>
      <c r="D3033" s="37"/>
      <c r="E3033" s="37"/>
      <c r="F3033" s="37"/>
      <c r="G3033" s="37"/>
      <c r="H3033" s="37"/>
      <c r="I3033" s="37"/>
      <c r="J3033" s="37"/>
    </row>
    <row r="3034" spans="1:10" x14ac:dyDescent="0.3">
      <c r="A3034" s="130"/>
      <c r="B3034" s="37"/>
      <c r="C3034" s="37"/>
      <c r="D3034" s="37"/>
      <c r="E3034" s="37"/>
      <c r="F3034" s="37"/>
      <c r="G3034" s="37"/>
      <c r="H3034" s="37"/>
      <c r="I3034" s="37"/>
      <c r="J3034" s="37"/>
    </row>
    <row r="3035" spans="1:10" x14ac:dyDescent="0.3">
      <c r="A3035" s="130"/>
      <c r="B3035" s="37"/>
      <c r="C3035" s="37"/>
      <c r="D3035" s="37"/>
      <c r="E3035" s="37"/>
      <c r="F3035" s="37"/>
      <c r="G3035" s="37"/>
      <c r="H3035" s="37"/>
      <c r="I3035" s="37"/>
      <c r="J3035" s="37"/>
    </row>
    <row r="3036" spans="1:10" x14ac:dyDescent="0.3">
      <c r="A3036" s="130"/>
      <c r="B3036" s="37"/>
      <c r="C3036" s="37"/>
      <c r="D3036" s="37"/>
      <c r="E3036" s="37"/>
      <c r="F3036" s="37"/>
      <c r="G3036" s="37"/>
      <c r="H3036" s="37"/>
      <c r="I3036" s="37"/>
      <c r="J3036" s="37"/>
    </row>
    <row r="3037" spans="1:10" x14ac:dyDescent="0.3">
      <c r="A3037" s="130"/>
      <c r="B3037" s="37"/>
      <c r="C3037" s="37"/>
      <c r="D3037" s="37"/>
      <c r="E3037" s="37"/>
      <c r="F3037" s="37"/>
      <c r="G3037" s="37"/>
      <c r="H3037" s="37"/>
      <c r="I3037" s="37"/>
      <c r="J3037" s="37"/>
    </row>
    <row r="3038" spans="1:10" x14ac:dyDescent="0.3">
      <c r="A3038" s="130"/>
      <c r="B3038" s="37"/>
      <c r="C3038" s="37"/>
      <c r="D3038" s="37"/>
      <c r="E3038" s="37"/>
      <c r="F3038" s="37"/>
      <c r="G3038" s="37"/>
      <c r="H3038" s="37"/>
      <c r="I3038" s="37"/>
      <c r="J3038" s="37"/>
    </row>
    <row r="3039" spans="1:10" x14ac:dyDescent="0.3">
      <c r="A3039" s="130"/>
      <c r="B3039" s="37"/>
      <c r="C3039" s="37"/>
      <c r="D3039" s="37"/>
      <c r="E3039" s="37"/>
      <c r="F3039" s="37"/>
      <c r="G3039" s="37"/>
      <c r="H3039" s="37"/>
      <c r="I3039" s="37"/>
      <c r="J3039" s="37"/>
    </row>
    <row r="3040" spans="1:10" x14ac:dyDescent="0.3">
      <c r="A3040" s="130"/>
      <c r="B3040" s="37"/>
      <c r="C3040" s="37"/>
      <c r="D3040" s="37"/>
      <c r="E3040" s="37"/>
      <c r="F3040" s="37"/>
      <c r="G3040" s="37"/>
      <c r="H3040" s="37"/>
      <c r="I3040" s="37"/>
      <c r="J3040" s="37"/>
    </row>
    <row r="3041" spans="1:10" x14ac:dyDescent="0.3">
      <c r="A3041" s="130"/>
      <c r="B3041" s="37"/>
      <c r="C3041" s="37"/>
      <c r="D3041" s="37"/>
      <c r="E3041" s="37"/>
      <c r="F3041" s="37"/>
      <c r="G3041" s="37"/>
      <c r="H3041" s="37"/>
      <c r="I3041" s="37"/>
      <c r="J3041" s="37"/>
    </row>
    <row r="3042" spans="1:10" x14ac:dyDescent="0.3">
      <c r="A3042" s="130"/>
      <c r="B3042" s="37"/>
      <c r="C3042" s="37"/>
      <c r="D3042" s="37"/>
      <c r="E3042" s="37"/>
      <c r="F3042" s="37"/>
      <c r="G3042" s="37"/>
      <c r="H3042" s="37"/>
      <c r="I3042" s="37"/>
      <c r="J3042" s="37"/>
    </row>
    <row r="3043" spans="1:10" x14ac:dyDescent="0.3">
      <c r="A3043" s="130"/>
      <c r="B3043" s="37"/>
      <c r="C3043" s="37"/>
      <c r="D3043" s="37"/>
      <c r="E3043" s="37"/>
      <c r="F3043" s="37"/>
      <c r="G3043" s="37"/>
      <c r="H3043" s="37"/>
      <c r="I3043" s="37"/>
      <c r="J3043" s="37"/>
    </row>
    <row r="3044" spans="1:10" x14ac:dyDescent="0.3">
      <c r="A3044" s="130"/>
      <c r="B3044" s="37"/>
      <c r="C3044" s="37"/>
      <c r="D3044" s="37"/>
      <c r="E3044" s="37"/>
      <c r="F3044" s="37"/>
      <c r="G3044" s="37"/>
      <c r="H3044" s="37"/>
      <c r="I3044" s="37"/>
      <c r="J3044" s="37"/>
    </row>
    <row r="3045" spans="1:10" x14ac:dyDescent="0.3">
      <c r="A3045" s="130"/>
      <c r="B3045" s="37"/>
      <c r="C3045" s="37"/>
      <c r="D3045" s="37"/>
      <c r="E3045" s="37"/>
      <c r="F3045" s="37"/>
      <c r="G3045" s="37"/>
      <c r="H3045" s="37"/>
      <c r="I3045" s="37"/>
      <c r="J3045" s="37"/>
    </row>
    <row r="3046" spans="1:10" x14ac:dyDescent="0.3">
      <c r="A3046" s="130"/>
      <c r="B3046" s="37"/>
      <c r="C3046" s="37"/>
      <c r="D3046" s="37"/>
      <c r="E3046" s="37"/>
      <c r="F3046" s="37"/>
      <c r="G3046" s="37"/>
      <c r="H3046" s="37"/>
      <c r="I3046" s="37"/>
      <c r="J3046" s="37"/>
    </row>
    <row r="3047" spans="1:10" x14ac:dyDescent="0.3">
      <c r="A3047" s="130"/>
      <c r="B3047" s="37"/>
      <c r="C3047" s="37"/>
      <c r="D3047" s="37"/>
      <c r="E3047" s="37"/>
      <c r="F3047" s="37"/>
      <c r="G3047" s="37"/>
      <c r="H3047" s="37"/>
      <c r="I3047" s="37"/>
      <c r="J3047" s="37"/>
    </row>
    <row r="3048" spans="1:10" x14ac:dyDescent="0.3">
      <c r="A3048" s="130"/>
      <c r="B3048" s="37"/>
      <c r="C3048" s="37"/>
      <c r="D3048" s="37"/>
      <c r="E3048" s="37"/>
      <c r="F3048" s="37"/>
      <c r="G3048" s="37"/>
      <c r="H3048" s="37"/>
      <c r="I3048" s="37"/>
      <c r="J3048" s="37"/>
    </row>
    <row r="3049" spans="1:10" x14ac:dyDescent="0.3">
      <c r="A3049" s="130"/>
      <c r="B3049" s="37"/>
      <c r="C3049" s="37"/>
      <c r="D3049" s="37"/>
      <c r="E3049" s="37"/>
      <c r="F3049" s="37"/>
      <c r="G3049" s="37"/>
      <c r="H3049" s="37"/>
      <c r="I3049" s="37"/>
      <c r="J3049" s="37"/>
    </row>
    <row r="3050" spans="1:10" x14ac:dyDescent="0.3">
      <c r="A3050" s="130"/>
      <c r="B3050" s="37"/>
      <c r="C3050" s="37"/>
      <c r="D3050" s="37"/>
      <c r="E3050" s="37"/>
      <c r="F3050" s="37"/>
      <c r="G3050" s="37"/>
      <c r="H3050" s="37"/>
      <c r="I3050" s="37"/>
      <c r="J3050" s="37"/>
    </row>
    <row r="3051" spans="1:10" x14ac:dyDescent="0.3">
      <c r="A3051" s="130"/>
      <c r="B3051" s="37"/>
      <c r="C3051" s="37"/>
      <c r="D3051" s="37"/>
      <c r="E3051" s="37"/>
      <c r="F3051" s="37"/>
      <c r="G3051" s="37"/>
      <c r="H3051" s="37"/>
      <c r="I3051" s="37"/>
      <c r="J3051" s="37"/>
    </row>
    <row r="3052" spans="1:10" x14ac:dyDescent="0.3">
      <c r="A3052" s="130"/>
      <c r="B3052" s="37"/>
      <c r="C3052" s="37"/>
      <c r="D3052" s="37"/>
      <c r="E3052" s="37"/>
      <c r="F3052" s="37"/>
      <c r="G3052" s="37"/>
      <c r="H3052" s="37"/>
      <c r="I3052" s="37"/>
      <c r="J3052" s="37"/>
    </row>
    <row r="3053" spans="1:10" x14ac:dyDescent="0.3">
      <c r="A3053" s="130"/>
      <c r="B3053" s="37"/>
      <c r="C3053" s="37"/>
      <c r="D3053" s="37"/>
      <c r="E3053" s="37"/>
      <c r="F3053" s="37"/>
      <c r="G3053" s="37"/>
      <c r="H3053" s="37"/>
      <c r="I3053" s="37"/>
      <c r="J3053" s="37"/>
    </row>
    <row r="3054" spans="1:10" x14ac:dyDescent="0.3">
      <c r="A3054" s="130"/>
      <c r="B3054" s="37"/>
      <c r="C3054" s="37"/>
      <c r="D3054" s="37"/>
      <c r="E3054" s="37"/>
      <c r="F3054" s="37"/>
      <c r="G3054" s="37"/>
      <c r="H3054" s="37"/>
      <c r="I3054" s="37"/>
      <c r="J3054" s="37"/>
    </row>
    <row r="3055" spans="1:10" x14ac:dyDescent="0.3">
      <c r="A3055" s="130"/>
      <c r="B3055" s="37"/>
      <c r="C3055" s="37"/>
      <c r="D3055" s="37"/>
      <c r="E3055" s="37"/>
      <c r="F3055" s="37"/>
      <c r="G3055" s="37"/>
      <c r="H3055" s="37"/>
      <c r="I3055" s="37"/>
      <c r="J3055" s="37"/>
    </row>
    <row r="3056" spans="1:10" x14ac:dyDescent="0.3">
      <c r="A3056" s="130"/>
      <c r="B3056" s="37"/>
      <c r="C3056" s="37"/>
      <c r="D3056" s="37"/>
      <c r="E3056" s="37"/>
      <c r="F3056" s="37"/>
      <c r="G3056" s="37"/>
      <c r="H3056" s="37"/>
      <c r="I3056" s="37"/>
      <c r="J3056" s="37"/>
    </row>
    <row r="3057" spans="1:10" x14ac:dyDescent="0.3">
      <c r="A3057" s="130"/>
      <c r="B3057" s="37"/>
      <c r="C3057" s="37"/>
      <c r="D3057" s="37"/>
      <c r="E3057" s="37"/>
      <c r="F3057" s="37"/>
      <c r="G3057" s="37"/>
      <c r="H3057" s="37"/>
      <c r="I3057" s="37"/>
      <c r="J3057" s="37"/>
    </row>
    <row r="3058" spans="1:10" x14ac:dyDescent="0.3">
      <c r="A3058" s="130"/>
      <c r="B3058" s="37"/>
      <c r="C3058" s="37"/>
      <c r="D3058" s="37"/>
      <c r="E3058" s="37"/>
      <c r="F3058" s="37"/>
      <c r="G3058" s="37"/>
      <c r="H3058" s="37"/>
      <c r="I3058" s="37"/>
      <c r="J3058" s="37"/>
    </row>
    <row r="3059" spans="1:10" x14ac:dyDescent="0.3">
      <c r="A3059" s="130"/>
      <c r="B3059" s="37"/>
      <c r="C3059" s="37"/>
      <c r="D3059" s="37"/>
      <c r="E3059" s="37"/>
      <c r="F3059" s="37"/>
      <c r="G3059" s="37"/>
      <c r="H3059" s="37"/>
      <c r="I3059" s="37"/>
      <c r="J3059" s="37"/>
    </row>
    <row r="3060" spans="1:10" x14ac:dyDescent="0.3">
      <c r="A3060" s="130"/>
      <c r="B3060" s="37"/>
      <c r="C3060" s="37"/>
      <c r="D3060" s="37"/>
      <c r="E3060" s="37"/>
      <c r="F3060" s="37"/>
      <c r="G3060" s="37"/>
      <c r="H3060" s="37"/>
      <c r="I3060" s="37"/>
      <c r="J3060" s="37"/>
    </row>
    <row r="3061" spans="1:10" x14ac:dyDescent="0.3">
      <c r="A3061" s="130"/>
      <c r="B3061" s="37"/>
      <c r="C3061" s="37"/>
      <c r="D3061" s="37"/>
      <c r="E3061" s="37"/>
      <c r="F3061" s="37"/>
      <c r="G3061" s="37"/>
      <c r="H3061" s="37"/>
      <c r="I3061" s="37"/>
      <c r="J3061" s="37"/>
    </row>
    <row r="3062" spans="1:10" x14ac:dyDescent="0.3">
      <c r="A3062" s="130"/>
      <c r="B3062" s="37"/>
      <c r="C3062" s="37"/>
      <c r="D3062" s="37"/>
      <c r="E3062" s="37"/>
      <c r="F3062" s="37"/>
      <c r="G3062" s="37"/>
      <c r="H3062" s="37"/>
      <c r="I3062" s="37"/>
      <c r="J3062" s="37"/>
    </row>
    <row r="3063" spans="1:10" x14ac:dyDescent="0.3">
      <c r="A3063" s="130"/>
      <c r="B3063" s="37"/>
      <c r="C3063" s="37"/>
      <c r="D3063" s="37"/>
      <c r="E3063" s="37"/>
      <c r="F3063" s="37"/>
      <c r="G3063" s="37"/>
      <c r="H3063" s="37"/>
      <c r="I3063" s="37"/>
      <c r="J3063" s="37"/>
    </row>
    <row r="3064" spans="1:10" x14ac:dyDescent="0.3">
      <c r="A3064" s="130"/>
      <c r="B3064" s="37"/>
      <c r="C3064" s="37"/>
      <c r="D3064" s="37"/>
      <c r="E3064" s="37"/>
      <c r="F3064" s="37"/>
      <c r="G3064" s="37"/>
      <c r="H3064" s="37"/>
      <c r="I3064" s="37"/>
      <c r="J3064" s="37"/>
    </row>
    <row r="3065" spans="1:10" x14ac:dyDescent="0.3">
      <c r="A3065" s="130"/>
      <c r="B3065" s="37"/>
      <c r="C3065" s="37"/>
      <c r="D3065" s="37"/>
      <c r="E3065" s="37"/>
      <c r="F3065" s="37"/>
      <c r="G3065" s="37"/>
      <c r="H3065" s="37"/>
      <c r="I3065" s="37"/>
      <c r="J3065" s="37"/>
    </row>
    <row r="3066" spans="1:10" x14ac:dyDescent="0.3">
      <c r="A3066" s="130"/>
      <c r="B3066" s="37"/>
      <c r="C3066" s="37"/>
      <c r="D3066" s="37"/>
      <c r="E3066" s="37"/>
      <c r="F3066" s="37"/>
      <c r="G3066" s="37"/>
      <c r="H3066" s="37"/>
      <c r="I3066" s="37"/>
      <c r="J3066" s="37"/>
    </row>
    <row r="3067" spans="1:10" x14ac:dyDescent="0.3">
      <c r="A3067" s="130"/>
      <c r="B3067" s="37"/>
      <c r="C3067" s="37"/>
      <c r="D3067" s="37"/>
      <c r="E3067" s="37"/>
      <c r="F3067" s="37"/>
      <c r="G3067" s="37"/>
      <c r="H3067" s="37"/>
      <c r="I3067" s="37"/>
      <c r="J3067" s="37"/>
    </row>
    <row r="3068" spans="1:10" x14ac:dyDescent="0.3">
      <c r="A3068" s="130"/>
      <c r="B3068" s="37"/>
      <c r="C3068" s="37"/>
      <c r="D3068" s="37"/>
      <c r="E3068" s="37"/>
      <c r="F3068" s="37"/>
      <c r="G3068" s="37"/>
      <c r="H3068" s="37"/>
      <c r="I3068" s="37"/>
      <c r="J3068" s="37"/>
    </row>
    <row r="3069" spans="1:10" x14ac:dyDescent="0.3">
      <c r="A3069" s="130"/>
      <c r="B3069" s="37"/>
      <c r="C3069" s="37"/>
      <c r="D3069" s="37"/>
      <c r="E3069" s="37"/>
      <c r="F3069" s="37"/>
      <c r="G3069" s="37"/>
      <c r="H3069" s="37"/>
      <c r="I3069" s="37"/>
      <c r="J3069" s="37"/>
    </row>
    <row r="3070" spans="1:10" x14ac:dyDescent="0.3">
      <c r="A3070" s="130"/>
      <c r="B3070" s="37"/>
      <c r="C3070" s="37"/>
      <c r="D3070" s="37"/>
      <c r="E3070" s="37"/>
      <c r="F3070" s="37"/>
      <c r="G3070" s="37"/>
      <c r="H3070" s="37"/>
      <c r="I3070" s="37"/>
      <c r="J3070" s="37"/>
    </row>
    <row r="3071" spans="1:10" x14ac:dyDescent="0.3">
      <c r="A3071" s="130"/>
      <c r="B3071" s="37"/>
      <c r="C3071" s="37"/>
      <c r="D3071" s="37"/>
      <c r="E3071" s="37"/>
      <c r="F3071" s="37"/>
      <c r="G3071" s="37"/>
      <c r="H3071" s="37"/>
      <c r="I3071" s="37"/>
      <c r="J3071" s="37"/>
    </row>
    <row r="3072" spans="1:10" x14ac:dyDescent="0.3">
      <c r="A3072" s="130"/>
      <c r="B3072" s="37"/>
      <c r="C3072" s="37"/>
      <c r="D3072" s="37"/>
      <c r="E3072" s="37"/>
      <c r="F3072" s="37"/>
      <c r="G3072" s="37"/>
      <c r="H3072" s="37"/>
      <c r="I3072" s="37"/>
      <c r="J3072" s="37"/>
    </row>
    <row r="3073" spans="1:10" x14ac:dyDescent="0.3">
      <c r="A3073" s="130"/>
      <c r="B3073" s="37"/>
      <c r="C3073" s="37"/>
      <c r="D3073" s="37"/>
      <c r="E3073" s="37"/>
      <c r="F3073" s="37"/>
      <c r="G3073" s="37"/>
      <c r="H3073" s="37"/>
      <c r="I3073" s="37"/>
      <c r="J3073" s="37"/>
    </row>
    <row r="3074" spans="1:10" x14ac:dyDescent="0.3">
      <c r="A3074" s="130"/>
      <c r="B3074" s="37"/>
      <c r="C3074" s="37"/>
      <c r="D3074" s="37"/>
      <c r="E3074" s="37"/>
      <c r="F3074" s="37"/>
      <c r="G3074" s="37"/>
      <c r="H3074" s="37"/>
      <c r="I3074" s="37"/>
      <c r="J3074" s="37"/>
    </row>
    <row r="3075" spans="1:10" x14ac:dyDescent="0.3">
      <c r="A3075" s="130"/>
      <c r="B3075" s="37"/>
      <c r="C3075" s="37"/>
      <c r="D3075" s="37"/>
      <c r="E3075" s="37"/>
      <c r="F3075" s="37"/>
      <c r="G3075" s="37"/>
      <c r="H3075" s="37"/>
      <c r="I3075" s="37"/>
      <c r="J3075" s="37"/>
    </row>
    <row r="3076" spans="1:10" x14ac:dyDescent="0.3">
      <c r="A3076" s="130"/>
      <c r="B3076" s="37"/>
      <c r="C3076" s="37"/>
      <c r="D3076" s="37"/>
      <c r="E3076" s="37"/>
      <c r="F3076" s="37"/>
      <c r="G3076" s="37"/>
      <c r="H3076" s="37"/>
      <c r="I3076" s="37"/>
      <c r="J3076" s="37"/>
    </row>
    <row r="3077" spans="1:10" x14ac:dyDescent="0.3">
      <c r="A3077" s="130"/>
      <c r="B3077" s="37"/>
      <c r="C3077" s="37"/>
      <c r="D3077" s="37"/>
      <c r="E3077" s="37"/>
      <c r="F3077" s="37"/>
      <c r="G3077" s="37"/>
      <c r="H3077" s="37"/>
      <c r="I3077" s="37"/>
      <c r="J3077" s="37"/>
    </row>
    <row r="3078" spans="1:10" x14ac:dyDescent="0.3">
      <c r="A3078" s="130"/>
      <c r="B3078" s="37"/>
      <c r="C3078" s="37"/>
      <c r="D3078" s="37"/>
      <c r="E3078" s="37"/>
      <c r="F3078" s="37"/>
      <c r="G3078" s="37"/>
      <c r="H3078" s="37"/>
      <c r="I3078" s="37"/>
      <c r="J3078" s="37"/>
    </row>
    <row r="3079" spans="1:10" x14ac:dyDescent="0.3">
      <c r="A3079" s="130"/>
      <c r="B3079" s="37"/>
      <c r="C3079" s="37"/>
      <c r="D3079" s="37"/>
      <c r="E3079" s="37"/>
      <c r="F3079" s="37"/>
      <c r="G3079" s="37"/>
      <c r="H3079" s="37"/>
      <c r="I3079" s="37"/>
      <c r="J3079" s="37"/>
    </row>
    <row r="3080" spans="1:10" x14ac:dyDescent="0.3">
      <c r="A3080" s="130"/>
      <c r="B3080" s="37"/>
      <c r="C3080" s="37"/>
      <c r="D3080" s="37"/>
      <c r="E3080" s="37"/>
      <c r="F3080" s="37"/>
      <c r="G3080" s="37"/>
      <c r="H3080" s="37"/>
      <c r="I3080" s="37"/>
      <c r="J3080" s="37"/>
    </row>
    <row r="3081" spans="1:10" x14ac:dyDescent="0.3">
      <c r="A3081" s="130"/>
      <c r="B3081" s="37"/>
      <c r="C3081" s="37"/>
      <c r="D3081" s="37"/>
      <c r="E3081" s="37"/>
      <c r="F3081" s="37"/>
      <c r="G3081" s="37"/>
      <c r="H3081" s="37"/>
      <c r="I3081" s="37"/>
      <c r="J3081" s="37"/>
    </row>
    <row r="3082" spans="1:10" x14ac:dyDescent="0.3">
      <c r="A3082" s="130"/>
      <c r="B3082" s="37"/>
      <c r="C3082" s="37"/>
      <c r="D3082" s="37"/>
      <c r="E3082" s="37"/>
      <c r="F3082" s="37"/>
      <c r="G3082" s="37"/>
      <c r="H3082" s="37"/>
      <c r="I3082" s="37"/>
      <c r="J3082" s="37"/>
    </row>
    <row r="3083" spans="1:10" x14ac:dyDescent="0.3">
      <c r="A3083" s="130"/>
      <c r="B3083" s="37"/>
      <c r="C3083" s="37"/>
      <c r="D3083" s="37"/>
      <c r="E3083" s="37"/>
      <c r="F3083" s="37"/>
      <c r="G3083" s="37"/>
      <c r="H3083" s="37"/>
      <c r="I3083" s="37"/>
      <c r="J3083" s="37"/>
    </row>
    <row r="3084" spans="1:10" x14ac:dyDescent="0.3">
      <c r="A3084" s="130"/>
      <c r="B3084" s="37"/>
      <c r="C3084" s="37"/>
      <c r="D3084" s="37"/>
      <c r="E3084" s="37"/>
      <c r="F3084" s="37"/>
      <c r="G3084" s="37"/>
      <c r="H3084" s="37"/>
      <c r="I3084" s="37"/>
      <c r="J3084" s="37"/>
    </row>
    <row r="3085" spans="1:10" x14ac:dyDescent="0.3">
      <c r="A3085" s="130"/>
      <c r="B3085" s="37"/>
      <c r="C3085" s="37"/>
      <c r="D3085" s="37"/>
      <c r="E3085" s="37"/>
      <c r="F3085" s="37"/>
      <c r="G3085" s="37"/>
      <c r="H3085" s="37"/>
      <c r="I3085" s="37"/>
      <c r="J3085" s="37"/>
    </row>
    <row r="3086" spans="1:10" x14ac:dyDescent="0.3">
      <c r="A3086" s="130"/>
      <c r="B3086" s="37"/>
      <c r="C3086" s="37"/>
      <c r="D3086" s="37"/>
      <c r="E3086" s="37"/>
      <c r="F3086" s="37"/>
      <c r="G3086" s="37"/>
      <c r="H3086" s="37"/>
      <c r="I3086" s="37"/>
      <c r="J3086" s="37"/>
    </row>
    <row r="3087" spans="1:10" x14ac:dyDescent="0.3">
      <c r="A3087" s="130"/>
      <c r="B3087" s="37"/>
      <c r="C3087" s="37"/>
      <c r="D3087" s="37"/>
      <c r="E3087" s="37"/>
      <c r="F3087" s="37"/>
      <c r="G3087" s="37"/>
      <c r="H3087" s="37"/>
      <c r="I3087" s="37"/>
      <c r="J3087" s="37"/>
    </row>
    <row r="3088" spans="1:10" x14ac:dyDescent="0.3">
      <c r="A3088" s="130"/>
      <c r="B3088" s="37"/>
      <c r="C3088" s="37"/>
      <c r="D3088" s="37"/>
      <c r="E3088" s="37"/>
      <c r="F3088" s="37"/>
      <c r="G3088" s="37"/>
      <c r="H3088" s="37"/>
      <c r="I3088" s="37"/>
      <c r="J3088" s="37"/>
    </row>
    <row r="3089" spans="1:10" x14ac:dyDescent="0.3">
      <c r="A3089" s="130"/>
      <c r="B3089" s="37"/>
      <c r="C3089" s="37"/>
      <c r="D3089" s="37"/>
      <c r="E3089" s="37"/>
      <c r="F3089" s="37"/>
      <c r="G3089" s="37"/>
      <c r="H3089" s="37"/>
      <c r="I3089" s="37"/>
      <c r="J3089" s="37"/>
    </row>
    <row r="3090" spans="1:10" x14ac:dyDescent="0.3">
      <c r="A3090" s="130"/>
      <c r="B3090" s="37"/>
      <c r="C3090" s="37"/>
      <c r="D3090" s="37"/>
      <c r="E3090" s="37"/>
      <c r="F3090" s="37"/>
      <c r="G3090" s="37"/>
      <c r="H3090" s="37"/>
      <c r="I3090" s="37"/>
      <c r="J3090" s="37"/>
    </row>
    <row r="3091" spans="1:10" x14ac:dyDescent="0.3">
      <c r="A3091" s="130"/>
      <c r="B3091" s="37"/>
      <c r="C3091" s="37"/>
      <c r="D3091" s="37"/>
      <c r="E3091" s="37"/>
      <c r="F3091" s="37"/>
      <c r="G3091" s="37"/>
      <c r="H3091" s="37"/>
      <c r="I3091" s="37"/>
      <c r="J3091" s="37"/>
    </row>
    <row r="3092" spans="1:10" x14ac:dyDescent="0.3">
      <c r="A3092" s="130"/>
      <c r="B3092" s="37"/>
      <c r="C3092" s="37"/>
      <c r="D3092" s="37"/>
      <c r="E3092" s="37"/>
      <c r="F3092" s="37"/>
      <c r="G3092" s="37"/>
      <c r="H3092" s="37"/>
      <c r="I3092" s="37"/>
      <c r="J3092" s="37"/>
    </row>
    <row r="3093" spans="1:10" x14ac:dyDescent="0.3">
      <c r="A3093" s="130"/>
      <c r="B3093" s="37"/>
      <c r="C3093" s="37"/>
      <c r="D3093" s="37"/>
      <c r="E3093" s="37"/>
      <c r="F3093" s="37"/>
      <c r="G3093" s="37"/>
      <c r="H3093" s="37"/>
      <c r="I3093" s="37"/>
      <c r="J3093" s="37"/>
    </row>
    <row r="3094" spans="1:10" x14ac:dyDescent="0.3">
      <c r="A3094" s="130"/>
      <c r="B3094" s="37"/>
      <c r="C3094" s="37"/>
      <c r="D3094" s="37"/>
      <c r="E3094" s="37"/>
      <c r="F3094" s="37"/>
      <c r="G3094" s="37"/>
      <c r="H3094" s="37"/>
      <c r="I3094" s="37"/>
      <c r="J3094" s="37"/>
    </row>
    <row r="3095" spans="1:10" x14ac:dyDescent="0.3">
      <c r="A3095" s="130"/>
      <c r="B3095" s="37"/>
      <c r="C3095" s="37"/>
      <c r="D3095" s="37"/>
      <c r="E3095" s="37"/>
      <c r="F3095" s="37"/>
      <c r="G3095" s="37"/>
      <c r="H3095" s="37"/>
      <c r="I3095" s="37"/>
      <c r="J3095" s="37"/>
    </row>
    <row r="3096" spans="1:10" x14ac:dyDescent="0.3">
      <c r="A3096" s="130"/>
      <c r="B3096" s="37"/>
      <c r="C3096" s="37"/>
      <c r="D3096" s="37"/>
      <c r="E3096" s="37"/>
      <c r="F3096" s="37"/>
      <c r="G3096" s="37"/>
      <c r="H3096" s="37"/>
      <c r="I3096" s="37"/>
      <c r="J3096" s="37"/>
    </row>
    <row r="3097" spans="1:10" x14ac:dyDescent="0.3">
      <c r="A3097" s="130"/>
      <c r="B3097" s="37"/>
      <c r="C3097" s="37"/>
      <c r="D3097" s="37"/>
      <c r="E3097" s="37"/>
      <c r="F3097" s="37"/>
      <c r="G3097" s="37"/>
      <c r="H3097" s="37"/>
      <c r="I3097" s="37"/>
      <c r="J3097" s="37"/>
    </row>
    <row r="3098" spans="1:10" x14ac:dyDescent="0.3">
      <c r="A3098" s="130"/>
      <c r="B3098" s="37"/>
      <c r="C3098" s="37"/>
      <c r="D3098" s="37"/>
      <c r="E3098" s="37"/>
      <c r="F3098" s="37"/>
      <c r="G3098" s="37"/>
      <c r="H3098" s="37"/>
      <c r="I3098" s="37"/>
      <c r="J3098" s="37"/>
    </row>
    <row r="3099" spans="1:10" x14ac:dyDescent="0.3">
      <c r="A3099" s="130"/>
      <c r="B3099" s="37"/>
      <c r="C3099" s="37"/>
      <c r="D3099" s="37"/>
      <c r="E3099" s="37"/>
      <c r="F3099" s="37"/>
      <c r="G3099" s="37"/>
      <c r="H3099" s="37"/>
      <c r="I3099" s="37"/>
      <c r="J3099" s="37"/>
    </row>
    <row r="3100" spans="1:10" x14ac:dyDescent="0.3">
      <c r="A3100" s="130"/>
      <c r="B3100" s="37"/>
      <c r="C3100" s="37"/>
      <c r="D3100" s="37"/>
      <c r="E3100" s="37"/>
      <c r="F3100" s="37"/>
      <c r="G3100" s="37"/>
      <c r="H3100" s="37"/>
      <c r="I3100" s="37"/>
      <c r="J3100" s="37"/>
    </row>
    <row r="3101" spans="1:10" x14ac:dyDescent="0.3">
      <c r="A3101" s="130"/>
      <c r="B3101" s="37"/>
      <c r="C3101" s="37"/>
      <c r="D3101" s="37"/>
      <c r="E3101" s="37"/>
      <c r="F3101" s="37"/>
      <c r="G3101" s="37"/>
      <c r="H3101" s="37"/>
      <c r="I3101" s="37"/>
      <c r="J3101" s="37"/>
    </row>
    <row r="3102" spans="1:10" x14ac:dyDescent="0.3">
      <c r="A3102" s="130"/>
      <c r="B3102" s="37"/>
      <c r="C3102" s="37"/>
      <c r="D3102" s="37"/>
      <c r="E3102" s="37"/>
      <c r="F3102" s="37"/>
      <c r="G3102" s="37"/>
      <c r="H3102" s="37"/>
      <c r="I3102" s="37"/>
      <c r="J3102" s="37"/>
    </row>
    <row r="3103" spans="1:10" x14ac:dyDescent="0.3">
      <c r="A3103" s="130"/>
      <c r="B3103" s="37"/>
      <c r="C3103" s="37"/>
      <c r="D3103" s="37"/>
      <c r="E3103" s="37"/>
      <c r="F3103" s="37"/>
      <c r="G3103" s="37"/>
      <c r="H3103" s="37"/>
      <c r="I3103" s="37"/>
      <c r="J3103" s="37"/>
    </row>
    <row r="3104" spans="1:10" x14ac:dyDescent="0.3">
      <c r="A3104" s="130"/>
      <c r="B3104" s="37"/>
      <c r="C3104" s="37"/>
      <c r="D3104" s="37"/>
      <c r="E3104" s="37"/>
      <c r="F3104" s="37"/>
      <c r="G3104" s="37"/>
      <c r="H3104" s="37"/>
      <c r="I3104" s="37"/>
      <c r="J3104" s="37"/>
    </row>
    <row r="3105" spans="1:10" x14ac:dyDescent="0.3">
      <c r="A3105" s="130"/>
      <c r="B3105" s="37"/>
      <c r="C3105" s="37"/>
      <c r="D3105" s="37"/>
      <c r="E3105" s="37"/>
      <c r="F3105" s="37"/>
      <c r="G3105" s="37"/>
      <c r="H3105" s="37"/>
      <c r="I3105" s="37"/>
      <c r="J3105" s="37"/>
    </row>
    <row r="3106" spans="1:10" x14ac:dyDescent="0.3">
      <c r="A3106" s="130"/>
      <c r="B3106" s="37"/>
      <c r="C3106" s="37"/>
      <c r="D3106" s="37"/>
      <c r="E3106" s="37"/>
      <c r="F3106" s="37"/>
      <c r="G3106" s="37"/>
      <c r="H3106" s="37"/>
      <c r="I3106" s="37"/>
      <c r="J3106" s="37"/>
    </row>
    <row r="3107" spans="1:10" x14ac:dyDescent="0.3">
      <c r="A3107" s="130"/>
      <c r="B3107" s="37"/>
      <c r="C3107" s="37"/>
      <c r="D3107" s="37"/>
      <c r="E3107" s="37"/>
      <c r="F3107" s="37"/>
      <c r="G3107" s="37"/>
      <c r="H3107" s="37"/>
      <c r="I3107" s="37"/>
      <c r="J3107" s="37"/>
    </row>
    <row r="3108" spans="1:10" x14ac:dyDescent="0.3">
      <c r="A3108" s="130"/>
      <c r="B3108" s="37"/>
      <c r="C3108" s="37"/>
      <c r="D3108" s="37"/>
      <c r="E3108" s="37"/>
      <c r="F3108" s="37"/>
      <c r="G3108" s="37"/>
      <c r="H3108" s="37"/>
      <c r="I3108" s="37"/>
      <c r="J3108" s="37"/>
    </row>
    <row r="3109" spans="1:10" x14ac:dyDescent="0.3">
      <c r="A3109" s="130"/>
      <c r="B3109" s="37"/>
      <c r="C3109" s="37"/>
      <c r="D3109" s="37"/>
      <c r="E3109" s="37"/>
      <c r="F3109" s="37"/>
      <c r="G3109" s="37"/>
      <c r="H3109" s="37"/>
      <c r="I3109" s="37"/>
      <c r="J3109" s="37"/>
    </row>
    <row r="3110" spans="1:10" x14ac:dyDescent="0.3">
      <c r="A3110" s="130"/>
      <c r="B3110" s="37"/>
      <c r="C3110" s="37"/>
      <c r="D3110" s="37"/>
      <c r="E3110" s="37"/>
      <c r="F3110" s="37"/>
      <c r="G3110" s="37"/>
      <c r="H3110" s="37"/>
      <c r="I3110" s="37"/>
      <c r="J3110" s="37"/>
    </row>
    <row r="3111" spans="1:10" x14ac:dyDescent="0.3">
      <c r="A3111" s="130"/>
      <c r="B3111" s="37"/>
      <c r="C3111" s="37"/>
      <c r="D3111" s="37"/>
      <c r="E3111" s="37"/>
      <c r="F3111" s="37"/>
      <c r="G3111" s="37"/>
      <c r="H3111" s="37"/>
      <c r="I3111" s="37"/>
      <c r="J3111" s="37"/>
    </row>
    <row r="3112" spans="1:10" x14ac:dyDescent="0.3">
      <c r="A3112" s="130"/>
      <c r="B3112" s="37"/>
      <c r="C3112" s="37"/>
      <c r="D3112" s="37"/>
      <c r="E3112" s="37"/>
      <c r="F3112" s="37"/>
      <c r="G3112" s="37"/>
      <c r="H3112" s="37"/>
      <c r="I3112" s="37"/>
      <c r="J3112" s="37"/>
    </row>
    <row r="3113" spans="1:10" x14ac:dyDescent="0.3">
      <c r="A3113" s="130"/>
      <c r="B3113" s="37"/>
      <c r="C3113" s="37"/>
      <c r="D3113" s="37"/>
      <c r="E3113" s="37"/>
      <c r="F3113" s="37"/>
      <c r="G3113" s="37"/>
      <c r="H3113" s="37"/>
      <c r="I3113" s="37"/>
      <c r="J3113" s="37"/>
    </row>
    <row r="3114" spans="1:10" x14ac:dyDescent="0.3">
      <c r="A3114" s="130"/>
      <c r="B3114" s="37"/>
      <c r="C3114" s="37"/>
      <c r="D3114" s="37"/>
      <c r="E3114" s="37"/>
      <c r="F3114" s="37"/>
      <c r="G3114" s="37"/>
      <c r="H3114" s="37"/>
      <c r="I3114" s="37"/>
      <c r="J3114" s="37"/>
    </row>
    <row r="3115" spans="1:10" x14ac:dyDescent="0.3">
      <c r="A3115" s="130"/>
      <c r="B3115" s="37"/>
      <c r="C3115" s="37"/>
      <c r="D3115" s="37"/>
      <c r="E3115" s="37"/>
      <c r="F3115" s="37"/>
      <c r="G3115" s="37"/>
      <c r="H3115" s="37"/>
      <c r="I3115" s="37"/>
      <c r="J3115" s="37"/>
    </row>
    <row r="3116" spans="1:10" x14ac:dyDescent="0.3">
      <c r="A3116" s="130"/>
      <c r="B3116" s="37"/>
      <c r="C3116" s="37"/>
      <c r="D3116" s="37"/>
      <c r="E3116" s="37"/>
      <c r="F3116" s="37"/>
      <c r="G3116" s="37"/>
      <c r="H3116" s="37"/>
      <c r="I3116" s="37"/>
      <c r="J3116" s="37"/>
    </row>
    <row r="3117" spans="1:10" x14ac:dyDescent="0.3">
      <c r="A3117" s="130"/>
      <c r="B3117" s="37"/>
      <c r="C3117" s="37"/>
      <c r="D3117" s="37"/>
      <c r="E3117" s="37"/>
      <c r="F3117" s="37"/>
      <c r="G3117" s="37"/>
      <c r="H3117" s="37"/>
      <c r="I3117" s="37"/>
      <c r="J3117" s="37"/>
    </row>
    <row r="3118" spans="1:10" x14ac:dyDescent="0.3">
      <c r="A3118" s="130"/>
      <c r="B3118" s="37"/>
      <c r="C3118" s="37"/>
      <c r="D3118" s="37"/>
      <c r="E3118" s="37"/>
      <c r="F3118" s="37"/>
      <c r="G3118" s="37"/>
      <c r="H3118" s="37"/>
      <c r="I3118" s="37"/>
      <c r="J3118" s="37"/>
    </row>
    <row r="3119" spans="1:10" x14ac:dyDescent="0.3">
      <c r="A3119" s="130"/>
      <c r="B3119" s="37"/>
      <c r="C3119" s="37"/>
      <c r="D3119" s="37"/>
      <c r="E3119" s="37"/>
      <c r="F3119" s="37"/>
      <c r="G3119" s="37"/>
      <c r="H3119" s="37"/>
      <c r="I3119" s="37"/>
      <c r="J3119" s="37"/>
    </row>
    <row r="3120" spans="1:10" x14ac:dyDescent="0.3">
      <c r="A3120" s="130"/>
      <c r="B3120" s="37"/>
      <c r="C3120" s="37"/>
      <c r="D3120" s="37"/>
      <c r="E3120" s="37"/>
      <c r="F3120" s="37"/>
      <c r="G3120" s="37"/>
      <c r="H3120" s="37"/>
      <c r="I3120" s="37"/>
      <c r="J3120" s="37"/>
    </row>
    <row r="3121" spans="1:10" x14ac:dyDescent="0.3">
      <c r="A3121" s="130"/>
      <c r="B3121" s="37"/>
      <c r="C3121" s="37"/>
      <c r="D3121" s="37"/>
      <c r="E3121" s="37"/>
      <c r="F3121" s="37"/>
      <c r="G3121" s="37"/>
      <c r="H3121" s="37"/>
      <c r="I3121" s="37"/>
      <c r="J3121" s="37"/>
    </row>
    <row r="3122" spans="1:10" x14ac:dyDescent="0.3">
      <c r="A3122" s="130"/>
      <c r="B3122" s="37"/>
      <c r="C3122" s="37"/>
      <c r="D3122" s="37"/>
      <c r="E3122" s="37"/>
      <c r="F3122" s="37"/>
      <c r="G3122" s="37"/>
      <c r="H3122" s="37"/>
      <c r="I3122" s="37"/>
      <c r="J3122" s="37"/>
    </row>
    <row r="3123" spans="1:10" x14ac:dyDescent="0.3">
      <c r="A3123" s="130"/>
      <c r="B3123" s="37"/>
      <c r="C3123" s="37"/>
      <c r="D3123" s="37"/>
      <c r="E3123" s="37"/>
      <c r="F3123" s="37"/>
      <c r="G3123" s="37"/>
      <c r="H3123" s="37"/>
      <c r="I3123" s="37"/>
      <c r="J3123" s="37"/>
    </row>
    <row r="3124" spans="1:10" x14ac:dyDescent="0.3">
      <c r="A3124" s="130"/>
      <c r="B3124" s="37"/>
      <c r="C3124" s="37"/>
      <c r="D3124" s="37"/>
      <c r="E3124" s="37"/>
      <c r="F3124" s="37"/>
      <c r="G3124" s="37"/>
      <c r="H3124" s="37"/>
      <c r="I3124" s="37"/>
      <c r="J3124" s="37"/>
    </row>
    <row r="3125" spans="1:10" x14ac:dyDescent="0.3">
      <c r="A3125" s="130"/>
      <c r="B3125" s="37"/>
      <c r="C3125" s="37"/>
      <c r="D3125" s="37"/>
      <c r="E3125" s="37"/>
      <c r="F3125" s="37"/>
      <c r="G3125" s="37"/>
      <c r="H3125" s="37"/>
      <c r="I3125" s="37"/>
      <c r="J3125" s="37"/>
    </row>
    <row r="3126" spans="1:10" x14ac:dyDescent="0.3">
      <c r="A3126" s="130"/>
      <c r="B3126" s="37"/>
      <c r="C3126" s="37"/>
      <c r="D3126" s="37"/>
      <c r="E3126" s="37"/>
      <c r="F3126" s="37"/>
      <c r="G3126" s="37"/>
      <c r="H3126" s="37"/>
      <c r="I3126" s="37"/>
      <c r="J3126" s="37"/>
    </row>
    <row r="3127" spans="1:10" x14ac:dyDescent="0.3">
      <c r="A3127" s="130"/>
      <c r="B3127" s="37"/>
      <c r="C3127" s="37"/>
      <c r="D3127" s="37"/>
      <c r="E3127" s="37"/>
      <c r="F3127" s="37"/>
      <c r="G3127" s="37"/>
      <c r="H3127" s="37"/>
      <c r="I3127" s="37"/>
      <c r="J3127" s="37"/>
    </row>
    <row r="3128" spans="1:10" x14ac:dyDescent="0.3">
      <c r="A3128" s="130"/>
      <c r="B3128" s="37"/>
      <c r="C3128" s="37"/>
      <c r="D3128" s="37"/>
      <c r="E3128" s="37"/>
      <c r="F3128" s="37"/>
      <c r="G3128" s="37"/>
      <c r="H3128" s="37"/>
      <c r="I3128" s="37"/>
      <c r="J3128" s="37"/>
    </row>
    <row r="3129" spans="1:10" x14ac:dyDescent="0.3">
      <c r="A3129" s="130"/>
      <c r="B3129" s="37"/>
      <c r="C3129" s="37"/>
      <c r="D3129" s="37"/>
      <c r="E3129" s="37"/>
      <c r="F3129" s="37"/>
      <c r="G3129" s="37"/>
      <c r="H3129" s="37"/>
      <c r="I3129" s="37"/>
      <c r="J3129" s="37"/>
    </row>
    <row r="3130" spans="1:10" x14ac:dyDescent="0.3">
      <c r="A3130" s="130"/>
      <c r="B3130" s="37"/>
      <c r="C3130" s="37"/>
      <c r="D3130" s="37"/>
      <c r="E3130" s="37"/>
      <c r="F3130" s="37"/>
      <c r="G3130" s="37"/>
      <c r="H3130" s="37"/>
      <c r="I3130" s="37"/>
      <c r="J3130" s="37"/>
    </row>
    <row r="3131" spans="1:10" x14ac:dyDescent="0.3">
      <c r="A3131" s="130"/>
      <c r="B3131" s="37"/>
      <c r="C3131" s="37"/>
      <c r="D3131" s="37"/>
      <c r="E3131" s="37"/>
      <c r="F3131" s="37"/>
      <c r="G3131" s="37"/>
      <c r="H3131" s="37"/>
      <c r="I3131" s="37"/>
      <c r="J3131" s="37"/>
    </row>
    <row r="3132" spans="1:10" x14ac:dyDescent="0.3">
      <c r="A3132" s="130"/>
      <c r="B3132" s="37"/>
      <c r="C3132" s="37"/>
      <c r="D3132" s="37"/>
      <c r="E3132" s="37"/>
      <c r="F3132" s="37"/>
      <c r="G3132" s="37"/>
      <c r="H3132" s="37"/>
      <c r="I3132" s="37"/>
      <c r="J3132" s="37"/>
    </row>
    <row r="3133" spans="1:10" x14ac:dyDescent="0.3">
      <c r="A3133" s="130"/>
      <c r="B3133" s="37"/>
      <c r="C3133" s="37"/>
      <c r="D3133" s="37"/>
      <c r="E3133" s="37"/>
      <c r="F3133" s="37"/>
      <c r="G3133" s="37"/>
      <c r="H3133" s="37"/>
      <c r="I3133" s="37"/>
      <c r="J3133" s="37"/>
    </row>
    <row r="3134" spans="1:10" x14ac:dyDescent="0.3">
      <c r="A3134" s="130"/>
      <c r="B3134" s="37"/>
      <c r="C3134" s="37"/>
      <c r="D3134" s="37"/>
      <c r="E3134" s="37"/>
      <c r="F3134" s="37"/>
      <c r="G3134" s="37"/>
      <c r="H3134" s="37"/>
      <c r="I3134" s="37"/>
      <c r="J3134" s="37"/>
    </row>
    <row r="3135" spans="1:10" x14ac:dyDescent="0.3">
      <c r="A3135" s="130"/>
      <c r="B3135" s="37"/>
      <c r="C3135" s="37"/>
      <c r="D3135" s="37"/>
      <c r="E3135" s="37"/>
      <c r="F3135" s="37"/>
      <c r="G3135" s="37"/>
      <c r="H3135" s="37"/>
      <c r="I3135" s="37"/>
      <c r="J3135" s="37"/>
    </row>
    <row r="3136" spans="1:10" x14ac:dyDescent="0.3">
      <c r="A3136" s="130"/>
      <c r="B3136" s="37"/>
      <c r="C3136" s="37"/>
      <c r="D3136" s="37"/>
      <c r="E3136" s="37"/>
      <c r="F3136" s="37"/>
      <c r="G3136" s="37"/>
      <c r="H3136" s="37"/>
      <c r="I3136" s="37"/>
      <c r="J3136" s="37"/>
    </row>
    <row r="3137" spans="1:10" x14ac:dyDescent="0.3">
      <c r="A3137" s="130"/>
      <c r="B3137" s="37"/>
      <c r="C3137" s="37"/>
      <c r="D3137" s="37"/>
      <c r="E3137" s="37"/>
      <c r="F3137" s="37"/>
      <c r="G3137" s="37"/>
      <c r="H3137" s="37"/>
      <c r="I3137" s="37"/>
      <c r="J3137" s="37"/>
    </row>
    <row r="3138" spans="1:10" x14ac:dyDescent="0.3">
      <c r="A3138" s="130"/>
      <c r="B3138" s="37"/>
      <c r="C3138" s="37"/>
      <c r="D3138" s="37"/>
      <c r="E3138" s="37"/>
      <c r="F3138" s="37"/>
      <c r="G3138" s="37"/>
      <c r="H3138" s="37"/>
      <c r="I3138" s="37"/>
      <c r="J3138" s="37"/>
    </row>
    <row r="3139" spans="1:10" x14ac:dyDescent="0.3">
      <c r="A3139" s="130"/>
      <c r="B3139" s="37"/>
      <c r="C3139" s="37"/>
      <c r="D3139" s="37"/>
      <c r="E3139" s="37"/>
      <c r="F3139" s="37"/>
      <c r="G3139" s="37"/>
      <c r="H3139" s="37"/>
      <c r="I3139" s="37"/>
      <c r="J3139" s="37"/>
    </row>
    <row r="3140" spans="1:10" x14ac:dyDescent="0.3">
      <c r="A3140" s="130"/>
      <c r="B3140" s="37"/>
      <c r="C3140" s="37"/>
      <c r="D3140" s="37"/>
      <c r="E3140" s="37"/>
      <c r="F3140" s="37"/>
      <c r="G3140" s="37"/>
      <c r="H3140" s="37"/>
      <c r="I3140" s="37"/>
      <c r="J3140" s="37"/>
    </row>
    <row r="3141" spans="1:10" x14ac:dyDescent="0.3">
      <c r="A3141" s="130"/>
      <c r="B3141" s="37"/>
      <c r="C3141" s="37"/>
      <c r="D3141" s="37"/>
      <c r="E3141" s="37"/>
      <c r="F3141" s="37"/>
      <c r="G3141" s="37"/>
      <c r="H3141" s="37"/>
      <c r="I3141" s="37"/>
      <c r="J3141" s="37"/>
    </row>
    <row r="3142" spans="1:10" x14ac:dyDescent="0.3">
      <c r="A3142" s="130"/>
      <c r="B3142" s="37"/>
      <c r="C3142" s="37"/>
      <c r="D3142" s="37"/>
      <c r="E3142" s="37"/>
      <c r="F3142" s="37"/>
      <c r="G3142" s="37"/>
      <c r="H3142" s="37"/>
      <c r="I3142" s="37"/>
      <c r="J3142" s="37"/>
    </row>
    <row r="3143" spans="1:10" x14ac:dyDescent="0.3">
      <c r="A3143" s="130"/>
      <c r="B3143" s="37"/>
      <c r="C3143" s="37"/>
      <c r="D3143" s="37"/>
      <c r="E3143" s="37"/>
      <c r="F3143" s="37"/>
      <c r="G3143" s="37"/>
      <c r="H3143" s="37"/>
      <c r="I3143" s="37"/>
      <c r="J3143" s="37"/>
    </row>
    <row r="3144" spans="1:10" x14ac:dyDescent="0.3">
      <c r="A3144" s="130"/>
      <c r="B3144" s="37"/>
      <c r="C3144" s="37"/>
      <c r="D3144" s="37"/>
      <c r="E3144" s="37"/>
      <c r="F3144" s="37"/>
      <c r="G3144" s="37"/>
      <c r="H3144" s="37"/>
      <c r="I3144" s="37"/>
      <c r="J3144" s="37"/>
    </row>
    <row r="3145" spans="1:10" x14ac:dyDescent="0.3">
      <c r="A3145" s="130"/>
      <c r="B3145" s="37"/>
      <c r="C3145" s="37"/>
      <c r="D3145" s="37"/>
      <c r="E3145" s="37"/>
      <c r="F3145" s="37"/>
      <c r="G3145" s="37"/>
      <c r="H3145" s="37"/>
      <c r="I3145" s="37"/>
      <c r="J3145" s="37"/>
    </row>
    <row r="3146" spans="1:10" x14ac:dyDescent="0.3">
      <c r="A3146" s="130"/>
      <c r="B3146" s="37"/>
      <c r="C3146" s="37"/>
      <c r="D3146" s="37"/>
      <c r="E3146" s="37"/>
      <c r="F3146" s="37"/>
      <c r="G3146" s="37"/>
      <c r="H3146" s="37"/>
      <c r="I3146" s="37"/>
      <c r="J3146" s="37"/>
    </row>
    <row r="3147" spans="1:10" x14ac:dyDescent="0.3">
      <c r="A3147" s="130"/>
      <c r="B3147" s="37"/>
      <c r="C3147" s="37"/>
      <c r="D3147" s="37"/>
      <c r="E3147" s="37"/>
      <c r="F3147" s="37"/>
      <c r="G3147" s="37"/>
      <c r="H3147" s="37"/>
      <c r="I3147" s="37"/>
      <c r="J3147" s="37"/>
    </row>
    <row r="3148" spans="1:10" x14ac:dyDescent="0.3">
      <c r="A3148" s="130"/>
      <c r="B3148" s="37"/>
      <c r="C3148" s="37"/>
      <c r="D3148" s="37"/>
      <c r="E3148" s="37"/>
      <c r="F3148" s="37"/>
      <c r="G3148" s="37"/>
      <c r="H3148" s="37"/>
      <c r="I3148" s="37"/>
      <c r="J3148" s="37"/>
    </row>
    <row r="3149" spans="1:10" x14ac:dyDescent="0.3">
      <c r="A3149" s="130"/>
      <c r="B3149" s="37"/>
      <c r="C3149" s="37"/>
      <c r="D3149" s="37"/>
      <c r="E3149" s="37"/>
      <c r="F3149" s="37"/>
      <c r="G3149" s="37"/>
      <c r="H3149" s="37"/>
      <c r="I3149" s="37"/>
      <c r="J3149" s="37"/>
    </row>
    <row r="3150" spans="1:10" x14ac:dyDescent="0.3">
      <c r="A3150" s="130"/>
      <c r="B3150" s="37"/>
      <c r="C3150" s="37"/>
      <c r="D3150" s="37"/>
      <c r="E3150" s="37"/>
      <c r="F3150" s="37"/>
      <c r="G3150" s="37"/>
      <c r="H3150" s="37"/>
      <c r="I3150" s="37"/>
      <c r="J3150" s="37"/>
    </row>
    <row r="3151" spans="1:10" x14ac:dyDescent="0.3">
      <c r="A3151" s="130"/>
      <c r="B3151" s="37"/>
      <c r="C3151" s="37"/>
      <c r="D3151" s="37"/>
      <c r="E3151" s="37"/>
      <c r="F3151" s="37"/>
      <c r="G3151" s="37"/>
      <c r="H3151" s="37"/>
      <c r="I3151" s="37"/>
      <c r="J3151" s="37"/>
    </row>
    <row r="3152" spans="1:10" x14ac:dyDescent="0.3">
      <c r="A3152" s="130"/>
      <c r="B3152" s="37"/>
      <c r="C3152" s="37"/>
      <c r="D3152" s="37"/>
      <c r="E3152" s="37"/>
      <c r="F3152" s="37"/>
      <c r="G3152" s="37"/>
      <c r="H3152" s="37"/>
      <c r="I3152" s="37"/>
      <c r="J3152" s="37"/>
    </row>
    <row r="3153" spans="1:10" x14ac:dyDescent="0.3">
      <c r="A3153" s="130"/>
      <c r="B3153" s="37"/>
      <c r="C3153" s="37"/>
      <c r="D3153" s="37"/>
      <c r="E3153" s="37"/>
      <c r="F3153" s="37"/>
      <c r="G3153" s="37"/>
      <c r="H3153" s="37"/>
      <c r="I3153" s="37"/>
      <c r="J3153" s="37"/>
    </row>
    <row r="3154" spans="1:10" x14ac:dyDescent="0.3">
      <c r="A3154" s="130"/>
      <c r="B3154" s="37"/>
      <c r="C3154" s="37"/>
      <c r="D3154" s="37"/>
      <c r="E3154" s="37"/>
      <c r="F3154" s="37"/>
      <c r="G3154" s="37"/>
      <c r="H3154" s="37"/>
      <c r="I3154" s="37"/>
      <c r="J3154" s="37"/>
    </row>
    <row r="3155" spans="1:10" x14ac:dyDescent="0.3">
      <c r="A3155" s="130"/>
      <c r="B3155" s="37"/>
      <c r="C3155" s="37"/>
      <c r="D3155" s="37"/>
      <c r="E3155" s="37"/>
      <c r="F3155" s="37"/>
      <c r="G3155" s="37"/>
      <c r="H3155" s="37"/>
      <c r="I3155" s="37"/>
      <c r="J3155" s="37"/>
    </row>
    <row r="3156" spans="1:10" x14ac:dyDescent="0.3">
      <c r="A3156" s="130"/>
      <c r="B3156" s="37"/>
      <c r="C3156" s="37"/>
      <c r="D3156" s="37"/>
      <c r="E3156" s="37"/>
      <c r="F3156" s="37"/>
      <c r="G3156" s="37"/>
      <c r="H3156" s="37"/>
      <c r="I3156" s="37"/>
      <c r="J3156" s="37"/>
    </row>
    <row r="3157" spans="1:10" x14ac:dyDescent="0.3">
      <c r="A3157" s="130"/>
      <c r="B3157" s="37"/>
      <c r="C3157" s="37"/>
      <c r="D3157" s="37"/>
      <c r="E3157" s="37"/>
      <c r="F3157" s="37"/>
      <c r="G3157" s="37"/>
      <c r="H3157" s="37"/>
      <c r="I3157" s="37"/>
      <c r="J3157" s="37"/>
    </row>
    <row r="3158" spans="1:10" x14ac:dyDescent="0.3">
      <c r="A3158" s="130"/>
      <c r="B3158" s="37"/>
      <c r="C3158" s="37"/>
      <c r="D3158" s="37"/>
      <c r="E3158" s="37"/>
      <c r="F3158" s="37"/>
      <c r="G3158" s="37"/>
      <c r="H3158" s="37"/>
      <c r="I3158" s="37"/>
      <c r="J3158" s="37"/>
    </row>
    <row r="3159" spans="1:10" x14ac:dyDescent="0.3">
      <c r="A3159" s="130"/>
      <c r="B3159" s="37"/>
      <c r="C3159" s="37"/>
      <c r="D3159" s="37"/>
      <c r="E3159" s="37"/>
      <c r="F3159" s="37"/>
      <c r="G3159" s="37"/>
      <c r="H3159" s="37"/>
      <c r="I3159" s="37"/>
      <c r="J3159" s="37"/>
    </row>
    <row r="3160" spans="1:10" x14ac:dyDescent="0.3">
      <c r="A3160" s="130"/>
      <c r="B3160" s="37"/>
      <c r="C3160" s="37"/>
      <c r="D3160" s="37"/>
      <c r="E3160" s="37"/>
      <c r="F3160" s="37"/>
      <c r="G3160" s="37"/>
      <c r="H3160" s="37"/>
      <c r="I3160" s="37"/>
      <c r="J3160" s="37"/>
    </row>
    <row r="3161" spans="1:10" x14ac:dyDescent="0.3">
      <c r="A3161" s="130"/>
      <c r="B3161" s="37"/>
      <c r="C3161" s="37"/>
      <c r="D3161" s="37"/>
      <c r="E3161" s="37"/>
      <c r="F3161" s="37"/>
      <c r="G3161" s="37"/>
      <c r="H3161" s="37"/>
      <c r="I3161" s="37"/>
      <c r="J3161" s="37"/>
    </row>
    <row r="3162" spans="1:10" x14ac:dyDescent="0.3">
      <c r="A3162" s="130"/>
      <c r="B3162" s="37"/>
      <c r="C3162" s="37"/>
      <c r="D3162" s="37"/>
      <c r="E3162" s="37"/>
      <c r="F3162" s="37"/>
      <c r="G3162" s="37"/>
      <c r="H3162" s="37"/>
      <c r="I3162" s="37"/>
      <c r="J3162" s="37"/>
    </row>
    <row r="3163" spans="1:10" x14ac:dyDescent="0.3">
      <c r="A3163" s="130"/>
      <c r="B3163" s="37"/>
      <c r="C3163" s="37"/>
      <c r="D3163" s="37"/>
      <c r="E3163" s="37"/>
      <c r="F3163" s="37"/>
      <c r="G3163" s="37"/>
      <c r="H3163" s="37"/>
      <c r="I3163" s="37"/>
      <c r="J3163" s="37"/>
    </row>
    <row r="3164" spans="1:10" x14ac:dyDescent="0.3">
      <c r="A3164" s="130"/>
      <c r="B3164" s="37"/>
      <c r="C3164" s="37"/>
      <c r="D3164" s="37"/>
      <c r="E3164" s="37"/>
      <c r="F3164" s="37"/>
      <c r="G3164" s="37"/>
      <c r="H3164" s="37"/>
      <c r="I3164" s="37"/>
      <c r="J3164" s="37"/>
    </row>
    <row r="3165" spans="1:10" x14ac:dyDescent="0.3">
      <c r="A3165" s="130"/>
      <c r="B3165" s="37"/>
      <c r="C3165" s="37"/>
      <c r="D3165" s="37"/>
      <c r="E3165" s="37"/>
      <c r="F3165" s="37"/>
      <c r="G3165" s="37"/>
      <c r="H3165" s="37"/>
      <c r="I3165" s="37"/>
      <c r="J3165" s="37"/>
    </row>
    <row r="3166" spans="1:10" x14ac:dyDescent="0.3">
      <c r="A3166" s="130"/>
      <c r="B3166" s="37"/>
      <c r="C3166" s="37"/>
      <c r="D3166" s="37"/>
      <c r="E3166" s="37"/>
      <c r="F3166" s="37"/>
      <c r="G3166" s="37"/>
      <c r="H3166" s="37"/>
      <c r="I3166" s="37"/>
      <c r="J3166" s="37"/>
    </row>
    <row r="3167" spans="1:10" x14ac:dyDescent="0.3">
      <c r="A3167" s="130"/>
      <c r="B3167" s="37"/>
      <c r="C3167" s="37"/>
      <c r="D3167" s="37"/>
      <c r="E3167" s="37"/>
      <c r="F3167" s="37"/>
      <c r="G3167" s="37"/>
      <c r="H3167" s="37"/>
      <c r="I3167" s="37"/>
      <c r="J3167" s="37"/>
    </row>
    <row r="3168" spans="1:10" x14ac:dyDescent="0.3">
      <c r="A3168" s="130"/>
      <c r="B3168" s="37"/>
      <c r="C3168" s="37"/>
      <c r="D3168" s="37"/>
      <c r="E3168" s="37"/>
      <c r="F3168" s="37"/>
      <c r="G3168" s="37"/>
      <c r="H3168" s="37"/>
      <c r="I3168" s="37"/>
      <c r="J3168" s="37"/>
    </row>
    <row r="3169" spans="1:10" x14ac:dyDescent="0.3">
      <c r="A3169" s="130"/>
      <c r="B3169" s="37"/>
      <c r="C3169" s="37"/>
      <c r="D3169" s="37"/>
      <c r="E3169" s="37"/>
      <c r="F3169" s="37"/>
      <c r="G3169" s="37"/>
      <c r="H3169" s="37"/>
      <c r="I3169" s="37"/>
      <c r="J3169" s="37"/>
    </row>
    <row r="3170" spans="1:10" x14ac:dyDescent="0.3">
      <c r="A3170" s="130"/>
      <c r="B3170" s="37"/>
      <c r="C3170" s="37"/>
      <c r="D3170" s="37"/>
      <c r="E3170" s="37"/>
      <c r="F3170" s="37"/>
      <c r="G3170" s="37"/>
      <c r="H3170" s="37"/>
      <c r="I3170" s="37"/>
      <c r="J3170" s="37"/>
    </row>
    <row r="3171" spans="1:10" x14ac:dyDescent="0.3">
      <c r="A3171" s="130"/>
      <c r="B3171" s="37"/>
      <c r="C3171" s="37"/>
      <c r="D3171" s="37"/>
      <c r="E3171" s="37"/>
      <c r="F3171" s="37"/>
      <c r="G3171" s="37"/>
      <c r="H3171" s="37"/>
      <c r="I3171" s="37"/>
      <c r="J3171" s="37"/>
    </row>
    <row r="3172" spans="1:10" x14ac:dyDescent="0.3">
      <c r="A3172" s="130"/>
      <c r="B3172" s="37"/>
      <c r="C3172" s="37"/>
      <c r="D3172" s="37"/>
      <c r="E3172" s="37"/>
      <c r="F3172" s="37"/>
      <c r="G3172" s="37"/>
      <c r="H3172" s="37"/>
      <c r="I3172" s="37"/>
      <c r="J3172" s="37"/>
    </row>
    <row r="3173" spans="1:10" x14ac:dyDescent="0.3">
      <c r="A3173" s="130"/>
      <c r="B3173" s="37"/>
      <c r="C3173" s="37"/>
      <c r="D3173" s="37"/>
      <c r="E3173" s="37"/>
      <c r="F3173" s="37"/>
      <c r="G3173" s="37"/>
      <c r="H3173" s="37"/>
      <c r="I3173" s="37"/>
      <c r="J3173" s="37"/>
    </row>
    <row r="3174" spans="1:10" x14ac:dyDescent="0.3">
      <c r="A3174" s="130"/>
      <c r="B3174" s="37"/>
      <c r="C3174" s="37"/>
      <c r="D3174" s="37"/>
      <c r="E3174" s="37"/>
      <c r="F3174" s="37"/>
      <c r="G3174" s="37"/>
      <c r="H3174" s="37"/>
      <c r="I3174" s="37"/>
      <c r="J3174" s="37"/>
    </row>
    <row r="3175" spans="1:10" x14ac:dyDescent="0.3">
      <c r="A3175" s="130"/>
      <c r="B3175" s="37"/>
      <c r="C3175" s="37"/>
      <c r="D3175" s="37"/>
      <c r="E3175" s="37"/>
      <c r="F3175" s="37"/>
      <c r="G3175" s="37"/>
      <c r="H3175" s="37"/>
      <c r="I3175" s="37"/>
      <c r="J3175" s="37"/>
    </row>
    <row r="3176" spans="1:10" x14ac:dyDescent="0.3">
      <c r="A3176" s="130"/>
      <c r="B3176" s="37"/>
      <c r="C3176" s="37"/>
      <c r="D3176" s="37"/>
      <c r="E3176" s="37"/>
      <c r="F3176" s="37"/>
      <c r="G3176" s="37"/>
      <c r="H3176" s="37"/>
      <c r="I3176" s="37"/>
      <c r="J3176" s="37"/>
    </row>
    <row r="3177" spans="1:10" x14ac:dyDescent="0.3">
      <c r="A3177" s="130"/>
      <c r="B3177" s="37"/>
      <c r="C3177" s="37"/>
      <c r="D3177" s="37"/>
      <c r="E3177" s="37"/>
      <c r="F3177" s="37"/>
      <c r="G3177" s="37"/>
      <c r="H3177" s="37"/>
      <c r="I3177" s="37"/>
      <c r="J3177" s="37"/>
    </row>
    <row r="3178" spans="1:10" x14ac:dyDescent="0.3">
      <c r="A3178" s="130"/>
      <c r="B3178" s="37"/>
      <c r="C3178" s="37"/>
      <c r="D3178" s="37"/>
      <c r="E3178" s="37"/>
      <c r="F3178" s="37"/>
      <c r="G3178" s="37"/>
      <c r="H3178" s="37"/>
      <c r="I3178" s="37"/>
      <c r="J3178" s="37"/>
    </row>
    <row r="3179" spans="1:10" x14ac:dyDescent="0.3">
      <c r="A3179" s="130"/>
      <c r="B3179" s="37"/>
      <c r="C3179" s="37"/>
      <c r="D3179" s="37"/>
      <c r="E3179" s="37"/>
      <c r="F3179" s="37"/>
      <c r="G3179" s="37"/>
      <c r="H3179" s="37"/>
      <c r="I3179" s="37"/>
      <c r="J3179" s="37"/>
    </row>
    <row r="3180" spans="1:10" x14ac:dyDescent="0.3">
      <c r="A3180" s="130"/>
      <c r="B3180" s="37"/>
      <c r="C3180" s="37"/>
      <c r="D3180" s="37"/>
      <c r="E3180" s="37"/>
      <c r="F3180" s="37"/>
      <c r="G3180" s="37"/>
      <c r="H3180" s="37"/>
      <c r="I3180" s="37"/>
      <c r="J3180" s="37"/>
    </row>
    <row r="3181" spans="1:10" x14ac:dyDescent="0.3">
      <c r="A3181" s="130"/>
      <c r="B3181" s="37"/>
      <c r="C3181" s="37"/>
      <c r="D3181" s="37"/>
      <c r="E3181" s="37"/>
      <c r="F3181" s="37"/>
      <c r="G3181" s="37"/>
      <c r="H3181" s="37"/>
      <c r="I3181" s="37"/>
      <c r="J3181" s="37"/>
    </row>
    <row r="3182" spans="1:10" x14ac:dyDescent="0.3">
      <c r="A3182" s="130"/>
      <c r="B3182" s="37"/>
      <c r="C3182" s="37"/>
      <c r="D3182" s="37"/>
      <c r="E3182" s="37"/>
      <c r="F3182" s="37"/>
      <c r="G3182" s="37"/>
      <c r="H3182" s="37"/>
      <c r="I3182" s="37"/>
      <c r="J3182" s="37"/>
    </row>
    <row r="3183" spans="1:10" x14ac:dyDescent="0.3">
      <c r="A3183" s="130"/>
      <c r="B3183" s="37"/>
      <c r="C3183" s="37"/>
      <c r="D3183" s="37"/>
      <c r="E3183" s="37"/>
      <c r="F3183" s="37"/>
      <c r="G3183" s="37"/>
      <c r="H3183" s="37"/>
      <c r="I3183" s="37"/>
      <c r="J3183" s="37"/>
    </row>
    <row r="3184" spans="1:10" x14ac:dyDescent="0.3">
      <c r="A3184" s="130"/>
      <c r="B3184" s="37"/>
      <c r="C3184" s="37"/>
      <c r="D3184" s="37"/>
      <c r="E3184" s="37"/>
      <c r="F3184" s="37"/>
      <c r="G3184" s="37"/>
      <c r="H3184" s="37"/>
      <c r="I3184" s="37"/>
      <c r="J3184" s="37"/>
    </row>
    <row r="3185" spans="1:10" x14ac:dyDescent="0.3">
      <c r="A3185" s="130"/>
      <c r="B3185" s="37"/>
      <c r="C3185" s="37"/>
      <c r="D3185" s="37"/>
      <c r="E3185" s="37"/>
      <c r="F3185" s="37"/>
      <c r="G3185" s="37"/>
      <c r="H3185" s="37"/>
      <c r="I3185" s="37"/>
      <c r="J3185" s="37"/>
    </row>
    <row r="3186" spans="1:10" x14ac:dyDescent="0.3">
      <c r="A3186" s="130"/>
      <c r="B3186" s="37"/>
      <c r="C3186" s="37"/>
      <c r="D3186" s="37"/>
      <c r="E3186" s="37"/>
      <c r="F3186" s="37"/>
      <c r="G3186" s="37"/>
      <c r="H3186" s="37"/>
      <c r="I3186" s="37"/>
      <c r="J3186" s="37"/>
    </row>
    <row r="3187" spans="1:10" x14ac:dyDescent="0.3">
      <c r="A3187" s="130"/>
      <c r="B3187" s="37"/>
      <c r="C3187" s="37"/>
      <c r="D3187" s="37"/>
      <c r="E3187" s="37"/>
      <c r="F3187" s="37"/>
      <c r="G3187" s="37"/>
      <c r="H3187" s="37"/>
      <c r="I3187" s="37"/>
      <c r="J3187" s="37"/>
    </row>
    <row r="3188" spans="1:10" x14ac:dyDescent="0.3">
      <c r="A3188" s="130"/>
      <c r="B3188" s="37"/>
      <c r="C3188" s="37"/>
      <c r="D3188" s="37"/>
      <c r="E3188" s="37"/>
      <c r="F3188" s="37"/>
      <c r="G3188" s="37"/>
      <c r="H3188" s="37"/>
      <c r="I3188" s="37"/>
      <c r="J3188" s="37"/>
    </row>
    <row r="3189" spans="1:10" x14ac:dyDescent="0.3">
      <c r="A3189" s="130"/>
      <c r="B3189" s="37"/>
      <c r="C3189" s="37"/>
      <c r="D3189" s="37"/>
      <c r="E3189" s="37"/>
      <c r="F3189" s="37"/>
      <c r="G3189" s="37"/>
      <c r="H3189" s="37"/>
      <c r="I3189" s="37"/>
      <c r="J3189" s="37"/>
    </row>
    <row r="3190" spans="1:10" x14ac:dyDescent="0.3">
      <c r="A3190" s="130"/>
      <c r="B3190" s="37"/>
      <c r="C3190" s="37"/>
      <c r="D3190" s="37"/>
      <c r="E3190" s="37"/>
      <c r="F3190" s="37"/>
      <c r="G3190" s="37"/>
      <c r="H3190" s="37"/>
      <c r="I3190" s="37"/>
      <c r="J3190" s="37"/>
    </row>
    <row r="3191" spans="1:10" x14ac:dyDescent="0.3">
      <c r="A3191" s="130"/>
      <c r="B3191" s="37"/>
      <c r="C3191" s="37"/>
      <c r="D3191" s="37"/>
      <c r="E3191" s="37"/>
      <c r="F3191" s="37"/>
      <c r="G3191" s="37"/>
      <c r="H3191" s="37"/>
      <c r="I3191" s="37"/>
      <c r="J3191" s="37"/>
    </row>
    <row r="3192" spans="1:10" x14ac:dyDescent="0.3">
      <c r="A3192" s="130"/>
      <c r="B3192" s="37"/>
      <c r="C3192" s="37"/>
      <c r="D3192" s="37"/>
      <c r="E3192" s="37"/>
      <c r="F3192" s="37"/>
      <c r="G3192" s="37"/>
      <c r="H3192" s="37"/>
      <c r="I3192" s="37"/>
      <c r="J3192" s="37"/>
    </row>
    <row r="3193" spans="1:10" x14ac:dyDescent="0.3">
      <c r="A3193" s="130"/>
      <c r="B3193" s="37"/>
      <c r="C3193" s="37"/>
      <c r="D3193" s="37"/>
      <c r="E3193" s="37"/>
      <c r="F3193" s="37"/>
      <c r="G3193" s="37"/>
      <c r="H3193" s="37"/>
      <c r="I3193" s="37"/>
      <c r="J3193" s="37"/>
    </row>
    <row r="3194" spans="1:10" x14ac:dyDescent="0.3">
      <c r="A3194" s="130"/>
      <c r="B3194" s="37"/>
      <c r="C3194" s="37"/>
      <c r="D3194" s="37"/>
      <c r="E3194" s="37"/>
      <c r="F3194" s="37"/>
      <c r="G3194" s="37"/>
      <c r="H3194" s="37"/>
      <c r="I3194" s="37"/>
      <c r="J3194" s="37"/>
    </row>
    <row r="3195" spans="1:10" x14ac:dyDescent="0.3">
      <c r="A3195" s="130"/>
      <c r="B3195" s="37"/>
      <c r="C3195" s="37"/>
      <c r="D3195" s="37"/>
      <c r="E3195" s="37"/>
      <c r="F3195" s="37"/>
      <c r="G3195" s="37"/>
      <c r="H3195" s="37"/>
      <c r="I3195" s="37"/>
      <c r="J3195" s="37"/>
    </row>
    <row r="3196" spans="1:10" x14ac:dyDescent="0.3">
      <c r="A3196" s="130"/>
      <c r="B3196" s="37"/>
      <c r="C3196" s="37"/>
      <c r="D3196" s="37"/>
      <c r="E3196" s="37"/>
      <c r="F3196" s="37"/>
      <c r="G3196" s="37"/>
      <c r="H3196" s="37"/>
      <c r="I3196" s="37"/>
      <c r="J3196" s="37"/>
    </row>
    <row r="3197" spans="1:10" x14ac:dyDescent="0.3">
      <c r="A3197" s="130"/>
      <c r="B3197" s="37"/>
      <c r="C3197" s="37"/>
      <c r="D3197" s="37"/>
      <c r="E3197" s="37"/>
      <c r="F3197" s="37"/>
      <c r="G3197" s="37"/>
      <c r="H3197" s="37"/>
      <c r="I3197" s="37"/>
      <c r="J3197" s="37"/>
    </row>
    <row r="3198" spans="1:10" x14ac:dyDescent="0.3">
      <c r="A3198" s="130"/>
      <c r="B3198" s="37"/>
      <c r="C3198" s="37"/>
      <c r="D3198" s="37"/>
      <c r="E3198" s="37"/>
      <c r="F3198" s="37"/>
      <c r="G3198" s="37"/>
      <c r="H3198" s="37"/>
      <c r="I3198" s="37"/>
      <c r="J3198" s="37"/>
    </row>
    <row r="3199" spans="1:10" x14ac:dyDescent="0.3">
      <c r="A3199" s="130"/>
      <c r="B3199" s="37"/>
      <c r="C3199" s="37"/>
      <c r="D3199" s="37"/>
      <c r="E3199" s="37"/>
      <c r="F3199" s="37"/>
      <c r="G3199" s="37"/>
      <c r="H3199" s="37"/>
      <c r="I3199" s="37"/>
      <c r="J3199" s="37"/>
    </row>
    <row r="3200" spans="1:10" x14ac:dyDescent="0.3">
      <c r="A3200" s="130"/>
      <c r="B3200" s="37"/>
      <c r="C3200" s="37"/>
      <c r="D3200" s="37"/>
      <c r="E3200" s="37"/>
      <c r="F3200" s="37"/>
      <c r="G3200" s="37"/>
      <c r="H3200" s="37"/>
      <c r="I3200" s="37"/>
      <c r="J3200" s="37"/>
    </row>
    <row r="3201" spans="1:10" x14ac:dyDescent="0.3">
      <c r="A3201" s="130"/>
      <c r="B3201" s="37"/>
      <c r="C3201" s="37"/>
      <c r="D3201" s="37"/>
      <c r="E3201" s="37"/>
      <c r="F3201" s="37"/>
      <c r="G3201" s="37"/>
      <c r="H3201" s="37"/>
      <c r="I3201" s="37"/>
      <c r="J3201" s="37"/>
    </row>
    <row r="3202" spans="1:10" x14ac:dyDescent="0.3">
      <c r="A3202" s="130"/>
      <c r="B3202" s="37"/>
      <c r="C3202" s="37"/>
      <c r="D3202" s="37"/>
      <c r="E3202" s="37"/>
      <c r="F3202" s="37"/>
      <c r="G3202" s="37"/>
      <c r="H3202" s="37"/>
      <c r="I3202" s="37"/>
      <c r="J3202" s="37"/>
    </row>
    <row r="3203" spans="1:10" x14ac:dyDescent="0.3">
      <c r="A3203" s="130"/>
      <c r="B3203" s="37"/>
      <c r="C3203" s="37"/>
      <c r="D3203" s="37"/>
      <c r="E3203" s="37"/>
      <c r="F3203" s="37"/>
      <c r="G3203" s="37"/>
      <c r="H3203" s="37"/>
      <c r="I3203" s="37"/>
      <c r="J3203" s="37"/>
    </row>
    <row r="3204" spans="1:10" x14ac:dyDescent="0.3">
      <c r="A3204" s="130"/>
      <c r="B3204" s="37"/>
      <c r="C3204" s="37"/>
      <c r="D3204" s="37"/>
      <c r="E3204" s="37"/>
      <c r="F3204" s="37"/>
      <c r="G3204" s="37"/>
      <c r="H3204" s="37"/>
      <c r="I3204" s="37"/>
      <c r="J3204" s="37"/>
    </row>
    <row r="3205" spans="1:10" x14ac:dyDescent="0.3">
      <c r="A3205" s="130"/>
      <c r="B3205" s="37"/>
      <c r="C3205" s="37"/>
      <c r="D3205" s="37"/>
      <c r="E3205" s="37"/>
      <c r="F3205" s="37"/>
      <c r="G3205" s="37"/>
      <c r="H3205" s="37"/>
      <c r="I3205" s="37"/>
      <c r="J3205" s="37"/>
    </row>
    <row r="3206" spans="1:10" x14ac:dyDescent="0.3">
      <c r="A3206" s="130"/>
      <c r="B3206" s="37"/>
      <c r="C3206" s="37"/>
      <c r="D3206" s="37"/>
      <c r="E3206" s="37"/>
      <c r="F3206" s="37"/>
      <c r="G3206" s="37"/>
      <c r="H3206" s="37"/>
      <c r="I3206" s="37"/>
      <c r="J3206" s="37"/>
    </row>
    <row r="3207" spans="1:10" x14ac:dyDescent="0.3">
      <c r="A3207" s="130"/>
      <c r="B3207" s="37"/>
      <c r="C3207" s="37"/>
      <c r="D3207" s="37"/>
      <c r="E3207" s="37"/>
      <c r="F3207" s="37"/>
      <c r="G3207" s="37"/>
      <c r="H3207" s="37"/>
      <c r="I3207" s="37"/>
      <c r="J3207" s="37"/>
    </row>
    <row r="3208" spans="1:10" x14ac:dyDescent="0.3">
      <c r="A3208" s="130"/>
      <c r="B3208" s="37"/>
      <c r="C3208" s="37"/>
      <c r="D3208" s="37"/>
      <c r="E3208" s="37"/>
      <c r="F3208" s="37"/>
      <c r="G3208" s="37"/>
      <c r="H3208" s="37"/>
      <c r="I3208" s="37"/>
      <c r="J3208" s="37"/>
    </row>
    <row r="3209" spans="1:10" x14ac:dyDescent="0.3">
      <c r="A3209" s="130"/>
      <c r="B3209" s="37"/>
      <c r="C3209" s="37"/>
      <c r="D3209" s="37"/>
      <c r="E3209" s="37"/>
      <c r="F3209" s="37"/>
      <c r="G3209" s="37"/>
      <c r="H3209" s="37"/>
      <c r="I3209" s="37"/>
      <c r="J3209" s="37"/>
    </row>
    <row r="3210" spans="1:10" x14ac:dyDescent="0.3">
      <c r="A3210" s="130"/>
      <c r="B3210" s="37"/>
      <c r="C3210" s="37"/>
      <c r="D3210" s="37"/>
      <c r="E3210" s="37"/>
      <c r="F3210" s="37"/>
      <c r="G3210" s="37"/>
      <c r="H3210" s="37"/>
      <c r="I3210" s="37"/>
      <c r="J3210" s="37"/>
    </row>
    <row r="3211" spans="1:10" x14ac:dyDescent="0.3">
      <c r="A3211" s="130"/>
      <c r="B3211" s="37"/>
      <c r="C3211" s="37"/>
      <c r="D3211" s="37"/>
      <c r="E3211" s="37"/>
      <c r="F3211" s="37"/>
      <c r="G3211" s="37"/>
      <c r="H3211" s="37"/>
      <c r="I3211" s="37"/>
      <c r="J3211" s="37"/>
    </row>
    <row r="3212" spans="1:10" x14ac:dyDescent="0.3">
      <c r="A3212" s="130"/>
      <c r="B3212" s="37"/>
      <c r="C3212" s="37"/>
      <c r="D3212" s="37"/>
      <c r="E3212" s="37"/>
      <c r="F3212" s="37"/>
      <c r="G3212" s="37"/>
      <c r="H3212" s="37"/>
      <c r="I3212" s="37"/>
      <c r="J3212" s="37"/>
    </row>
    <row r="3213" spans="1:10" x14ac:dyDescent="0.3">
      <c r="A3213" s="130"/>
      <c r="B3213" s="37"/>
      <c r="C3213" s="37"/>
      <c r="D3213" s="37"/>
      <c r="E3213" s="37"/>
      <c r="F3213" s="37"/>
      <c r="G3213" s="37"/>
      <c r="H3213" s="37"/>
      <c r="I3213" s="37"/>
      <c r="J3213" s="37"/>
    </row>
    <row r="3214" spans="1:10" x14ac:dyDescent="0.3">
      <c r="A3214" s="130"/>
      <c r="B3214" s="37"/>
      <c r="C3214" s="37"/>
      <c r="D3214" s="37"/>
      <c r="E3214" s="37"/>
      <c r="F3214" s="37"/>
      <c r="G3214" s="37"/>
      <c r="H3214" s="37"/>
      <c r="I3214" s="37"/>
      <c r="J3214" s="37"/>
    </row>
    <row r="3215" spans="1:10" x14ac:dyDescent="0.3">
      <c r="A3215" s="130"/>
      <c r="B3215" s="37"/>
      <c r="C3215" s="37"/>
      <c r="D3215" s="37"/>
      <c r="E3215" s="37"/>
      <c r="F3215" s="37"/>
      <c r="G3215" s="37"/>
      <c r="H3215" s="37"/>
      <c r="I3215" s="37"/>
      <c r="J3215" s="37"/>
    </row>
    <row r="3216" spans="1:10" x14ac:dyDescent="0.3">
      <c r="A3216" s="130"/>
      <c r="B3216" s="37"/>
      <c r="C3216" s="37"/>
      <c r="D3216" s="37"/>
      <c r="E3216" s="37"/>
      <c r="F3216" s="37"/>
      <c r="G3216" s="37"/>
      <c r="H3216" s="37"/>
      <c r="I3216" s="37"/>
      <c r="J3216" s="37"/>
    </row>
    <row r="3217" spans="1:10" x14ac:dyDescent="0.3">
      <c r="A3217" s="130"/>
      <c r="B3217" s="37"/>
      <c r="C3217" s="37"/>
      <c r="D3217" s="37"/>
      <c r="E3217" s="37"/>
      <c r="F3217" s="37"/>
      <c r="G3217" s="37"/>
      <c r="H3217" s="37"/>
      <c r="I3217" s="37"/>
      <c r="J3217" s="37"/>
    </row>
    <row r="3218" spans="1:10" x14ac:dyDescent="0.3">
      <c r="A3218" s="130"/>
      <c r="B3218" s="37"/>
      <c r="C3218" s="37"/>
      <c r="D3218" s="37"/>
      <c r="E3218" s="37"/>
      <c r="F3218" s="37"/>
      <c r="G3218" s="37"/>
      <c r="H3218" s="37"/>
      <c r="I3218" s="37"/>
      <c r="J3218" s="37"/>
    </row>
    <row r="3219" spans="1:10" x14ac:dyDescent="0.3">
      <c r="A3219" s="130"/>
      <c r="B3219" s="37"/>
      <c r="C3219" s="37"/>
      <c r="D3219" s="37"/>
      <c r="E3219" s="37"/>
      <c r="F3219" s="37"/>
      <c r="G3219" s="37"/>
      <c r="H3219" s="37"/>
      <c r="I3219" s="37"/>
      <c r="J3219" s="37"/>
    </row>
    <row r="3220" spans="1:10" x14ac:dyDescent="0.3">
      <c r="A3220" s="130"/>
      <c r="B3220" s="37"/>
      <c r="C3220" s="37"/>
      <c r="D3220" s="37"/>
      <c r="E3220" s="37"/>
      <c r="F3220" s="37"/>
      <c r="G3220" s="37"/>
      <c r="H3220" s="37"/>
      <c r="I3220" s="37"/>
      <c r="J3220" s="37"/>
    </row>
    <row r="3221" spans="1:10" x14ac:dyDescent="0.3">
      <c r="A3221" s="130"/>
      <c r="B3221" s="37"/>
      <c r="C3221" s="37"/>
      <c r="D3221" s="37"/>
      <c r="E3221" s="37"/>
      <c r="F3221" s="37"/>
      <c r="G3221" s="37"/>
      <c r="H3221" s="37"/>
      <c r="I3221" s="37"/>
      <c r="J3221" s="37"/>
    </row>
    <row r="3222" spans="1:10" x14ac:dyDescent="0.3">
      <c r="A3222" s="130"/>
      <c r="B3222" s="37"/>
      <c r="C3222" s="37"/>
      <c r="D3222" s="37"/>
      <c r="E3222" s="37"/>
      <c r="F3222" s="37"/>
      <c r="G3222" s="37"/>
      <c r="H3222" s="37"/>
      <c r="I3222" s="37"/>
      <c r="J3222" s="37"/>
    </row>
    <row r="3223" spans="1:10" x14ac:dyDescent="0.3">
      <c r="A3223" s="130"/>
      <c r="B3223" s="37"/>
      <c r="C3223" s="37"/>
      <c r="D3223" s="37"/>
      <c r="E3223" s="37"/>
      <c r="F3223" s="37"/>
      <c r="G3223" s="37"/>
      <c r="H3223" s="37"/>
      <c r="I3223" s="37"/>
      <c r="J3223" s="37"/>
    </row>
    <row r="3224" spans="1:10" x14ac:dyDescent="0.3">
      <c r="A3224" s="130"/>
      <c r="B3224" s="37"/>
      <c r="C3224" s="37"/>
      <c r="D3224" s="37"/>
      <c r="E3224" s="37"/>
      <c r="F3224" s="37"/>
      <c r="G3224" s="37"/>
      <c r="H3224" s="37"/>
      <c r="I3224" s="37"/>
      <c r="J3224" s="37"/>
    </row>
    <row r="3225" spans="1:10" x14ac:dyDescent="0.3">
      <c r="A3225" s="130"/>
      <c r="B3225" s="37"/>
      <c r="C3225" s="37"/>
      <c r="D3225" s="37"/>
      <c r="E3225" s="37"/>
      <c r="F3225" s="37"/>
      <c r="G3225" s="37"/>
      <c r="H3225" s="37"/>
      <c r="I3225" s="37"/>
      <c r="J3225" s="37"/>
    </row>
    <row r="3226" spans="1:10" x14ac:dyDescent="0.3">
      <c r="A3226" s="130"/>
      <c r="B3226" s="37"/>
      <c r="C3226" s="37"/>
      <c r="D3226" s="37"/>
      <c r="E3226" s="37"/>
      <c r="F3226" s="37"/>
      <c r="G3226" s="37"/>
      <c r="H3226" s="37"/>
      <c r="I3226" s="37"/>
      <c r="J3226" s="37"/>
    </row>
    <row r="3227" spans="1:10" x14ac:dyDescent="0.3">
      <c r="A3227" s="130"/>
      <c r="B3227" s="37"/>
      <c r="C3227" s="37"/>
      <c r="D3227" s="37"/>
      <c r="E3227" s="37"/>
      <c r="F3227" s="37"/>
      <c r="G3227" s="37"/>
      <c r="H3227" s="37"/>
      <c r="I3227" s="37"/>
      <c r="J3227" s="37"/>
    </row>
    <row r="3228" spans="1:10" x14ac:dyDescent="0.3">
      <c r="A3228" s="130"/>
      <c r="B3228" s="37"/>
      <c r="C3228" s="37"/>
      <c r="D3228" s="37"/>
      <c r="E3228" s="37"/>
      <c r="F3228" s="37"/>
      <c r="G3228" s="37"/>
      <c r="H3228" s="37"/>
      <c r="I3228" s="37"/>
      <c r="J3228" s="37"/>
    </row>
    <row r="3229" spans="1:10" x14ac:dyDescent="0.3">
      <c r="A3229" s="130"/>
      <c r="B3229" s="37"/>
      <c r="C3229" s="37"/>
      <c r="D3229" s="37"/>
      <c r="E3229" s="37"/>
      <c r="F3229" s="37"/>
      <c r="G3229" s="37"/>
      <c r="H3229" s="37"/>
      <c r="I3229" s="37"/>
      <c r="J3229" s="37"/>
    </row>
    <row r="3230" spans="1:10" x14ac:dyDescent="0.3">
      <c r="A3230" s="130"/>
      <c r="B3230" s="37"/>
      <c r="C3230" s="37"/>
      <c r="D3230" s="37"/>
      <c r="E3230" s="37"/>
      <c r="F3230" s="37"/>
      <c r="G3230" s="37"/>
      <c r="H3230" s="37"/>
      <c r="I3230" s="37"/>
      <c r="J3230" s="37"/>
    </row>
    <row r="3231" spans="1:10" x14ac:dyDescent="0.3">
      <c r="A3231" s="130"/>
      <c r="B3231" s="37"/>
      <c r="C3231" s="37"/>
      <c r="D3231" s="37"/>
      <c r="E3231" s="37"/>
      <c r="F3231" s="37"/>
      <c r="G3231" s="37"/>
      <c r="H3231" s="37"/>
      <c r="I3231" s="37"/>
      <c r="J3231" s="37"/>
    </row>
    <row r="3232" spans="1:10" x14ac:dyDescent="0.3">
      <c r="A3232" s="130"/>
      <c r="B3232" s="37"/>
      <c r="C3232" s="37"/>
      <c r="D3232" s="37"/>
      <c r="E3232" s="37"/>
      <c r="F3232" s="37"/>
      <c r="G3232" s="37"/>
      <c r="H3232" s="37"/>
      <c r="I3232" s="37"/>
      <c r="J3232" s="37"/>
    </row>
    <row r="3233" spans="1:10" x14ac:dyDescent="0.3">
      <c r="A3233" s="130"/>
      <c r="B3233" s="37"/>
      <c r="C3233" s="37"/>
      <c r="D3233" s="37"/>
      <c r="E3233" s="37"/>
      <c r="F3233" s="37"/>
      <c r="G3233" s="37"/>
      <c r="H3233" s="37"/>
      <c r="I3233" s="37"/>
      <c r="J3233" s="37"/>
    </row>
    <row r="3234" spans="1:10" x14ac:dyDescent="0.3">
      <c r="A3234" s="130"/>
      <c r="B3234" s="37"/>
      <c r="C3234" s="37"/>
      <c r="D3234" s="37"/>
      <c r="E3234" s="37"/>
      <c r="F3234" s="37"/>
      <c r="G3234" s="37"/>
      <c r="H3234" s="37"/>
      <c r="I3234" s="37"/>
      <c r="J3234" s="37"/>
    </row>
    <row r="3235" spans="1:10" x14ac:dyDescent="0.3">
      <c r="A3235" s="130"/>
      <c r="B3235" s="37"/>
      <c r="C3235" s="37"/>
      <c r="D3235" s="37"/>
      <c r="E3235" s="37"/>
      <c r="F3235" s="37"/>
      <c r="G3235" s="37"/>
      <c r="H3235" s="37"/>
      <c r="I3235" s="37"/>
      <c r="J3235" s="37"/>
    </row>
    <row r="3236" spans="1:10" x14ac:dyDescent="0.3">
      <c r="A3236" s="130"/>
      <c r="B3236" s="37"/>
      <c r="C3236" s="37"/>
      <c r="D3236" s="37"/>
      <c r="E3236" s="37"/>
      <c r="F3236" s="37"/>
      <c r="G3236" s="37"/>
      <c r="H3236" s="37"/>
      <c r="I3236" s="37"/>
      <c r="J3236" s="37"/>
    </row>
    <row r="3237" spans="1:10" x14ac:dyDescent="0.3">
      <c r="A3237" s="130"/>
      <c r="B3237" s="37"/>
      <c r="C3237" s="37"/>
      <c r="D3237" s="37"/>
      <c r="E3237" s="37"/>
      <c r="F3237" s="37"/>
      <c r="G3237" s="37"/>
      <c r="H3237" s="37"/>
      <c r="I3237" s="37"/>
      <c r="J3237" s="37"/>
    </row>
    <row r="3238" spans="1:10" x14ac:dyDescent="0.3">
      <c r="A3238" s="130"/>
      <c r="B3238" s="37"/>
      <c r="C3238" s="37"/>
      <c r="D3238" s="37"/>
      <c r="E3238" s="37"/>
      <c r="F3238" s="37"/>
      <c r="G3238" s="37"/>
      <c r="H3238" s="37"/>
      <c r="I3238" s="37"/>
      <c r="J3238" s="37"/>
    </row>
    <row r="3239" spans="1:10" x14ac:dyDescent="0.3">
      <c r="A3239" s="130"/>
      <c r="B3239" s="37"/>
      <c r="C3239" s="37"/>
      <c r="D3239" s="37"/>
      <c r="E3239" s="37"/>
      <c r="F3239" s="37"/>
      <c r="G3239" s="37"/>
      <c r="H3239" s="37"/>
      <c r="I3239" s="37"/>
      <c r="J3239" s="37"/>
    </row>
    <row r="3240" spans="1:10" x14ac:dyDescent="0.3">
      <c r="A3240" s="130"/>
      <c r="B3240" s="37"/>
      <c r="C3240" s="37"/>
      <c r="D3240" s="37"/>
      <c r="E3240" s="37"/>
      <c r="F3240" s="37"/>
      <c r="G3240" s="37"/>
      <c r="H3240" s="37"/>
      <c r="I3240" s="37"/>
      <c r="J3240" s="37"/>
    </row>
    <row r="3241" spans="1:10" x14ac:dyDescent="0.3">
      <c r="A3241" s="130"/>
      <c r="B3241" s="37"/>
      <c r="C3241" s="37"/>
      <c r="D3241" s="37"/>
      <c r="E3241" s="37"/>
      <c r="F3241" s="37"/>
      <c r="G3241" s="37"/>
      <c r="H3241" s="37"/>
      <c r="I3241" s="37"/>
      <c r="J3241" s="37"/>
    </row>
    <row r="3242" spans="1:10" x14ac:dyDescent="0.3">
      <c r="A3242" s="130"/>
      <c r="B3242" s="37"/>
      <c r="C3242" s="37"/>
      <c r="D3242" s="37"/>
      <c r="E3242" s="37"/>
      <c r="F3242" s="37"/>
      <c r="G3242" s="37"/>
      <c r="H3242" s="37"/>
      <c r="I3242" s="37"/>
      <c r="J3242" s="37"/>
    </row>
    <row r="3243" spans="1:10" x14ac:dyDescent="0.3">
      <c r="A3243" s="130"/>
      <c r="B3243" s="37"/>
      <c r="C3243" s="37"/>
      <c r="D3243" s="37"/>
      <c r="E3243" s="37"/>
      <c r="F3243" s="37"/>
      <c r="G3243" s="37"/>
      <c r="H3243" s="37"/>
      <c r="I3243" s="37"/>
      <c r="J3243" s="37"/>
    </row>
    <row r="3244" spans="1:10" x14ac:dyDescent="0.3">
      <c r="A3244" s="130"/>
      <c r="B3244" s="37"/>
      <c r="C3244" s="37"/>
      <c r="D3244" s="37"/>
      <c r="E3244" s="37"/>
      <c r="F3244" s="37"/>
      <c r="G3244" s="37"/>
      <c r="H3244" s="37"/>
      <c r="I3244" s="37"/>
      <c r="J3244" s="37"/>
    </row>
    <row r="3245" spans="1:10" x14ac:dyDescent="0.3">
      <c r="A3245" s="130"/>
      <c r="B3245" s="37"/>
      <c r="C3245" s="37"/>
      <c r="D3245" s="37"/>
      <c r="E3245" s="37"/>
      <c r="F3245" s="37"/>
      <c r="G3245" s="37"/>
      <c r="H3245" s="37"/>
      <c r="I3245" s="37"/>
      <c r="J3245" s="37"/>
    </row>
    <row r="3246" spans="1:10" x14ac:dyDescent="0.3">
      <c r="A3246" s="130"/>
      <c r="B3246" s="37"/>
      <c r="C3246" s="37"/>
      <c r="D3246" s="37"/>
      <c r="E3246" s="37"/>
      <c r="F3246" s="37"/>
      <c r="G3246" s="37"/>
      <c r="H3246" s="37"/>
      <c r="I3246" s="37"/>
      <c r="J3246" s="37"/>
    </row>
    <row r="3247" spans="1:10" x14ac:dyDescent="0.3">
      <c r="A3247" s="130"/>
      <c r="B3247" s="37"/>
      <c r="C3247" s="37"/>
      <c r="D3247" s="37"/>
      <c r="E3247" s="37"/>
      <c r="F3247" s="37"/>
      <c r="G3247" s="37"/>
      <c r="H3247" s="37"/>
      <c r="I3247" s="37"/>
      <c r="J3247" s="37"/>
    </row>
    <row r="3248" spans="1:10" x14ac:dyDescent="0.3">
      <c r="A3248" s="130"/>
      <c r="B3248" s="37"/>
      <c r="C3248" s="37"/>
      <c r="D3248" s="37"/>
      <c r="E3248" s="37"/>
      <c r="F3248" s="37"/>
      <c r="G3248" s="37"/>
      <c r="H3248" s="37"/>
      <c r="I3248" s="37"/>
      <c r="J3248" s="37"/>
    </row>
    <row r="3249" spans="1:10" x14ac:dyDescent="0.3">
      <c r="A3249" s="130"/>
      <c r="B3249" s="37"/>
      <c r="C3249" s="37"/>
      <c r="D3249" s="37"/>
      <c r="E3249" s="37"/>
      <c r="F3249" s="37"/>
      <c r="G3249" s="37"/>
      <c r="H3249" s="37"/>
      <c r="I3249" s="37"/>
      <c r="J3249" s="37"/>
    </row>
    <row r="3250" spans="1:10" x14ac:dyDescent="0.3">
      <c r="A3250" s="130"/>
      <c r="B3250" s="37"/>
      <c r="C3250" s="37"/>
      <c r="D3250" s="37"/>
      <c r="E3250" s="37"/>
      <c r="F3250" s="37"/>
      <c r="G3250" s="37"/>
      <c r="H3250" s="37"/>
      <c r="I3250" s="37"/>
      <c r="J3250" s="37"/>
    </row>
    <row r="3251" spans="1:10" x14ac:dyDescent="0.3">
      <c r="A3251" s="130"/>
      <c r="B3251" s="37"/>
      <c r="C3251" s="37"/>
      <c r="D3251" s="37"/>
      <c r="E3251" s="37"/>
      <c r="F3251" s="37"/>
      <c r="G3251" s="37"/>
      <c r="H3251" s="37"/>
      <c r="I3251" s="37"/>
      <c r="J3251" s="37"/>
    </row>
    <row r="3252" spans="1:10" x14ac:dyDescent="0.3">
      <c r="A3252" s="130"/>
      <c r="B3252" s="37"/>
      <c r="C3252" s="37"/>
      <c r="D3252" s="37"/>
      <c r="E3252" s="37"/>
      <c r="F3252" s="37"/>
      <c r="G3252" s="37"/>
      <c r="H3252" s="37"/>
      <c r="I3252" s="37"/>
      <c r="J3252" s="37"/>
    </row>
    <row r="3253" spans="1:10" x14ac:dyDescent="0.3">
      <c r="A3253" s="130"/>
      <c r="B3253" s="37"/>
      <c r="C3253" s="37"/>
      <c r="D3253" s="37"/>
      <c r="E3253" s="37"/>
      <c r="F3253" s="37"/>
      <c r="G3253" s="37"/>
      <c r="H3253" s="37"/>
      <c r="I3253" s="37"/>
      <c r="J3253" s="37"/>
    </row>
    <row r="3254" spans="1:10" x14ac:dyDescent="0.3">
      <c r="A3254" s="130"/>
      <c r="B3254" s="37"/>
      <c r="C3254" s="37"/>
      <c r="D3254" s="37"/>
      <c r="E3254" s="37"/>
      <c r="F3254" s="37"/>
      <c r="G3254" s="37"/>
      <c r="H3254" s="37"/>
      <c r="I3254" s="37"/>
      <c r="J3254" s="37"/>
    </row>
    <row r="3255" spans="1:10" x14ac:dyDescent="0.3">
      <c r="A3255" s="130"/>
      <c r="B3255" s="37"/>
      <c r="C3255" s="37"/>
      <c r="D3255" s="37"/>
      <c r="E3255" s="37"/>
      <c r="F3255" s="37"/>
      <c r="G3255" s="37"/>
      <c r="H3255" s="37"/>
      <c r="I3255" s="37"/>
      <c r="J3255" s="37"/>
    </row>
    <row r="3256" spans="1:10" x14ac:dyDescent="0.3">
      <c r="A3256" s="130"/>
      <c r="B3256" s="37"/>
      <c r="C3256" s="37"/>
      <c r="D3256" s="37"/>
      <c r="E3256" s="37"/>
      <c r="F3256" s="37"/>
      <c r="G3256" s="37"/>
      <c r="H3256" s="37"/>
      <c r="I3256" s="37"/>
      <c r="J3256" s="37"/>
    </row>
    <row r="3257" spans="1:10" x14ac:dyDescent="0.3">
      <c r="A3257" s="130"/>
      <c r="B3257" s="37"/>
      <c r="C3257" s="37"/>
      <c r="D3257" s="37"/>
      <c r="E3257" s="37"/>
      <c r="F3257" s="37"/>
      <c r="G3257" s="37"/>
      <c r="H3257" s="37"/>
      <c r="I3257" s="37"/>
      <c r="J3257" s="37"/>
    </row>
    <row r="3258" spans="1:10" x14ac:dyDescent="0.3">
      <c r="A3258" s="130"/>
      <c r="B3258" s="37"/>
      <c r="C3258" s="37"/>
      <c r="D3258" s="37"/>
      <c r="E3258" s="37"/>
      <c r="F3258" s="37"/>
      <c r="G3258" s="37"/>
      <c r="H3258" s="37"/>
      <c r="I3258" s="37"/>
      <c r="J3258" s="37"/>
    </row>
    <row r="3259" spans="1:10" x14ac:dyDescent="0.3">
      <c r="A3259" s="130"/>
      <c r="B3259" s="37"/>
      <c r="C3259" s="37"/>
      <c r="D3259" s="37"/>
      <c r="E3259" s="37"/>
      <c r="F3259" s="37"/>
      <c r="G3259" s="37"/>
      <c r="H3259" s="37"/>
      <c r="I3259" s="37"/>
      <c r="J3259" s="37"/>
    </row>
    <row r="3260" spans="1:10" x14ac:dyDescent="0.3">
      <c r="A3260" s="130"/>
      <c r="B3260" s="37"/>
      <c r="C3260" s="37"/>
      <c r="D3260" s="37"/>
      <c r="E3260" s="37"/>
      <c r="F3260" s="37"/>
      <c r="G3260" s="37"/>
      <c r="H3260" s="37"/>
      <c r="I3260" s="37"/>
      <c r="J3260" s="37"/>
    </row>
    <row r="3261" spans="1:10" x14ac:dyDescent="0.3">
      <c r="A3261" s="130"/>
      <c r="B3261" s="37"/>
      <c r="C3261" s="37"/>
      <c r="D3261" s="37"/>
      <c r="E3261" s="37"/>
      <c r="F3261" s="37"/>
      <c r="G3261" s="37"/>
      <c r="H3261" s="37"/>
      <c r="I3261" s="37"/>
      <c r="J3261" s="37"/>
    </row>
    <row r="3262" spans="1:10" x14ac:dyDescent="0.3">
      <c r="A3262" s="130"/>
      <c r="B3262" s="37"/>
      <c r="C3262" s="37"/>
      <c r="D3262" s="37"/>
      <c r="E3262" s="37"/>
      <c r="F3262" s="37"/>
      <c r="G3262" s="37"/>
      <c r="H3262" s="37"/>
      <c r="I3262" s="37"/>
      <c r="J3262" s="37"/>
    </row>
    <row r="3263" spans="1:10" x14ac:dyDescent="0.3">
      <c r="A3263" s="130"/>
      <c r="B3263" s="37"/>
      <c r="C3263" s="37"/>
      <c r="D3263" s="37"/>
      <c r="E3263" s="37"/>
      <c r="F3263" s="37"/>
      <c r="G3263" s="37"/>
      <c r="H3263" s="37"/>
      <c r="I3263" s="37"/>
      <c r="J3263" s="37"/>
    </row>
    <row r="3264" spans="1:10" x14ac:dyDescent="0.3">
      <c r="A3264" s="130"/>
      <c r="B3264" s="37"/>
      <c r="C3264" s="37"/>
      <c r="D3264" s="37"/>
      <c r="E3264" s="37"/>
      <c r="F3264" s="37"/>
      <c r="G3264" s="37"/>
      <c r="H3264" s="37"/>
      <c r="I3264" s="37"/>
      <c r="J3264" s="37"/>
    </row>
    <row r="3265" spans="1:10" x14ac:dyDescent="0.3">
      <c r="A3265" s="130"/>
      <c r="B3265" s="37"/>
      <c r="C3265" s="37"/>
      <c r="D3265" s="37"/>
      <c r="E3265" s="37"/>
      <c r="F3265" s="37"/>
      <c r="G3265" s="37"/>
      <c r="H3265" s="37"/>
      <c r="I3265" s="37"/>
      <c r="J3265" s="37"/>
    </row>
    <row r="3266" spans="1:10" x14ac:dyDescent="0.3">
      <c r="A3266" s="130"/>
      <c r="B3266" s="37"/>
      <c r="C3266" s="37"/>
      <c r="D3266" s="37"/>
      <c r="E3266" s="37"/>
      <c r="F3266" s="37"/>
      <c r="G3266" s="37"/>
      <c r="H3266" s="37"/>
      <c r="I3266" s="37"/>
      <c r="J3266" s="37"/>
    </row>
    <row r="3267" spans="1:10" x14ac:dyDescent="0.3">
      <c r="A3267" s="130"/>
      <c r="B3267" s="37"/>
      <c r="C3267" s="37"/>
      <c r="D3267" s="37"/>
      <c r="E3267" s="37"/>
      <c r="F3267" s="37"/>
      <c r="G3267" s="37"/>
      <c r="H3267" s="37"/>
      <c r="I3267" s="37"/>
      <c r="J3267" s="37"/>
    </row>
    <row r="3268" spans="1:10" x14ac:dyDescent="0.3">
      <c r="A3268" s="130"/>
      <c r="B3268" s="37"/>
      <c r="C3268" s="37"/>
      <c r="D3268" s="37"/>
      <c r="E3268" s="37"/>
      <c r="F3268" s="37"/>
      <c r="G3268" s="37"/>
      <c r="H3268" s="37"/>
      <c r="I3268" s="37"/>
      <c r="J3268" s="37"/>
    </row>
    <row r="3269" spans="1:10" x14ac:dyDescent="0.3">
      <c r="A3269" s="130"/>
      <c r="B3269" s="37"/>
      <c r="C3269" s="37"/>
      <c r="D3269" s="37"/>
      <c r="E3269" s="37"/>
      <c r="F3269" s="37"/>
      <c r="G3269" s="37"/>
      <c r="H3269" s="37"/>
      <c r="I3269" s="37"/>
      <c r="J3269" s="37"/>
    </row>
    <row r="3270" spans="1:10" x14ac:dyDescent="0.3">
      <c r="A3270" s="130"/>
      <c r="B3270" s="37"/>
      <c r="C3270" s="37"/>
      <c r="D3270" s="37"/>
      <c r="E3270" s="37"/>
      <c r="F3270" s="37"/>
      <c r="G3270" s="37"/>
      <c r="H3270" s="37"/>
      <c r="I3270" s="37"/>
      <c r="J3270" s="37"/>
    </row>
    <row r="3271" spans="1:10" x14ac:dyDescent="0.3">
      <c r="A3271" s="130"/>
      <c r="B3271" s="37"/>
      <c r="C3271" s="37"/>
      <c r="D3271" s="37"/>
      <c r="E3271" s="37"/>
      <c r="F3271" s="37"/>
      <c r="G3271" s="37"/>
      <c r="H3271" s="37"/>
      <c r="I3271" s="37"/>
      <c r="J3271" s="37"/>
    </row>
    <row r="3272" spans="1:10" x14ac:dyDescent="0.3">
      <c r="A3272" s="130"/>
      <c r="B3272" s="37"/>
      <c r="C3272" s="37"/>
      <c r="D3272" s="37"/>
      <c r="E3272" s="37"/>
      <c r="F3272" s="37"/>
      <c r="G3272" s="37"/>
      <c r="H3272" s="37"/>
      <c r="I3272" s="37"/>
      <c r="J3272" s="37"/>
    </row>
    <row r="3273" spans="1:10" x14ac:dyDescent="0.3">
      <c r="A3273" s="130"/>
      <c r="B3273" s="37"/>
      <c r="C3273" s="37"/>
      <c r="D3273" s="37"/>
      <c r="E3273" s="37"/>
      <c r="F3273" s="37"/>
      <c r="G3273" s="37"/>
      <c r="H3273" s="37"/>
      <c r="I3273" s="37"/>
      <c r="J3273" s="37"/>
    </row>
    <row r="3274" spans="1:10" x14ac:dyDescent="0.3">
      <c r="A3274" s="130"/>
      <c r="B3274" s="37"/>
      <c r="C3274" s="37"/>
      <c r="D3274" s="37"/>
      <c r="E3274" s="37"/>
      <c r="F3274" s="37"/>
      <c r="G3274" s="37"/>
      <c r="H3274" s="37"/>
      <c r="I3274" s="37"/>
      <c r="J3274" s="37"/>
    </row>
    <row r="3275" spans="1:10" x14ac:dyDescent="0.3">
      <c r="A3275" s="130"/>
      <c r="B3275" s="37"/>
      <c r="C3275" s="37"/>
      <c r="D3275" s="37"/>
      <c r="E3275" s="37"/>
      <c r="F3275" s="37"/>
      <c r="G3275" s="37"/>
      <c r="H3275" s="37"/>
      <c r="I3275" s="37"/>
      <c r="J3275" s="37"/>
    </row>
    <row r="3276" spans="1:10" x14ac:dyDescent="0.3">
      <c r="A3276" s="130"/>
      <c r="B3276" s="37"/>
      <c r="C3276" s="37"/>
      <c r="D3276" s="37"/>
      <c r="E3276" s="37"/>
      <c r="F3276" s="37"/>
      <c r="G3276" s="37"/>
      <c r="H3276" s="37"/>
      <c r="I3276" s="37"/>
      <c r="J3276" s="37"/>
    </row>
    <row r="3277" spans="1:10" x14ac:dyDescent="0.3">
      <c r="A3277" s="130"/>
      <c r="B3277" s="37"/>
      <c r="C3277" s="37"/>
      <c r="D3277" s="37"/>
      <c r="E3277" s="37"/>
      <c r="F3277" s="37"/>
      <c r="G3277" s="37"/>
      <c r="H3277" s="37"/>
      <c r="I3277" s="37"/>
      <c r="J3277" s="37"/>
    </row>
    <row r="3278" spans="1:10" x14ac:dyDescent="0.3">
      <c r="A3278" s="130"/>
      <c r="B3278" s="37"/>
      <c r="C3278" s="37"/>
      <c r="D3278" s="37"/>
      <c r="E3278" s="37"/>
      <c r="F3278" s="37"/>
      <c r="G3278" s="37"/>
      <c r="H3278" s="37"/>
      <c r="I3278" s="37"/>
      <c r="J3278" s="37"/>
    </row>
    <row r="3279" spans="1:10" x14ac:dyDescent="0.3">
      <c r="A3279" s="130"/>
      <c r="B3279" s="37"/>
      <c r="C3279" s="37"/>
      <c r="D3279" s="37"/>
      <c r="E3279" s="37"/>
      <c r="F3279" s="37"/>
      <c r="G3279" s="37"/>
      <c r="H3279" s="37"/>
      <c r="I3279" s="37"/>
      <c r="J3279" s="37"/>
    </row>
    <row r="3280" spans="1:10" x14ac:dyDescent="0.3">
      <c r="A3280" s="130"/>
      <c r="B3280" s="37"/>
      <c r="C3280" s="37"/>
      <c r="D3280" s="37"/>
      <c r="E3280" s="37"/>
      <c r="F3280" s="37"/>
      <c r="G3280" s="37"/>
      <c r="H3280" s="37"/>
      <c r="I3280" s="37"/>
      <c r="J3280" s="37"/>
    </row>
    <row r="3281" spans="1:10" x14ac:dyDescent="0.3">
      <c r="A3281" s="130"/>
      <c r="B3281" s="37"/>
      <c r="C3281" s="37"/>
      <c r="D3281" s="37"/>
      <c r="E3281" s="37"/>
      <c r="F3281" s="37"/>
      <c r="G3281" s="37"/>
      <c r="H3281" s="37"/>
      <c r="I3281" s="37"/>
      <c r="J3281" s="37"/>
    </row>
    <row r="3282" spans="1:10" x14ac:dyDescent="0.3">
      <c r="A3282" s="130"/>
      <c r="B3282" s="37"/>
      <c r="C3282" s="37"/>
      <c r="D3282" s="37"/>
      <c r="E3282" s="37"/>
      <c r="F3282" s="37"/>
      <c r="G3282" s="37"/>
      <c r="H3282" s="37"/>
      <c r="I3282" s="37"/>
      <c r="J3282" s="37"/>
    </row>
    <row r="3283" spans="1:10" x14ac:dyDescent="0.3">
      <c r="A3283" s="130"/>
      <c r="B3283" s="37"/>
      <c r="C3283" s="37"/>
      <c r="D3283" s="37"/>
      <c r="E3283" s="37"/>
      <c r="F3283" s="37"/>
      <c r="G3283" s="37"/>
      <c r="H3283" s="37"/>
      <c r="I3283" s="37"/>
      <c r="J3283" s="37"/>
    </row>
    <row r="3284" spans="1:10" x14ac:dyDescent="0.3">
      <c r="A3284" s="130"/>
      <c r="B3284" s="37"/>
      <c r="C3284" s="37"/>
      <c r="D3284" s="37"/>
      <c r="E3284" s="37"/>
      <c r="F3284" s="37"/>
      <c r="G3284" s="37"/>
      <c r="H3284" s="37"/>
      <c r="I3284" s="37"/>
      <c r="J3284" s="37"/>
    </row>
    <row r="3285" spans="1:10" x14ac:dyDescent="0.3">
      <c r="A3285" s="130"/>
      <c r="B3285" s="37"/>
      <c r="C3285" s="37"/>
      <c r="D3285" s="37"/>
      <c r="E3285" s="37"/>
      <c r="F3285" s="37"/>
      <c r="G3285" s="37"/>
      <c r="H3285" s="37"/>
      <c r="I3285" s="37"/>
      <c r="J3285" s="37"/>
    </row>
    <row r="3286" spans="1:10" x14ac:dyDescent="0.3">
      <c r="A3286" s="130"/>
      <c r="B3286" s="37"/>
      <c r="C3286" s="37"/>
      <c r="D3286" s="37"/>
      <c r="E3286" s="37"/>
      <c r="F3286" s="37"/>
      <c r="G3286" s="37"/>
      <c r="H3286" s="37"/>
      <c r="I3286" s="37"/>
      <c r="J3286" s="37"/>
    </row>
    <row r="3287" spans="1:10" x14ac:dyDescent="0.3">
      <c r="A3287" s="130"/>
      <c r="B3287" s="37"/>
      <c r="C3287" s="37"/>
      <c r="D3287" s="37"/>
      <c r="E3287" s="37"/>
      <c r="F3287" s="37"/>
      <c r="G3287" s="37"/>
      <c r="H3287" s="37"/>
      <c r="I3287" s="37"/>
      <c r="J3287" s="37"/>
    </row>
    <row r="3288" spans="1:10" x14ac:dyDescent="0.3">
      <c r="A3288" s="130"/>
      <c r="B3288" s="37"/>
      <c r="C3288" s="37"/>
      <c r="D3288" s="37"/>
      <c r="E3288" s="37"/>
      <c r="F3288" s="37"/>
      <c r="G3288" s="37"/>
      <c r="H3288" s="37"/>
      <c r="I3288" s="37"/>
      <c r="J3288" s="37"/>
    </row>
    <row r="3289" spans="1:10" x14ac:dyDescent="0.3">
      <c r="A3289" s="130"/>
      <c r="B3289" s="37"/>
      <c r="C3289" s="37"/>
      <c r="D3289" s="37"/>
      <c r="E3289" s="37"/>
      <c r="F3289" s="37"/>
      <c r="G3289" s="37"/>
      <c r="H3289" s="37"/>
      <c r="I3289" s="37"/>
      <c r="J3289" s="37"/>
    </row>
    <row r="3290" spans="1:10" x14ac:dyDescent="0.3">
      <c r="A3290" s="130"/>
      <c r="B3290" s="37"/>
      <c r="C3290" s="37"/>
      <c r="D3290" s="37"/>
      <c r="E3290" s="37"/>
      <c r="F3290" s="37"/>
      <c r="G3290" s="37"/>
      <c r="H3290" s="37"/>
      <c r="I3290" s="37"/>
      <c r="J3290" s="37"/>
    </row>
    <row r="3291" spans="1:10" x14ac:dyDescent="0.3">
      <c r="A3291" s="130"/>
      <c r="B3291" s="37"/>
      <c r="C3291" s="37"/>
      <c r="D3291" s="37"/>
      <c r="E3291" s="37"/>
      <c r="F3291" s="37"/>
      <c r="G3291" s="37"/>
      <c r="H3291" s="37"/>
      <c r="I3291" s="37"/>
      <c r="J3291" s="37"/>
    </row>
    <row r="3292" spans="1:10" x14ac:dyDescent="0.3">
      <c r="A3292" s="130"/>
      <c r="B3292" s="37"/>
      <c r="C3292" s="37"/>
      <c r="D3292" s="37"/>
      <c r="E3292" s="37"/>
      <c r="F3292" s="37"/>
      <c r="G3292" s="37"/>
      <c r="H3292" s="37"/>
      <c r="I3292" s="37"/>
      <c r="J3292" s="37"/>
    </row>
    <row r="3293" spans="1:10" x14ac:dyDescent="0.3">
      <c r="A3293" s="130"/>
      <c r="B3293" s="37"/>
      <c r="C3293" s="37"/>
      <c r="D3293" s="37"/>
      <c r="E3293" s="37"/>
      <c r="F3293" s="37"/>
      <c r="G3293" s="37"/>
      <c r="H3293" s="37"/>
      <c r="I3293" s="37"/>
      <c r="J3293" s="37"/>
    </row>
    <row r="3294" spans="1:10" x14ac:dyDescent="0.3">
      <c r="A3294" s="130"/>
      <c r="B3294" s="37"/>
      <c r="C3294" s="37"/>
      <c r="D3294" s="37"/>
      <c r="E3294" s="37"/>
      <c r="F3294" s="37"/>
      <c r="G3294" s="37"/>
      <c r="H3294" s="37"/>
      <c r="I3294" s="37"/>
      <c r="J3294" s="37"/>
    </row>
    <row r="3295" spans="1:10" x14ac:dyDescent="0.3">
      <c r="A3295" s="130"/>
      <c r="B3295" s="37"/>
      <c r="C3295" s="37"/>
      <c r="D3295" s="37"/>
      <c r="E3295" s="37"/>
      <c r="F3295" s="37"/>
      <c r="G3295" s="37"/>
      <c r="H3295" s="37"/>
      <c r="I3295" s="37"/>
      <c r="J3295" s="37"/>
    </row>
    <row r="3296" spans="1:10" x14ac:dyDescent="0.3">
      <c r="A3296" s="130"/>
      <c r="B3296" s="37"/>
      <c r="C3296" s="37"/>
      <c r="D3296" s="37"/>
      <c r="E3296" s="37"/>
      <c r="F3296" s="37"/>
      <c r="G3296" s="37"/>
      <c r="H3296" s="37"/>
      <c r="I3296" s="37"/>
      <c r="J3296" s="37"/>
    </row>
    <row r="3297" spans="1:10" x14ac:dyDescent="0.3">
      <c r="A3297" s="130"/>
      <c r="B3297" s="37"/>
      <c r="C3297" s="37"/>
      <c r="D3297" s="37"/>
      <c r="E3297" s="37"/>
      <c r="F3297" s="37"/>
      <c r="G3297" s="37"/>
      <c r="H3297" s="37"/>
      <c r="I3297" s="37"/>
      <c r="J3297" s="37"/>
    </row>
    <row r="3298" spans="1:10" x14ac:dyDescent="0.3">
      <c r="A3298" s="130"/>
      <c r="B3298" s="37"/>
      <c r="C3298" s="37"/>
      <c r="D3298" s="37"/>
      <c r="E3298" s="37"/>
      <c r="F3298" s="37"/>
      <c r="G3298" s="37"/>
      <c r="H3298" s="37"/>
      <c r="I3298" s="37"/>
      <c r="J3298" s="37"/>
    </row>
    <row r="3299" spans="1:10" x14ac:dyDescent="0.3">
      <c r="A3299" s="130"/>
      <c r="B3299" s="37"/>
      <c r="C3299" s="37"/>
      <c r="D3299" s="37"/>
      <c r="E3299" s="37"/>
      <c r="F3299" s="37"/>
      <c r="G3299" s="37"/>
      <c r="H3299" s="37"/>
      <c r="I3299" s="37"/>
      <c r="J3299" s="37"/>
    </row>
    <row r="3300" spans="1:10" x14ac:dyDescent="0.3">
      <c r="A3300" s="130"/>
      <c r="B3300" s="37"/>
      <c r="C3300" s="37"/>
      <c r="D3300" s="37"/>
      <c r="E3300" s="37"/>
      <c r="F3300" s="37"/>
      <c r="G3300" s="37"/>
      <c r="H3300" s="37"/>
      <c r="I3300" s="37"/>
      <c r="J3300" s="37"/>
    </row>
    <row r="3301" spans="1:10" x14ac:dyDescent="0.3">
      <c r="A3301" s="130"/>
      <c r="B3301" s="37"/>
      <c r="C3301" s="37"/>
      <c r="D3301" s="37"/>
      <c r="E3301" s="37"/>
      <c r="F3301" s="37"/>
      <c r="G3301" s="37"/>
      <c r="H3301" s="37"/>
      <c r="I3301" s="37"/>
      <c r="J3301" s="37"/>
    </row>
    <row r="3302" spans="1:10" x14ac:dyDescent="0.3">
      <c r="A3302" s="130"/>
      <c r="B3302" s="37"/>
      <c r="C3302" s="37"/>
      <c r="D3302" s="37"/>
      <c r="E3302" s="37"/>
      <c r="F3302" s="37"/>
      <c r="G3302" s="37"/>
      <c r="H3302" s="37"/>
      <c r="I3302" s="37"/>
      <c r="J3302" s="37"/>
    </row>
    <row r="3303" spans="1:10" x14ac:dyDescent="0.3">
      <c r="A3303" s="130"/>
      <c r="B3303" s="37"/>
      <c r="C3303" s="37"/>
      <c r="D3303" s="37"/>
      <c r="E3303" s="37"/>
      <c r="F3303" s="37"/>
      <c r="G3303" s="37"/>
      <c r="H3303" s="37"/>
      <c r="I3303" s="37"/>
      <c r="J3303" s="37"/>
    </row>
    <row r="3304" spans="1:10" x14ac:dyDescent="0.3">
      <c r="A3304" s="130"/>
      <c r="B3304" s="37"/>
      <c r="C3304" s="37"/>
      <c r="D3304" s="37"/>
      <c r="E3304" s="37"/>
      <c r="F3304" s="37"/>
      <c r="G3304" s="37"/>
      <c r="H3304" s="37"/>
      <c r="I3304" s="37"/>
      <c r="J3304" s="37"/>
    </row>
    <row r="3305" spans="1:10" x14ac:dyDescent="0.3">
      <c r="A3305" s="130"/>
      <c r="B3305" s="37"/>
      <c r="C3305" s="37"/>
      <c r="D3305" s="37"/>
      <c r="E3305" s="37"/>
      <c r="F3305" s="37"/>
      <c r="G3305" s="37"/>
      <c r="H3305" s="37"/>
      <c r="I3305" s="37"/>
      <c r="J3305" s="37"/>
    </row>
    <row r="3306" spans="1:10" x14ac:dyDescent="0.3">
      <c r="A3306" s="130"/>
      <c r="B3306" s="37"/>
      <c r="C3306" s="37"/>
      <c r="D3306" s="37"/>
      <c r="E3306" s="37"/>
      <c r="F3306" s="37"/>
      <c r="G3306" s="37"/>
      <c r="H3306" s="37"/>
      <c r="I3306" s="37"/>
      <c r="J3306" s="37"/>
    </row>
    <row r="3307" spans="1:10" x14ac:dyDescent="0.3">
      <c r="A3307" s="130"/>
      <c r="B3307" s="37"/>
      <c r="C3307" s="37"/>
      <c r="D3307" s="37"/>
      <c r="E3307" s="37"/>
      <c r="F3307" s="37"/>
      <c r="G3307" s="37"/>
      <c r="H3307" s="37"/>
      <c r="I3307" s="37"/>
      <c r="J3307" s="37"/>
    </row>
    <row r="3308" spans="1:10" x14ac:dyDescent="0.3">
      <c r="A3308" s="130"/>
      <c r="B3308" s="37"/>
      <c r="C3308" s="37"/>
      <c r="D3308" s="37"/>
      <c r="E3308" s="37"/>
      <c r="F3308" s="37"/>
      <c r="G3308" s="37"/>
      <c r="H3308" s="37"/>
      <c r="I3308" s="37"/>
      <c r="J3308" s="37"/>
    </row>
    <row r="3309" spans="1:10" x14ac:dyDescent="0.3">
      <c r="A3309" s="130"/>
      <c r="B3309" s="37"/>
      <c r="C3309" s="37"/>
      <c r="D3309" s="37"/>
      <c r="E3309" s="37"/>
      <c r="F3309" s="37"/>
      <c r="G3309" s="37"/>
      <c r="H3309" s="37"/>
      <c r="I3309" s="37"/>
      <c r="J3309" s="37"/>
    </row>
    <row r="3310" spans="1:10" x14ac:dyDescent="0.3">
      <c r="A3310" s="130"/>
      <c r="B3310" s="37"/>
      <c r="C3310" s="37"/>
      <c r="D3310" s="37"/>
      <c r="E3310" s="37"/>
      <c r="F3310" s="37"/>
      <c r="G3310" s="37"/>
      <c r="H3310" s="37"/>
      <c r="I3310" s="37"/>
      <c r="J3310" s="37"/>
    </row>
    <row r="3311" spans="1:10" x14ac:dyDescent="0.3">
      <c r="A3311" s="130"/>
      <c r="B3311" s="37"/>
      <c r="C3311" s="37"/>
      <c r="D3311" s="37"/>
      <c r="E3311" s="37"/>
      <c r="F3311" s="37"/>
      <c r="G3311" s="37"/>
      <c r="H3311" s="37"/>
      <c r="I3311" s="37"/>
      <c r="J3311" s="37"/>
    </row>
    <row r="3312" spans="1:10" x14ac:dyDescent="0.3">
      <c r="A3312" s="130"/>
      <c r="B3312" s="37"/>
      <c r="C3312" s="37"/>
      <c r="D3312" s="37"/>
      <c r="E3312" s="37"/>
      <c r="F3312" s="37"/>
      <c r="G3312" s="37"/>
      <c r="H3312" s="37"/>
      <c r="I3312" s="37"/>
      <c r="J3312" s="37"/>
    </row>
    <row r="3313" spans="1:10" x14ac:dyDescent="0.3">
      <c r="A3313" s="130"/>
      <c r="B3313" s="37"/>
      <c r="C3313" s="37"/>
      <c r="D3313" s="37"/>
      <c r="E3313" s="37"/>
      <c r="F3313" s="37"/>
      <c r="G3313" s="37"/>
      <c r="H3313" s="37"/>
      <c r="I3313" s="37"/>
      <c r="J3313" s="37"/>
    </row>
    <row r="3314" spans="1:10" x14ac:dyDescent="0.3">
      <c r="A3314" s="130"/>
      <c r="B3314" s="37"/>
      <c r="C3314" s="37"/>
      <c r="D3314" s="37"/>
      <c r="E3314" s="37"/>
      <c r="F3314" s="37"/>
      <c r="G3314" s="37"/>
      <c r="H3314" s="37"/>
      <c r="I3314" s="37"/>
      <c r="J3314" s="37"/>
    </row>
    <row r="3315" spans="1:10" x14ac:dyDescent="0.3">
      <c r="A3315" s="130"/>
      <c r="B3315" s="37"/>
      <c r="C3315" s="37"/>
      <c r="D3315" s="37"/>
      <c r="E3315" s="37"/>
      <c r="F3315" s="37"/>
      <c r="G3315" s="37"/>
      <c r="H3315" s="37"/>
      <c r="I3315" s="37"/>
      <c r="J3315" s="37"/>
    </row>
    <row r="3316" spans="1:10" x14ac:dyDescent="0.3">
      <c r="A3316" s="130"/>
      <c r="B3316" s="37"/>
      <c r="C3316" s="37"/>
      <c r="D3316" s="37"/>
      <c r="E3316" s="37"/>
      <c r="F3316" s="37"/>
      <c r="G3316" s="37"/>
      <c r="H3316" s="37"/>
      <c r="I3316" s="37"/>
      <c r="J3316" s="37"/>
    </row>
    <row r="3317" spans="1:10" x14ac:dyDescent="0.3">
      <c r="A3317" s="130"/>
      <c r="B3317" s="37"/>
      <c r="C3317" s="37"/>
      <c r="D3317" s="37"/>
      <c r="E3317" s="37"/>
      <c r="F3317" s="37"/>
      <c r="G3317" s="37"/>
      <c r="H3317" s="37"/>
      <c r="I3317" s="37"/>
      <c r="J3317" s="37"/>
    </row>
    <row r="3318" spans="1:10" x14ac:dyDescent="0.3">
      <c r="A3318" s="130"/>
      <c r="B3318" s="37"/>
      <c r="C3318" s="37"/>
      <c r="D3318" s="37"/>
      <c r="E3318" s="37"/>
      <c r="F3318" s="37"/>
      <c r="G3318" s="37"/>
      <c r="H3318" s="37"/>
      <c r="I3318" s="37"/>
      <c r="J3318" s="37"/>
    </row>
    <row r="3319" spans="1:10" x14ac:dyDescent="0.3">
      <c r="A3319" s="130"/>
      <c r="B3319" s="37"/>
      <c r="C3319" s="37"/>
      <c r="D3319" s="37"/>
      <c r="E3319" s="37"/>
      <c r="F3319" s="37"/>
      <c r="G3319" s="37"/>
      <c r="H3319" s="37"/>
      <c r="I3319" s="37"/>
      <c r="J3319" s="37"/>
    </row>
    <row r="3320" spans="1:10" x14ac:dyDescent="0.3">
      <c r="A3320" s="130"/>
      <c r="B3320" s="37"/>
      <c r="C3320" s="37"/>
      <c r="D3320" s="37"/>
      <c r="E3320" s="37"/>
      <c r="F3320" s="37"/>
      <c r="G3320" s="37"/>
      <c r="H3320" s="37"/>
      <c r="I3320" s="37"/>
      <c r="J3320" s="37"/>
    </row>
    <row r="3321" spans="1:10" x14ac:dyDescent="0.3">
      <c r="A3321" s="130"/>
      <c r="B3321" s="37"/>
      <c r="C3321" s="37"/>
      <c r="D3321" s="37"/>
      <c r="E3321" s="37"/>
      <c r="F3321" s="37"/>
      <c r="G3321" s="37"/>
      <c r="H3321" s="37"/>
      <c r="I3321" s="37"/>
      <c r="J3321" s="37"/>
    </row>
    <row r="3322" spans="1:10" x14ac:dyDescent="0.3">
      <c r="A3322" s="130"/>
      <c r="B3322" s="37"/>
      <c r="C3322" s="37"/>
      <c r="D3322" s="37"/>
      <c r="E3322" s="37"/>
      <c r="F3322" s="37"/>
      <c r="G3322" s="37"/>
      <c r="H3322" s="37"/>
      <c r="I3322" s="37"/>
      <c r="J3322" s="37"/>
    </row>
    <row r="3323" spans="1:10" x14ac:dyDescent="0.3">
      <c r="A3323" s="130"/>
      <c r="B3323" s="37"/>
      <c r="C3323" s="37"/>
      <c r="D3323" s="37"/>
      <c r="E3323" s="37"/>
      <c r="F3323" s="37"/>
      <c r="G3323" s="37"/>
      <c r="H3323" s="37"/>
      <c r="I3323" s="37"/>
      <c r="J3323" s="37"/>
    </row>
    <row r="3324" spans="1:10" x14ac:dyDescent="0.3">
      <c r="A3324" s="130"/>
      <c r="B3324" s="37"/>
      <c r="C3324" s="37"/>
      <c r="D3324" s="37"/>
      <c r="E3324" s="37"/>
      <c r="F3324" s="37"/>
      <c r="G3324" s="37"/>
      <c r="H3324" s="37"/>
      <c r="I3324" s="37"/>
      <c r="J3324" s="37"/>
    </row>
    <row r="3325" spans="1:10" x14ac:dyDescent="0.3">
      <c r="A3325" s="130"/>
      <c r="B3325" s="37"/>
      <c r="C3325" s="37"/>
      <c r="D3325" s="37"/>
      <c r="E3325" s="37"/>
      <c r="F3325" s="37"/>
      <c r="G3325" s="37"/>
      <c r="H3325" s="37"/>
      <c r="I3325" s="37"/>
      <c r="J3325" s="37"/>
    </row>
    <row r="3326" spans="1:10" x14ac:dyDescent="0.3">
      <c r="A3326" s="130"/>
      <c r="B3326" s="37"/>
      <c r="C3326" s="37"/>
      <c r="D3326" s="37"/>
      <c r="E3326" s="37"/>
      <c r="F3326" s="37"/>
      <c r="G3326" s="37"/>
      <c r="H3326" s="37"/>
      <c r="I3326" s="37"/>
      <c r="J3326" s="37"/>
    </row>
    <row r="3327" spans="1:10" x14ac:dyDescent="0.3">
      <c r="A3327" s="130"/>
      <c r="B3327" s="37"/>
      <c r="C3327" s="37"/>
      <c r="D3327" s="37"/>
      <c r="E3327" s="37"/>
      <c r="F3327" s="37"/>
      <c r="G3327" s="37"/>
      <c r="H3327" s="37"/>
      <c r="I3327" s="37"/>
      <c r="J3327" s="37"/>
    </row>
    <row r="3328" spans="1:10" x14ac:dyDescent="0.3">
      <c r="A3328" s="130"/>
      <c r="B3328" s="37"/>
      <c r="C3328" s="37"/>
      <c r="D3328" s="37"/>
      <c r="E3328" s="37"/>
      <c r="F3328" s="37"/>
      <c r="G3328" s="37"/>
      <c r="H3328" s="37"/>
      <c r="I3328" s="37"/>
      <c r="J3328" s="37"/>
    </row>
    <row r="3329" spans="1:10" x14ac:dyDescent="0.3">
      <c r="A3329" s="130"/>
      <c r="B3329" s="37"/>
      <c r="C3329" s="37"/>
      <c r="D3329" s="37"/>
      <c r="E3329" s="37"/>
      <c r="F3329" s="37"/>
      <c r="G3329" s="37"/>
      <c r="H3329" s="37"/>
      <c r="I3329" s="37"/>
      <c r="J3329" s="37"/>
    </row>
    <row r="3330" spans="1:10" x14ac:dyDescent="0.3">
      <c r="A3330" s="130"/>
      <c r="B3330" s="37"/>
      <c r="C3330" s="37"/>
      <c r="D3330" s="37"/>
      <c r="E3330" s="37"/>
      <c r="F3330" s="37"/>
      <c r="G3330" s="37"/>
      <c r="H3330" s="37"/>
      <c r="I3330" s="37"/>
      <c r="J3330" s="37"/>
    </row>
    <row r="3331" spans="1:10" x14ac:dyDescent="0.3">
      <c r="A3331" s="130"/>
      <c r="B3331" s="37"/>
      <c r="C3331" s="37"/>
      <c r="D3331" s="37"/>
      <c r="E3331" s="37"/>
      <c r="F3331" s="37"/>
      <c r="G3331" s="37"/>
      <c r="H3331" s="37"/>
      <c r="I3331" s="37"/>
      <c r="J3331" s="37"/>
    </row>
    <row r="3332" spans="1:10" x14ac:dyDescent="0.3">
      <c r="A3332" s="130"/>
      <c r="B3332" s="37"/>
      <c r="C3332" s="37"/>
      <c r="D3332" s="37"/>
      <c r="E3332" s="37"/>
      <c r="F3332" s="37"/>
      <c r="G3332" s="37"/>
      <c r="H3332" s="37"/>
      <c r="I3332" s="37"/>
      <c r="J3332" s="37"/>
    </row>
    <row r="3333" spans="1:10" x14ac:dyDescent="0.3">
      <c r="A3333" s="130"/>
      <c r="B3333" s="37"/>
      <c r="C3333" s="37"/>
      <c r="D3333" s="37"/>
      <c r="E3333" s="37"/>
      <c r="F3333" s="37"/>
      <c r="G3333" s="37"/>
      <c r="H3333" s="37"/>
      <c r="I3333" s="37"/>
      <c r="J3333" s="37"/>
    </row>
    <row r="3334" spans="1:10" x14ac:dyDescent="0.3">
      <c r="A3334" s="130"/>
      <c r="B3334" s="37"/>
      <c r="C3334" s="37"/>
      <c r="D3334" s="37"/>
      <c r="E3334" s="37"/>
      <c r="F3334" s="37"/>
      <c r="G3334" s="37"/>
      <c r="H3334" s="37"/>
      <c r="I3334" s="37"/>
      <c r="J3334" s="37"/>
    </row>
    <row r="3335" spans="1:10" x14ac:dyDescent="0.3">
      <c r="A3335" s="130"/>
      <c r="B3335" s="37"/>
      <c r="C3335" s="37"/>
      <c r="D3335" s="37"/>
      <c r="E3335" s="37"/>
      <c r="F3335" s="37"/>
      <c r="G3335" s="37"/>
      <c r="H3335" s="37"/>
      <c r="I3335" s="37"/>
      <c r="J3335" s="37"/>
    </row>
    <row r="3336" spans="1:10" x14ac:dyDescent="0.3">
      <c r="A3336" s="130"/>
      <c r="B3336" s="37"/>
      <c r="C3336" s="37"/>
      <c r="D3336" s="37"/>
      <c r="E3336" s="37"/>
      <c r="F3336" s="37"/>
      <c r="G3336" s="37"/>
      <c r="H3336" s="37"/>
      <c r="I3336" s="37"/>
      <c r="J3336" s="37"/>
    </row>
    <row r="3337" spans="1:10" x14ac:dyDescent="0.3">
      <c r="A3337" s="130"/>
      <c r="B3337" s="37"/>
      <c r="C3337" s="37"/>
      <c r="D3337" s="37"/>
      <c r="E3337" s="37"/>
      <c r="F3337" s="37"/>
      <c r="G3337" s="37"/>
      <c r="H3337" s="37"/>
      <c r="I3337" s="37"/>
      <c r="J3337" s="37"/>
    </row>
    <row r="3338" spans="1:10" x14ac:dyDescent="0.3">
      <c r="A3338" s="130"/>
      <c r="B3338" s="37"/>
      <c r="C3338" s="37"/>
      <c r="D3338" s="37"/>
      <c r="E3338" s="37"/>
      <c r="F3338" s="37"/>
      <c r="G3338" s="37"/>
      <c r="H3338" s="37"/>
      <c r="I3338" s="37"/>
      <c r="J3338" s="37"/>
    </row>
    <row r="3339" spans="1:10" x14ac:dyDescent="0.3">
      <c r="A3339" s="130"/>
      <c r="B3339" s="37"/>
      <c r="C3339" s="37"/>
      <c r="D3339" s="37"/>
      <c r="E3339" s="37"/>
      <c r="F3339" s="37"/>
      <c r="G3339" s="37"/>
      <c r="H3339" s="37"/>
      <c r="I3339" s="37"/>
      <c r="J3339" s="37"/>
    </row>
    <row r="3340" spans="1:10" x14ac:dyDescent="0.3">
      <c r="A3340" s="130"/>
      <c r="B3340" s="37"/>
      <c r="C3340" s="37"/>
      <c r="D3340" s="37"/>
      <c r="E3340" s="37"/>
      <c r="F3340" s="37"/>
      <c r="G3340" s="37"/>
      <c r="H3340" s="37"/>
      <c r="I3340" s="37"/>
      <c r="J3340" s="37"/>
    </row>
    <row r="3341" spans="1:10" x14ac:dyDescent="0.3">
      <c r="A3341" s="130"/>
      <c r="B3341" s="37"/>
      <c r="C3341" s="37"/>
      <c r="D3341" s="37"/>
      <c r="E3341" s="37"/>
      <c r="F3341" s="37"/>
      <c r="G3341" s="37"/>
      <c r="H3341" s="37"/>
      <c r="I3341" s="37"/>
      <c r="J3341" s="37"/>
    </row>
    <row r="3342" spans="1:10" x14ac:dyDescent="0.3">
      <c r="A3342" s="130"/>
      <c r="B3342" s="37"/>
      <c r="C3342" s="37"/>
      <c r="D3342" s="37"/>
      <c r="E3342" s="37"/>
      <c r="F3342" s="37"/>
      <c r="G3342" s="37"/>
      <c r="H3342" s="37"/>
      <c r="I3342" s="37"/>
      <c r="J3342" s="37"/>
    </row>
    <row r="3343" spans="1:10" x14ac:dyDescent="0.3">
      <c r="A3343" s="130"/>
      <c r="B3343" s="37"/>
      <c r="C3343" s="37"/>
      <c r="D3343" s="37"/>
      <c r="E3343" s="37"/>
      <c r="F3343" s="37"/>
      <c r="G3343" s="37"/>
      <c r="H3343" s="37"/>
      <c r="I3343" s="37"/>
      <c r="J3343" s="37"/>
    </row>
    <row r="3344" spans="1:10" x14ac:dyDescent="0.3">
      <c r="A3344" s="130"/>
      <c r="B3344" s="37"/>
      <c r="C3344" s="37"/>
      <c r="D3344" s="37"/>
      <c r="E3344" s="37"/>
      <c r="F3344" s="37"/>
      <c r="G3344" s="37"/>
      <c r="H3344" s="37"/>
      <c r="I3344" s="37"/>
      <c r="J3344" s="37"/>
    </row>
    <row r="3345" spans="1:10" x14ac:dyDescent="0.3">
      <c r="A3345" s="130"/>
      <c r="B3345" s="37"/>
      <c r="C3345" s="37"/>
      <c r="D3345" s="37"/>
      <c r="E3345" s="37"/>
      <c r="F3345" s="37"/>
      <c r="G3345" s="37"/>
      <c r="H3345" s="37"/>
      <c r="I3345" s="37"/>
      <c r="J3345" s="37"/>
    </row>
    <row r="3346" spans="1:10" x14ac:dyDescent="0.3">
      <c r="A3346" s="130"/>
      <c r="B3346" s="37"/>
      <c r="C3346" s="37"/>
      <c r="D3346" s="37"/>
      <c r="E3346" s="37"/>
      <c r="F3346" s="37"/>
      <c r="G3346" s="37"/>
      <c r="H3346" s="37"/>
      <c r="I3346" s="37"/>
      <c r="J3346" s="37"/>
    </row>
    <row r="3347" spans="1:10" x14ac:dyDescent="0.3">
      <c r="A3347" s="130"/>
      <c r="B3347" s="37"/>
      <c r="C3347" s="37"/>
      <c r="D3347" s="37"/>
      <c r="E3347" s="37"/>
      <c r="F3347" s="37"/>
      <c r="G3347" s="37"/>
      <c r="H3347" s="37"/>
      <c r="I3347" s="37"/>
      <c r="J3347" s="37"/>
    </row>
    <row r="3348" spans="1:10" x14ac:dyDescent="0.3">
      <c r="A3348" s="130"/>
      <c r="B3348" s="37"/>
      <c r="C3348" s="37"/>
      <c r="D3348" s="37"/>
      <c r="E3348" s="37"/>
      <c r="F3348" s="37"/>
      <c r="G3348" s="37"/>
      <c r="H3348" s="37"/>
      <c r="I3348" s="37"/>
      <c r="J3348" s="37"/>
    </row>
    <row r="3349" spans="1:10" x14ac:dyDescent="0.3">
      <c r="A3349" s="130"/>
      <c r="B3349" s="37"/>
      <c r="C3349" s="37"/>
      <c r="D3349" s="37"/>
      <c r="E3349" s="37"/>
      <c r="F3349" s="37"/>
      <c r="G3349" s="37"/>
      <c r="H3349" s="37"/>
      <c r="I3349" s="37"/>
      <c r="J3349" s="37"/>
    </row>
    <row r="3350" spans="1:10" x14ac:dyDescent="0.3">
      <c r="A3350" s="130"/>
      <c r="B3350" s="37"/>
      <c r="C3350" s="37"/>
      <c r="D3350" s="37"/>
      <c r="E3350" s="37"/>
      <c r="F3350" s="37"/>
      <c r="G3350" s="37"/>
      <c r="H3350" s="37"/>
      <c r="I3350" s="37"/>
      <c r="J3350" s="37"/>
    </row>
    <row r="3351" spans="1:10" x14ac:dyDescent="0.3">
      <c r="A3351" s="130"/>
      <c r="B3351" s="37"/>
      <c r="C3351" s="37"/>
      <c r="D3351" s="37"/>
      <c r="E3351" s="37"/>
      <c r="F3351" s="37"/>
      <c r="G3351" s="37"/>
      <c r="H3351" s="37"/>
      <c r="I3351" s="37"/>
      <c r="J3351" s="37"/>
    </row>
    <row r="3352" spans="1:10" x14ac:dyDescent="0.3">
      <c r="A3352" s="130"/>
      <c r="B3352" s="37"/>
      <c r="C3352" s="37"/>
      <c r="D3352" s="37"/>
      <c r="E3352" s="37"/>
      <c r="F3352" s="37"/>
      <c r="G3352" s="37"/>
      <c r="H3352" s="37"/>
      <c r="I3352" s="37"/>
      <c r="J3352" s="37"/>
    </row>
    <row r="3353" spans="1:10" x14ac:dyDescent="0.3">
      <c r="A3353" s="130"/>
      <c r="B3353" s="37"/>
      <c r="C3353" s="37"/>
      <c r="D3353" s="37"/>
      <c r="E3353" s="37"/>
      <c r="F3353" s="37"/>
      <c r="G3353" s="37"/>
      <c r="H3353" s="37"/>
      <c r="I3353" s="37"/>
      <c r="J3353" s="37"/>
    </row>
    <row r="3354" spans="1:10" x14ac:dyDescent="0.3">
      <c r="A3354" s="130"/>
      <c r="B3354" s="37"/>
      <c r="C3354" s="37"/>
      <c r="D3354" s="37"/>
      <c r="E3354" s="37"/>
      <c r="F3354" s="37"/>
      <c r="G3354" s="37"/>
      <c r="H3354" s="37"/>
      <c r="I3354" s="37"/>
      <c r="J3354" s="37"/>
    </row>
    <row r="3355" spans="1:10" x14ac:dyDescent="0.3">
      <c r="A3355" s="130"/>
      <c r="B3355" s="37"/>
      <c r="C3355" s="37"/>
      <c r="D3355" s="37"/>
      <c r="E3355" s="37"/>
      <c r="F3355" s="37"/>
      <c r="G3355" s="37"/>
      <c r="H3355" s="37"/>
      <c r="I3355" s="37"/>
      <c r="J3355" s="37"/>
    </row>
    <row r="3356" spans="1:10" x14ac:dyDescent="0.3">
      <c r="A3356" s="130"/>
      <c r="B3356" s="37"/>
      <c r="C3356" s="37"/>
      <c r="D3356" s="37"/>
      <c r="E3356" s="37"/>
      <c r="F3356" s="37"/>
      <c r="G3356" s="37"/>
      <c r="H3356" s="37"/>
      <c r="I3356" s="37"/>
      <c r="J3356" s="37"/>
    </row>
    <row r="3357" spans="1:10" x14ac:dyDescent="0.3">
      <c r="A3357" s="130"/>
      <c r="B3357" s="37"/>
      <c r="C3357" s="37"/>
      <c r="D3357" s="37"/>
      <c r="E3357" s="37"/>
      <c r="F3357" s="37"/>
      <c r="G3357" s="37"/>
      <c r="H3357" s="37"/>
      <c r="I3357" s="37"/>
      <c r="J3357" s="37"/>
    </row>
    <row r="3358" spans="1:10" x14ac:dyDescent="0.3">
      <c r="A3358" s="130"/>
      <c r="B3358" s="37"/>
      <c r="C3358" s="37"/>
      <c r="D3358" s="37"/>
      <c r="E3358" s="37"/>
      <c r="F3358" s="37"/>
      <c r="G3358" s="37"/>
      <c r="H3358" s="37"/>
      <c r="I3358" s="37"/>
      <c r="J3358" s="37"/>
    </row>
    <row r="3359" spans="1:10" x14ac:dyDescent="0.3">
      <c r="A3359" s="130"/>
      <c r="B3359" s="37"/>
      <c r="C3359" s="37"/>
      <c r="D3359" s="37"/>
      <c r="E3359" s="37"/>
      <c r="F3359" s="37"/>
      <c r="G3359" s="37"/>
      <c r="H3359" s="37"/>
      <c r="I3359" s="37"/>
      <c r="J3359" s="37"/>
    </row>
    <row r="3360" spans="1:10" x14ac:dyDescent="0.3">
      <c r="A3360" s="130"/>
      <c r="B3360" s="37"/>
      <c r="C3360" s="37"/>
      <c r="D3360" s="37"/>
      <c r="E3360" s="37"/>
      <c r="F3360" s="37"/>
      <c r="G3360" s="37"/>
      <c r="H3360" s="37"/>
      <c r="I3360" s="37"/>
      <c r="J3360" s="37"/>
    </row>
    <row r="3361" spans="1:10" x14ac:dyDescent="0.3">
      <c r="A3361" s="130"/>
      <c r="B3361" s="37"/>
      <c r="C3361" s="37"/>
      <c r="D3361" s="37"/>
      <c r="E3361" s="37"/>
      <c r="F3361" s="37"/>
      <c r="G3361" s="37"/>
      <c r="H3361" s="37"/>
      <c r="I3361" s="37"/>
      <c r="J3361" s="37"/>
    </row>
    <row r="3362" spans="1:10" x14ac:dyDescent="0.3">
      <c r="A3362" s="130"/>
      <c r="B3362" s="37"/>
      <c r="C3362" s="37"/>
      <c r="D3362" s="37"/>
      <c r="E3362" s="37"/>
      <c r="F3362" s="37"/>
      <c r="G3362" s="37"/>
      <c r="H3362" s="37"/>
      <c r="I3362" s="37"/>
      <c r="J3362" s="37"/>
    </row>
    <row r="3363" spans="1:10" x14ac:dyDescent="0.3">
      <c r="A3363" s="130"/>
      <c r="B3363" s="37"/>
      <c r="C3363" s="37"/>
      <c r="D3363" s="37"/>
      <c r="E3363" s="37"/>
      <c r="F3363" s="37"/>
      <c r="G3363" s="37"/>
      <c r="H3363" s="37"/>
      <c r="I3363" s="37"/>
      <c r="J3363" s="37"/>
    </row>
    <row r="3364" spans="1:10" x14ac:dyDescent="0.3">
      <c r="A3364" s="130"/>
      <c r="B3364" s="37"/>
      <c r="C3364" s="37"/>
      <c r="D3364" s="37"/>
      <c r="E3364" s="37"/>
      <c r="F3364" s="37"/>
      <c r="G3364" s="37"/>
      <c r="H3364" s="37"/>
      <c r="I3364" s="37"/>
      <c r="J3364" s="37"/>
    </row>
    <row r="3365" spans="1:10" x14ac:dyDescent="0.3">
      <c r="A3365" s="130"/>
      <c r="B3365" s="37"/>
      <c r="C3365" s="37"/>
      <c r="D3365" s="37"/>
      <c r="E3365" s="37"/>
      <c r="F3365" s="37"/>
      <c r="G3365" s="37"/>
      <c r="H3365" s="37"/>
      <c r="I3365" s="37"/>
      <c r="J3365" s="37"/>
    </row>
    <row r="3366" spans="1:10" x14ac:dyDescent="0.3">
      <c r="A3366" s="130"/>
      <c r="B3366" s="37"/>
      <c r="C3366" s="37"/>
      <c r="D3366" s="37"/>
      <c r="E3366" s="37"/>
      <c r="F3366" s="37"/>
      <c r="G3366" s="37"/>
      <c r="H3366" s="37"/>
      <c r="I3366" s="37"/>
      <c r="J3366" s="37"/>
    </row>
    <row r="3367" spans="1:10" x14ac:dyDescent="0.3">
      <c r="A3367" s="130"/>
      <c r="B3367" s="37"/>
      <c r="C3367" s="37"/>
      <c r="D3367" s="37"/>
      <c r="E3367" s="37"/>
      <c r="F3367" s="37"/>
      <c r="G3367" s="37"/>
      <c r="H3367" s="37"/>
      <c r="I3367" s="37"/>
      <c r="J3367" s="37"/>
    </row>
    <row r="3368" spans="1:10" x14ac:dyDescent="0.3">
      <c r="A3368" s="130"/>
      <c r="B3368" s="37"/>
      <c r="C3368" s="37"/>
      <c r="D3368" s="37"/>
      <c r="E3368" s="37"/>
      <c r="F3368" s="37"/>
      <c r="G3368" s="37"/>
      <c r="H3368" s="37"/>
      <c r="I3368" s="37"/>
      <c r="J3368" s="37"/>
    </row>
    <row r="3369" spans="1:10" x14ac:dyDescent="0.3">
      <c r="A3369" s="130"/>
      <c r="B3369" s="37"/>
      <c r="C3369" s="37"/>
      <c r="D3369" s="37"/>
      <c r="E3369" s="37"/>
      <c r="F3369" s="37"/>
      <c r="G3369" s="37"/>
      <c r="H3369" s="37"/>
      <c r="I3369" s="37"/>
      <c r="J3369" s="37"/>
    </row>
    <row r="3370" spans="1:10" x14ac:dyDescent="0.3">
      <c r="A3370" s="130"/>
      <c r="B3370" s="37"/>
      <c r="C3370" s="37"/>
      <c r="D3370" s="37"/>
      <c r="E3370" s="37"/>
      <c r="F3370" s="37"/>
      <c r="G3370" s="37"/>
      <c r="H3370" s="37"/>
      <c r="I3370" s="37"/>
      <c r="J3370" s="37"/>
    </row>
    <row r="3371" spans="1:10" x14ac:dyDescent="0.3">
      <c r="A3371" s="130"/>
      <c r="B3371" s="37"/>
      <c r="C3371" s="37"/>
      <c r="D3371" s="37"/>
      <c r="E3371" s="37"/>
      <c r="F3371" s="37"/>
      <c r="G3371" s="37"/>
      <c r="H3371" s="37"/>
      <c r="I3371" s="37"/>
      <c r="J3371" s="37"/>
    </row>
    <row r="3372" spans="1:10" x14ac:dyDescent="0.3">
      <c r="A3372" s="130"/>
      <c r="B3372" s="37"/>
      <c r="C3372" s="37"/>
      <c r="D3372" s="37"/>
      <c r="E3372" s="37"/>
      <c r="F3372" s="37"/>
      <c r="G3372" s="37"/>
      <c r="H3372" s="37"/>
      <c r="I3372" s="37"/>
      <c r="J3372" s="37"/>
    </row>
    <row r="3373" spans="1:10" x14ac:dyDescent="0.3">
      <c r="A3373" s="130"/>
      <c r="B3373" s="37"/>
      <c r="C3373" s="37"/>
      <c r="D3373" s="37"/>
      <c r="E3373" s="37"/>
      <c r="F3373" s="37"/>
      <c r="G3373" s="37"/>
      <c r="H3373" s="37"/>
      <c r="I3373" s="37"/>
      <c r="J3373" s="37"/>
    </row>
    <row r="3374" spans="1:10" x14ac:dyDescent="0.3">
      <c r="A3374" s="130"/>
      <c r="B3374" s="37"/>
      <c r="C3374" s="37"/>
      <c r="D3374" s="37"/>
      <c r="E3374" s="37"/>
      <c r="F3374" s="37"/>
      <c r="G3374" s="37"/>
      <c r="H3374" s="37"/>
      <c r="I3374" s="37"/>
      <c r="J3374" s="37"/>
    </row>
    <row r="3375" spans="1:10" x14ac:dyDescent="0.3">
      <c r="A3375" s="130"/>
      <c r="B3375" s="37"/>
      <c r="C3375" s="37"/>
      <c r="D3375" s="37"/>
      <c r="E3375" s="37"/>
      <c r="F3375" s="37"/>
      <c r="G3375" s="37"/>
      <c r="H3375" s="37"/>
      <c r="I3375" s="37"/>
      <c r="J3375" s="37"/>
    </row>
    <row r="3376" spans="1:10" x14ac:dyDescent="0.3">
      <c r="A3376" s="130"/>
      <c r="B3376" s="37"/>
      <c r="C3376" s="37"/>
      <c r="D3376" s="37"/>
      <c r="E3376" s="37"/>
      <c r="F3376" s="37"/>
      <c r="G3376" s="37"/>
      <c r="H3376" s="37"/>
      <c r="I3376" s="37"/>
      <c r="J3376" s="37"/>
    </row>
    <row r="3377" spans="1:10" x14ac:dyDescent="0.3">
      <c r="A3377" s="130"/>
      <c r="B3377" s="37"/>
      <c r="C3377" s="37"/>
      <c r="D3377" s="37"/>
      <c r="E3377" s="37"/>
      <c r="F3377" s="37"/>
      <c r="G3377" s="37"/>
      <c r="H3377" s="37"/>
      <c r="I3377" s="37"/>
      <c r="J3377" s="37"/>
    </row>
    <row r="3378" spans="1:10" x14ac:dyDescent="0.3">
      <c r="A3378" s="130"/>
      <c r="B3378" s="37"/>
      <c r="C3378" s="37"/>
      <c r="D3378" s="37"/>
      <c r="E3378" s="37"/>
      <c r="F3378" s="37"/>
      <c r="G3378" s="37"/>
      <c r="H3378" s="37"/>
      <c r="I3378" s="37"/>
      <c r="J3378" s="37"/>
    </row>
    <row r="3379" spans="1:10" x14ac:dyDescent="0.3">
      <c r="A3379" s="130"/>
      <c r="B3379" s="37"/>
      <c r="C3379" s="37"/>
      <c r="D3379" s="37"/>
      <c r="E3379" s="37"/>
      <c r="F3379" s="37"/>
      <c r="G3379" s="37"/>
      <c r="H3379" s="37"/>
      <c r="I3379" s="37"/>
      <c r="J3379" s="37"/>
    </row>
    <row r="3380" spans="1:10" x14ac:dyDescent="0.3">
      <c r="A3380" s="130"/>
      <c r="B3380" s="37"/>
      <c r="C3380" s="37"/>
      <c r="D3380" s="37"/>
      <c r="E3380" s="37"/>
      <c r="F3380" s="37"/>
      <c r="G3380" s="37"/>
      <c r="H3380" s="37"/>
      <c r="I3380" s="37"/>
      <c r="J3380" s="37"/>
    </row>
    <row r="3381" spans="1:10" x14ac:dyDescent="0.3">
      <c r="A3381" s="130"/>
      <c r="B3381" s="37"/>
      <c r="C3381" s="37"/>
      <c r="D3381" s="37"/>
      <c r="E3381" s="37"/>
      <c r="F3381" s="37"/>
      <c r="G3381" s="37"/>
      <c r="H3381" s="37"/>
      <c r="I3381" s="37"/>
      <c r="J3381" s="37"/>
    </row>
    <row r="3382" spans="1:10" x14ac:dyDescent="0.3">
      <c r="A3382" s="130"/>
      <c r="B3382" s="37"/>
      <c r="C3382" s="37"/>
      <c r="D3382" s="37"/>
      <c r="E3382" s="37"/>
      <c r="F3382" s="37"/>
      <c r="G3382" s="37"/>
      <c r="H3382" s="37"/>
      <c r="I3382" s="37"/>
      <c r="J3382" s="37"/>
    </row>
    <row r="3383" spans="1:10" x14ac:dyDescent="0.3">
      <c r="A3383" s="130"/>
      <c r="B3383" s="37"/>
      <c r="C3383" s="37"/>
      <c r="D3383" s="37"/>
      <c r="E3383" s="37"/>
      <c r="F3383" s="37"/>
      <c r="G3383" s="37"/>
      <c r="H3383" s="37"/>
      <c r="I3383" s="37"/>
      <c r="J3383" s="37"/>
    </row>
    <row r="3384" spans="1:10" x14ac:dyDescent="0.3">
      <c r="A3384" s="130"/>
      <c r="B3384" s="37"/>
      <c r="C3384" s="37"/>
      <c r="D3384" s="37"/>
      <c r="E3384" s="37"/>
      <c r="F3384" s="37"/>
      <c r="G3384" s="37"/>
      <c r="H3384" s="37"/>
      <c r="I3384" s="37"/>
      <c r="J3384" s="37"/>
    </row>
    <row r="3385" spans="1:10" x14ac:dyDescent="0.3">
      <c r="A3385" s="130"/>
      <c r="B3385" s="37"/>
      <c r="C3385" s="37"/>
      <c r="D3385" s="37"/>
      <c r="E3385" s="37"/>
      <c r="F3385" s="37"/>
      <c r="G3385" s="37"/>
      <c r="H3385" s="37"/>
      <c r="I3385" s="37"/>
      <c r="J3385" s="37"/>
    </row>
    <row r="3386" spans="1:10" x14ac:dyDescent="0.3">
      <c r="A3386" s="130"/>
      <c r="B3386" s="37"/>
      <c r="C3386" s="37"/>
      <c r="D3386" s="37"/>
      <c r="E3386" s="37"/>
      <c r="F3386" s="37"/>
      <c r="G3386" s="37"/>
      <c r="H3386" s="37"/>
      <c r="I3386" s="37"/>
      <c r="J3386" s="37"/>
    </row>
    <row r="3387" spans="1:10" x14ac:dyDescent="0.3">
      <c r="A3387" s="130"/>
      <c r="B3387" s="37"/>
      <c r="C3387" s="37"/>
      <c r="D3387" s="37"/>
      <c r="E3387" s="37"/>
      <c r="F3387" s="37"/>
      <c r="G3387" s="37"/>
      <c r="H3387" s="37"/>
      <c r="I3387" s="37"/>
      <c r="J3387" s="37"/>
    </row>
    <row r="3388" spans="1:10" x14ac:dyDescent="0.3">
      <c r="A3388" s="130"/>
      <c r="B3388" s="37"/>
      <c r="C3388" s="37"/>
      <c r="D3388" s="37"/>
      <c r="E3388" s="37"/>
      <c r="F3388" s="37"/>
      <c r="G3388" s="37"/>
      <c r="H3388" s="37"/>
      <c r="I3388" s="37"/>
      <c r="J3388" s="37"/>
    </row>
    <row r="3389" spans="1:10" x14ac:dyDescent="0.3">
      <c r="A3389" s="130"/>
      <c r="B3389" s="37"/>
      <c r="C3389" s="37"/>
      <c r="D3389" s="37"/>
      <c r="E3389" s="37"/>
      <c r="F3389" s="37"/>
      <c r="G3389" s="37"/>
      <c r="H3389" s="37"/>
      <c r="I3389" s="37"/>
      <c r="J3389" s="37"/>
    </row>
    <row r="3390" spans="1:10" x14ac:dyDescent="0.3">
      <c r="A3390" s="130"/>
      <c r="B3390" s="37"/>
      <c r="C3390" s="37"/>
      <c r="D3390" s="37"/>
      <c r="E3390" s="37"/>
      <c r="F3390" s="37"/>
      <c r="G3390" s="37"/>
      <c r="H3390" s="37"/>
      <c r="I3390" s="37"/>
      <c r="J3390" s="37"/>
    </row>
    <row r="3391" spans="1:10" x14ac:dyDescent="0.3">
      <c r="A3391" s="130"/>
      <c r="B3391" s="37"/>
      <c r="C3391" s="37"/>
      <c r="D3391" s="37"/>
      <c r="E3391" s="37"/>
      <c r="F3391" s="37"/>
      <c r="G3391" s="37"/>
      <c r="H3391" s="37"/>
      <c r="I3391" s="37"/>
      <c r="J3391" s="37"/>
    </row>
    <row r="3392" spans="1:10" x14ac:dyDescent="0.3">
      <c r="A3392" s="130"/>
      <c r="B3392" s="37"/>
      <c r="C3392" s="37"/>
      <c r="D3392" s="37"/>
      <c r="E3392" s="37"/>
      <c r="F3392" s="37"/>
      <c r="G3392" s="37"/>
      <c r="H3392" s="37"/>
      <c r="I3392" s="37"/>
      <c r="J3392" s="37"/>
    </row>
    <row r="3393" spans="1:10" x14ac:dyDescent="0.3">
      <c r="A3393" s="130"/>
      <c r="B3393" s="37"/>
      <c r="C3393" s="37"/>
      <c r="D3393" s="37"/>
      <c r="E3393" s="37"/>
      <c r="F3393" s="37"/>
      <c r="G3393" s="37"/>
      <c r="H3393" s="37"/>
      <c r="I3393" s="37"/>
      <c r="J3393" s="37"/>
    </row>
    <row r="3394" spans="1:10" x14ac:dyDescent="0.3">
      <c r="A3394" s="130"/>
      <c r="B3394" s="37"/>
      <c r="C3394" s="37"/>
      <c r="D3394" s="37"/>
      <c r="E3394" s="37"/>
      <c r="F3394" s="37"/>
      <c r="G3394" s="37"/>
      <c r="H3394" s="37"/>
      <c r="I3394" s="37"/>
      <c r="J3394" s="37"/>
    </row>
    <row r="3395" spans="1:10" x14ac:dyDescent="0.3">
      <c r="A3395" s="130"/>
      <c r="B3395" s="37"/>
      <c r="C3395" s="37"/>
      <c r="D3395" s="37"/>
      <c r="E3395" s="37"/>
      <c r="F3395" s="37"/>
      <c r="G3395" s="37"/>
      <c r="H3395" s="37"/>
      <c r="I3395" s="37"/>
      <c r="J3395" s="37"/>
    </row>
    <row r="3396" spans="1:10" x14ac:dyDescent="0.3">
      <c r="A3396" s="130"/>
      <c r="B3396" s="37"/>
      <c r="C3396" s="37"/>
      <c r="D3396" s="37"/>
      <c r="E3396" s="37"/>
      <c r="F3396" s="37"/>
      <c r="G3396" s="37"/>
      <c r="H3396" s="37"/>
      <c r="I3396" s="37"/>
      <c r="J3396" s="37"/>
    </row>
    <row r="3397" spans="1:10" x14ac:dyDescent="0.3">
      <c r="A3397" s="130"/>
      <c r="B3397" s="37"/>
      <c r="C3397" s="37"/>
      <c r="D3397" s="37"/>
      <c r="E3397" s="37"/>
      <c r="F3397" s="37"/>
      <c r="G3397" s="37"/>
      <c r="H3397" s="37"/>
      <c r="I3397" s="37"/>
      <c r="J3397" s="37"/>
    </row>
    <row r="3398" spans="1:10" x14ac:dyDescent="0.3">
      <c r="A3398" s="130"/>
      <c r="B3398" s="37"/>
      <c r="C3398" s="37"/>
      <c r="D3398" s="37"/>
      <c r="E3398" s="37"/>
      <c r="F3398" s="37"/>
      <c r="G3398" s="37"/>
      <c r="H3398" s="37"/>
      <c r="I3398" s="37"/>
      <c r="J3398" s="37"/>
    </row>
    <row r="3399" spans="1:10" x14ac:dyDescent="0.3">
      <c r="A3399" s="130"/>
      <c r="B3399" s="37"/>
      <c r="C3399" s="37"/>
      <c r="D3399" s="37"/>
      <c r="E3399" s="37"/>
      <c r="F3399" s="37"/>
      <c r="G3399" s="37"/>
      <c r="H3399" s="37"/>
      <c r="I3399" s="37"/>
      <c r="J3399" s="37"/>
    </row>
    <row r="3400" spans="1:10" x14ac:dyDescent="0.3">
      <c r="A3400" s="130"/>
      <c r="B3400" s="37"/>
      <c r="C3400" s="37"/>
      <c r="D3400" s="37"/>
      <c r="E3400" s="37"/>
      <c r="F3400" s="37"/>
      <c r="G3400" s="37"/>
      <c r="H3400" s="37"/>
      <c r="I3400" s="37"/>
      <c r="J3400" s="37"/>
    </row>
    <row r="3401" spans="1:10" x14ac:dyDescent="0.3">
      <c r="A3401" s="130"/>
      <c r="B3401" s="37"/>
      <c r="C3401" s="37"/>
      <c r="D3401" s="37"/>
      <c r="E3401" s="37"/>
      <c r="F3401" s="37"/>
      <c r="G3401" s="37"/>
      <c r="H3401" s="37"/>
      <c r="I3401" s="37"/>
      <c r="J3401" s="37"/>
    </row>
    <row r="3402" spans="1:10" x14ac:dyDescent="0.3">
      <c r="A3402" s="130"/>
      <c r="B3402" s="37"/>
      <c r="C3402" s="37"/>
      <c r="D3402" s="37"/>
      <c r="E3402" s="37"/>
      <c r="F3402" s="37"/>
      <c r="G3402" s="37"/>
      <c r="H3402" s="37"/>
      <c r="I3402" s="37"/>
      <c r="J3402" s="37"/>
    </row>
    <row r="3403" spans="1:10" x14ac:dyDescent="0.3">
      <c r="A3403" s="130"/>
      <c r="B3403" s="37"/>
      <c r="C3403" s="37"/>
      <c r="D3403" s="37"/>
      <c r="E3403" s="37"/>
      <c r="F3403" s="37"/>
      <c r="G3403" s="37"/>
      <c r="H3403" s="37"/>
      <c r="I3403" s="37"/>
      <c r="J3403" s="37"/>
    </row>
    <row r="3404" spans="1:10" x14ac:dyDescent="0.3">
      <c r="A3404" s="130"/>
      <c r="B3404" s="37"/>
      <c r="C3404" s="37"/>
      <c r="D3404" s="37"/>
      <c r="E3404" s="37"/>
      <c r="F3404" s="37"/>
      <c r="G3404" s="37"/>
      <c r="H3404" s="37"/>
      <c r="I3404" s="37"/>
      <c r="J3404" s="37"/>
    </row>
    <row r="3405" spans="1:10" x14ac:dyDescent="0.3">
      <c r="A3405" s="130"/>
      <c r="B3405" s="37"/>
      <c r="C3405" s="37"/>
      <c r="D3405" s="37"/>
      <c r="E3405" s="37"/>
      <c r="F3405" s="37"/>
      <c r="G3405" s="37"/>
      <c r="H3405" s="37"/>
      <c r="I3405" s="37"/>
      <c r="J3405" s="37"/>
    </row>
    <row r="3406" spans="1:10" x14ac:dyDescent="0.3">
      <c r="A3406" s="130"/>
      <c r="B3406" s="37"/>
      <c r="C3406" s="37"/>
      <c r="D3406" s="37"/>
      <c r="E3406" s="37"/>
      <c r="F3406" s="37"/>
      <c r="G3406" s="37"/>
      <c r="H3406" s="37"/>
      <c r="I3406" s="37"/>
      <c r="J3406" s="37"/>
    </row>
    <row r="3407" spans="1:10" x14ac:dyDescent="0.3">
      <c r="A3407" s="130"/>
      <c r="B3407" s="37"/>
      <c r="C3407" s="37"/>
      <c r="D3407" s="37"/>
      <c r="E3407" s="37"/>
      <c r="F3407" s="37"/>
      <c r="G3407" s="37"/>
      <c r="H3407" s="37"/>
      <c r="I3407" s="37"/>
      <c r="J3407" s="37"/>
    </row>
    <row r="3408" spans="1:10" x14ac:dyDescent="0.3">
      <c r="A3408" s="130"/>
      <c r="B3408" s="37"/>
      <c r="C3408" s="37"/>
      <c r="D3408" s="37"/>
      <c r="E3408" s="37"/>
      <c r="F3408" s="37"/>
      <c r="G3408" s="37"/>
      <c r="H3408" s="37"/>
      <c r="I3408" s="37"/>
      <c r="J3408" s="37"/>
    </row>
    <row r="3409" spans="1:10" x14ac:dyDescent="0.3">
      <c r="A3409" s="130"/>
      <c r="B3409" s="37"/>
      <c r="C3409" s="37"/>
      <c r="D3409" s="37"/>
      <c r="E3409" s="37"/>
      <c r="F3409" s="37"/>
      <c r="G3409" s="37"/>
      <c r="H3409" s="37"/>
      <c r="I3409" s="37"/>
      <c r="J3409" s="37"/>
    </row>
    <row r="3410" spans="1:10" x14ac:dyDescent="0.3">
      <c r="A3410" s="130"/>
      <c r="B3410" s="37"/>
      <c r="C3410" s="37"/>
      <c r="D3410" s="37"/>
      <c r="E3410" s="37"/>
      <c r="F3410" s="37"/>
      <c r="G3410" s="37"/>
      <c r="H3410" s="37"/>
      <c r="I3410" s="37"/>
      <c r="J3410" s="37"/>
    </row>
    <row r="3411" spans="1:10" x14ac:dyDescent="0.3">
      <c r="A3411" s="130"/>
      <c r="B3411" s="37"/>
      <c r="C3411" s="37"/>
      <c r="D3411" s="37"/>
      <c r="E3411" s="37"/>
      <c r="F3411" s="37"/>
      <c r="G3411" s="37"/>
      <c r="H3411" s="37"/>
      <c r="I3411" s="37"/>
      <c r="J3411" s="37"/>
    </row>
    <row r="3412" spans="1:10" x14ac:dyDescent="0.3">
      <c r="A3412" s="130"/>
      <c r="B3412" s="37"/>
      <c r="C3412" s="37"/>
      <c r="D3412" s="37"/>
      <c r="E3412" s="37"/>
      <c r="F3412" s="37"/>
      <c r="G3412" s="37"/>
      <c r="H3412" s="37"/>
      <c r="I3412" s="37"/>
      <c r="J3412" s="37"/>
    </row>
    <row r="3413" spans="1:10" x14ac:dyDescent="0.3">
      <c r="A3413" s="130"/>
      <c r="B3413" s="37"/>
      <c r="C3413" s="37"/>
      <c r="D3413" s="37"/>
      <c r="E3413" s="37"/>
      <c r="F3413" s="37"/>
      <c r="G3413" s="37"/>
      <c r="H3413" s="37"/>
      <c r="I3413" s="37"/>
      <c r="J3413" s="37"/>
    </row>
    <row r="3414" spans="1:10" x14ac:dyDescent="0.3">
      <c r="A3414" s="130"/>
      <c r="B3414" s="37"/>
      <c r="C3414" s="37"/>
      <c r="D3414" s="37"/>
      <c r="E3414" s="37"/>
      <c r="F3414" s="37"/>
      <c r="G3414" s="37"/>
      <c r="H3414" s="37"/>
      <c r="I3414" s="37"/>
      <c r="J3414" s="37"/>
    </row>
    <row r="3415" spans="1:10" x14ac:dyDescent="0.3">
      <c r="A3415" s="130"/>
      <c r="B3415" s="37"/>
      <c r="C3415" s="37"/>
      <c r="D3415" s="37"/>
      <c r="E3415" s="37"/>
      <c r="F3415" s="37"/>
      <c r="G3415" s="37"/>
      <c r="H3415" s="37"/>
      <c r="I3415" s="37"/>
      <c r="J3415" s="37"/>
    </row>
    <row r="3416" spans="1:10" x14ac:dyDescent="0.3">
      <c r="A3416" s="130"/>
      <c r="B3416" s="37"/>
      <c r="C3416" s="37"/>
      <c r="D3416" s="37"/>
      <c r="E3416" s="37"/>
      <c r="F3416" s="37"/>
      <c r="G3416" s="37"/>
      <c r="H3416" s="37"/>
      <c r="I3416" s="37"/>
      <c r="J3416" s="37"/>
    </row>
    <row r="3417" spans="1:10" x14ac:dyDescent="0.3">
      <c r="A3417" s="130"/>
      <c r="B3417" s="37"/>
      <c r="C3417" s="37"/>
      <c r="D3417" s="37"/>
      <c r="E3417" s="37"/>
      <c r="F3417" s="37"/>
      <c r="G3417" s="37"/>
      <c r="H3417" s="37"/>
      <c r="I3417" s="37"/>
      <c r="J3417" s="37"/>
    </row>
    <row r="3418" spans="1:10" x14ac:dyDescent="0.3">
      <c r="A3418" s="130"/>
      <c r="B3418" s="37"/>
      <c r="C3418" s="37"/>
      <c r="D3418" s="37"/>
      <c r="E3418" s="37"/>
      <c r="F3418" s="37"/>
      <c r="G3418" s="37"/>
      <c r="H3418" s="37"/>
      <c r="I3418" s="37"/>
      <c r="J3418" s="37"/>
    </row>
    <row r="3419" spans="1:10" x14ac:dyDescent="0.3">
      <c r="A3419" s="130"/>
      <c r="B3419" s="37"/>
      <c r="C3419" s="37"/>
      <c r="D3419" s="37"/>
      <c r="E3419" s="37"/>
      <c r="F3419" s="37"/>
      <c r="G3419" s="37"/>
      <c r="H3419" s="37"/>
      <c r="I3419" s="37"/>
      <c r="J3419" s="37"/>
    </row>
    <row r="3420" spans="1:10" x14ac:dyDescent="0.3">
      <c r="A3420" s="130"/>
      <c r="B3420" s="37"/>
      <c r="C3420" s="37"/>
      <c r="D3420" s="37"/>
      <c r="E3420" s="37"/>
      <c r="F3420" s="37"/>
      <c r="G3420" s="37"/>
      <c r="H3420" s="37"/>
      <c r="I3420" s="37"/>
      <c r="J3420" s="37"/>
    </row>
    <row r="3421" spans="1:10" x14ac:dyDescent="0.3">
      <c r="A3421" s="130"/>
      <c r="B3421" s="37"/>
      <c r="C3421" s="37"/>
      <c r="D3421" s="37"/>
      <c r="E3421" s="37"/>
      <c r="F3421" s="37"/>
      <c r="G3421" s="37"/>
      <c r="H3421" s="37"/>
      <c r="I3421" s="37"/>
      <c r="J3421" s="37"/>
    </row>
    <row r="3422" spans="1:10" x14ac:dyDescent="0.3">
      <c r="A3422" s="130"/>
      <c r="B3422" s="37"/>
      <c r="C3422" s="37"/>
      <c r="D3422" s="37"/>
      <c r="E3422" s="37"/>
      <c r="F3422" s="37"/>
      <c r="G3422" s="37"/>
      <c r="H3422" s="37"/>
      <c r="I3422" s="37"/>
      <c r="J3422" s="37"/>
    </row>
    <row r="3423" spans="1:10" x14ac:dyDescent="0.3">
      <c r="A3423" s="130"/>
      <c r="B3423" s="37"/>
      <c r="C3423" s="37"/>
      <c r="D3423" s="37"/>
      <c r="E3423" s="37"/>
      <c r="F3423" s="37"/>
      <c r="G3423" s="37"/>
      <c r="H3423" s="37"/>
      <c r="I3423" s="37"/>
      <c r="J3423" s="37"/>
    </row>
    <row r="3424" spans="1:10" x14ac:dyDescent="0.3">
      <c r="A3424" s="130"/>
      <c r="B3424" s="37"/>
      <c r="C3424" s="37"/>
      <c r="D3424" s="37"/>
      <c r="E3424" s="37"/>
      <c r="F3424" s="37"/>
      <c r="G3424" s="37"/>
      <c r="H3424" s="37"/>
      <c r="I3424" s="37"/>
      <c r="J3424" s="37"/>
    </row>
    <row r="3425" spans="1:10" x14ac:dyDescent="0.3">
      <c r="A3425" s="130"/>
      <c r="B3425" s="37"/>
      <c r="C3425" s="37"/>
      <c r="D3425" s="37"/>
      <c r="E3425" s="37"/>
      <c r="F3425" s="37"/>
      <c r="G3425" s="37"/>
      <c r="H3425" s="37"/>
      <c r="I3425" s="37"/>
      <c r="J3425" s="37"/>
    </row>
    <row r="3426" spans="1:10" x14ac:dyDescent="0.3">
      <c r="A3426" s="130"/>
      <c r="B3426" s="37"/>
      <c r="C3426" s="37"/>
      <c r="D3426" s="37"/>
      <c r="E3426" s="37"/>
      <c r="F3426" s="37"/>
      <c r="G3426" s="37"/>
      <c r="H3426" s="37"/>
      <c r="I3426" s="37"/>
      <c r="J3426" s="37"/>
    </row>
    <row r="3427" spans="1:10" x14ac:dyDescent="0.3">
      <c r="A3427" s="130"/>
      <c r="B3427" s="37"/>
      <c r="C3427" s="37"/>
      <c r="D3427" s="37"/>
      <c r="E3427" s="37"/>
      <c r="F3427" s="37"/>
      <c r="G3427" s="37"/>
      <c r="H3427" s="37"/>
      <c r="I3427" s="37"/>
      <c r="J3427" s="37"/>
    </row>
    <row r="3428" spans="1:10" x14ac:dyDescent="0.3">
      <c r="A3428" s="130"/>
      <c r="B3428" s="37"/>
      <c r="C3428" s="37"/>
      <c r="D3428" s="37"/>
      <c r="E3428" s="37"/>
      <c r="F3428" s="37"/>
      <c r="G3428" s="37"/>
      <c r="H3428" s="37"/>
      <c r="I3428" s="37"/>
      <c r="J3428" s="37"/>
    </row>
    <row r="3429" spans="1:10" x14ac:dyDescent="0.3">
      <c r="A3429" s="130"/>
      <c r="B3429" s="37"/>
      <c r="C3429" s="37"/>
      <c r="D3429" s="37"/>
      <c r="E3429" s="37"/>
      <c r="F3429" s="37"/>
      <c r="G3429" s="37"/>
      <c r="H3429" s="37"/>
      <c r="I3429" s="37"/>
      <c r="J3429" s="37"/>
    </row>
    <row r="3430" spans="1:10" x14ac:dyDescent="0.3">
      <c r="A3430" s="130"/>
      <c r="B3430" s="37"/>
      <c r="C3430" s="37"/>
      <c r="D3430" s="37"/>
      <c r="E3430" s="37"/>
      <c r="F3430" s="37"/>
      <c r="G3430" s="37"/>
      <c r="H3430" s="37"/>
      <c r="I3430" s="37"/>
      <c r="J3430" s="37"/>
    </row>
    <row r="3431" spans="1:10" x14ac:dyDescent="0.3">
      <c r="A3431" s="130"/>
      <c r="B3431" s="37"/>
      <c r="C3431" s="37"/>
      <c r="D3431" s="37"/>
      <c r="E3431" s="37"/>
      <c r="F3431" s="37"/>
      <c r="G3431" s="37"/>
      <c r="H3431" s="37"/>
      <c r="I3431" s="37"/>
      <c r="J3431" s="37"/>
    </row>
    <row r="3432" spans="1:10" x14ac:dyDescent="0.3">
      <c r="A3432" s="130"/>
      <c r="B3432" s="37"/>
      <c r="C3432" s="37"/>
      <c r="D3432" s="37"/>
      <c r="E3432" s="37"/>
      <c r="F3432" s="37"/>
      <c r="G3432" s="37"/>
      <c r="H3432" s="37"/>
      <c r="I3432" s="37"/>
      <c r="J3432" s="37"/>
    </row>
    <row r="3433" spans="1:10" x14ac:dyDescent="0.3">
      <c r="A3433" s="130"/>
      <c r="B3433" s="37"/>
      <c r="C3433" s="37"/>
      <c r="D3433" s="37"/>
      <c r="E3433" s="37"/>
      <c r="F3433" s="37"/>
      <c r="G3433" s="37"/>
      <c r="H3433" s="37"/>
      <c r="I3433" s="37"/>
      <c r="J3433" s="37"/>
    </row>
    <row r="3434" spans="1:10" x14ac:dyDescent="0.3">
      <c r="A3434" s="130"/>
      <c r="B3434" s="37"/>
      <c r="C3434" s="37"/>
      <c r="D3434" s="37"/>
      <c r="E3434" s="37"/>
      <c r="F3434" s="37"/>
      <c r="G3434" s="37"/>
      <c r="H3434" s="37"/>
      <c r="I3434" s="37"/>
      <c r="J3434" s="37"/>
    </row>
    <row r="3435" spans="1:10" x14ac:dyDescent="0.3">
      <c r="A3435" s="130"/>
      <c r="B3435" s="37"/>
      <c r="C3435" s="37"/>
      <c r="D3435" s="37"/>
      <c r="E3435" s="37"/>
      <c r="F3435" s="37"/>
      <c r="G3435" s="37"/>
      <c r="H3435" s="37"/>
      <c r="I3435" s="37"/>
      <c r="J3435" s="37"/>
    </row>
    <row r="3436" spans="1:10" x14ac:dyDescent="0.3">
      <c r="A3436" s="130"/>
      <c r="B3436" s="37"/>
      <c r="C3436" s="37"/>
      <c r="D3436" s="37"/>
      <c r="E3436" s="37"/>
      <c r="F3436" s="37"/>
      <c r="G3436" s="37"/>
      <c r="H3436" s="37"/>
      <c r="I3436" s="37"/>
      <c r="J3436" s="37"/>
    </row>
    <row r="3437" spans="1:10" x14ac:dyDescent="0.3">
      <c r="A3437" s="130"/>
      <c r="B3437" s="37"/>
      <c r="C3437" s="37"/>
      <c r="D3437" s="37"/>
      <c r="E3437" s="37"/>
      <c r="F3437" s="37"/>
      <c r="G3437" s="37"/>
      <c r="H3437" s="37"/>
      <c r="I3437" s="37"/>
      <c r="J3437" s="37"/>
    </row>
    <row r="3438" spans="1:10" x14ac:dyDescent="0.3">
      <c r="A3438" s="130"/>
      <c r="B3438" s="37"/>
      <c r="C3438" s="37"/>
      <c r="D3438" s="37"/>
      <c r="E3438" s="37"/>
      <c r="F3438" s="37"/>
      <c r="G3438" s="37"/>
      <c r="H3438" s="37"/>
      <c r="I3438" s="37"/>
      <c r="J3438" s="37"/>
    </row>
    <row r="3439" spans="1:10" x14ac:dyDescent="0.3">
      <c r="A3439" s="130"/>
      <c r="B3439" s="37"/>
      <c r="C3439" s="37"/>
      <c r="D3439" s="37"/>
      <c r="E3439" s="37"/>
      <c r="F3439" s="37"/>
      <c r="G3439" s="37"/>
      <c r="H3439" s="37"/>
      <c r="I3439" s="37"/>
      <c r="J3439" s="37"/>
    </row>
    <row r="3440" spans="1:10" x14ac:dyDescent="0.3">
      <c r="A3440" s="130"/>
      <c r="B3440" s="37"/>
      <c r="C3440" s="37"/>
      <c r="D3440" s="37"/>
      <c r="E3440" s="37"/>
      <c r="F3440" s="37"/>
      <c r="G3440" s="37"/>
      <c r="H3440" s="37"/>
      <c r="I3440" s="37"/>
      <c r="J3440" s="37"/>
    </row>
    <row r="3441" spans="1:10" x14ac:dyDescent="0.3">
      <c r="A3441" s="130"/>
      <c r="B3441" s="37"/>
      <c r="C3441" s="37"/>
      <c r="D3441" s="37"/>
      <c r="E3441" s="37"/>
      <c r="F3441" s="37"/>
      <c r="G3441" s="37"/>
      <c r="H3441" s="37"/>
      <c r="I3441" s="37"/>
      <c r="J3441" s="37"/>
    </row>
    <row r="3442" spans="1:10" x14ac:dyDescent="0.3">
      <c r="A3442" s="130"/>
      <c r="B3442" s="37"/>
      <c r="C3442" s="37"/>
      <c r="D3442" s="37"/>
      <c r="E3442" s="37"/>
      <c r="F3442" s="37"/>
      <c r="G3442" s="37"/>
      <c r="H3442" s="37"/>
      <c r="I3442" s="37"/>
      <c r="J3442" s="37"/>
    </row>
    <row r="3443" spans="1:10" x14ac:dyDescent="0.3">
      <c r="A3443" s="130"/>
      <c r="B3443" s="37"/>
      <c r="C3443" s="37"/>
      <c r="D3443" s="37"/>
      <c r="E3443" s="37"/>
      <c r="F3443" s="37"/>
      <c r="G3443" s="37"/>
      <c r="H3443" s="37"/>
      <c r="I3443" s="37"/>
      <c r="J3443" s="37"/>
    </row>
    <row r="3444" spans="1:10" x14ac:dyDescent="0.3">
      <c r="A3444" s="130"/>
      <c r="B3444" s="37"/>
      <c r="C3444" s="37"/>
      <c r="D3444" s="37"/>
      <c r="E3444" s="37"/>
      <c r="F3444" s="37"/>
      <c r="G3444" s="37"/>
      <c r="H3444" s="37"/>
      <c r="I3444" s="37"/>
      <c r="J3444" s="37"/>
    </row>
    <row r="3445" spans="1:10" x14ac:dyDescent="0.3">
      <c r="A3445" s="130"/>
      <c r="B3445" s="37"/>
      <c r="C3445" s="37"/>
      <c r="D3445" s="37"/>
      <c r="E3445" s="37"/>
      <c r="F3445" s="37"/>
      <c r="G3445" s="37"/>
      <c r="H3445" s="37"/>
      <c r="I3445" s="37"/>
      <c r="J3445" s="37"/>
    </row>
    <row r="3446" spans="1:10" x14ac:dyDescent="0.3">
      <c r="A3446" s="130"/>
      <c r="B3446" s="37"/>
      <c r="C3446" s="37"/>
      <c r="D3446" s="37"/>
      <c r="E3446" s="37"/>
      <c r="F3446" s="37"/>
      <c r="G3446" s="37"/>
      <c r="H3446" s="37"/>
      <c r="I3446" s="37"/>
      <c r="J3446" s="37"/>
    </row>
    <row r="3447" spans="1:10" x14ac:dyDescent="0.3">
      <c r="A3447" s="130"/>
      <c r="B3447" s="37"/>
      <c r="C3447" s="37"/>
      <c r="D3447" s="37"/>
      <c r="E3447" s="37"/>
      <c r="F3447" s="37"/>
      <c r="G3447" s="37"/>
      <c r="H3447" s="37"/>
      <c r="I3447" s="37"/>
      <c r="J3447" s="37"/>
    </row>
    <row r="3448" spans="1:10" x14ac:dyDescent="0.3">
      <c r="A3448" s="130"/>
      <c r="B3448" s="37"/>
      <c r="C3448" s="37"/>
      <c r="D3448" s="37"/>
      <c r="E3448" s="37"/>
      <c r="F3448" s="37"/>
      <c r="G3448" s="37"/>
      <c r="H3448" s="37"/>
      <c r="I3448" s="37"/>
      <c r="J3448" s="37"/>
    </row>
    <row r="3449" spans="1:10" x14ac:dyDescent="0.3">
      <c r="A3449" s="130"/>
      <c r="B3449" s="37"/>
      <c r="C3449" s="37"/>
      <c r="D3449" s="37"/>
      <c r="E3449" s="37"/>
      <c r="F3449" s="37"/>
      <c r="G3449" s="37"/>
      <c r="H3449" s="37"/>
      <c r="I3449" s="37"/>
      <c r="J3449" s="37"/>
    </row>
    <row r="3450" spans="1:10" x14ac:dyDescent="0.3">
      <c r="A3450" s="130"/>
      <c r="B3450" s="37"/>
      <c r="C3450" s="37"/>
      <c r="D3450" s="37"/>
      <c r="E3450" s="37"/>
      <c r="F3450" s="37"/>
      <c r="G3450" s="37"/>
      <c r="H3450" s="37"/>
      <c r="I3450" s="37"/>
      <c r="J3450" s="37"/>
    </row>
    <row r="3451" spans="1:10" x14ac:dyDescent="0.3">
      <c r="A3451" s="130"/>
      <c r="B3451" s="37"/>
      <c r="C3451" s="37"/>
      <c r="D3451" s="37"/>
      <c r="E3451" s="37"/>
      <c r="F3451" s="37"/>
      <c r="G3451" s="37"/>
      <c r="H3451" s="37"/>
      <c r="I3451" s="37"/>
      <c r="J3451" s="37"/>
    </row>
    <row r="3452" spans="1:10" x14ac:dyDescent="0.3">
      <c r="A3452" s="130"/>
      <c r="B3452" s="37"/>
      <c r="C3452" s="37"/>
      <c r="D3452" s="37"/>
      <c r="E3452" s="37"/>
      <c r="F3452" s="37"/>
      <c r="G3452" s="37"/>
      <c r="H3452" s="37"/>
      <c r="I3452" s="37"/>
      <c r="J3452" s="37"/>
    </row>
    <row r="3453" spans="1:10" x14ac:dyDescent="0.3">
      <c r="A3453" s="130"/>
      <c r="B3453" s="37"/>
      <c r="C3453" s="37"/>
      <c r="D3453" s="37"/>
      <c r="E3453" s="37"/>
      <c r="F3453" s="37"/>
      <c r="G3453" s="37"/>
      <c r="H3453" s="37"/>
      <c r="I3453" s="37"/>
      <c r="J3453" s="37"/>
    </row>
    <row r="3454" spans="1:10" x14ac:dyDescent="0.3">
      <c r="A3454" s="130"/>
      <c r="B3454" s="37"/>
      <c r="C3454" s="37"/>
      <c r="D3454" s="37"/>
      <c r="E3454" s="37"/>
      <c r="F3454" s="37"/>
      <c r="G3454" s="37"/>
      <c r="H3454" s="37"/>
      <c r="I3454" s="37"/>
      <c r="J3454" s="37"/>
    </row>
    <row r="3455" spans="1:10" x14ac:dyDescent="0.3">
      <c r="A3455" s="130"/>
      <c r="B3455" s="37"/>
      <c r="C3455" s="37"/>
      <c r="D3455" s="37"/>
      <c r="E3455" s="37"/>
      <c r="F3455" s="37"/>
      <c r="G3455" s="37"/>
      <c r="H3455" s="37"/>
      <c r="I3455" s="37"/>
      <c r="J3455" s="37"/>
    </row>
    <row r="3456" spans="1:10" x14ac:dyDescent="0.3">
      <c r="A3456" s="130"/>
      <c r="B3456" s="37"/>
      <c r="C3456" s="37"/>
      <c r="D3456" s="37"/>
      <c r="E3456" s="37"/>
      <c r="F3456" s="37"/>
      <c r="G3456" s="37"/>
      <c r="H3456" s="37"/>
      <c r="I3456" s="37"/>
      <c r="J3456" s="37"/>
    </row>
    <row r="3457" spans="1:10" x14ac:dyDescent="0.3">
      <c r="A3457" s="130"/>
      <c r="B3457" s="37"/>
      <c r="C3457" s="37"/>
      <c r="D3457" s="37"/>
      <c r="E3457" s="37"/>
      <c r="F3457" s="37"/>
      <c r="G3457" s="37"/>
      <c r="H3457" s="37"/>
      <c r="I3457" s="37"/>
      <c r="J3457" s="37"/>
    </row>
    <row r="3458" spans="1:10" x14ac:dyDescent="0.3">
      <c r="A3458" s="130"/>
      <c r="B3458" s="37"/>
      <c r="C3458" s="37"/>
      <c r="D3458" s="37"/>
      <c r="E3458" s="37"/>
      <c r="F3458" s="37"/>
      <c r="G3458" s="37"/>
      <c r="H3458" s="37"/>
      <c r="I3458" s="37"/>
      <c r="J3458" s="37"/>
    </row>
    <row r="3459" spans="1:10" x14ac:dyDescent="0.3">
      <c r="A3459" s="130"/>
      <c r="B3459" s="37"/>
      <c r="C3459" s="37"/>
      <c r="D3459" s="37"/>
      <c r="E3459" s="37"/>
      <c r="F3459" s="37"/>
      <c r="G3459" s="37"/>
      <c r="H3459" s="37"/>
      <c r="I3459" s="37"/>
      <c r="J3459" s="37"/>
    </row>
    <row r="3460" spans="1:10" x14ac:dyDescent="0.3">
      <c r="A3460" s="130"/>
      <c r="B3460" s="37"/>
      <c r="C3460" s="37"/>
      <c r="D3460" s="37"/>
      <c r="E3460" s="37"/>
      <c r="F3460" s="37"/>
      <c r="G3460" s="37"/>
      <c r="H3460" s="37"/>
      <c r="I3460" s="37"/>
      <c r="J3460" s="37"/>
    </row>
    <row r="3461" spans="1:10" x14ac:dyDescent="0.3">
      <c r="A3461" s="130"/>
      <c r="B3461" s="37"/>
      <c r="C3461" s="37"/>
      <c r="D3461" s="37"/>
      <c r="E3461" s="37"/>
      <c r="F3461" s="37"/>
      <c r="G3461" s="37"/>
      <c r="H3461" s="37"/>
      <c r="I3461" s="37"/>
      <c r="J3461" s="37"/>
    </row>
    <row r="3462" spans="1:10" x14ac:dyDescent="0.3">
      <c r="A3462" s="130"/>
      <c r="B3462" s="37"/>
      <c r="C3462" s="37"/>
      <c r="D3462" s="37"/>
      <c r="E3462" s="37"/>
      <c r="F3462" s="37"/>
      <c r="G3462" s="37"/>
      <c r="H3462" s="37"/>
      <c r="I3462" s="37"/>
      <c r="J3462" s="37"/>
    </row>
    <row r="3463" spans="1:10" x14ac:dyDescent="0.3">
      <c r="A3463" s="130"/>
      <c r="B3463" s="37"/>
      <c r="C3463" s="37"/>
      <c r="D3463" s="37"/>
      <c r="E3463" s="37"/>
      <c r="F3463" s="37"/>
      <c r="G3463" s="37"/>
      <c r="H3463" s="37"/>
      <c r="I3463" s="37"/>
      <c r="J3463" s="37"/>
    </row>
    <row r="3464" spans="1:10" x14ac:dyDescent="0.3">
      <c r="A3464" s="130"/>
      <c r="B3464" s="37"/>
      <c r="C3464" s="37"/>
      <c r="D3464" s="37"/>
      <c r="E3464" s="37"/>
      <c r="F3464" s="37"/>
      <c r="G3464" s="37"/>
      <c r="H3464" s="37"/>
      <c r="I3464" s="37"/>
      <c r="J3464" s="37"/>
    </row>
    <row r="3465" spans="1:10" x14ac:dyDescent="0.3">
      <c r="A3465" s="130"/>
      <c r="B3465" s="37"/>
      <c r="C3465" s="37"/>
      <c r="D3465" s="37"/>
      <c r="E3465" s="37"/>
      <c r="F3465" s="37"/>
      <c r="G3465" s="37"/>
      <c r="H3465" s="37"/>
      <c r="I3465" s="37"/>
      <c r="J3465" s="37"/>
    </row>
    <row r="3466" spans="1:10" x14ac:dyDescent="0.3">
      <c r="A3466" s="130"/>
      <c r="B3466" s="37"/>
      <c r="C3466" s="37"/>
      <c r="D3466" s="37"/>
      <c r="E3466" s="37"/>
      <c r="F3466" s="37"/>
      <c r="G3466" s="37"/>
      <c r="H3466" s="37"/>
      <c r="I3466" s="37"/>
      <c r="J3466" s="37"/>
    </row>
    <row r="3467" spans="1:10" x14ac:dyDescent="0.3">
      <c r="A3467" s="130"/>
      <c r="B3467" s="37"/>
      <c r="C3467" s="37"/>
      <c r="D3467" s="37"/>
      <c r="E3467" s="37"/>
      <c r="F3467" s="37"/>
      <c r="G3467" s="37"/>
      <c r="H3467" s="37"/>
      <c r="I3467" s="37"/>
      <c r="J3467" s="37"/>
    </row>
    <row r="3468" spans="1:10" x14ac:dyDescent="0.3">
      <c r="A3468" s="130"/>
      <c r="B3468" s="37"/>
      <c r="C3468" s="37"/>
      <c r="D3468" s="37"/>
      <c r="E3468" s="37"/>
      <c r="F3468" s="37"/>
      <c r="G3468" s="37"/>
      <c r="H3468" s="37"/>
      <c r="I3468" s="37"/>
      <c r="J3468" s="37"/>
    </row>
    <row r="3469" spans="1:10" x14ac:dyDescent="0.3">
      <c r="A3469" s="130"/>
      <c r="B3469" s="37"/>
      <c r="C3469" s="37"/>
      <c r="D3469" s="37"/>
      <c r="E3469" s="37"/>
      <c r="F3469" s="37"/>
      <c r="G3469" s="37"/>
      <c r="H3469" s="37"/>
      <c r="I3469" s="37"/>
      <c r="J3469" s="37"/>
    </row>
    <row r="3470" spans="1:10" x14ac:dyDescent="0.3">
      <c r="A3470" s="130"/>
      <c r="B3470" s="37"/>
      <c r="C3470" s="37"/>
      <c r="D3470" s="37"/>
      <c r="E3470" s="37"/>
      <c r="F3470" s="37"/>
      <c r="G3470" s="37"/>
      <c r="H3470" s="37"/>
      <c r="I3470" s="37"/>
      <c r="J3470" s="37"/>
    </row>
    <row r="3471" spans="1:10" x14ac:dyDescent="0.3">
      <c r="A3471" s="130"/>
      <c r="B3471" s="37"/>
      <c r="C3471" s="37"/>
      <c r="D3471" s="37"/>
      <c r="E3471" s="37"/>
      <c r="F3471" s="37"/>
      <c r="G3471" s="37"/>
      <c r="H3471" s="37"/>
      <c r="I3471" s="37"/>
      <c r="J3471" s="37"/>
    </row>
    <row r="3472" spans="1:10" x14ac:dyDescent="0.3">
      <c r="A3472" s="130"/>
      <c r="B3472" s="37"/>
      <c r="C3472" s="37"/>
      <c r="D3472" s="37"/>
      <c r="E3472" s="37"/>
      <c r="F3472" s="37"/>
      <c r="G3472" s="37"/>
      <c r="H3472" s="37"/>
      <c r="I3472" s="37"/>
      <c r="J3472" s="37"/>
    </row>
    <row r="3473" spans="1:10" x14ac:dyDescent="0.3">
      <c r="A3473" s="130"/>
      <c r="B3473" s="37"/>
      <c r="C3473" s="37"/>
      <c r="D3473" s="37"/>
      <c r="E3473" s="37"/>
      <c r="F3473" s="37"/>
      <c r="G3473" s="37"/>
      <c r="H3473" s="37"/>
      <c r="I3473" s="37"/>
      <c r="J3473" s="37"/>
    </row>
    <row r="3474" spans="1:10" x14ac:dyDescent="0.3">
      <c r="A3474" s="130"/>
      <c r="B3474" s="37"/>
      <c r="C3474" s="37"/>
      <c r="D3474" s="37"/>
      <c r="E3474" s="37"/>
      <c r="F3474" s="37"/>
      <c r="G3474" s="37"/>
      <c r="H3474" s="37"/>
      <c r="I3474" s="37"/>
      <c r="J3474" s="37"/>
    </row>
    <row r="3475" spans="1:10" x14ac:dyDescent="0.3">
      <c r="A3475" s="130"/>
      <c r="B3475" s="37"/>
      <c r="C3475" s="37"/>
      <c r="D3475" s="37"/>
      <c r="E3475" s="37"/>
      <c r="F3475" s="37"/>
      <c r="G3475" s="37"/>
      <c r="H3475" s="37"/>
      <c r="I3475" s="37"/>
      <c r="J3475" s="37"/>
    </row>
    <row r="3476" spans="1:10" x14ac:dyDescent="0.3">
      <c r="A3476" s="130"/>
      <c r="B3476" s="37"/>
      <c r="C3476" s="37"/>
      <c r="D3476" s="37"/>
      <c r="E3476" s="37"/>
      <c r="F3476" s="37"/>
      <c r="G3476" s="37"/>
      <c r="H3476" s="37"/>
      <c r="I3476" s="37"/>
      <c r="J3476" s="37"/>
    </row>
    <row r="3477" spans="1:10" x14ac:dyDescent="0.3">
      <c r="A3477" s="130"/>
      <c r="B3477" s="37"/>
      <c r="C3477" s="37"/>
      <c r="D3477" s="37"/>
      <c r="E3477" s="37"/>
      <c r="F3477" s="37"/>
      <c r="G3477" s="37"/>
      <c r="H3477" s="37"/>
      <c r="I3477" s="37"/>
      <c r="J3477" s="37"/>
    </row>
    <row r="3478" spans="1:10" x14ac:dyDescent="0.3">
      <c r="A3478" s="130"/>
      <c r="B3478" s="37"/>
      <c r="C3478" s="37"/>
      <c r="D3478" s="37"/>
      <c r="E3478" s="37"/>
      <c r="F3478" s="37"/>
      <c r="G3478" s="37"/>
      <c r="H3478" s="37"/>
      <c r="I3478" s="37"/>
      <c r="J3478" s="37"/>
    </row>
    <row r="3479" spans="1:10" x14ac:dyDescent="0.3">
      <c r="A3479" s="130"/>
      <c r="B3479" s="37"/>
      <c r="C3479" s="37"/>
      <c r="D3479" s="37"/>
      <c r="E3479" s="37"/>
      <c r="F3479" s="37"/>
      <c r="G3479" s="37"/>
      <c r="H3479" s="37"/>
      <c r="I3479" s="37"/>
      <c r="J3479" s="37"/>
    </row>
    <row r="3480" spans="1:10" x14ac:dyDescent="0.3">
      <c r="A3480" s="130"/>
      <c r="B3480" s="37"/>
      <c r="C3480" s="37"/>
      <c r="D3480" s="37"/>
      <c r="E3480" s="37"/>
      <c r="F3480" s="37"/>
      <c r="G3480" s="37"/>
      <c r="H3480" s="37"/>
      <c r="I3480" s="37"/>
      <c r="J3480" s="37"/>
    </row>
    <row r="3481" spans="1:10" x14ac:dyDescent="0.3">
      <c r="A3481" s="130"/>
      <c r="B3481" s="37"/>
      <c r="C3481" s="37"/>
      <c r="D3481" s="37"/>
      <c r="E3481" s="37"/>
      <c r="F3481" s="37"/>
      <c r="G3481" s="37"/>
      <c r="H3481" s="37"/>
      <c r="I3481" s="37"/>
      <c r="J3481" s="37"/>
    </row>
    <row r="3482" spans="1:10" x14ac:dyDescent="0.3">
      <c r="A3482" s="130"/>
      <c r="B3482" s="37"/>
      <c r="C3482" s="37"/>
      <c r="D3482" s="37"/>
      <c r="E3482" s="37"/>
      <c r="F3482" s="37"/>
      <c r="G3482" s="37"/>
      <c r="H3482" s="37"/>
      <c r="I3482" s="37"/>
      <c r="J3482" s="37"/>
    </row>
    <row r="3483" spans="1:10" x14ac:dyDescent="0.3">
      <c r="A3483" s="130"/>
      <c r="B3483" s="37"/>
      <c r="C3483" s="37"/>
      <c r="D3483" s="37"/>
      <c r="E3483" s="37"/>
      <c r="F3483" s="37"/>
      <c r="G3483" s="37"/>
      <c r="H3483" s="37"/>
      <c r="I3483" s="37"/>
      <c r="J3483" s="37"/>
    </row>
    <row r="3484" spans="1:10" x14ac:dyDescent="0.3">
      <c r="A3484" s="130"/>
      <c r="B3484" s="37"/>
      <c r="C3484" s="37"/>
      <c r="D3484" s="37"/>
      <c r="E3484" s="37"/>
      <c r="F3484" s="37"/>
      <c r="G3484" s="37"/>
      <c r="H3484" s="37"/>
      <c r="I3484" s="37"/>
      <c r="J3484" s="37"/>
    </row>
    <row r="3485" spans="1:10" x14ac:dyDescent="0.3">
      <c r="A3485" s="130"/>
      <c r="B3485" s="37"/>
      <c r="C3485" s="37"/>
      <c r="D3485" s="37"/>
      <c r="E3485" s="37"/>
      <c r="F3485" s="37"/>
      <c r="G3485" s="37"/>
      <c r="H3485" s="37"/>
      <c r="I3485" s="37"/>
      <c r="J3485" s="37"/>
    </row>
    <row r="3486" spans="1:10" x14ac:dyDescent="0.3">
      <c r="A3486" s="130"/>
      <c r="B3486" s="37"/>
      <c r="C3486" s="37"/>
      <c r="D3486" s="37"/>
      <c r="E3486" s="37"/>
      <c r="F3486" s="37"/>
      <c r="G3486" s="37"/>
      <c r="H3486" s="37"/>
      <c r="I3486" s="37"/>
      <c r="J3486" s="37"/>
    </row>
    <row r="3487" spans="1:10" x14ac:dyDescent="0.3">
      <c r="A3487" s="130"/>
      <c r="B3487" s="37"/>
      <c r="C3487" s="37"/>
      <c r="D3487" s="37"/>
      <c r="E3487" s="37"/>
      <c r="F3487" s="37"/>
      <c r="G3487" s="37"/>
      <c r="H3487" s="37"/>
      <c r="I3487" s="37"/>
      <c r="J3487" s="37"/>
    </row>
    <row r="3488" spans="1:10" x14ac:dyDescent="0.3">
      <c r="A3488" s="130"/>
      <c r="B3488" s="37"/>
      <c r="C3488" s="37"/>
      <c r="D3488" s="37"/>
      <c r="E3488" s="37"/>
      <c r="F3488" s="37"/>
      <c r="G3488" s="37"/>
      <c r="H3488" s="37"/>
      <c r="I3488" s="37"/>
      <c r="J3488" s="37"/>
    </row>
    <row r="3489" spans="1:10" x14ac:dyDescent="0.3">
      <c r="A3489" s="130"/>
      <c r="B3489" s="37"/>
      <c r="C3489" s="37"/>
      <c r="D3489" s="37"/>
      <c r="E3489" s="37"/>
      <c r="F3489" s="37"/>
      <c r="G3489" s="37"/>
      <c r="H3489" s="37"/>
      <c r="I3489" s="37"/>
      <c r="J3489" s="37"/>
    </row>
    <row r="3490" spans="1:10" x14ac:dyDescent="0.3">
      <c r="A3490" s="130"/>
      <c r="B3490" s="37"/>
      <c r="C3490" s="37"/>
      <c r="D3490" s="37"/>
      <c r="E3490" s="37"/>
      <c r="F3490" s="37"/>
      <c r="G3490" s="37"/>
      <c r="H3490" s="37"/>
      <c r="I3490" s="37"/>
      <c r="J3490" s="37"/>
    </row>
    <row r="3491" spans="1:10" x14ac:dyDescent="0.3">
      <c r="A3491" s="130"/>
      <c r="B3491" s="37"/>
      <c r="C3491" s="37"/>
      <c r="D3491" s="37"/>
      <c r="E3491" s="37"/>
      <c r="F3491" s="37"/>
      <c r="G3491" s="37"/>
      <c r="H3491" s="37"/>
      <c r="I3491" s="37"/>
      <c r="J3491" s="37"/>
    </row>
    <row r="3492" spans="1:10" x14ac:dyDescent="0.3">
      <c r="A3492" s="130"/>
      <c r="B3492" s="37"/>
      <c r="C3492" s="37"/>
      <c r="D3492" s="37"/>
      <c r="E3492" s="37"/>
      <c r="F3492" s="37"/>
      <c r="G3492" s="37"/>
      <c r="H3492" s="37"/>
      <c r="I3492" s="37"/>
      <c r="J3492" s="37"/>
    </row>
    <row r="3493" spans="1:10" x14ac:dyDescent="0.3">
      <c r="A3493" s="130"/>
      <c r="B3493" s="37"/>
      <c r="C3493" s="37"/>
      <c r="D3493" s="37"/>
      <c r="E3493" s="37"/>
      <c r="F3493" s="37"/>
      <c r="G3493" s="37"/>
      <c r="H3493" s="37"/>
      <c r="I3493" s="37"/>
      <c r="J3493" s="37"/>
    </row>
    <row r="3494" spans="1:10" x14ac:dyDescent="0.3">
      <c r="A3494" s="130"/>
      <c r="B3494" s="37"/>
      <c r="C3494" s="37"/>
      <c r="D3494" s="37"/>
      <c r="E3494" s="37"/>
      <c r="F3494" s="37"/>
      <c r="G3494" s="37"/>
      <c r="H3494" s="37"/>
      <c r="I3494" s="37"/>
      <c r="J3494" s="37"/>
    </row>
    <row r="3495" spans="1:10" x14ac:dyDescent="0.3">
      <c r="A3495" s="130"/>
      <c r="B3495" s="37"/>
      <c r="C3495" s="37"/>
      <c r="D3495" s="37"/>
      <c r="E3495" s="37"/>
      <c r="F3495" s="37"/>
      <c r="G3495" s="37"/>
      <c r="H3495" s="37"/>
      <c r="I3495" s="37"/>
      <c r="J3495" s="37"/>
    </row>
    <row r="3496" spans="1:10" x14ac:dyDescent="0.3">
      <c r="A3496" s="130"/>
      <c r="B3496" s="37"/>
      <c r="C3496" s="37"/>
      <c r="D3496" s="37"/>
      <c r="E3496" s="37"/>
      <c r="F3496" s="37"/>
      <c r="G3496" s="37"/>
      <c r="H3496" s="37"/>
      <c r="I3496" s="37"/>
      <c r="J3496" s="37"/>
    </row>
    <row r="3497" spans="1:10" x14ac:dyDescent="0.3">
      <c r="A3497" s="130"/>
      <c r="B3497" s="37"/>
      <c r="C3497" s="37"/>
      <c r="D3497" s="37"/>
      <c r="E3497" s="37"/>
      <c r="F3497" s="37"/>
      <c r="G3497" s="37"/>
      <c r="H3497" s="37"/>
      <c r="I3497" s="37"/>
      <c r="J3497" s="37"/>
    </row>
    <row r="3498" spans="1:10" x14ac:dyDescent="0.3">
      <c r="A3498" s="130"/>
      <c r="B3498" s="37"/>
      <c r="C3498" s="37"/>
      <c r="D3498" s="37"/>
      <c r="E3498" s="37"/>
      <c r="F3498" s="37"/>
      <c r="G3498" s="37"/>
      <c r="H3498" s="37"/>
      <c r="I3498" s="37"/>
      <c r="J3498" s="37"/>
    </row>
    <row r="3499" spans="1:10" x14ac:dyDescent="0.3">
      <c r="A3499" s="130"/>
      <c r="B3499" s="37"/>
      <c r="C3499" s="37"/>
      <c r="D3499" s="37"/>
      <c r="E3499" s="37"/>
      <c r="F3499" s="37"/>
      <c r="G3499" s="37"/>
      <c r="H3499" s="37"/>
      <c r="I3499" s="37"/>
      <c r="J3499" s="37"/>
    </row>
    <row r="3500" spans="1:10" x14ac:dyDescent="0.3">
      <c r="A3500" s="130"/>
      <c r="B3500" s="37"/>
      <c r="C3500" s="37"/>
      <c r="D3500" s="37"/>
      <c r="E3500" s="37"/>
      <c r="F3500" s="37"/>
      <c r="G3500" s="37"/>
      <c r="H3500" s="37"/>
      <c r="I3500" s="37"/>
      <c r="J3500" s="37"/>
    </row>
    <row r="3501" spans="1:10" x14ac:dyDescent="0.3">
      <c r="A3501" s="130"/>
      <c r="B3501" s="37"/>
      <c r="C3501" s="37"/>
      <c r="D3501" s="37"/>
      <c r="E3501" s="37"/>
      <c r="F3501" s="37"/>
      <c r="G3501" s="37"/>
      <c r="H3501" s="37"/>
      <c r="I3501" s="37"/>
      <c r="J3501" s="37"/>
    </row>
    <row r="3502" spans="1:10" x14ac:dyDescent="0.3">
      <c r="A3502" s="130"/>
      <c r="B3502" s="37"/>
      <c r="C3502" s="37"/>
      <c r="D3502" s="37"/>
      <c r="E3502" s="37"/>
      <c r="F3502" s="37"/>
      <c r="G3502" s="37"/>
      <c r="H3502" s="37"/>
      <c r="I3502" s="37"/>
      <c r="J3502" s="37"/>
    </row>
    <row r="3503" spans="1:10" x14ac:dyDescent="0.3">
      <c r="A3503" s="130"/>
      <c r="B3503" s="37"/>
      <c r="C3503" s="37"/>
      <c r="D3503" s="37"/>
      <c r="E3503" s="37"/>
      <c r="F3503" s="37"/>
      <c r="G3503" s="37"/>
      <c r="H3503" s="37"/>
      <c r="I3503" s="37"/>
      <c r="J3503" s="37"/>
    </row>
    <row r="3504" spans="1:10" x14ac:dyDescent="0.3">
      <c r="A3504" s="130"/>
      <c r="B3504" s="37"/>
      <c r="C3504" s="37"/>
      <c r="D3504" s="37"/>
      <c r="E3504" s="37"/>
      <c r="F3504" s="37"/>
      <c r="G3504" s="37"/>
      <c r="H3504" s="37"/>
      <c r="I3504" s="37"/>
      <c r="J3504" s="37"/>
    </row>
    <row r="3505" spans="1:10" x14ac:dyDescent="0.3">
      <c r="A3505" s="130"/>
      <c r="B3505" s="37"/>
      <c r="C3505" s="37"/>
      <c r="D3505" s="37"/>
      <c r="E3505" s="37"/>
      <c r="F3505" s="37"/>
      <c r="G3505" s="37"/>
      <c r="H3505" s="37"/>
      <c r="I3505" s="37"/>
      <c r="J3505" s="37"/>
    </row>
    <row r="3506" spans="1:10" x14ac:dyDescent="0.3">
      <c r="A3506" s="130"/>
      <c r="B3506" s="37"/>
      <c r="C3506" s="37"/>
      <c r="D3506" s="37"/>
      <c r="E3506" s="37"/>
      <c r="F3506" s="37"/>
      <c r="G3506" s="37"/>
      <c r="H3506" s="37"/>
      <c r="I3506" s="37"/>
      <c r="J3506" s="37"/>
    </row>
    <row r="3507" spans="1:10" x14ac:dyDescent="0.3">
      <c r="A3507" s="130"/>
      <c r="B3507" s="37"/>
      <c r="C3507" s="37"/>
      <c r="D3507" s="37"/>
      <c r="E3507" s="37"/>
      <c r="F3507" s="37"/>
      <c r="G3507" s="37"/>
      <c r="H3507" s="37"/>
      <c r="I3507" s="37"/>
      <c r="J3507" s="37"/>
    </row>
    <row r="3508" spans="1:10" x14ac:dyDescent="0.3">
      <c r="A3508" s="130"/>
      <c r="B3508" s="37"/>
      <c r="C3508" s="37"/>
      <c r="D3508" s="37"/>
      <c r="E3508" s="37"/>
      <c r="F3508" s="37"/>
      <c r="G3508" s="37"/>
      <c r="H3508" s="37"/>
      <c r="I3508" s="37"/>
      <c r="J3508" s="37"/>
    </row>
    <row r="3509" spans="1:10" x14ac:dyDescent="0.3">
      <c r="A3509" s="130"/>
      <c r="B3509" s="37"/>
      <c r="C3509" s="37"/>
      <c r="D3509" s="37"/>
      <c r="E3509" s="37"/>
      <c r="F3509" s="37"/>
      <c r="G3509" s="37"/>
      <c r="H3509" s="37"/>
      <c r="I3509" s="37"/>
      <c r="J3509" s="37"/>
    </row>
    <row r="3510" spans="1:10" x14ac:dyDescent="0.3">
      <c r="A3510" s="130"/>
      <c r="B3510" s="37"/>
      <c r="C3510" s="37"/>
      <c r="D3510" s="37"/>
      <c r="E3510" s="37"/>
      <c r="F3510" s="37"/>
      <c r="G3510" s="37"/>
      <c r="H3510" s="37"/>
      <c r="I3510" s="37"/>
      <c r="J3510" s="37"/>
    </row>
    <row r="3511" spans="1:10" x14ac:dyDescent="0.3">
      <c r="A3511" s="130"/>
      <c r="B3511" s="37"/>
      <c r="C3511" s="37"/>
      <c r="D3511" s="37"/>
      <c r="E3511" s="37"/>
      <c r="F3511" s="37"/>
      <c r="G3511" s="37"/>
      <c r="H3511" s="37"/>
      <c r="I3511" s="37"/>
      <c r="J3511" s="37"/>
    </row>
    <row r="3512" spans="1:10" x14ac:dyDescent="0.3">
      <c r="A3512" s="130"/>
      <c r="B3512" s="37"/>
      <c r="C3512" s="37"/>
      <c r="D3512" s="37"/>
      <c r="E3512" s="37"/>
      <c r="F3512" s="37"/>
      <c r="G3512" s="37"/>
      <c r="H3512" s="37"/>
      <c r="I3512" s="37"/>
      <c r="J3512" s="37"/>
    </row>
    <row r="3513" spans="1:10" x14ac:dyDescent="0.3">
      <c r="A3513" s="130"/>
      <c r="B3513" s="37"/>
      <c r="C3513" s="37"/>
      <c r="D3513" s="37"/>
      <c r="E3513" s="37"/>
      <c r="F3513" s="37"/>
      <c r="G3513" s="37"/>
      <c r="H3513" s="37"/>
      <c r="I3513" s="37"/>
      <c r="J3513" s="37"/>
    </row>
    <row r="3514" spans="1:10" x14ac:dyDescent="0.3">
      <c r="A3514" s="130"/>
      <c r="B3514" s="37"/>
      <c r="C3514" s="37"/>
      <c r="D3514" s="37"/>
      <c r="E3514" s="37"/>
      <c r="F3514" s="37"/>
      <c r="G3514" s="37"/>
      <c r="H3514" s="37"/>
      <c r="I3514" s="37"/>
      <c r="J3514" s="37"/>
    </row>
    <row r="3515" spans="1:10" x14ac:dyDescent="0.3">
      <c r="A3515" s="130"/>
      <c r="B3515" s="37"/>
      <c r="C3515" s="37"/>
      <c r="D3515" s="37"/>
      <c r="E3515" s="37"/>
      <c r="F3515" s="37"/>
      <c r="G3515" s="37"/>
      <c r="H3515" s="37"/>
      <c r="I3515" s="37"/>
      <c r="J3515" s="37"/>
    </row>
    <row r="3516" spans="1:10" x14ac:dyDescent="0.3">
      <c r="A3516" s="130"/>
      <c r="B3516" s="37"/>
      <c r="C3516" s="37"/>
      <c r="D3516" s="37"/>
      <c r="E3516" s="37"/>
      <c r="F3516" s="37"/>
      <c r="G3516" s="37"/>
      <c r="H3516" s="37"/>
      <c r="I3516" s="37"/>
      <c r="J3516" s="37"/>
    </row>
    <row r="3517" spans="1:10" x14ac:dyDescent="0.3">
      <c r="A3517" s="130"/>
      <c r="B3517" s="37"/>
      <c r="C3517" s="37"/>
      <c r="D3517" s="37"/>
      <c r="E3517" s="37"/>
      <c r="F3517" s="37"/>
      <c r="G3517" s="37"/>
      <c r="H3517" s="37"/>
      <c r="I3517" s="37"/>
      <c r="J3517" s="37"/>
    </row>
    <row r="3518" spans="1:10" x14ac:dyDescent="0.3">
      <c r="A3518" s="130"/>
      <c r="B3518" s="37"/>
      <c r="C3518" s="37"/>
      <c r="D3518" s="37"/>
      <c r="E3518" s="37"/>
      <c r="F3518" s="37"/>
      <c r="G3518" s="37"/>
      <c r="H3518" s="37"/>
      <c r="I3518" s="37"/>
      <c r="J3518" s="37"/>
    </row>
    <row r="3519" spans="1:10" x14ac:dyDescent="0.3">
      <c r="A3519" s="130"/>
      <c r="B3519" s="37"/>
      <c r="C3519" s="37"/>
      <c r="D3519" s="37"/>
      <c r="E3519" s="37"/>
      <c r="F3519" s="37"/>
      <c r="G3519" s="37"/>
      <c r="H3519" s="37"/>
      <c r="I3519" s="37"/>
      <c r="J3519" s="37"/>
    </row>
    <row r="3520" spans="1:10" x14ac:dyDescent="0.3">
      <c r="A3520" s="130"/>
      <c r="B3520" s="37"/>
      <c r="C3520" s="37"/>
      <c r="D3520" s="37"/>
      <c r="E3520" s="37"/>
      <c r="F3520" s="37"/>
      <c r="G3520" s="37"/>
      <c r="H3520" s="37"/>
      <c r="I3520" s="37"/>
      <c r="J3520" s="37"/>
    </row>
    <row r="3521" spans="1:10" x14ac:dyDescent="0.3">
      <c r="A3521" s="130"/>
      <c r="B3521" s="37"/>
      <c r="C3521" s="37"/>
      <c r="D3521" s="37"/>
      <c r="E3521" s="37"/>
      <c r="F3521" s="37"/>
      <c r="G3521" s="37"/>
      <c r="H3521" s="37"/>
      <c r="I3521" s="37"/>
      <c r="J3521" s="37"/>
    </row>
    <row r="3522" spans="1:10" x14ac:dyDescent="0.3">
      <c r="A3522" s="130"/>
      <c r="B3522" s="37"/>
      <c r="C3522" s="37"/>
      <c r="D3522" s="37"/>
      <c r="E3522" s="37"/>
      <c r="F3522" s="37"/>
      <c r="G3522" s="37"/>
      <c r="H3522" s="37"/>
      <c r="I3522" s="37"/>
      <c r="J3522" s="37"/>
    </row>
    <row r="3523" spans="1:10" x14ac:dyDescent="0.3">
      <c r="A3523" s="130"/>
      <c r="B3523" s="37"/>
      <c r="C3523" s="37"/>
      <c r="D3523" s="37"/>
      <c r="E3523" s="37"/>
      <c r="F3523" s="37"/>
      <c r="G3523" s="37"/>
      <c r="H3523" s="37"/>
      <c r="I3523" s="37"/>
      <c r="J3523" s="37"/>
    </row>
    <row r="3524" spans="1:10" x14ac:dyDescent="0.3">
      <c r="A3524" s="130"/>
      <c r="B3524" s="37"/>
      <c r="C3524" s="37"/>
      <c r="D3524" s="37"/>
      <c r="E3524" s="37"/>
      <c r="F3524" s="37"/>
      <c r="G3524" s="37"/>
      <c r="H3524" s="37"/>
      <c r="I3524" s="37"/>
      <c r="J3524" s="37"/>
    </row>
    <row r="3525" spans="1:10" x14ac:dyDescent="0.3">
      <c r="A3525" s="130"/>
      <c r="B3525" s="37"/>
      <c r="C3525" s="37"/>
      <c r="D3525" s="37"/>
      <c r="E3525" s="37"/>
      <c r="F3525" s="37"/>
      <c r="G3525" s="37"/>
      <c r="H3525" s="37"/>
      <c r="I3525" s="37"/>
      <c r="J3525" s="37"/>
    </row>
    <row r="3526" spans="1:10" x14ac:dyDescent="0.3">
      <c r="A3526" s="130"/>
      <c r="B3526" s="37"/>
      <c r="C3526" s="37"/>
      <c r="D3526" s="37"/>
      <c r="E3526" s="37"/>
      <c r="F3526" s="37"/>
      <c r="G3526" s="37"/>
      <c r="H3526" s="37"/>
      <c r="I3526" s="37"/>
      <c r="J3526" s="37"/>
    </row>
    <row r="3527" spans="1:10" x14ac:dyDescent="0.3">
      <c r="A3527" s="130"/>
      <c r="B3527" s="37"/>
      <c r="C3527" s="37"/>
      <c r="D3527" s="37"/>
      <c r="E3527" s="37"/>
      <c r="F3527" s="37"/>
      <c r="G3527" s="37"/>
      <c r="H3527" s="37"/>
      <c r="I3527" s="37"/>
      <c r="J3527" s="37"/>
    </row>
    <row r="3528" spans="1:10" x14ac:dyDescent="0.3">
      <c r="A3528" s="130"/>
      <c r="B3528" s="37"/>
      <c r="C3528" s="37"/>
      <c r="D3528" s="37"/>
      <c r="E3528" s="37"/>
      <c r="F3528" s="37"/>
      <c r="G3528" s="37"/>
      <c r="H3528" s="37"/>
      <c r="I3528" s="37"/>
      <c r="J3528" s="37"/>
    </row>
    <row r="3529" spans="1:10" x14ac:dyDescent="0.3">
      <c r="A3529" s="130"/>
      <c r="B3529" s="37"/>
      <c r="C3529" s="37"/>
      <c r="D3529" s="37"/>
      <c r="E3529" s="37"/>
      <c r="F3529" s="37"/>
      <c r="G3529" s="37"/>
      <c r="H3529" s="37"/>
      <c r="I3529" s="37"/>
      <c r="J3529" s="37"/>
    </row>
    <row r="3530" spans="1:10" x14ac:dyDescent="0.3">
      <c r="A3530" s="130"/>
      <c r="B3530" s="37"/>
      <c r="C3530" s="37"/>
      <c r="D3530" s="37"/>
      <c r="E3530" s="37"/>
      <c r="F3530" s="37"/>
      <c r="G3530" s="37"/>
      <c r="H3530" s="37"/>
      <c r="I3530" s="37"/>
      <c r="J3530" s="37"/>
    </row>
    <row r="3531" spans="1:10" x14ac:dyDescent="0.3">
      <c r="A3531" s="130"/>
      <c r="B3531" s="37"/>
      <c r="C3531" s="37"/>
      <c r="D3531" s="37"/>
      <c r="E3531" s="37"/>
      <c r="F3531" s="37"/>
      <c r="G3531" s="37"/>
      <c r="H3531" s="37"/>
      <c r="I3531" s="37"/>
      <c r="J3531" s="37"/>
    </row>
    <row r="3532" spans="1:10" x14ac:dyDescent="0.3">
      <c r="A3532" s="130"/>
      <c r="B3532" s="37"/>
      <c r="C3532" s="37"/>
      <c r="D3532" s="37"/>
      <c r="E3532" s="37"/>
      <c r="F3532" s="37"/>
      <c r="G3532" s="37"/>
      <c r="H3532" s="37"/>
      <c r="I3532" s="37"/>
      <c r="J3532" s="37"/>
    </row>
    <row r="3533" spans="1:10" x14ac:dyDescent="0.3">
      <c r="A3533" s="130"/>
      <c r="B3533" s="37"/>
      <c r="C3533" s="37"/>
      <c r="D3533" s="37"/>
      <c r="E3533" s="37"/>
      <c r="F3533" s="37"/>
      <c r="G3533" s="37"/>
      <c r="H3533" s="37"/>
      <c r="I3533" s="37"/>
      <c r="J3533" s="37"/>
    </row>
    <row r="3534" spans="1:10" x14ac:dyDescent="0.3">
      <c r="A3534" s="130"/>
      <c r="B3534" s="37"/>
      <c r="C3534" s="37"/>
      <c r="D3534" s="37"/>
      <c r="E3534" s="37"/>
      <c r="F3534" s="37"/>
      <c r="G3534" s="37"/>
      <c r="H3534" s="37"/>
      <c r="I3534" s="37"/>
      <c r="J3534" s="37"/>
    </row>
    <row r="3535" spans="1:10" x14ac:dyDescent="0.3">
      <c r="A3535" s="130"/>
      <c r="B3535" s="37"/>
      <c r="C3535" s="37"/>
      <c r="D3535" s="37"/>
      <c r="E3535" s="37"/>
      <c r="F3535" s="37"/>
      <c r="G3535" s="37"/>
      <c r="H3535" s="37"/>
      <c r="I3535" s="37"/>
      <c r="J3535" s="37"/>
    </row>
    <row r="3536" spans="1:10" x14ac:dyDescent="0.3">
      <c r="A3536" s="130"/>
      <c r="B3536" s="37"/>
      <c r="C3536" s="37"/>
      <c r="D3536" s="37"/>
      <c r="E3536" s="37"/>
      <c r="F3536" s="37"/>
      <c r="G3536" s="37"/>
      <c r="H3536" s="37"/>
      <c r="I3536" s="37"/>
      <c r="J3536" s="37"/>
    </row>
    <row r="3537" spans="1:10" x14ac:dyDescent="0.3">
      <c r="A3537" s="130"/>
      <c r="B3537" s="37"/>
      <c r="C3537" s="37"/>
      <c r="D3537" s="37"/>
      <c r="E3537" s="37"/>
      <c r="F3537" s="37"/>
      <c r="G3537" s="37"/>
      <c r="H3537" s="37"/>
      <c r="I3537" s="37"/>
      <c r="J3537" s="37"/>
    </row>
    <row r="3538" spans="1:10" x14ac:dyDescent="0.3">
      <c r="A3538" s="130"/>
      <c r="B3538" s="37"/>
      <c r="C3538" s="37"/>
      <c r="D3538" s="37"/>
      <c r="E3538" s="37"/>
      <c r="F3538" s="37"/>
      <c r="G3538" s="37"/>
      <c r="H3538" s="37"/>
      <c r="I3538" s="37"/>
      <c r="J3538" s="37"/>
    </row>
    <row r="3539" spans="1:10" x14ac:dyDescent="0.3">
      <c r="A3539" s="130"/>
      <c r="B3539" s="37"/>
      <c r="C3539" s="37"/>
      <c r="D3539" s="37"/>
      <c r="E3539" s="37"/>
      <c r="F3539" s="37"/>
      <c r="G3539" s="37"/>
      <c r="H3539" s="37"/>
      <c r="I3539" s="37"/>
      <c r="J3539" s="37"/>
    </row>
    <row r="3540" spans="1:10" x14ac:dyDescent="0.3">
      <c r="A3540" s="130"/>
      <c r="B3540" s="37"/>
      <c r="C3540" s="37"/>
      <c r="D3540" s="37"/>
      <c r="E3540" s="37"/>
      <c r="F3540" s="37"/>
      <c r="G3540" s="37"/>
      <c r="H3540" s="37"/>
      <c r="I3540" s="37"/>
      <c r="J3540" s="37"/>
    </row>
    <row r="3541" spans="1:10" x14ac:dyDescent="0.3">
      <c r="A3541" s="130"/>
      <c r="B3541" s="37"/>
      <c r="C3541" s="37"/>
      <c r="D3541" s="37"/>
      <c r="E3541" s="37"/>
      <c r="F3541" s="37"/>
      <c r="G3541" s="37"/>
      <c r="H3541" s="37"/>
      <c r="I3541" s="37"/>
      <c r="J3541" s="37"/>
    </row>
    <row r="3542" spans="1:10" x14ac:dyDescent="0.3">
      <c r="A3542" s="130"/>
      <c r="B3542" s="37"/>
      <c r="C3542" s="37"/>
      <c r="D3542" s="37"/>
      <c r="E3542" s="37"/>
      <c r="F3542" s="37"/>
      <c r="G3542" s="37"/>
      <c r="H3542" s="37"/>
      <c r="I3542" s="37"/>
      <c r="J3542" s="37"/>
    </row>
    <row r="3543" spans="1:10" x14ac:dyDescent="0.3">
      <c r="A3543" s="130"/>
      <c r="B3543" s="37"/>
      <c r="C3543" s="37"/>
      <c r="D3543" s="37"/>
      <c r="E3543" s="37"/>
      <c r="F3543" s="37"/>
      <c r="G3543" s="37"/>
      <c r="H3543" s="37"/>
      <c r="I3543" s="37"/>
      <c r="J3543" s="37"/>
    </row>
    <row r="3544" spans="1:10" x14ac:dyDescent="0.3">
      <c r="A3544" s="130"/>
      <c r="B3544" s="37"/>
      <c r="C3544" s="37"/>
      <c r="D3544" s="37"/>
      <c r="E3544" s="37"/>
      <c r="F3544" s="37"/>
      <c r="G3544" s="37"/>
      <c r="H3544" s="37"/>
      <c r="I3544" s="37"/>
      <c r="J3544" s="37"/>
    </row>
    <row r="3545" spans="1:10" x14ac:dyDescent="0.3">
      <c r="A3545" s="130"/>
      <c r="B3545" s="37"/>
      <c r="C3545" s="37"/>
      <c r="D3545" s="37"/>
      <c r="E3545" s="37"/>
      <c r="F3545" s="37"/>
      <c r="G3545" s="37"/>
      <c r="H3545" s="37"/>
      <c r="I3545" s="37"/>
      <c r="J3545" s="37"/>
    </row>
    <row r="3546" spans="1:10" x14ac:dyDescent="0.3">
      <c r="A3546" s="130"/>
      <c r="B3546" s="37"/>
      <c r="C3546" s="37"/>
      <c r="D3546" s="37"/>
      <c r="E3546" s="37"/>
      <c r="F3546" s="37"/>
      <c r="G3546" s="37"/>
      <c r="H3546" s="37"/>
      <c r="I3546" s="37"/>
      <c r="J3546" s="37"/>
    </row>
    <row r="3547" spans="1:10" x14ac:dyDescent="0.3">
      <c r="A3547" s="130"/>
      <c r="B3547" s="37"/>
      <c r="C3547" s="37"/>
      <c r="D3547" s="37"/>
      <c r="E3547" s="37"/>
      <c r="F3547" s="37"/>
      <c r="G3547" s="37"/>
      <c r="H3547" s="37"/>
      <c r="I3547" s="37"/>
      <c r="J3547" s="37"/>
    </row>
    <row r="3548" spans="1:10" x14ac:dyDescent="0.3">
      <c r="A3548" s="130"/>
      <c r="B3548" s="37"/>
      <c r="C3548" s="37"/>
      <c r="D3548" s="37"/>
      <c r="E3548" s="37"/>
      <c r="F3548" s="37"/>
      <c r="G3548" s="37"/>
      <c r="H3548" s="37"/>
      <c r="I3548" s="37"/>
      <c r="J3548" s="37"/>
    </row>
    <row r="3549" spans="1:10" x14ac:dyDescent="0.3">
      <c r="A3549" s="130"/>
      <c r="B3549" s="37"/>
      <c r="C3549" s="37"/>
      <c r="D3549" s="37"/>
      <c r="E3549" s="37"/>
      <c r="F3549" s="37"/>
      <c r="G3549" s="37"/>
      <c r="H3549" s="37"/>
      <c r="I3549" s="37"/>
      <c r="J3549" s="37"/>
    </row>
    <row r="3550" spans="1:10" x14ac:dyDescent="0.3">
      <c r="A3550" s="130"/>
      <c r="B3550" s="37"/>
      <c r="C3550" s="37"/>
      <c r="D3550" s="37"/>
      <c r="E3550" s="37"/>
      <c r="F3550" s="37"/>
      <c r="G3550" s="37"/>
      <c r="H3550" s="37"/>
      <c r="I3550" s="37"/>
      <c r="J3550" s="37"/>
    </row>
    <row r="3551" spans="1:10" x14ac:dyDescent="0.3">
      <c r="A3551" s="130"/>
      <c r="B3551" s="37"/>
      <c r="C3551" s="37"/>
      <c r="D3551" s="37"/>
      <c r="E3551" s="37"/>
      <c r="F3551" s="37"/>
      <c r="G3551" s="37"/>
      <c r="H3551" s="37"/>
      <c r="I3551" s="37"/>
      <c r="J3551" s="37"/>
    </row>
    <row r="3552" spans="1:10" x14ac:dyDescent="0.3">
      <c r="A3552" s="130"/>
      <c r="B3552" s="37"/>
      <c r="C3552" s="37"/>
      <c r="D3552" s="37"/>
      <c r="E3552" s="37"/>
      <c r="F3552" s="37"/>
      <c r="G3552" s="37"/>
      <c r="H3552" s="37"/>
      <c r="I3552" s="37"/>
      <c r="J3552" s="37"/>
    </row>
    <row r="3553" spans="1:10" x14ac:dyDescent="0.3">
      <c r="A3553" s="130"/>
      <c r="B3553" s="37"/>
      <c r="C3553" s="37"/>
      <c r="D3553" s="37"/>
      <c r="E3553" s="37"/>
      <c r="F3553" s="37"/>
      <c r="G3553" s="37"/>
      <c r="H3553" s="37"/>
      <c r="I3553" s="37"/>
      <c r="J3553" s="37"/>
    </row>
    <row r="3554" spans="1:10" x14ac:dyDescent="0.3">
      <c r="A3554" s="130"/>
      <c r="B3554" s="37"/>
      <c r="C3554" s="37"/>
      <c r="D3554" s="37"/>
      <c r="E3554" s="37"/>
      <c r="F3554" s="37"/>
      <c r="G3554" s="37"/>
      <c r="H3554" s="37"/>
      <c r="I3554" s="37"/>
      <c r="J3554" s="37"/>
    </row>
    <row r="3555" spans="1:10" x14ac:dyDescent="0.3">
      <c r="A3555" s="130"/>
      <c r="B3555" s="37"/>
      <c r="C3555" s="37"/>
      <c r="D3555" s="37"/>
      <c r="E3555" s="37"/>
      <c r="F3555" s="37"/>
      <c r="G3555" s="37"/>
      <c r="H3555" s="37"/>
      <c r="I3555" s="37"/>
      <c r="J3555" s="37"/>
    </row>
    <row r="3556" spans="1:10" x14ac:dyDescent="0.3">
      <c r="A3556" s="130"/>
      <c r="B3556" s="37"/>
      <c r="C3556" s="37"/>
      <c r="D3556" s="37"/>
      <c r="E3556" s="37"/>
      <c r="F3556" s="37"/>
      <c r="G3556" s="37"/>
      <c r="H3556" s="37"/>
      <c r="I3556" s="37"/>
      <c r="J3556" s="37"/>
    </row>
    <row r="3557" spans="1:10" x14ac:dyDescent="0.3">
      <c r="A3557" s="130"/>
      <c r="B3557" s="37"/>
      <c r="C3557" s="37"/>
      <c r="D3557" s="37"/>
      <c r="E3557" s="37"/>
      <c r="F3557" s="37"/>
      <c r="G3557" s="37"/>
      <c r="H3557" s="37"/>
      <c r="I3557" s="37"/>
      <c r="J3557" s="37"/>
    </row>
    <row r="3558" spans="1:10" x14ac:dyDescent="0.3">
      <c r="A3558" s="130"/>
      <c r="B3558" s="37"/>
      <c r="C3558" s="37"/>
      <c r="D3558" s="37"/>
      <c r="E3558" s="37"/>
      <c r="F3558" s="37"/>
      <c r="G3558" s="37"/>
      <c r="H3558" s="37"/>
      <c r="I3558" s="37"/>
      <c r="J3558" s="37"/>
    </row>
    <row r="3559" spans="1:10" x14ac:dyDescent="0.3">
      <c r="A3559" s="130"/>
      <c r="B3559" s="37"/>
      <c r="C3559" s="37"/>
      <c r="D3559" s="37"/>
      <c r="E3559" s="37"/>
      <c r="F3559" s="37"/>
      <c r="G3559" s="37"/>
      <c r="H3559" s="37"/>
      <c r="I3559" s="37"/>
      <c r="J3559" s="37"/>
    </row>
    <row r="3560" spans="1:10" x14ac:dyDescent="0.3">
      <c r="A3560" s="130"/>
      <c r="B3560" s="37"/>
      <c r="C3560" s="37"/>
      <c r="D3560" s="37"/>
      <c r="E3560" s="37"/>
      <c r="F3560" s="37"/>
      <c r="G3560" s="37"/>
      <c r="H3560" s="37"/>
      <c r="I3560" s="37"/>
      <c r="J3560" s="37"/>
    </row>
    <row r="3561" spans="1:10" x14ac:dyDescent="0.3">
      <c r="A3561" s="130"/>
      <c r="B3561" s="37"/>
      <c r="C3561" s="37"/>
      <c r="D3561" s="37"/>
      <c r="E3561" s="37"/>
      <c r="F3561" s="37"/>
      <c r="G3561" s="37"/>
      <c r="H3561" s="37"/>
      <c r="I3561" s="37"/>
      <c r="J3561" s="37"/>
    </row>
    <row r="3562" spans="1:10" x14ac:dyDescent="0.3">
      <c r="A3562" s="130"/>
      <c r="B3562" s="37"/>
      <c r="C3562" s="37"/>
      <c r="D3562" s="37"/>
      <c r="E3562" s="37"/>
      <c r="F3562" s="37"/>
      <c r="G3562" s="37"/>
      <c r="H3562" s="37"/>
      <c r="I3562" s="37"/>
      <c r="J3562" s="37"/>
    </row>
    <row r="3563" spans="1:10" x14ac:dyDescent="0.3">
      <c r="A3563" s="130"/>
      <c r="B3563" s="37"/>
      <c r="C3563" s="37"/>
      <c r="D3563" s="37"/>
      <c r="E3563" s="37"/>
      <c r="F3563" s="37"/>
      <c r="G3563" s="37"/>
      <c r="H3563" s="37"/>
      <c r="I3563" s="37"/>
      <c r="J3563" s="37"/>
    </row>
    <row r="3564" spans="1:10" x14ac:dyDescent="0.3">
      <c r="A3564" s="130"/>
      <c r="B3564" s="37"/>
      <c r="C3564" s="37"/>
      <c r="D3564" s="37"/>
      <c r="E3564" s="37"/>
      <c r="F3564" s="37"/>
      <c r="G3564" s="37"/>
      <c r="H3564" s="37"/>
      <c r="I3564" s="37"/>
      <c r="J3564" s="37"/>
    </row>
    <row r="3565" spans="1:10" x14ac:dyDescent="0.3">
      <c r="A3565" s="130"/>
      <c r="B3565" s="37"/>
      <c r="C3565" s="37"/>
      <c r="D3565" s="37"/>
      <c r="E3565" s="37"/>
      <c r="F3565" s="37"/>
      <c r="G3565" s="37"/>
      <c r="H3565" s="37"/>
      <c r="I3565" s="37"/>
      <c r="J3565" s="37"/>
    </row>
    <row r="3566" spans="1:10" x14ac:dyDescent="0.3">
      <c r="A3566" s="130"/>
      <c r="B3566" s="37"/>
      <c r="C3566" s="37"/>
      <c r="D3566" s="37"/>
      <c r="E3566" s="37"/>
      <c r="F3566" s="37"/>
      <c r="G3566" s="37"/>
      <c r="H3566" s="37"/>
      <c r="I3566" s="37"/>
      <c r="J3566" s="37"/>
    </row>
    <row r="3567" spans="1:10" x14ac:dyDescent="0.3">
      <c r="A3567" s="130"/>
      <c r="B3567" s="37"/>
      <c r="C3567" s="37"/>
      <c r="D3567" s="37"/>
      <c r="E3567" s="37"/>
      <c r="F3567" s="37"/>
      <c r="G3567" s="37"/>
      <c r="H3567" s="37"/>
      <c r="I3567" s="37"/>
      <c r="J3567" s="37"/>
    </row>
    <row r="3568" spans="1:10" x14ac:dyDescent="0.3">
      <c r="A3568" s="130"/>
      <c r="B3568" s="37"/>
      <c r="C3568" s="37"/>
      <c r="D3568" s="37"/>
      <c r="E3568" s="37"/>
      <c r="F3568" s="37"/>
      <c r="G3568" s="37"/>
      <c r="H3568" s="37"/>
      <c r="I3568" s="37"/>
      <c r="J3568" s="37"/>
    </row>
    <row r="3569" spans="1:10" x14ac:dyDescent="0.3">
      <c r="A3569" s="130"/>
      <c r="B3569" s="37"/>
      <c r="C3569" s="37"/>
      <c r="D3569" s="37"/>
      <c r="E3569" s="37"/>
      <c r="F3569" s="37"/>
      <c r="G3569" s="37"/>
      <c r="H3569" s="37"/>
      <c r="I3569" s="37"/>
      <c r="J3569" s="37"/>
    </row>
    <row r="3570" spans="1:10" x14ac:dyDescent="0.3">
      <c r="A3570" s="130"/>
      <c r="B3570" s="37"/>
      <c r="C3570" s="37"/>
      <c r="D3570" s="37"/>
      <c r="E3570" s="37"/>
      <c r="F3570" s="37"/>
      <c r="G3570" s="37"/>
      <c r="H3570" s="37"/>
      <c r="I3570" s="37"/>
      <c r="J3570" s="37"/>
    </row>
    <row r="3571" spans="1:10" x14ac:dyDescent="0.3">
      <c r="A3571" s="130"/>
      <c r="B3571" s="37"/>
      <c r="C3571" s="37"/>
      <c r="D3571" s="37"/>
      <c r="E3571" s="37"/>
      <c r="F3571" s="37"/>
      <c r="G3571" s="37"/>
      <c r="H3571" s="37"/>
      <c r="I3571" s="37"/>
      <c r="J3571" s="37"/>
    </row>
    <row r="3572" spans="1:10" x14ac:dyDescent="0.3">
      <c r="A3572" s="130"/>
      <c r="B3572" s="37"/>
      <c r="C3572" s="37"/>
      <c r="D3572" s="37"/>
      <c r="E3572" s="37"/>
      <c r="F3572" s="37"/>
      <c r="G3572" s="37"/>
      <c r="H3572" s="37"/>
      <c r="I3572" s="37"/>
      <c r="J3572" s="37"/>
    </row>
    <row r="3573" spans="1:10" x14ac:dyDescent="0.3">
      <c r="A3573" s="130"/>
      <c r="B3573" s="37"/>
      <c r="C3573" s="37"/>
      <c r="D3573" s="37"/>
      <c r="E3573" s="37"/>
      <c r="F3573" s="37"/>
      <c r="G3573" s="37"/>
      <c r="H3573" s="37"/>
      <c r="I3573" s="37"/>
      <c r="J3573" s="37"/>
    </row>
    <row r="3574" spans="1:10" x14ac:dyDescent="0.3">
      <c r="A3574" s="130"/>
      <c r="B3574" s="37"/>
      <c r="C3574" s="37"/>
      <c r="D3574" s="37"/>
      <c r="E3574" s="37"/>
      <c r="F3574" s="37"/>
      <c r="G3574" s="37"/>
      <c r="H3574" s="37"/>
      <c r="I3574" s="37"/>
      <c r="J3574" s="37"/>
    </row>
    <row r="3575" spans="1:10" x14ac:dyDescent="0.3">
      <c r="A3575" s="130"/>
      <c r="B3575" s="37"/>
      <c r="C3575" s="37"/>
      <c r="D3575" s="37"/>
      <c r="E3575" s="37"/>
      <c r="F3575" s="37"/>
      <c r="G3575" s="37"/>
      <c r="H3575" s="37"/>
      <c r="I3575" s="37"/>
      <c r="J3575" s="37"/>
    </row>
    <row r="3576" spans="1:10" x14ac:dyDescent="0.3">
      <c r="A3576" s="130"/>
      <c r="B3576" s="37"/>
      <c r="C3576" s="37"/>
      <c r="D3576" s="37"/>
      <c r="E3576" s="37"/>
      <c r="F3576" s="37"/>
      <c r="G3576" s="37"/>
      <c r="H3576" s="37"/>
      <c r="I3576" s="37"/>
      <c r="J3576" s="37"/>
    </row>
    <row r="3577" spans="1:10" x14ac:dyDescent="0.3">
      <c r="A3577" s="130"/>
      <c r="B3577" s="37"/>
      <c r="C3577" s="37"/>
      <c r="D3577" s="37"/>
      <c r="E3577" s="37"/>
      <c r="F3577" s="37"/>
      <c r="G3577" s="37"/>
      <c r="H3577" s="37"/>
      <c r="I3577" s="37"/>
      <c r="J3577" s="37"/>
    </row>
    <row r="3578" spans="1:10" x14ac:dyDescent="0.3">
      <c r="A3578" s="130"/>
      <c r="B3578" s="37"/>
      <c r="C3578" s="37"/>
      <c r="D3578" s="37"/>
      <c r="E3578" s="37"/>
      <c r="F3578" s="37"/>
      <c r="G3578" s="37"/>
      <c r="H3578" s="37"/>
      <c r="I3578" s="37"/>
      <c r="J3578" s="37"/>
    </row>
    <row r="3579" spans="1:10" x14ac:dyDescent="0.3">
      <c r="A3579" s="130"/>
      <c r="B3579" s="37"/>
      <c r="C3579" s="37"/>
      <c r="D3579" s="37"/>
      <c r="E3579" s="37"/>
      <c r="F3579" s="37"/>
      <c r="G3579" s="37"/>
      <c r="H3579" s="37"/>
      <c r="I3579" s="37"/>
      <c r="J3579" s="37"/>
    </row>
    <row r="3580" spans="1:10" x14ac:dyDescent="0.3">
      <c r="A3580" s="130"/>
      <c r="B3580" s="37"/>
      <c r="C3580" s="37"/>
      <c r="D3580" s="37"/>
      <c r="E3580" s="37"/>
      <c r="F3580" s="37"/>
      <c r="G3580" s="37"/>
      <c r="H3580" s="37"/>
      <c r="I3580" s="37"/>
      <c r="J3580" s="37"/>
    </row>
    <row r="3581" spans="1:10" x14ac:dyDescent="0.3">
      <c r="A3581" s="130"/>
      <c r="B3581" s="37"/>
      <c r="C3581" s="37"/>
      <c r="D3581" s="37"/>
      <c r="E3581" s="37"/>
      <c r="F3581" s="37"/>
      <c r="G3581" s="37"/>
      <c r="H3581" s="37"/>
      <c r="I3581" s="37"/>
      <c r="J3581" s="37"/>
    </row>
    <row r="3582" spans="1:10" x14ac:dyDescent="0.3">
      <c r="A3582" s="130"/>
      <c r="B3582" s="37"/>
      <c r="C3582" s="37"/>
      <c r="D3582" s="37"/>
      <c r="E3582" s="37"/>
      <c r="F3582" s="37"/>
      <c r="G3582" s="37"/>
      <c r="H3582" s="37"/>
      <c r="I3582" s="37"/>
      <c r="J3582" s="37"/>
    </row>
    <row r="3583" spans="1:10" x14ac:dyDescent="0.3">
      <c r="A3583" s="130"/>
      <c r="B3583" s="37"/>
      <c r="C3583" s="37"/>
      <c r="D3583" s="37"/>
      <c r="E3583" s="37"/>
      <c r="F3583" s="37"/>
      <c r="G3583" s="37"/>
      <c r="H3583" s="37"/>
      <c r="I3583" s="37"/>
      <c r="J3583" s="37"/>
    </row>
    <row r="3584" spans="1:10" x14ac:dyDescent="0.3">
      <c r="A3584" s="130"/>
      <c r="B3584" s="37"/>
      <c r="C3584" s="37"/>
      <c r="D3584" s="37"/>
      <c r="E3584" s="37"/>
      <c r="F3584" s="37"/>
      <c r="G3584" s="37"/>
      <c r="H3584" s="37"/>
      <c r="I3584" s="37"/>
      <c r="J3584" s="37"/>
    </row>
    <row r="3585" spans="1:10" x14ac:dyDescent="0.3">
      <c r="A3585" s="130"/>
      <c r="B3585" s="37"/>
      <c r="C3585" s="37"/>
      <c r="D3585" s="37"/>
      <c r="E3585" s="37"/>
      <c r="F3585" s="37"/>
      <c r="G3585" s="37"/>
      <c r="H3585" s="37"/>
      <c r="I3585" s="37"/>
      <c r="J3585" s="37"/>
    </row>
    <row r="3586" spans="1:10" x14ac:dyDescent="0.3">
      <c r="A3586" s="130"/>
      <c r="B3586" s="37"/>
      <c r="C3586" s="37"/>
      <c r="D3586" s="37"/>
      <c r="E3586" s="37"/>
      <c r="F3586" s="37"/>
      <c r="G3586" s="37"/>
      <c r="H3586" s="37"/>
      <c r="I3586" s="37"/>
      <c r="J3586" s="37"/>
    </row>
    <row r="3587" spans="1:10" x14ac:dyDescent="0.3">
      <c r="A3587" s="130"/>
      <c r="B3587" s="37"/>
      <c r="C3587" s="37"/>
      <c r="D3587" s="37"/>
      <c r="E3587" s="37"/>
      <c r="F3587" s="37"/>
      <c r="G3587" s="37"/>
      <c r="H3587" s="37"/>
      <c r="I3587" s="37"/>
      <c r="J3587" s="37"/>
    </row>
    <row r="3588" spans="1:10" x14ac:dyDescent="0.3">
      <c r="A3588" s="130"/>
      <c r="B3588" s="37"/>
      <c r="C3588" s="37"/>
      <c r="D3588" s="37"/>
      <c r="E3588" s="37"/>
      <c r="F3588" s="37"/>
      <c r="G3588" s="37"/>
      <c r="H3588" s="37"/>
      <c r="I3588" s="37"/>
      <c r="J3588" s="37"/>
    </row>
    <row r="3589" spans="1:10" x14ac:dyDescent="0.3">
      <c r="A3589" s="130"/>
      <c r="B3589" s="37"/>
      <c r="C3589" s="37"/>
      <c r="D3589" s="37"/>
      <c r="E3589" s="37"/>
      <c r="F3589" s="37"/>
      <c r="G3589" s="37"/>
      <c r="H3589" s="37"/>
      <c r="I3589" s="37"/>
      <c r="J3589" s="37"/>
    </row>
    <row r="3590" spans="1:10" x14ac:dyDescent="0.3">
      <c r="A3590" s="130"/>
      <c r="B3590" s="37"/>
      <c r="C3590" s="37"/>
      <c r="D3590" s="37"/>
      <c r="E3590" s="37"/>
      <c r="F3590" s="37"/>
      <c r="G3590" s="37"/>
      <c r="H3590" s="37"/>
      <c r="I3590" s="37"/>
      <c r="J3590" s="37"/>
    </row>
    <row r="3591" spans="1:10" x14ac:dyDescent="0.3">
      <c r="A3591" s="130"/>
      <c r="B3591" s="37"/>
      <c r="C3591" s="37"/>
      <c r="D3591" s="37"/>
      <c r="E3591" s="37"/>
      <c r="F3591" s="37"/>
      <c r="G3591" s="37"/>
      <c r="H3591" s="37"/>
      <c r="I3591" s="37"/>
      <c r="J3591" s="37"/>
    </row>
    <row r="3592" spans="1:10" x14ac:dyDescent="0.3">
      <c r="A3592" s="130"/>
      <c r="B3592" s="37"/>
      <c r="C3592" s="37"/>
      <c r="D3592" s="37"/>
      <c r="E3592" s="37"/>
      <c r="F3592" s="37"/>
      <c r="G3592" s="37"/>
      <c r="H3592" s="37"/>
      <c r="I3592" s="37"/>
      <c r="J3592" s="37"/>
    </row>
    <row r="3593" spans="1:10" x14ac:dyDescent="0.3">
      <c r="A3593" s="130"/>
      <c r="B3593" s="37"/>
      <c r="C3593" s="37"/>
      <c r="D3593" s="37"/>
      <c r="E3593" s="37"/>
      <c r="F3593" s="37"/>
      <c r="G3593" s="37"/>
      <c r="H3593" s="37"/>
      <c r="I3593" s="37"/>
      <c r="J3593" s="37"/>
    </row>
    <row r="3594" spans="1:10" x14ac:dyDescent="0.3">
      <c r="A3594" s="130"/>
      <c r="B3594" s="37"/>
      <c r="C3594" s="37"/>
      <c r="D3594" s="37"/>
      <c r="E3594" s="37"/>
      <c r="F3594" s="37"/>
      <c r="G3594" s="37"/>
      <c r="H3594" s="37"/>
      <c r="I3594" s="37"/>
      <c r="J3594" s="37"/>
    </row>
    <row r="3595" spans="1:10" x14ac:dyDescent="0.3">
      <c r="A3595" s="130"/>
      <c r="B3595" s="37"/>
      <c r="C3595" s="37"/>
      <c r="D3595" s="37"/>
      <c r="E3595" s="37"/>
      <c r="F3595" s="37"/>
      <c r="G3595" s="37"/>
      <c r="H3595" s="37"/>
      <c r="I3595" s="37"/>
      <c r="J3595" s="37"/>
    </row>
    <row r="3596" spans="1:10" x14ac:dyDescent="0.3">
      <c r="A3596" s="130"/>
      <c r="B3596" s="37"/>
      <c r="C3596" s="37"/>
      <c r="D3596" s="37"/>
      <c r="E3596" s="37"/>
      <c r="F3596" s="37"/>
      <c r="G3596" s="37"/>
      <c r="H3596" s="37"/>
      <c r="I3596" s="37"/>
      <c r="J3596" s="37"/>
    </row>
    <row r="3597" spans="1:10" x14ac:dyDescent="0.3">
      <c r="A3597" s="130"/>
      <c r="B3597" s="37"/>
      <c r="C3597" s="37"/>
      <c r="D3597" s="37"/>
      <c r="E3597" s="37"/>
      <c r="F3597" s="37"/>
      <c r="G3597" s="37"/>
      <c r="H3597" s="37"/>
      <c r="I3597" s="37"/>
      <c r="J3597" s="37"/>
    </row>
    <row r="3598" spans="1:10" x14ac:dyDescent="0.3">
      <c r="A3598" s="130"/>
      <c r="B3598" s="37"/>
      <c r="C3598" s="37"/>
      <c r="D3598" s="37"/>
      <c r="E3598" s="37"/>
      <c r="F3598" s="37"/>
      <c r="G3598" s="37"/>
      <c r="H3598" s="37"/>
      <c r="I3598" s="37"/>
      <c r="J3598" s="37"/>
    </row>
    <row r="3599" spans="1:10" x14ac:dyDescent="0.3">
      <c r="A3599" s="130"/>
      <c r="B3599" s="37"/>
      <c r="C3599" s="37"/>
      <c r="D3599" s="37"/>
      <c r="E3599" s="37"/>
      <c r="F3599" s="37"/>
      <c r="G3599" s="37"/>
      <c r="H3599" s="37"/>
      <c r="I3599" s="37"/>
      <c r="J3599" s="37"/>
    </row>
    <row r="3600" spans="1:10" x14ac:dyDescent="0.3">
      <c r="A3600" s="130"/>
      <c r="B3600" s="37"/>
      <c r="C3600" s="37"/>
      <c r="D3600" s="37"/>
      <c r="E3600" s="37"/>
      <c r="F3600" s="37"/>
      <c r="G3600" s="37"/>
      <c r="H3600" s="37"/>
      <c r="I3600" s="37"/>
      <c r="J3600" s="37"/>
    </row>
    <row r="3601" spans="1:10" x14ac:dyDescent="0.3">
      <c r="A3601" s="130"/>
      <c r="B3601" s="37"/>
      <c r="C3601" s="37"/>
      <c r="D3601" s="37"/>
      <c r="E3601" s="37"/>
      <c r="F3601" s="37"/>
      <c r="G3601" s="37"/>
      <c r="H3601" s="37"/>
      <c r="I3601" s="37"/>
      <c r="J3601" s="37"/>
    </row>
    <row r="3602" spans="1:10" x14ac:dyDescent="0.3">
      <c r="A3602" s="130"/>
      <c r="B3602" s="37"/>
      <c r="C3602" s="37"/>
      <c r="D3602" s="37"/>
      <c r="E3602" s="37"/>
      <c r="F3602" s="37"/>
      <c r="G3602" s="37"/>
      <c r="H3602" s="37"/>
      <c r="I3602" s="37"/>
      <c r="J3602" s="37"/>
    </row>
    <row r="3603" spans="1:10" x14ac:dyDescent="0.3">
      <c r="A3603" s="130"/>
      <c r="B3603" s="37"/>
      <c r="C3603" s="37"/>
      <c r="D3603" s="37"/>
      <c r="E3603" s="37"/>
      <c r="F3603" s="37"/>
      <c r="G3603" s="37"/>
      <c r="H3603" s="37"/>
      <c r="I3603" s="37"/>
      <c r="J3603" s="37"/>
    </row>
    <row r="3604" spans="1:10" x14ac:dyDescent="0.3">
      <c r="A3604" s="130"/>
      <c r="B3604" s="37"/>
      <c r="C3604" s="37"/>
      <c r="D3604" s="37"/>
      <c r="E3604" s="37"/>
      <c r="F3604" s="37"/>
      <c r="G3604" s="37"/>
      <c r="H3604" s="37"/>
      <c r="I3604" s="37"/>
      <c r="J3604" s="37"/>
    </row>
    <row r="3605" spans="1:10" x14ac:dyDescent="0.3">
      <c r="A3605" s="130"/>
      <c r="B3605" s="37"/>
      <c r="C3605" s="37"/>
      <c r="D3605" s="37"/>
      <c r="E3605" s="37"/>
      <c r="F3605" s="37"/>
      <c r="G3605" s="37"/>
      <c r="H3605" s="37"/>
      <c r="I3605" s="37"/>
      <c r="J3605" s="37"/>
    </row>
    <row r="3606" spans="1:10" x14ac:dyDescent="0.3">
      <c r="A3606" s="130"/>
      <c r="B3606" s="37"/>
      <c r="C3606" s="37"/>
      <c r="D3606" s="37"/>
      <c r="E3606" s="37"/>
      <c r="F3606" s="37"/>
      <c r="G3606" s="37"/>
      <c r="H3606" s="37"/>
      <c r="I3606" s="37"/>
      <c r="J3606" s="37"/>
    </row>
    <row r="3607" spans="1:10" x14ac:dyDescent="0.3">
      <c r="A3607" s="130"/>
      <c r="B3607" s="37"/>
      <c r="C3607" s="37"/>
      <c r="D3607" s="37"/>
      <c r="E3607" s="37"/>
      <c r="F3607" s="37"/>
      <c r="G3607" s="37"/>
      <c r="H3607" s="37"/>
      <c r="I3607" s="37"/>
      <c r="J3607" s="37"/>
    </row>
    <row r="3608" spans="1:10" x14ac:dyDescent="0.3">
      <c r="A3608" s="130"/>
      <c r="B3608" s="37"/>
      <c r="C3608" s="37"/>
      <c r="D3608" s="37"/>
      <c r="E3608" s="37"/>
      <c r="F3608" s="37"/>
      <c r="G3608" s="37"/>
      <c r="H3608" s="37"/>
      <c r="I3608" s="37"/>
      <c r="J3608" s="37"/>
    </row>
    <row r="3609" spans="1:10" x14ac:dyDescent="0.3">
      <c r="A3609" s="130"/>
      <c r="B3609" s="37"/>
      <c r="C3609" s="37"/>
      <c r="D3609" s="37"/>
      <c r="E3609" s="37"/>
      <c r="F3609" s="37"/>
      <c r="G3609" s="37"/>
      <c r="H3609" s="37"/>
      <c r="I3609" s="37"/>
      <c r="J3609" s="37"/>
    </row>
    <row r="3610" spans="1:10" x14ac:dyDescent="0.3">
      <c r="A3610" s="130"/>
      <c r="B3610" s="37"/>
      <c r="C3610" s="37"/>
      <c r="D3610" s="37"/>
      <c r="E3610" s="37"/>
      <c r="F3610" s="37"/>
      <c r="G3610" s="37"/>
      <c r="H3610" s="37"/>
      <c r="I3610" s="37"/>
      <c r="J3610" s="37"/>
    </row>
    <row r="3611" spans="1:10" x14ac:dyDescent="0.3">
      <c r="A3611" s="130"/>
      <c r="B3611" s="37"/>
      <c r="C3611" s="37"/>
      <c r="D3611" s="37"/>
      <c r="E3611" s="37"/>
      <c r="F3611" s="37"/>
      <c r="G3611" s="37"/>
      <c r="H3611" s="37"/>
      <c r="I3611" s="37"/>
      <c r="J3611" s="37"/>
    </row>
    <row r="3612" spans="1:10" x14ac:dyDescent="0.3">
      <c r="A3612" s="130"/>
      <c r="B3612" s="37"/>
      <c r="C3612" s="37"/>
      <c r="D3612" s="37"/>
      <c r="E3612" s="37"/>
      <c r="F3612" s="37"/>
      <c r="G3612" s="37"/>
      <c r="H3612" s="37"/>
      <c r="I3612" s="37"/>
      <c r="J3612" s="37"/>
    </row>
    <row r="3613" spans="1:10" x14ac:dyDescent="0.3">
      <c r="A3613" s="130"/>
      <c r="B3613" s="37"/>
      <c r="C3613" s="37"/>
      <c r="D3613" s="37"/>
      <c r="E3613" s="37"/>
      <c r="F3613" s="37"/>
      <c r="G3613" s="37"/>
      <c r="H3613" s="37"/>
      <c r="I3613" s="37"/>
      <c r="J3613" s="37"/>
    </row>
    <row r="3614" spans="1:10" x14ac:dyDescent="0.3">
      <c r="A3614" s="130"/>
      <c r="B3614" s="37"/>
      <c r="C3614" s="37"/>
      <c r="D3614" s="37"/>
      <c r="E3614" s="37"/>
      <c r="F3614" s="37"/>
      <c r="G3614" s="37"/>
      <c r="H3614" s="37"/>
      <c r="I3614" s="37"/>
      <c r="J3614" s="37"/>
    </row>
    <row r="3615" spans="1:10" x14ac:dyDescent="0.3">
      <c r="A3615" s="130"/>
      <c r="B3615" s="37"/>
      <c r="C3615" s="37"/>
      <c r="D3615" s="37"/>
      <c r="E3615" s="37"/>
      <c r="F3615" s="37"/>
      <c r="G3615" s="37"/>
      <c r="H3615" s="37"/>
      <c r="I3615" s="37"/>
      <c r="J3615" s="37"/>
    </row>
    <row r="3616" spans="1:10" x14ac:dyDescent="0.3">
      <c r="A3616" s="130"/>
      <c r="B3616" s="37"/>
      <c r="C3616" s="37"/>
      <c r="D3616" s="37"/>
      <c r="E3616" s="37"/>
      <c r="F3616" s="37"/>
      <c r="G3616" s="37"/>
      <c r="H3616" s="37"/>
      <c r="I3616" s="37"/>
      <c r="J3616" s="37"/>
    </row>
    <row r="3617" spans="1:10" x14ac:dyDescent="0.3">
      <c r="A3617" s="130"/>
      <c r="B3617" s="37"/>
      <c r="C3617" s="37"/>
      <c r="D3617" s="37"/>
      <c r="E3617" s="37"/>
      <c r="F3617" s="37"/>
      <c r="G3617" s="37"/>
      <c r="H3617" s="37"/>
      <c r="I3617" s="37"/>
      <c r="J3617" s="37"/>
    </row>
    <row r="3618" spans="1:10" x14ac:dyDescent="0.3">
      <c r="A3618" s="130"/>
      <c r="B3618" s="37"/>
      <c r="C3618" s="37"/>
      <c r="D3618" s="37"/>
      <c r="E3618" s="37"/>
      <c r="F3618" s="37"/>
      <c r="G3618" s="37"/>
      <c r="H3618" s="37"/>
      <c r="I3618" s="37"/>
      <c r="J3618" s="37"/>
    </row>
    <row r="3619" spans="1:10" x14ac:dyDescent="0.3">
      <c r="A3619" s="130"/>
      <c r="B3619" s="37"/>
      <c r="C3619" s="37"/>
      <c r="D3619" s="37"/>
      <c r="E3619" s="37"/>
      <c r="F3619" s="37"/>
      <c r="G3619" s="37"/>
      <c r="H3619" s="37"/>
      <c r="I3619" s="37"/>
      <c r="J3619" s="37"/>
    </row>
    <row r="3620" spans="1:10" x14ac:dyDescent="0.3">
      <c r="A3620" s="130"/>
      <c r="B3620" s="37"/>
      <c r="C3620" s="37"/>
      <c r="D3620" s="37"/>
      <c r="E3620" s="37"/>
      <c r="F3620" s="37"/>
      <c r="G3620" s="37"/>
      <c r="H3620" s="37"/>
      <c r="I3620" s="37"/>
      <c r="J3620" s="37"/>
    </row>
    <row r="3621" spans="1:10" x14ac:dyDescent="0.3">
      <c r="A3621" s="130"/>
      <c r="B3621" s="37"/>
      <c r="C3621" s="37"/>
      <c r="D3621" s="37"/>
      <c r="E3621" s="37"/>
      <c r="F3621" s="37"/>
      <c r="G3621" s="37"/>
      <c r="H3621" s="37"/>
      <c r="I3621" s="37"/>
      <c r="J3621" s="37"/>
    </row>
    <row r="3622" spans="1:10" x14ac:dyDescent="0.3">
      <c r="A3622" s="130"/>
      <c r="B3622" s="37"/>
      <c r="C3622" s="37"/>
      <c r="D3622" s="37"/>
      <c r="E3622" s="37"/>
      <c r="F3622" s="37"/>
      <c r="G3622" s="37"/>
      <c r="H3622" s="37"/>
      <c r="I3622" s="37"/>
      <c r="J3622" s="37"/>
    </row>
    <row r="3623" spans="1:10" x14ac:dyDescent="0.3">
      <c r="A3623" s="130"/>
      <c r="B3623" s="37"/>
      <c r="C3623" s="37"/>
      <c r="D3623" s="37"/>
      <c r="E3623" s="37"/>
      <c r="F3623" s="37"/>
      <c r="G3623" s="37"/>
      <c r="H3623" s="37"/>
      <c r="I3623" s="37"/>
      <c r="J3623" s="37"/>
    </row>
    <row r="3624" spans="1:10" x14ac:dyDescent="0.3">
      <c r="A3624" s="130"/>
      <c r="B3624" s="37"/>
      <c r="C3624" s="37"/>
      <c r="D3624" s="37"/>
      <c r="E3624" s="37"/>
      <c r="F3624" s="37"/>
      <c r="G3624" s="37"/>
      <c r="H3624" s="37"/>
      <c r="I3624" s="37"/>
      <c r="J3624" s="37"/>
    </row>
    <row r="3625" spans="1:10" x14ac:dyDescent="0.3">
      <c r="A3625" s="130"/>
      <c r="B3625" s="37"/>
      <c r="C3625" s="37"/>
      <c r="D3625" s="37"/>
      <c r="E3625" s="37"/>
      <c r="F3625" s="37"/>
      <c r="G3625" s="37"/>
      <c r="H3625" s="37"/>
      <c r="I3625" s="37"/>
      <c r="J3625" s="37"/>
    </row>
    <row r="3626" spans="1:10" x14ac:dyDescent="0.3">
      <c r="A3626" s="130"/>
      <c r="B3626" s="37"/>
      <c r="C3626" s="37"/>
      <c r="D3626" s="37"/>
      <c r="E3626" s="37"/>
      <c r="F3626" s="37"/>
      <c r="G3626" s="37"/>
      <c r="H3626" s="37"/>
      <c r="I3626" s="37"/>
      <c r="J3626" s="37"/>
    </row>
    <row r="3627" spans="1:10" x14ac:dyDescent="0.3">
      <c r="A3627" s="130"/>
      <c r="B3627" s="37"/>
      <c r="C3627" s="37"/>
      <c r="D3627" s="37"/>
      <c r="E3627" s="37"/>
      <c r="F3627" s="37"/>
      <c r="G3627" s="37"/>
      <c r="H3627" s="37"/>
      <c r="I3627" s="37"/>
      <c r="J3627" s="37"/>
    </row>
    <row r="3628" spans="1:10" x14ac:dyDescent="0.3">
      <c r="A3628" s="130"/>
      <c r="B3628" s="37"/>
      <c r="C3628" s="37"/>
      <c r="D3628" s="37"/>
      <c r="E3628" s="37"/>
      <c r="F3628" s="37"/>
      <c r="G3628" s="37"/>
      <c r="H3628" s="37"/>
      <c r="I3628" s="37"/>
      <c r="J3628" s="37"/>
    </row>
    <row r="3629" spans="1:10" x14ac:dyDescent="0.3">
      <c r="A3629" s="130"/>
      <c r="B3629" s="37"/>
      <c r="C3629" s="37"/>
      <c r="D3629" s="37"/>
      <c r="E3629" s="37"/>
      <c r="F3629" s="37"/>
      <c r="G3629" s="37"/>
      <c r="H3629" s="37"/>
      <c r="I3629" s="37"/>
      <c r="J3629" s="37"/>
    </row>
    <row r="3630" spans="1:10" x14ac:dyDescent="0.3">
      <c r="A3630" s="130"/>
      <c r="B3630" s="37"/>
      <c r="C3630" s="37"/>
      <c r="D3630" s="37"/>
      <c r="E3630" s="37"/>
      <c r="F3630" s="37"/>
      <c r="G3630" s="37"/>
      <c r="H3630" s="37"/>
      <c r="I3630" s="37"/>
      <c r="J3630" s="37"/>
    </row>
    <row r="3631" spans="1:10" x14ac:dyDescent="0.3">
      <c r="A3631" s="130"/>
      <c r="B3631" s="37"/>
      <c r="C3631" s="37"/>
      <c r="D3631" s="37"/>
      <c r="E3631" s="37"/>
      <c r="F3631" s="37"/>
      <c r="G3631" s="37"/>
      <c r="H3631" s="37"/>
      <c r="I3631" s="37"/>
      <c r="J3631" s="37"/>
    </row>
    <row r="3632" spans="1:10" x14ac:dyDescent="0.3">
      <c r="A3632" s="130"/>
      <c r="B3632" s="37"/>
      <c r="C3632" s="37"/>
      <c r="D3632" s="37"/>
      <c r="E3632" s="37"/>
      <c r="F3632" s="37"/>
      <c r="G3632" s="37"/>
      <c r="H3632" s="37"/>
      <c r="I3632" s="37"/>
      <c r="J3632" s="37"/>
    </row>
    <row r="3633" spans="1:10" x14ac:dyDescent="0.3">
      <c r="A3633" s="130"/>
      <c r="B3633" s="37"/>
      <c r="C3633" s="37"/>
      <c r="D3633" s="37"/>
      <c r="E3633" s="37"/>
      <c r="F3633" s="37"/>
      <c r="G3633" s="37"/>
      <c r="H3633" s="37"/>
      <c r="I3633" s="37"/>
      <c r="J3633" s="37"/>
    </row>
    <row r="3634" spans="1:10" x14ac:dyDescent="0.3">
      <c r="A3634" s="130"/>
      <c r="B3634" s="37"/>
      <c r="C3634" s="37"/>
      <c r="D3634" s="37"/>
      <c r="E3634" s="37"/>
      <c r="F3634" s="37"/>
      <c r="G3634" s="37"/>
      <c r="H3634" s="37"/>
      <c r="I3634" s="37"/>
      <c r="J3634" s="37"/>
    </row>
    <row r="3635" spans="1:10" x14ac:dyDescent="0.3">
      <c r="A3635" s="130"/>
      <c r="B3635" s="37"/>
      <c r="C3635" s="37"/>
      <c r="D3635" s="37"/>
      <c r="E3635" s="37"/>
      <c r="F3635" s="37"/>
      <c r="G3635" s="37"/>
      <c r="H3635" s="37"/>
      <c r="I3635" s="37"/>
      <c r="J3635" s="37"/>
    </row>
    <row r="3636" spans="1:10" x14ac:dyDescent="0.3">
      <c r="A3636" s="130"/>
      <c r="B3636" s="37"/>
      <c r="C3636" s="37"/>
      <c r="D3636" s="37"/>
      <c r="E3636" s="37"/>
      <c r="F3636" s="37"/>
      <c r="G3636" s="37"/>
      <c r="H3636" s="37"/>
      <c r="I3636" s="37"/>
      <c r="J3636" s="37"/>
    </row>
    <row r="3637" spans="1:10" x14ac:dyDescent="0.3">
      <c r="A3637" s="130"/>
      <c r="B3637" s="37"/>
      <c r="C3637" s="37"/>
      <c r="D3637" s="37"/>
      <c r="E3637" s="37"/>
      <c r="F3637" s="37"/>
      <c r="G3637" s="37"/>
      <c r="H3637" s="37"/>
      <c r="I3637" s="37"/>
      <c r="J3637" s="37"/>
    </row>
    <row r="3638" spans="1:10" x14ac:dyDescent="0.3">
      <c r="A3638" s="130"/>
      <c r="B3638" s="37"/>
      <c r="C3638" s="37"/>
      <c r="D3638" s="37"/>
      <c r="E3638" s="37"/>
      <c r="F3638" s="37"/>
      <c r="G3638" s="37"/>
      <c r="H3638" s="37"/>
      <c r="I3638" s="37"/>
      <c r="J3638" s="37"/>
    </row>
    <row r="3639" spans="1:10" x14ac:dyDescent="0.3">
      <c r="A3639" s="130"/>
      <c r="B3639" s="37"/>
      <c r="C3639" s="37"/>
      <c r="D3639" s="37"/>
      <c r="E3639" s="37"/>
      <c r="F3639" s="37"/>
      <c r="G3639" s="37"/>
      <c r="H3639" s="37"/>
      <c r="I3639" s="37"/>
      <c r="J3639" s="37"/>
    </row>
    <row r="3640" spans="1:10" x14ac:dyDescent="0.3">
      <c r="A3640" s="130"/>
      <c r="B3640" s="37"/>
      <c r="C3640" s="37"/>
      <c r="D3640" s="37"/>
      <c r="E3640" s="37"/>
      <c r="F3640" s="37"/>
      <c r="G3640" s="37"/>
      <c r="H3640" s="37"/>
      <c r="I3640" s="37"/>
      <c r="J3640" s="37"/>
    </row>
    <row r="3641" spans="1:10" x14ac:dyDescent="0.3">
      <c r="A3641" s="130"/>
      <c r="B3641" s="37"/>
      <c r="C3641" s="37"/>
      <c r="D3641" s="37"/>
      <c r="E3641" s="37"/>
      <c r="F3641" s="37"/>
      <c r="G3641" s="37"/>
      <c r="H3641" s="37"/>
      <c r="I3641" s="37"/>
      <c r="J3641" s="37"/>
    </row>
    <row r="3642" spans="1:10" x14ac:dyDescent="0.3">
      <c r="A3642" s="130"/>
      <c r="B3642" s="37"/>
      <c r="C3642" s="37"/>
      <c r="D3642" s="37"/>
      <c r="E3642" s="37"/>
      <c r="F3642" s="37"/>
      <c r="G3642" s="37"/>
      <c r="H3642" s="37"/>
      <c r="I3642" s="37"/>
      <c r="J3642" s="37"/>
    </row>
    <row r="3643" spans="1:10" x14ac:dyDescent="0.3">
      <c r="A3643" s="130"/>
      <c r="B3643" s="37"/>
      <c r="C3643" s="37"/>
      <c r="D3643" s="37"/>
      <c r="E3643" s="37"/>
      <c r="F3643" s="37"/>
      <c r="G3643" s="37"/>
      <c r="H3643" s="37"/>
      <c r="I3643" s="37"/>
      <c r="J3643" s="37"/>
    </row>
    <row r="3644" spans="1:10" x14ac:dyDescent="0.3">
      <c r="A3644" s="130"/>
      <c r="B3644" s="37"/>
      <c r="C3644" s="37"/>
      <c r="D3644" s="37"/>
      <c r="E3644" s="37"/>
      <c r="F3644" s="37"/>
      <c r="G3644" s="37"/>
      <c r="H3644" s="37"/>
      <c r="I3644" s="37"/>
      <c r="J3644" s="37"/>
    </row>
    <row r="3645" spans="1:10" x14ac:dyDescent="0.3">
      <c r="A3645" s="130"/>
      <c r="B3645" s="37"/>
      <c r="C3645" s="37"/>
      <c r="D3645" s="37"/>
      <c r="E3645" s="37"/>
      <c r="F3645" s="37"/>
      <c r="G3645" s="37"/>
      <c r="H3645" s="37"/>
      <c r="I3645" s="37"/>
      <c r="J3645" s="37"/>
    </row>
    <row r="3646" spans="1:10" x14ac:dyDescent="0.3">
      <c r="A3646" s="130"/>
      <c r="B3646" s="37"/>
      <c r="C3646" s="37"/>
      <c r="D3646" s="37"/>
      <c r="E3646" s="37"/>
      <c r="F3646" s="37"/>
      <c r="G3646" s="37"/>
      <c r="H3646" s="37"/>
      <c r="I3646" s="37"/>
      <c r="J3646" s="37"/>
    </row>
    <row r="3647" spans="1:10" x14ac:dyDescent="0.3">
      <c r="A3647" s="130"/>
      <c r="B3647" s="37"/>
      <c r="C3647" s="37"/>
      <c r="D3647" s="37"/>
      <c r="E3647" s="37"/>
      <c r="F3647" s="37"/>
      <c r="G3647" s="37"/>
      <c r="H3647" s="37"/>
      <c r="I3647" s="37"/>
      <c r="J3647" s="37"/>
    </row>
    <row r="3648" spans="1:10" x14ac:dyDescent="0.3">
      <c r="A3648" s="130"/>
      <c r="B3648" s="37"/>
      <c r="C3648" s="37"/>
      <c r="D3648" s="37"/>
      <c r="E3648" s="37"/>
      <c r="F3648" s="37"/>
      <c r="G3648" s="37"/>
      <c r="H3648" s="37"/>
      <c r="I3648" s="37"/>
      <c r="J3648" s="37"/>
    </row>
    <row r="3649" spans="1:10" x14ac:dyDescent="0.3">
      <c r="A3649" s="130"/>
      <c r="B3649" s="37"/>
      <c r="C3649" s="37"/>
      <c r="D3649" s="37"/>
      <c r="E3649" s="37"/>
      <c r="F3649" s="37"/>
      <c r="G3649" s="37"/>
      <c r="H3649" s="37"/>
      <c r="I3649" s="37"/>
      <c r="J3649" s="37"/>
    </row>
    <row r="3650" spans="1:10" x14ac:dyDescent="0.3">
      <c r="A3650" s="130"/>
      <c r="B3650" s="37"/>
      <c r="C3650" s="37"/>
      <c r="D3650" s="37"/>
      <c r="E3650" s="37"/>
      <c r="F3650" s="37"/>
      <c r="G3650" s="37"/>
      <c r="H3650" s="37"/>
      <c r="I3650" s="37"/>
      <c r="J3650" s="37"/>
    </row>
    <row r="3651" spans="1:10" x14ac:dyDescent="0.3">
      <c r="A3651" s="130"/>
      <c r="B3651" s="37"/>
      <c r="C3651" s="37"/>
      <c r="D3651" s="37"/>
      <c r="E3651" s="37"/>
      <c r="F3651" s="37"/>
      <c r="G3651" s="37"/>
      <c r="H3651" s="37"/>
      <c r="I3651" s="37"/>
      <c r="J3651" s="37"/>
    </row>
    <row r="3652" spans="1:10" x14ac:dyDescent="0.3">
      <c r="A3652" s="130"/>
      <c r="B3652" s="37"/>
      <c r="C3652" s="37"/>
      <c r="D3652" s="37"/>
      <c r="E3652" s="37"/>
      <c r="F3652" s="37"/>
      <c r="G3652" s="37"/>
      <c r="H3652" s="37"/>
      <c r="I3652" s="37"/>
      <c r="J3652" s="37"/>
    </row>
    <row r="3653" spans="1:10" x14ac:dyDescent="0.3">
      <c r="A3653" s="130"/>
      <c r="B3653" s="37"/>
      <c r="C3653" s="37"/>
      <c r="D3653" s="37"/>
      <c r="E3653" s="37"/>
      <c r="F3653" s="37"/>
      <c r="G3653" s="37"/>
      <c r="H3653" s="37"/>
      <c r="I3653" s="37"/>
      <c r="J3653" s="37"/>
    </row>
    <row r="3654" spans="1:10" x14ac:dyDescent="0.3">
      <c r="A3654" s="130"/>
      <c r="B3654" s="37"/>
      <c r="C3654" s="37"/>
      <c r="D3654" s="37"/>
      <c r="E3654" s="37"/>
      <c r="F3654" s="37"/>
      <c r="G3654" s="37"/>
      <c r="H3654" s="37"/>
      <c r="I3654" s="37"/>
      <c r="J3654" s="37"/>
    </row>
    <row r="3655" spans="1:10" x14ac:dyDescent="0.3">
      <c r="A3655" s="130"/>
      <c r="B3655" s="37"/>
      <c r="C3655" s="37"/>
      <c r="D3655" s="37"/>
      <c r="E3655" s="37"/>
      <c r="F3655" s="37"/>
      <c r="G3655" s="37"/>
      <c r="H3655" s="37"/>
      <c r="I3655" s="37"/>
      <c r="J3655" s="37"/>
    </row>
    <row r="3656" spans="1:10" x14ac:dyDescent="0.3">
      <c r="A3656" s="130"/>
      <c r="B3656" s="37"/>
      <c r="C3656" s="37"/>
      <c r="D3656" s="37"/>
      <c r="E3656" s="37"/>
      <c r="F3656" s="37"/>
      <c r="G3656" s="37"/>
      <c r="H3656" s="37"/>
      <c r="I3656" s="37"/>
      <c r="J3656" s="37"/>
    </row>
    <row r="3657" spans="1:10" x14ac:dyDescent="0.3">
      <c r="A3657" s="130"/>
      <c r="B3657" s="37"/>
      <c r="C3657" s="37"/>
      <c r="D3657" s="37"/>
      <c r="E3657" s="37"/>
      <c r="F3657" s="37"/>
      <c r="G3657" s="37"/>
      <c r="H3657" s="37"/>
      <c r="I3657" s="37"/>
      <c r="J3657" s="37"/>
    </row>
    <row r="3658" spans="1:10" x14ac:dyDescent="0.3">
      <c r="A3658" s="130"/>
      <c r="B3658" s="37"/>
      <c r="C3658" s="37"/>
      <c r="D3658" s="37"/>
      <c r="E3658" s="37"/>
      <c r="F3658" s="37"/>
      <c r="G3658" s="37"/>
      <c r="H3658" s="37"/>
      <c r="I3658" s="37"/>
      <c r="J3658" s="37"/>
    </row>
    <row r="3659" spans="1:10" x14ac:dyDescent="0.3">
      <c r="A3659" s="130"/>
      <c r="B3659" s="37"/>
      <c r="C3659" s="37"/>
      <c r="D3659" s="37"/>
      <c r="E3659" s="37"/>
      <c r="F3659" s="37"/>
      <c r="G3659" s="37"/>
      <c r="H3659" s="37"/>
      <c r="I3659" s="37"/>
      <c r="J3659" s="37"/>
    </row>
    <row r="3660" spans="1:10" x14ac:dyDescent="0.3">
      <c r="A3660" s="130"/>
      <c r="B3660" s="37"/>
      <c r="C3660" s="37"/>
      <c r="D3660" s="37"/>
      <c r="E3660" s="37"/>
      <c r="F3660" s="37"/>
      <c r="G3660" s="37"/>
      <c r="H3660" s="37"/>
      <c r="I3660" s="37"/>
      <c r="J3660" s="37"/>
    </row>
    <row r="3661" spans="1:10" x14ac:dyDescent="0.3">
      <c r="A3661" s="130"/>
      <c r="B3661" s="37"/>
      <c r="C3661" s="37"/>
      <c r="D3661" s="37"/>
      <c r="E3661" s="37"/>
      <c r="F3661" s="37"/>
      <c r="G3661" s="37"/>
      <c r="H3661" s="37"/>
      <c r="I3661" s="37"/>
      <c r="J3661" s="37"/>
    </row>
    <row r="3662" spans="1:10" x14ac:dyDescent="0.3">
      <c r="A3662" s="130"/>
      <c r="B3662" s="37"/>
      <c r="C3662" s="37"/>
      <c r="D3662" s="37"/>
      <c r="E3662" s="37"/>
      <c r="F3662" s="37"/>
      <c r="G3662" s="37"/>
      <c r="H3662" s="37"/>
      <c r="I3662" s="37"/>
      <c r="J3662" s="37"/>
    </row>
    <row r="3663" spans="1:10" x14ac:dyDescent="0.3">
      <c r="A3663" s="130"/>
      <c r="B3663" s="37"/>
      <c r="C3663" s="37"/>
      <c r="D3663" s="37"/>
      <c r="E3663" s="37"/>
      <c r="F3663" s="37"/>
      <c r="G3663" s="37"/>
      <c r="H3663" s="37"/>
      <c r="I3663" s="37"/>
      <c r="J3663" s="37"/>
    </row>
    <row r="3664" spans="1:10" x14ac:dyDescent="0.3">
      <c r="A3664" s="130"/>
      <c r="B3664" s="37"/>
      <c r="C3664" s="37"/>
      <c r="D3664" s="37"/>
      <c r="E3664" s="37"/>
      <c r="F3664" s="37"/>
      <c r="G3664" s="37"/>
      <c r="H3664" s="37"/>
      <c r="I3664" s="37"/>
      <c r="J3664" s="37"/>
    </row>
    <row r="3665" spans="1:10" x14ac:dyDescent="0.3">
      <c r="A3665" s="130"/>
      <c r="B3665" s="37"/>
      <c r="C3665" s="37"/>
      <c r="D3665" s="37"/>
      <c r="E3665" s="37"/>
      <c r="F3665" s="37"/>
      <c r="G3665" s="37"/>
      <c r="H3665" s="37"/>
      <c r="I3665" s="37"/>
      <c r="J3665" s="37"/>
    </row>
    <row r="3666" spans="1:10" x14ac:dyDescent="0.3">
      <c r="A3666" s="130"/>
      <c r="B3666" s="37"/>
      <c r="C3666" s="37"/>
      <c r="D3666" s="37"/>
      <c r="E3666" s="37"/>
      <c r="F3666" s="37"/>
      <c r="G3666" s="37"/>
      <c r="H3666" s="37"/>
      <c r="I3666" s="37"/>
      <c r="J3666" s="37"/>
    </row>
    <row r="3667" spans="1:10" x14ac:dyDescent="0.3">
      <c r="A3667" s="130"/>
      <c r="B3667" s="37"/>
      <c r="C3667" s="37"/>
      <c r="D3667" s="37"/>
      <c r="E3667" s="37"/>
      <c r="F3667" s="37"/>
      <c r="G3667" s="37"/>
      <c r="H3667" s="37"/>
      <c r="I3667" s="37"/>
      <c r="J3667" s="37"/>
    </row>
    <row r="3668" spans="1:10" x14ac:dyDescent="0.3">
      <c r="A3668" s="130"/>
      <c r="B3668" s="37"/>
      <c r="C3668" s="37"/>
      <c r="D3668" s="37"/>
      <c r="E3668" s="37"/>
      <c r="F3668" s="37"/>
      <c r="G3668" s="37"/>
      <c r="H3668" s="37"/>
      <c r="I3668" s="37"/>
      <c r="J3668" s="37"/>
    </row>
    <row r="3669" spans="1:10" x14ac:dyDescent="0.3">
      <c r="A3669" s="130"/>
      <c r="B3669" s="37"/>
      <c r="C3669" s="37"/>
      <c r="D3669" s="37"/>
      <c r="E3669" s="37"/>
      <c r="F3669" s="37"/>
      <c r="G3669" s="37"/>
      <c r="H3669" s="37"/>
      <c r="I3669" s="37"/>
      <c r="J3669" s="37"/>
    </row>
    <row r="3670" spans="1:10" x14ac:dyDescent="0.3">
      <c r="A3670" s="130"/>
      <c r="B3670" s="37"/>
      <c r="C3670" s="37"/>
      <c r="D3670" s="37"/>
      <c r="E3670" s="37"/>
      <c r="F3670" s="37"/>
      <c r="G3670" s="37"/>
      <c r="H3670" s="37"/>
      <c r="I3670" s="37"/>
      <c r="J3670" s="37"/>
    </row>
    <row r="3671" spans="1:10" x14ac:dyDescent="0.3">
      <c r="A3671" s="130"/>
      <c r="B3671" s="37"/>
      <c r="C3671" s="37"/>
      <c r="D3671" s="37"/>
      <c r="E3671" s="37"/>
      <c r="F3671" s="37"/>
      <c r="G3671" s="37"/>
      <c r="H3671" s="37"/>
      <c r="I3671" s="37"/>
      <c r="J3671" s="37"/>
    </row>
    <row r="3672" spans="1:10" x14ac:dyDescent="0.3">
      <c r="A3672" s="130"/>
      <c r="B3672" s="37"/>
      <c r="C3672" s="37"/>
      <c r="D3672" s="37"/>
      <c r="E3672" s="37"/>
      <c r="F3672" s="37"/>
      <c r="G3672" s="37"/>
      <c r="H3672" s="37"/>
      <c r="I3672" s="37"/>
      <c r="J3672" s="37"/>
    </row>
    <row r="3673" spans="1:10" x14ac:dyDescent="0.3">
      <c r="A3673" s="130"/>
      <c r="B3673" s="37"/>
      <c r="C3673" s="37"/>
      <c r="D3673" s="37"/>
      <c r="E3673" s="37"/>
      <c r="F3673" s="37"/>
      <c r="G3673" s="37"/>
      <c r="H3673" s="37"/>
      <c r="I3673" s="37"/>
      <c r="J3673" s="37"/>
    </row>
    <row r="3674" spans="1:10" x14ac:dyDescent="0.3">
      <c r="A3674" s="130"/>
      <c r="B3674" s="37"/>
      <c r="C3674" s="37"/>
      <c r="D3674" s="37"/>
      <c r="E3674" s="37"/>
      <c r="F3674" s="37"/>
      <c r="G3674" s="37"/>
      <c r="H3674" s="37"/>
      <c r="I3674" s="37"/>
      <c r="J3674" s="37"/>
    </row>
    <row r="3675" spans="1:10" x14ac:dyDescent="0.3">
      <c r="A3675" s="130"/>
      <c r="B3675" s="37"/>
      <c r="C3675" s="37"/>
      <c r="D3675" s="37"/>
      <c r="E3675" s="37"/>
      <c r="F3675" s="37"/>
      <c r="G3675" s="37"/>
      <c r="H3675" s="37"/>
      <c r="I3675" s="37"/>
      <c r="J3675" s="37"/>
    </row>
    <row r="3676" spans="1:10" x14ac:dyDescent="0.3">
      <c r="A3676" s="130"/>
      <c r="B3676" s="37"/>
      <c r="C3676" s="37"/>
      <c r="D3676" s="37"/>
      <c r="E3676" s="37"/>
      <c r="F3676" s="37"/>
      <c r="G3676" s="37"/>
      <c r="H3676" s="37"/>
      <c r="I3676" s="37"/>
      <c r="J3676" s="37"/>
    </row>
    <row r="3677" spans="1:10" x14ac:dyDescent="0.3">
      <c r="A3677" s="130"/>
      <c r="B3677" s="37"/>
      <c r="C3677" s="37"/>
      <c r="D3677" s="37"/>
      <c r="E3677" s="37"/>
      <c r="F3677" s="37"/>
      <c r="G3677" s="37"/>
      <c r="H3677" s="37"/>
      <c r="I3677" s="37"/>
      <c r="J3677" s="37"/>
    </row>
    <row r="3678" spans="1:10" x14ac:dyDescent="0.3">
      <c r="A3678" s="130"/>
      <c r="B3678" s="37"/>
      <c r="C3678" s="37"/>
      <c r="D3678" s="37"/>
      <c r="E3678" s="37"/>
      <c r="F3678" s="37"/>
      <c r="G3678" s="37"/>
      <c r="H3678" s="37"/>
      <c r="I3678" s="37"/>
      <c r="J3678" s="37"/>
    </row>
    <row r="3679" spans="1:10" x14ac:dyDescent="0.3">
      <c r="A3679" s="130"/>
      <c r="B3679" s="37"/>
      <c r="C3679" s="37"/>
      <c r="D3679" s="37"/>
      <c r="E3679" s="37"/>
      <c r="F3679" s="37"/>
      <c r="G3679" s="37"/>
      <c r="H3679" s="37"/>
      <c r="I3679" s="37"/>
      <c r="J3679" s="37"/>
    </row>
    <row r="3680" spans="1:10" x14ac:dyDescent="0.3">
      <c r="A3680" s="130"/>
      <c r="B3680" s="37"/>
      <c r="C3680" s="37"/>
      <c r="D3680" s="37"/>
      <c r="E3680" s="37"/>
      <c r="F3680" s="37"/>
      <c r="G3680" s="37"/>
      <c r="H3680" s="37"/>
      <c r="I3680" s="37"/>
      <c r="J3680" s="37"/>
    </row>
    <row r="3681" spans="1:10" x14ac:dyDescent="0.3">
      <c r="A3681" s="130"/>
      <c r="B3681" s="37"/>
      <c r="C3681" s="37"/>
      <c r="D3681" s="37"/>
      <c r="E3681" s="37"/>
      <c r="F3681" s="37"/>
      <c r="G3681" s="37"/>
      <c r="H3681" s="37"/>
      <c r="I3681" s="37"/>
      <c r="J3681" s="37"/>
    </row>
    <row r="3682" spans="1:10" x14ac:dyDescent="0.3">
      <c r="A3682" s="130"/>
      <c r="B3682" s="37"/>
      <c r="C3682" s="37"/>
      <c r="D3682" s="37"/>
      <c r="E3682" s="37"/>
      <c r="F3682" s="37"/>
      <c r="G3682" s="37"/>
      <c r="H3682" s="37"/>
      <c r="I3682" s="37"/>
      <c r="J3682" s="37"/>
    </row>
    <row r="3683" spans="1:10" x14ac:dyDescent="0.3">
      <c r="A3683" s="130"/>
      <c r="B3683" s="37"/>
      <c r="C3683" s="37"/>
      <c r="D3683" s="37"/>
      <c r="E3683" s="37"/>
      <c r="F3683" s="37"/>
      <c r="G3683" s="37"/>
      <c r="H3683" s="37"/>
      <c r="I3683" s="37"/>
      <c r="J3683" s="37"/>
    </row>
    <row r="3684" spans="1:10" x14ac:dyDescent="0.3">
      <c r="A3684" s="130"/>
      <c r="B3684" s="37"/>
      <c r="C3684" s="37"/>
      <c r="D3684" s="37"/>
      <c r="E3684" s="37"/>
      <c r="F3684" s="37"/>
      <c r="G3684" s="37"/>
      <c r="H3684" s="37"/>
      <c r="I3684" s="37"/>
      <c r="J3684" s="37"/>
    </row>
    <row r="3685" spans="1:10" x14ac:dyDescent="0.3">
      <c r="A3685" s="130"/>
      <c r="B3685" s="37"/>
      <c r="C3685" s="37"/>
      <c r="D3685" s="37"/>
      <c r="E3685" s="37"/>
      <c r="F3685" s="37"/>
      <c r="G3685" s="37"/>
      <c r="H3685" s="37"/>
      <c r="I3685" s="37"/>
      <c r="J3685" s="37"/>
    </row>
    <row r="3686" spans="1:10" x14ac:dyDescent="0.3">
      <c r="A3686" s="130"/>
      <c r="B3686" s="37"/>
      <c r="C3686" s="37"/>
      <c r="D3686" s="37"/>
      <c r="E3686" s="37"/>
      <c r="F3686" s="37"/>
      <c r="G3686" s="37"/>
      <c r="H3686" s="37"/>
      <c r="I3686" s="37"/>
      <c r="J3686" s="37"/>
    </row>
    <row r="3687" spans="1:10" x14ac:dyDescent="0.3">
      <c r="A3687" s="130"/>
      <c r="B3687" s="37"/>
      <c r="C3687" s="37"/>
      <c r="D3687" s="37"/>
      <c r="E3687" s="37"/>
      <c r="F3687" s="37"/>
      <c r="G3687" s="37"/>
      <c r="H3687" s="37"/>
      <c r="I3687" s="37"/>
      <c r="J3687" s="37"/>
    </row>
    <row r="3688" spans="1:10" x14ac:dyDescent="0.3">
      <c r="A3688" s="130"/>
      <c r="B3688" s="37"/>
      <c r="C3688" s="37"/>
      <c r="D3688" s="37"/>
      <c r="E3688" s="37"/>
      <c r="F3688" s="37"/>
      <c r="G3688" s="37"/>
      <c r="H3688" s="37"/>
      <c r="I3688" s="37"/>
      <c r="J3688" s="37"/>
    </row>
    <row r="3689" spans="1:10" x14ac:dyDescent="0.3">
      <c r="A3689" s="130"/>
      <c r="B3689" s="37"/>
      <c r="C3689" s="37"/>
      <c r="D3689" s="37"/>
      <c r="E3689" s="37"/>
      <c r="F3689" s="37"/>
      <c r="G3689" s="37"/>
      <c r="H3689" s="37"/>
      <c r="I3689" s="37"/>
      <c r="J3689" s="37"/>
    </row>
    <row r="3690" spans="1:10" x14ac:dyDescent="0.3">
      <c r="A3690" s="130"/>
      <c r="B3690" s="37"/>
      <c r="C3690" s="37"/>
      <c r="D3690" s="37"/>
      <c r="E3690" s="37"/>
      <c r="F3690" s="37"/>
      <c r="G3690" s="37"/>
      <c r="H3690" s="37"/>
      <c r="I3690" s="37"/>
      <c r="J3690" s="37"/>
    </row>
    <row r="3691" spans="1:10" x14ac:dyDescent="0.3">
      <c r="A3691" s="130"/>
      <c r="B3691" s="37"/>
      <c r="C3691" s="37"/>
      <c r="D3691" s="37"/>
      <c r="E3691" s="37"/>
      <c r="F3691" s="37"/>
      <c r="G3691" s="37"/>
      <c r="H3691" s="37"/>
      <c r="I3691" s="37"/>
      <c r="J3691" s="37"/>
    </row>
    <row r="3692" spans="1:10" x14ac:dyDescent="0.3">
      <c r="A3692" s="130"/>
      <c r="B3692" s="37"/>
      <c r="C3692" s="37"/>
      <c r="D3692" s="37"/>
      <c r="E3692" s="37"/>
      <c r="F3692" s="37"/>
      <c r="G3692" s="37"/>
      <c r="H3692" s="37"/>
      <c r="I3692" s="37"/>
      <c r="J3692" s="37"/>
    </row>
    <row r="3693" spans="1:10" x14ac:dyDescent="0.3">
      <c r="A3693" s="130"/>
      <c r="B3693" s="37"/>
      <c r="C3693" s="37"/>
      <c r="D3693" s="37"/>
      <c r="E3693" s="37"/>
      <c r="F3693" s="37"/>
      <c r="G3693" s="37"/>
      <c r="H3693" s="37"/>
      <c r="I3693" s="37"/>
      <c r="J3693" s="37"/>
    </row>
    <row r="3694" spans="1:10" x14ac:dyDescent="0.3">
      <c r="A3694" s="130"/>
      <c r="B3694" s="37"/>
      <c r="C3694" s="37"/>
      <c r="D3694" s="37"/>
      <c r="E3694" s="37"/>
      <c r="F3694" s="37"/>
      <c r="G3694" s="37"/>
      <c r="H3694" s="37"/>
      <c r="I3694" s="37"/>
      <c r="J3694" s="37"/>
    </row>
    <row r="3695" spans="1:10" x14ac:dyDescent="0.3">
      <c r="A3695" s="130"/>
      <c r="B3695" s="37"/>
      <c r="C3695" s="37"/>
      <c r="D3695" s="37"/>
      <c r="E3695" s="37"/>
      <c r="F3695" s="37"/>
      <c r="G3695" s="37"/>
      <c r="H3695" s="37"/>
      <c r="I3695" s="37"/>
      <c r="J3695" s="37"/>
    </row>
    <row r="3696" spans="1:10" x14ac:dyDescent="0.3">
      <c r="A3696" s="130"/>
      <c r="B3696" s="37"/>
      <c r="C3696" s="37"/>
      <c r="D3696" s="37"/>
      <c r="E3696" s="37"/>
      <c r="F3696" s="37"/>
      <c r="G3696" s="37"/>
      <c r="H3696" s="37"/>
      <c r="I3696" s="37"/>
      <c r="J3696" s="37"/>
    </row>
    <row r="3697" spans="1:10" x14ac:dyDescent="0.3">
      <c r="A3697" s="130"/>
      <c r="B3697" s="37"/>
      <c r="C3697" s="37"/>
      <c r="D3697" s="37"/>
      <c r="E3697" s="37"/>
      <c r="F3697" s="37"/>
      <c r="G3697" s="37"/>
      <c r="H3697" s="37"/>
      <c r="I3697" s="37"/>
      <c r="J3697" s="37"/>
    </row>
    <row r="3698" spans="1:10" x14ac:dyDescent="0.3">
      <c r="A3698" s="130"/>
      <c r="B3698" s="37"/>
      <c r="C3698" s="37"/>
      <c r="D3698" s="37"/>
      <c r="E3698" s="37"/>
      <c r="F3698" s="37"/>
      <c r="G3698" s="37"/>
      <c r="H3698" s="37"/>
      <c r="I3698" s="37"/>
      <c r="J3698" s="37"/>
    </row>
    <row r="3699" spans="1:10" x14ac:dyDescent="0.3">
      <c r="A3699" s="130"/>
      <c r="B3699" s="37"/>
      <c r="C3699" s="37"/>
      <c r="D3699" s="37"/>
      <c r="E3699" s="37"/>
      <c r="F3699" s="37"/>
      <c r="G3699" s="37"/>
      <c r="H3699" s="37"/>
      <c r="I3699" s="37"/>
      <c r="J3699" s="37"/>
    </row>
    <row r="3700" spans="1:10" x14ac:dyDescent="0.3">
      <c r="A3700" s="130"/>
      <c r="B3700" s="37"/>
      <c r="C3700" s="37"/>
      <c r="D3700" s="37"/>
      <c r="E3700" s="37"/>
      <c r="F3700" s="37"/>
      <c r="G3700" s="37"/>
      <c r="H3700" s="37"/>
      <c r="I3700" s="37"/>
      <c r="J3700" s="37"/>
    </row>
    <row r="3701" spans="1:10" x14ac:dyDescent="0.3">
      <c r="A3701" s="130"/>
      <c r="B3701" s="37"/>
      <c r="C3701" s="37"/>
      <c r="D3701" s="37"/>
      <c r="E3701" s="37"/>
      <c r="F3701" s="37"/>
      <c r="G3701" s="37"/>
      <c r="H3701" s="37"/>
      <c r="I3701" s="37"/>
      <c r="J3701" s="37"/>
    </row>
    <row r="3702" spans="1:10" x14ac:dyDescent="0.3">
      <c r="A3702" s="130"/>
      <c r="B3702" s="37"/>
      <c r="C3702" s="37"/>
      <c r="D3702" s="37"/>
      <c r="E3702" s="37"/>
      <c r="F3702" s="37"/>
      <c r="G3702" s="37"/>
      <c r="H3702" s="37"/>
      <c r="I3702" s="37"/>
      <c r="J3702" s="37"/>
    </row>
    <row r="3703" spans="1:10" x14ac:dyDescent="0.3">
      <c r="A3703" s="130"/>
      <c r="B3703" s="37"/>
      <c r="C3703" s="37"/>
      <c r="D3703" s="37"/>
      <c r="E3703" s="37"/>
      <c r="F3703" s="37"/>
      <c r="G3703" s="37"/>
      <c r="H3703" s="37"/>
      <c r="I3703" s="37"/>
      <c r="J3703" s="37"/>
    </row>
    <row r="3704" spans="1:10" x14ac:dyDescent="0.3">
      <c r="A3704" s="130"/>
      <c r="B3704" s="37"/>
      <c r="C3704" s="37"/>
      <c r="D3704" s="37"/>
      <c r="E3704" s="37"/>
      <c r="F3704" s="37"/>
      <c r="G3704" s="37"/>
      <c r="H3704" s="37"/>
      <c r="I3704" s="37"/>
      <c r="J3704" s="37"/>
    </row>
    <row r="3705" spans="1:10" x14ac:dyDescent="0.3">
      <c r="A3705" s="130"/>
      <c r="B3705" s="37"/>
      <c r="C3705" s="37"/>
      <c r="D3705" s="37"/>
      <c r="E3705" s="37"/>
      <c r="F3705" s="37"/>
      <c r="G3705" s="37"/>
      <c r="H3705" s="37"/>
      <c r="I3705" s="37"/>
      <c r="J3705" s="37"/>
    </row>
    <row r="3706" spans="1:10" x14ac:dyDescent="0.3">
      <c r="A3706" s="130"/>
      <c r="B3706" s="37"/>
      <c r="C3706" s="37"/>
      <c r="D3706" s="37"/>
      <c r="E3706" s="37"/>
      <c r="F3706" s="37"/>
      <c r="G3706" s="37"/>
      <c r="H3706" s="37"/>
      <c r="I3706" s="37"/>
      <c r="J3706" s="37"/>
    </row>
    <row r="3707" spans="1:10" x14ac:dyDescent="0.3">
      <c r="A3707" s="130"/>
      <c r="B3707" s="37"/>
      <c r="C3707" s="37"/>
      <c r="D3707" s="37"/>
      <c r="E3707" s="37"/>
      <c r="F3707" s="37"/>
      <c r="G3707" s="37"/>
      <c r="H3707" s="37"/>
      <c r="I3707" s="37"/>
      <c r="J3707" s="37"/>
    </row>
    <row r="3708" spans="1:10" x14ac:dyDescent="0.3">
      <c r="A3708" s="130"/>
      <c r="B3708" s="37"/>
      <c r="C3708" s="37"/>
      <c r="D3708" s="37"/>
      <c r="E3708" s="37"/>
      <c r="F3708" s="37"/>
      <c r="G3708" s="37"/>
      <c r="H3708" s="37"/>
      <c r="I3708" s="37"/>
      <c r="J3708" s="37"/>
    </row>
    <row r="3709" spans="1:10" x14ac:dyDescent="0.3">
      <c r="A3709" s="130"/>
      <c r="B3709" s="37"/>
      <c r="C3709" s="37"/>
      <c r="D3709" s="37"/>
      <c r="E3709" s="37"/>
      <c r="F3709" s="37"/>
      <c r="G3709" s="37"/>
      <c r="H3709" s="37"/>
      <c r="I3709" s="37"/>
      <c r="J3709" s="37"/>
    </row>
    <row r="3710" spans="1:10" x14ac:dyDescent="0.3">
      <c r="A3710" s="130"/>
      <c r="B3710" s="37"/>
      <c r="C3710" s="37"/>
      <c r="D3710" s="37"/>
      <c r="E3710" s="37"/>
      <c r="F3710" s="37"/>
      <c r="G3710" s="37"/>
      <c r="H3710" s="37"/>
      <c r="I3710" s="37"/>
      <c r="J3710" s="37"/>
    </row>
    <row r="3711" spans="1:10" x14ac:dyDescent="0.3">
      <c r="A3711" s="130"/>
      <c r="B3711" s="37"/>
      <c r="C3711" s="37"/>
      <c r="D3711" s="37"/>
      <c r="E3711" s="37"/>
      <c r="F3711" s="37"/>
      <c r="G3711" s="37"/>
      <c r="H3711" s="37"/>
      <c r="I3711" s="37"/>
      <c r="J3711" s="37"/>
    </row>
    <row r="3712" spans="1:10" x14ac:dyDescent="0.3">
      <c r="A3712" s="130"/>
      <c r="B3712" s="37"/>
      <c r="C3712" s="37"/>
      <c r="D3712" s="37"/>
      <c r="E3712" s="37"/>
      <c r="F3712" s="37"/>
      <c r="G3712" s="37"/>
      <c r="H3712" s="37"/>
      <c r="I3712" s="37"/>
      <c r="J3712" s="37"/>
    </row>
    <row r="3713" spans="1:10" x14ac:dyDescent="0.3">
      <c r="A3713" s="130"/>
      <c r="B3713" s="37"/>
      <c r="C3713" s="37"/>
      <c r="D3713" s="37"/>
      <c r="E3713" s="37"/>
      <c r="F3713" s="37"/>
      <c r="G3713" s="37"/>
      <c r="H3713" s="37"/>
      <c r="I3713" s="37"/>
      <c r="J3713" s="37"/>
    </row>
    <row r="3714" spans="1:10" x14ac:dyDescent="0.3">
      <c r="A3714" s="130"/>
      <c r="B3714" s="37"/>
      <c r="C3714" s="37"/>
      <c r="D3714" s="37"/>
      <c r="E3714" s="37"/>
      <c r="F3714" s="37"/>
      <c r="G3714" s="37"/>
      <c r="H3714" s="37"/>
      <c r="I3714" s="37"/>
      <c r="J3714" s="37"/>
    </row>
    <row r="3715" spans="1:10" x14ac:dyDescent="0.3">
      <c r="A3715" s="130"/>
      <c r="B3715" s="37"/>
      <c r="C3715" s="37"/>
      <c r="D3715" s="37"/>
      <c r="E3715" s="37"/>
      <c r="F3715" s="37"/>
      <c r="G3715" s="37"/>
      <c r="H3715" s="37"/>
      <c r="I3715" s="37"/>
      <c r="J3715" s="37"/>
    </row>
    <row r="3716" spans="1:10" x14ac:dyDescent="0.3">
      <c r="A3716" s="130"/>
      <c r="B3716" s="37"/>
      <c r="C3716" s="37"/>
      <c r="D3716" s="37"/>
      <c r="E3716" s="37"/>
      <c r="F3716" s="37"/>
      <c r="G3716" s="37"/>
      <c r="H3716" s="37"/>
      <c r="I3716" s="37"/>
      <c r="J3716" s="37"/>
    </row>
    <row r="3717" spans="1:10" x14ac:dyDescent="0.3">
      <c r="A3717" s="130"/>
      <c r="B3717" s="37"/>
      <c r="C3717" s="37"/>
      <c r="D3717" s="37"/>
      <c r="E3717" s="37"/>
      <c r="F3717" s="37"/>
      <c r="G3717" s="37"/>
      <c r="H3717" s="37"/>
      <c r="I3717" s="37"/>
      <c r="J3717" s="37"/>
    </row>
    <row r="3718" spans="1:10" x14ac:dyDescent="0.3">
      <c r="A3718" s="130"/>
      <c r="B3718" s="37"/>
      <c r="C3718" s="37"/>
      <c r="D3718" s="37"/>
      <c r="E3718" s="37"/>
      <c r="F3718" s="37"/>
      <c r="G3718" s="37"/>
      <c r="H3718" s="37"/>
      <c r="I3718" s="37"/>
      <c r="J3718" s="37"/>
    </row>
    <row r="3719" spans="1:10" x14ac:dyDescent="0.3">
      <c r="A3719" s="130"/>
      <c r="B3719" s="37"/>
      <c r="C3719" s="37"/>
      <c r="D3719" s="37"/>
      <c r="E3719" s="37"/>
      <c r="F3719" s="37"/>
      <c r="G3719" s="37"/>
      <c r="H3719" s="37"/>
      <c r="I3719" s="37"/>
      <c r="J3719" s="37"/>
    </row>
    <row r="3720" spans="1:10" x14ac:dyDescent="0.3">
      <c r="A3720" s="130"/>
      <c r="B3720" s="37"/>
      <c r="C3720" s="37"/>
      <c r="D3720" s="37"/>
      <c r="E3720" s="37"/>
      <c r="F3720" s="37"/>
      <c r="G3720" s="37"/>
      <c r="H3720" s="37"/>
      <c r="I3720" s="37"/>
      <c r="J3720" s="37"/>
    </row>
    <row r="3721" spans="1:10" x14ac:dyDescent="0.3">
      <c r="A3721" s="130"/>
      <c r="B3721" s="37"/>
      <c r="C3721" s="37"/>
      <c r="D3721" s="37"/>
      <c r="E3721" s="37"/>
      <c r="F3721" s="37"/>
      <c r="G3721" s="37"/>
      <c r="H3721" s="37"/>
      <c r="I3721" s="37"/>
      <c r="J3721" s="37"/>
    </row>
    <row r="3722" spans="1:10" x14ac:dyDescent="0.3">
      <c r="A3722" s="130"/>
      <c r="B3722" s="37"/>
      <c r="C3722" s="37"/>
      <c r="D3722" s="37"/>
      <c r="E3722" s="37"/>
      <c r="F3722" s="37"/>
      <c r="G3722" s="37"/>
      <c r="H3722" s="37"/>
      <c r="I3722" s="37"/>
      <c r="J3722" s="37"/>
    </row>
    <row r="3723" spans="1:10" x14ac:dyDescent="0.3">
      <c r="A3723" s="130"/>
      <c r="B3723" s="37"/>
      <c r="C3723" s="37"/>
      <c r="D3723" s="37"/>
      <c r="E3723" s="37"/>
      <c r="F3723" s="37"/>
      <c r="G3723" s="37"/>
      <c r="H3723" s="37"/>
      <c r="I3723" s="37"/>
      <c r="J3723" s="37"/>
    </row>
    <row r="3724" spans="1:10" x14ac:dyDescent="0.3">
      <c r="A3724" s="130"/>
      <c r="B3724" s="37"/>
      <c r="C3724" s="37"/>
      <c r="D3724" s="37"/>
      <c r="E3724" s="37"/>
      <c r="F3724" s="37"/>
      <c r="G3724" s="37"/>
      <c r="H3724" s="37"/>
      <c r="I3724" s="37"/>
      <c r="J3724" s="37"/>
    </row>
    <row r="3725" spans="1:10" x14ac:dyDescent="0.3">
      <c r="A3725" s="130"/>
      <c r="B3725" s="37"/>
      <c r="C3725" s="37"/>
      <c r="D3725" s="37"/>
      <c r="E3725" s="37"/>
      <c r="F3725" s="37"/>
      <c r="G3725" s="37"/>
      <c r="H3725" s="37"/>
      <c r="I3725" s="37"/>
      <c r="J3725" s="37"/>
    </row>
    <row r="3726" spans="1:10" x14ac:dyDescent="0.3">
      <c r="A3726" s="130"/>
      <c r="B3726" s="37"/>
      <c r="C3726" s="37"/>
      <c r="D3726" s="37"/>
      <c r="E3726" s="37"/>
      <c r="F3726" s="37"/>
      <c r="G3726" s="37"/>
      <c r="H3726" s="37"/>
      <c r="I3726" s="37"/>
      <c r="J3726" s="37"/>
    </row>
    <row r="3727" spans="1:10" x14ac:dyDescent="0.3">
      <c r="A3727" s="130"/>
      <c r="B3727" s="37"/>
      <c r="C3727" s="37"/>
      <c r="D3727" s="37"/>
      <c r="E3727" s="37"/>
      <c r="F3727" s="37"/>
      <c r="G3727" s="37"/>
      <c r="H3727" s="37"/>
      <c r="I3727" s="37"/>
      <c r="J3727" s="37"/>
    </row>
    <row r="3728" spans="1:10" x14ac:dyDescent="0.3">
      <c r="A3728" s="130"/>
      <c r="B3728" s="37"/>
      <c r="C3728" s="37"/>
      <c r="D3728" s="37"/>
      <c r="E3728" s="37"/>
      <c r="F3728" s="37"/>
      <c r="G3728" s="37"/>
      <c r="H3728" s="37"/>
      <c r="I3728" s="37"/>
      <c r="J3728" s="37"/>
    </row>
    <row r="3729" spans="1:10" x14ac:dyDescent="0.3">
      <c r="A3729" s="130"/>
      <c r="B3729" s="37"/>
      <c r="C3729" s="37"/>
      <c r="D3729" s="37"/>
      <c r="E3729" s="37"/>
      <c r="F3729" s="37"/>
      <c r="G3729" s="37"/>
      <c r="H3729" s="37"/>
      <c r="I3729" s="37"/>
      <c r="J3729" s="37"/>
    </row>
    <row r="3730" spans="1:10" x14ac:dyDescent="0.3">
      <c r="A3730" s="130"/>
      <c r="B3730" s="37"/>
      <c r="C3730" s="37"/>
      <c r="D3730" s="37"/>
      <c r="E3730" s="37"/>
      <c r="F3730" s="37"/>
      <c r="G3730" s="37"/>
      <c r="H3730" s="37"/>
      <c r="I3730" s="37"/>
      <c r="J3730" s="37"/>
    </row>
    <row r="3731" spans="1:10" x14ac:dyDescent="0.3">
      <c r="A3731" s="130"/>
      <c r="B3731" s="37"/>
      <c r="C3731" s="37"/>
      <c r="D3731" s="37"/>
      <c r="E3731" s="37"/>
      <c r="F3731" s="37"/>
      <c r="G3731" s="37"/>
      <c r="H3731" s="37"/>
      <c r="I3731" s="37"/>
      <c r="J3731" s="37"/>
    </row>
    <row r="3732" spans="1:10" x14ac:dyDescent="0.3">
      <c r="A3732" s="130"/>
      <c r="B3732" s="37"/>
      <c r="C3732" s="37"/>
      <c r="D3732" s="37"/>
      <c r="E3732" s="37"/>
      <c r="F3732" s="37"/>
      <c r="G3732" s="37"/>
      <c r="H3732" s="37"/>
      <c r="I3732" s="37"/>
      <c r="J3732" s="37"/>
    </row>
    <row r="3733" spans="1:10" x14ac:dyDescent="0.3">
      <c r="A3733" s="130"/>
      <c r="B3733" s="37"/>
      <c r="C3733" s="37"/>
      <c r="D3733" s="37"/>
      <c r="E3733" s="37"/>
      <c r="F3733" s="37"/>
      <c r="G3733" s="37"/>
      <c r="H3733" s="37"/>
      <c r="I3733" s="37"/>
      <c r="J3733" s="37"/>
    </row>
    <row r="3734" spans="1:10" x14ac:dyDescent="0.3">
      <c r="A3734" s="130"/>
      <c r="B3734" s="37"/>
      <c r="C3734" s="37"/>
      <c r="D3734" s="37"/>
      <c r="E3734" s="37"/>
      <c r="F3734" s="37"/>
      <c r="G3734" s="37"/>
      <c r="H3734" s="37"/>
      <c r="I3734" s="37"/>
      <c r="J3734" s="37"/>
    </row>
    <row r="3735" spans="1:10" x14ac:dyDescent="0.3">
      <c r="A3735" s="130"/>
      <c r="B3735" s="37"/>
      <c r="C3735" s="37"/>
      <c r="D3735" s="37"/>
      <c r="E3735" s="37"/>
      <c r="F3735" s="37"/>
      <c r="G3735" s="37"/>
      <c r="H3735" s="37"/>
      <c r="I3735" s="37"/>
      <c r="J3735" s="37"/>
    </row>
    <row r="3736" spans="1:10" x14ac:dyDescent="0.3">
      <c r="A3736" s="130"/>
      <c r="B3736" s="37"/>
      <c r="C3736" s="37"/>
      <c r="D3736" s="37"/>
      <c r="E3736" s="37"/>
      <c r="F3736" s="37"/>
      <c r="G3736" s="37"/>
      <c r="H3736" s="37"/>
      <c r="I3736" s="37"/>
      <c r="J3736" s="37"/>
    </row>
    <row r="3737" spans="1:10" x14ac:dyDescent="0.3">
      <c r="A3737" s="130"/>
      <c r="B3737" s="37"/>
      <c r="C3737" s="37"/>
      <c r="D3737" s="37"/>
      <c r="E3737" s="37"/>
      <c r="F3737" s="37"/>
      <c r="G3737" s="37"/>
      <c r="H3737" s="37"/>
      <c r="I3737" s="37"/>
      <c r="J3737" s="37"/>
    </row>
    <row r="3738" spans="1:10" x14ac:dyDescent="0.3">
      <c r="A3738" s="130"/>
      <c r="B3738" s="37"/>
      <c r="C3738" s="37"/>
      <c r="D3738" s="37"/>
      <c r="E3738" s="37"/>
      <c r="F3738" s="37"/>
      <c r="G3738" s="37"/>
      <c r="H3738" s="37"/>
      <c r="I3738" s="37"/>
      <c r="J3738" s="37"/>
    </row>
    <row r="3739" spans="1:10" x14ac:dyDescent="0.3">
      <c r="A3739" s="130"/>
      <c r="B3739" s="37"/>
      <c r="C3739" s="37"/>
      <c r="D3739" s="37"/>
      <c r="E3739" s="37"/>
      <c r="F3739" s="37"/>
      <c r="G3739" s="37"/>
      <c r="H3739" s="37"/>
      <c r="I3739" s="37"/>
      <c r="J3739" s="37"/>
    </row>
    <row r="3740" spans="1:10" x14ac:dyDescent="0.3">
      <c r="A3740" s="130"/>
      <c r="B3740" s="37"/>
      <c r="C3740" s="37"/>
      <c r="D3740" s="37"/>
      <c r="E3740" s="37"/>
      <c r="F3740" s="37"/>
      <c r="G3740" s="37"/>
      <c r="H3740" s="37"/>
      <c r="I3740" s="37"/>
      <c r="J3740" s="37"/>
    </row>
    <row r="3741" spans="1:10" x14ac:dyDescent="0.3">
      <c r="A3741" s="130"/>
      <c r="B3741" s="37"/>
      <c r="C3741" s="37"/>
      <c r="D3741" s="37"/>
      <c r="E3741" s="37"/>
      <c r="F3741" s="37"/>
      <c r="G3741" s="37"/>
      <c r="H3741" s="37"/>
      <c r="I3741" s="37"/>
      <c r="J3741" s="37"/>
    </row>
    <row r="3742" spans="1:10" x14ac:dyDescent="0.3">
      <c r="A3742" s="130"/>
      <c r="B3742" s="37"/>
      <c r="C3742" s="37"/>
      <c r="D3742" s="37"/>
      <c r="E3742" s="37"/>
      <c r="F3742" s="37"/>
      <c r="G3742" s="37"/>
      <c r="H3742" s="37"/>
      <c r="I3742" s="37"/>
      <c r="J3742" s="37"/>
    </row>
    <row r="3743" spans="1:10" x14ac:dyDescent="0.3">
      <c r="A3743" s="130"/>
      <c r="B3743" s="37"/>
      <c r="C3743" s="37"/>
      <c r="D3743" s="37"/>
      <c r="E3743" s="37"/>
      <c r="F3743" s="37"/>
      <c r="G3743" s="37"/>
      <c r="H3743" s="37"/>
      <c r="I3743" s="37"/>
      <c r="J3743" s="37"/>
    </row>
    <row r="3744" spans="1:10" x14ac:dyDescent="0.3">
      <c r="A3744" s="130"/>
      <c r="B3744" s="37"/>
      <c r="C3744" s="37"/>
      <c r="D3744" s="37"/>
      <c r="E3744" s="37"/>
      <c r="F3744" s="37"/>
      <c r="G3744" s="37"/>
      <c r="H3744" s="37"/>
      <c r="I3744" s="37"/>
      <c r="J3744" s="37"/>
    </row>
    <row r="3745" spans="1:10" x14ac:dyDescent="0.3">
      <c r="A3745" s="130"/>
      <c r="B3745" s="37"/>
      <c r="C3745" s="37"/>
      <c r="D3745" s="37"/>
      <c r="E3745" s="37"/>
      <c r="F3745" s="37"/>
      <c r="G3745" s="37"/>
      <c r="H3745" s="37"/>
      <c r="I3745" s="37"/>
      <c r="J3745" s="37"/>
    </row>
    <row r="3746" spans="1:10" x14ac:dyDescent="0.3">
      <c r="A3746" s="130"/>
      <c r="B3746" s="37"/>
      <c r="C3746" s="37"/>
      <c r="D3746" s="37"/>
      <c r="E3746" s="37"/>
      <c r="F3746" s="37"/>
      <c r="G3746" s="37"/>
      <c r="H3746" s="37"/>
      <c r="I3746" s="37"/>
      <c r="J3746" s="37"/>
    </row>
    <row r="3747" spans="1:10" x14ac:dyDescent="0.3">
      <c r="A3747" s="130"/>
      <c r="B3747" s="37"/>
      <c r="C3747" s="37"/>
      <c r="D3747" s="37"/>
      <c r="E3747" s="37"/>
      <c r="F3747" s="37"/>
      <c r="G3747" s="37"/>
      <c r="H3747" s="37"/>
      <c r="I3747" s="37"/>
      <c r="J3747" s="37"/>
    </row>
    <row r="3748" spans="1:10" x14ac:dyDescent="0.3">
      <c r="A3748" s="130"/>
      <c r="B3748" s="37"/>
      <c r="C3748" s="37"/>
      <c r="D3748" s="37"/>
      <c r="E3748" s="37"/>
      <c r="F3748" s="37"/>
      <c r="G3748" s="37"/>
      <c r="H3748" s="37"/>
      <c r="I3748" s="37"/>
      <c r="J3748" s="37"/>
    </row>
    <row r="3749" spans="1:10" x14ac:dyDescent="0.3">
      <c r="A3749" s="130"/>
      <c r="B3749" s="37"/>
      <c r="C3749" s="37"/>
      <c r="D3749" s="37"/>
      <c r="E3749" s="37"/>
      <c r="F3749" s="37"/>
      <c r="G3749" s="37"/>
      <c r="H3749" s="37"/>
      <c r="I3749" s="37"/>
      <c r="J3749" s="37"/>
    </row>
    <row r="3750" spans="1:10" x14ac:dyDescent="0.3">
      <c r="A3750" s="130"/>
      <c r="B3750" s="37"/>
      <c r="C3750" s="37"/>
      <c r="D3750" s="37"/>
      <c r="E3750" s="37"/>
      <c r="F3750" s="37"/>
      <c r="G3750" s="37"/>
      <c r="H3750" s="37"/>
      <c r="I3750" s="37"/>
      <c r="J3750" s="37"/>
    </row>
    <row r="3751" spans="1:10" x14ac:dyDescent="0.3">
      <c r="A3751" s="130"/>
      <c r="B3751" s="37"/>
      <c r="C3751" s="37"/>
      <c r="D3751" s="37"/>
      <c r="E3751" s="37"/>
      <c r="F3751" s="37"/>
      <c r="G3751" s="37"/>
      <c r="H3751" s="37"/>
      <c r="I3751" s="37"/>
      <c r="J3751" s="37"/>
    </row>
    <row r="3752" spans="1:10" x14ac:dyDescent="0.3">
      <c r="A3752" s="130"/>
      <c r="B3752" s="37"/>
      <c r="C3752" s="37"/>
      <c r="D3752" s="37"/>
      <c r="E3752" s="37"/>
      <c r="F3752" s="37"/>
      <c r="G3752" s="37"/>
      <c r="H3752" s="37"/>
      <c r="I3752" s="37"/>
      <c r="J3752" s="37"/>
    </row>
    <row r="3753" spans="1:10" x14ac:dyDescent="0.3">
      <c r="A3753" s="130"/>
      <c r="B3753" s="37"/>
      <c r="C3753" s="37"/>
      <c r="D3753" s="37"/>
      <c r="E3753" s="37"/>
      <c r="F3753" s="37"/>
      <c r="G3753" s="37"/>
      <c r="H3753" s="37"/>
      <c r="I3753" s="37"/>
      <c r="J3753" s="37"/>
    </row>
    <row r="3754" spans="1:10" x14ac:dyDescent="0.3">
      <c r="A3754" s="130"/>
      <c r="B3754" s="37"/>
      <c r="C3754" s="37"/>
      <c r="D3754" s="37"/>
      <c r="E3754" s="37"/>
      <c r="F3754" s="37"/>
      <c r="G3754" s="37"/>
      <c r="H3754" s="37"/>
      <c r="I3754" s="37"/>
      <c r="J3754" s="37"/>
    </row>
    <row r="3755" spans="1:10" x14ac:dyDescent="0.3">
      <c r="A3755" s="130"/>
      <c r="B3755" s="37"/>
      <c r="C3755" s="37"/>
      <c r="D3755" s="37"/>
      <c r="E3755" s="37"/>
      <c r="F3755" s="37"/>
      <c r="G3755" s="37"/>
      <c r="H3755" s="37"/>
      <c r="I3755" s="37"/>
      <c r="J3755" s="37"/>
    </row>
    <row r="3756" spans="1:10" x14ac:dyDescent="0.3">
      <c r="A3756" s="130"/>
      <c r="B3756" s="37"/>
      <c r="C3756" s="37"/>
      <c r="D3756" s="37"/>
      <c r="E3756" s="37"/>
      <c r="F3756" s="37"/>
      <c r="G3756" s="37"/>
      <c r="H3756" s="37"/>
      <c r="I3756" s="37"/>
      <c r="J3756" s="37"/>
    </row>
    <row r="3757" spans="1:10" x14ac:dyDescent="0.3">
      <c r="A3757" s="130"/>
      <c r="B3757" s="37"/>
      <c r="C3757" s="37"/>
      <c r="D3757" s="37"/>
      <c r="E3757" s="37"/>
      <c r="F3757" s="37"/>
      <c r="G3757" s="37"/>
      <c r="H3757" s="37"/>
      <c r="I3757" s="37"/>
      <c r="J3757" s="37"/>
    </row>
    <row r="3758" spans="1:10" x14ac:dyDescent="0.3">
      <c r="A3758" s="130"/>
      <c r="B3758" s="37"/>
      <c r="C3758" s="37"/>
      <c r="D3758" s="37"/>
      <c r="E3758" s="37"/>
      <c r="F3758" s="37"/>
      <c r="G3758" s="37"/>
      <c r="H3758" s="37"/>
      <c r="I3758" s="37"/>
      <c r="J3758" s="37"/>
    </row>
    <row r="3759" spans="1:10" x14ac:dyDescent="0.3">
      <c r="A3759" s="130"/>
      <c r="B3759" s="37"/>
      <c r="C3759" s="37"/>
      <c r="D3759" s="37"/>
      <c r="E3759" s="37"/>
      <c r="F3759" s="37"/>
      <c r="G3759" s="37"/>
      <c r="H3759" s="37"/>
      <c r="I3759" s="37"/>
      <c r="J3759" s="37"/>
    </row>
    <row r="3760" spans="1:10" x14ac:dyDescent="0.3">
      <c r="A3760" s="130"/>
      <c r="B3760" s="37"/>
      <c r="C3760" s="37"/>
      <c r="D3760" s="37"/>
      <c r="E3760" s="37"/>
      <c r="F3760" s="37"/>
      <c r="G3760" s="37"/>
      <c r="H3760" s="37"/>
      <c r="I3760" s="37"/>
      <c r="J3760" s="37"/>
    </row>
    <row r="3761" spans="1:10" x14ac:dyDescent="0.3">
      <c r="A3761" s="130"/>
      <c r="B3761" s="37"/>
      <c r="C3761" s="37"/>
      <c r="D3761" s="37"/>
      <c r="E3761" s="37"/>
      <c r="F3761" s="37"/>
      <c r="G3761" s="37"/>
      <c r="H3761" s="37"/>
      <c r="I3761" s="37"/>
      <c r="J3761" s="37"/>
    </row>
    <row r="3762" spans="1:10" x14ac:dyDescent="0.3">
      <c r="A3762" s="130"/>
      <c r="B3762" s="37"/>
      <c r="C3762" s="37"/>
      <c r="D3762" s="37"/>
      <c r="E3762" s="37"/>
      <c r="F3762" s="37"/>
      <c r="G3762" s="37"/>
      <c r="H3762" s="37"/>
      <c r="I3762" s="37"/>
      <c r="J3762" s="37"/>
    </row>
    <row r="3763" spans="1:10" x14ac:dyDescent="0.3">
      <c r="A3763" s="130"/>
      <c r="B3763" s="37"/>
      <c r="C3763" s="37"/>
      <c r="D3763" s="37"/>
      <c r="E3763" s="37"/>
      <c r="F3763" s="37"/>
      <c r="G3763" s="37"/>
      <c r="H3763" s="37"/>
      <c r="I3763" s="37"/>
      <c r="J3763" s="37"/>
    </row>
    <row r="3764" spans="1:10" x14ac:dyDescent="0.3">
      <c r="A3764" s="130"/>
      <c r="B3764" s="37"/>
      <c r="C3764" s="37"/>
      <c r="D3764" s="37"/>
      <c r="E3764" s="37"/>
      <c r="F3764" s="37"/>
      <c r="G3764" s="37"/>
      <c r="H3764" s="37"/>
      <c r="I3764" s="37"/>
      <c r="J3764" s="37"/>
    </row>
    <row r="3765" spans="1:10" x14ac:dyDescent="0.3">
      <c r="A3765" s="130"/>
      <c r="B3765" s="37"/>
      <c r="C3765" s="37"/>
      <c r="D3765" s="37"/>
      <c r="E3765" s="37"/>
      <c r="F3765" s="37"/>
      <c r="G3765" s="37"/>
      <c r="H3765" s="37"/>
      <c r="I3765" s="37"/>
      <c r="J3765" s="37"/>
    </row>
    <row r="3766" spans="1:10" x14ac:dyDescent="0.3">
      <c r="A3766" s="130"/>
      <c r="B3766" s="37"/>
      <c r="C3766" s="37"/>
      <c r="D3766" s="37"/>
      <c r="E3766" s="37"/>
      <c r="F3766" s="37"/>
      <c r="G3766" s="37"/>
      <c r="H3766" s="37"/>
      <c r="I3766" s="37"/>
      <c r="J3766" s="37"/>
    </row>
    <row r="3767" spans="1:10" x14ac:dyDescent="0.3">
      <c r="A3767" s="130"/>
      <c r="B3767" s="37"/>
      <c r="C3767" s="37"/>
      <c r="D3767" s="37"/>
      <c r="E3767" s="37"/>
      <c r="F3767" s="37"/>
      <c r="G3767" s="37"/>
      <c r="H3767" s="37"/>
      <c r="I3767" s="37"/>
      <c r="J3767" s="37"/>
    </row>
    <row r="3768" spans="1:10" x14ac:dyDescent="0.3">
      <c r="A3768" s="130"/>
      <c r="B3768" s="37"/>
      <c r="C3768" s="37"/>
      <c r="D3768" s="37"/>
      <c r="E3768" s="37"/>
      <c r="F3768" s="37"/>
      <c r="G3768" s="37"/>
      <c r="H3768" s="37"/>
      <c r="I3768" s="37"/>
      <c r="J3768" s="37"/>
    </row>
    <row r="3769" spans="1:10" x14ac:dyDescent="0.3">
      <c r="A3769" s="130"/>
      <c r="B3769" s="37"/>
      <c r="C3769" s="37"/>
      <c r="D3769" s="37"/>
      <c r="E3769" s="37"/>
      <c r="F3769" s="37"/>
      <c r="G3769" s="37"/>
      <c r="H3769" s="37"/>
      <c r="I3769" s="37"/>
      <c r="J3769" s="37"/>
    </row>
    <row r="3770" spans="1:10" x14ac:dyDescent="0.3">
      <c r="A3770" s="130"/>
      <c r="B3770" s="37"/>
      <c r="C3770" s="37"/>
      <c r="D3770" s="37"/>
      <c r="E3770" s="37"/>
      <c r="F3770" s="37"/>
      <c r="G3770" s="37"/>
      <c r="H3770" s="37"/>
      <c r="I3770" s="37"/>
      <c r="J3770" s="37"/>
    </row>
    <row r="3771" spans="1:10" x14ac:dyDescent="0.3">
      <c r="A3771" s="130"/>
      <c r="B3771" s="37"/>
      <c r="C3771" s="37"/>
      <c r="D3771" s="37"/>
      <c r="E3771" s="37"/>
      <c r="F3771" s="37"/>
      <c r="G3771" s="37"/>
      <c r="H3771" s="37"/>
      <c r="I3771" s="37"/>
      <c r="J3771" s="37"/>
    </row>
    <row r="3772" spans="1:10" x14ac:dyDescent="0.3">
      <c r="A3772" s="130"/>
      <c r="B3772" s="37"/>
      <c r="C3772" s="37"/>
      <c r="D3772" s="37"/>
      <c r="E3772" s="37"/>
      <c r="F3772" s="37"/>
      <c r="G3772" s="37"/>
      <c r="H3772" s="37"/>
      <c r="I3772" s="37"/>
      <c r="J3772" s="37"/>
    </row>
    <row r="3773" spans="1:10" x14ac:dyDescent="0.3">
      <c r="A3773" s="130"/>
      <c r="B3773" s="37"/>
      <c r="C3773" s="37"/>
      <c r="D3773" s="37"/>
      <c r="E3773" s="37"/>
      <c r="F3773" s="37"/>
      <c r="G3773" s="37"/>
      <c r="H3773" s="37"/>
      <c r="I3773" s="37"/>
      <c r="J3773" s="37"/>
    </row>
    <row r="3774" spans="1:10" x14ac:dyDescent="0.3">
      <c r="A3774" s="130"/>
      <c r="B3774" s="37"/>
      <c r="C3774" s="37"/>
      <c r="D3774" s="37"/>
      <c r="E3774" s="37"/>
      <c r="F3774" s="37"/>
      <c r="G3774" s="37"/>
      <c r="H3774" s="37"/>
      <c r="I3774" s="37"/>
      <c r="J3774" s="37"/>
    </row>
    <row r="3775" spans="1:10" x14ac:dyDescent="0.3">
      <c r="A3775" s="130"/>
      <c r="B3775" s="37"/>
      <c r="C3775" s="37"/>
      <c r="D3775" s="37"/>
      <c r="E3775" s="37"/>
      <c r="F3775" s="37"/>
      <c r="G3775" s="37"/>
      <c r="H3775" s="37"/>
      <c r="I3775" s="37"/>
      <c r="J3775" s="37"/>
    </row>
    <row r="3776" spans="1:10" x14ac:dyDescent="0.3">
      <c r="A3776" s="130"/>
      <c r="B3776" s="37"/>
      <c r="C3776" s="37"/>
      <c r="D3776" s="37"/>
      <c r="E3776" s="37"/>
      <c r="F3776" s="37"/>
      <c r="G3776" s="37"/>
      <c r="H3776" s="37"/>
      <c r="I3776" s="37"/>
      <c r="J3776" s="37"/>
    </row>
    <row r="3777" spans="1:10" x14ac:dyDescent="0.3">
      <c r="A3777" s="130"/>
      <c r="B3777" s="37"/>
      <c r="C3777" s="37"/>
      <c r="D3777" s="37"/>
      <c r="E3777" s="37"/>
      <c r="F3777" s="37"/>
      <c r="G3777" s="37"/>
      <c r="H3777" s="37"/>
      <c r="I3777" s="37"/>
      <c r="J3777" s="37"/>
    </row>
    <row r="3778" spans="1:10" x14ac:dyDescent="0.3">
      <c r="A3778" s="130"/>
      <c r="B3778" s="37"/>
      <c r="C3778" s="37"/>
      <c r="D3778" s="37"/>
      <c r="E3778" s="37"/>
      <c r="F3778" s="37"/>
      <c r="G3778" s="37"/>
      <c r="H3778" s="37"/>
      <c r="I3778" s="37"/>
      <c r="J3778" s="37"/>
    </row>
    <row r="3779" spans="1:10" x14ac:dyDescent="0.3">
      <c r="A3779" s="130"/>
      <c r="B3779" s="37"/>
      <c r="C3779" s="37"/>
      <c r="D3779" s="37"/>
      <c r="E3779" s="37"/>
      <c r="F3779" s="37"/>
      <c r="G3779" s="37"/>
      <c r="H3779" s="37"/>
      <c r="I3779" s="37"/>
      <c r="J3779" s="37"/>
    </row>
    <row r="3780" spans="1:10" x14ac:dyDescent="0.3">
      <c r="A3780" s="130"/>
      <c r="B3780" s="37"/>
      <c r="C3780" s="37"/>
      <c r="D3780" s="37"/>
      <c r="E3780" s="37"/>
      <c r="F3780" s="37"/>
      <c r="G3780" s="37"/>
      <c r="H3780" s="37"/>
      <c r="I3780" s="37"/>
      <c r="J3780" s="37"/>
    </row>
    <row r="3781" spans="1:10" x14ac:dyDescent="0.3">
      <c r="A3781" s="130"/>
      <c r="B3781" s="37"/>
      <c r="C3781" s="37"/>
      <c r="D3781" s="37"/>
      <c r="E3781" s="37"/>
      <c r="F3781" s="37"/>
      <c r="G3781" s="37"/>
      <c r="H3781" s="37"/>
      <c r="I3781" s="37"/>
      <c r="J3781" s="37"/>
    </row>
    <row r="3782" spans="1:10" x14ac:dyDescent="0.3">
      <c r="A3782" s="130"/>
      <c r="B3782" s="37"/>
      <c r="C3782" s="37"/>
      <c r="D3782" s="37"/>
      <c r="E3782" s="37"/>
      <c r="F3782" s="37"/>
      <c r="G3782" s="37"/>
      <c r="H3782" s="37"/>
      <c r="I3782" s="37"/>
      <c r="J3782" s="37"/>
    </row>
    <row r="3783" spans="1:10" x14ac:dyDescent="0.3">
      <c r="A3783" s="130"/>
      <c r="B3783" s="37"/>
      <c r="C3783" s="37"/>
      <c r="D3783" s="37"/>
      <c r="E3783" s="37"/>
      <c r="F3783" s="37"/>
      <c r="G3783" s="37"/>
      <c r="H3783" s="37"/>
      <c r="I3783" s="37"/>
      <c r="J3783" s="37"/>
    </row>
    <row r="3784" spans="1:10" x14ac:dyDescent="0.3">
      <c r="A3784" s="130"/>
      <c r="B3784" s="37"/>
      <c r="C3784" s="37"/>
      <c r="D3784" s="37"/>
      <c r="E3784" s="37"/>
      <c r="F3784" s="37"/>
      <c r="G3784" s="37"/>
      <c r="H3784" s="37"/>
      <c r="I3784" s="37"/>
      <c r="J3784" s="37"/>
    </row>
    <row r="3785" spans="1:10" x14ac:dyDescent="0.3">
      <c r="A3785" s="130"/>
      <c r="B3785" s="37"/>
      <c r="C3785" s="37"/>
      <c r="D3785" s="37"/>
      <c r="E3785" s="37"/>
      <c r="F3785" s="37"/>
      <c r="G3785" s="37"/>
      <c r="H3785" s="37"/>
      <c r="I3785" s="37"/>
      <c r="J3785" s="37"/>
    </row>
    <row r="3786" spans="1:10" x14ac:dyDescent="0.3">
      <c r="A3786" s="130"/>
      <c r="B3786" s="37"/>
      <c r="C3786" s="37"/>
      <c r="D3786" s="37"/>
      <c r="E3786" s="37"/>
      <c r="F3786" s="37"/>
      <c r="G3786" s="37"/>
      <c r="H3786" s="37"/>
      <c r="I3786" s="37"/>
      <c r="J3786" s="37"/>
    </row>
    <row r="3787" spans="1:10" x14ac:dyDescent="0.3">
      <c r="A3787" s="130"/>
      <c r="B3787" s="37"/>
      <c r="C3787" s="37"/>
      <c r="D3787" s="37"/>
      <c r="E3787" s="37"/>
      <c r="F3787" s="37"/>
      <c r="G3787" s="37"/>
      <c r="H3787" s="37"/>
      <c r="I3787" s="37"/>
      <c r="J3787" s="37"/>
    </row>
    <row r="3788" spans="1:10" x14ac:dyDescent="0.3">
      <c r="A3788" s="130"/>
      <c r="B3788" s="37"/>
      <c r="C3788" s="37"/>
      <c r="D3788" s="37"/>
      <c r="E3788" s="37"/>
      <c r="F3788" s="37"/>
      <c r="G3788" s="37"/>
      <c r="H3788" s="37"/>
      <c r="I3788" s="37"/>
      <c r="J3788" s="37"/>
    </row>
    <row r="3789" spans="1:10" x14ac:dyDescent="0.3">
      <c r="A3789" s="130"/>
      <c r="B3789" s="37"/>
      <c r="C3789" s="37"/>
      <c r="D3789" s="37"/>
      <c r="E3789" s="37"/>
      <c r="F3789" s="37"/>
      <c r="G3789" s="37"/>
      <c r="H3789" s="37"/>
      <c r="I3789" s="37"/>
      <c r="J3789" s="37"/>
    </row>
    <row r="3790" spans="1:10" x14ac:dyDescent="0.3">
      <c r="A3790" s="130"/>
      <c r="B3790" s="37"/>
      <c r="C3790" s="37"/>
      <c r="D3790" s="37"/>
      <c r="E3790" s="37"/>
      <c r="F3790" s="37"/>
      <c r="G3790" s="37"/>
      <c r="H3790" s="37"/>
      <c r="I3790" s="37"/>
      <c r="J3790" s="37"/>
    </row>
    <row r="3791" spans="1:10" x14ac:dyDescent="0.3">
      <c r="A3791" s="130"/>
      <c r="B3791" s="37"/>
      <c r="C3791" s="37"/>
      <c r="D3791" s="37"/>
      <c r="E3791" s="37"/>
      <c r="F3791" s="37"/>
      <c r="G3791" s="37"/>
      <c r="H3791" s="37"/>
      <c r="I3791" s="37"/>
      <c r="J3791" s="37"/>
    </row>
    <row r="3792" spans="1:10" x14ac:dyDescent="0.3">
      <c r="A3792" s="130"/>
      <c r="B3792" s="37"/>
      <c r="C3792" s="37"/>
      <c r="D3792" s="37"/>
      <c r="E3792" s="37"/>
      <c r="F3792" s="37"/>
      <c r="G3792" s="37"/>
      <c r="H3792" s="37"/>
      <c r="I3792" s="37"/>
      <c r="J3792" s="37"/>
    </row>
    <row r="3793" spans="1:10" x14ac:dyDescent="0.3">
      <c r="A3793" s="130"/>
      <c r="B3793" s="37"/>
      <c r="C3793" s="37"/>
      <c r="D3793" s="37"/>
      <c r="E3793" s="37"/>
      <c r="F3793" s="37"/>
      <c r="G3793" s="37"/>
      <c r="H3793" s="37"/>
      <c r="I3793" s="37"/>
      <c r="J3793" s="37"/>
    </row>
    <row r="3794" spans="1:10" x14ac:dyDescent="0.3">
      <c r="A3794" s="130"/>
      <c r="B3794" s="37"/>
      <c r="C3794" s="37"/>
      <c r="D3794" s="37"/>
      <c r="E3794" s="37"/>
      <c r="F3794" s="37"/>
      <c r="G3794" s="37"/>
      <c r="H3794" s="37"/>
      <c r="I3794" s="37"/>
      <c r="J3794" s="37"/>
    </row>
    <row r="3795" spans="1:10" x14ac:dyDescent="0.3">
      <c r="A3795" s="130"/>
      <c r="B3795" s="37"/>
      <c r="C3795" s="37"/>
      <c r="D3795" s="37"/>
      <c r="E3795" s="37"/>
      <c r="F3795" s="37"/>
      <c r="G3795" s="37"/>
      <c r="H3795" s="37"/>
      <c r="I3795" s="37"/>
      <c r="J3795" s="37"/>
    </row>
    <row r="3796" spans="1:10" x14ac:dyDescent="0.3">
      <c r="A3796" s="130"/>
      <c r="B3796" s="37"/>
      <c r="C3796" s="37"/>
      <c r="D3796" s="37"/>
      <c r="E3796" s="37"/>
      <c r="F3796" s="37"/>
      <c r="G3796" s="37"/>
      <c r="H3796" s="37"/>
      <c r="I3796" s="37"/>
      <c r="J3796" s="37"/>
    </row>
    <row r="3797" spans="1:10" x14ac:dyDescent="0.3">
      <c r="A3797" s="130"/>
      <c r="B3797" s="37"/>
      <c r="C3797" s="37"/>
      <c r="D3797" s="37"/>
      <c r="E3797" s="37"/>
      <c r="F3797" s="37"/>
      <c r="G3797" s="37"/>
      <c r="H3797" s="37"/>
      <c r="I3797" s="37"/>
      <c r="J3797" s="37"/>
    </row>
    <row r="3798" spans="1:10" x14ac:dyDescent="0.3">
      <c r="A3798" s="130"/>
      <c r="B3798" s="37"/>
      <c r="C3798" s="37"/>
      <c r="D3798" s="37"/>
      <c r="E3798" s="37"/>
      <c r="F3798" s="37"/>
      <c r="G3798" s="37"/>
      <c r="H3798" s="37"/>
      <c r="I3798" s="37"/>
      <c r="J3798" s="37"/>
    </row>
    <row r="3799" spans="1:10" x14ac:dyDescent="0.3">
      <c r="A3799" s="130"/>
      <c r="B3799" s="37"/>
      <c r="C3799" s="37"/>
      <c r="D3799" s="37"/>
      <c r="E3799" s="37"/>
      <c r="F3799" s="37"/>
      <c r="G3799" s="37"/>
      <c r="H3799" s="37"/>
      <c r="I3799" s="37"/>
      <c r="J3799" s="37"/>
    </row>
    <row r="3800" spans="1:10" x14ac:dyDescent="0.3">
      <c r="A3800" s="130"/>
      <c r="B3800" s="37"/>
      <c r="C3800" s="37"/>
      <c r="D3800" s="37"/>
      <c r="E3800" s="37"/>
      <c r="F3800" s="37"/>
      <c r="G3800" s="37"/>
      <c r="H3800" s="37"/>
      <c r="I3800" s="37"/>
      <c r="J3800" s="37"/>
    </row>
    <row r="3801" spans="1:10" x14ac:dyDescent="0.3">
      <c r="A3801" s="130"/>
      <c r="B3801" s="37"/>
      <c r="C3801" s="37"/>
      <c r="D3801" s="37"/>
      <c r="E3801" s="37"/>
      <c r="F3801" s="37"/>
      <c r="G3801" s="37"/>
      <c r="H3801" s="37"/>
      <c r="I3801" s="37"/>
      <c r="J3801" s="37"/>
    </row>
    <row r="3802" spans="1:10" x14ac:dyDescent="0.3">
      <c r="A3802" s="130"/>
      <c r="B3802" s="37"/>
      <c r="C3802" s="37"/>
      <c r="D3802" s="37"/>
      <c r="E3802" s="37"/>
      <c r="F3802" s="37"/>
      <c r="G3802" s="37"/>
      <c r="H3802" s="37"/>
      <c r="I3802" s="37"/>
      <c r="J3802" s="37"/>
    </row>
    <row r="3803" spans="1:10" x14ac:dyDescent="0.3">
      <c r="A3803" s="130"/>
      <c r="B3803" s="37"/>
      <c r="C3803" s="37"/>
      <c r="D3803" s="37"/>
      <c r="E3803" s="37"/>
      <c r="F3803" s="37"/>
      <c r="G3803" s="37"/>
      <c r="H3803" s="37"/>
      <c r="I3803" s="37"/>
      <c r="J3803" s="37"/>
    </row>
    <row r="3804" spans="1:10" x14ac:dyDescent="0.3">
      <c r="A3804" s="130"/>
      <c r="B3804" s="37"/>
      <c r="C3804" s="37"/>
      <c r="D3804" s="37"/>
      <c r="E3804" s="37"/>
      <c r="F3804" s="37"/>
      <c r="G3804" s="37"/>
      <c r="H3804" s="37"/>
      <c r="I3804" s="37"/>
      <c r="J3804" s="37"/>
    </row>
    <row r="3805" spans="1:10" x14ac:dyDescent="0.3">
      <c r="A3805" s="130"/>
      <c r="B3805" s="37"/>
      <c r="C3805" s="37"/>
      <c r="D3805" s="37"/>
      <c r="E3805" s="37"/>
      <c r="F3805" s="37"/>
      <c r="G3805" s="37"/>
      <c r="H3805" s="37"/>
      <c r="I3805" s="37"/>
      <c r="J3805" s="37"/>
    </row>
    <row r="3806" spans="1:10" x14ac:dyDescent="0.3">
      <c r="A3806" s="130"/>
      <c r="B3806" s="37"/>
      <c r="C3806" s="37"/>
      <c r="D3806" s="37"/>
      <c r="E3806" s="37"/>
      <c r="F3806" s="37"/>
      <c r="G3806" s="37"/>
      <c r="H3806" s="37"/>
      <c r="I3806" s="37"/>
      <c r="J3806" s="37"/>
    </row>
    <row r="3807" spans="1:10" x14ac:dyDescent="0.3">
      <c r="A3807" s="130"/>
      <c r="B3807" s="37"/>
      <c r="C3807" s="37"/>
      <c r="D3807" s="37"/>
      <c r="E3807" s="37"/>
      <c r="F3807" s="37"/>
      <c r="G3807" s="37"/>
      <c r="H3807" s="37"/>
      <c r="I3807" s="37"/>
      <c r="J3807" s="37"/>
    </row>
    <row r="3808" spans="1:10" x14ac:dyDescent="0.3">
      <c r="A3808" s="130"/>
      <c r="B3808" s="37"/>
      <c r="C3808" s="37"/>
      <c r="D3808" s="37"/>
      <c r="E3808" s="37"/>
      <c r="F3808" s="37"/>
      <c r="G3808" s="37"/>
      <c r="H3808" s="37"/>
      <c r="I3808" s="37"/>
      <c r="J3808" s="37"/>
    </row>
    <row r="3809" spans="1:10" x14ac:dyDescent="0.3">
      <c r="A3809" s="130"/>
      <c r="B3809" s="37"/>
      <c r="C3809" s="37"/>
      <c r="D3809" s="37"/>
      <c r="E3809" s="37"/>
      <c r="F3809" s="37"/>
      <c r="G3809" s="37"/>
      <c r="H3809" s="37"/>
      <c r="I3809" s="37"/>
      <c r="J3809" s="37"/>
    </row>
    <row r="3810" spans="1:10" x14ac:dyDescent="0.3">
      <c r="A3810" s="130"/>
      <c r="B3810" s="37"/>
      <c r="C3810" s="37"/>
      <c r="D3810" s="37"/>
      <c r="E3810" s="37"/>
      <c r="F3810" s="37"/>
      <c r="G3810" s="37"/>
      <c r="H3810" s="37"/>
      <c r="I3810" s="37"/>
      <c r="J3810" s="37"/>
    </row>
    <row r="3811" spans="1:10" x14ac:dyDescent="0.3">
      <c r="A3811" s="130"/>
      <c r="B3811" s="37"/>
      <c r="C3811" s="37"/>
      <c r="D3811" s="37"/>
      <c r="E3811" s="37"/>
      <c r="F3811" s="37"/>
      <c r="G3811" s="37"/>
      <c r="H3811" s="37"/>
      <c r="I3811" s="37"/>
      <c r="J3811" s="37"/>
    </row>
    <row r="3812" spans="1:10" x14ac:dyDescent="0.3">
      <c r="A3812" s="130"/>
      <c r="B3812" s="37"/>
      <c r="C3812" s="37"/>
      <c r="D3812" s="37"/>
      <c r="E3812" s="37"/>
      <c r="F3812" s="37"/>
      <c r="G3812" s="37"/>
      <c r="H3812" s="37"/>
      <c r="I3812" s="37"/>
      <c r="J3812" s="37"/>
    </row>
    <row r="3813" spans="1:10" x14ac:dyDescent="0.3">
      <c r="A3813" s="130"/>
      <c r="B3813" s="37"/>
      <c r="C3813" s="37"/>
      <c r="D3813" s="37"/>
      <c r="E3813" s="37"/>
      <c r="F3813" s="37"/>
      <c r="G3813" s="37"/>
      <c r="H3813" s="37"/>
      <c r="I3813" s="37"/>
      <c r="J3813" s="37"/>
    </row>
    <row r="3814" spans="1:10" x14ac:dyDescent="0.3">
      <c r="A3814" s="130"/>
      <c r="B3814" s="37"/>
      <c r="C3814" s="37"/>
      <c r="D3814" s="37"/>
      <c r="E3814" s="37"/>
      <c r="F3814" s="37"/>
      <c r="G3814" s="37"/>
      <c r="H3814" s="37"/>
      <c r="I3814" s="37"/>
      <c r="J3814" s="37"/>
    </row>
    <row r="3815" spans="1:10" x14ac:dyDescent="0.3">
      <c r="A3815" s="130"/>
      <c r="B3815" s="37"/>
      <c r="C3815" s="37"/>
      <c r="D3815" s="37"/>
      <c r="E3815" s="37"/>
      <c r="F3815" s="37"/>
      <c r="G3815" s="37"/>
      <c r="H3815" s="37"/>
      <c r="I3815" s="37"/>
      <c r="J3815" s="37"/>
    </row>
    <row r="3816" spans="1:10" x14ac:dyDescent="0.3">
      <c r="A3816" s="130"/>
      <c r="B3816" s="37"/>
      <c r="C3816" s="37"/>
      <c r="D3816" s="37"/>
      <c r="E3816" s="37"/>
      <c r="F3816" s="37"/>
      <c r="G3816" s="37"/>
      <c r="H3816" s="37"/>
      <c r="I3816" s="37"/>
      <c r="J3816" s="37"/>
    </row>
    <row r="3817" spans="1:10" x14ac:dyDescent="0.3">
      <c r="A3817" s="130"/>
      <c r="B3817" s="37"/>
      <c r="C3817" s="37"/>
      <c r="D3817" s="37"/>
      <c r="E3817" s="37"/>
      <c r="F3817" s="37"/>
      <c r="G3817" s="37"/>
      <c r="H3817" s="37"/>
      <c r="I3817" s="37"/>
      <c r="J3817" s="37"/>
    </row>
    <row r="3818" spans="1:10" x14ac:dyDescent="0.3">
      <c r="A3818" s="130"/>
      <c r="B3818" s="37"/>
      <c r="C3818" s="37"/>
      <c r="D3818" s="37"/>
      <c r="E3818" s="37"/>
      <c r="F3818" s="37"/>
      <c r="G3818" s="37"/>
      <c r="H3818" s="37"/>
      <c r="I3818" s="37"/>
      <c r="J3818" s="37"/>
    </row>
    <row r="3819" spans="1:10" x14ac:dyDescent="0.3">
      <c r="A3819" s="130"/>
      <c r="B3819" s="37"/>
      <c r="C3819" s="37"/>
      <c r="D3819" s="37"/>
      <c r="E3819" s="37"/>
      <c r="F3819" s="37"/>
      <c r="G3819" s="37"/>
      <c r="H3819" s="37"/>
      <c r="I3819" s="37"/>
      <c r="J3819" s="37"/>
    </row>
    <row r="3820" spans="1:10" x14ac:dyDescent="0.3">
      <c r="A3820" s="130"/>
      <c r="B3820" s="37"/>
      <c r="C3820" s="37"/>
      <c r="D3820" s="37"/>
      <c r="E3820" s="37"/>
      <c r="F3820" s="37"/>
      <c r="G3820" s="37"/>
      <c r="H3820" s="37"/>
      <c r="I3820" s="37"/>
      <c r="J3820" s="37"/>
    </row>
    <row r="3821" spans="1:10" x14ac:dyDescent="0.3">
      <c r="A3821" s="130"/>
      <c r="B3821" s="37"/>
      <c r="C3821" s="37"/>
      <c r="D3821" s="37"/>
      <c r="E3821" s="37"/>
      <c r="F3821" s="37"/>
      <c r="G3821" s="37"/>
      <c r="H3821" s="37"/>
      <c r="I3821" s="37"/>
      <c r="J3821" s="37"/>
    </row>
    <row r="3822" spans="1:10" x14ac:dyDescent="0.3">
      <c r="A3822" s="130"/>
      <c r="B3822" s="37"/>
      <c r="C3822" s="37"/>
      <c r="D3822" s="37"/>
      <c r="E3822" s="37"/>
      <c r="F3822" s="37"/>
      <c r="G3822" s="37"/>
      <c r="H3822" s="37"/>
      <c r="I3822" s="37"/>
      <c r="J3822" s="37"/>
    </row>
    <row r="3823" spans="1:10" x14ac:dyDescent="0.3">
      <c r="A3823" s="130"/>
      <c r="B3823" s="37"/>
      <c r="C3823" s="37"/>
      <c r="D3823" s="37"/>
      <c r="E3823" s="37"/>
      <c r="F3823" s="37"/>
      <c r="G3823" s="37"/>
      <c r="H3823" s="37"/>
      <c r="I3823" s="37"/>
      <c r="J3823" s="37"/>
    </row>
    <row r="3824" spans="1:10" x14ac:dyDescent="0.3">
      <c r="A3824" s="130"/>
      <c r="B3824" s="37"/>
      <c r="C3824" s="37"/>
      <c r="D3824" s="37"/>
      <c r="E3824" s="37"/>
      <c r="F3824" s="37"/>
      <c r="G3824" s="37"/>
      <c r="H3824" s="37"/>
      <c r="I3824" s="37"/>
      <c r="J3824" s="37"/>
    </row>
    <row r="3825" spans="1:10" x14ac:dyDescent="0.3">
      <c r="A3825" s="130"/>
      <c r="B3825" s="37"/>
      <c r="C3825" s="37"/>
      <c r="D3825" s="37"/>
      <c r="E3825" s="37"/>
      <c r="F3825" s="37"/>
      <c r="G3825" s="37"/>
      <c r="H3825" s="37"/>
      <c r="I3825" s="37"/>
      <c r="J3825" s="37"/>
    </row>
    <row r="3826" spans="1:10" x14ac:dyDescent="0.3">
      <c r="A3826" s="130"/>
      <c r="B3826" s="37"/>
      <c r="C3826" s="37"/>
      <c r="D3826" s="37"/>
      <c r="E3826" s="37"/>
      <c r="F3826" s="37"/>
      <c r="G3826" s="37"/>
      <c r="H3826" s="37"/>
      <c r="I3826" s="37"/>
      <c r="J3826" s="37"/>
    </row>
    <row r="3827" spans="1:10" x14ac:dyDescent="0.3">
      <c r="A3827" s="130"/>
      <c r="B3827" s="37"/>
      <c r="C3827" s="37"/>
      <c r="D3827" s="37"/>
      <c r="E3827" s="37"/>
      <c r="F3827" s="37"/>
      <c r="G3827" s="37"/>
      <c r="H3827" s="37"/>
      <c r="I3827" s="37"/>
      <c r="J3827" s="37"/>
    </row>
    <row r="3828" spans="1:10" x14ac:dyDescent="0.3">
      <c r="A3828" s="130"/>
      <c r="B3828" s="37"/>
      <c r="C3828" s="37"/>
      <c r="D3828" s="37"/>
      <c r="E3828" s="37"/>
      <c r="F3828" s="37"/>
      <c r="G3828" s="37"/>
      <c r="H3828" s="37"/>
      <c r="I3828" s="37"/>
      <c r="J3828" s="37"/>
    </row>
    <row r="3829" spans="1:10" x14ac:dyDescent="0.3">
      <c r="A3829" s="130"/>
      <c r="B3829" s="37"/>
      <c r="C3829" s="37"/>
      <c r="D3829" s="37"/>
      <c r="E3829" s="37"/>
      <c r="F3829" s="37"/>
      <c r="G3829" s="37"/>
      <c r="H3829" s="37"/>
      <c r="I3829" s="37"/>
      <c r="J3829" s="37"/>
    </row>
    <row r="3830" spans="1:10" x14ac:dyDescent="0.3">
      <c r="A3830" s="130"/>
      <c r="B3830" s="37"/>
      <c r="C3830" s="37"/>
      <c r="D3830" s="37"/>
      <c r="E3830" s="37"/>
      <c r="F3830" s="37"/>
      <c r="G3830" s="37"/>
      <c r="H3830" s="37"/>
      <c r="I3830" s="37"/>
      <c r="J3830" s="37"/>
    </row>
    <row r="3831" spans="1:10" x14ac:dyDescent="0.3">
      <c r="A3831" s="130"/>
      <c r="B3831" s="37"/>
      <c r="C3831" s="37"/>
      <c r="D3831" s="37"/>
      <c r="E3831" s="37"/>
      <c r="F3831" s="37"/>
      <c r="G3831" s="37"/>
      <c r="H3831" s="37"/>
      <c r="I3831" s="37"/>
      <c r="J3831" s="37"/>
    </row>
    <row r="3832" spans="1:10" x14ac:dyDescent="0.3">
      <c r="A3832" s="130"/>
      <c r="B3832" s="37"/>
      <c r="C3832" s="37"/>
      <c r="D3832" s="37"/>
      <c r="E3832" s="37"/>
      <c r="F3832" s="37"/>
      <c r="G3832" s="37"/>
      <c r="H3832" s="37"/>
      <c r="I3832" s="37"/>
      <c r="J3832" s="37"/>
    </row>
    <row r="3833" spans="1:10" x14ac:dyDescent="0.3">
      <c r="A3833" s="130"/>
      <c r="B3833" s="37"/>
      <c r="C3833" s="37"/>
      <c r="D3833" s="37"/>
      <c r="E3833" s="37"/>
      <c r="F3833" s="37"/>
      <c r="G3833" s="37"/>
      <c r="H3833" s="37"/>
      <c r="I3833" s="37"/>
      <c r="J3833" s="37"/>
    </row>
    <row r="3834" spans="1:10" x14ac:dyDescent="0.3">
      <c r="A3834" s="130"/>
      <c r="B3834" s="37"/>
      <c r="C3834" s="37"/>
      <c r="D3834" s="37"/>
      <c r="E3834" s="37"/>
      <c r="F3834" s="37"/>
      <c r="G3834" s="37"/>
      <c r="H3834" s="37"/>
      <c r="I3834" s="37"/>
      <c r="J3834" s="37"/>
    </row>
    <row r="3835" spans="1:10" x14ac:dyDescent="0.3">
      <c r="A3835" s="130"/>
      <c r="B3835" s="37"/>
      <c r="C3835" s="37"/>
      <c r="D3835" s="37"/>
      <c r="E3835" s="37"/>
      <c r="F3835" s="37"/>
      <c r="G3835" s="37"/>
      <c r="H3835" s="37"/>
      <c r="I3835" s="37"/>
      <c r="J3835" s="37"/>
    </row>
    <row r="3836" spans="1:10" x14ac:dyDescent="0.3">
      <c r="A3836" s="130"/>
      <c r="B3836" s="37"/>
      <c r="C3836" s="37"/>
      <c r="D3836" s="37"/>
      <c r="E3836" s="37"/>
      <c r="F3836" s="37"/>
      <c r="G3836" s="37"/>
      <c r="H3836" s="37"/>
      <c r="I3836" s="37"/>
      <c r="J3836" s="37"/>
    </row>
    <row r="3837" spans="1:10" x14ac:dyDescent="0.3">
      <c r="A3837" s="130"/>
      <c r="B3837" s="37"/>
      <c r="C3837" s="37"/>
      <c r="D3837" s="37"/>
      <c r="E3837" s="37"/>
      <c r="F3837" s="37"/>
      <c r="G3837" s="37"/>
      <c r="H3837" s="37"/>
      <c r="I3837" s="37"/>
      <c r="J3837" s="37"/>
    </row>
    <row r="3838" spans="1:10" x14ac:dyDescent="0.3">
      <c r="A3838" s="130"/>
      <c r="B3838" s="37"/>
      <c r="C3838" s="37"/>
      <c r="D3838" s="37"/>
      <c r="E3838" s="37"/>
      <c r="F3838" s="37"/>
      <c r="G3838" s="37"/>
      <c r="H3838" s="37"/>
      <c r="I3838" s="37"/>
      <c r="J3838" s="37"/>
    </row>
    <row r="3839" spans="1:10" x14ac:dyDescent="0.3">
      <c r="A3839" s="130"/>
      <c r="B3839" s="37"/>
      <c r="C3839" s="37"/>
      <c r="D3839" s="37"/>
      <c r="E3839" s="37"/>
      <c r="F3839" s="37"/>
      <c r="G3839" s="37"/>
      <c r="H3839" s="37"/>
      <c r="I3839" s="37"/>
      <c r="J3839" s="37"/>
    </row>
    <row r="3840" spans="1:10" x14ac:dyDescent="0.3">
      <c r="A3840" s="130"/>
      <c r="B3840" s="37"/>
      <c r="C3840" s="37"/>
      <c r="D3840" s="37"/>
      <c r="E3840" s="37"/>
      <c r="F3840" s="37"/>
      <c r="G3840" s="37"/>
      <c r="H3840" s="37"/>
      <c r="I3840" s="37"/>
      <c r="J3840" s="37"/>
    </row>
    <row r="3841" spans="1:10" x14ac:dyDescent="0.3">
      <c r="A3841" s="130"/>
      <c r="B3841" s="37"/>
      <c r="C3841" s="37"/>
      <c r="D3841" s="37"/>
      <c r="E3841" s="37"/>
      <c r="F3841" s="37"/>
      <c r="G3841" s="37"/>
      <c r="H3841" s="37"/>
      <c r="I3841" s="37"/>
      <c r="J3841" s="37"/>
    </row>
    <row r="3842" spans="1:10" x14ac:dyDescent="0.3">
      <c r="A3842" s="130"/>
      <c r="B3842" s="37"/>
      <c r="C3842" s="37"/>
      <c r="D3842" s="37"/>
      <c r="E3842" s="37"/>
      <c r="F3842" s="37"/>
      <c r="G3842" s="37"/>
      <c r="H3842" s="37"/>
      <c r="I3842" s="37"/>
      <c r="J3842" s="37"/>
    </row>
    <row r="3843" spans="1:10" x14ac:dyDescent="0.3">
      <c r="A3843" s="130"/>
      <c r="B3843" s="37"/>
      <c r="C3843" s="37"/>
      <c r="D3843" s="37"/>
      <c r="E3843" s="37"/>
      <c r="F3843" s="37"/>
      <c r="G3843" s="37"/>
      <c r="H3843" s="37"/>
      <c r="I3843" s="37"/>
      <c r="J3843" s="37"/>
    </row>
    <row r="3844" spans="1:10" x14ac:dyDescent="0.3">
      <c r="A3844" s="130"/>
      <c r="B3844" s="37"/>
      <c r="C3844" s="37"/>
      <c r="D3844" s="37"/>
      <c r="E3844" s="37"/>
      <c r="F3844" s="37"/>
      <c r="G3844" s="37"/>
      <c r="H3844" s="37"/>
      <c r="I3844" s="37"/>
      <c r="J3844" s="37"/>
    </row>
    <row r="3845" spans="1:10" x14ac:dyDescent="0.3">
      <c r="A3845" s="130"/>
      <c r="B3845" s="37"/>
      <c r="C3845" s="37"/>
      <c r="D3845" s="37"/>
      <c r="E3845" s="37"/>
      <c r="F3845" s="37"/>
      <c r="G3845" s="37"/>
      <c r="H3845" s="37"/>
      <c r="I3845" s="37"/>
      <c r="J3845" s="37"/>
    </row>
    <row r="3846" spans="1:10" x14ac:dyDescent="0.3">
      <c r="A3846" s="130"/>
      <c r="B3846" s="37"/>
      <c r="C3846" s="37"/>
      <c r="D3846" s="37"/>
      <c r="E3846" s="37"/>
      <c r="F3846" s="37"/>
      <c r="G3846" s="37"/>
      <c r="H3846" s="37"/>
      <c r="I3846" s="37"/>
      <c r="J3846" s="37"/>
    </row>
    <row r="3847" spans="1:10" x14ac:dyDescent="0.3">
      <c r="A3847" s="130"/>
      <c r="B3847" s="37"/>
      <c r="C3847" s="37"/>
      <c r="D3847" s="37"/>
      <c r="E3847" s="37"/>
      <c r="F3847" s="37"/>
      <c r="G3847" s="37"/>
      <c r="H3847" s="37"/>
      <c r="I3847" s="37"/>
      <c r="J3847" s="37"/>
    </row>
    <row r="3848" spans="1:10" x14ac:dyDescent="0.3">
      <c r="A3848" s="130"/>
      <c r="B3848" s="37"/>
      <c r="C3848" s="37"/>
      <c r="D3848" s="37"/>
      <c r="E3848" s="37"/>
      <c r="F3848" s="37"/>
      <c r="G3848" s="37"/>
      <c r="H3848" s="37"/>
      <c r="I3848" s="37"/>
      <c r="J3848" s="37"/>
    </row>
    <row r="3849" spans="1:10" x14ac:dyDescent="0.3">
      <c r="A3849" s="130"/>
      <c r="B3849" s="37"/>
      <c r="C3849" s="37"/>
      <c r="D3849" s="37"/>
      <c r="E3849" s="37"/>
      <c r="F3849" s="37"/>
      <c r="G3849" s="37"/>
      <c r="H3849" s="37"/>
      <c r="I3849" s="37"/>
      <c r="J3849" s="37"/>
    </row>
    <row r="3850" spans="1:10" x14ac:dyDescent="0.3">
      <c r="A3850" s="130"/>
      <c r="B3850" s="37"/>
      <c r="C3850" s="37"/>
      <c r="D3850" s="37"/>
      <c r="E3850" s="37"/>
      <c r="F3850" s="37"/>
      <c r="G3850" s="37"/>
      <c r="H3850" s="37"/>
      <c r="I3850" s="37"/>
      <c r="J3850" s="37"/>
    </row>
    <row r="3851" spans="1:10" x14ac:dyDescent="0.3">
      <c r="A3851" s="130"/>
      <c r="B3851" s="37"/>
      <c r="C3851" s="37"/>
      <c r="D3851" s="37"/>
      <c r="E3851" s="37"/>
      <c r="F3851" s="37"/>
      <c r="G3851" s="37"/>
      <c r="H3851" s="37"/>
      <c r="I3851" s="37"/>
      <c r="J3851" s="37"/>
    </row>
    <row r="3852" spans="1:10" x14ac:dyDescent="0.3">
      <c r="A3852" s="130"/>
      <c r="B3852" s="37"/>
      <c r="C3852" s="37"/>
      <c r="D3852" s="37"/>
      <c r="E3852" s="37"/>
      <c r="F3852" s="37"/>
      <c r="G3852" s="37"/>
      <c r="H3852" s="37"/>
      <c r="I3852" s="37"/>
      <c r="J3852" s="37"/>
    </row>
    <row r="3853" spans="1:10" x14ac:dyDescent="0.3">
      <c r="A3853" s="130"/>
      <c r="B3853" s="37"/>
      <c r="C3853" s="37"/>
      <c r="D3853" s="37"/>
      <c r="E3853" s="37"/>
      <c r="F3853" s="37"/>
      <c r="G3853" s="37"/>
      <c r="H3853" s="37"/>
      <c r="I3853" s="37"/>
      <c r="J3853" s="37"/>
    </row>
    <row r="3854" spans="1:10" x14ac:dyDescent="0.3">
      <c r="A3854" s="130"/>
      <c r="B3854" s="37"/>
      <c r="C3854" s="37"/>
      <c r="D3854" s="37"/>
      <c r="E3854" s="37"/>
      <c r="F3854" s="37"/>
      <c r="G3854" s="37"/>
      <c r="H3854" s="37"/>
      <c r="I3854" s="37"/>
      <c r="J3854" s="37"/>
    </row>
    <row r="3855" spans="1:10" x14ac:dyDescent="0.3">
      <c r="A3855" s="130"/>
      <c r="B3855" s="37"/>
      <c r="C3855" s="37"/>
      <c r="D3855" s="37"/>
      <c r="E3855" s="37"/>
      <c r="F3855" s="37"/>
      <c r="G3855" s="37"/>
      <c r="H3855" s="37"/>
      <c r="I3855" s="37"/>
      <c r="J3855" s="37"/>
    </row>
    <row r="3856" spans="1:10" x14ac:dyDescent="0.3">
      <c r="A3856" s="130"/>
      <c r="B3856" s="37"/>
      <c r="C3856" s="37"/>
      <c r="D3856" s="37"/>
      <c r="E3856" s="37"/>
      <c r="F3856" s="37"/>
      <c r="G3856" s="37"/>
      <c r="H3856" s="37"/>
      <c r="I3856" s="37"/>
      <c r="J3856" s="37"/>
    </row>
    <row r="3857" spans="1:10" x14ac:dyDescent="0.3">
      <c r="A3857" s="130"/>
      <c r="B3857" s="37"/>
      <c r="C3857" s="37"/>
      <c r="D3857" s="37"/>
      <c r="E3857" s="37"/>
      <c r="F3857" s="37"/>
      <c r="G3857" s="37"/>
      <c r="H3857" s="37"/>
      <c r="I3857" s="37"/>
      <c r="J3857" s="37"/>
    </row>
    <row r="3858" spans="1:10" x14ac:dyDescent="0.3">
      <c r="A3858" s="130"/>
      <c r="B3858" s="37"/>
      <c r="C3858" s="37"/>
      <c r="D3858" s="37"/>
      <c r="E3858" s="37"/>
      <c r="F3858" s="37"/>
      <c r="G3858" s="37"/>
      <c r="H3858" s="37"/>
      <c r="I3858" s="37"/>
      <c r="J3858" s="37"/>
    </row>
    <row r="3859" spans="1:10" x14ac:dyDescent="0.3">
      <c r="A3859" s="130"/>
      <c r="B3859" s="37"/>
      <c r="C3859" s="37"/>
      <c r="D3859" s="37"/>
      <c r="E3859" s="37"/>
      <c r="F3859" s="37"/>
      <c r="G3859" s="37"/>
      <c r="H3859" s="37"/>
      <c r="I3859" s="37"/>
      <c r="J3859" s="37"/>
    </row>
    <row r="3860" spans="1:10" x14ac:dyDescent="0.3">
      <c r="A3860" s="130"/>
      <c r="B3860" s="37"/>
      <c r="C3860" s="37"/>
      <c r="D3860" s="37"/>
      <c r="E3860" s="37"/>
      <c r="F3860" s="37"/>
      <c r="G3860" s="37"/>
      <c r="H3860" s="37"/>
      <c r="I3860" s="37"/>
      <c r="J3860" s="37"/>
    </row>
    <row r="3861" spans="1:10" x14ac:dyDescent="0.3">
      <c r="A3861" s="130"/>
      <c r="B3861" s="37"/>
      <c r="C3861" s="37"/>
      <c r="D3861" s="37"/>
      <c r="E3861" s="37"/>
      <c r="F3861" s="37"/>
      <c r="G3861" s="37"/>
      <c r="H3861" s="37"/>
      <c r="I3861" s="37"/>
      <c r="J3861" s="37"/>
    </row>
    <row r="3862" spans="1:10" x14ac:dyDescent="0.3">
      <c r="A3862" s="130"/>
      <c r="B3862" s="37"/>
      <c r="C3862" s="37"/>
      <c r="D3862" s="37"/>
      <c r="E3862" s="37"/>
      <c r="F3862" s="37"/>
      <c r="G3862" s="37"/>
      <c r="H3862" s="37"/>
      <c r="I3862" s="37"/>
      <c r="J3862" s="37"/>
    </row>
    <row r="3863" spans="1:10" x14ac:dyDescent="0.3">
      <c r="A3863" s="130"/>
      <c r="B3863" s="37"/>
      <c r="C3863" s="37"/>
      <c r="D3863" s="37"/>
      <c r="E3863" s="37"/>
      <c r="F3863" s="37"/>
      <c r="G3863" s="37"/>
      <c r="H3863" s="37"/>
      <c r="I3863" s="37"/>
      <c r="J3863" s="37"/>
    </row>
    <row r="3864" spans="1:10" x14ac:dyDescent="0.3">
      <c r="A3864" s="130"/>
      <c r="B3864" s="37"/>
      <c r="C3864" s="37"/>
      <c r="D3864" s="37"/>
      <c r="E3864" s="37"/>
      <c r="F3864" s="37"/>
      <c r="G3864" s="37"/>
      <c r="H3864" s="37"/>
      <c r="I3864" s="37"/>
      <c r="J3864" s="37"/>
    </row>
    <row r="3865" spans="1:10" x14ac:dyDescent="0.3">
      <c r="A3865" s="130"/>
      <c r="B3865" s="37"/>
      <c r="C3865" s="37"/>
      <c r="D3865" s="37"/>
      <c r="E3865" s="37"/>
      <c r="F3865" s="37"/>
      <c r="G3865" s="37"/>
      <c r="H3865" s="37"/>
      <c r="I3865" s="37"/>
      <c r="J3865" s="37"/>
    </row>
    <row r="3866" spans="1:10" x14ac:dyDescent="0.3">
      <c r="A3866" s="130"/>
      <c r="B3866" s="37"/>
      <c r="C3866" s="37"/>
      <c r="D3866" s="37"/>
      <c r="E3866" s="37"/>
      <c r="F3866" s="37"/>
      <c r="G3866" s="37"/>
      <c r="H3866" s="37"/>
      <c r="I3866" s="37"/>
      <c r="J3866" s="37"/>
    </row>
    <row r="3867" spans="1:10" x14ac:dyDescent="0.3">
      <c r="A3867" s="130"/>
      <c r="B3867" s="37"/>
      <c r="C3867" s="37"/>
      <c r="D3867" s="37"/>
      <c r="E3867" s="37"/>
      <c r="F3867" s="37"/>
      <c r="G3867" s="37"/>
      <c r="H3867" s="37"/>
      <c r="I3867" s="37"/>
      <c r="J3867" s="37"/>
    </row>
    <row r="3868" spans="1:10" x14ac:dyDescent="0.3">
      <c r="A3868" s="130"/>
      <c r="B3868" s="37"/>
      <c r="C3868" s="37"/>
      <c r="D3868" s="37"/>
      <c r="E3868" s="37"/>
      <c r="F3868" s="37"/>
      <c r="G3868" s="37"/>
      <c r="H3868" s="37"/>
      <c r="I3868" s="37"/>
      <c r="J3868" s="37"/>
    </row>
    <row r="3869" spans="1:10" x14ac:dyDescent="0.3">
      <c r="A3869" s="130"/>
      <c r="B3869" s="37"/>
      <c r="C3869" s="37"/>
      <c r="D3869" s="37"/>
      <c r="E3869" s="37"/>
      <c r="F3869" s="37"/>
      <c r="G3869" s="37"/>
      <c r="H3869" s="37"/>
      <c r="I3869" s="37"/>
      <c r="J3869" s="37"/>
    </row>
    <row r="3870" spans="1:10" x14ac:dyDescent="0.3">
      <c r="A3870" s="130"/>
      <c r="B3870" s="37"/>
      <c r="C3870" s="37"/>
      <c r="D3870" s="37"/>
      <c r="E3870" s="37"/>
      <c r="F3870" s="37"/>
      <c r="G3870" s="37"/>
      <c r="H3870" s="37"/>
      <c r="I3870" s="37"/>
      <c r="J3870" s="37"/>
    </row>
    <row r="3871" spans="1:10" x14ac:dyDescent="0.3">
      <c r="A3871" s="130"/>
      <c r="B3871" s="37"/>
      <c r="C3871" s="37"/>
      <c r="D3871" s="37"/>
      <c r="E3871" s="37"/>
      <c r="F3871" s="37"/>
      <c r="G3871" s="37"/>
      <c r="H3871" s="37"/>
      <c r="I3871" s="37"/>
      <c r="J3871" s="37"/>
    </row>
    <row r="3872" spans="1:10" x14ac:dyDescent="0.3">
      <c r="A3872" s="130"/>
      <c r="B3872" s="37"/>
      <c r="C3872" s="37"/>
      <c r="D3872" s="37"/>
      <c r="E3872" s="37"/>
      <c r="F3872" s="37"/>
      <c r="G3872" s="37"/>
      <c r="H3872" s="37"/>
      <c r="I3872" s="37"/>
      <c r="J3872" s="37"/>
    </row>
    <row r="3873" spans="1:10" x14ac:dyDescent="0.3">
      <c r="A3873" s="130"/>
      <c r="B3873" s="37"/>
      <c r="C3873" s="37"/>
      <c r="D3873" s="37"/>
      <c r="E3873" s="37"/>
      <c r="F3873" s="37"/>
      <c r="G3873" s="37"/>
      <c r="H3873" s="37"/>
      <c r="I3873" s="37"/>
      <c r="J3873" s="37"/>
    </row>
    <row r="3874" spans="1:10" x14ac:dyDescent="0.3">
      <c r="A3874" s="130"/>
      <c r="B3874" s="37"/>
      <c r="C3874" s="37"/>
      <c r="D3874" s="37"/>
      <c r="E3874" s="37"/>
      <c r="F3874" s="37"/>
      <c r="G3874" s="37"/>
      <c r="H3874" s="37"/>
      <c r="I3874" s="37"/>
      <c r="J3874" s="37"/>
    </row>
    <row r="3875" spans="1:10" x14ac:dyDescent="0.3">
      <c r="A3875" s="130"/>
      <c r="B3875" s="37"/>
      <c r="C3875" s="37"/>
      <c r="D3875" s="37"/>
      <c r="E3875" s="37"/>
      <c r="F3875" s="37"/>
      <c r="G3875" s="37"/>
      <c r="H3875" s="37"/>
      <c r="I3875" s="37"/>
      <c r="J3875" s="37"/>
    </row>
    <row r="3876" spans="1:10" x14ac:dyDescent="0.3">
      <c r="A3876" s="130"/>
      <c r="B3876" s="37"/>
      <c r="C3876" s="37"/>
      <c r="D3876" s="37"/>
      <c r="E3876" s="37"/>
      <c r="F3876" s="37"/>
      <c r="G3876" s="37"/>
      <c r="H3876" s="37"/>
      <c r="I3876" s="37"/>
      <c r="J3876" s="37"/>
    </row>
    <row r="3877" spans="1:10" x14ac:dyDescent="0.3">
      <c r="A3877" s="130"/>
      <c r="B3877" s="37"/>
      <c r="C3877" s="37"/>
      <c r="D3877" s="37"/>
      <c r="E3877" s="37"/>
      <c r="F3877" s="37"/>
      <c r="G3877" s="37"/>
      <c r="H3877" s="37"/>
      <c r="I3877" s="37"/>
      <c r="J3877" s="37"/>
    </row>
    <row r="3878" spans="1:10" x14ac:dyDescent="0.3">
      <c r="A3878" s="130"/>
      <c r="B3878" s="37"/>
      <c r="C3878" s="37"/>
      <c r="D3878" s="37"/>
      <c r="E3878" s="37"/>
      <c r="F3878" s="37"/>
      <c r="G3878" s="37"/>
      <c r="H3878" s="37"/>
      <c r="I3878" s="37"/>
      <c r="J3878" s="37"/>
    </row>
    <row r="3879" spans="1:10" x14ac:dyDescent="0.3">
      <c r="A3879" s="130"/>
      <c r="B3879" s="37"/>
      <c r="C3879" s="37"/>
      <c r="D3879" s="37"/>
      <c r="E3879" s="37"/>
      <c r="F3879" s="37"/>
      <c r="G3879" s="37"/>
      <c r="H3879" s="37"/>
      <c r="I3879" s="37"/>
      <c r="J3879" s="37"/>
    </row>
    <row r="3880" spans="1:10" x14ac:dyDescent="0.3">
      <c r="A3880" s="130"/>
      <c r="B3880" s="37"/>
      <c r="C3880" s="37"/>
      <c r="D3880" s="37"/>
      <c r="E3880" s="37"/>
      <c r="F3880" s="37"/>
      <c r="G3880" s="37"/>
      <c r="H3880" s="37"/>
      <c r="I3880" s="37"/>
      <c r="J3880" s="37"/>
    </row>
    <row r="3881" spans="1:10" x14ac:dyDescent="0.3">
      <c r="A3881" s="130"/>
      <c r="B3881" s="37"/>
      <c r="C3881" s="37"/>
      <c r="D3881" s="37"/>
      <c r="E3881" s="37"/>
      <c r="F3881" s="37"/>
      <c r="G3881" s="37"/>
      <c r="H3881" s="37"/>
      <c r="I3881" s="37"/>
      <c r="J3881" s="37"/>
    </row>
    <row r="3882" spans="1:10" x14ac:dyDescent="0.3">
      <c r="A3882" s="130"/>
      <c r="B3882" s="37"/>
      <c r="C3882" s="37"/>
      <c r="D3882" s="37"/>
      <c r="E3882" s="37"/>
      <c r="F3882" s="37"/>
      <c r="G3882" s="37"/>
      <c r="H3882" s="37"/>
      <c r="I3882" s="37"/>
      <c r="J3882" s="37"/>
    </row>
    <row r="3883" spans="1:10" x14ac:dyDescent="0.3">
      <c r="A3883" s="130"/>
      <c r="B3883" s="37"/>
      <c r="C3883" s="37"/>
      <c r="D3883" s="37"/>
      <c r="E3883" s="37"/>
      <c r="F3883" s="37"/>
      <c r="G3883" s="37"/>
      <c r="H3883" s="37"/>
      <c r="I3883" s="37"/>
      <c r="J3883" s="37"/>
    </row>
    <row r="3884" spans="1:10" x14ac:dyDescent="0.3">
      <c r="A3884" s="130"/>
      <c r="B3884" s="37"/>
      <c r="C3884" s="37"/>
      <c r="D3884" s="37"/>
      <c r="E3884" s="37"/>
      <c r="F3884" s="37"/>
      <c r="G3884" s="37"/>
      <c r="H3884" s="37"/>
      <c r="I3884" s="37"/>
      <c r="J3884" s="37"/>
    </row>
    <row r="3885" spans="1:10" x14ac:dyDescent="0.3">
      <c r="A3885" s="130"/>
      <c r="B3885" s="37"/>
      <c r="C3885" s="37"/>
      <c r="D3885" s="37"/>
      <c r="E3885" s="37"/>
      <c r="F3885" s="37"/>
      <c r="G3885" s="37"/>
      <c r="H3885" s="37"/>
      <c r="I3885" s="37"/>
      <c r="J3885" s="37"/>
    </row>
    <row r="3886" spans="1:10" x14ac:dyDescent="0.3">
      <c r="A3886" s="130"/>
      <c r="B3886" s="37"/>
      <c r="C3886" s="37"/>
      <c r="D3886" s="37"/>
      <c r="E3886" s="37"/>
      <c r="F3886" s="37"/>
      <c r="G3886" s="37"/>
      <c r="H3886" s="37"/>
      <c r="I3886" s="37"/>
      <c r="J3886" s="37"/>
    </row>
    <row r="3887" spans="1:10" x14ac:dyDescent="0.3">
      <c r="A3887" s="130"/>
      <c r="B3887" s="37"/>
      <c r="C3887" s="37"/>
      <c r="D3887" s="37"/>
      <c r="E3887" s="37"/>
      <c r="F3887" s="37"/>
      <c r="G3887" s="37"/>
      <c r="H3887" s="37"/>
      <c r="I3887" s="37"/>
      <c r="J3887" s="37"/>
    </row>
    <row r="3888" spans="1:10" x14ac:dyDescent="0.3">
      <c r="A3888" s="130"/>
      <c r="B3888" s="37"/>
      <c r="C3888" s="37"/>
      <c r="D3888" s="37"/>
      <c r="E3888" s="37"/>
      <c r="F3888" s="37"/>
      <c r="G3888" s="37"/>
      <c r="H3888" s="37"/>
      <c r="I3888" s="37"/>
      <c r="J3888" s="37"/>
    </row>
    <row r="3889" spans="1:10" x14ac:dyDescent="0.3">
      <c r="A3889" s="130"/>
      <c r="B3889" s="37"/>
      <c r="C3889" s="37"/>
      <c r="D3889" s="37"/>
      <c r="E3889" s="37"/>
      <c r="F3889" s="37"/>
      <c r="G3889" s="37"/>
      <c r="H3889" s="37"/>
      <c r="I3889" s="37"/>
      <c r="J3889" s="37"/>
    </row>
    <row r="3890" spans="1:10" x14ac:dyDescent="0.3">
      <c r="A3890" s="130"/>
      <c r="B3890" s="37"/>
      <c r="C3890" s="37"/>
      <c r="D3890" s="37"/>
      <c r="E3890" s="37"/>
      <c r="F3890" s="37"/>
      <c r="G3890" s="37"/>
      <c r="H3890" s="37"/>
      <c r="I3890" s="37"/>
      <c r="J3890" s="37"/>
    </row>
    <row r="3891" spans="1:10" x14ac:dyDescent="0.3">
      <c r="A3891" s="130"/>
      <c r="B3891" s="37"/>
      <c r="C3891" s="37"/>
      <c r="D3891" s="37"/>
      <c r="E3891" s="37"/>
      <c r="F3891" s="37"/>
      <c r="G3891" s="37"/>
      <c r="H3891" s="37"/>
      <c r="I3891" s="37"/>
      <c r="J3891" s="37"/>
    </row>
    <row r="3892" spans="1:10" x14ac:dyDescent="0.3">
      <c r="A3892" s="130"/>
      <c r="B3892" s="37"/>
      <c r="C3892" s="37"/>
      <c r="D3892" s="37"/>
      <c r="E3892" s="37"/>
      <c r="F3892" s="37"/>
      <c r="G3892" s="37"/>
      <c r="H3892" s="37"/>
      <c r="I3892" s="37"/>
      <c r="J3892" s="37"/>
    </row>
    <row r="3893" spans="1:10" x14ac:dyDescent="0.3">
      <c r="A3893" s="130"/>
      <c r="B3893" s="37"/>
      <c r="C3893" s="37"/>
      <c r="D3893" s="37"/>
      <c r="E3893" s="37"/>
      <c r="F3893" s="37"/>
      <c r="G3893" s="37"/>
      <c r="H3893" s="37"/>
      <c r="I3893" s="37"/>
      <c r="J3893" s="37"/>
    </row>
    <row r="3894" spans="1:10" x14ac:dyDescent="0.3">
      <c r="A3894" s="130"/>
      <c r="B3894" s="37"/>
      <c r="C3894" s="37"/>
      <c r="D3894" s="37"/>
      <c r="E3894" s="37"/>
      <c r="F3894" s="37"/>
      <c r="G3894" s="37"/>
      <c r="H3894" s="37"/>
      <c r="I3894" s="37"/>
      <c r="J3894" s="37"/>
    </row>
    <row r="3895" spans="1:10" x14ac:dyDescent="0.3">
      <c r="A3895" s="130"/>
      <c r="B3895" s="37"/>
      <c r="C3895" s="37"/>
      <c r="D3895" s="37"/>
      <c r="E3895" s="37"/>
      <c r="F3895" s="37"/>
      <c r="G3895" s="37"/>
      <c r="H3895" s="37"/>
      <c r="I3895" s="37"/>
      <c r="J3895" s="37"/>
    </row>
    <row r="3896" spans="1:10" x14ac:dyDescent="0.3">
      <c r="A3896" s="130"/>
      <c r="B3896" s="37"/>
      <c r="C3896" s="37"/>
      <c r="D3896" s="37"/>
      <c r="E3896" s="37"/>
      <c r="F3896" s="37"/>
      <c r="G3896" s="37"/>
      <c r="H3896" s="37"/>
      <c r="I3896" s="37"/>
      <c r="J3896" s="37"/>
    </row>
    <row r="3897" spans="1:10" x14ac:dyDescent="0.3">
      <c r="A3897" s="130"/>
      <c r="B3897" s="37"/>
      <c r="C3897" s="37"/>
      <c r="D3897" s="37"/>
      <c r="E3897" s="37"/>
      <c r="F3897" s="37"/>
      <c r="G3897" s="37"/>
      <c r="H3897" s="37"/>
      <c r="I3897" s="37"/>
      <c r="J3897" s="37"/>
    </row>
    <row r="3898" spans="1:10" x14ac:dyDescent="0.3">
      <c r="A3898" s="130"/>
      <c r="B3898" s="37"/>
      <c r="C3898" s="37"/>
      <c r="D3898" s="37"/>
      <c r="E3898" s="37"/>
      <c r="F3898" s="37"/>
      <c r="G3898" s="37"/>
      <c r="H3898" s="37"/>
      <c r="I3898" s="37"/>
      <c r="J3898" s="37"/>
    </row>
    <row r="3899" spans="1:10" x14ac:dyDescent="0.3">
      <c r="A3899" s="130"/>
      <c r="B3899" s="37"/>
      <c r="C3899" s="37"/>
      <c r="D3899" s="37"/>
      <c r="E3899" s="37"/>
      <c r="F3899" s="37"/>
      <c r="G3899" s="37"/>
      <c r="H3899" s="37"/>
      <c r="I3899" s="37"/>
      <c r="J3899" s="37"/>
    </row>
    <row r="3900" spans="1:10" x14ac:dyDescent="0.3">
      <c r="A3900" s="130"/>
      <c r="B3900" s="37"/>
      <c r="C3900" s="37"/>
      <c r="D3900" s="37"/>
      <c r="E3900" s="37"/>
      <c r="F3900" s="37"/>
      <c r="G3900" s="37"/>
      <c r="H3900" s="37"/>
      <c r="I3900" s="37"/>
      <c r="J3900" s="37"/>
    </row>
    <row r="3901" spans="1:10" x14ac:dyDescent="0.3">
      <c r="A3901" s="130"/>
      <c r="B3901" s="37"/>
      <c r="C3901" s="37"/>
      <c r="D3901" s="37"/>
      <c r="E3901" s="37"/>
      <c r="F3901" s="37"/>
      <c r="G3901" s="37"/>
      <c r="H3901" s="37"/>
      <c r="I3901" s="37"/>
      <c r="J3901" s="37"/>
    </row>
    <row r="3902" spans="1:10" x14ac:dyDescent="0.3">
      <c r="A3902" s="130"/>
      <c r="B3902" s="37"/>
      <c r="C3902" s="37"/>
      <c r="D3902" s="37"/>
      <c r="E3902" s="37"/>
      <c r="F3902" s="37"/>
      <c r="G3902" s="37"/>
      <c r="H3902" s="37"/>
      <c r="I3902" s="37"/>
      <c r="J3902" s="37"/>
    </row>
    <row r="3903" spans="1:10" x14ac:dyDescent="0.3">
      <c r="A3903" s="130"/>
      <c r="B3903" s="37"/>
      <c r="C3903" s="37"/>
      <c r="D3903" s="37"/>
      <c r="E3903" s="37"/>
      <c r="F3903" s="37"/>
      <c r="G3903" s="37"/>
      <c r="H3903" s="37"/>
      <c r="I3903" s="37"/>
      <c r="J3903" s="37"/>
    </row>
    <row r="3904" spans="1:10" x14ac:dyDescent="0.3">
      <c r="A3904" s="130"/>
      <c r="B3904" s="37"/>
      <c r="C3904" s="37"/>
      <c r="D3904" s="37"/>
      <c r="E3904" s="37"/>
      <c r="F3904" s="37"/>
      <c r="G3904" s="37"/>
      <c r="H3904" s="37"/>
      <c r="I3904" s="37"/>
      <c r="J3904" s="37"/>
    </row>
    <row r="3905" spans="1:10" x14ac:dyDescent="0.3">
      <c r="A3905" s="130"/>
      <c r="B3905" s="37"/>
      <c r="C3905" s="37"/>
      <c r="D3905" s="37"/>
      <c r="E3905" s="37"/>
      <c r="F3905" s="37"/>
      <c r="G3905" s="37"/>
      <c r="H3905" s="37"/>
      <c r="I3905" s="37"/>
      <c r="J3905" s="37"/>
    </row>
    <row r="3906" spans="1:10" x14ac:dyDescent="0.3">
      <c r="A3906" s="130"/>
      <c r="B3906" s="37"/>
      <c r="C3906" s="37"/>
      <c r="D3906" s="37"/>
      <c r="E3906" s="37"/>
      <c r="F3906" s="37"/>
      <c r="G3906" s="37"/>
      <c r="H3906" s="37"/>
      <c r="I3906" s="37"/>
      <c r="J3906" s="37"/>
    </row>
    <row r="3907" spans="1:10" x14ac:dyDescent="0.3">
      <c r="A3907" s="130"/>
      <c r="B3907" s="37"/>
      <c r="C3907" s="37"/>
      <c r="D3907" s="37"/>
      <c r="E3907" s="37"/>
      <c r="F3907" s="37"/>
      <c r="G3907" s="37"/>
      <c r="H3907" s="37"/>
      <c r="I3907" s="37"/>
      <c r="J3907" s="37"/>
    </row>
    <row r="3908" spans="1:10" x14ac:dyDescent="0.3">
      <c r="A3908" s="130"/>
      <c r="B3908" s="37"/>
      <c r="C3908" s="37"/>
      <c r="D3908" s="37"/>
      <c r="E3908" s="37"/>
      <c r="F3908" s="37"/>
      <c r="G3908" s="37"/>
      <c r="H3908" s="37"/>
      <c r="I3908" s="37"/>
      <c r="J3908" s="37"/>
    </row>
    <row r="3909" spans="1:10" x14ac:dyDescent="0.3">
      <c r="A3909" s="130"/>
      <c r="B3909" s="37"/>
      <c r="C3909" s="37"/>
      <c r="D3909" s="37"/>
      <c r="E3909" s="37"/>
      <c r="F3909" s="37"/>
      <c r="G3909" s="37"/>
      <c r="H3909" s="37"/>
      <c r="I3909" s="37"/>
      <c r="J3909" s="37"/>
    </row>
    <row r="3910" spans="1:10" x14ac:dyDescent="0.3">
      <c r="A3910" s="130"/>
      <c r="B3910" s="37"/>
      <c r="C3910" s="37"/>
      <c r="D3910" s="37"/>
      <c r="E3910" s="37"/>
      <c r="F3910" s="37"/>
      <c r="G3910" s="37"/>
      <c r="H3910" s="37"/>
      <c r="I3910" s="37"/>
      <c r="J3910" s="37"/>
    </row>
    <row r="3911" spans="1:10" x14ac:dyDescent="0.3">
      <c r="A3911" s="130"/>
      <c r="B3911" s="37"/>
      <c r="C3911" s="37"/>
      <c r="D3911" s="37"/>
      <c r="E3911" s="37"/>
      <c r="F3911" s="37"/>
      <c r="G3911" s="37"/>
      <c r="H3911" s="37"/>
      <c r="I3911" s="37"/>
      <c r="J3911" s="37"/>
    </row>
    <row r="3912" spans="1:10" x14ac:dyDescent="0.3">
      <c r="A3912" s="130"/>
      <c r="B3912" s="37"/>
      <c r="C3912" s="37"/>
      <c r="D3912" s="37"/>
      <c r="E3912" s="37"/>
      <c r="F3912" s="37"/>
      <c r="G3912" s="37"/>
      <c r="H3912" s="37"/>
      <c r="I3912" s="37"/>
      <c r="J3912" s="37"/>
    </row>
    <row r="3913" spans="1:10" x14ac:dyDescent="0.3">
      <c r="A3913" s="130"/>
      <c r="B3913" s="37"/>
      <c r="C3913" s="37"/>
      <c r="D3913" s="37"/>
      <c r="E3913" s="37"/>
      <c r="F3913" s="37"/>
      <c r="G3913" s="37"/>
      <c r="H3913" s="37"/>
      <c r="I3913" s="37"/>
      <c r="J3913" s="37"/>
    </row>
    <row r="3914" spans="1:10" x14ac:dyDescent="0.3">
      <c r="A3914" s="130"/>
      <c r="B3914" s="37"/>
      <c r="C3914" s="37"/>
      <c r="D3914" s="37"/>
      <c r="E3914" s="37"/>
      <c r="F3914" s="37"/>
      <c r="G3914" s="37"/>
      <c r="H3914" s="37"/>
      <c r="I3914" s="37"/>
      <c r="J3914" s="37"/>
    </row>
    <row r="3915" spans="1:10" x14ac:dyDescent="0.3">
      <c r="A3915" s="130"/>
      <c r="B3915" s="37"/>
      <c r="C3915" s="37"/>
      <c r="D3915" s="37"/>
      <c r="E3915" s="37"/>
      <c r="F3915" s="37"/>
      <c r="G3915" s="37"/>
      <c r="H3915" s="37"/>
      <c r="I3915" s="37"/>
      <c r="J3915" s="37"/>
    </row>
    <row r="3916" spans="1:10" x14ac:dyDescent="0.3">
      <c r="A3916" s="130"/>
      <c r="B3916" s="37"/>
      <c r="C3916" s="37"/>
      <c r="D3916" s="37"/>
      <c r="E3916" s="37"/>
      <c r="F3916" s="37"/>
      <c r="G3916" s="37"/>
      <c r="H3916" s="37"/>
      <c r="I3916" s="37"/>
      <c r="J3916" s="37"/>
    </row>
    <row r="3917" spans="1:10" x14ac:dyDescent="0.3">
      <c r="A3917" s="130"/>
      <c r="B3917" s="37"/>
      <c r="C3917" s="37"/>
      <c r="D3917" s="37"/>
      <c r="E3917" s="37"/>
      <c r="F3917" s="37"/>
      <c r="G3917" s="37"/>
      <c r="H3917" s="37"/>
      <c r="I3917" s="37"/>
      <c r="J3917" s="37"/>
    </row>
    <row r="3918" spans="1:10" x14ac:dyDescent="0.3">
      <c r="A3918" s="130"/>
      <c r="B3918" s="37"/>
      <c r="C3918" s="37"/>
      <c r="D3918" s="37"/>
      <c r="E3918" s="37"/>
      <c r="F3918" s="37"/>
      <c r="G3918" s="37"/>
      <c r="H3918" s="37"/>
      <c r="I3918" s="37"/>
      <c r="J3918" s="37"/>
    </row>
    <row r="3919" spans="1:10" x14ac:dyDescent="0.3">
      <c r="A3919" s="130"/>
      <c r="B3919" s="37"/>
      <c r="C3919" s="37"/>
      <c r="D3919" s="37"/>
      <c r="E3919" s="37"/>
      <c r="F3919" s="37"/>
      <c r="G3919" s="37"/>
      <c r="H3919" s="37"/>
      <c r="I3919" s="37"/>
      <c r="J3919" s="37"/>
    </row>
    <row r="3920" spans="1:10" x14ac:dyDescent="0.3">
      <c r="A3920" s="130"/>
      <c r="B3920" s="37"/>
      <c r="C3920" s="37"/>
      <c r="D3920" s="37"/>
      <c r="E3920" s="37"/>
      <c r="F3920" s="37"/>
      <c r="G3920" s="37"/>
      <c r="H3920" s="37"/>
      <c r="I3920" s="37"/>
      <c r="J3920" s="37"/>
    </row>
    <row r="3921" spans="1:10" x14ac:dyDescent="0.3">
      <c r="A3921" s="130"/>
      <c r="B3921" s="37"/>
      <c r="C3921" s="37"/>
      <c r="D3921" s="37"/>
      <c r="E3921" s="37"/>
      <c r="F3921" s="37"/>
      <c r="G3921" s="37"/>
      <c r="H3921" s="37"/>
      <c r="I3921" s="37"/>
      <c r="J3921" s="37"/>
    </row>
    <row r="3922" spans="1:10" x14ac:dyDescent="0.3">
      <c r="A3922" s="130"/>
      <c r="B3922" s="37"/>
      <c r="C3922" s="37"/>
      <c r="D3922" s="37"/>
      <c r="E3922" s="37"/>
      <c r="F3922" s="37"/>
      <c r="G3922" s="37"/>
      <c r="H3922" s="37"/>
      <c r="I3922" s="37"/>
      <c r="J3922" s="37"/>
    </row>
    <row r="3923" spans="1:10" x14ac:dyDescent="0.3">
      <c r="A3923" s="130"/>
      <c r="B3923" s="37"/>
      <c r="C3923" s="37"/>
      <c r="D3923" s="37"/>
      <c r="E3923" s="37"/>
      <c r="F3923" s="37"/>
      <c r="G3923" s="37"/>
      <c r="H3923" s="37"/>
      <c r="I3923" s="37"/>
      <c r="J3923" s="37"/>
    </row>
    <row r="3924" spans="1:10" x14ac:dyDescent="0.3">
      <c r="A3924" s="130"/>
      <c r="B3924" s="37"/>
      <c r="C3924" s="37"/>
      <c r="D3924" s="37"/>
      <c r="E3924" s="37"/>
      <c r="F3924" s="37"/>
      <c r="G3924" s="37"/>
      <c r="H3924" s="37"/>
      <c r="I3924" s="37"/>
      <c r="J3924" s="37"/>
    </row>
    <row r="3925" spans="1:10" x14ac:dyDescent="0.3">
      <c r="A3925" s="130"/>
      <c r="B3925" s="37"/>
      <c r="C3925" s="37"/>
      <c r="D3925" s="37"/>
      <c r="E3925" s="37"/>
      <c r="F3925" s="37"/>
      <c r="G3925" s="37"/>
      <c r="H3925" s="37"/>
      <c r="I3925" s="37"/>
      <c r="J3925" s="37"/>
    </row>
    <row r="3926" spans="1:10" x14ac:dyDescent="0.3">
      <c r="A3926" s="130"/>
      <c r="B3926" s="37"/>
      <c r="C3926" s="37"/>
      <c r="D3926" s="37"/>
      <c r="E3926" s="37"/>
      <c r="F3926" s="37"/>
      <c r="G3926" s="37"/>
      <c r="H3926" s="37"/>
      <c r="I3926" s="37"/>
      <c r="J3926" s="37"/>
    </row>
    <row r="3927" spans="1:10" x14ac:dyDescent="0.3">
      <c r="A3927" s="130"/>
      <c r="B3927" s="37"/>
      <c r="C3927" s="37"/>
      <c r="D3927" s="37"/>
      <c r="E3927" s="37"/>
      <c r="F3927" s="37"/>
      <c r="G3927" s="37"/>
      <c r="H3927" s="37"/>
      <c r="I3927" s="37"/>
      <c r="J3927" s="37"/>
    </row>
    <row r="3928" spans="1:10" x14ac:dyDescent="0.3">
      <c r="A3928" s="130"/>
      <c r="B3928" s="37"/>
      <c r="C3928" s="37"/>
      <c r="D3928" s="37"/>
      <c r="E3928" s="37"/>
      <c r="F3928" s="37"/>
      <c r="G3928" s="37"/>
      <c r="H3928" s="37"/>
      <c r="I3928" s="37"/>
      <c r="J3928" s="37"/>
    </row>
    <row r="3929" spans="1:10" x14ac:dyDescent="0.3">
      <c r="A3929" s="130"/>
      <c r="B3929" s="37"/>
      <c r="C3929" s="37"/>
      <c r="D3929" s="37"/>
      <c r="E3929" s="37"/>
      <c r="F3929" s="37"/>
      <c r="G3929" s="37"/>
      <c r="H3929" s="37"/>
      <c r="I3929" s="37"/>
      <c r="J3929" s="37"/>
    </row>
    <row r="3930" spans="1:10" x14ac:dyDescent="0.3">
      <c r="A3930" s="130"/>
      <c r="B3930" s="37"/>
      <c r="C3930" s="37"/>
      <c r="D3930" s="37"/>
      <c r="E3930" s="37"/>
      <c r="F3930" s="37"/>
      <c r="G3930" s="37"/>
      <c r="H3930" s="37"/>
      <c r="I3930" s="37"/>
      <c r="J3930" s="37"/>
    </row>
    <row r="3931" spans="1:10" x14ac:dyDescent="0.3">
      <c r="A3931" s="130"/>
      <c r="B3931" s="37"/>
      <c r="C3931" s="37"/>
      <c r="D3931" s="37"/>
      <c r="E3931" s="37"/>
      <c r="F3931" s="37"/>
      <c r="G3931" s="37"/>
      <c r="H3931" s="37"/>
      <c r="I3931" s="37"/>
      <c r="J3931" s="37"/>
    </row>
    <row r="3932" spans="1:10" x14ac:dyDescent="0.3">
      <c r="A3932" s="130"/>
      <c r="B3932" s="37"/>
      <c r="C3932" s="37"/>
      <c r="D3932" s="37"/>
      <c r="E3932" s="37"/>
      <c r="F3932" s="37"/>
      <c r="G3932" s="37"/>
      <c r="H3932" s="37"/>
      <c r="I3932" s="37"/>
      <c r="J3932" s="37"/>
    </row>
    <row r="3933" spans="1:10" x14ac:dyDescent="0.3">
      <c r="A3933" s="130"/>
      <c r="B3933" s="37"/>
      <c r="C3933" s="37"/>
      <c r="D3933" s="37"/>
      <c r="E3933" s="37"/>
      <c r="F3933" s="37"/>
      <c r="G3933" s="37"/>
      <c r="H3933" s="37"/>
      <c r="I3933" s="37"/>
      <c r="J3933" s="37"/>
    </row>
    <row r="3934" spans="1:10" x14ac:dyDescent="0.3">
      <c r="A3934" s="130"/>
      <c r="B3934" s="37"/>
      <c r="C3934" s="37"/>
      <c r="D3934" s="37"/>
      <c r="E3934" s="37"/>
      <c r="F3934" s="37"/>
      <c r="G3934" s="37"/>
      <c r="H3934" s="37"/>
      <c r="I3934" s="37"/>
      <c r="J3934" s="37"/>
    </row>
    <row r="3935" spans="1:10" x14ac:dyDescent="0.3">
      <c r="A3935" s="130"/>
      <c r="B3935" s="37"/>
      <c r="C3935" s="37"/>
      <c r="D3935" s="37"/>
      <c r="E3935" s="37"/>
      <c r="F3935" s="37"/>
      <c r="G3935" s="37"/>
      <c r="H3935" s="37"/>
      <c r="I3935" s="37"/>
      <c r="J3935" s="37"/>
    </row>
    <row r="3936" spans="1:10" x14ac:dyDescent="0.3">
      <c r="A3936" s="130"/>
      <c r="B3936" s="37"/>
      <c r="C3936" s="37"/>
      <c r="D3936" s="37"/>
      <c r="E3936" s="37"/>
      <c r="F3936" s="37"/>
      <c r="G3936" s="37"/>
      <c r="H3936" s="37"/>
      <c r="I3936" s="37"/>
      <c r="J3936" s="37"/>
    </row>
    <row r="3937" spans="1:10" x14ac:dyDescent="0.3">
      <c r="A3937" s="130"/>
      <c r="B3937" s="37"/>
      <c r="C3937" s="37"/>
      <c r="D3937" s="37"/>
      <c r="E3937" s="37"/>
      <c r="F3937" s="37"/>
      <c r="G3937" s="37"/>
      <c r="H3937" s="37"/>
      <c r="I3937" s="37"/>
      <c r="J3937" s="37"/>
    </row>
    <row r="3938" spans="1:10" x14ac:dyDescent="0.3">
      <c r="A3938" s="130"/>
      <c r="B3938" s="37"/>
      <c r="C3938" s="37"/>
      <c r="D3938" s="37"/>
      <c r="E3938" s="37"/>
      <c r="F3938" s="37"/>
      <c r="G3938" s="37"/>
      <c r="H3938" s="37"/>
      <c r="I3938" s="37"/>
      <c r="J3938" s="37"/>
    </row>
    <row r="3939" spans="1:10" x14ac:dyDescent="0.3">
      <c r="A3939" s="130"/>
      <c r="B3939" s="37"/>
      <c r="C3939" s="37"/>
      <c r="D3939" s="37"/>
      <c r="E3939" s="37"/>
      <c r="F3939" s="37"/>
      <c r="G3939" s="37"/>
      <c r="H3939" s="37"/>
      <c r="I3939" s="37"/>
      <c r="J3939" s="37"/>
    </row>
    <row r="3940" spans="1:10" x14ac:dyDescent="0.3">
      <c r="A3940" s="130"/>
      <c r="B3940" s="37"/>
      <c r="C3940" s="37"/>
      <c r="D3940" s="37"/>
      <c r="E3940" s="37"/>
      <c r="F3940" s="37"/>
      <c r="G3940" s="37"/>
      <c r="H3940" s="37"/>
      <c r="I3940" s="37"/>
      <c r="J3940" s="37"/>
    </row>
    <row r="3941" spans="1:10" x14ac:dyDescent="0.3">
      <c r="A3941" s="130"/>
      <c r="B3941" s="37"/>
      <c r="C3941" s="37"/>
      <c r="D3941" s="37"/>
      <c r="E3941" s="37"/>
      <c r="F3941" s="37"/>
      <c r="G3941" s="37"/>
      <c r="H3941" s="37"/>
      <c r="I3941" s="37"/>
      <c r="J3941" s="37"/>
    </row>
    <row r="3942" spans="1:10" x14ac:dyDescent="0.3">
      <c r="A3942" s="130"/>
      <c r="B3942" s="37"/>
      <c r="C3942" s="37"/>
      <c r="D3942" s="37"/>
      <c r="E3942" s="37"/>
      <c r="F3942" s="37"/>
      <c r="G3942" s="37"/>
      <c r="H3942" s="37"/>
      <c r="I3942" s="37"/>
      <c r="J3942" s="37"/>
    </row>
    <row r="3943" spans="1:10" x14ac:dyDescent="0.3">
      <c r="A3943" s="130"/>
      <c r="B3943" s="37"/>
      <c r="C3943" s="37"/>
      <c r="D3943" s="37"/>
      <c r="E3943" s="37"/>
      <c r="F3943" s="37"/>
      <c r="G3943" s="37"/>
      <c r="H3943" s="37"/>
      <c r="I3943" s="37"/>
      <c r="J3943" s="37"/>
    </row>
    <row r="3944" spans="1:10" x14ac:dyDescent="0.3">
      <c r="A3944" s="130"/>
      <c r="B3944" s="37"/>
      <c r="C3944" s="37"/>
      <c r="D3944" s="37"/>
      <c r="E3944" s="37"/>
      <c r="F3944" s="37"/>
      <c r="G3944" s="37"/>
      <c r="H3944" s="37"/>
      <c r="I3944" s="37"/>
      <c r="J3944" s="37"/>
    </row>
    <row r="3945" spans="1:10" x14ac:dyDescent="0.3">
      <c r="A3945" s="130"/>
      <c r="B3945" s="37"/>
      <c r="C3945" s="37"/>
      <c r="D3945" s="37"/>
      <c r="E3945" s="37"/>
      <c r="F3945" s="37"/>
      <c r="G3945" s="37"/>
      <c r="H3945" s="37"/>
      <c r="I3945" s="37"/>
      <c r="J3945" s="37"/>
    </row>
    <row r="3946" spans="1:10" x14ac:dyDescent="0.3">
      <c r="A3946" s="130"/>
      <c r="B3946" s="37"/>
      <c r="C3946" s="37"/>
      <c r="D3946" s="37"/>
      <c r="E3946" s="37"/>
      <c r="F3946" s="37"/>
      <c r="G3946" s="37"/>
      <c r="H3946" s="37"/>
      <c r="I3946" s="37"/>
      <c r="J3946" s="37"/>
    </row>
    <row r="3947" spans="1:10" x14ac:dyDescent="0.3">
      <c r="A3947" s="130"/>
      <c r="B3947" s="37"/>
      <c r="C3947" s="37"/>
      <c r="D3947" s="37"/>
      <c r="E3947" s="37"/>
      <c r="F3947" s="37"/>
      <c r="G3947" s="37"/>
      <c r="H3947" s="37"/>
      <c r="I3947" s="37"/>
      <c r="J3947" s="37"/>
    </row>
    <row r="3948" spans="1:10" x14ac:dyDescent="0.3">
      <c r="A3948" s="130"/>
      <c r="B3948" s="37"/>
      <c r="C3948" s="37"/>
      <c r="D3948" s="37"/>
      <c r="E3948" s="37"/>
      <c r="F3948" s="37"/>
      <c r="G3948" s="37"/>
      <c r="H3948" s="37"/>
      <c r="I3948" s="37"/>
      <c r="J3948" s="37"/>
    </row>
    <row r="3949" spans="1:10" x14ac:dyDescent="0.3">
      <c r="A3949" s="130"/>
      <c r="B3949" s="37"/>
      <c r="C3949" s="37"/>
      <c r="D3949" s="37"/>
      <c r="E3949" s="37"/>
      <c r="F3949" s="37"/>
      <c r="G3949" s="37"/>
      <c r="H3949" s="37"/>
      <c r="I3949" s="37"/>
      <c r="J3949" s="37"/>
    </row>
    <row r="3950" spans="1:10" x14ac:dyDescent="0.3">
      <c r="A3950" s="130"/>
      <c r="B3950" s="37"/>
      <c r="C3950" s="37"/>
      <c r="D3950" s="37"/>
      <c r="E3950" s="37"/>
      <c r="F3950" s="37"/>
      <c r="G3950" s="37"/>
      <c r="H3950" s="37"/>
      <c r="I3950" s="37"/>
      <c r="J3950" s="37"/>
    </row>
    <row r="3951" spans="1:10" x14ac:dyDescent="0.3">
      <c r="A3951" s="130"/>
      <c r="B3951" s="37"/>
      <c r="C3951" s="37"/>
      <c r="D3951" s="37"/>
      <c r="E3951" s="37"/>
      <c r="F3951" s="37"/>
      <c r="G3951" s="37"/>
      <c r="H3951" s="37"/>
      <c r="I3951" s="37"/>
      <c r="J3951" s="37"/>
    </row>
    <row r="3952" spans="1:10" x14ac:dyDescent="0.3">
      <c r="A3952" s="130"/>
      <c r="B3952" s="37"/>
      <c r="C3952" s="37"/>
      <c r="D3952" s="37"/>
      <c r="E3952" s="37"/>
      <c r="F3952" s="37"/>
      <c r="G3952" s="37"/>
      <c r="H3952" s="37"/>
      <c r="I3952" s="37"/>
      <c r="J3952" s="37"/>
    </row>
    <row r="3953" spans="1:10" x14ac:dyDescent="0.3">
      <c r="A3953" s="130"/>
      <c r="B3953" s="37"/>
      <c r="C3953" s="37"/>
      <c r="D3953" s="37"/>
      <c r="E3953" s="37"/>
      <c r="F3953" s="37"/>
      <c r="G3953" s="37"/>
      <c r="H3953" s="37"/>
      <c r="I3953" s="37"/>
      <c r="J3953" s="37"/>
    </row>
    <row r="3954" spans="1:10" x14ac:dyDescent="0.3">
      <c r="A3954" s="130"/>
      <c r="B3954" s="37"/>
      <c r="C3954" s="37"/>
      <c r="D3954" s="37"/>
      <c r="E3954" s="37"/>
      <c r="F3954" s="37"/>
      <c r="G3954" s="37"/>
      <c r="H3954" s="37"/>
      <c r="I3954" s="37"/>
      <c r="J3954" s="37"/>
    </row>
    <row r="3955" spans="1:10" x14ac:dyDescent="0.3">
      <c r="A3955" s="130"/>
      <c r="B3955" s="37"/>
      <c r="C3955" s="37"/>
      <c r="D3955" s="37"/>
      <c r="E3955" s="37"/>
      <c r="F3955" s="37"/>
      <c r="G3955" s="37"/>
      <c r="H3955" s="37"/>
      <c r="I3955" s="37"/>
      <c r="J3955" s="37"/>
    </row>
    <row r="3956" spans="1:10" x14ac:dyDescent="0.3">
      <c r="A3956" s="130"/>
      <c r="B3956" s="37"/>
      <c r="C3956" s="37"/>
      <c r="D3956" s="37"/>
      <c r="E3956" s="37"/>
      <c r="F3956" s="37"/>
      <c r="G3956" s="37"/>
      <c r="H3956" s="37"/>
      <c r="I3956" s="37"/>
      <c r="J3956" s="37"/>
    </row>
    <row r="3957" spans="1:10" x14ac:dyDescent="0.3">
      <c r="A3957" s="130"/>
      <c r="B3957" s="37"/>
      <c r="C3957" s="37"/>
      <c r="D3957" s="37"/>
      <c r="E3957" s="37"/>
      <c r="F3957" s="37"/>
      <c r="G3957" s="37"/>
      <c r="H3957" s="37"/>
      <c r="I3957" s="37"/>
      <c r="J3957" s="37"/>
    </row>
    <row r="3958" spans="1:10" x14ac:dyDescent="0.3">
      <c r="A3958" s="130"/>
      <c r="B3958" s="37"/>
      <c r="C3958" s="37"/>
      <c r="D3958" s="37"/>
      <c r="E3958" s="37"/>
      <c r="F3958" s="37"/>
      <c r="G3958" s="37"/>
      <c r="H3958" s="37"/>
      <c r="I3958" s="37"/>
      <c r="J3958" s="37"/>
    </row>
    <row r="3959" spans="1:10" x14ac:dyDescent="0.3">
      <c r="A3959" s="130"/>
      <c r="B3959" s="37"/>
      <c r="C3959" s="37"/>
      <c r="D3959" s="37"/>
      <c r="E3959" s="37"/>
      <c r="F3959" s="37"/>
      <c r="G3959" s="37"/>
      <c r="H3959" s="37"/>
      <c r="I3959" s="37"/>
      <c r="J3959" s="37"/>
    </row>
    <row r="3960" spans="1:10" x14ac:dyDescent="0.3">
      <c r="A3960" s="130"/>
      <c r="B3960" s="37"/>
      <c r="C3960" s="37"/>
      <c r="D3960" s="37"/>
      <c r="E3960" s="37"/>
      <c r="F3960" s="37"/>
      <c r="G3960" s="37"/>
      <c r="H3960" s="37"/>
      <c r="I3960" s="37"/>
      <c r="J3960" s="37"/>
    </row>
    <row r="3961" spans="1:10" x14ac:dyDescent="0.3">
      <c r="A3961" s="130"/>
      <c r="B3961" s="37"/>
      <c r="C3961" s="37"/>
      <c r="D3961" s="37"/>
      <c r="E3961" s="37"/>
      <c r="F3961" s="37"/>
      <c r="G3961" s="37"/>
      <c r="H3961" s="37"/>
      <c r="I3961" s="37"/>
      <c r="J3961" s="37"/>
    </row>
    <row r="3962" spans="1:10" x14ac:dyDescent="0.3">
      <c r="A3962" s="130"/>
      <c r="B3962" s="37"/>
      <c r="C3962" s="37"/>
      <c r="D3962" s="37"/>
      <c r="E3962" s="37"/>
      <c r="F3962" s="37"/>
      <c r="G3962" s="37"/>
      <c r="H3962" s="37"/>
      <c r="I3962" s="37"/>
      <c r="J3962" s="37"/>
    </row>
    <row r="3963" spans="1:10" x14ac:dyDescent="0.3">
      <c r="A3963" s="130"/>
      <c r="B3963" s="37"/>
      <c r="C3963" s="37"/>
      <c r="D3963" s="37"/>
      <c r="E3963" s="37"/>
      <c r="F3963" s="37"/>
      <c r="G3963" s="37"/>
      <c r="H3963" s="37"/>
      <c r="I3963" s="37"/>
      <c r="J3963" s="37"/>
    </row>
    <row r="3964" spans="1:10" x14ac:dyDescent="0.3">
      <c r="A3964" s="130"/>
      <c r="B3964" s="37"/>
      <c r="C3964" s="37"/>
      <c r="D3964" s="37"/>
      <c r="E3964" s="37"/>
      <c r="F3964" s="37"/>
      <c r="G3964" s="37"/>
      <c r="H3964" s="37"/>
      <c r="I3964" s="37"/>
      <c r="J3964" s="37"/>
    </row>
    <row r="3965" spans="1:10" x14ac:dyDescent="0.3">
      <c r="A3965" s="130"/>
      <c r="B3965" s="37"/>
      <c r="C3965" s="37"/>
      <c r="D3965" s="37"/>
      <c r="E3965" s="37"/>
      <c r="F3965" s="37"/>
      <c r="G3965" s="37"/>
      <c r="H3965" s="37"/>
      <c r="I3965" s="37"/>
      <c r="J3965" s="37"/>
    </row>
    <row r="3966" spans="1:10" x14ac:dyDescent="0.3">
      <c r="A3966" s="130"/>
      <c r="B3966" s="37"/>
      <c r="C3966" s="37"/>
      <c r="D3966" s="37"/>
      <c r="E3966" s="37"/>
      <c r="F3966" s="37"/>
      <c r="G3966" s="37"/>
      <c r="H3966" s="37"/>
      <c r="I3966" s="37"/>
      <c r="J3966" s="37"/>
    </row>
    <row r="3967" spans="1:10" x14ac:dyDescent="0.3">
      <c r="A3967" s="130"/>
      <c r="B3967" s="37"/>
      <c r="C3967" s="37"/>
      <c r="D3967" s="37"/>
      <c r="E3967" s="37"/>
      <c r="F3967" s="37"/>
      <c r="G3967" s="37"/>
      <c r="H3967" s="37"/>
      <c r="I3967" s="37"/>
      <c r="J3967" s="37"/>
    </row>
    <row r="3968" spans="1:10" x14ac:dyDescent="0.3">
      <c r="A3968" s="130"/>
      <c r="B3968" s="37"/>
      <c r="C3968" s="37"/>
      <c r="D3968" s="37"/>
      <c r="E3968" s="37"/>
      <c r="F3968" s="37"/>
      <c r="G3968" s="37"/>
      <c r="H3968" s="37"/>
      <c r="I3968" s="37"/>
      <c r="J3968" s="37"/>
    </row>
    <row r="3969" spans="1:10" x14ac:dyDescent="0.3">
      <c r="A3969" s="130"/>
      <c r="B3969" s="37"/>
      <c r="C3969" s="37"/>
      <c r="D3969" s="37"/>
      <c r="E3969" s="37"/>
      <c r="F3969" s="37"/>
      <c r="G3969" s="37"/>
      <c r="H3969" s="37"/>
      <c r="I3969" s="37"/>
      <c r="J3969" s="37"/>
    </row>
    <row r="3970" spans="1:10" x14ac:dyDescent="0.3">
      <c r="A3970" s="130"/>
      <c r="B3970" s="37"/>
      <c r="C3970" s="37"/>
      <c r="D3970" s="37"/>
      <c r="E3970" s="37"/>
      <c r="F3970" s="37"/>
      <c r="G3970" s="37"/>
      <c r="H3970" s="37"/>
      <c r="I3970" s="37"/>
      <c r="J3970" s="37"/>
    </row>
    <row r="3971" spans="1:10" x14ac:dyDescent="0.3">
      <c r="A3971" s="130"/>
      <c r="B3971" s="37"/>
      <c r="C3971" s="37"/>
      <c r="D3971" s="37"/>
      <c r="E3971" s="37"/>
      <c r="F3971" s="37"/>
      <c r="G3971" s="37"/>
      <c r="H3971" s="37"/>
      <c r="I3971" s="37"/>
      <c r="J3971" s="37"/>
    </row>
    <row r="3972" spans="1:10" x14ac:dyDescent="0.3">
      <c r="A3972" s="130"/>
      <c r="B3972" s="37"/>
      <c r="C3972" s="37"/>
      <c r="D3972" s="37"/>
      <c r="E3972" s="37"/>
      <c r="F3972" s="37"/>
      <c r="G3972" s="37"/>
      <c r="H3972" s="37"/>
      <c r="I3972" s="37"/>
      <c r="J3972" s="37"/>
    </row>
    <row r="3973" spans="1:10" x14ac:dyDescent="0.3">
      <c r="A3973" s="130"/>
      <c r="B3973" s="37"/>
      <c r="C3973" s="37"/>
      <c r="D3973" s="37"/>
      <c r="E3973" s="37"/>
      <c r="F3973" s="37"/>
      <c r="G3973" s="37"/>
      <c r="H3973" s="37"/>
      <c r="I3973" s="37"/>
      <c r="J3973" s="37"/>
    </row>
    <row r="3974" spans="1:10" x14ac:dyDescent="0.3">
      <c r="A3974" s="130"/>
      <c r="B3974" s="37"/>
      <c r="C3974" s="37"/>
      <c r="D3974" s="37"/>
      <c r="E3974" s="37"/>
      <c r="F3974" s="37"/>
      <c r="G3974" s="37"/>
      <c r="H3974" s="37"/>
      <c r="I3974" s="37"/>
      <c r="J3974" s="37"/>
    </row>
    <row r="3975" spans="1:10" x14ac:dyDescent="0.3">
      <c r="A3975" s="130"/>
      <c r="B3975" s="37"/>
      <c r="C3975" s="37"/>
      <c r="D3975" s="37"/>
      <c r="E3975" s="37"/>
      <c r="F3975" s="37"/>
      <c r="G3975" s="37"/>
      <c r="H3975" s="37"/>
      <c r="I3975" s="37"/>
      <c r="J3975" s="37"/>
    </row>
    <row r="3976" spans="1:10" x14ac:dyDescent="0.3">
      <c r="A3976" s="130"/>
      <c r="B3976" s="37"/>
      <c r="C3976" s="37"/>
      <c r="D3976" s="37"/>
      <c r="E3976" s="37"/>
      <c r="F3976" s="37"/>
      <c r="G3976" s="37"/>
      <c r="H3976" s="37"/>
      <c r="I3976" s="37"/>
      <c r="J3976" s="37"/>
    </row>
    <row r="3977" spans="1:10" x14ac:dyDescent="0.3">
      <c r="A3977" s="130"/>
      <c r="B3977" s="37"/>
      <c r="C3977" s="37"/>
      <c r="D3977" s="37"/>
      <c r="E3977" s="37"/>
      <c r="F3977" s="37"/>
      <c r="G3977" s="37"/>
      <c r="H3977" s="37"/>
      <c r="I3977" s="37"/>
      <c r="J3977" s="37"/>
    </row>
    <row r="3978" spans="1:10" x14ac:dyDescent="0.3">
      <c r="A3978" s="130"/>
      <c r="B3978" s="37"/>
      <c r="C3978" s="37"/>
      <c r="D3978" s="37"/>
      <c r="E3978" s="37"/>
      <c r="F3978" s="37"/>
      <c r="G3978" s="37"/>
      <c r="H3978" s="37"/>
      <c r="I3978" s="37"/>
      <c r="J3978" s="37"/>
    </row>
    <row r="3979" spans="1:10" x14ac:dyDescent="0.3">
      <c r="A3979" s="130"/>
      <c r="B3979" s="37"/>
      <c r="C3979" s="37"/>
      <c r="D3979" s="37"/>
      <c r="E3979" s="37"/>
      <c r="F3979" s="37"/>
      <c r="G3979" s="37"/>
      <c r="H3979" s="37"/>
      <c r="I3979" s="37"/>
      <c r="J3979" s="37"/>
    </row>
    <row r="3980" spans="1:10" x14ac:dyDescent="0.3">
      <c r="A3980" s="130"/>
      <c r="B3980" s="37"/>
      <c r="C3980" s="37"/>
      <c r="D3980" s="37"/>
      <c r="E3980" s="37"/>
      <c r="F3980" s="37"/>
      <c r="G3980" s="37"/>
      <c r="H3980" s="37"/>
      <c r="I3980" s="37"/>
      <c r="J3980" s="37"/>
    </row>
    <row r="3981" spans="1:10" x14ac:dyDescent="0.3">
      <c r="A3981" s="130"/>
      <c r="B3981" s="37"/>
      <c r="C3981" s="37"/>
      <c r="D3981" s="37"/>
      <c r="E3981" s="37"/>
      <c r="F3981" s="37"/>
      <c r="G3981" s="37"/>
      <c r="H3981" s="37"/>
      <c r="I3981" s="37"/>
      <c r="J3981" s="37"/>
    </row>
    <row r="3982" spans="1:10" x14ac:dyDescent="0.3">
      <c r="A3982" s="130"/>
      <c r="B3982" s="37"/>
      <c r="C3982" s="37"/>
      <c r="D3982" s="37"/>
      <c r="E3982" s="37"/>
      <c r="F3982" s="37"/>
      <c r="G3982" s="37"/>
      <c r="H3982" s="37"/>
      <c r="I3982" s="37"/>
      <c r="J3982" s="37"/>
    </row>
    <row r="3983" spans="1:10" x14ac:dyDescent="0.3">
      <c r="A3983" s="130"/>
      <c r="B3983" s="37"/>
      <c r="C3983" s="37"/>
      <c r="D3983" s="37"/>
      <c r="E3983" s="37"/>
      <c r="F3983" s="37"/>
      <c r="G3983" s="37"/>
      <c r="H3983" s="37"/>
      <c r="I3983" s="37"/>
      <c r="J3983" s="37"/>
    </row>
    <row r="3984" spans="1:10" x14ac:dyDescent="0.3">
      <c r="A3984" s="130"/>
      <c r="B3984" s="37"/>
      <c r="C3984" s="37"/>
      <c r="D3984" s="37"/>
      <c r="E3984" s="37"/>
      <c r="F3984" s="37"/>
      <c r="G3984" s="37"/>
      <c r="H3984" s="37"/>
      <c r="I3984" s="37"/>
      <c r="J3984" s="37"/>
    </row>
    <row r="3985" spans="1:10" x14ac:dyDescent="0.3">
      <c r="A3985" s="130"/>
      <c r="B3985" s="37"/>
      <c r="C3985" s="37"/>
      <c r="D3985" s="37"/>
      <c r="E3985" s="37"/>
      <c r="F3985" s="37"/>
      <c r="G3985" s="37"/>
      <c r="H3985" s="37"/>
      <c r="I3985" s="37"/>
      <c r="J3985" s="37"/>
    </row>
    <row r="3986" spans="1:10" x14ac:dyDescent="0.3">
      <c r="A3986" s="130"/>
      <c r="B3986" s="37"/>
      <c r="C3986" s="37"/>
      <c r="D3986" s="37"/>
      <c r="E3986" s="37"/>
      <c r="F3986" s="37"/>
      <c r="G3986" s="37"/>
      <c r="H3986" s="37"/>
      <c r="I3986" s="37"/>
      <c r="J3986" s="37"/>
    </row>
    <row r="3987" spans="1:10" x14ac:dyDescent="0.3">
      <c r="A3987" s="130"/>
      <c r="B3987" s="37"/>
      <c r="C3987" s="37"/>
      <c r="D3987" s="37"/>
      <c r="E3987" s="37"/>
      <c r="F3987" s="37"/>
      <c r="G3987" s="37"/>
      <c r="H3987" s="37"/>
      <c r="I3987" s="37"/>
      <c r="J3987" s="37"/>
    </row>
    <row r="3988" spans="1:10" x14ac:dyDescent="0.3">
      <c r="A3988" s="130"/>
      <c r="B3988" s="37"/>
      <c r="C3988" s="37"/>
      <c r="D3988" s="37"/>
      <c r="E3988" s="37"/>
      <c r="F3988" s="37"/>
      <c r="G3988" s="37"/>
      <c r="H3988" s="37"/>
      <c r="I3988" s="37"/>
      <c r="J3988" s="37"/>
    </row>
    <row r="3989" spans="1:10" x14ac:dyDescent="0.3">
      <c r="A3989" s="130"/>
      <c r="B3989" s="37"/>
      <c r="C3989" s="37"/>
      <c r="D3989" s="37"/>
      <c r="E3989" s="37"/>
      <c r="F3989" s="37"/>
      <c r="G3989" s="37"/>
      <c r="H3989" s="37"/>
      <c r="I3989" s="37"/>
      <c r="J3989" s="37"/>
    </row>
    <row r="3990" spans="1:10" x14ac:dyDescent="0.3">
      <c r="A3990" s="130"/>
      <c r="B3990" s="37"/>
      <c r="C3990" s="37"/>
      <c r="D3990" s="37"/>
      <c r="E3990" s="37"/>
      <c r="F3990" s="37"/>
      <c r="G3990" s="37"/>
      <c r="H3990" s="37"/>
      <c r="I3990" s="37"/>
      <c r="J3990" s="37"/>
    </row>
    <row r="3991" spans="1:10" x14ac:dyDescent="0.3">
      <c r="A3991" s="130"/>
      <c r="B3991" s="37"/>
      <c r="C3991" s="37"/>
      <c r="D3991" s="37"/>
      <c r="E3991" s="37"/>
      <c r="F3991" s="37"/>
      <c r="G3991" s="37"/>
      <c r="H3991" s="37"/>
      <c r="I3991" s="37"/>
      <c r="J3991" s="37"/>
    </row>
    <row r="3992" spans="1:10" x14ac:dyDescent="0.3">
      <c r="A3992" s="130"/>
      <c r="B3992" s="37"/>
      <c r="C3992" s="37"/>
      <c r="D3992" s="37"/>
      <c r="E3992" s="37"/>
      <c r="F3992" s="37"/>
      <c r="G3992" s="37"/>
      <c r="H3992" s="37"/>
      <c r="I3992" s="37"/>
      <c r="J3992" s="37"/>
    </row>
    <row r="3993" spans="1:10" x14ac:dyDescent="0.3">
      <c r="A3993" s="130"/>
      <c r="B3993" s="37"/>
      <c r="C3993" s="37"/>
      <c r="D3993" s="37"/>
      <c r="E3993" s="37"/>
      <c r="F3993" s="37"/>
      <c r="G3993" s="37"/>
      <c r="H3993" s="37"/>
      <c r="I3993" s="37"/>
      <c r="J3993" s="37"/>
    </row>
    <row r="3994" spans="1:10" x14ac:dyDescent="0.3">
      <c r="A3994" s="130"/>
      <c r="B3994" s="37"/>
      <c r="C3994" s="37"/>
      <c r="D3994" s="37"/>
      <c r="E3994" s="37"/>
      <c r="F3994" s="37"/>
      <c r="G3994" s="37"/>
      <c r="H3994" s="37"/>
      <c r="I3994" s="37"/>
      <c r="J3994" s="37"/>
    </row>
    <row r="3995" spans="1:10" x14ac:dyDescent="0.3">
      <c r="A3995" s="130"/>
      <c r="B3995" s="37"/>
      <c r="C3995" s="37"/>
      <c r="D3995" s="37"/>
      <c r="E3995" s="37"/>
      <c r="F3995" s="37"/>
      <c r="G3995" s="37"/>
      <c r="H3995" s="37"/>
      <c r="I3995" s="37"/>
      <c r="J3995" s="37"/>
    </row>
    <row r="3996" spans="1:10" x14ac:dyDescent="0.3">
      <c r="A3996" s="130"/>
      <c r="B3996" s="37"/>
      <c r="C3996" s="37"/>
      <c r="D3996" s="37"/>
      <c r="E3996" s="37"/>
      <c r="F3996" s="37"/>
      <c r="G3996" s="37"/>
      <c r="H3996" s="37"/>
      <c r="I3996" s="37"/>
      <c r="J3996" s="37"/>
    </row>
    <row r="3997" spans="1:10" x14ac:dyDescent="0.3">
      <c r="A3997" s="130"/>
      <c r="B3997" s="37"/>
      <c r="C3997" s="37"/>
      <c r="D3997" s="37"/>
      <c r="E3997" s="37"/>
      <c r="F3997" s="37"/>
      <c r="G3997" s="37"/>
      <c r="H3997" s="37"/>
      <c r="I3997" s="37"/>
      <c r="J3997" s="37"/>
    </row>
    <row r="3998" spans="1:10" x14ac:dyDescent="0.3">
      <c r="A3998" s="130"/>
      <c r="B3998" s="37"/>
      <c r="C3998" s="37"/>
      <c r="D3998" s="37"/>
      <c r="E3998" s="37"/>
      <c r="F3998" s="37"/>
      <c r="G3998" s="37"/>
      <c r="H3998" s="37"/>
      <c r="I3998" s="37"/>
      <c r="J3998" s="37"/>
    </row>
    <row r="3999" spans="1:10" x14ac:dyDescent="0.3">
      <c r="A3999" s="130"/>
      <c r="B3999" s="37"/>
      <c r="C3999" s="37"/>
      <c r="D3999" s="37"/>
      <c r="E3999" s="37"/>
      <c r="F3999" s="37"/>
      <c r="G3999" s="37"/>
      <c r="H3999" s="37"/>
      <c r="I3999" s="37"/>
      <c r="J3999" s="37"/>
    </row>
    <row r="4000" spans="1:10" x14ac:dyDescent="0.3">
      <c r="A4000" s="130"/>
      <c r="B4000" s="37"/>
      <c r="C4000" s="37"/>
      <c r="D4000" s="37"/>
      <c r="E4000" s="37"/>
      <c r="F4000" s="37"/>
      <c r="G4000" s="37"/>
      <c r="H4000" s="37"/>
      <c r="I4000" s="37"/>
      <c r="J4000" s="37"/>
    </row>
    <row r="4001" spans="1:10" x14ac:dyDescent="0.3">
      <c r="A4001" s="130"/>
      <c r="B4001" s="37"/>
      <c r="C4001" s="37"/>
      <c r="D4001" s="37"/>
      <c r="E4001" s="37"/>
      <c r="F4001" s="37"/>
      <c r="G4001" s="37"/>
      <c r="H4001" s="37"/>
      <c r="I4001" s="37"/>
      <c r="J4001" s="37"/>
    </row>
    <row r="4002" spans="1:10" x14ac:dyDescent="0.3">
      <c r="A4002" s="130"/>
      <c r="B4002" s="37"/>
      <c r="C4002" s="37"/>
      <c r="D4002" s="37"/>
      <c r="E4002" s="37"/>
      <c r="F4002" s="37"/>
      <c r="G4002" s="37"/>
      <c r="H4002" s="37"/>
      <c r="I4002" s="37"/>
      <c r="J4002" s="37"/>
    </row>
    <row r="4003" spans="1:10" x14ac:dyDescent="0.3">
      <c r="A4003" s="130"/>
      <c r="B4003" s="37"/>
      <c r="C4003" s="37"/>
      <c r="D4003" s="37"/>
      <c r="E4003" s="37"/>
      <c r="F4003" s="37"/>
      <c r="G4003" s="37"/>
      <c r="H4003" s="37"/>
      <c r="I4003" s="37"/>
      <c r="J4003" s="37"/>
    </row>
    <row r="4004" spans="1:10" x14ac:dyDescent="0.3">
      <c r="A4004" s="130"/>
      <c r="B4004" s="37"/>
      <c r="C4004" s="37"/>
      <c r="D4004" s="37"/>
      <c r="E4004" s="37"/>
      <c r="F4004" s="37"/>
      <c r="G4004" s="37"/>
      <c r="H4004" s="37"/>
      <c r="I4004" s="37"/>
      <c r="J4004" s="37"/>
    </row>
    <row r="4005" spans="1:10" x14ac:dyDescent="0.3">
      <c r="A4005" s="130"/>
      <c r="B4005" s="37"/>
      <c r="C4005" s="37"/>
      <c r="D4005" s="37"/>
      <c r="E4005" s="37"/>
      <c r="F4005" s="37"/>
      <c r="G4005" s="37"/>
      <c r="H4005" s="37"/>
      <c r="I4005" s="37"/>
      <c r="J4005" s="37"/>
    </row>
    <row r="4006" spans="1:10" x14ac:dyDescent="0.3">
      <c r="A4006" s="130"/>
      <c r="B4006" s="37"/>
      <c r="C4006" s="37"/>
      <c r="D4006" s="37"/>
      <c r="E4006" s="37"/>
      <c r="F4006" s="37"/>
      <c r="G4006" s="37"/>
      <c r="H4006" s="37"/>
      <c r="I4006" s="37"/>
      <c r="J4006" s="37"/>
    </row>
    <row r="4007" spans="1:10" x14ac:dyDescent="0.3">
      <c r="A4007" s="130"/>
      <c r="B4007" s="37"/>
      <c r="C4007" s="37"/>
      <c r="D4007" s="37"/>
      <c r="E4007" s="37"/>
      <c r="F4007" s="37"/>
      <c r="G4007" s="37"/>
      <c r="H4007" s="37"/>
      <c r="I4007" s="37"/>
      <c r="J4007" s="37"/>
    </row>
    <row r="4008" spans="1:10" x14ac:dyDescent="0.3">
      <c r="A4008" s="130"/>
      <c r="B4008" s="37"/>
      <c r="C4008" s="37"/>
      <c r="D4008" s="37"/>
      <c r="E4008" s="37"/>
      <c r="F4008" s="37"/>
      <c r="G4008" s="37"/>
      <c r="H4008" s="37"/>
      <c r="I4008" s="37"/>
      <c r="J4008" s="37"/>
    </row>
    <row r="4009" spans="1:10" x14ac:dyDescent="0.3">
      <c r="A4009" s="130"/>
      <c r="B4009" s="37"/>
      <c r="C4009" s="37"/>
      <c r="D4009" s="37"/>
      <c r="E4009" s="37"/>
      <c r="F4009" s="37"/>
      <c r="G4009" s="37"/>
      <c r="H4009" s="37"/>
      <c r="I4009" s="37"/>
      <c r="J4009" s="37"/>
    </row>
    <row r="4010" spans="1:10" x14ac:dyDescent="0.3">
      <c r="A4010" s="130"/>
      <c r="B4010" s="37"/>
      <c r="C4010" s="37"/>
      <c r="D4010" s="37"/>
      <c r="E4010" s="37"/>
      <c r="F4010" s="37"/>
      <c r="G4010" s="37"/>
      <c r="H4010" s="37"/>
      <c r="I4010" s="37"/>
      <c r="J4010" s="37"/>
    </row>
    <row r="4011" spans="1:10" x14ac:dyDescent="0.3">
      <c r="A4011" s="130"/>
      <c r="B4011" s="37"/>
      <c r="C4011" s="37"/>
      <c r="D4011" s="37"/>
      <c r="E4011" s="37"/>
      <c r="F4011" s="37"/>
      <c r="G4011" s="37"/>
      <c r="H4011" s="37"/>
      <c r="I4011" s="37"/>
      <c r="J4011" s="37"/>
    </row>
    <row r="4012" spans="1:10" x14ac:dyDescent="0.3">
      <c r="A4012" s="130"/>
      <c r="B4012" s="37"/>
      <c r="C4012" s="37"/>
      <c r="D4012" s="37"/>
      <c r="E4012" s="37"/>
      <c r="F4012" s="37"/>
      <c r="G4012" s="37"/>
      <c r="H4012" s="37"/>
      <c r="I4012" s="37"/>
      <c r="J4012" s="37"/>
    </row>
    <row r="4013" spans="1:10" x14ac:dyDescent="0.3">
      <c r="A4013" s="130"/>
      <c r="B4013" s="37"/>
      <c r="C4013" s="37"/>
      <c r="D4013" s="37"/>
      <c r="E4013" s="37"/>
      <c r="F4013" s="37"/>
      <c r="G4013" s="37"/>
      <c r="H4013" s="37"/>
      <c r="I4013" s="37"/>
      <c r="J4013" s="37"/>
    </row>
    <row r="4014" spans="1:10" x14ac:dyDescent="0.3">
      <c r="A4014" s="130"/>
      <c r="B4014" s="37"/>
      <c r="C4014" s="37"/>
      <c r="D4014" s="37"/>
      <c r="E4014" s="37"/>
      <c r="F4014" s="37"/>
      <c r="G4014" s="37"/>
      <c r="H4014" s="37"/>
      <c r="I4014" s="37"/>
      <c r="J4014" s="37"/>
    </row>
    <row r="4015" spans="1:10" x14ac:dyDescent="0.3">
      <c r="A4015" s="130"/>
      <c r="B4015" s="37"/>
      <c r="C4015" s="37"/>
      <c r="D4015" s="37"/>
      <c r="E4015" s="37"/>
      <c r="F4015" s="37"/>
      <c r="G4015" s="37"/>
      <c r="H4015" s="37"/>
      <c r="I4015" s="37"/>
      <c r="J4015" s="37"/>
    </row>
    <row r="4016" spans="1:10" x14ac:dyDescent="0.3">
      <c r="A4016" s="130"/>
      <c r="B4016" s="37"/>
      <c r="C4016" s="37"/>
      <c r="D4016" s="37"/>
      <c r="E4016" s="37"/>
      <c r="F4016" s="37"/>
      <c r="G4016" s="37"/>
      <c r="H4016" s="37"/>
      <c r="I4016" s="37"/>
      <c r="J4016" s="37"/>
    </row>
    <row r="4017" spans="1:10" x14ac:dyDescent="0.3">
      <c r="A4017" s="130"/>
      <c r="B4017" s="37"/>
      <c r="C4017" s="37"/>
      <c r="D4017" s="37"/>
      <c r="E4017" s="37"/>
      <c r="F4017" s="37"/>
      <c r="G4017" s="37"/>
      <c r="H4017" s="37"/>
      <c r="I4017" s="37"/>
      <c r="J4017" s="37"/>
    </row>
    <row r="4018" spans="1:10" x14ac:dyDescent="0.3">
      <c r="A4018" s="130"/>
      <c r="B4018" s="37"/>
      <c r="C4018" s="37"/>
      <c r="D4018" s="37"/>
      <c r="E4018" s="37"/>
      <c r="F4018" s="37"/>
      <c r="G4018" s="37"/>
      <c r="H4018" s="37"/>
      <c r="I4018" s="37"/>
      <c r="J4018" s="37"/>
    </row>
    <row r="4019" spans="1:10" x14ac:dyDescent="0.3">
      <c r="A4019" s="130"/>
      <c r="B4019" s="37"/>
      <c r="C4019" s="37"/>
      <c r="D4019" s="37"/>
      <c r="E4019" s="37"/>
      <c r="F4019" s="37"/>
      <c r="G4019" s="37"/>
      <c r="H4019" s="37"/>
      <c r="I4019" s="37"/>
      <c r="J4019" s="37"/>
    </row>
    <row r="4020" spans="1:10" x14ac:dyDescent="0.3">
      <c r="A4020" s="130"/>
      <c r="B4020" s="37"/>
      <c r="C4020" s="37"/>
      <c r="D4020" s="37"/>
      <c r="E4020" s="37"/>
      <c r="F4020" s="37"/>
      <c r="G4020" s="37"/>
      <c r="H4020" s="37"/>
      <c r="I4020" s="37"/>
      <c r="J4020" s="37"/>
    </row>
    <row r="4021" spans="1:10" x14ac:dyDescent="0.3">
      <c r="A4021" s="130"/>
      <c r="B4021" s="37"/>
      <c r="C4021" s="37"/>
      <c r="D4021" s="37"/>
      <c r="E4021" s="37"/>
      <c r="F4021" s="37"/>
      <c r="G4021" s="37"/>
      <c r="H4021" s="37"/>
      <c r="I4021" s="37"/>
      <c r="J4021" s="37"/>
    </row>
    <row r="4022" spans="1:10" x14ac:dyDescent="0.3">
      <c r="A4022" s="130"/>
      <c r="B4022" s="37"/>
      <c r="C4022" s="37"/>
      <c r="D4022" s="37"/>
      <c r="E4022" s="37"/>
      <c r="F4022" s="37"/>
      <c r="G4022" s="37"/>
      <c r="H4022" s="37"/>
      <c r="I4022" s="37"/>
      <c r="J4022" s="37"/>
    </row>
    <row r="4023" spans="1:10" x14ac:dyDescent="0.3">
      <c r="A4023" s="130"/>
      <c r="B4023" s="37"/>
      <c r="C4023" s="37"/>
      <c r="D4023" s="37"/>
      <c r="E4023" s="37"/>
      <c r="F4023" s="37"/>
      <c r="G4023" s="37"/>
      <c r="H4023" s="37"/>
      <c r="I4023" s="37"/>
      <c r="J4023" s="37"/>
    </row>
    <row r="4024" spans="1:10" x14ac:dyDescent="0.3">
      <c r="A4024" s="130"/>
      <c r="B4024" s="37"/>
      <c r="C4024" s="37"/>
      <c r="D4024" s="37"/>
      <c r="E4024" s="37"/>
      <c r="F4024" s="37"/>
      <c r="G4024" s="37"/>
      <c r="H4024" s="37"/>
      <c r="I4024" s="37"/>
      <c r="J4024" s="37"/>
    </row>
    <row r="4025" spans="1:10" x14ac:dyDescent="0.3">
      <c r="A4025" s="130"/>
      <c r="B4025" s="37"/>
      <c r="C4025" s="37"/>
      <c r="D4025" s="37"/>
      <c r="E4025" s="37"/>
      <c r="F4025" s="37"/>
      <c r="G4025" s="37"/>
      <c r="H4025" s="37"/>
      <c r="I4025" s="37"/>
      <c r="J4025" s="37"/>
    </row>
    <row r="4026" spans="1:10" x14ac:dyDescent="0.3">
      <c r="A4026" s="130"/>
      <c r="B4026" s="37"/>
      <c r="C4026" s="37"/>
      <c r="D4026" s="37"/>
      <c r="E4026" s="37"/>
      <c r="F4026" s="37"/>
      <c r="G4026" s="37"/>
      <c r="H4026" s="37"/>
      <c r="I4026" s="37"/>
      <c r="J4026" s="37"/>
    </row>
    <row r="4027" spans="1:10" x14ac:dyDescent="0.3">
      <c r="A4027" s="130"/>
      <c r="B4027" s="37"/>
      <c r="C4027" s="37"/>
      <c r="D4027" s="37"/>
      <c r="E4027" s="37"/>
      <c r="F4027" s="37"/>
      <c r="G4027" s="37"/>
      <c r="H4027" s="37"/>
      <c r="I4027" s="37"/>
      <c r="J4027" s="37"/>
    </row>
    <row r="4028" spans="1:10" x14ac:dyDescent="0.3">
      <c r="A4028" s="130"/>
      <c r="B4028" s="37"/>
      <c r="C4028" s="37"/>
      <c r="D4028" s="37"/>
      <c r="E4028" s="37"/>
      <c r="F4028" s="37"/>
      <c r="G4028" s="37"/>
      <c r="H4028" s="37"/>
      <c r="I4028" s="37"/>
      <c r="J4028" s="37"/>
    </row>
    <row r="4029" spans="1:10" x14ac:dyDescent="0.3">
      <c r="A4029" s="130"/>
      <c r="B4029" s="37"/>
      <c r="C4029" s="37"/>
      <c r="D4029" s="37"/>
      <c r="E4029" s="37"/>
      <c r="F4029" s="37"/>
      <c r="G4029" s="37"/>
      <c r="H4029" s="37"/>
      <c r="I4029" s="37"/>
      <c r="J4029" s="37"/>
    </row>
    <row r="4030" spans="1:10" x14ac:dyDescent="0.3">
      <c r="A4030" s="130"/>
      <c r="B4030" s="37"/>
      <c r="C4030" s="37"/>
      <c r="D4030" s="37"/>
      <c r="E4030" s="37"/>
      <c r="F4030" s="37"/>
      <c r="G4030" s="37"/>
      <c r="H4030" s="37"/>
      <c r="I4030" s="37"/>
      <c r="J4030" s="37"/>
    </row>
    <row r="4031" spans="1:10" x14ac:dyDescent="0.3">
      <c r="A4031" s="130"/>
      <c r="B4031" s="37"/>
      <c r="C4031" s="37"/>
      <c r="D4031" s="37"/>
      <c r="E4031" s="37"/>
      <c r="F4031" s="37"/>
      <c r="G4031" s="37"/>
      <c r="H4031" s="37"/>
      <c r="I4031" s="37"/>
      <c r="J4031" s="37"/>
    </row>
    <row r="4032" spans="1:10" x14ac:dyDescent="0.3">
      <c r="A4032" s="130"/>
      <c r="B4032" s="37"/>
      <c r="C4032" s="37"/>
      <c r="D4032" s="37"/>
      <c r="E4032" s="37"/>
      <c r="F4032" s="37"/>
      <c r="G4032" s="37"/>
      <c r="H4032" s="37"/>
      <c r="I4032" s="37"/>
      <c r="J4032" s="37"/>
    </row>
    <row r="4033" spans="1:10" x14ac:dyDescent="0.3">
      <c r="A4033" s="130"/>
      <c r="B4033" s="37"/>
      <c r="C4033" s="37"/>
      <c r="D4033" s="37"/>
      <c r="E4033" s="37"/>
      <c r="F4033" s="37"/>
      <c r="G4033" s="37"/>
      <c r="H4033" s="37"/>
      <c r="I4033" s="37"/>
      <c r="J4033" s="37"/>
    </row>
    <row r="4034" spans="1:10" x14ac:dyDescent="0.3">
      <c r="A4034" s="130"/>
      <c r="B4034" s="37"/>
      <c r="C4034" s="37"/>
      <c r="D4034" s="37"/>
      <c r="E4034" s="37"/>
      <c r="F4034" s="37"/>
      <c r="G4034" s="37"/>
      <c r="H4034" s="37"/>
      <c r="I4034" s="37"/>
      <c r="J4034" s="37"/>
    </row>
    <row r="4035" spans="1:10" x14ac:dyDescent="0.3">
      <c r="A4035" s="130"/>
      <c r="B4035" s="37"/>
      <c r="C4035" s="37"/>
      <c r="D4035" s="37"/>
      <c r="E4035" s="37"/>
      <c r="F4035" s="37"/>
      <c r="G4035" s="37"/>
      <c r="H4035" s="37"/>
      <c r="I4035" s="37"/>
      <c r="J4035" s="37"/>
    </row>
    <row r="4036" spans="1:10" x14ac:dyDescent="0.3">
      <c r="A4036" s="130"/>
      <c r="B4036" s="37"/>
      <c r="C4036" s="37"/>
      <c r="D4036" s="37"/>
      <c r="E4036" s="37"/>
      <c r="F4036" s="37"/>
      <c r="G4036" s="37"/>
      <c r="H4036" s="37"/>
      <c r="I4036" s="37"/>
      <c r="J4036" s="37"/>
    </row>
    <row r="4037" spans="1:10" x14ac:dyDescent="0.3">
      <c r="A4037" s="130"/>
      <c r="B4037" s="37"/>
      <c r="C4037" s="37"/>
      <c r="D4037" s="37"/>
      <c r="E4037" s="37"/>
      <c r="F4037" s="37"/>
      <c r="G4037" s="37"/>
      <c r="H4037" s="37"/>
      <c r="I4037" s="37"/>
      <c r="J4037" s="37"/>
    </row>
    <row r="4038" spans="1:10" x14ac:dyDescent="0.3">
      <c r="A4038" s="130"/>
      <c r="B4038" s="37"/>
      <c r="C4038" s="37"/>
      <c r="D4038" s="37"/>
      <c r="E4038" s="37"/>
      <c r="F4038" s="37"/>
      <c r="G4038" s="37"/>
      <c r="H4038" s="37"/>
      <c r="I4038" s="37"/>
      <c r="J4038" s="37"/>
    </row>
    <row r="4039" spans="1:10" x14ac:dyDescent="0.3">
      <c r="A4039" s="130"/>
      <c r="B4039" s="37"/>
      <c r="C4039" s="37"/>
      <c r="D4039" s="37"/>
      <c r="E4039" s="37"/>
      <c r="F4039" s="37"/>
      <c r="G4039" s="37"/>
      <c r="H4039" s="37"/>
      <c r="I4039" s="37"/>
      <c r="J4039" s="37"/>
    </row>
    <row r="4040" spans="1:10" x14ac:dyDescent="0.3">
      <c r="A4040" s="130"/>
      <c r="B4040" s="37"/>
      <c r="C4040" s="37"/>
      <c r="D4040" s="37"/>
      <c r="E4040" s="37"/>
      <c r="F4040" s="37"/>
      <c r="G4040" s="37"/>
      <c r="H4040" s="37"/>
      <c r="I4040" s="37"/>
      <c r="J4040" s="37"/>
    </row>
    <row r="4041" spans="1:10" x14ac:dyDescent="0.3">
      <c r="A4041" s="130"/>
      <c r="B4041" s="37"/>
      <c r="C4041" s="37"/>
      <c r="D4041" s="37"/>
      <c r="E4041" s="37"/>
      <c r="F4041" s="37"/>
      <c r="G4041" s="37"/>
      <c r="H4041" s="37"/>
      <c r="I4041" s="37"/>
      <c r="J4041" s="37"/>
    </row>
    <row r="4042" spans="1:10" x14ac:dyDescent="0.3">
      <c r="A4042" s="130"/>
      <c r="B4042" s="37"/>
      <c r="C4042" s="37"/>
      <c r="D4042" s="37"/>
      <c r="E4042" s="37"/>
      <c r="F4042" s="37"/>
      <c r="G4042" s="37"/>
      <c r="H4042" s="37"/>
      <c r="I4042" s="37"/>
      <c r="J4042" s="37"/>
    </row>
    <row r="4043" spans="1:10" x14ac:dyDescent="0.3">
      <c r="A4043" s="130"/>
      <c r="B4043" s="37"/>
      <c r="C4043" s="37"/>
      <c r="D4043" s="37"/>
      <c r="E4043" s="37"/>
      <c r="F4043" s="37"/>
      <c r="G4043" s="37"/>
      <c r="H4043" s="37"/>
      <c r="I4043" s="37"/>
      <c r="J4043" s="37"/>
    </row>
    <row r="4044" spans="1:10" x14ac:dyDescent="0.3">
      <c r="A4044" s="130"/>
      <c r="B4044" s="37"/>
      <c r="C4044" s="37"/>
      <c r="D4044" s="37"/>
      <c r="E4044" s="37"/>
      <c r="F4044" s="37"/>
      <c r="G4044" s="37"/>
      <c r="H4044" s="37"/>
      <c r="I4044" s="37"/>
      <c r="J4044" s="37"/>
    </row>
    <row r="4045" spans="1:10" x14ac:dyDescent="0.3">
      <c r="A4045" s="130"/>
      <c r="B4045" s="37"/>
      <c r="C4045" s="37"/>
      <c r="D4045" s="37"/>
      <c r="E4045" s="37"/>
      <c r="F4045" s="37"/>
      <c r="G4045" s="37"/>
      <c r="H4045" s="37"/>
      <c r="I4045" s="37"/>
      <c r="J4045" s="37"/>
    </row>
    <row r="4046" spans="1:10" x14ac:dyDescent="0.3">
      <c r="A4046" s="130"/>
      <c r="B4046" s="37"/>
      <c r="C4046" s="37"/>
      <c r="D4046" s="37"/>
      <c r="E4046" s="37"/>
      <c r="F4046" s="37"/>
      <c r="G4046" s="37"/>
      <c r="H4046" s="37"/>
      <c r="I4046" s="37"/>
      <c r="J4046" s="37"/>
    </row>
    <row r="4047" spans="1:10" x14ac:dyDescent="0.3">
      <c r="A4047" s="130"/>
      <c r="B4047" s="37"/>
      <c r="C4047" s="37"/>
      <c r="D4047" s="37"/>
      <c r="E4047" s="37"/>
      <c r="F4047" s="37"/>
      <c r="G4047" s="37"/>
      <c r="H4047" s="37"/>
      <c r="I4047" s="37"/>
      <c r="J4047" s="37"/>
    </row>
    <row r="4048" spans="1:10" x14ac:dyDescent="0.3">
      <c r="A4048" s="130"/>
      <c r="B4048" s="37"/>
      <c r="C4048" s="37"/>
      <c r="D4048" s="37"/>
      <c r="E4048" s="37"/>
      <c r="F4048" s="37"/>
      <c r="G4048" s="37"/>
      <c r="H4048" s="37"/>
      <c r="I4048" s="37"/>
      <c r="J4048" s="37"/>
    </row>
    <row r="4049" spans="1:10" x14ac:dyDescent="0.3">
      <c r="A4049" s="130"/>
      <c r="B4049" s="37"/>
      <c r="C4049" s="37"/>
      <c r="D4049" s="37"/>
      <c r="E4049" s="37"/>
      <c r="F4049" s="37"/>
      <c r="G4049" s="37"/>
      <c r="H4049" s="37"/>
      <c r="I4049" s="37"/>
      <c r="J4049" s="37"/>
    </row>
    <row r="4050" spans="1:10" x14ac:dyDescent="0.3">
      <c r="A4050" s="130"/>
      <c r="B4050" s="37"/>
      <c r="C4050" s="37"/>
      <c r="D4050" s="37"/>
      <c r="E4050" s="37"/>
      <c r="F4050" s="37"/>
      <c r="G4050" s="37"/>
      <c r="H4050" s="37"/>
      <c r="I4050" s="37"/>
      <c r="J4050" s="37"/>
    </row>
    <row r="4051" spans="1:10" x14ac:dyDescent="0.3">
      <c r="A4051" s="130"/>
      <c r="B4051" s="37"/>
      <c r="C4051" s="37"/>
      <c r="D4051" s="37"/>
      <c r="E4051" s="37"/>
      <c r="F4051" s="37"/>
      <c r="G4051" s="37"/>
      <c r="H4051" s="37"/>
      <c r="I4051" s="37"/>
      <c r="J4051" s="37"/>
    </row>
    <row r="4052" spans="1:10" x14ac:dyDescent="0.3">
      <c r="A4052" s="130"/>
      <c r="B4052" s="37"/>
      <c r="C4052" s="37"/>
      <c r="D4052" s="37"/>
      <c r="E4052" s="37"/>
      <c r="F4052" s="37"/>
      <c r="G4052" s="37"/>
      <c r="H4052" s="37"/>
      <c r="I4052" s="37"/>
      <c r="J4052" s="37"/>
    </row>
    <row r="4053" spans="1:10" x14ac:dyDescent="0.3">
      <c r="A4053" s="130"/>
      <c r="B4053" s="37"/>
      <c r="C4053" s="37"/>
      <c r="D4053" s="37"/>
      <c r="E4053" s="37"/>
      <c r="F4053" s="37"/>
      <c r="G4053" s="37"/>
      <c r="H4053" s="37"/>
      <c r="I4053" s="37"/>
      <c r="J4053" s="37"/>
    </row>
    <row r="4054" spans="1:10" x14ac:dyDescent="0.3">
      <c r="A4054" s="130"/>
      <c r="B4054" s="37"/>
      <c r="C4054" s="37"/>
      <c r="D4054" s="37"/>
      <c r="E4054" s="37"/>
      <c r="F4054" s="37"/>
      <c r="G4054" s="37"/>
      <c r="H4054" s="37"/>
      <c r="I4054" s="37"/>
      <c r="J4054" s="37"/>
    </row>
    <row r="4055" spans="1:10" x14ac:dyDescent="0.3">
      <c r="A4055" s="130"/>
      <c r="B4055" s="37"/>
      <c r="C4055" s="37"/>
      <c r="D4055" s="37"/>
      <c r="E4055" s="37"/>
      <c r="F4055" s="37"/>
      <c r="G4055" s="37"/>
      <c r="H4055" s="37"/>
      <c r="I4055" s="37"/>
      <c r="J4055" s="37"/>
    </row>
    <row r="4056" spans="1:10" x14ac:dyDescent="0.3">
      <c r="A4056" s="130"/>
      <c r="B4056" s="37"/>
      <c r="C4056" s="37"/>
      <c r="D4056" s="37"/>
      <c r="E4056" s="37"/>
      <c r="F4056" s="37"/>
      <c r="G4056" s="37"/>
      <c r="H4056" s="37"/>
      <c r="I4056" s="37"/>
      <c r="J4056" s="37"/>
    </row>
    <row r="4057" spans="1:10" x14ac:dyDescent="0.3">
      <c r="A4057" s="130"/>
      <c r="B4057" s="37"/>
      <c r="C4057" s="37"/>
      <c r="D4057" s="37"/>
      <c r="E4057" s="37"/>
      <c r="F4057" s="37"/>
      <c r="G4057" s="37"/>
      <c r="H4057" s="37"/>
      <c r="I4057" s="37"/>
      <c r="J4057" s="37"/>
    </row>
    <row r="4058" spans="1:10" x14ac:dyDescent="0.3">
      <c r="A4058" s="130"/>
      <c r="B4058" s="37"/>
      <c r="C4058" s="37"/>
      <c r="D4058" s="37"/>
      <c r="E4058" s="37"/>
      <c r="F4058" s="37"/>
      <c r="G4058" s="37"/>
      <c r="H4058" s="37"/>
      <c r="I4058" s="37"/>
      <c r="J4058" s="37"/>
    </row>
    <row r="4059" spans="1:10" x14ac:dyDescent="0.3">
      <c r="A4059" s="130"/>
      <c r="B4059" s="37"/>
      <c r="C4059" s="37"/>
      <c r="D4059" s="37"/>
      <c r="E4059" s="37"/>
      <c r="F4059" s="37"/>
      <c r="G4059" s="37"/>
      <c r="H4059" s="37"/>
      <c r="I4059" s="37"/>
      <c r="J4059" s="37"/>
    </row>
    <row r="4060" spans="1:10" x14ac:dyDescent="0.3">
      <c r="A4060" s="130"/>
      <c r="B4060" s="37"/>
      <c r="C4060" s="37"/>
      <c r="D4060" s="37"/>
      <c r="E4060" s="37"/>
      <c r="F4060" s="37"/>
      <c r="G4060" s="37"/>
      <c r="H4060" s="37"/>
      <c r="I4060" s="37"/>
      <c r="J4060" s="37"/>
    </row>
    <row r="4061" spans="1:10" x14ac:dyDescent="0.3">
      <c r="A4061" s="130"/>
      <c r="B4061" s="37"/>
      <c r="C4061" s="37"/>
      <c r="D4061" s="37"/>
      <c r="E4061" s="37"/>
      <c r="F4061" s="37"/>
      <c r="G4061" s="37"/>
      <c r="H4061" s="37"/>
      <c r="I4061" s="37"/>
      <c r="J4061" s="37"/>
    </row>
    <row r="4062" spans="1:10" x14ac:dyDescent="0.3">
      <c r="A4062" s="130"/>
      <c r="B4062" s="37"/>
      <c r="C4062" s="37"/>
      <c r="D4062" s="37"/>
      <c r="E4062" s="37"/>
      <c r="F4062" s="37"/>
      <c r="G4062" s="37"/>
      <c r="H4062" s="37"/>
      <c r="I4062" s="37"/>
      <c r="J4062" s="37"/>
    </row>
    <row r="4063" spans="1:10" x14ac:dyDescent="0.3">
      <c r="A4063" s="130"/>
      <c r="B4063" s="37"/>
      <c r="C4063" s="37"/>
      <c r="D4063" s="37"/>
      <c r="E4063" s="37"/>
      <c r="F4063" s="37"/>
      <c r="G4063" s="37"/>
      <c r="H4063" s="37"/>
      <c r="I4063" s="37"/>
      <c r="J4063" s="37"/>
    </row>
    <row r="4064" spans="1:10" x14ac:dyDescent="0.3">
      <c r="A4064" s="130"/>
      <c r="B4064" s="37"/>
      <c r="C4064" s="37"/>
      <c r="D4064" s="37"/>
      <c r="E4064" s="37"/>
      <c r="F4064" s="37"/>
      <c r="G4064" s="37"/>
      <c r="H4064" s="37"/>
      <c r="I4064" s="37"/>
      <c r="J4064" s="37"/>
    </row>
    <row r="4065" spans="1:10" x14ac:dyDescent="0.3">
      <c r="A4065" s="130"/>
      <c r="B4065" s="37"/>
      <c r="C4065" s="37"/>
      <c r="D4065" s="37"/>
      <c r="E4065" s="37"/>
      <c r="F4065" s="37"/>
      <c r="G4065" s="37"/>
      <c r="H4065" s="37"/>
      <c r="I4065" s="37"/>
      <c r="J4065" s="37"/>
    </row>
    <row r="4066" spans="1:10" x14ac:dyDescent="0.3">
      <c r="A4066" s="130"/>
      <c r="B4066" s="37"/>
      <c r="C4066" s="37"/>
      <c r="D4066" s="37"/>
      <c r="E4066" s="37"/>
      <c r="F4066" s="37"/>
      <c r="G4066" s="37"/>
      <c r="H4066" s="37"/>
      <c r="I4066" s="37"/>
      <c r="J4066" s="37"/>
    </row>
    <row r="4067" spans="1:10" x14ac:dyDescent="0.3">
      <c r="A4067" s="130"/>
      <c r="B4067" s="37"/>
      <c r="C4067" s="37"/>
      <c r="D4067" s="37"/>
      <c r="E4067" s="37"/>
      <c r="F4067" s="37"/>
      <c r="G4067" s="37"/>
      <c r="H4067" s="37"/>
      <c r="I4067" s="37"/>
      <c r="J4067" s="37"/>
    </row>
    <row r="4068" spans="1:10" x14ac:dyDescent="0.3">
      <c r="A4068" s="130"/>
      <c r="B4068" s="37"/>
      <c r="C4068" s="37"/>
      <c r="D4068" s="37"/>
      <c r="E4068" s="37"/>
      <c r="F4068" s="37"/>
      <c r="G4068" s="37"/>
      <c r="H4068" s="37"/>
      <c r="I4068" s="37"/>
      <c r="J4068" s="37"/>
    </row>
    <row r="4069" spans="1:10" x14ac:dyDescent="0.3">
      <c r="A4069" s="130"/>
      <c r="B4069" s="37"/>
      <c r="C4069" s="37"/>
      <c r="D4069" s="37"/>
      <c r="E4069" s="37"/>
      <c r="F4069" s="37"/>
      <c r="G4069" s="37"/>
      <c r="H4069" s="37"/>
      <c r="I4069" s="37"/>
      <c r="J4069" s="37"/>
    </row>
    <row r="4070" spans="1:10" x14ac:dyDescent="0.3">
      <c r="A4070" s="130"/>
      <c r="B4070" s="37"/>
      <c r="C4070" s="37"/>
      <c r="D4070" s="37"/>
      <c r="E4070" s="37"/>
      <c r="F4070" s="37"/>
      <c r="G4070" s="37"/>
      <c r="H4070" s="37"/>
      <c r="I4070" s="37"/>
      <c r="J4070" s="37"/>
    </row>
    <row r="4071" spans="1:10" x14ac:dyDescent="0.3">
      <c r="A4071" s="130"/>
      <c r="B4071" s="37"/>
      <c r="C4071" s="37"/>
      <c r="D4071" s="37"/>
      <c r="E4071" s="37"/>
      <c r="F4071" s="37"/>
      <c r="G4071" s="37"/>
      <c r="H4071" s="37"/>
      <c r="I4071" s="37"/>
      <c r="J4071" s="37"/>
    </row>
    <row r="4072" spans="1:10" x14ac:dyDescent="0.3">
      <c r="A4072" s="130"/>
      <c r="B4072" s="37"/>
      <c r="C4072" s="37"/>
      <c r="D4072" s="37"/>
      <c r="E4072" s="37"/>
      <c r="F4072" s="37"/>
      <c r="G4072" s="37"/>
      <c r="H4072" s="37"/>
      <c r="I4072" s="37"/>
      <c r="J4072" s="37"/>
    </row>
    <row r="4073" spans="1:10" x14ac:dyDescent="0.3">
      <c r="A4073" s="130"/>
      <c r="B4073" s="37"/>
      <c r="C4073" s="37"/>
      <c r="D4073" s="37"/>
      <c r="E4073" s="37"/>
      <c r="F4073" s="37"/>
      <c r="G4073" s="37"/>
      <c r="H4073" s="37"/>
      <c r="I4073" s="37"/>
      <c r="J4073" s="37"/>
    </row>
    <row r="4074" spans="1:10" x14ac:dyDescent="0.3">
      <c r="A4074" s="130"/>
      <c r="B4074" s="37"/>
      <c r="C4074" s="37"/>
      <c r="D4074" s="37"/>
      <c r="E4074" s="37"/>
      <c r="F4074" s="37"/>
      <c r="G4074" s="37"/>
      <c r="H4074" s="37"/>
      <c r="I4074" s="37"/>
      <c r="J4074" s="37"/>
    </row>
    <row r="4075" spans="1:10" x14ac:dyDescent="0.3">
      <c r="A4075" s="130"/>
      <c r="B4075" s="37"/>
      <c r="C4075" s="37"/>
      <c r="D4075" s="37"/>
      <c r="E4075" s="37"/>
      <c r="F4075" s="37"/>
      <c r="G4075" s="37"/>
      <c r="H4075" s="37"/>
      <c r="I4075" s="37"/>
      <c r="J4075" s="37"/>
    </row>
    <row r="4076" spans="1:10" x14ac:dyDescent="0.3">
      <c r="A4076" s="130"/>
      <c r="B4076" s="37"/>
      <c r="C4076" s="37"/>
      <c r="D4076" s="37"/>
      <c r="E4076" s="37"/>
      <c r="F4076" s="37"/>
      <c r="G4076" s="37"/>
      <c r="H4076" s="37"/>
      <c r="I4076" s="37"/>
      <c r="J4076" s="37"/>
    </row>
    <row r="4077" spans="1:10" x14ac:dyDescent="0.3">
      <c r="A4077" s="130"/>
      <c r="B4077" s="37"/>
      <c r="C4077" s="37"/>
      <c r="D4077" s="37"/>
      <c r="E4077" s="37"/>
      <c r="F4077" s="37"/>
      <c r="G4077" s="37"/>
      <c r="H4077" s="37"/>
      <c r="I4077" s="37"/>
      <c r="J4077" s="37"/>
    </row>
    <row r="4078" spans="1:10" x14ac:dyDescent="0.3">
      <c r="A4078" s="130"/>
      <c r="B4078" s="37"/>
      <c r="C4078" s="37"/>
      <c r="D4078" s="37"/>
      <c r="E4078" s="37"/>
      <c r="F4078" s="37"/>
      <c r="G4078" s="37"/>
      <c r="H4078" s="37"/>
      <c r="I4078" s="37"/>
      <c r="J4078" s="37"/>
    </row>
    <row r="4079" spans="1:10" x14ac:dyDescent="0.3">
      <c r="A4079" s="130"/>
      <c r="B4079" s="37"/>
      <c r="C4079" s="37"/>
      <c r="D4079" s="37"/>
      <c r="E4079" s="37"/>
      <c r="F4079" s="37"/>
      <c r="G4079" s="37"/>
      <c r="H4079" s="37"/>
      <c r="I4079" s="37"/>
      <c r="J4079" s="37"/>
    </row>
    <row r="4080" spans="1:10" x14ac:dyDescent="0.3">
      <c r="A4080" s="130"/>
      <c r="B4080" s="37"/>
      <c r="C4080" s="37"/>
      <c r="D4080" s="37"/>
      <c r="E4080" s="37"/>
      <c r="F4080" s="37"/>
      <c r="G4080" s="37"/>
      <c r="H4080" s="37"/>
      <c r="I4080" s="37"/>
      <c r="J4080" s="37"/>
    </row>
    <row r="4081" spans="1:10" x14ac:dyDescent="0.3">
      <c r="A4081" s="130"/>
      <c r="B4081" s="37"/>
      <c r="C4081" s="37"/>
      <c r="D4081" s="37"/>
      <c r="E4081" s="37"/>
      <c r="F4081" s="37"/>
      <c r="G4081" s="37"/>
      <c r="H4081" s="37"/>
      <c r="I4081" s="37"/>
      <c r="J4081" s="37"/>
    </row>
    <row r="4082" spans="1:10" x14ac:dyDescent="0.3">
      <c r="A4082" s="130"/>
      <c r="B4082" s="37"/>
      <c r="C4082" s="37"/>
      <c r="D4082" s="37"/>
      <c r="E4082" s="37"/>
      <c r="F4082" s="37"/>
      <c r="G4082" s="37"/>
      <c r="H4082" s="37"/>
      <c r="I4082" s="37"/>
      <c r="J4082" s="37"/>
    </row>
    <row r="4083" spans="1:10" x14ac:dyDescent="0.3">
      <c r="A4083" s="130"/>
      <c r="B4083" s="37"/>
      <c r="C4083" s="37"/>
      <c r="D4083" s="37"/>
      <c r="E4083" s="37"/>
      <c r="F4083" s="37"/>
      <c r="G4083" s="37"/>
      <c r="H4083" s="37"/>
      <c r="I4083" s="37"/>
      <c r="J4083" s="37"/>
    </row>
    <row r="4084" spans="1:10" x14ac:dyDescent="0.3">
      <c r="A4084" s="130"/>
      <c r="B4084" s="37"/>
      <c r="C4084" s="37"/>
      <c r="D4084" s="37"/>
      <c r="E4084" s="37"/>
      <c r="F4084" s="37"/>
      <c r="G4084" s="37"/>
      <c r="H4084" s="37"/>
      <c r="I4084" s="37"/>
      <c r="J4084" s="37"/>
    </row>
    <row r="4085" spans="1:10" x14ac:dyDescent="0.3">
      <c r="A4085" s="130"/>
      <c r="B4085" s="37"/>
      <c r="C4085" s="37"/>
      <c r="D4085" s="37"/>
      <c r="E4085" s="37"/>
      <c r="F4085" s="37"/>
      <c r="G4085" s="37"/>
      <c r="H4085" s="37"/>
      <c r="I4085" s="37"/>
      <c r="J4085" s="37"/>
    </row>
    <row r="4086" spans="1:10" x14ac:dyDescent="0.3">
      <c r="A4086" s="130"/>
      <c r="B4086" s="37"/>
      <c r="C4086" s="37"/>
      <c r="D4086" s="37"/>
      <c r="E4086" s="37"/>
      <c r="F4086" s="37"/>
      <c r="G4086" s="37"/>
      <c r="H4086" s="37"/>
      <c r="I4086" s="37"/>
      <c r="J4086" s="37"/>
    </row>
    <row r="4087" spans="1:10" x14ac:dyDescent="0.3">
      <c r="A4087" s="130"/>
      <c r="B4087" s="37"/>
      <c r="C4087" s="37"/>
      <c r="D4087" s="37"/>
      <c r="E4087" s="37"/>
      <c r="F4087" s="37"/>
      <c r="G4087" s="37"/>
      <c r="H4087" s="37"/>
      <c r="I4087" s="37"/>
      <c r="J4087" s="37"/>
    </row>
    <row r="4088" spans="1:10" x14ac:dyDescent="0.3">
      <c r="A4088" s="130"/>
      <c r="B4088" s="37"/>
      <c r="C4088" s="37"/>
      <c r="D4088" s="37"/>
      <c r="E4088" s="37"/>
      <c r="F4088" s="37"/>
      <c r="G4088" s="37"/>
      <c r="H4088" s="37"/>
      <c r="I4088" s="37"/>
      <c r="J4088" s="37"/>
    </row>
    <row r="4089" spans="1:10" x14ac:dyDescent="0.3">
      <c r="A4089" s="130"/>
      <c r="B4089" s="37"/>
      <c r="C4089" s="37"/>
      <c r="D4089" s="37"/>
      <c r="E4089" s="37"/>
      <c r="F4089" s="37"/>
      <c r="G4089" s="37"/>
      <c r="H4089" s="37"/>
      <c r="I4089" s="37"/>
      <c r="J4089" s="37"/>
    </row>
    <row r="4090" spans="1:10" x14ac:dyDescent="0.3">
      <c r="A4090" s="130"/>
      <c r="B4090" s="37"/>
      <c r="C4090" s="37"/>
      <c r="D4090" s="37"/>
      <c r="E4090" s="37"/>
      <c r="F4090" s="37"/>
      <c r="G4090" s="37"/>
      <c r="H4090" s="37"/>
      <c r="I4090" s="37"/>
      <c r="J4090" s="37"/>
    </row>
    <row r="4091" spans="1:10" x14ac:dyDescent="0.3">
      <c r="A4091" s="130"/>
      <c r="B4091" s="37"/>
      <c r="C4091" s="37"/>
      <c r="D4091" s="37"/>
      <c r="E4091" s="37"/>
      <c r="F4091" s="37"/>
      <c r="G4091" s="37"/>
      <c r="H4091" s="37"/>
      <c r="I4091" s="37"/>
      <c r="J4091" s="37"/>
    </row>
    <row r="4092" spans="1:10" x14ac:dyDescent="0.3">
      <c r="A4092" s="130"/>
      <c r="B4092" s="37"/>
      <c r="C4092" s="37"/>
      <c r="D4092" s="37"/>
      <c r="E4092" s="37"/>
      <c r="F4092" s="37"/>
      <c r="G4092" s="37"/>
      <c r="H4092" s="37"/>
      <c r="I4092" s="37"/>
      <c r="J4092" s="37"/>
    </row>
    <row r="4093" spans="1:10" x14ac:dyDescent="0.3">
      <c r="A4093" s="130"/>
      <c r="B4093" s="37"/>
      <c r="C4093" s="37"/>
      <c r="D4093" s="37"/>
      <c r="E4093" s="37"/>
      <c r="F4093" s="37"/>
      <c r="G4093" s="37"/>
      <c r="H4093" s="37"/>
      <c r="I4093" s="37"/>
      <c r="J4093" s="37"/>
    </row>
    <row r="4094" spans="1:10" x14ac:dyDescent="0.3">
      <c r="A4094" s="130"/>
      <c r="B4094" s="37"/>
      <c r="C4094" s="37"/>
      <c r="D4094" s="37"/>
      <c r="E4094" s="37"/>
      <c r="F4094" s="37"/>
      <c r="G4094" s="37"/>
      <c r="H4094" s="37"/>
      <c r="I4094" s="37"/>
      <c r="J4094" s="37"/>
    </row>
    <row r="4095" spans="1:10" x14ac:dyDescent="0.3">
      <c r="A4095" s="130"/>
      <c r="B4095" s="37"/>
      <c r="C4095" s="37"/>
      <c r="D4095" s="37"/>
      <c r="E4095" s="37"/>
      <c r="F4095" s="37"/>
      <c r="G4095" s="37"/>
      <c r="H4095" s="37"/>
      <c r="I4095" s="37"/>
      <c r="J4095" s="37"/>
    </row>
    <row r="4096" spans="1:10" x14ac:dyDescent="0.3">
      <c r="A4096" s="130"/>
      <c r="B4096" s="37"/>
      <c r="C4096" s="37"/>
      <c r="D4096" s="37"/>
      <c r="E4096" s="37"/>
      <c r="F4096" s="37"/>
      <c r="G4096" s="37"/>
      <c r="H4096" s="37"/>
      <c r="I4096" s="37"/>
      <c r="J4096" s="37"/>
    </row>
    <row r="4097" spans="1:10" x14ac:dyDescent="0.3">
      <c r="A4097" s="130"/>
      <c r="B4097" s="37"/>
      <c r="C4097" s="37"/>
      <c r="D4097" s="37"/>
      <c r="E4097" s="37"/>
      <c r="F4097" s="37"/>
      <c r="G4097" s="37"/>
      <c r="H4097" s="37"/>
      <c r="I4097" s="37"/>
      <c r="J4097" s="37"/>
    </row>
    <row r="4098" spans="1:10" x14ac:dyDescent="0.3">
      <c r="A4098" s="130"/>
      <c r="B4098" s="37"/>
      <c r="C4098" s="37"/>
      <c r="D4098" s="37"/>
      <c r="E4098" s="37"/>
      <c r="F4098" s="37"/>
      <c r="G4098" s="37"/>
      <c r="H4098" s="37"/>
      <c r="I4098" s="37"/>
      <c r="J4098" s="37"/>
    </row>
    <row r="4099" spans="1:10" x14ac:dyDescent="0.3">
      <c r="A4099" s="130"/>
      <c r="B4099" s="37"/>
      <c r="C4099" s="37"/>
      <c r="D4099" s="37"/>
      <c r="E4099" s="37"/>
      <c r="F4099" s="37"/>
      <c r="G4099" s="37"/>
      <c r="H4099" s="37"/>
      <c r="I4099" s="37"/>
      <c r="J4099" s="37"/>
    </row>
    <row r="4100" spans="1:10" x14ac:dyDescent="0.3">
      <c r="A4100" s="130"/>
      <c r="B4100" s="37"/>
      <c r="C4100" s="37"/>
      <c r="D4100" s="37"/>
      <c r="E4100" s="37"/>
      <c r="F4100" s="37"/>
      <c r="G4100" s="37"/>
      <c r="H4100" s="37"/>
      <c r="I4100" s="37"/>
      <c r="J4100" s="37"/>
    </row>
    <row r="4101" spans="1:10" x14ac:dyDescent="0.3">
      <c r="A4101" s="130"/>
      <c r="B4101" s="37"/>
      <c r="C4101" s="37"/>
      <c r="D4101" s="37"/>
      <c r="E4101" s="37"/>
      <c r="F4101" s="37"/>
      <c r="G4101" s="37"/>
      <c r="H4101" s="37"/>
      <c r="I4101" s="37"/>
      <c r="J4101" s="37"/>
    </row>
    <row r="4102" spans="1:10" x14ac:dyDescent="0.3">
      <c r="A4102" s="130"/>
      <c r="B4102" s="37"/>
      <c r="C4102" s="37"/>
      <c r="D4102" s="37"/>
      <c r="E4102" s="37"/>
      <c r="F4102" s="37"/>
      <c r="G4102" s="37"/>
      <c r="H4102" s="37"/>
      <c r="I4102" s="37"/>
      <c r="J4102" s="37"/>
    </row>
    <row r="4103" spans="1:10" x14ac:dyDescent="0.3">
      <c r="A4103" s="130"/>
      <c r="B4103" s="37"/>
      <c r="C4103" s="37"/>
      <c r="D4103" s="37"/>
      <c r="E4103" s="37"/>
      <c r="F4103" s="37"/>
      <c r="G4103" s="37"/>
      <c r="H4103" s="37"/>
      <c r="I4103" s="37"/>
      <c r="J4103" s="37"/>
    </row>
    <row r="4104" spans="1:10" x14ac:dyDescent="0.3">
      <c r="A4104" s="130"/>
      <c r="B4104" s="37"/>
      <c r="C4104" s="37"/>
      <c r="D4104" s="37"/>
      <c r="E4104" s="37"/>
      <c r="F4104" s="37"/>
      <c r="G4104" s="37"/>
      <c r="H4104" s="37"/>
      <c r="I4104" s="37"/>
      <c r="J4104" s="37"/>
    </row>
    <row r="4105" spans="1:10" x14ac:dyDescent="0.3">
      <c r="A4105" s="130"/>
      <c r="B4105" s="37"/>
      <c r="C4105" s="37"/>
      <c r="D4105" s="37"/>
      <c r="E4105" s="37"/>
      <c r="F4105" s="37"/>
      <c r="G4105" s="37"/>
      <c r="H4105" s="37"/>
      <c r="I4105" s="37"/>
      <c r="J4105" s="37"/>
    </row>
    <row r="4106" spans="1:10" x14ac:dyDescent="0.3">
      <c r="A4106" s="130"/>
      <c r="B4106" s="37"/>
      <c r="C4106" s="37"/>
      <c r="D4106" s="37"/>
      <c r="E4106" s="37"/>
      <c r="F4106" s="37"/>
      <c r="G4106" s="37"/>
      <c r="H4106" s="37"/>
      <c r="I4106" s="37"/>
      <c r="J4106" s="37"/>
    </row>
    <row r="4107" spans="1:10" x14ac:dyDescent="0.3">
      <c r="A4107" s="130"/>
      <c r="B4107" s="37"/>
      <c r="C4107" s="37"/>
      <c r="D4107" s="37"/>
      <c r="E4107" s="37"/>
      <c r="F4107" s="37"/>
      <c r="G4107" s="37"/>
      <c r="H4107" s="37"/>
      <c r="I4107" s="37"/>
      <c r="J4107" s="37"/>
    </row>
    <row r="4108" spans="1:10" x14ac:dyDescent="0.3">
      <c r="A4108" s="130"/>
      <c r="B4108" s="37"/>
      <c r="C4108" s="37"/>
      <c r="D4108" s="37"/>
      <c r="E4108" s="37"/>
      <c r="F4108" s="37"/>
      <c r="G4108" s="37"/>
      <c r="H4108" s="37"/>
      <c r="I4108" s="37"/>
      <c r="J4108" s="37"/>
    </row>
    <row r="4109" spans="1:10" x14ac:dyDescent="0.3">
      <c r="A4109" s="130"/>
      <c r="B4109" s="37"/>
      <c r="C4109" s="37"/>
      <c r="D4109" s="37"/>
      <c r="E4109" s="37"/>
      <c r="F4109" s="37"/>
      <c r="G4109" s="37"/>
      <c r="H4109" s="37"/>
      <c r="I4109" s="37"/>
      <c r="J4109" s="37"/>
    </row>
    <row r="4110" spans="1:10" x14ac:dyDescent="0.3">
      <c r="A4110" s="130"/>
      <c r="B4110" s="37"/>
      <c r="C4110" s="37"/>
      <c r="D4110" s="37"/>
      <c r="E4110" s="37"/>
      <c r="F4110" s="37"/>
      <c r="G4110" s="37"/>
      <c r="H4110" s="37"/>
      <c r="I4110" s="37"/>
      <c r="J4110" s="37"/>
    </row>
    <row r="4111" spans="1:10" x14ac:dyDescent="0.3">
      <c r="A4111" s="130"/>
      <c r="B4111" s="37"/>
      <c r="C4111" s="37"/>
      <c r="D4111" s="37"/>
      <c r="E4111" s="37"/>
      <c r="F4111" s="37"/>
      <c r="G4111" s="37"/>
      <c r="H4111" s="37"/>
      <c r="I4111" s="37"/>
      <c r="J4111" s="37"/>
    </row>
    <row r="4112" spans="1:10" x14ac:dyDescent="0.3">
      <c r="A4112" s="130"/>
      <c r="B4112" s="37"/>
      <c r="C4112" s="37"/>
      <c r="D4112" s="37"/>
      <c r="E4112" s="37"/>
      <c r="F4112" s="37"/>
      <c r="G4112" s="37"/>
      <c r="H4112" s="37"/>
      <c r="I4112" s="37"/>
      <c r="J4112" s="37"/>
    </row>
    <row r="4113" spans="1:10" x14ac:dyDescent="0.3">
      <c r="A4113" s="130"/>
      <c r="B4113" s="37"/>
      <c r="C4113" s="37"/>
      <c r="D4113" s="37"/>
      <c r="E4113" s="37"/>
      <c r="F4113" s="37"/>
      <c r="G4113" s="37"/>
      <c r="H4113" s="37"/>
      <c r="I4113" s="37"/>
      <c r="J4113" s="37"/>
    </row>
    <row r="4114" spans="1:10" x14ac:dyDescent="0.3">
      <c r="A4114" s="130"/>
      <c r="B4114" s="37"/>
      <c r="C4114" s="37"/>
      <c r="D4114" s="37"/>
      <c r="E4114" s="37"/>
      <c r="F4114" s="37"/>
      <c r="G4114" s="37"/>
      <c r="H4114" s="37"/>
      <c r="I4114" s="37"/>
      <c r="J4114" s="37"/>
    </row>
    <row r="4115" spans="1:10" x14ac:dyDescent="0.3">
      <c r="A4115" s="130"/>
      <c r="B4115" s="37"/>
      <c r="C4115" s="37"/>
      <c r="D4115" s="37"/>
      <c r="E4115" s="37"/>
      <c r="F4115" s="37"/>
      <c r="G4115" s="37"/>
      <c r="H4115" s="37"/>
      <c r="I4115" s="37"/>
      <c r="J4115" s="37"/>
    </row>
    <row r="4116" spans="1:10" x14ac:dyDescent="0.3">
      <c r="A4116" s="130"/>
      <c r="B4116" s="37"/>
      <c r="C4116" s="37"/>
      <c r="D4116" s="37"/>
      <c r="E4116" s="37"/>
      <c r="F4116" s="37"/>
      <c r="G4116" s="37"/>
      <c r="H4116" s="37"/>
      <c r="I4116" s="37"/>
      <c r="J4116" s="37"/>
    </row>
    <row r="4117" spans="1:10" x14ac:dyDescent="0.3">
      <c r="A4117" s="130"/>
      <c r="B4117" s="37"/>
      <c r="C4117" s="37"/>
      <c r="D4117" s="37"/>
      <c r="E4117" s="37"/>
      <c r="F4117" s="37"/>
      <c r="G4117" s="37"/>
      <c r="H4117" s="37"/>
      <c r="I4117" s="37"/>
      <c r="J4117" s="37"/>
    </row>
    <row r="4118" spans="1:10" x14ac:dyDescent="0.3">
      <c r="A4118" s="130"/>
      <c r="B4118" s="37"/>
      <c r="C4118" s="37"/>
      <c r="D4118" s="37"/>
      <c r="E4118" s="37"/>
      <c r="F4118" s="37"/>
      <c r="G4118" s="37"/>
      <c r="H4118" s="37"/>
      <c r="I4118" s="37"/>
      <c r="J4118" s="37"/>
    </row>
    <row r="4119" spans="1:10" x14ac:dyDescent="0.3">
      <c r="A4119" s="130"/>
      <c r="B4119" s="37"/>
      <c r="C4119" s="37"/>
      <c r="D4119" s="37"/>
      <c r="E4119" s="37"/>
      <c r="F4119" s="37"/>
      <c r="G4119" s="37"/>
      <c r="H4119" s="37"/>
      <c r="I4119" s="37"/>
      <c r="J4119" s="37"/>
    </row>
    <row r="4120" spans="1:10" x14ac:dyDescent="0.3">
      <c r="A4120" s="130"/>
      <c r="B4120" s="37"/>
      <c r="C4120" s="37"/>
      <c r="D4120" s="37"/>
      <c r="E4120" s="37"/>
      <c r="F4120" s="37"/>
      <c r="G4120" s="37"/>
      <c r="H4120" s="37"/>
      <c r="I4120" s="37"/>
      <c r="J4120" s="37"/>
    </row>
    <row r="4121" spans="1:10" x14ac:dyDescent="0.3">
      <c r="A4121" s="130"/>
      <c r="B4121" s="37"/>
      <c r="C4121" s="37"/>
      <c r="D4121" s="37"/>
      <c r="E4121" s="37"/>
      <c r="F4121" s="37"/>
      <c r="G4121" s="37"/>
      <c r="H4121" s="37"/>
      <c r="I4121" s="37"/>
      <c r="J4121" s="37"/>
    </row>
    <row r="4122" spans="1:10" x14ac:dyDescent="0.3">
      <c r="A4122" s="130"/>
      <c r="B4122" s="37"/>
      <c r="C4122" s="37"/>
      <c r="D4122" s="37"/>
      <c r="E4122" s="37"/>
      <c r="F4122" s="37"/>
      <c r="G4122" s="37"/>
      <c r="H4122" s="37"/>
      <c r="I4122" s="37"/>
      <c r="J4122" s="37"/>
    </row>
    <row r="4123" spans="1:10" x14ac:dyDescent="0.3">
      <c r="A4123" s="130"/>
      <c r="B4123" s="37"/>
      <c r="C4123" s="37"/>
      <c r="D4123" s="37"/>
      <c r="E4123" s="37"/>
      <c r="F4123" s="37"/>
      <c r="G4123" s="37"/>
      <c r="H4123" s="37"/>
      <c r="I4123" s="37"/>
      <c r="J4123" s="37"/>
    </row>
    <row r="4124" spans="1:10" x14ac:dyDescent="0.3">
      <c r="A4124" s="130"/>
      <c r="B4124" s="37"/>
      <c r="C4124" s="37"/>
      <c r="D4124" s="37"/>
      <c r="E4124" s="37"/>
      <c r="F4124" s="37"/>
      <c r="G4124" s="37"/>
      <c r="H4124" s="37"/>
      <c r="I4124" s="37"/>
      <c r="J4124" s="37"/>
    </row>
    <row r="4125" spans="1:10" x14ac:dyDescent="0.3">
      <c r="A4125" s="130"/>
      <c r="B4125" s="37"/>
      <c r="C4125" s="37"/>
      <c r="D4125" s="37"/>
      <c r="E4125" s="37"/>
      <c r="F4125" s="37"/>
      <c r="G4125" s="37"/>
      <c r="H4125" s="37"/>
      <c r="I4125" s="37"/>
      <c r="J4125" s="37"/>
    </row>
    <row r="4126" spans="1:10" x14ac:dyDescent="0.3">
      <c r="A4126" s="130"/>
      <c r="B4126" s="37"/>
      <c r="C4126" s="37"/>
      <c r="D4126" s="37"/>
      <c r="E4126" s="37"/>
      <c r="F4126" s="37"/>
      <c r="G4126" s="37"/>
      <c r="H4126" s="37"/>
      <c r="I4126" s="37"/>
      <c r="J4126" s="37"/>
    </row>
    <row r="4127" spans="1:10" x14ac:dyDescent="0.3">
      <c r="A4127" s="130"/>
      <c r="B4127" s="37"/>
      <c r="C4127" s="37"/>
      <c r="D4127" s="37"/>
      <c r="E4127" s="37"/>
      <c r="F4127" s="37"/>
      <c r="G4127" s="37"/>
      <c r="H4127" s="37"/>
      <c r="I4127" s="37"/>
      <c r="J4127" s="37"/>
    </row>
    <row r="4128" spans="1:10" x14ac:dyDescent="0.3">
      <c r="A4128" s="130"/>
      <c r="B4128" s="37"/>
      <c r="C4128" s="37"/>
      <c r="D4128" s="37"/>
      <c r="E4128" s="37"/>
      <c r="F4128" s="37"/>
      <c r="G4128" s="37"/>
      <c r="H4128" s="37"/>
      <c r="I4128" s="37"/>
      <c r="J4128" s="37"/>
    </row>
    <row r="4129" spans="1:10" x14ac:dyDescent="0.3">
      <c r="A4129" s="130"/>
      <c r="B4129" s="37"/>
      <c r="C4129" s="37"/>
      <c r="D4129" s="37"/>
      <c r="E4129" s="37"/>
      <c r="F4129" s="37"/>
      <c r="G4129" s="37"/>
      <c r="H4129" s="37"/>
      <c r="I4129" s="37"/>
      <c r="J4129" s="37"/>
    </row>
    <row r="4130" spans="1:10" x14ac:dyDescent="0.3">
      <c r="A4130" s="130"/>
      <c r="B4130" s="37"/>
      <c r="C4130" s="37"/>
      <c r="D4130" s="37"/>
      <c r="E4130" s="37"/>
      <c r="F4130" s="37"/>
      <c r="G4130" s="37"/>
      <c r="H4130" s="37"/>
      <c r="I4130" s="37"/>
      <c r="J4130" s="37"/>
    </row>
    <row r="4131" spans="1:10" x14ac:dyDescent="0.3">
      <c r="A4131" s="130"/>
      <c r="B4131" s="37"/>
      <c r="C4131" s="37"/>
      <c r="D4131" s="37"/>
      <c r="E4131" s="37"/>
      <c r="F4131" s="37"/>
      <c r="G4131" s="37"/>
      <c r="H4131" s="37"/>
      <c r="I4131" s="37"/>
      <c r="J4131" s="37"/>
    </row>
    <row r="4132" spans="1:10" x14ac:dyDescent="0.3">
      <c r="A4132" s="130"/>
      <c r="B4132" s="37"/>
      <c r="C4132" s="37"/>
      <c r="D4132" s="37"/>
      <c r="E4132" s="37"/>
      <c r="F4132" s="37"/>
      <c r="G4132" s="37"/>
      <c r="H4132" s="37"/>
      <c r="I4132" s="37"/>
      <c r="J4132" s="37"/>
    </row>
    <row r="4133" spans="1:10" x14ac:dyDescent="0.3">
      <c r="A4133" s="130"/>
      <c r="B4133" s="37"/>
      <c r="C4133" s="37"/>
      <c r="D4133" s="37"/>
      <c r="E4133" s="37"/>
      <c r="F4133" s="37"/>
      <c r="G4133" s="37"/>
      <c r="H4133" s="37"/>
      <c r="I4133" s="37"/>
      <c r="J4133" s="37"/>
    </row>
    <row r="4134" spans="1:10" x14ac:dyDescent="0.3">
      <c r="A4134" s="130"/>
      <c r="B4134" s="37"/>
      <c r="C4134" s="37"/>
      <c r="D4134" s="37"/>
      <c r="E4134" s="37"/>
      <c r="F4134" s="37"/>
      <c r="G4134" s="37"/>
      <c r="H4134" s="37"/>
      <c r="I4134" s="37"/>
      <c r="J4134" s="37"/>
    </row>
    <row r="4135" spans="1:10" x14ac:dyDescent="0.3">
      <c r="A4135" s="130"/>
      <c r="B4135" s="37"/>
      <c r="C4135" s="37"/>
      <c r="D4135" s="37"/>
      <c r="E4135" s="37"/>
      <c r="F4135" s="37"/>
      <c r="G4135" s="37"/>
      <c r="H4135" s="37"/>
      <c r="I4135" s="37"/>
      <c r="J4135" s="37"/>
    </row>
    <row r="4136" spans="1:10" x14ac:dyDescent="0.3">
      <c r="A4136" s="130"/>
      <c r="B4136" s="37"/>
      <c r="C4136" s="37"/>
      <c r="D4136" s="37"/>
      <c r="E4136" s="37"/>
      <c r="F4136" s="37"/>
      <c r="G4136" s="37"/>
      <c r="H4136" s="37"/>
      <c r="I4136" s="37"/>
      <c r="J4136" s="37"/>
    </row>
    <row r="4137" spans="1:10" x14ac:dyDescent="0.3">
      <c r="A4137" s="130"/>
      <c r="B4137" s="37"/>
      <c r="C4137" s="37"/>
      <c r="D4137" s="37"/>
      <c r="E4137" s="37"/>
      <c r="F4137" s="37"/>
      <c r="G4137" s="37"/>
      <c r="H4137" s="37"/>
      <c r="I4137" s="37"/>
      <c r="J4137" s="37"/>
    </row>
    <row r="4138" spans="1:10" x14ac:dyDescent="0.3">
      <c r="A4138" s="130"/>
      <c r="B4138" s="37"/>
      <c r="C4138" s="37"/>
      <c r="D4138" s="37"/>
      <c r="E4138" s="37"/>
      <c r="F4138" s="37"/>
      <c r="G4138" s="37"/>
      <c r="H4138" s="37"/>
      <c r="I4138" s="37"/>
      <c r="J4138" s="37"/>
    </row>
    <row r="4139" spans="1:10" x14ac:dyDescent="0.3">
      <c r="A4139" s="130"/>
      <c r="B4139" s="37"/>
      <c r="C4139" s="37"/>
      <c r="D4139" s="37"/>
      <c r="E4139" s="37"/>
      <c r="F4139" s="37"/>
      <c r="G4139" s="37"/>
      <c r="H4139" s="37"/>
      <c r="I4139" s="37"/>
      <c r="J4139" s="37"/>
    </row>
    <row r="4140" spans="1:10" x14ac:dyDescent="0.3">
      <c r="A4140" s="130"/>
      <c r="B4140" s="37"/>
      <c r="C4140" s="37"/>
      <c r="D4140" s="37"/>
      <c r="E4140" s="37"/>
      <c r="F4140" s="37"/>
      <c r="G4140" s="37"/>
      <c r="H4140" s="37"/>
      <c r="I4140" s="37"/>
      <c r="J4140" s="37"/>
    </row>
    <row r="4141" spans="1:10" x14ac:dyDescent="0.3">
      <c r="A4141" s="130"/>
      <c r="B4141" s="37"/>
      <c r="C4141" s="37"/>
      <c r="D4141" s="37"/>
      <c r="E4141" s="37"/>
      <c r="F4141" s="37"/>
      <c r="G4141" s="37"/>
      <c r="H4141" s="37"/>
      <c r="I4141" s="37"/>
      <c r="J4141" s="37"/>
    </row>
    <row r="4142" spans="1:10" x14ac:dyDescent="0.3">
      <c r="A4142" s="130"/>
      <c r="B4142" s="37"/>
      <c r="C4142" s="37"/>
      <c r="D4142" s="37"/>
      <c r="E4142" s="37"/>
      <c r="F4142" s="37"/>
      <c r="G4142" s="37"/>
      <c r="H4142" s="37"/>
      <c r="I4142" s="37"/>
      <c r="J4142" s="37"/>
    </row>
    <row r="4143" spans="1:10" x14ac:dyDescent="0.3">
      <c r="A4143" s="130"/>
      <c r="B4143" s="37"/>
      <c r="C4143" s="37"/>
      <c r="D4143" s="37"/>
      <c r="E4143" s="37"/>
      <c r="F4143" s="37"/>
      <c r="G4143" s="37"/>
      <c r="H4143" s="37"/>
      <c r="I4143" s="37"/>
      <c r="J4143" s="37"/>
    </row>
    <row r="4144" spans="1:10" x14ac:dyDescent="0.3">
      <c r="A4144" s="130"/>
      <c r="B4144" s="37"/>
      <c r="C4144" s="37"/>
      <c r="D4144" s="37"/>
      <c r="E4144" s="37"/>
      <c r="F4144" s="37"/>
      <c r="G4144" s="37"/>
      <c r="H4144" s="37"/>
      <c r="I4144" s="37"/>
      <c r="J4144" s="37"/>
    </row>
    <row r="4145" spans="1:10" x14ac:dyDescent="0.3">
      <c r="A4145" s="130"/>
      <c r="B4145" s="37"/>
      <c r="C4145" s="37"/>
      <c r="D4145" s="37"/>
      <c r="E4145" s="37"/>
      <c r="F4145" s="37"/>
      <c r="G4145" s="37"/>
      <c r="H4145" s="37"/>
      <c r="I4145" s="37"/>
      <c r="J4145" s="37"/>
    </row>
    <row r="4146" spans="1:10" x14ac:dyDescent="0.3">
      <c r="A4146" s="130"/>
      <c r="B4146" s="37"/>
      <c r="C4146" s="37"/>
      <c r="D4146" s="37"/>
      <c r="E4146" s="37"/>
      <c r="F4146" s="37"/>
      <c r="G4146" s="37"/>
      <c r="H4146" s="37"/>
      <c r="I4146" s="37"/>
      <c r="J4146" s="37"/>
    </row>
    <row r="4147" spans="1:10" x14ac:dyDescent="0.3">
      <c r="A4147" s="130"/>
      <c r="B4147" s="37"/>
      <c r="C4147" s="37"/>
      <c r="D4147" s="37"/>
      <c r="E4147" s="37"/>
      <c r="F4147" s="37"/>
      <c r="G4147" s="37"/>
      <c r="H4147" s="37"/>
      <c r="I4147" s="37"/>
      <c r="J4147" s="37"/>
    </row>
    <row r="4148" spans="1:10" x14ac:dyDescent="0.3">
      <c r="A4148" s="130"/>
      <c r="B4148" s="37"/>
      <c r="C4148" s="37"/>
      <c r="D4148" s="37"/>
      <c r="E4148" s="37"/>
      <c r="F4148" s="37"/>
      <c r="G4148" s="37"/>
      <c r="H4148" s="37"/>
      <c r="I4148" s="37"/>
      <c r="J4148" s="37"/>
    </row>
    <row r="4149" spans="1:10" x14ac:dyDescent="0.3">
      <c r="A4149" s="130"/>
      <c r="B4149" s="37"/>
      <c r="C4149" s="37"/>
      <c r="D4149" s="37"/>
      <c r="E4149" s="37"/>
      <c r="F4149" s="37"/>
      <c r="G4149" s="37"/>
      <c r="H4149" s="37"/>
      <c r="I4149" s="37"/>
      <c r="J4149" s="37"/>
    </row>
    <row r="4150" spans="1:10" x14ac:dyDescent="0.3">
      <c r="A4150" s="130"/>
      <c r="B4150" s="37"/>
      <c r="C4150" s="37"/>
      <c r="D4150" s="37"/>
      <c r="E4150" s="37"/>
      <c r="F4150" s="37"/>
      <c r="G4150" s="37"/>
      <c r="H4150" s="37"/>
      <c r="I4150" s="37"/>
      <c r="J4150" s="37"/>
    </row>
    <row r="4151" spans="1:10" x14ac:dyDescent="0.3">
      <c r="A4151" s="130"/>
      <c r="B4151" s="37"/>
      <c r="C4151" s="37"/>
      <c r="D4151" s="37"/>
      <c r="E4151" s="37"/>
      <c r="F4151" s="37"/>
      <c r="G4151" s="37"/>
      <c r="H4151" s="37"/>
      <c r="I4151" s="37"/>
      <c r="J4151" s="37"/>
    </row>
    <row r="4152" spans="1:10" x14ac:dyDescent="0.3">
      <c r="A4152" s="130"/>
      <c r="B4152" s="37"/>
      <c r="C4152" s="37"/>
      <c r="D4152" s="37"/>
      <c r="E4152" s="37"/>
      <c r="F4152" s="37"/>
      <c r="G4152" s="37"/>
      <c r="H4152" s="37"/>
      <c r="I4152" s="37"/>
      <c r="J4152" s="37"/>
    </row>
    <row r="4153" spans="1:10" x14ac:dyDescent="0.3">
      <c r="A4153" s="130"/>
      <c r="B4153" s="37"/>
      <c r="C4153" s="37"/>
      <c r="D4153" s="37"/>
      <c r="E4153" s="37"/>
      <c r="F4153" s="37"/>
      <c r="G4153" s="37"/>
      <c r="H4153" s="37"/>
      <c r="I4153" s="37"/>
      <c r="J4153" s="37"/>
    </row>
    <row r="4154" spans="1:10" x14ac:dyDescent="0.3">
      <c r="A4154" s="130"/>
      <c r="B4154" s="37"/>
      <c r="C4154" s="37"/>
      <c r="D4154" s="37"/>
      <c r="E4154" s="37"/>
      <c r="F4154" s="37"/>
      <c r="G4154" s="37"/>
      <c r="H4154" s="37"/>
      <c r="I4154" s="37"/>
      <c r="J4154" s="37"/>
    </row>
    <row r="4155" spans="1:10" x14ac:dyDescent="0.3">
      <c r="A4155" s="130"/>
      <c r="B4155" s="37"/>
      <c r="C4155" s="37"/>
      <c r="D4155" s="37"/>
      <c r="E4155" s="37"/>
      <c r="F4155" s="37"/>
      <c r="G4155" s="37"/>
      <c r="H4155" s="37"/>
      <c r="I4155" s="37"/>
      <c r="J4155" s="37"/>
    </row>
    <row r="4156" spans="1:10" x14ac:dyDescent="0.3">
      <c r="A4156" s="130"/>
      <c r="B4156" s="37"/>
      <c r="C4156" s="37"/>
      <c r="D4156" s="37"/>
      <c r="E4156" s="37"/>
      <c r="F4156" s="37"/>
      <c r="G4156" s="37"/>
      <c r="H4156" s="37"/>
      <c r="I4156" s="37"/>
      <c r="J4156" s="37"/>
    </row>
    <row r="4157" spans="1:10" x14ac:dyDescent="0.3">
      <c r="A4157" s="130"/>
      <c r="B4157" s="37"/>
      <c r="C4157" s="37"/>
      <c r="D4157" s="37"/>
      <c r="E4157" s="37"/>
      <c r="F4157" s="37"/>
      <c r="G4157" s="37"/>
      <c r="H4157" s="37"/>
      <c r="I4157" s="37"/>
      <c r="J4157" s="37"/>
    </row>
    <row r="4158" spans="1:10" x14ac:dyDescent="0.3">
      <c r="A4158" s="130"/>
      <c r="B4158" s="37"/>
      <c r="C4158" s="37"/>
      <c r="D4158" s="37"/>
      <c r="E4158" s="37"/>
      <c r="F4158" s="37"/>
      <c r="G4158" s="37"/>
      <c r="H4158" s="37"/>
      <c r="I4158" s="37"/>
      <c r="J4158" s="37"/>
    </row>
    <row r="4159" spans="1:10" x14ac:dyDescent="0.3">
      <c r="A4159" s="130"/>
      <c r="B4159" s="37"/>
      <c r="C4159" s="37"/>
      <c r="D4159" s="37"/>
      <c r="E4159" s="37"/>
      <c r="F4159" s="37"/>
      <c r="G4159" s="37"/>
      <c r="H4159" s="37"/>
      <c r="I4159" s="37"/>
      <c r="J4159" s="37"/>
    </row>
    <row r="4160" spans="1:10" x14ac:dyDescent="0.3">
      <c r="A4160" s="130"/>
      <c r="B4160" s="37"/>
      <c r="C4160" s="37"/>
      <c r="D4160" s="37"/>
      <c r="E4160" s="37"/>
      <c r="F4160" s="37"/>
      <c r="G4160" s="37"/>
      <c r="H4160" s="37"/>
      <c r="I4160" s="37"/>
      <c r="J4160" s="37"/>
    </row>
    <row r="4161" spans="1:10" x14ac:dyDescent="0.3">
      <c r="A4161" s="130"/>
      <c r="B4161" s="37"/>
      <c r="C4161" s="37"/>
      <c r="D4161" s="37"/>
      <c r="E4161" s="37"/>
      <c r="F4161" s="37"/>
      <c r="G4161" s="37"/>
      <c r="H4161" s="37"/>
      <c r="I4161" s="37"/>
      <c r="J4161" s="37"/>
    </row>
    <row r="4162" spans="1:10" x14ac:dyDescent="0.3">
      <c r="A4162" s="130"/>
      <c r="B4162" s="37"/>
      <c r="C4162" s="37"/>
      <c r="D4162" s="37"/>
      <c r="E4162" s="37"/>
      <c r="F4162" s="37"/>
      <c r="G4162" s="37"/>
      <c r="H4162" s="37"/>
      <c r="I4162" s="37"/>
      <c r="J4162" s="37"/>
    </row>
    <row r="4163" spans="1:10" x14ac:dyDescent="0.3">
      <c r="A4163" s="130"/>
      <c r="B4163" s="37"/>
      <c r="C4163" s="37"/>
      <c r="D4163" s="37"/>
      <c r="E4163" s="37"/>
      <c r="F4163" s="37"/>
      <c r="G4163" s="37"/>
      <c r="H4163" s="37"/>
      <c r="I4163" s="37"/>
      <c r="J4163" s="37"/>
    </row>
    <row r="4164" spans="1:10" x14ac:dyDescent="0.3">
      <c r="A4164" s="130"/>
      <c r="B4164" s="37"/>
      <c r="C4164" s="37"/>
      <c r="D4164" s="37"/>
      <c r="E4164" s="37"/>
      <c r="F4164" s="37"/>
      <c r="G4164" s="37"/>
      <c r="H4164" s="37"/>
      <c r="I4164" s="37"/>
      <c r="J4164" s="37"/>
    </row>
    <row r="4165" spans="1:10" x14ac:dyDescent="0.3">
      <c r="A4165" s="130"/>
      <c r="B4165" s="37"/>
      <c r="C4165" s="37"/>
      <c r="D4165" s="37"/>
      <c r="E4165" s="37"/>
      <c r="F4165" s="37"/>
      <c r="G4165" s="37"/>
      <c r="H4165" s="37"/>
      <c r="I4165" s="37"/>
      <c r="J4165" s="37"/>
    </row>
    <row r="4166" spans="1:10" x14ac:dyDescent="0.3">
      <c r="A4166" s="130"/>
      <c r="B4166" s="37"/>
      <c r="C4166" s="37"/>
      <c r="D4166" s="37"/>
      <c r="E4166" s="37"/>
      <c r="F4166" s="37"/>
      <c r="G4166" s="37"/>
      <c r="H4166" s="37"/>
      <c r="I4166" s="37"/>
      <c r="J4166" s="37"/>
    </row>
    <row r="4167" spans="1:10" x14ac:dyDescent="0.3">
      <c r="A4167" s="130"/>
      <c r="B4167" s="37"/>
      <c r="C4167" s="37"/>
      <c r="D4167" s="37"/>
      <c r="E4167" s="37"/>
      <c r="F4167" s="37"/>
      <c r="G4167" s="37"/>
      <c r="H4167" s="37"/>
      <c r="I4167" s="37"/>
      <c r="J4167" s="37"/>
    </row>
    <row r="4168" spans="1:10" x14ac:dyDescent="0.3">
      <c r="A4168" s="130"/>
      <c r="B4168" s="37"/>
      <c r="C4168" s="37"/>
      <c r="D4168" s="37"/>
      <c r="E4168" s="37"/>
      <c r="F4168" s="37"/>
      <c r="G4168" s="37"/>
      <c r="H4168" s="37"/>
      <c r="I4168" s="37"/>
      <c r="J4168" s="37"/>
    </row>
    <row r="4169" spans="1:10" x14ac:dyDescent="0.3">
      <c r="A4169" s="130"/>
      <c r="B4169" s="37"/>
      <c r="C4169" s="37"/>
      <c r="D4169" s="37"/>
      <c r="E4169" s="37"/>
      <c r="F4169" s="37"/>
      <c r="G4169" s="37"/>
      <c r="H4169" s="37"/>
      <c r="I4169" s="37"/>
      <c r="J4169" s="37"/>
    </row>
    <row r="4170" spans="1:10" x14ac:dyDescent="0.3">
      <c r="A4170" s="130"/>
      <c r="B4170" s="37"/>
      <c r="C4170" s="37"/>
      <c r="D4170" s="37"/>
      <c r="E4170" s="37"/>
      <c r="F4170" s="37"/>
      <c r="G4170" s="37"/>
      <c r="H4170" s="37"/>
      <c r="I4170" s="37"/>
      <c r="J4170" s="37"/>
    </row>
    <row r="4171" spans="1:10" x14ac:dyDescent="0.3">
      <c r="A4171" s="130"/>
      <c r="B4171" s="37"/>
      <c r="C4171" s="37"/>
      <c r="D4171" s="37"/>
      <c r="E4171" s="37"/>
      <c r="F4171" s="37"/>
      <c r="G4171" s="37"/>
      <c r="H4171" s="37"/>
      <c r="I4171" s="37"/>
      <c r="J4171" s="37"/>
    </row>
    <row r="4172" spans="1:10" x14ac:dyDescent="0.3">
      <c r="A4172" s="130"/>
      <c r="B4172" s="37"/>
      <c r="C4172" s="37"/>
      <c r="D4172" s="37"/>
      <c r="E4172" s="37"/>
      <c r="F4172" s="37"/>
      <c r="G4172" s="37"/>
      <c r="H4172" s="37"/>
      <c r="I4172" s="37"/>
      <c r="J4172" s="37"/>
    </row>
    <row r="4173" spans="1:10" x14ac:dyDescent="0.3">
      <c r="A4173" s="130"/>
      <c r="B4173" s="37"/>
      <c r="C4173" s="37"/>
      <c r="D4173" s="37"/>
      <c r="E4173" s="37"/>
      <c r="F4173" s="37"/>
      <c r="G4173" s="37"/>
      <c r="H4173" s="37"/>
      <c r="I4173" s="37"/>
      <c r="J4173" s="37"/>
    </row>
    <row r="4174" spans="1:10" x14ac:dyDescent="0.3">
      <c r="A4174" s="130"/>
      <c r="B4174" s="37"/>
      <c r="C4174" s="37"/>
      <c r="D4174" s="37"/>
      <c r="E4174" s="37"/>
      <c r="F4174" s="37"/>
      <c r="G4174" s="37"/>
      <c r="H4174" s="37"/>
      <c r="I4174" s="37"/>
      <c r="J4174" s="37"/>
    </row>
    <row r="4175" spans="1:10" x14ac:dyDescent="0.3">
      <c r="A4175" s="130"/>
      <c r="B4175" s="37"/>
      <c r="C4175" s="37"/>
      <c r="D4175" s="37"/>
      <c r="E4175" s="37"/>
      <c r="F4175" s="37"/>
      <c r="G4175" s="37"/>
      <c r="H4175" s="37"/>
      <c r="I4175" s="37"/>
      <c r="J4175" s="37"/>
    </row>
    <row r="4176" spans="1:10" x14ac:dyDescent="0.3">
      <c r="A4176" s="130"/>
      <c r="B4176" s="37"/>
      <c r="C4176" s="37"/>
      <c r="D4176" s="37"/>
      <c r="E4176" s="37"/>
      <c r="F4176" s="37"/>
      <c r="G4176" s="37"/>
      <c r="H4176" s="37"/>
      <c r="I4176" s="37"/>
      <c r="J4176" s="37"/>
    </row>
    <row r="4177" spans="1:10" x14ac:dyDescent="0.3">
      <c r="A4177" s="130"/>
      <c r="B4177" s="37"/>
      <c r="C4177" s="37"/>
      <c r="D4177" s="37"/>
      <c r="E4177" s="37"/>
      <c r="F4177" s="37"/>
      <c r="G4177" s="37"/>
      <c r="H4177" s="37"/>
      <c r="I4177" s="37"/>
      <c r="J4177" s="37"/>
    </row>
    <row r="4178" spans="1:10" x14ac:dyDescent="0.3">
      <c r="A4178" s="130"/>
      <c r="B4178" s="37"/>
      <c r="C4178" s="37"/>
      <c r="D4178" s="37"/>
      <c r="E4178" s="37"/>
      <c r="F4178" s="37"/>
      <c r="G4178" s="37"/>
      <c r="H4178" s="37"/>
      <c r="I4178" s="37"/>
      <c r="J4178" s="37"/>
    </row>
    <row r="4179" spans="1:10" x14ac:dyDescent="0.3">
      <c r="A4179" s="130"/>
      <c r="B4179" s="37"/>
      <c r="C4179" s="37"/>
      <c r="D4179" s="37"/>
      <c r="E4179" s="37"/>
      <c r="F4179" s="37"/>
      <c r="G4179" s="37"/>
      <c r="H4179" s="37"/>
      <c r="I4179" s="37"/>
      <c r="J4179" s="37"/>
    </row>
    <row r="4180" spans="1:10" x14ac:dyDescent="0.3">
      <c r="A4180" s="130"/>
      <c r="B4180" s="37"/>
      <c r="C4180" s="37"/>
      <c r="D4180" s="37"/>
      <c r="E4180" s="37"/>
      <c r="F4180" s="37"/>
      <c r="G4180" s="37"/>
      <c r="H4180" s="37"/>
      <c r="I4180" s="37"/>
      <c r="J4180" s="37"/>
    </row>
    <row r="4181" spans="1:10" x14ac:dyDescent="0.3">
      <c r="A4181" s="130"/>
      <c r="B4181" s="37"/>
      <c r="C4181" s="37"/>
      <c r="D4181" s="37"/>
      <c r="E4181" s="37"/>
      <c r="F4181" s="37"/>
      <c r="G4181" s="37"/>
      <c r="H4181" s="37"/>
      <c r="I4181" s="37"/>
      <c r="J4181" s="37"/>
    </row>
    <row r="4182" spans="1:10" x14ac:dyDescent="0.3">
      <c r="A4182" s="130"/>
      <c r="B4182" s="37"/>
      <c r="C4182" s="37"/>
      <c r="D4182" s="37"/>
      <c r="E4182" s="37"/>
      <c r="F4182" s="37"/>
      <c r="G4182" s="37"/>
      <c r="H4182" s="37"/>
      <c r="I4182" s="37"/>
      <c r="J4182" s="37"/>
    </row>
    <row r="4183" spans="1:10" x14ac:dyDescent="0.3">
      <c r="A4183" s="130"/>
      <c r="B4183" s="37"/>
      <c r="C4183" s="37"/>
      <c r="D4183" s="37"/>
      <c r="E4183" s="37"/>
      <c r="F4183" s="37"/>
      <c r="G4183" s="37"/>
      <c r="H4183" s="37"/>
      <c r="I4183" s="37"/>
      <c r="J4183" s="37"/>
    </row>
    <row r="4184" spans="1:10" x14ac:dyDescent="0.3">
      <c r="A4184" s="130"/>
      <c r="B4184" s="37"/>
      <c r="C4184" s="37"/>
      <c r="D4184" s="37"/>
      <c r="E4184" s="37"/>
      <c r="F4184" s="37"/>
      <c r="G4184" s="37"/>
      <c r="H4184" s="37"/>
      <c r="I4184" s="37"/>
      <c r="J4184" s="37"/>
    </row>
    <row r="4185" spans="1:10" x14ac:dyDescent="0.3">
      <c r="A4185" s="130"/>
      <c r="B4185" s="37"/>
      <c r="C4185" s="37"/>
      <c r="D4185" s="37"/>
      <c r="E4185" s="37"/>
      <c r="F4185" s="37"/>
      <c r="G4185" s="37"/>
      <c r="H4185" s="37"/>
      <c r="I4185" s="37"/>
      <c r="J4185" s="37"/>
    </row>
    <row r="4186" spans="1:10" x14ac:dyDescent="0.3">
      <c r="A4186" s="130"/>
      <c r="B4186" s="37"/>
      <c r="C4186" s="37"/>
      <c r="D4186" s="37"/>
      <c r="E4186" s="37"/>
      <c r="F4186" s="37"/>
      <c r="G4186" s="37"/>
      <c r="H4186" s="37"/>
      <c r="I4186" s="37"/>
      <c r="J4186" s="37"/>
    </row>
    <row r="4187" spans="1:10" x14ac:dyDescent="0.3">
      <c r="A4187" s="130"/>
      <c r="B4187" s="37"/>
      <c r="C4187" s="37"/>
      <c r="D4187" s="37"/>
      <c r="E4187" s="37"/>
      <c r="F4187" s="37"/>
      <c r="G4187" s="37"/>
      <c r="H4187" s="37"/>
      <c r="I4187" s="37"/>
      <c r="J4187" s="37"/>
    </row>
    <row r="4188" spans="1:10" x14ac:dyDescent="0.3">
      <c r="A4188" s="130"/>
      <c r="B4188" s="37"/>
      <c r="C4188" s="37"/>
      <c r="D4188" s="37"/>
      <c r="E4188" s="37"/>
      <c r="F4188" s="37"/>
      <c r="G4188" s="37"/>
      <c r="H4188" s="37"/>
      <c r="I4188" s="37"/>
      <c r="J4188" s="37"/>
    </row>
    <row r="4189" spans="1:10" x14ac:dyDescent="0.3">
      <c r="A4189" s="130"/>
      <c r="B4189" s="37"/>
      <c r="C4189" s="37"/>
      <c r="D4189" s="37"/>
      <c r="E4189" s="37"/>
      <c r="F4189" s="37"/>
      <c r="G4189" s="37"/>
      <c r="H4189" s="37"/>
      <c r="I4189" s="37"/>
      <c r="J4189" s="37"/>
    </row>
    <row r="4190" spans="1:10" x14ac:dyDescent="0.3">
      <c r="A4190" s="130"/>
      <c r="B4190" s="37"/>
      <c r="C4190" s="37"/>
      <c r="D4190" s="37"/>
      <c r="E4190" s="37"/>
      <c r="F4190" s="37"/>
      <c r="G4190" s="37"/>
      <c r="H4190" s="37"/>
      <c r="I4190" s="37"/>
      <c r="J4190" s="37"/>
    </row>
    <row r="4191" spans="1:10" x14ac:dyDescent="0.3">
      <c r="A4191" s="130"/>
      <c r="B4191" s="37"/>
      <c r="C4191" s="37"/>
      <c r="D4191" s="37"/>
      <c r="E4191" s="37"/>
      <c r="F4191" s="37"/>
      <c r="G4191" s="37"/>
      <c r="H4191" s="37"/>
      <c r="I4191" s="37"/>
      <c r="J4191" s="37"/>
    </row>
    <row r="4192" spans="1:10" x14ac:dyDescent="0.3">
      <c r="A4192" s="130"/>
      <c r="B4192" s="37"/>
      <c r="C4192" s="37"/>
      <c r="D4192" s="37"/>
      <c r="E4192" s="37"/>
      <c r="F4192" s="37"/>
      <c r="G4192" s="37"/>
      <c r="H4192" s="37"/>
      <c r="I4192" s="37"/>
      <c r="J4192" s="37"/>
    </row>
    <row r="4193" spans="1:10" x14ac:dyDescent="0.3">
      <c r="A4193" s="130"/>
      <c r="B4193" s="37"/>
      <c r="C4193" s="37"/>
      <c r="D4193" s="37"/>
      <c r="E4193" s="37"/>
      <c r="F4193" s="37"/>
      <c r="G4193" s="37"/>
      <c r="H4193" s="37"/>
      <c r="I4193" s="37"/>
      <c r="J4193" s="37"/>
    </row>
    <row r="4194" spans="1:10" x14ac:dyDescent="0.3">
      <c r="A4194" s="130"/>
      <c r="B4194" s="37"/>
      <c r="C4194" s="37"/>
      <c r="D4194" s="37"/>
      <c r="E4194" s="37"/>
      <c r="F4194" s="37"/>
      <c r="G4194" s="37"/>
      <c r="H4194" s="37"/>
      <c r="I4194" s="37"/>
      <c r="J4194" s="37"/>
    </row>
    <row r="4195" spans="1:10" x14ac:dyDescent="0.3">
      <c r="A4195" s="130"/>
      <c r="B4195" s="37"/>
      <c r="C4195" s="37"/>
      <c r="D4195" s="37"/>
      <c r="E4195" s="37"/>
      <c r="F4195" s="37"/>
      <c r="G4195" s="37"/>
      <c r="H4195" s="37"/>
      <c r="I4195" s="37"/>
      <c r="J4195" s="37"/>
    </row>
    <row r="4196" spans="1:10" x14ac:dyDescent="0.3">
      <c r="A4196" s="130"/>
      <c r="B4196" s="37"/>
      <c r="C4196" s="37"/>
      <c r="D4196" s="37"/>
      <c r="E4196" s="37"/>
      <c r="F4196" s="37"/>
      <c r="G4196" s="37"/>
      <c r="H4196" s="37"/>
      <c r="I4196" s="37"/>
      <c r="J4196" s="37"/>
    </row>
    <row r="4197" spans="1:10" x14ac:dyDescent="0.3">
      <c r="A4197" s="130"/>
      <c r="B4197" s="37"/>
      <c r="C4197" s="37"/>
      <c r="D4197" s="37"/>
      <c r="E4197" s="37"/>
      <c r="F4197" s="37"/>
      <c r="G4197" s="37"/>
      <c r="H4197" s="37"/>
      <c r="I4197" s="37"/>
      <c r="J4197" s="37"/>
    </row>
    <row r="4198" spans="1:10" x14ac:dyDescent="0.3">
      <c r="A4198" s="130"/>
      <c r="B4198" s="37"/>
      <c r="C4198" s="37"/>
      <c r="D4198" s="37"/>
      <c r="E4198" s="37"/>
      <c r="F4198" s="37"/>
      <c r="G4198" s="37"/>
      <c r="H4198" s="37"/>
      <c r="I4198" s="37"/>
      <c r="J4198" s="37"/>
    </row>
    <row r="4199" spans="1:10" x14ac:dyDescent="0.3">
      <c r="A4199" s="130"/>
      <c r="B4199" s="37"/>
      <c r="C4199" s="37"/>
      <c r="D4199" s="37"/>
      <c r="E4199" s="37"/>
      <c r="F4199" s="37"/>
      <c r="G4199" s="37"/>
      <c r="H4199" s="37"/>
      <c r="I4199" s="37"/>
      <c r="J4199" s="37"/>
    </row>
    <row r="4200" spans="1:10" x14ac:dyDescent="0.3">
      <c r="A4200" s="130"/>
      <c r="B4200" s="37"/>
      <c r="C4200" s="37"/>
      <c r="D4200" s="37"/>
      <c r="E4200" s="37"/>
      <c r="F4200" s="37"/>
      <c r="G4200" s="37"/>
      <c r="H4200" s="37"/>
      <c r="I4200" s="37"/>
      <c r="J4200" s="37"/>
    </row>
    <row r="4201" spans="1:10" x14ac:dyDescent="0.3">
      <c r="A4201" s="130"/>
      <c r="B4201" s="37"/>
      <c r="C4201" s="37"/>
      <c r="D4201" s="37"/>
      <c r="E4201" s="37"/>
      <c r="F4201" s="37"/>
      <c r="G4201" s="37"/>
      <c r="H4201" s="37"/>
      <c r="I4201" s="37"/>
      <c r="J4201" s="37"/>
    </row>
    <row r="4202" spans="1:10" x14ac:dyDescent="0.3">
      <c r="A4202" s="130"/>
      <c r="B4202" s="37"/>
      <c r="C4202" s="37"/>
      <c r="D4202" s="37"/>
      <c r="E4202" s="37"/>
      <c r="F4202" s="37"/>
      <c r="G4202" s="37"/>
      <c r="H4202" s="37"/>
      <c r="I4202" s="37"/>
      <c r="J4202" s="37"/>
    </row>
    <row r="4203" spans="1:10" x14ac:dyDescent="0.3">
      <c r="A4203" s="130"/>
      <c r="B4203" s="37"/>
      <c r="C4203" s="37"/>
      <c r="D4203" s="37"/>
      <c r="E4203" s="37"/>
      <c r="F4203" s="37"/>
      <c r="G4203" s="37"/>
      <c r="H4203" s="37"/>
      <c r="I4203" s="37"/>
      <c r="J4203" s="37"/>
    </row>
    <row r="4204" spans="1:10" x14ac:dyDescent="0.3">
      <c r="A4204" s="130"/>
      <c r="B4204" s="37"/>
      <c r="C4204" s="37"/>
      <c r="D4204" s="37"/>
      <c r="E4204" s="37"/>
      <c r="F4204" s="37"/>
      <c r="G4204" s="37"/>
      <c r="H4204" s="37"/>
      <c r="I4204" s="37"/>
      <c r="J4204" s="37"/>
    </row>
    <row r="4205" spans="1:10" x14ac:dyDescent="0.3">
      <c r="A4205" s="130"/>
      <c r="B4205" s="37"/>
      <c r="C4205" s="37"/>
      <c r="D4205" s="37"/>
      <c r="E4205" s="37"/>
      <c r="F4205" s="37"/>
      <c r="G4205" s="37"/>
      <c r="H4205" s="37"/>
      <c r="I4205" s="37"/>
      <c r="J4205" s="37"/>
    </row>
    <row r="4206" spans="1:10" x14ac:dyDescent="0.3">
      <c r="A4206" s="130"/>
      <c r="B4206" s="37"/>
      <c r="C4206" s="37"/>
      <c r="D4206" s="37"/>
      <c r="E4206" s="37"/>
      <c r="F4206" s="37"/>
      <c r="G4206" s="37"/>
      <c r="H4206" s="37"/>
      <c r="I4206" s="37"/>
      <c r="J4206" s="37"/>
    </row>
    <row r="4207" spans="1:10" x14ac:dyDescent="0.3">
      <c r="A4207" s="130"/>
      <c r="B4207" s="37"/>
      <c r="C4207" s="37"/>
      <c r="D4207" s="37"/>
      <c r="E4207" s="37"/>
      <c r="F4207" s="37"/>
      <c r="G4207" s="37"/>
      <c r="H4207" s="37"/>
      <c r="I4207" s="37"/>
      <c r="J4207" s="37"/>
    </row>
    <row r="4208" spans="1:10" x14ac:dyDescent="0.3">
      <c r="A4208" s="130"/>
      <c r="B4208" s="37"/>
      <c r="C4208" s="37"/>
      <c r="D4208" s="37"/>
      <c r="E4208" s="37"/>
      <c r="F4208" s="37"/>
      <c r="G4208" s="37"/>
      <c r="H4208" s="37"/>
      <c r="I4208" s="37"/>
      <c r="J4208" s="37"/>
    </row>
    <row r="4209" spans="1:10" x14ac:dyDescent="0.3">
      <c r="A4209" s="130"/>
      <c r="B4209" s="37"/>
      <c r="C4209" s="37"/>
      <c r="D4209" s="37"/>
      <c r="E4209" s="37"/>
      <c r="F4209" s="37"/>
      <c r="G4209" s="37"/>
      <c r="H4209" s="37"/>
      <c r="I4209" s="37"/>
      <c r="J4209" s="37"/>
    </row>
    <row r="4210" spans="1:10" x14ac:dyDescent="0.3">
      <c r="A4210" s="130"/>
      <c r="B4210" s="37"/>
      <c r="C4210" s="37"/>
      <c r="D4210" s="37"/>
      <c r="E4210" s="37"/>
      <c r="F4210" s="37"/>
      <c r="G4210" s="37"/>
      <c r="H4210" s="37"/>
      <c r="I4210" s="37"/>
      <c r="J4210" s="37"/>
    </row>
    <row r="4211" spans="1:10" x14ac:dyDescent="0.3">
      <c r="A4211" s="130"/>
      <c r="B4211" s="37"/>
      <c r="C4211" s="37"/>
      <c r="D4211" s="37"/>
      <c r="E4211" s="37"/>
      <c r="F4211" s="37"/>
      <c r="G4211" s="37"/>
      <c r="H4211" s="37"/>
      <c r="I4211" s="37"/>
      <c r="J4211" s="37"/>
    </row>
    <row r="4212" spans="1:10" x14ac:dyDescent="0.3">
      <c r="A4212" s="130"/>
      <c r="B4212" s="37"/>
      <c r="C4212" s="37"/>
      <c r="D4212" s="37"/>
      <c r="E4212" s="37"/>
      <c r="F4212" s="37"/>
      <c r="G4212" s="37"/>
      <c r="H4212" s="37"/>
      <c r="I4212" s="37"/>
      <c r="J4212" s="37"/>
    </row>
    <row r="4213" spans="1:10" x14ac:dyDescent="0.3">
      <c r="A4213" s="130"/>
      <c r="B4213" s="37"/>
      <c r="C4213" s="37"/>
      <c r="D4213" s="37"/>
      <c r="E4213" s="37"/>
      <c r="F4213" s="37"/>
      <c r="G4213" s="37"/>
      <c r="H4213" s="37"/>
      <c r="I4213" s="37"/>
      <c r="J4213" s="37"/>
    </row>
    <row r="4214" spans="1:10" x14ac:dyDescent="0.3">
      <c r="A4214" s="130"/>
      <c r="B4214" s="37"/>
      <c r="C4214" s="37"/>
      <c r="D4214" s="37"/>
      <c r="E4214" s="37"/>
      <c r="F4214" s="37"/>
      <c r="G4214" s="37"/>
      <c r="H4214" s="37"/>
      <c r="I4214" s="37"/>
      <c r="J4214" s="37"/>
    </row>
    <row r="4215" spans="1:10" x14ac:dyDescent="0.3">
      <c r="A4215" s="130"/>
      <c r="B4215" s="37"/>
      <c r="C4215" s="37"/>
      <c r="D4215" s="37"/>
      <c r="E4215" s="37"/>
      <c r="F4215" s="37"/>
      <c r="G4215" s="37"/>
      <c r="H4215" s="37"/>
      <c r="I4215" s="37"/>
      <c r="J4215" s="37"/>
    </row>
    <row r="4216" spans="1:10" x14ac:dyDescent="0.3">
      <c r="A4216" s="130"/>
      <c r="B4216" s="37"/>
      <c r="C4216" s="37"/>
      <c r="D4216" s="37"/>
      <c r="E4216" s="37"/>
      <c r="F4216" s="37"/>
      <c r="G4216" s="37"/>
      <c r="H4216" s="37"/>
      <c r="I4216" s="37"/>
      <c r="J4216" s="37"/>
    </row>
    <row r="4217" spans="1:10" x14ac:dyDescent="0.3">
      <c r="A4217" s="130"/>
      <c r="B4217" s="37"/>
      <c r="C4217" s="37"/>
      <c r="D4217" s="37"/>
      <c r="E4217" s="37"/>
      <c r="F4217" s="37"/>
      <c r="G4217" s="37"/>
      <c r="H4217" s="37"/>
      <c r="I4217" s="37"/>
      <c r="J4217" s="37"/>
    </row>
    <row r="4218" spans="1:10" x14ac:dyDescent="0.3">
      <c r="A4218" s="130"/>
      <c r="B4218" s="37"/>
      <c r="C4218" s="37"/>
      <c r="D4218" s="37"/>
      <c r="E4218" s="37"/>
      <c r="F4218" s="37"/>
      <c r="G4218" s="37"/>
      <c r="H4218" s="37"/>
      <c r="I4218" s="37"/>
      <c r="J4218" s="37"/>
    </row>
    <row r="4219" spans="1:10" x14ac:dyDescent="0.3">
      <c r="A4219" s="130"/>
      <c r="B4219" s="37"/>
      <c r="C4219" s="37"/>
      <c r="D4219" s="37"/>
      <c r="E4219" s="37"/>
      <c r="F4219" s="37"/>
      <c r="G4219" s="37"/>
      <c r="H4219" s="37"/>
      <c r="I4219" s="37"/>
      <c r="J4219" s="37"/>
    </row>
    <row r="4220" spans="1:10" x14ac:dyDescent="0.3">
      <c r="A4220" s="130"/>
      <c r="B4220" s="37"/>
      <c r="C4220" s="37"/>
      <c r="D4220" s="37"/>
      <c r="E4220" s="37"/>
      <c r="F4220" s="37"/>
      <c r="G4220" s="37"/>
      <c r="H4220" s="37"/>
      <c r="I4220" s="37"/>
      <c r="J4220" s="37"/>
    </row>
    <row r="4221" spans="1:10" x14ac:dyDescent="0.3">
      <c r="A4221" s="130"/>
      <c r="B4221" s="37"/>
      <c r="C4221" s="37"/>
      <c r="D4221" s="37"/>
      <c r="E4221" s="37"/>
      <c r="F4221" s="37"/>
      <c r="G4221" s="37"/>
      <c r="H4221" s="37"/>
      <c r="I4221" s="37"/>
      <c r="J4221" s="37"/>
    </row>
    <row r="4222" spans="1:10" x14ac:dyDescent="0.3">
      <c r="A4222" s="130"/>
      <c r="B4222" s="37"/>
      <c r="C4222" s="37"/>
      <c r="D4222" s="37"/>
      <c r="E4222" s="37"/>
      <c r="F4222" s="37"/>
      <c r="G4222" s="37"/>
      <c r="H4222" s="37"/>
      <c r="I4222" s="37"/>
      <c r="J4222" s="37"/>
    </row>
    <row r="4223" spans="1:10" x14ac:dyDescent="0.3">
      <c r="A4223" s="130"/>
      <c r="B4223" s="37"/>
      <c r="C4223" s="37"/>
      <c r="D4223" s="37"/>
      <c r="E4223" s="37"/>
      <c r="F4223" s="37"/>
      <c r="G4223" s="37"/>
      <c r="H4223" s="37"/>
      <c r="I4223" s="37"/>
      <c r="J4223" s="37"/>
    </row>
    <row r="4224" spans="1:10" x14ac:dyDescent="0.3">
      <c r="A4224" s="130"/>
      <c r="B4224" s="37"/>
      <c r="C4224" s="37"/>
      <c r="D4224" s="37"/>
      <c r="E4224" s="37"/>
      <c r="F4224" s="37"/>
      <c r="G4224" s="37"/>
      <c r="H4224" s="37"/>
      <c r="I4224" s="37"/>
      <c r="J4224" s="37"/>
    </row>
    <row r="4225" spans="1:10" x14ac:dyDescent="0.3">
      <c r="A4225" s="130"/>
      <c r="B4225" s="37"/>
      <c r="C4225" s="37"/>
      <c r="D4225" s="37"/>
      <c r="E4225" s="37"/>
      <c r="F4225" s="37"/>
      <c r="G4225" s="37"/>
      <c r="H4225" s="37"/>
      <c r="I4225" s="37"/>
      <c r="J4225" s="37"/>
    </row>
    <row r="4226" spans="1:10" x14ac:dyDescent="0.3">
      <c r="A4226" s="130"/>
      <c r="B4226" s="37"/>
      <c r="C4226" s="37"/>
      <c r="D4226" s="37"/>
      <c r="E4226" s="37"/>
      <c r="F4226" s="37"/>
      <c r="G4226" s="37"/>
      <c r="H4226" s="37"/>
      <c r="I4226" s="37"/>
      <c r="J4226" s="37"/>
    </row>
    <row r="4227" spans="1:10" x14ac:dyDescent="0.3">
      <c r="A4227" s="130"/>
      <c r="B4227" s="37"/>
      <c r="C4227" s="37"/>
      <c r="D4227" s="37"/>
      <c r="E4227" s="37"/>
      <c r="F4227" s="37"/>
      <c r="G4227" s="37"/>
      <c r="H4227" s="37"/>
      <c r="I4227" s="37"/>
      <c r="J4227" s="37"/>
    </row>
    <row r="4228" spans="1:10" x14ac:dyDescent="0.3">
      <c r="A4228" s="130"/>
      <c r="B4228" s="37"/>
      <c r="C4228" s="37"/>
      <c r="D4228" s="37"/>
      <c r="E4228" s="37"/>
      <c r="F4228" s="37"/>
      <c r="G4228" s="37"/>
      <c r="H4228" s="37"/>
      <c r="I4228" s="37"/>
      <c r="J4228" s="37"/>
    </row>
    <row r="4229" spans="1:10" x14ac:dyDescent="0.3">
      <c r="A4229" s="130"/>
      <c r="B4229" s="37"/>
      <c r="C4229" s="37"/>
      <c r="D4229" s="37"/>
      <c r="E4229" s="37"/>
      <c r="F4229" s="37"/>
      <c r="G4229" s="37"/>
      <c r="H4229" s="37"/>
      <c r="I4229" s="37"/>
      <c r="J4229" s="37"/>
    </row>
    <row r="4230" spans="1:10" x14ac:dyDescent="0.3">
      <c r="A4230" s="130"/>
      <c r="B4230" s="37"/>
      <c r="C4230" s="37"/>
      <c r="D4230" s="37"/>
      <c r="E4230" s="37"/>
      <c r="F4230" s="37"/>
      <c r="G4230" s="37"/>
      <c r="H4230" s="37"/>
      <c r="I4230" s="37"/>
      <c r="J4230" s="37"/>
    </row>
    <row r="4231" spans="1:10" x14ac:dyDescent="0.3">
      <c r="A4231" s="130"/>
      <c r="B4231" s="37"/>
      <c r="C4231" s="37"/>
      <c r="D4231" s="37"/>
      <c r="E4231" s="37"/>
      <c r="F4231" s="37"/>
      <c r="G4231" s="37"/>
      <c r="H4231" s="37"/>
      <c r="I4231" s="37"/>
      <c r="J4231" s="37"/>
    </row>
    <row r="4232" spans="1:10" x14ac:dyDescent="0.3">
      <c r="A4232" s="130"/>
      <c r="B4232" s="37"/>
      <c r="C4232" s="37"/>
      <c r="D4232" s="37"/>
      <c r="E4232" s="37"/>
      <c r="F4232" s="37"/>
      <c r="G4232" s="37"/>
      <c r="H4232" s="37"/>
      <c r="I4232" s="37"/>
      <c r="J4232" s="37"/>
    </row>
    <row r="4233" spans="1:10" x14ac:dyDescent="0.3">
      <c r="A4233" s="130"/>
      <c r="B4233" s="37"/>
      <c r="C4233" s="37"/>
      <c r="D4233" s="37"/>
      <c r="E4233" s="37"/>
      <c r="F4233" s="37"/>
      <c r="G4233" s="37"/>
      <c r="H4233" s="37"/>
      <c r="I4233" s="37"/>
      <c r="J4233" s="37"/>
    </row>
    <row r="4234" spans="1:10" x14ac:dyDescent="0.3">
      <c r="A4234" s="130"/>
      <c r="B4234" s="37"/>
      <c r="C4234" s="37"/>
      <c r="D4234" s="37"/>
      <c r="E4234" s="37"/>
      <c r="F4234" s="37"/>
      <c r="G4234" s="37"/>
      <c r="H4234" s="37"/>
      <c r="I4234" s="37"/>
      <c r="J4234" s="37"/>
    </row>
    <row r="4235" spans="1:10" x14ac:dyDescent="0.3">
      <c r="A4235" s="130"/>
      <c r="B4235" s="37"/>
      <c r="C4235" s="37"/>
      <c r="D4235" s="37"/>
      <c r="E4235" s="37"/>
      <c r="F4235" s="37"/>
      <c r="G4235" s="37"/>
      <c r="H4235" s="37"/>
      <c r="I4235" s="37"/>
      <c r="J4235" s="37"/>
    </row>
    <row r="4236" spans="1:10" x14ac:dyDescent="0.3">
      <c r="A4236" s="130"/>
      <c r="B4236" s="37"/>
      <c r="C4236" s="37"/>
      <c r="D4236" s="37"/>
      <c r="E4236" s="37"/>
      <c r="F4236" s="37"/>
      <c r="G4236" s="37"/>
      <c r="H4236" s="37"/>
      <c r="I4236" s="37"/>
      <c r="J4236" s="37"/>
    </row>
    <row r="4237" spans="1:10" x14ac:dyDescent="0.3">
      <c r="A4237" s="130"/>
      <c r="B4237" s="37"/>
      <c r="C4237" s="37"/>
      <c r="D4237" s="37"/>
      <c r="E4237" s="37"/>
      <c r="F4237" s="37"/>
      <c r="G4237" s="37"/>
      <c r="H4237" s="37"/>
      <c r="I4237" s="37"/>
      <c r="J4237" s="37"/>
    </row>
    <row r="4238" spans="1:10" x14ac:dyDescent="0.3">
      <c r="A4238" s="130"/>
      <c r="B4238" s="37"/>
      <c r="C4238" s="37"/>
      <c r="D4238" s="37"/>
      <c r="E4238" s="37"/>
      <c r="F4238" s="37"/>
      <c r="G4238" s="37"/>
      <c r="H4238" s="37"/>
      <c r="I4238" s="37"/>
      <c r="J4238" s="37"/>
    </row>
    <row r="4239" spans="1:10" x14ac:dyDescent="0.3">
      <c r="A4239" s="130"/>
      <c r="B4239" s="37"/>
      <c r="C4239" s="37"/>
      <c r="D4239" s="37"/>
      <c r="E4239" s="37"/>
      <c r="F4239" s="37"/>
      <c r="G4239" s="37"/>
      <c r="H4239" s="37"/>
      <c r="I4239" s="37"/>
      <c r="J4239" s="37"/>
    </row>
    <row r="4240" spans="1:10" x14ac:dyDescent="0.3">
      <c r="A4240" s="130"/>
      <c r="B4240" s="37"/>
      <c r="C4240" s="37"/>
      <c r="D4240" s="37"/>
      <c r="E4240" s="37"/>
      <c r="F4240" s="37"/>
      <c r="G4240" s="37"/>
      <c r="H4240" s="37"/>
      <c r="I4240" s="37"/>
      <c r="J4240" s="37"/>
    </row>
    <row r="4241" spans="1:10" x14ac:dyDescent="0.3">
      <c r="A4241" s="130"/>
      <c r="B4241" s="37"/>
      <c r="C4241" s="37"/>
      <c r="D4241" s="37"/>
      <c r="E4241" s="37"/>
      <c r="F4241" s="37"/>
      <c r="G4241" s="37"/>
      <c r="H4241" s="37"/>
      <c r="I4241" s="37"/>
      <c r="J4241" s="37"/>
    </row>
    <row r="4242" spans="1:10" x14ac:dyDescent="0.3">
      <c r="A4242" s="130"/>
      <c r="B4242" s="37"/>
      <c r="C4242" s="37"/>
      <c r="D4242" s="37"/>
      <c r="E4242" s="37"/>
      <c r="F4242" s="37"/>
      <c r="G4242" s="37"/>
      <c r="H4242" s="37"/>
      <c r="I4242" s="37"/>
      <c r="J4242" s="37"/>
    </row>
    <row r="4243" spans="1:10" x14ac:dyDescent="0.3">
      <c r="A4243" s="130"/>
      <c r="B4243" s="37"/>
      <c r="C4243" s="37"/>
      <c r="D4243" s="37"/>
      <c r="E4243" s="37"/>
      <c r="F4243" s="37"/>
      <c r="G4243" s="37"/>
      <c r="H4243" s="37"/>
      <c r="I4243" s="37"/>
      <c r="J4243" s="37"/>
    </row>
    <row r="4244" spans="1:10" x14ac:dyDescent="0.3">
      <c r="A4244" s="130"/>
      <c r="B4244" s="37"/>
      <c r="C4244" s="37"/>
      <c r="D4244" s="37"/>
      <c r="E4244" s="37"/>
      <c r="F4244" s="37"/>
      <c r="G4244" s="37"/>
      <c r="H4244" s="37"/>
      <c r="I4244" s="37"/>
      <c r="J4244" s="37"/>
    </row>
    <row r="4245" spans="1:10" x14ac:dyDescent="0.3">
      <c r="A4245" s="130"/>
      <c r="B4245" s="37"/>
      <c r="C4245" s="37"/>
      <c r="D4245" s="37"/>
      <c r="E4245" s="37"/>
      <c r="F4245" s="37"/>
      <c r="G4245" s="37"/>
      <c r="H4245" s="37"/>
      <c r="I4245" s="37"/>
      <c r="J4245" s="37"/>
    </row>
    <row r="4246" spans="1:10" x14ac:dyDescent="0.3">
      <c r="A4246" s="130"/>
      <c r="B4246" s="37"/>
      <c r="C4246" s="37"/>
      <c r="D4246" s="37"/>
      <c r="E4246" s="37"/>
      <c r="F4246" s="37"/>
      <c r="G4246" s="37"/>
      <c r="H4246" s="37"/>
      <c r="I4246" s="37"/>
      <c r="J4246" s="37"/>
    </row>
    <row r="4247" spans="1:10" x14ac:dyDescent="0.3">
      <c r="A4247" s="130"/>
      <c r="B4247" s="37"/>
      <c r="C4247" s="37"/>
      <c r="D4247" s="37"/>
      <c r="E4247" s="37"/>
      <c r="F4247" s="37"/>
      <c r="G4247" s="37"/>
      <c r="H4247" s="37"/>
      <c r="I4247" s="37"/>
      <c r="J4247" s="37"/>
    </row>
    <row r="4248" spans="1:10" x14ac:dyDescent="0.3">
      <c r="A4248" s="130"/>
      <c r="B4248" s="37"/>
      <c r="C4248" s="37"/>
      <c r="D4248" s="37"/>
      <c r="E4248" s="37"/>
      <c r="F4248" s="37"/>
      <c r="G4248" s="37"/>
      <c r="H4248" s="37"/>
      <c r="I4248" s="37"/>
      <c r="J4248" s="37"/>
    </row>
    <row r="4249" spans="1:10" x14ac:dyDescent="0.3">
      <c r="A4249" s="130"/>
      <c r="B4249" s="37"/>
      <c r="C4249" s="37"/>
      <c r="D4249" s="37"/>
      <c r="E4249" s="37"/>
      <c r="F4249" s="37"/>
      <c r="G4249" s="37"/>
      <c r="H4249" s="37"/>
      <c r="I4249" s="37"/>
      <c r="J4249" s="37"/>
    </row>
    <row r="4250" spans="1:10" x14ac:dyDescent="0.3">
      <c r="A4250" s="130"/>
      <c r="B4250" s="37"/>
      <c r="C4250" s="37"/>
      <c r="D4250" s="37"/>
      <c r="E4250" s="37"/>
      <c r="F4250" s="37"/>
      <c r="G4250" s="37"/>
      <c r="H4250" s="37"/>
      <c r="I4250" s="37"/>
      <c r="J4250" s="37"/>
    </row>
    <row r="4251" spans="1:10" x14ac:dyDescent="0.3">
      <c r="A4251" s="130"/>
      <c r="B4251" s="37"/>
      <c r="C4251" s="37"/>
      <c r="D4251" s="37"/>
      <c r="E4251" s="37"/>
      <c r="F4251" s="37"/>
      <c r="G4251" s="37"/>
      <c r="H4251" s="37"/>
      <c r="I4251" s="37"/>
      <c r="J4251" s="37"/>
    </row>
    <row r="4252" spans="1:10" x14ac:dyDescent="0.3">
      <c r="A4252" s="130"/>
      <c r="B4252" s="37"/>
      <c r="C4252" s="37"/>
      <c r="D4252" s="37"/>
      <c r="E4252" s="37"/>
      <c r="F4252" s="37"/>
      <c r="G4252" s="37"/>
      <c r="H4252" s="37"/>
      <c r="I4252" s="37"/>
      <c r="J4252" s="37"/>
    </row>
    <row r="4253" spans="1:10" x14ac:dyDescent="0.3">
      <c r="A4253" s="130"/>
      <c r="B4253" s="37"/>
      <c r="C4253" s="37"/>
      <c r="D4253" s="37"/>
      <c r="E4253" s="37"/>
      <c r="F4253" s="37"/>
      <c r="G4253" s="37"/>
      <c r="H4253" s="37"/>
      <c r="I4253" s="37"/>
      <c r="J4253" s="37"/>
    </row>
    <row r="4254" spans="1:10" x14ac:dyDescent="0.3">
      <c r="A4254" s="130"/>
      <c r="B4254" s="37"/>
      <c r="C4254" s="37"/>
      <c r="D4254" s="37"/>
      <c r="E4254" s="37"/>
      <c r="F4254" s="37"/>
      <c r="G4254" s="37"/>
      <c r="H4254" s="37"/>
      <c r="I4254" s="37"/>
      <c r="J4254" s="37"/>
    </row>
    <row r="4255" spans="1:10" x14ac:dyDescent="0.3">
      <c r="A4255" s="130"/>
      <c r="B4255" s="37"/>
      <c r="C4255" s="37"/>
      <c r="D4255" s="37"/>
      <c r="E4255" s="37"/>
      <c r="F4255" s="37"/>
      <c r="G4255" s="37"/>
      <c r="H4255" s="37"/>
      <c r="I4255" s="37"/>
      <c r="J4255" s="37"/>
    </row>
    <row r="4256" spans="1:10" x14ac:dyDescent="0.3">
      <c r="A4256" s="130"/>
      <c r="B4256" s="37"/>
      <c r="C4256" s="37"/>
      <c r="D4256" s="37"/>
      <c r="E4256" s="37"/>
      <c r="F4256" s="37"/>
      <c r="G4256" s="37"/>
      <c r="H4256" s="37"/>
      <c r="I4256" s="37"/>
      <c r="J4256" s="37"/>
    </row>
    <row r="4257" spans="1:10" x14ac:dyDescent="0.3">
      <c r="A4257" s="130"/>
      <c r="B4257" s="37"/>
      <c r="C4257" s="37"/>
      <c r="D4257" s="37"/>
      <c r="E4257" s="37"/>
      <c r="F4257" s="37"/>
      <c r="G4257" s="37"/>
      <c r="H4257" s="37"/>
      <c r="I4257" s="37"/>
      <c r="J4257" s="37"/>
    </row>
    <row r="4258" spans="1:10" x14ac:dyDescent="0.3">
      <c r="A4258" s="130"/>
      <c r="B4258" s="37"/>
      <c r="C4258" s="37"/>
      <c r="D4258" s="37"/>
      <c r="E4258" s="37"/>
      <c r="F4258" s="37"/>
      <c r="G4258" s="37"/>
      <c r="H4258" s="37"/>
      <c r="I4258" s="37"/>
      <c r="J4258" s="37"/>
    </row>
    <row r="4259" spans="1:10" x14ac:dyDescent="0.3">
      <c r="A4259" s="130"/>
      <c r="B4259" s="37"/>
      <c r="C4259" s="37"/>
      <c r="D4259" s="37"/>
      <c r="E4259" s="37"/>
      <c r="F4259" s="37"/>
      <c r="G4259" s="37"/>
      <c r="H4259" s="37"/>
      <c r="I4259" s="37"/>
      <c r="J4259" s="37"/>
    </row>
    <row r="4260" spans="1:10" x14ac:dyDescent="0.3">
      <c r="A4260" s="130"/>
      <c r="B4260" s="37"/>
      <c r="C4260" s="37"/>
      <c r="D4260" s="37"/>
      <c r="E4260" s="37"/>
      <c r="F4260" s="37"/>
      <c r="G4260" s="37"/>
      <c r="H4260" s="37"/>
      <c r="I4260" s="37"/>
      <c r="J4260" s="37"/>
    </row>
    <row r="4261" spans="1:10" x14ac:dyDescent="0.3">
      <c r="A4261" s="130"/>
      <c r="B4261" s="37"/>
      <c r="C4261" s="37"/>
      <c r="D4261" s="37"/>
      <c r="E4261" s="37"/>
      <c r="F4261" s="37"/>
      <c r="G4261" s="37"/>
      <c r="H4261" s="37"/>
      <c r="I4261" s="37"/>
      <c r="J4261" s="37"/>
    </row>
    <row r="4262" spans="1:10" x14ac:dyDescent="0.3">
      <c r="A4262" s="130"/>
      <c r="B4262" s="37"/>
      <c r="C4262" s="37"/>
      <c r="D4262" s="37"/>
      <c r="E4262" s="37"/>
      <c r="F4262" s="37"/>
      <c r="G4262" s="37"/>
      <c r="H4262" s="37"/>
      <c r="I4262" s="37"/>
      <c r="J4262" s="37"/>
    </row>
    <row r="4263" spans="1:10" x14ac:dyDescent="0.3">
      <c r="A4263" s="130"/>
      <c r="B4263" s="37"/>
      <c r="C4263" s="37"/>
      <c r="D4263" s="37"/>
      <c r="E4263" s="37"/>
      <c r="F4263" s="37"/>
      <c r="G4263" s="37"/>
      <c r="H4263" s="37"/>
      <c r="I4263" s="37"/>
      <c r="J4263" s="37"/>
    </row>
    <row r="4264" spans="1:10" x14ac:dyDescent="0.3">
      <c r="A4264" s="130"/>
      <c r="B4264" s="37"/>
      <c r="C4264" s="37"/>
      <c r="D4264" s="37"/>
      <c r="E4264" s="37"/>
      <c r="F4264" s="37"/>
      <c r="G4264" s="37"/>
      <c r="H4264" s="37"/>
      <c r="I4264" s="37"/>
      <c r="J4264" s="37"/>
    </row>
    <row r="4265" spans="1:10" x14ac:dyDescent="0.3">
      <c r="A4265" s="130"/>
      <c r="B4265" s="37"/>
      <c r="C4265" s="37"/>
      <c r="D4265" s="37"/>
      <c r="E4265" s="37"/>
      <c r="F4265" s="37"/>
      <c r="G4265" s="37"/>
      <c r="H4265" s="37"/>
      <c r="I4265" s="37"/>
      <c r="J4265" s="37"/>
    </row>
    <row r="4266" spans="1:10" x14ac:dyDescent="0.3">
      <c r="A4266" s="130"/>
      <c r="B4266" s="37"/>
      <c r="C4266" s="37"/>
      <c r="D4266" s="37"/>
      <c r="E4266" s="37"/>
      <c r="F4266" s="37"/>
      <c r="G4266" s="37"/>
      <c r="H4266" s="37"/>
      <c r="I4266" s="37"/>
      <c r="J4266" s="37"/>
    </row>
    <row r="4267" spans="1:10" x14ac:dyDescent="0.3">
      <c r="A4267" s="130"/>
      <c r="B4267" s="37"/>
      <c r="C4267" s="37"/>
      <c r="D4267" s="37"/>
      <c r="E4267" s="37"/>
      <c r="F4267" s="37"/>
      <c r="G4267" s="37"/>
      <c r="H4267" s="37"/>
      <c r="I4267" s="37"/>
      <c r="J4267" s="37"/>
    </row>
    <row r="4268" spans="1:10" x14ac:dyDescent="0.3">
      <c r="A4268" s="130"/>
      <c r="B4268" s="37"/>
      <c r="C4268" s="37"/>
      <c r="D4268" s="37"/>
      <c r="E4268" s="37"/>
      <c r="F4268" s="37"/>
      <c r="G4268" s="37"/>
      <c r="H4268" s="37"/>
      <c r="I4268" s="37"/>
      <c r="J4268" s="37"/>
    </row>
    <row r="4269" spans="1:10" x14ac:dyDescent="0.3">
      <c r="A4269" s="130"/>
      <c r="B4269" s="37"/>
      <c r="C4269" s="37"/>
      <c r="D4269" s="37"/>
      <c r="E4269" s="37"/>
      <c r="F4269" s="37"/>
      <c r="G4269" s="37"/>
      <c r="H4269" s="37"/>
      <c r="I4269" s="37"/>
      <c r="J4269" s="37"/>
    </row>
    <row r="4270" spans="1:10" x14ac:dyDescent="0.3">
      <c r="A4270" s="130"/>
      <c r="B4270" s="37"/>
      <c r="C4270" s="37"/>
      <c r="D4270" s="37"/>
      <c r="E4270" s="37"/>
      <c r="F4270" s="37"/>
      <c r="G4270" s="37"/>
      <c r="H4270" s="37"/>
      <c r="I4270" s="37"/>
      <c r="J4270" s="37"/>
    </row>
    <row r="4271" spans="1:10" x14ac:dyDescent="0.3">
      <c r="A4271" s="130"/>
      <c r="B4271" s="37"/>
      <c r="C4271" s="37"/>
      <c r="D4271" s="37"/>
      <c r="E4271" s="37"/>
      <c r="F4271" s="37"/>
      <c r="G4271" s="37"/>
      <c r="H4271" s="37"/>
      <c r="I4271" s="37"/>
      <c r="J4271" s="37"/>
    </row>
    <row r="4272" spans="1:10" x14ac:dyDescent="0.3">
      <c r="A4272" s="130"/>
      <c r="B4272" s="37"/>
      <c r="C4272" s="37"/>
      <c r="D4272" s="37"/>
      <c r="E4272" s="37"/>
      <c r="F4272" s="37"/>
      <c r="G4272" s="37"/>
      <c r="H4272" s="37"/>
      <c r="I4272" s="37"/>
      <c r="J4272" s="37"/>
    </row>
    <row r="4273" spans="1:10" x14ac:dyDescent="0.3">
      <c r="A4273" s="130"/>
      <c r="B4273" s="37"/>
      <c r="C4273" s="37"/>
      <c r="D4273" s="37"/>
      <c r="E4273" s="37"/>
      <c r="F4273" s="37"/>
      <c r="G4273" s="37"/>
      <c r="H4273" s="37"/>
      <c r="I4273" s="37"/>
      <c r="J4273" s="37"/>
    </row>
    <row r="4274" spans="1:10" x14ac:dyDescent="0.3">
      <c r="A4274" s="130"/>
      <c r="B4274" s="37"/>
      <c r="C4274" s="37"/>
      <c r="D4274" s="37"/>
      <c r="E4274" s="37"/>
      <c r="F4274" s="37"/>
      <c r="G4274" s="37"/>
      <c r="H4274" s="37"/>
      <c r="I4274" s="37"/>
      <c r="J4274" s="37"/>
    </row>
    <row r="4275" spans="1:10" x14ac:dyDescent="0.3">
      <c r="A4275" s="130"/>
      <c r="B4275" s="37"/>
      <c r="C4275" s="37"/>
      <c r="D4275" s="37"/>
      <c r="E4275" s="37"/>
      <c r="F4275" s="37"/>
      <c r="G4275" s="37"/>
      <c r="H4275" s="37"/>
      <c r="I4275" s="37"/>
      <c r="J4275" s="37"/>
    </row>
    <row r="4276" spans="1:10" x14ac:dyDescent="0.3">
      <c r="A4276" s="130"/>
      <c r="B4276" s="37"/>
      <c r="C4276" s="37"/>
      <c r="D4276" s="37"/>
      <c r="E4276" s="37"/>
      <c r="F4276" s="37"/>
      <c r="G4276" s="37"/>
      <c r="H4276" s="37"/>
      <c r="I4276" s="37"/>
      <c r="J4276" s="37"/>
    </row>
    <row r="4277" spans="1:10" x14ac:dyDescent="0.3">
      <c r="A4277" s="130"/>
      <c r="B4277" s="37"/>
      <c r="C4277" s="37"/>
      <c r="D4277" s="37"/>
      <c r="E4277" s="37"/>
      <c r="F4277" s="37"/>
      <c r="G4277" s="37"/>
      <c r="H4277" s="37"/>
      <c r="I4277" s="37"/>
      <c r="J4277" s="37"/>
    </row>
    <row r="4278" spans="1:10" x14ac:dyDescent="0.3">
      <c r="A4278" s="130"/>
      <c r="B4278" s="37"/>
      <c r="C4278" s="37"/>
      <c r="D4278" s="37"/>
      <c r="E4278" s="37"/>
      <c r="F4278" s="37"/>
      <c r="G4278" s="37"/>
      <c r="H4278" s="37"/>
      <c r="I4278" s="37"/>
      <c r="J4278" s="37"/>
    </row>
    <row r="4279" spans="1:10" x14ac:dyDescent="0.3">
      <c r="A4279" s="130"/>
      <c r="B4279" s="37"/>
      <c r="C4279" s="37"/>
      <c r="D4279" s="37"/>
      <c r="E4279" s="37"/>
      <c r="F4279" s="37"/>
      <c r="G4279" s="37"/>
      <c r="H4279" s="37"/>
      <c r="I4279" s="37"/>
      <c r="J4279" s="37"/>
    </row>
    <row r="4280" spans="1:10" x14ac:dyDescent="0.3">
      <c r="A4280" s="130"/>
      <c r="B4280" s="37"/>
      <c r="C4280" s="37"/>
      <c r="D4280" s="37"/>
      <c r="E4280" s="37"/>
      <c r="F4280" s="37"/>
      <c r="G4280" s="37"/>
      <c r="H4280" s="37"/>
      <c r="I4280" s="37"/>
      <c r="J4280" s="37"/>
    </row>
    <row r="4281" spans="1:10" x14ac:dyDescent="0.3">
      <c r="A4281" s="130"/>
      <c r="B4281" s="37"/>
      <c r="C4281" s="37"/>
      <c r="D4281" s="37"/>
      <c r="E4281" s="37"/>
      <c r="F4281" s="37"/>
      <c r="G4281" s="37"/>
      <c r="H4281" s="37"/>
      <c r="I4281" s="37"/>
      <c r="J4281" s="37"/>
    </row>
    <row r="4282" spans="1:10" x14ac:dyDescent="0.3">
      <c r="A4282" s="130"/>
      <c r="B4282" s="37"/>
      <c r="C4282" s="37"/>
      <c r="D4282" s="37"/>
      <c r="E4282" s="37"/>
      <c r="F4282" s="37"/>
      <c r="G4282" s="37"/>
      <c r="H4282" s="37"/>
      <c r="I4282" s="37"/>
      <c r="J4282" s="37"/>
    </row>
    <row r="4283" spans="1:10" x14ac:dyDescent="0.3">
      <c r="A4283" s="130"/>
      <c r="B4283" s="37"/>
      <c r="C4283" s="37"/>
      <c r="D4283" s="37"/>
      <c r="E4283" s="37"/>
      <c r="F4283" s="37"/>
      <c r="G4283" s="37"/>
      <c r="H4283" s="37"/>
      <c r="I4283" s="37"/>
      <c r="J4283" s="37"/>
    </row>
    <row r="4284" spans="1:10" x14ac:dyDescent="0.3">
      <c r="A4284" s="130"/>
      <c r="B4284" s="37"/>
      <c r="C4284" s="37"/>
      <c r="D4284" s="37"/>
      <c r="E4284" s="37"/>
      <c r="F4284" s="37"/>
      <c r="G4284" s="37"/>
      <c r="H4284" s="37"/>
      <c r="I4284" s="37"/>
      <c r="J4284" s="37"/>
    </row>
    <row r="4285" spans="1:10" x14ac:dyDescent="0.3">
      <c r="A4285" s="130"/>
      <c r="B4285" s="37"/>
      <c r="C4285" s="37"/>
      <c r="D4285" s="37"/>
      <c r="E4285" s="37"/>
      <c r="F4285" s="37"/>
      <c r="G4285" s="37"/>
      <c r="H4285" s="37"/>
      <c r="I4285" s="37"/>
      <c r="J4285" s="37"/>
    </row>
    <row r="4286" spans="1:10" x14ac:dyDescent="0.3">
      <c r="A4286" s="130"/>
      <c r="B4286" s="37"/>
      <c r="C4286" s="37"/>
      <c r="D4286" s="37"/>
      <c r="E4286" s="37"/>
      <c r="F4286" s="37"/>
      <c r="G4286" s="37"/>
      <c r="H4286" s="37"/>
      <c r="I4286" s="37"/>
      <c r="J4286" s="37"/>
    </row>
    <row r="4287" spans="1:10" x14ac:dyDescent="0.3">
      <c r="A4287" s="130"/>
      <c r="B4287" s="37"/>
      <c r="C4287" s="37"/>
      <c r="D4287" s="37"/>
      <c r="E4287" s="37"/>
      <c r="F4287" s="37"/>
      <c r="G4287" s="37"/>
      <c r="H4287" s="37"/>
      <c r="I4287" s="37"/>
      <c r="J4287" s="37"/>
    </row>
    <row r="4288" spans="1:10" x14ac:dyDescent="0.3">
      <c r="A4288" s="130"/>
      <c r="B4288" s="37"/>
      <c r="C4288" s="37"/>
      <c r="D4288" s="37"/>
      <c r="E4288" s="37"/>
      <c r="F4288" s="37"/>
      <c r="G4288" s="37"/>
      <c r="H4288" s="37"/>
      <c r="I4288" s="37"/>
      <c r="J4288" s="37"/>
    </row>
    <row r="4289" spans="1:10" x14ac:dyDescent="0.3">
      <c r="A4289" s="130"/>
      <c r="B4289" s="37"/>
      <c r="C4289" s="37"/>
      <c r="D4289" s="37"/>
      <c r="E4289" s="37"/>
      <c r="F4289" s="37"/>
      <c r="G4289" s="37"/>
      <c r="H4289" s="37"/>
      <c r="I4289" s="37"/>
      <c r="J4289" s="37"/>
    </row>
    <row r="4290" spans="1:10" x14ac:dyDescent="0.3">
      <c r="A4290" s="130"/>
      <c r="B4290" s="37"/>
      <c r="C4290" s="37"/>
      <c r="D4290" s="37"/>
      <c r="E4290" s="37"/>
      <c r="F4290" s="37"/>
      <c r="G4290" s="37"/>
      <c r="H4290" s="37"/>
      <c r="I4290" s="37"/>
      <c r="J4290" s="37"/>
    </row>
    <row r="4291" spans="1:10" x14ac:dyDescent="0.3">
      <c r="A4291" s="130"/>
      <c r="B4291" s="37"/>
      <c r="C4291" s="37"/>
      <c r="D4291" s="37"/>
      <c r="E4291" s="37"/>
      <c r="F4291" s="37"/>
      <c r="G4291" s="37"/>
      <c r="H4291" s="37"/>
      <c r="I4291" s="37"/>
      <c r="J4291" s="37"/>
    </row>
    <row r="4292" spans="1:10" x14ac:dyDescent="0.3">
      <c r="A4292" s="130"/>
      <c r="B4292" s="37"/>
      <c r="C4292" s="37"/>
      <c r="D4292" s="37"/>
      <c r="E4292" s="37"/>
      <c r="F4292" s="37"/>
      <c r="G4292" s="37"/>
      <c r="H4292" s="37"/>
      <c r="I4292" s="37"/>
      <c r="J4292" s="37"/>
    </row>
    <row r="4293" spans="1:10" x14ac:dyDescent="0.3">
      <c r="A4293" s="130"/>
      <c r="B4293" s="37"/>
      <c r="C4293" s="37"/>
      <c r="D4293" s="37"/>
      <c r="E4293" s="37"/>
      <c r="F4293" s="37"/>
      <c r="G4293" s="37"/>
      <c r="H4293" s="37"/>
      <c r="I4293" s="37"/>
      <c r="J4293" s="37"/>
    </row>
    <row r="4294" spans="1:10" x14ac:dyDescent="0.3">
      <c r="A4294" s="130"/>
      <c r="B4294" s="37"/>
      <c r="C4294" s="37"/>
      <c r="D4294" s="37"/>
      <c r="E4294" s="37"/>
      <c r="F4294" s="37"/>
      <c r="G4294" s="37"/>
      <c r="H4294" s="37"/>
      <c r="I4294" s="37"/>
      <c r="J4294" s="37"/>
    </row>
    <row r="4295" spans="1:10" x14ac:dyDescent="0.3">
      <c r="A4295" s="130"/>
      <c r="B4295" s="37"/>
      <c r="C4295" s="37"/>
      <c r="D4295" s="37"/>
      <c r="E4295" s="37"/>
      <c r="F4295" s="37"/>
      <c r="G4295" s="37"/>
      <c r="H4295" s="37"/>
      <c r="I4295" s="37"/>
      <c r="J4295" s="37"/>
    </row>
    <row r="4296" spans="1:10" x14ac:dyDescent="0.3">
      <c r="A4296" s="130"/>
      <c r="B4296" s="37"/>
      <c r="C4296" s="37"/>
      <c r="D4296" s="37"/>
      <c r="E4296" s="37"/>
      <c r="F4296" s="37"/>
      <c r="G4296" s="37"/>
      <c r="H4296" s="37"/>
      <c r="I4296" s="37"/>
      <c r="J4296" s="37"/>
    </row>
    <row r="4297" spans="1:10" x14ac:dyDescent="0.3">
      <c r="A4297" s="130"/>
      <c r="B4297" s="37"/>
      <c r="C4297" s="37"/>
      <c r="D4297" s="37"/>
      <c r="E4297" s="37"/>
      <c r="F4297" s="37"/>
      <c r="G4297" s="37"/>
      <c r="H4297" s="37"/>
      <c r="I4297" s="37"/>
      <c r="J4297" s="37"/>
    </row>
    <row r="4298" spans="1:10" x14ac:dyDescent="0.3">
      <c r="A4298" s="130"/>
      <c r="B4298" s="37"/>
      <c r="C4298" s="37"/>
      <c r="D4298" s="37"/>
      <c r="E4298" s="37"/>
      <c r="F4298" s="37"/>
      <c r="G4298" s="37"/>
      <c r="H4298" s="37"/>
      <c r="I4298" s="37"/>
      <c r="J4298" s="37"/>
    </row>
    <row r="4299" spans="1:10" x14ac:dyDescent="0.3">
      <c r="A4299" s="130"/>
      <c r="B4299" s="37"/>
      <c r="C4299" s="37"/>
      <c r="D4299" s="37"/>
      <c r="E4299" s="37"/>
      <c r="F4299" s="37"/>
      <c r="G4299" s="37"/>
      <c r="H4299" s="37"/>
      <c r="I4299" s="37"/>
      <c r="J4299" s="37"/>
    </row>
    <row r="4300" spans="1:10" x14ac:dyDescent="0.3">
      <c r="A4300" s="130"/>
      <c r="B4300" s="37"/>
      <c r="C4300" s="37"/>
      <c r="D4300" s="37"/>
      <c r="E4300" s="37"/>
      <c r="F4300" s="37"/>
      <c r="G4300" s="37"/>
      <c r="H4300" s="37"/>
      <c r="I4300" s="37"/>
      <c r="J4300" s="37"/>
    </row>
    <row r="4301" spans="1:10" x14ac:dyDescent="0.3">
      <c r="A4301" s="130"/>
      <c r="B4301" s="37"/>
      <c r="C4301" s="37"/>
      <c r="D4301" s="37"/>
      <c r="E4301" s="37"/>
      <c r="F4301" s="37"/>
      <c r="G4301" s="37"/>
      <c r="H4301" s="37"/>
      <c r="I4301" s="37"/>
      <c r="J4301" s="37"/>
    </row>
    <row r="4302" spans="1:10" x14ac:dyDescent="0.3">
      <c r="A4302" s="130"/>
      <c r="B4302" s="37"/>
      <c r="C4302" s="37"/>
      <c r="D4302" s="37"/>
      <c r="E4302" s="37"/>
      <c r="F4302" s="37"/>
      <c r="G4302" s="37"/>
      <c r="H4302" s="37"/>
      <c r="I4302" s="37"/>
      <c r="J4302" s="37"/>
    </row>
    <row r="4303" spans="1:10" x14ac:dyDescent="0.3">
      <c r="A4303" s="130"/>
      <c r="B4303" s="37"/>
      <c r="C4303" s="37"/>
      <c r="D4303" s="37"/>
      <c r="E4303" s="37"/>
      <c r="F4303" s="37"/>
      <c r="G4303" s="37"/>
      <c r="H4303" s="37"/>
      <c r="I4303" s="37"/>
      <c r="J4303" s="37"/>
    </row>
    <row r="4304" spans="1:10" x14ac:dyDescent="0.3">
      <c r="A4304" s="130"/>
      <c r="B4304" s="37"/>
      <c r="C4304" s="37"/>
      <c r="D4304" s="37"/>
      <c r="E4304" s="37"/>
      <c r="F4304" s="37"/>
      <c r="G4304" s="37"/>
      <c r="H4304" s="37"/>
      <c r="I4304" s="37"/>
      <c r="J4304" s="37"/>
    </row>
    <row r="4305" spans="1:10" x14ac:dyDescent="0.3">
      <c r="A4305" s="130"/>
      <c r="B4305" s="37"/>
      <c r="C4305" s="37"/>
      <c r="D4305" s="37"/>
      <c r="E4305" s="37"/>
      <c r="F4305" s="37"/>
      <c r="G4305" s="37"/>
      <c r="H4305" s="37"/>
      <c r="I4305" s="37"/>
      <c r="J4305" s="37"/>
    </row>
    <row r="4306" spans="1:10" x14ac:dyDescent="0.3">
      <c r="A4306" s="130"/>
      <c r="B4306" s="37"/>
      <c r="C4306" s="37"/>
      <c r="D4306" s="37"/>
      <c r="E4306" s="37"/>
      <c r="F4306" s="37"/>
      <c r="G4306" s="37"/>
      <c r="H4306" s="37"/>
      <c r="I4306" s="37"/>
      <c r="J4306" s="37"/>
    </row>
    <row r="4307" spans="1:10" x14ac:dyDescent="0.3">
      <c r="A4307" s="130"/>
      <c r="B4307" s="37"/>
      <c r="C4307" s="37"/>
      <c r="D4307" s="37"/>
      <c r="E4307" s="37"/>
      <c r="F4307" s="37"/>
      <c r="G4307" s="37"/>
      <c r="H4307" s="37"/>
      <c r="I4307" s="37"/>
      <c r="J4307" s="37"/>
    </row>
    <row r="4308" spans="1:10" x14ac:dyDescent="0.3">
      <c r="A4308" s="130"/>
      <c r="B4308" s="37"/>
      <c r="C4308" s="37"/>
      <c r="D4308" s="37"/>
      <c r="E4308" s="37"/>
      <c r="F4308" s="37"/>
      <c r="G4308" s="37"/>
      <c r="H4308" s="37"/>
      <c r="I4308" s="37"/>
      <c r="J4308" s="37"/>
    </row>
    <row r="4309" spans="1:10" x14ac:dyDescent="0.3">
      <c r="A4309" s="130"/>
      <c r="B4309" s="37"/>
      <c r="C4309" s="37"/>
      <c r="D4309" s="37"/>
      <c r="E4309" s="37"/>
      <c r="F4309" s="37"/>
      <c r="G4309" s="37"/>
      <c r="H4309" s="37"/>
      <c r="I4309" s="37"/>
      <c r="J4309" s="37"/>
    </row>
    <row r="4310" spans="1:10" x14ac:dyDescent="0.3">
      <c r="A4310" s="130"/>
      <c r="B4310" s="37"/>
      <c r="C4310" s="37"/>
      <c r="D4310" s="37"/>
      <c r="E4310" s="37"/>
      <c r="F4310" s="37"/>
      <c r="G4310" s="37"/>
      <c r="H4310" s="37"/>
      <c r="I4310" s="37"/>
      <c r="J4310" s="37"/>
    </row>
    <row r="4311" spans="1:10" x14ac:dyDescent="0.3">
      <c r="A4311" s="130"/>
      <c r="B4311" s="37"/>
      <c r="C4311" s="37"/>
      <c r="D4311" s="37"/>
      <c r="E4311" s="37"/>
      <c r="F4311" s="37"/>
      <c r="G4311" s="37"/>
      <c r="H4311" s="37"/>
      <c r="I4311" s="37"/>
      <c r="J4311" s="37"/>
    </row>
    <row r="4312" spans="1:10" x14ac:dyDescent="0.3">
      <c r="A4312" s="130"/>
      <c r="B4312" s="37"/>
      <c r="C4312" s="37"/>
      <c r="D4312" s="37"/>
      <c r="E4312" s="37"/>
      <c r="F4312" s="37"/>
      <c r="G4312" s="37"/>
      <c r="H4312" s="37"/>
      <c r="I4312" s="37"/>
      <c r="J4312" s="37"/>
    </row>
    <row r="4313" spans="1:10" x14ac:dyDescent="0.3">
      <c r="A4313" s="130"/>
      <c r="B4313" s="37"/>
      <c r="C4313" s="37"/>
      <c r="D4313" s="37"/>
      <c r="E4313" s="37"/>
      <c r="F4313" s="37"/>
      <c r="G4313" s="37"/>
      <c r="H4313" s="37"/>
      <c r="I4313" s="37"/>
      <c r="J4313" s="37"/>
    </row>
    <row r="4314" spans="1:10" x14ac:dyDescent="0.3">
      <c r="A4314" s="130"/>
      <c r="B4314" s="37"/>
      <c r="C4314" s="37"/>
      <c r="D4314" s="37"/>
      <c r="E4314" s="37"/>
      <c r="F4314" s="37"/>
      <c r="G4314" s="37"/>
      <c r="H4314" s="37"/>
      <c r="I4314" s="37"/>
      <c r="J4314" s="37"/>
    </row>
    <row r="4315" spans="1:10" x14ac:dyDescent="0.3">
      <c r="A4315" s="130"/>
      <c r="B4315" s="37"/>
      <c r="C4315" s="37"/>
      <c r="D4315" s="37"/>
      <c r="E4315" s="37"/>
      <c r="F4315" s="37"/>
      <c r="G4315" s="37"/>
      <c r="H4315" s="37"/>
      <c r="I4315" s="37"/>
      <c r="J4315" s="37"/>
    </row>
    <row r="4316" spans="1:10" x14ac:dyDescent="0.3">
      <c r="A4316" s="130"/>
      <c r="B4316" s="37"/>
      <c r="C4316" s="37"/>
      <c r="D4316" s="37"/>
      <c r="E4316" s="37"/>
      <c r="F4316" s="37"/>
      <c r="G4316" s="37"/>
      <c r="H4316" s="37"/>
      <c r="I4316" s="37"/>
      <c r="J4316" s="37"/>
    </row>
    <row r="4317" spans="1:10" x14ac:dyDescent="0.3">
      <c r="A4317" s="130"/>
      <c r="B4317" s="37"/>
      <c r="C4317" s="37"/>
      <c r="D4317" s="37"/>
      <c r="E4317" s="37"/>
      <c r="F4317" s="37"/>
      <c r="G4317" s="37"/>
      <c r="H4317" s="37"/>
      <c r="I4317" s="37"/>
      <c r="J4317" s="37"/>
    </row>
    <row r="4318" spans="1:10" x14ac:dyDescent="0.3">
      <c r="A4318" s="130"/>
      <c r="B4318" s="37"/>
      <c r="C4318" s="37"/>
      <c r="D4318" s="37"/>
      <c r="E4318" s="37"/>
      <c r="F4318" s="37"/>
      <c r="G4318" s="37"/>
      <c r="H4318" s="37"/>
      <c r="I4318" s="37"/>
      <c r="J4318" s="37"/>
    </row>
    <row r="4319" spans="1:10" x14ac:dyDescent="0.3">
      <c r="A4319" s="130"/>
      <c r="B4319" s="37"/>
      <c r="C4319" s="37"/>
      <c r="D4319" s="37"/>
      <c r="E4319" s="37"/>
      <c r="F4319" s="37"/>
      <c r="G4319" s="37"/>
      <c r="H4319" s="37"/>
      <c r="I4319" s="37"/>
      <c r="J4319" s="37"/>
    </row>
    <row r="4320" spans="1:10" x14ac:dyDescent="0.3">
      <c r="A4320" s="130"/>
      <c r="B4320" s="37"/>
      <c r="C4320" s="37"/>
      <c r="D4320" s="37"/>
      <c r="E4320" s="37"/>
      <c r="F4320" s="37"/>
      <c r="G4320" s="37"/>
      <c r="H4320" s="37"/>
      <c r="I4320" s="37"/>
      <c r="J4320" s="37"/>
    </row>
    <row r="4321" spans="1:10" x14ac:dyDescent="0.3">
      <c r="A4321" s="130"/>
      <c r="B4321" s="37"/>
      <c r="C4321" s="37"/>
      <c r="D4321" s="37"/>
      <c r="E4321" s="37"/>
      <c r="F4321" s="37"/>
      <c r="G4321" s="37"/>
      <c r="H4321" s="37"/>
      <c r="I4321" s="37"/>
      <c r="J4321" s="37"/>
    </row>
    <row r="4322" spans="1:10" x14ac:dyDescent="0.3">
      <c r="A4322" s="130"/>
      <c r="B4322" s="37"/>
      <c r="C4322" s="37"/>
      <c r="D4322" s="37"/>
      <c r="E4322" s="37"/>
      <c r="F4322" s="37"/>
      <c r="G4322" s="37"/>
      <c r="H4322" s="37"/>
      <c r="I4322" s="37"/>
      <c r="J4322" s="37"/>
    </row>
    <row r="4323" spans="1:10" x14ac:dyDescent="0.3">
      <c r="A4323" s="130"/>
      <c r="B4323" s="37"/>
      <c r="C4323" s="37"/>
      <c r="D4323" s="37"/>
      <c r="E4323" s="37"/>
      <c r="F4323" s="37"/>
      <c r="G4323" s="37"/>
      <c r="H4323" s="37"/>
      <c r="I4323" s="37"/>
      <c r="J4323" s="37"/>
    </row>
    <row r="4324" spans="1:10" x14ac:dyDescent="0.3">
      <c r="A4324" s="130"/>
      <c r="B4324" s="37"/>
      <c r="C4324" s="37"/>
      <c r="D4324" s="37"/>
      <c r="E4324" s="37"/>
      <c r="F4324" s="37"/>
      <c r="G4324" s="37"/>
      <c r="H4324" s="37"/>
      <c r="I4324" s="37"/>
      <c r="J4324" s="37"/>
    </row>
    <row r="4325" spans="1:10" x14ac:dyDescent="0.3">
      <c r="A4325" s="130"/>
      <c r="B4325" s="37"/>
      <c r="C4325" s="37"/>
      <c r="D4325" s="37"/>
      <c r="E4325" s="37"/>
      <c r="F4325" s="37"/>
      <c r="G4325" s="37"/>
      <c r="H4325" s="37"/>
      <c r="I4325" s="37"/>
      <c r="J4325" s="37"/>
    </row>
    <row r="4326" spans="1:10" x14ac:dyDescent="0.3">
      <c r="A4326" s="130"/>
      <c r="B4326" s="37"/>
      <c r="C4326" s="37"/>
      <c r="D4326" s="37"/>
      <c r="E4326" s="37"/>
      <c r="F4326" s="37"/>
      <c r="G4326" s="37"/>
      <c r="H4326" s="37"/>
      <c r="I4326" s="37"/>
      <c r="J4326" s="37"/>
    </row>
    <row r="4327" spans="1:10" x14ac:dyDescent="0.3">
      <c r="A4327" s="130"/>
      <c r="B4327" s="37"/>
      <c r="C4327" s="37"/>
      <c r="D4327" s="37"/>
      <c r="E4327" s="37"/>
      <c r="F4327" s="37"/>
      <c r="G4327" s="37"/>
      <c r="H4327" s="37"/>
      <c r="I4327" s="37"/>
      <c r="J4327" s="37"/>
    </row>
    <row r="4328" spans="1:10" x14ac:dyDescent="0.3">
      <c r="A4328" s="130"/>
      <c r="B4328" s="37"/>
      <c r="C4328" s="37"/>
      <c r="D4328" s="37"/>
      <c r="E4328" s="37"/>
      <c r="F4328" s="37"/>
      <c r="G4328" s="37"/>
      <c r="H4328" s="37"/>
      <c r="I4328" s="37"/>
      <c r="J4328" s="37"/>
    </row>
    <row r="4329" spans="1:10" x14ac:dyDescent="0.3">
      <c r="A4329" s="130"/>
      <c r="B4329" s="37"/>
      <c r="C4329" s="37"/>
      <c r="D4329" s="37"/>
      <c r="E4329" s="37"/>
      <c r="F4329" s="37"/>
      <c r="G4329" s="37"/>
      <c r="H4329" s="37"/>
      <c r="I4329" s="37"/>
      <c r="J4329" s="37"/>
    </row>
    <row r="4330" spans="1:10" x14ac:dyDescent="0.3">
      <c r="A4330" s="130"/>
      <c r="B4330" s="37"/>
      <c r="C4330" s="37"/>
      <c r="D4330" s="37"/>
      <c r="E4330" s="37"/>
      <c r="F4330" s="37"/>
      <c r="G4330" s="37"/>
      <c r="H4330" s="37"/>
      <c r="I4330" s="37"/>
      <c r="J4330" s="37"/>
    </row>
    <row r="4331" spans="1:10" x14ac:dyDescent="0.3">
      <c r="A4331" s="130"/>
      <c r="B4331" s="37"/>
      <c r="C4331" s="37"/>
      <c r="D4331" s="37"/>
      <c r="E4331" s="37"/>
      <c r="F4331" s="37"/>
      <c r="G4331" s="37"/>
      <c r="H4331" s="37"/>
      <c r="I4331" s="37"/>
      <c r="J4331" s="37"/>
    </row>
    <row r="4332" spans="1:10" x14ac:dyDescent="0.3">
      <c r="A4332" s="130"/>
      <c r="B4332" s="37"/>
      <c r="C4332" s="37"/>
      <c r="D4332" s="37"/>
      <c r="E4332" s="37"/>
      <c r="F4332" s="37"/>
      <c r="G4332" s="37"/>
      <c r="H4332" s="37"/>
      <c r="I4332" s="37"/>
      <c r="J4332" s="37"/>
    </row>
    <row r="4333" spans="1:10" x14ac:dyDescent="0.3">
      <c r="A4333" s="130"/>
      <c r="B4333" s="37"/>
      <c r="C4333" s="37"/>
      <c r="D4333" s="37"/>
      <c r="E4333" s="37"/>
      <c r="F4333" s="37"/>
      <c r="G4333" s="37"/>
      <c r="H4333" s="37"/>
      <c r="I4333" s="37"/>
      <c r="J4333" s="37"/>
    </row>
    <row r="4334" spans="1:10" x14ac:dyDescent="0.3">
      <c r="A4334" s="130"/>
      <c r="B4334" s="37"/>
      <c r="C4334" s="37"/>
      <c r="D4334" s="37"/>
      <c r="E4334" s="37"/>
      <c r="F4334" s="37"/>
      <c r="G4334" s="37"/>
      <c r="H4334" s="37"/>
      <c r="I4334" s="37"/>
      <c r="J4334" s="37"/>
    </row>
    <row r="4335" spans="1:10" x14ac:dyDescent="0.3">
      <c r="A4335" s="130"/>
      <c r="B4335" s="37"/>
      <c r="C4335" s="37"/>
      <c r="D4335" s="37"/>
      <c r="E4335" s="37"/>
      <c r="F4335" s="37"/>
      <c r="G4335" s="37"/>
      <c r="H4335" s="37"/>
      <c r="I4335" s="37"/>
      <c r="J4335" s="37"/>
    </row>
    <row r="4336" spans="1:10" x14ac:dyDescent="0.3">
      <c r="A4336" s="130"/>
      <c r="B4336" s="37"/>
      <c r="C4336" s="37"/>
      <c r="D4336" s="37"/>
      <c r="E4336" s="37"/>
      <c r="F4336" s="37"/>
      <c r="G4336" s="37"/>
      <c r="H4336" s="37"/>
      <c r="I4336" s="37"/>
      <c r="J4336" s="37"/>
    </row>
    <row r="4337" spans="1:10" x14ac:dyDescent="0.3">
      <c r="A4337" s="130"/>
      <c r="B4337" s="37"/>
      <c r="C4337" s="37"/>
      <c r="D4337" s="37"/>
      <c r="E4337" s="37"/>
      <c r="F4337" s="37"/>
      <c r="G4337" s="37"/>
      <c r="H4337" s="37"/>
      <c r="I4337" s="37"/>
      <c r="J4337" s="37"/>
    </row>
    <row r="4338" spans="1:10" x14ac:dyDescent="0.3">
      <c r="A4338" s="130"/>
      <c r="B4338" s="37"/>
      <c r="C4338" s="37"/>
      <c r="D4338" s="37"/>
      <c r="E4338" s="37"/>
      <c r="F4338" s="37"/>
      <c r="G4338" s="37"/>
      <c r="H4338" s="37"/>
      <c r="I4338" s="37"/>
      <c r="J4338" s="37"/>
    </row>
    <row r="4339" spans="1:10" x14ac:dyDescent="0.3">
      <c r="A4339" s="130"/>
      <c r="B4339" s="37"/>
      <c r="C4339" s="37"/>
      <c r="D4339" s="37"/>
      <c r="E4339" s="37"/>
      <c r="F4339" s="37"/>
      <c r="G4339" s="37"/>
      <c r="H4339" s="37"/>
      <c r="I4339" s="37"/>
      <c r="J4339" s="37"/>
    </row>
    <row r="4340" spans="1:10" x14ac:dyDescent="0.3">
      <c r="A4340" s="130"/>
      <c r="B4340" s="37"/>
      <c r="C4340" s="37"/>
      <c r="D4340" s="37"/>
      <c r="E4340" s="37"/>
      <c r="F4340" s="37"/>
      <c r="G4340" s="37"/>
      <c r="H4340" s="37"/>
      <c r="I4340" s="37"/>
      <c r="J4340" s="37"/>
    </row>
    <row r="4341" spans="1:10" x14ac:dyDescent="0.3">
      <c r="A4341" s="130"/>
      <c r="B4341" s="37"/>
      <c r="C4341" s="37"/>
      <c r="D4341" s="37"/>
      <c r="E4341" s="37"/>
      <c r="F4341" s="37"/>
      <c r="G4341" s="37"/>
      <c r="H4341" s="37"/>
      <c r="I4341" s="37"/>
      <c r="J4341" s="37"/>
    </row>
    <row r="4342" spans="1:10" x14ac:dyDescent="0.3">
      <c r="A4342" s="130"/>
      <c r="B4342" s="37"/>
      <c r="C4342" s="37"/>
      <c r="D4342" s="37"/>
      <c r="E4342" s="37"/>
      <c r="F4342" s="37"/>
      <c r="G4342" s="37"/>
      <c r="H4342" s="37"/>
      <c r="I4342" s="37"/>
      <c r="J4342" s="37"/>
    </row>
    <row r="4343" spans="1:10" x14ac:dyDescent="0.3">
      <c r="A4343" s="130"/>
      <c r="B4343" s="37"/>
      <c r="C4343" s="37"/>
      <c r="D4343" s="37"/>
      <c r="E4343" s="37"/>
      <c r="F4343" s="37"/>
      <c r="G4343" s="37"/>
      <c r="H4343" s="37"/>
      <c r="I4343" s="37"/>
      <c r="J4343" s="37"/>
    </row>
    <row r="4344" spans="1:10" x14ac:dyDescent="0.3">
      <c r="A4344" s="130"/>
      <c r="B4344" s="37"/>
      <c r="C4344" s="37"/>
      <c r="D4344" s="37"/>
      <c r="E4344" s="37"/>
      <c r="F4344" s="37"/>
      <c r="G4344" s="37"/>
      <c r="H4344" s="37"/>
      <c r="I4344" s="37"/>
      <c r="J4344" s="37"/>
    </row>
    <row r="4345" spans="1:10" x14ac:dyDescent="0.3">
      <c r="A4345" s="130"/>
      <c r="B4345" s="37"/>
      <c r="C4345" s="37"/>
      <c r="D4345" s="37"/>
      <c r="E4345" s="37"/>
      <c r="F4345" s="37"/>
      <c r="G4345" s="37"/>
      <c r="H4345" s="37"/>
      <c r="I4345" s="37"/>
      <c r="J4345" s="37"/>
    </row>
    <row r="4346" spans="1:10" x14ac:dyDescent="0.3">
      <c r="A4346" s="130"/>
      <c r="B4346" s="37"/>
      <c r="C4346" s="37"/>
      <c r="D4346" s="37"/>
      <c r="E4346" s="37"/>
      <c r="F4346" s="37"/>
      <c r="G4346" s="37"/>
      <c r="H4346" s="37"/>
      <c r="I4346" s="37"/>
      <c r="J4346" s="37"/>
    </row>
    <row r="4347" spans="1:10" x14ac:dyDescent="0.3">
      <c r="A4347" s="130"/>
      <c r="B4347" s="37"/>
      <c r="C4347" s="37"/>
      <c r="D4347" s="37"/>
      <c r="E4347" s="37"/>
      <c r="F4347" s="37"/>
      <c r="G4347" s="37"/>
      <c r="H4347" s="37"/>
      <c r="I4347" s="37"/>
      <c r="J4347" s="37"/>
    </row>
    <row r="4348" spans="1:10" x14ac:dyDescent="0.3">
      <c r="A4348" s="130"/>
      <c r="B4348" s="37"/>
      <c r="C4348" s="37"/>
      <c r="D4348" s="37"/>
      <c r="E4348" s="37"/>
      <c r="F4348" s="37"/>
      <c r="G4348" s="37"/>
      <c r="H4348" s="37"/>
      <c r="I4348" s="37"/>
      <c r="J4348" s="37"/>
    </row>
    <row r="4349" spans="1:10" x14ac:dyDescent="0.3">
      <c r="A4349" s="130"/>
      <c r="B4349" s="37"/>
      <c r="C4349" s="37"/>
      <c r="D4349" s="37"/>
      <c r="E4349" s="37"/>
      <c r="F4349" s="37"/>
      <c r="G4349" s="37"/>
      <c r="H4349" s="37"/>
      <c r="I4349" s="37"/>
      <c r="J4349" s="37"/>
    </row>
    <row r="4350" spans="1:10" x14ac:dyDescent="0.3">
      <c r="A4350" s="130"/>
      <c r="B4350" s="37"/>
      <c r="C4350" s="37"/>
      <c r="D4350" s="37"/>
      <c r="E4350" s="37"/>
      <c r="F4350" s="37"/>
      <c r="G4350" s="37"/>
      <c r="H4350" s="37"/>
      <c r="I4350" s="37"/>
      <c r="J4350" s="37"/>
    </row>
    <row r="4351" spans="1:10" x14ac:dyDescent="0.3">
      <c r="A4351" s="130"/>
      <c r="B4351" s="37"/>
      <c r="C4351" s="37"/>
      <c r="D4351" s="37"/>
      <c r="E4351" s="37"/>
      <c r="F4351" s="37"/>
      <c r="G4351" s="37"/>
      <c r="H4351" s="37"/>
      <c r="I4351" s="37"/>
      <c r="J4351" s="37"/>
    </row>
    <row r="4352" spans="1:10" x14ac:dyDescent="0.3">
      <c r="A4352" s="130"/>
      <c r="B4352" s="37"/>
      <c r="C4352" s="37"/>
      <c r="D4352" s="37"/>
      <c r="E4352" s="37"/>
      <c r="F4352" s="37"/>
      <c r="G4352" s="37"/>
      <c r="H4352" s="37"/>
      <c r="I4352" s="37"/>
      <c r="J4352" s="37"/>
    </row>
    <row r="4353" spans="1:10" x14ac:dyDescent="0.3">
      <c r="A4353" s="130"/>
      <c r="B4353" s="37"/>
      <c r="C4353" s="37"/>
      <c r="D4353" s="37"/>
      <c r="E4353" s="37"/>
      <c r="F4353" s="37"/>
      <c r="G4353" s="37"/>
      <c r="H4353" s="37"/>
      <c r="I4353" s="37"/>
      <c r="J4353" s="37"/>
    </row>
    <row r="4354" spans="1:10" x14ac:dyDescent="0.3">
      <c r="A4354" s="130"/>
      <c r="B4354" s="37"/>
      <c r="C4354" s="37"/>
      <c r="D4354" s="37"/>
      <c r="E4354" s="37"/>
      <c r="F4354" s="37"/>
      <c r="G4354" s="37"/>
      <c r="H4354" s="37"/>
      <c r="I4354" s="37"/>
      <c r="J4354" s="37"/>
    </row>
    <row r="4355" spans="1:10" x14ac:dyDescent="0.3">
      <c r="A4355" s="130"/>
      <c r="B4355" s="37"/>
      <c r="C4355" s="37"/>
      <c r="D4355" s="37"/>
      <c r="E4355" s="37"/>
      <c r="F4355" s="37"/>
      <c r="G4355" s="37"/>
      <c r="H4355" s="37"/>
      <c r="I4355" s="37"/>
      <c r="J4355" s="37"/>
    </row>
    <row r="4356" spans="1:10" x14ac:dyDescent="0.3">
      <c r="A4356" s="130"/>
      <c r="B4356" s="37"/>
      <c r="C4356" s="37"/>
      <c r="D4356" s="37"/>
      <c r="E4356" s="37"/>
      <c r="F4356" s="37"/>
      <c r="G4356" s="37"/>
      <c r="H4356" s="37"/>
      <c r="I4356" s="37"/>
      <c r="J4356" s="37"/>
    </row>
    <row r="4357" spans="1:10" x14ac:dyDescent="0.3">
      <c r="A4357" s="130"/>
      <c r="B4357" s="37"/>
      <c r="C4357" s="37"/>
      <c r="D4357" s="37"/>
      <c r="E4357" s="37"/>
      <c r="F4357" s="37"/>
      <c r="G4357" s="37"/>
      <c r="H4357" s="37"/>
      <c r="I4357" s="37"/>
      <c r="J4357" s="37"/>
    </row>
    <row r="4358" spans="1:10" x14ac:dyDescent="0.3">
      <c r="A4358" s="130"/>
      <c r="B4358" s="37"/>
      <c r="C4358" s="37"/>
      <c r="D4358" s="37"/>
      <c r="E4358" s="37"/>
      <c r="F4358" s="37"/>
      <c r="G4358" s="37"/>
      <c r="H4358" s="37"/>
      <c r="I4358" s="37"/>
      <c r="J4358" s="37"/>
    </row>
    <row r="4359" spans="1:10" x14ac:dyDescent="0.3">
      <c r="A4359" s="130"/>
      <c r="B4359" s="37"/>
      <c r="C4359" s="37"/>
      <c r="D4359" s="37"/>
      <c r="E4359" s="37"/>
      <c r="F4359" s="37"/>
      <c r="G4359" s="37"/>
      <c r="H4359" s="37"/>
      <c r="I4359" s="37"/>
      <c r="J4359" s="37"/>
    </row>
    <row r="4360" spans="1:10" x14ac:dyDescent="0.3">
      <c r="A4360" s="130"/>
      <c r="B4360" s="37"/>
      <c r="C4360" s="37"/>
      <c r="D4360" s="37"/>
      <c r="E4360" s="37"/>
      <c r="F4360" s="37"/>
      <c r="G4360" s="37"/>
      <c r="H4360" s="37"/>
      <c r="I4360" s="37"/>
      <c r="J4360" s="37"/>
    </row>
    <row r="4361" spans="1:10" x14ac:dyDescent="0.3">
      <c r="A4361" s="130"/>
      <c r="B4361" s="37"/>
      <c r="C4361" s="37"/>
      <c r="D4361" s="37"/>
      <c r="E4361" s="37"/>
      <c r="F4361" s="37"/>
      <c r="G4361" s="37"/>
      <c r="H4361" s="37"/>
      <c r="I4361" s="37"/>
      <c r="J4361" s="37"/>
    </row>
    <row r="4362" spans="1:10" x14ac:dyDescent="0.3">
      <c r="A4362" s="130"/>
      <c r="B4362" s="37"/>
      <c r="C4362" s="37"/>
      <c r="D4362" s="37"/>
      <c r="E4362" s="37"/>
      <c r="F4362" s="37"/>
      <c r="G4362" s="37"/>
      <c r="H4362" s="37"/>
      <c r="I4362" s="37"/>
      <c r="J4362" s="37"/>
    </row>
    <row r="4363" spans="1:10" x14ac:dyDescent="0.3">
      <c r="A4363" s="130"/>
      <c r="B4363" s="37"/>
      <c r="C4363" s="37"/>
      <c r="D4363" s="37"/>
      <c r="E4363" s="37"/>
      <c r="F4363" s="37"/>
      <c r="G4363" s="37"/>
      <c r="H4363" s="37"/>
      <c r="I4363" s="37"/>
      <c r="J4363" s="37"/>
    </row>
    <row r="4364" spans="1:10" x14ac:dyDescent="0.3">
      <c r="A4364" s="130"/>
      <c r="B4364" s="37"/>
      <c r="C4364" s="37"/>
      <c r="D4364" s="37"/>
      <c r="E4364" s="37"/>
      <c r="F4364" s="37"/>
      <c r="G4364" s="37"/>
      <c r="H4364" s="37"/>
      <c r="I4364" s="37"/>
      <c r="J4364" s="37"/>
    </row>
    <row r="4365" spans="1:10" x14ac:dyDescent="0.3">
      <c r="A4365" s="130"/>
      <c r="B4365" s="37"/>
      <c r="C4365" s="37"/>
      <c r="D4365" s="37"/>
      <c r="E4365" s="37"/>
      <c r="F4365" s="37"/>
      <c r="G4365" s="37"/>
      <c r="H4365" s="37"/>
      <c r="I4365" s="37"/>
      <c r="J4365" s="37"/>
    </row>
    <row r="4366" spans="1:10" x14ac:dyDescent="0.3">
      <c r="A4366" s="130"/>
      <c r="B4366" s="37"/>
      <c r="C4366" s="37"/>
      <c r="D4366" s="37"/>
      <c r="E4366" s="37"/>
      <c r="F4366" s="37"/>
      <c r="G4366" s="37"/>
      <c r="H4366" s="37"/>
      <c r="I4366" s="37"/>
      <c r="J4366" s="37"/>
    </row>
    <row r="4367" spans="1:10" x14ac:dyDescent="0.3">
      <c r="A4367" s="130"/>
      <c r="B4367" s="37"/>
      <c r="C4367" s="37"/>
      <c r="D4367" s="37"/>
      <c r="E4367" s="37"/>
      <c r="F4367" s="37"/>
      <c r="G4367" s="37"/>
      <c r="H4367" s="37"/>
      <c r="I4367" s="37"/>
      <c r="J4367" s="37"/>
    </row>
    <row r="4368" spans="1:10" x14ac:dyDescent="0.3">
      <c r="A4368" s="130"/>
      <c r="B4368" s="37"/>
      <c r="C4368" s="37"/>
      <c r="D4368" s="37"/>
      <c r="E4368" s="37"/>
      <c r="F4368" s="37"/>
      <c r="G4368" s="37"/>
      <c r="H4368" s="37"/>
      <c r="I4368" s="37"/>
      <c r="J4368" s="37"/>
    </row>
    <row r="4369" spans="1:10" x14ac:dyDescent="0.3">
      <c r="A4369" s="130"/>
      <c r="B4369" s="37"/>
      <c r="C4369" s="37"/>
      <c r="D4369" s="37"/>
      <c r="E4369" s="37"/>
      <c r="F4369" s="37"/>
      <c r="G4369" s="37"/>
      <c r="H4369" s="37"/>
      <c r="I4369" s="37"/>
      <c r="J4369" s="37"/>
    </row>
    <row r="4370" spans="1:10" x14ac:dyDescent="0.3">
      <c r="A4370" s="130"/>
      <c r="B4370" s="37"/>
      <c r="C4370" s="37"/>
      <c r="D4370" s="37"/>
      <c r="E4370" s="37"/>
      <c r="F4370" s="37"/>
      <c r="G4370" s="37"/>
      <c r="H4370" s="37"/>
      <c r="I4370" s="37"/>
      <c r="J4370" s="37"/>
    </row>
    <row r="4371" spans="1:10" x14ac:dyDescent="0.3">
      <c r="A4371" s="130"/>
      <c r="B4371" s="37"/>
      <c r="C4371" s="37"/>
      <c r="D4371" s="37"/>
      <c r="E4371" s="37"/>
      <c r="F4371" s="37"/>
      <c r="G4371" s="37"/>
      <c r="H4371" s="37"/>
      <c r="I4371" s="37"/>
      <c r="J4371" s="37"/>
    </row>
    <row r="4372" spans="1:10" x14ac:dyDescent="0.3">
      <c r="A4372" s="130"/>
      <c r="B4372" s="37"/>
      <c r="C4372" s="37"/>
      <c r="D4372" s="37"/>
      <c r="E4372" s="37"/>
      <c r="F4372" s="37"/>
      <c r="G4372" s="37"/>
      <c r="H4372" s="37"/>
      <c r="I4372" s="37"/>
      <c r="J4372" s="37"/>
    </row>
    <row r="4373" spans="1:10" x14ac:dyDescent="0.3">
      <c r="A4373" s="130"/>
      <c r="B4373" s="37"/>
      <c r="C4373" s="37"/>
      <c r="D4373" s="37"/>
      <c r="E4373" s="37"/>
      <c r="F4373" s="37"/>
      <c r="G4373" s="37"/>
      <c r="H4373" s="37"/>
      <c r="I4373" s="37"/>
      <c r="J4373" s="37"/>
    </row>
    <row r="4374" spans="1:10" x14ac:dyDescent="0.3">
      <c r="A4374" s="130"/>
      <c r="B4374" s="37"/>
      <c r="C4374" s="37"/>
      <c r="D4374" s="37"/>
      <c r="E4374" s="37"/>
      <c r="F4374" s="37"/>
      <c r="G4374" s="37"/>
      <c r="H4374" s="37"/>
      <c r="I4374" s="37"/>
      <c r="J4374" s="37"/>
    </row>
    <row r="4375" spans="1:10" x14ac:dyDescent="0.3">
      <c r="A4375" s="130"/>
      <c r="B4375" s="37"/>
      <c r="C4375" s="37"/>
      <c r="D4375" s="37"/>
      <c r="E4375" s="37"/>
      <c r="F4375" s="37"/>
      <c r="G4375" s="37"/>
      <c r="H4375" s="37"/>
      <c r="I4375" s="37"/>
      <c r="J4375" s="37"/>
    </row>
    <row r="4376" spans="1:10" x14ac:dyDescent="0.3">
      <c r="A4376" s="130"/>
      <c r="B4376" s="37"/>
      <c r="C4376" s="37"/>
      <c r="D4376" s="37"/>
      <c r="E4376" s="37"/>
      <c r="F4376" s="37"/>
      <c r="G4376" s="37"/>
      <c r="H4376" s="37"/>
      <c r="I4376" s="37"/>
      <c r="J4376" s="37"/>
    </row>
    <row r="4377" spans="1:10" x14ac:dyDescent="0.3">
      <c r="A4377" s="130"/>
      <c r="B4377" s="37"/>
      <c r="C4377" s="37"/>
      <c r="D4377" s="37"/>
      <c r="E4377" s="37"/>
      <c r="F4377" s="37"/>
      <c r="G4377" s="37"/>
      <c r="H4377" s="37"/>
      <c r="I4377" s="37"/>
      <c r="J4377" s="37"/>
    </row>
    <row r="4378" spans="1:10" x14ac:dyDescent="0.3">
      <c r="A4378" s="130"/>
      <c r="B4378" s="37"/>
      <c r="C4378" s="37"/>
      <c r="D4378" s="37"/>
      <c r="E4378" s="37"/>
      <c r="F4378" s="37"/>
      <c r="G4378" s="37"/>
      <c r="H4378" s="37"/>
      <c r="I4378" s="37"/>
      <c r="J4378" s="37"/>
    </row>
    <row r="4379" spans="1:10" x14ac:dyDescent="0.3">
      <c r="A4379" s="130"/>
      <c r="B4379" s="37"/>
      <c r="C4379" s="37"/>
      <c r="D4379" s="37"/>
      <c r="E4379" s="37"/>
      <c r="F4379" s="37"/>
      <c r="G4379" s="37"/>
      <c r="H4379" s="37"/>
      <c r="I4379" s="37"/>
      <c r="J4379" s="37"/>
    </row>
    <row r="4380" spans="1:10" x14ac:dyDescent="0.3">
      <c r="A4380" s="130"/>
      <c r="B4380" s="37"/>
      <c r="C4380" s="37"/>
      <c r="D4380" s="37"/>
      <c r="E4380" s="37"/>
      <c r="F4380" s="37"/>
      <c r="G4380" s="37"/>
      <c r="H4380" s="37"/>
      <c r="I4380" s="37"/>
      <c r="J4380" s="37"/>
    </row>
    <row r="4381" spans="1:10" x14ac:dyDescent="0.3">
      <c r="A4381" s="130"/>
      <c r="B4381" s="37"/>
      <c r="C4381" s="37"/>
      <c r="D4381" s="37"/>
      <c r="E4381" s="37"/>
      <c r="F4381" s="37"/>
      <c r="G4381" s="37"/>
      <c r="H4381" s="37"/>
      <c r="I4381" s="37"/>
      <c r="J4381" s="37"/>
    </row>
    <row r="4382" spans="1:10" x14ac:dyDescent="0.3">
      <c r="A4382" s="130"/>
      <c r="B4382" s="37"/>
      <c r="C4382" s="37"/>
      <c r="D4382" s="37"/>
      <c r="E4382" s="37"/>
      <c r="F4382" s="37"/>
      <c r="G4382" s="37"/>
      <c r="H4382" s="37"/>
      <c r="I4382" s="37"/>
      <c r="J4382" s="37"/>
    </row>
    <row r="4383" spans="1:10" x14ac:dyDescent="0.3">
      <c r="A4383" s="130"/>
      <c r="B4383" s="37"/>
      <c r="C4383" s="37"/>
      <c r="D4383" s="37"/>
      <c r="E4383" s="37"/>
      <c r="F4383" s="37"/>
      <c r="G4383" s="37"/>
      <c r="H4383" s="37"/>
      <c r="I4383" s="37"/>
      <c r="J4383" s="37"/>
    </row>
    <row r="4384" spans="1:10" x14ac:dyDescent="0.3">
      <c r="A4384" s="130"/>
      <c r="B4384" s="37"/>
      <c r="C4384" s="37"/>
      <c r="D4384" s="37"/>
      <c r="E4384" s="37"/>
      <c r="F4384" s="37"/>
      <c r="G4384" s="37"/>
      <c r="H4384" s="37"/>
      <c r="I4384" s="37"/>
      <c r="J4384" s="37"/>
    </row>
    <row r="4385" spans="1:10" x14ac:dyDescent="0.3">
      <c r="A4385" s="130"/>
      <c r="B4385" s="37"/>
      <c r="C4385" s="37"/>
      <c r="D4385" s="37"/>
      <c r="E4385" s="37"/>
      <c r="F4385" s="37"/>
      <c r="G4385" s="37"/>
      <c r="H4385" s="37"/>
      <c r="I4385" s="37"/>
      <c r="J4385" s="37"/>
    </row>
    <row r="4386" spans="1:10" x14ac:dyDescent="0.3">
      <c r="A4386" s="130"/>
      <c r="B4386" s="37"/>
      <c r="C4386" s="37"/>
      <c r="D4386" s="37"/>
      <c r="E4386" s="37"/>
      <c r="F4386" s="37"/>
      <c r="G4386" s="37"/>
      <c r="H4386" s="37"/>
      <c r="I4386" s="37"/>
      <c r="J4386" s="37"/>
    </row>
    <row r="4387" spans="1:10" x14ac:dyDescent="0.3">
      <c r="A4387" s="130"/>
      <c r="B4387" s="37"/>
      <c r="C4387" s="37"/>
      <c r="D4387" s="37"/>
      <c r="E4387" s="37"/>
      <c r="F4387" s="37"/>
      <c r="G4387" s="37"/>
      <c r="H4387" s="37"/>
      <c r="I4387" s="37"/>
      <c r="J4387" s="37"/>
    </row>
    <row r="4388" spans="1:10" x14ac:dyDescent="0.3">
      <c r="A4388" s="130"/>
      <c r="B4388" s="37"/>
      <c r="C4388" s="37"/>
      <c r="D4388" s="37"/>
      <c r="E4388" s="37"/>
      <c r="F4388" s="37"/>
      <c r="G4388" s="37"/>
      <c r="H4388" s="37"/>
      <c r="I4388" s="37"/>
      <c r="J4388" s="37"/>
    </row>
    <row r="4389" spans="1:10" x14ac:dyDescent="0.3">
      <c r="A4389" s="130"/>
      <c r="B4389" s="37"/>
      <c r="C4389" s="37"/>
      <c r="D4389" s="37"/>
      <c r="E4389" s="37"/>
      <c r="F4389" s="37"/>
      <c r="G4389" s="37"/>
      <c r="H4389" s="37"/>
      <c r="I4389" s="37"/>
      <c r="J4389" s="37"/>
    </row>
    <row r="4390" spans="1:10" x14ac:dyDescent="0.3">
      <c r="A4390" s="130"/>
      <c r="B4390" s="37"/>
      <c r="C4390" s="37"/>
      <c r="D4390" s="37"/>
      <c r="E4390" s="37"/>
      <c r="F4390" s="37"/>
      <c r="G4390" s="37"/>
      <c r="H4390" s="37"/>
      <c r="I4390" s="37"/>
      <c r="J4390" s="37"/>
    </row>
    <row r="4391" spans="1:10" x14ac:dyDescent="0.3">
      <c r="A4391" s="130"/>
      <c r="B4391" s="37"/>
      <c r="C4391" s="37"/>
      <c r="D4391" s="37"/>
      <c r="E4391" s="37"/>
      <c r="F4391" s="37"/>
      <c r="G4391" s="37"/>
      <c r="H4391" s="37"/>
      <c r="I4391" s="37"/>
      <c r="J4391" s="37"/>
    </row>
    <row r="4392" spans="1:10" x14ac:dyDescent="0.3">
      <c r="A4392" s="130"/>
      <c r="B4392" s="37"/>
      <c r="C4392" s="37"/>
      <c r="D4392" s="37"/>
      <c r="E4392" s="37"/>
      <c r="F4392" s="37"/>
      <c r="G4392" s="37"/>
      <c r="H4392" s="37"/>
      <c r="I4392" s="37"/>
      <c r="J4392" s="37"/>
    </row>
    <row r="4393" spans="1:10" x14ac:dyDescent="0.3">
      <c r="A4393" s="130"/>
      <c r="B4393" s="37"/>
      <c r="C4393" s="37"/>
      <c r="D4393" s="37"/>
      <c r="E4393" s="37"/>
      <c r="F4393" s="37"/>
      <c r="G4393" s="37"/>
      <c r="H4393" s="37"/>
      <c r="I4393" s="37"/>
      <c r="J4393" s="37"/>
    </row>
    <row r="4394" spans="1:10" x14ac:dyDescent="0.3">
      <c r="A4394" s="130"/>
      <c r="B4394" s="37"/>
      <c r="C4394" s="37"/>
      <c r="D4394" s="37"/>
      <c r="E4394" s="37"/>
      <c r="F4394" s="37"/>
      <c r="G4394" s="37"/>
      <c r="H4394" s="37"/>
      <c r="I4394" s="37"/>
      <c r="J4394" s="37"/>
    </row>
    <row r="4395" spans="1:10" x14ac:dyDescent="0.3">
      <c r="A4395" s="130"/>
      <c r="B4395" s="37"/>
      <c r="C4395" s="37"/>
      <c r="D4395" s="37"/>
      <c r="E4395" s="37"/>
      <c r="F4395" s="37"/>
      <c r="G4395" s="37"/>
      <c r="H4395" s="37"/>
      <c r="I4395" s="37"/>
      <c r="J4395" s="37"/>
    </row>
    <row r="4396" spans="1:10" x14ac:dyDescent="0.3">
      <c r="A4396" s="130"/>
      <c r="B4396" s="37"/>
      <c r="C4396" s="37"/>
      <c r="D4396" s="37"/>
      <c r="E4396" s="37"/>
      <c r="F4396" s="37"/>
      <c r="G4396" s="37"/>
      <c r="H4396" s="37"/>
      <c r="I4396" s="37"/>
      <c r="J4396" s="37"/>
    </row>
    <row r="4397" spans="1:10" x14ac:dyDescent="0.3">
      <c r="A4397" s="130"/>
      <c r="B4397" s="37"/>
      <c r="C4397" s="37"/>
      <c r="D4397" s="37"/>
      <c r="E4397" s="37"/>
      <c r="F4397" s="37"/>
      <c r="G4397" s="37"/>
      <c r="H4397" s="37"/>
      <c r="I4397" s="37"/>
      <c r="J4397" s="37"/>
    </row>
    <row r="4398" spans="1:10" x14ac:dyDescent="0.3">
      <c r="A4398" s="130"/>
      <c r="B4398" s="37"/>
      <c r="C4398" s="37"/>
      <c r="D4398" s="37"/>
      <c r="E4398" s="37"/>
      <c r="F4398" s="37"/>
      <c r="G4398" s="37"/>
      <c r="H4398" s="37"/>
      <c r="I4398" s="37"/>
      <c r="J4398" s="37"/>
    </row>
    <row r="4399" spans="1:10" x14ac:dyDescent="0.3">
      <c r="A4399" s="130"/>
      <c r="B4399" s="37"/>
      <c r="C4399" s="37"/>
      <c r="D4399" s="37"/>
      <c r="E4399" s="37"/>
      <c r="F4399" s="37"/>
      <c r="G4399" s="37"/>
      <c r="H4399" s="37"/>
      <c r="I4399" s="37"/>
      <c r="J4399" s="37"/>
    </row>
    <row r="4400" spans="1:10" x14ac:dyDescent="0.3">
      <c r="A4400" s="130"/>
      <c r="B4400" s="37"/>
      <c r="C4400" s="37"/>
      <c r="D4400" s="37"/>
      <c r="E4400" s="37"/>
      <c r="F4400" s="37"/>
      <c r="G4400" s="37"/>
      <c r="H4400" s="37"/>
      <c r="I4400" s="37"/>
      <c r="J4400" s="37"/>
    </row>
    <row r="4401" spans="1:10" x14ac:dyDescent="0.3">
      <c r="A4401" s="130"/>
      <c r="B4401" s="37"/>
      <c r="C4401" s="37"/>
      <c r="D4401" s="37"/>
      <c r="E4401" s="37"/>
      <c r="F4401" s="37"/>
      <c r="G4401" s="37"/>
      <c r="H4401" s="37"/>
      <c r="I4401" s="37"/>
      <c r="J4401" s="37"/>
    </row>
    <row r="4402" spans="1:10" x14ac:dyDescent="0.3">
      <c r="A4402" s="130"/>
      <c r="B4402" s="37"/>
      <c r="C4402" s="37"/>
      <c r="D4402" s="37"/>
      <c r="E4402" s="37"/>
      <c r="F4402" s="37"/>
      <c r="G4402" s="37"/>
      <c r="H4402" s="37"/>
      <c r="I4402" s="37"/>
      <c r="J4402" s="37"/>
    </row>
    <row r="4403" spans="1:10" x14ac:dyDescent="0.3">
      <c r="A4403" s="130"/>
      <c r="B4403" s="37"/>
      <c r="C4403" s="37"/>
      <c r="D4403" s="37"/>
      <c r="E4403" s="37"/>
      <c r="F4403" s="37"/>
      <c r="G4403" s="37"/>
      <c r="H4403" s="37"/>
      <c r="I4403" s="37"/>
      <c r="J4403" s="37"/>
    </row>
    <row r="4404" spans="1:10" x14ac:dyDescent="0.3">
      <c r="A4404" s="130"/>
      <c r="B4404" s="37"/>
      <c r="C4404" s="37"/>
      <c r="D4404" s="37"/>
      <c r="E4404" s="37"/>
      <c r="F4404" s="37"/>
      <c r="G4404" s="37"/>
      <c r="H4404" s="37"/>
      <c r="I4404" s="37"/>
      <c r="J4404" s="37"/>
    </row>
    <row r="4405" spans="1:10" x14ac:dyDescent="0.3">
      <c r="A4405" s="130"/>
      <c r="B4405" s="37"/>
      <c r="C4405" s="37"/>
      <c r="D4405" s="37"/>
      <c r="E4405" s="37"/>
      <c r="F4405" s="37"/>
      <c r="G4405" s="37"/>
      <c r="H4405" s="37"/>
      <c r="I4405" s="37"/>
      <c r="J4405" s="37"/>
    </row>
    <row r="4406" spans="1:10" x14ac:dyDescent="0.3">
      <c r="A4406" s="130"/>
      <c r="B4406" s="37"/>
      <c r="C4406" s="37"/>
      <c r="D4406" s="37"/>
      <c r="E4406" s="37"/>
      <c r="F4406" s="37"/>
      <c r="G4406" s="37"/>
      <c r="H4406" s="37"/>
      <c r="I4406" s="37"/>
      <c r="J4406" s="37"/>
    </row>
    <row r="4407" spans="1:10" x14ac:dyDescent="0.3">
      <c r="A4407" s="130"/>
      <c r="B4407" s="37"/>
      <c r="C4407" s="37"/>
      <c r="D4407" s="37"/>
      <c r="E4407" s="37"/>
      <c r="F4407" s="37"/>
      <c r="G4407" s="37"/>
      <c r="H4407" s="37"/>
      <c r="I4407" s="37"/>
      <c r="J4407" s="37"/>
    </row>
    <row r="4408" spans="1:10" x14ac:dyDescent="0.3">
      <c r="A4408" s="130"/>
      <c r="B4408" s="37"/>
      <c r="C4408" s="37"/>
      <c r="D4408" s="37"/>
      <c r="E4408" s="37"/>
      <c r="F4408" s="37"/>
      <c r="G4408" s="37"/>
      <c r="H4408" s="37"/>
      <c r="I4408" s="37"/>
      <c r="J4408" s="37"/>
    </row>
    <row r="4409" spans="1:10" x14ac:dyDescent="0.3">
      <c r="A4409" s="130"/>
      <c r="B4409" s="37"/>
      <c r="C4409" s="37"/>
      <c r="D4409" s="37"/>
      <c r="E4409" s="37"/>
      <c r="F4409" s="37"/>
      <c r="G4409" s="37"/>
      <c r="H4409" s="37"/>
      <c r="I4409" s="37"/>
      <c r="J4409" s="37"/>
    </row>
    <row r="4410" spans="1:10" x14ac:dyDescent="0.3">
      <c r="A4410" s="130"/>
      <c r="B4410" s="37"/>
      <c r="C4410" s="37"/>
      <c r="D4410" s="37"/>
      <c r="E4410" s="37"/>
      <c r="F4410" s="37"/>
      <c r="G4410" s="37"/>
      <c r="H4410" s="37"/>
      <c r="I4410" s="37"/>
      <c r="J4410" s="37"/>
    </row>
    <row r="4411" spans="1:10" x14ac:dyDescent="0.3">
      <c r="A4411" s="130"/>
      <c r="B4411" s="37"/>
      <c r="C4411" s="37"/>
      <c r="D4411" s="37"/>
      <c r="E4411" s="37"/>
      <c r="F4411" s="37"/>
      <c r="G4411" s="37"/>
      <c r="H4411" s="37"/>
      <c r="I4411" s="37"/>
      <c r="J4411" s="37"/>
    </row>
    <row r="4412" spans="1:10" x14ac:dyDescent="0.3">
      <c r="A4412" s="130"/>
      <c r="B4412" s="37"/>
      <c r="C4412" s="37"/>
      <c r="D4412" s="37"/>
      <c r="E4412" s="37"/>
      <c r="F4412" s="37"/>
      <c r="G4412" s="37"/>
      <c r="H4412" s="37"/>
      <c r="I4412" s="37"/>
      <c r="J4412" s="37"/>
    </row>
    <row r="4413" spans="1:10" x14ac:dyDescent="0.3">
      <c r="A4413" s="130"/>
      <c r="B4413" s="37"/>
      <c r="C4413" s="37"/>
      <c r="D4413" s="37"/>
      <c r="E4413" s="37"/>
      <c r="F4413" s="37"/>
      <c r="G4413" s="37"/>
      <c r="H4413" s="37"/>
      <c r="I4413" s="37"/>
      <c r="J4413" s="37"/>
    </row>
    <row r="4414" spans="1:10" x14ac:dyDescent="0.3">
      <c r="A4414" s="130"/>
      <c r="B4414" s="37"/>
      <c r="C4414" s="37"/>
      <c r="D4414" s="37"/>
      <c r="E4414" s="37"/>
      <c r="F4414" s="37"/>
      <c r="G4414" s="37"/>
      <c r="H4414" s="37"/>
      <c r="I4414" s="37"/>
      <c r="J4414" s="37"/>
    </row>
    <row r="4415" spans="1:10" x14ac:dyDescent="0.3">
      <c r="A4415" s="130"/>
      <c r="B4415" s="37"/>
      <c r="C4415" s="37"/>
      <c r="D4415" s="37"/>
      <c r="E4415" s="37"/>
      <c r="F4415" s="37"/>
      <c r="G4415" s="37"/>
      <c r="H4415" s="37"/>
      <c r="I4415" s="37"/>
      <c r="J4415" s="37"/>
    </row>
    <row r="4416" spans="1:10" x14ac:dyDescent="0.3">
      <c r="A4416" s="130"/>
      <c r="B4416" s="37"/>
      <c r="C4416" s="37"/>
      <c r="D4416" s="37"/>
      <c r="E4416" s="37"/>
      <c r="F4416" s="37"/>
      <c r="G4416" s="37"/>
      <c r="H4416" s="37"/>
      <c r="I4416" s="37"/>
      <c r="J4416" s="37"/>
    </row>
    <row r="4417" spans="1:10" x14ac:dyDescent="0.3">
      <c r="A4417" s="130"/>
      <c r="B4417" s="37"/>
      <c r="C4417" s="37"/>
      <c r="D4417" s="37"/>
      <c r="E4417" s="37"/>
      <c r="F4417" s="37"/>
      <c r="G4417" s="37"/>
      <c r="H4417" s="37"/>
      <c r="I4417" s="37"/>
      <c r="J4417" s="37"/>
    </row>
    <row r="4418" spans="1:10" x14ac:dyDescent="0.3">
      <c r="A4418" s="130"/>
      <c r="B4418" s="37"/>
      <c r="C4418" s="37"/>
      <c r="D4418" s="37"/>
      <c r="E4418" s="37"/>
      <c r="F4418" s="37"/>
      <c r="G4418" s="37"/>
      <c r="H4418" s="37"/>
      <c r="I4418" s="37"/>
      <c r="J4418" s="37"/>
    </row>
    <row r="4419" spans="1:10" x14ac:dyDescent="0.3">
      <c r="A4419" s="130"/>
      <c r="B4419" s="37"/>
      <c r="C4419" s="37"/>
      <c r="D4419" s="37"/>
      <c r="E4419" s="37"/>
      <c r="F4419" s="37"/>
      <c r="G4419" s="37"/>
      <c r="H4419" s="37"/>
      <c r="I4419" s="37"/>
      <c r="J4419" s="37"/>
    </row>
    <row r="4420" spans="1:10" x14ac:dyDescent="0.3">
      <c r="A4420" s="130"/>
      <c r="B4420" s="37"/>
      <c r="C4420" s="37"/>
      <c r="D4420" s="37"/>
      <c r="E4420" s="37"/>
      <c r="F4420" s="37"/>
      <c r="G4420" s="37"/>
      <c r="H4420" s="37"/>
      <c r="I4420" s="37"/>
      <c r="J4420" s="37"/>
    </row>
    <row r="4421" spans="1:10" x14ac:dyDescent="0.3">
      <c r="A4421" s="130"/>
      <c r="B4421" s="37"/>
      <c r="C4421" s="37"/>
      <c r="D4421" s="37"/>
      <c r="E4421" s="37"/>
      <c r="F4421" s="37"/>
      <c r="G4421" s="37"/>
      <c r="H4421" s="37"/>
      <c r="I4421" s="37"/>
      <c r="J4421" s="37"/>
    </row>
    <row r="4422" spans="1:10" x14ac:dyDescent="0.3">
      <c r="A4422" s="130"/>
      <c r="B4422" s="37"/>
      <c r="C4422" s="37"/>
      <c r="D4422" s="37"/>
      <c r="E4422" s="37"/>
      <c r="F4422" s="37"/>
      <c r="G4422" s="37"/>
      <c r="H4422" s="37"/>
      <c r="I4422" s="37"/>
      <c r="J4422" s="37"/>
    </row>
    <row r="4423" spans="1:10" x14ac:dyDescent="0.3">
      <c r="A4423" s="130"/>
      <c r="B4423" s="37"/>
      <c r="C4423" s="37"/>
      <c r="D4423" s="37"/>
      <c r="E4423" s="37"/>
      <c r="F4423" s="37"/>
      <c r="G4423" s="37"/>
      <c r="H4423" s="37"/>
      <c r="I4423" s="37"/>
      <c r="J4423" s="37"/>
    </row>
    <row r="4424" spans="1:10" x14ac:dyDescent="0.3">
      <c r="A4424" s="130"/>
      <c r="B4424" s="37"/>
      <c r="C4424" s="37"/>
      <c r="D4424" s="37"/>
      <c r="E4424" s="37"/>
      <c r="F4424" s="37"/>
      <c r="G4424" s="37"/>
      <c r="H4424" s="37"/>
      <c r="I4424" s="37"/>
      <c r="J4424" s="37"/>
    </row>
    <row r="4425" spans="1:10" x14ac:dyDescent="0.3">
      <c r="A4425" s="130"/>
      <c r="B4425" s="37"/>
      <c r="C4425" s="37"/>
      <c r="D4425" s="37"/>
      <c r="E4425" s="37"/>
      <c r="F4425" s="37"/>
      <c r="G4425" s="37"/>
      <c r="H4425" s="37"/>
      <c r="I4425" s="37"/>
      <c r="J4425" s="37"/>
    </row>
    <row r="4426" spans="1:10" x14ac:dyDescent="0.3">
      <c r="A4426" s="130"/>
      <c r="B4426" s="37"/>
      <c r="C4426" s="37"/>
      <c r="D4426" s="37"/>
      <c r="E4426" s="37"/>
      <c r="F4426" s="37"/>
      <c r="G4426" s="37"/>
      <c r="H4426" s="37"/>
      <c r="I4426" s="37"/>
      <c r="J4426" s="37"/>
    </row>
    <row r="4427" spans="1:10" x14ac:dyDescent="0.3">
      <c r="A4427" s="130"/>
      <c r="B4427" s="37"/>
      <c r="C4427" s="37"/>
      <c r="D4427" s="37"/>
      <c r="E4427" s="37"/>
      <c r="F4427" s="37"/>
      <c r="G4427" s="37"/>
      <c r="H4427" s="37"/>
      <c r="I4427" s="37"/>
      <c r="J4427" s="37"/>
    </row>
    <row r="4428" spans="1:10" x14ac:dyDescent="0.3">
      <c r="A4428" s="130"/>
      <c r="B4428" s="37"/>
      <c r="C4428" s="37"/>
      <c r="D4428" s="37"/>
      <c r="E4428" s="37"/>
      <c r="F4428" s="37"/>
      <c r="G4428" s="37"/>
      <c r="H4428" s="37"/>
      <c r="I4428" s="37"/>
      <c r="J4428" s="37"/>
    </row>
    <row r="4429" spans="1:10" x14ac:dyDescent="0.3">
      <c r="A4429" s="130"/>
      <c r="B4429" s="37"/>
      <c r="C4429" s="37"/>
      <c r="D4429" s="37"/>
      <c r="E4429" s="37"/>
      <c r="F4429" s="37"/>
      <c r="G4429" s="37"/>
      <c r="H4429" s="37"/>
      <c r="I4429" s="37"/>
      <c r="J4429" s="37"/>
    </row>
    <row r="4430" spans="1:10" x14ac:dyDescent="0.3">
      <c r="A4430" s="130"/>
      <c r="B4430" s="37"/>
      <c r="C4430" s="37"/>
      <c r="D4430" s="37"/>
      <c r="E4430" s="37"/>
      <c r="F4430" s="37"/>
      <c r="G4430" s="37"/>
      <c r="H4430" s="37"/>
      <c r="I4430" s="37"/>
      <c r="J4430" s="37"/>
    </row>
    <row r="4431" spans="1:10" x14ac:dyDescent="0.3">
      <c r="A4431" s="130"/>
      <c r="B4431" s="37"/>
      <c r="C4431" s="37"/>
      <c r="D4431" s="37"/>
      <c r="E4431" s="37"/>
      <c r="F4431" s="37"/>
      <c r="G4431" s="37"/>
      <c r="H4431" s="37"/>
      <c r="I4431" s="37"/>
      <c r="J4431" s="37"/>
    </row>
    <row r="4432" spans="1:10" x14ac:dyDescent="0.3">
      <c r="A4432" s="130"/>
      <c r="B4432" s="37"/>
      <c r="C4432" s="37"/>
      <c r="D4432" s="37"/>
      <c r="E4432" s="37"/>
      <c r="F4432" s="37"/>
      <c r="G4432" s="37"/>
      <c r="H4432" s="37"/>
      <c r="I4432" s="37"/>
      <c r="J4432" s="37"/>
    </row>
    <row r="4433" spans="1:10" x14ac:dyDescent="0.3">
      <c r="A4433" s="130"/>
      <c r="B4433" s="37"/>
      <c r="C4433" s="37"/>
      <c r="D4433" s="37"/>
      <c r="E4433" s="37"/>
      <c r="F4433" s="37"/>
      <c r="G4433" s="37"/>
      <c r="H4433" s="37"/>
      <c r="I4433" s="37"/>
      <c r="J4433" s="37"/>
    </row>
    <row r="4434" spans="1:10" x14ac:dyDescent="0.3">
      <c r="A4434" s="130"/>
      <c r="B4434" s="37"/>
      <c r="C4434" s="37"/>
      <c r="D4434" s="37"/>
      <c r="E4434" s="37"/>
      <c r="F4434" s="37"/>
      <c r="G4434" s="37"/>
      <c r="H4434" s="37"/>
      <c r="I4434" s="37"/>
      <c r="J4434" s="37"/>
    </row>
    <row r="4435" spans="1:10" x14ac:dyDescent="0.3">
      <c r="A4435" s="130"/>
      <c r="B4435" s="37"/>
      <c r="C4435" s="37"/>
      <c r="D4435" s="37"/>
      <c r="E4435" s="37"/>
      <c r="F4435" s="37"/>
      <c r="G4435" s="37"/>
      <c r="H4435" s="37"/>
      <c r="I4435" s="37"/>
      <c r="J4435" s="37"/>
    </row>
    <row r="4436" spans="1:10" x14ac:dyDescent="0.3">
      <c r="A4436" s="130"/>
      <c r="B4436" s="37"/>
      <c r="C4436" s="37"/>
      <c r="D4436" s="37"/>
      <c r="E4436" s="37"/>
      <c r="F4436" s="37"/>
      <c r="G4436" s="37"/>
      <c r="H4436" s="37"/>
      <c r="I4436" s="37"/>
      <c r="J4436" s="37"/>
    </row>
    <row r="4437" spans="1:10" x14ac:dyDescent="0.3">
      <c r="A4437" s="130"/>
      <c r="B4437" s="37"/>
      <c r="C4437" s="37"/>
      <c r="D4437" s="37"/>
      <c r="E4437" s="37"/>
      <c r="F4437" s="37"/>
      <c r="G4437" s="37"/>
      <c r="H4437" s="37"/>
      <c r="I4437" s="37"/>
      <c r="J4437" s="37"/>
    </row>
    <row r="4438" spans="1:10" x14ac:dyDescent="0.3">
      <c r="A4438" s="130"/>
      <c r="B4438" s="37"/>
      <c r="C4438" s="37"/>
      <c r="D4438" s="37"/>
      <c r="E4438" s="37"/>
      <c r="F4438" s="37"/>
      <c r="G4438" s="37"/>
      <c r="H4438" s="37"/>
      <c r="I4438" s="37"/>
      <c r="J4438" s="37"/>
    </row>
    <row r="4439" spans="1:10" x14ac:dyDescent="0.3">
      <c r="A4439" s="130"/>
      <c r="B4439" s="37"/>
      <c r="C4439" s="37"/>
      <c r="D4439" s="37"/>
      <c r="E4439" s="37"/>
      <c r="F4439" s="37"/>
      <c r="G4439" s="37"/>
      <c r="H4439" s="37"/>
      <c r="I4439" s="37"/>
      <c r="J4439" s="37"/>
    </row>
    <row r="4440" spans="1:10" x14ac:dyDescent="0.3">
      <c r="A4440" s="130"/>
      <c r="B4440" s="37"/>
      <c r="C4440" s="37"/>
      <c r="D4440" s="37"/>
      <c r="E4440" s="37"/>
      <c r="F4440" s="37"/>
      <c r="G4440" s="37"/>
      <c r="H4440" s="37"/>
      <c r="I4440" s="37"/>
      <c r="J4440" s="37"/>
    </row>
    <row r="4441" spans="1:10" x14ac:dyDescent="0.3">
      <c r="A4441" s="130"/>
      <c r="B4441" s="37"/>
      <c r="C4441" s="37"/>
      <c r="D4441" s="37"/>
      <c r="E4441" s="37"/>
      <c r="F4441" s="37"/>
      <c r="G4441" s="37"/>
      <c r="H4441" s="37"/>
      <c r="I4441" s="37"/>
      <c r="J4441" s="37"/>
    </row>
    <row r="4442" spans="1:10" x14ac:dyDescent="0.3">
      <c r="A4442" s="130"/>
      <c r="B4442" s="37"/>
      <c r="C4442" s="37"/>
      <c r="D4442" s="37"/>
      <c r="E4442" s="37"/>
      <c r="F4442" s="37"/>
      <c r="G4442" s="37"/>
      <c r="H4442" s="37"/>
      <c r="I4442" s="37"/>
      <c r="J4442" s="37"/>
    </row>
    <row r="4443" spans="1:10" x14ac:dyDescent="0.3">
      <c r="A4443" s="130"/>
      <c r="B4443" s="37"/>
      <c r="C4443" s="37"/>
      <c r="D4443" s="37"/>
      <c r="E4443" s="37"/>
      <c r="F4443" s="37"/>
      <c r="G4443" s="37"/>
      <c r="H4443" s="37"/>
      <c r="I4443" s="37"/>
      <c r="J4443" s="37"/>
    </row>
    <row r="4444" spans="1:10" x14ac:dyDescent="0.3">
      <c r="A4444" s="130"/>
      <c r="B4444" s="37"/>
      <c r="C4444" s="37"/>
      <c r="D4444" s="37"/>
      <c r="E4444" s="37"/>
      <c r="F4444" s="37"/>
      <c r="G4444" s="37"/>
      <c r="H4444" s="37"/>
      <c r="I4444" s="37"/>
      <c r="J4444" s="37"/>
    </row>
    <row r="4445" spans="1:10" x14ac:dyDescent="0.3">
      <c r="A4445" s="130"/>
      <c r="B4445" s="37"/>
      <c r="C4445" s="37"/>
      <c r="D4445" s="37"/>
      <c r="E4445" s="37"/>
      <c r="F4445" s="37"/>
      <c r="G4445" s="37"/>
      <c r="H4445" s="37"/>
      <c r="I4445" s="37"/>
      <c r="J4445" s="37"/>
    </row>
    <row r="4446" spans="1:10" x14ac:dyDescent="0.3">
      <c r="A4446" s="130"/>
      <c r="B4446" s="37"/>
      <c r="C4446" s="37"/>
      <c r="D4446" s="37"/>
      <c r="E4446" s="37"/>
      <c r="F4446" s="37"/>
      <c r="G4446" s="37"/>
      <c r="H4446" s="37"/>
      <c r="I4446" s="37"/>
      <c r="J4446" s="37"/>
    </row>
    <row r="4447" spans="1:10" x14ac:dyDescent="0.3">
      <c r="A4447" s="130"/>
      <c r="B4447" s="37"/>
      <c r="C4447" s="37"/>
      <c r="D4447" s="37"/>
      <c r="E4447" s="37"/>
      <c r="F4447" s="37"/>
      <c r="G4447" s="37"/>
      <c r="H4447" s="37"/>
      <c r="I4447" s="37"/>
      <c r="J4447" s="37"/>
    </row>
    <row r="4448" spans="1:10" x14ac:dyDescent="0.3">
      <c r="A4448" s="130"/>
      <c r="B4448" s="37"/>
      <c r="C4448" s="37"/>
      <c r="D4448" s="37"/>
      <c r="E4448" s="37"/>
      <c r="F4448" s="37"/>
      <c r="G4448" s="37"/>
      <c r="H4448" s="37"/>
      <c r="I4448" s="37"/>
      <c r="J4448" s="37"/>
    </row>
    <row r="4449" spans="1:10" x14ac:dyDescent="0.3">
      <c r="A4449" s="130"/>
      <c r="B4449" s="37"/>
      <c r="C4449" s="37"/>
      <c r="D4449" s="37"/>
      <c r="E4449" s="37"/>
      <c r="F4449" s="37"/>
      <c r="G4449" s="37"/>
      <c r="H4449" s="37"/>
      <c r="I4449" s="37"/>
      <c r="J4449" s="37"/>
    </row>
    <row r="4450" spans="1:10" x14ac:dyDescent="0.3">
      <c r="A4450" s="130"/>
      <c r="B4450" s="37"/>
      <c r="C4450" s="37"/>
      <c r="D4450" s="37"/>
      <c r="E4450" s="37"/>
      <c r="F4450" s="37"/>
      <c r="G4450" s="37"/>
      <c r="H4450" s="37"/>
      <c r="I4450" s="37"/>
      <c r="J4450" s="37"/>
    </row>
    <row r="4451" spans="1:10" x14ac:dyDescent="0.3">
      <c r="A4451" s="130"/>
      <c r="B4451" s="37"/>
      <c r="C4451" s="37"/>
      <c r="D4451" s="37"/>
      <c r="E4451" s="37"/>
      <c r="F4451" s="37"/>
      <c r="G4451" s="37"/>
      <c r="H4451" s="37"/>
      <c r="I4451" s="37"/>
      <c r="J4451" s="37"/>
    </row>
    <row r="4452" spans="1:10" x14ac:dyDescent="0.3">
      <c r="A4452" s="130"/>
      <c r="B4452" s="37"/>
      <c r="C4452" s="37"/>
      <c r="D4452" s="37"/>
      <c r="E4452" s="37"/>
      <c r="F4452" s="37"/>
      <c r="G4452" s="37"/>
      <c r="H4452" s="37"/>
      <c r="I4452" s="37"/>
      <c r="J4452" s="37"/>
    </row>
    <row r="4453" spans="1:10" x14ac:dyDescent="0.3">
      <c r="A4453" s="130"/>
      <c r="B4453" s="37"/>
      <c r="C4453" s="37"/>
      <c r="D4453" s="37"/>
      <c r="E4453" s="37"/>
      <c r="F4453" s="37"/>
      <c r="G4453" s="37"/>
      <c r="H4453" s="37"/>
      <c r="I4453" s="37"/>
      <c r="J4453" s="37"/>
    </row>
    <row r="4454" spans="1:10" x14ac:dyDescent="0.3">
      <c r="A4454" s="130"/>
      <c r="B4454" s="37"/>
      <c r="C4454" s="37"/>
      <c r="D4454" s="37"/>
      <c r="E4454" s="37"/>
      <c r="F4454" s="37"/>
      <c r="G4454" s="37"/>
      <c r="H4454" s="37"/>
      <c r="I4454" s="37"/>
      <c r="J4454" s="37"/>
    </row>
    <row r="4455" spans="1:10" x14ac:dyDescent="0.3">
      <c r="A4455" s="130"/>
      <c r="B4455" s="37"/>
      <c r="C4455" s="37"/>
      <c r="D4455" s="37"/>
      <c r="E4455" s="37"/>
      <c r="F4455" s="37"/>
      <c r="G4455" s="37"/>
      <c r="H4455" s="37"/>
      <c r="I4455" s="37"/>
      <c r="J4455" s="37"/>
    </row>
    <row r="4456" spans="1:10" x14ac:dyDescent="0.3">
      <c r="A4456" s="130"/>
      <c r="B4456" s="37"/>
      <c r="C4456" s="37"/>
      <c r="D4456" s="37"/>
      <c r="E4456" s="37"/>
      <c r="F4456" s="37"/>
      <c r="G4456" s="37"/>
      <c r="H4456" s="37"/>
      <c r="I4456" s="37"/>
      <c r="J4456" s="37"/>
    </row>
    <row r="4457" spans="1:10" x14ac:dyDescent="0.3">
      <c r="A4457" s="130"/>
      <c r="B4457" s="37"/>
      <c r="C4457" s="37"/>
      <c r="D4457" s="37"/>
      <c r="E4457" s="37"/>
      <c r="F4457" s="37"/>
      <c r="G4457" s="37"/>
      <c r="H4457" s="37"/>
      <c r="I4457" s="37"/>
      <c r="J4457" s="37"/>
    </row>
    <row r="4458" spans="1:10" x14ac:dyDescent="0.3">
      <c r="A4458" s="130"/>
      <c r="B4458" s="37"/>
      <c r="C4458" s="37"/>
      <c r="D4458" s="37"/>
      <c r="E4458" s="37"/>
      <c r="F4458" s="37"/>
      <c r="G4458" s="37"/>
      <c r="H4458" s="37"/>
      <c r="I4458" s="37"/>
      <c r="J4458" s="37"/>
    </row>
    <row r="4459" spans="1:10" x14ac:dyDescent="0.3">
      <c r="A4459" s="130"/>
      <c r="B4459" s="37"/>
      <c r="C4459" s="37"/>
      <c r="D4459" s="37"/>
      <c r="E4459" s="37"/>
      <c r="F4459" s="37"/>
      <c r="G4459" s="37"/>
      <c r="H4459" s="37"/>
      <c r="I4459" s="37"/>
      <c r="J4459" s="37"/>
    </row>
    <row r="4460" spans="1:10" x14ac:dyDescent="0.3">
      <c r="A4460" s="130"/>
      <c r="B4460" s="37"/>
      <c r="C4460" s="37"/>
      <c r="D4460" s="37"/>
      <c r="E4460" s="37"/>
      <c r="F4460" s="37"/>
      <c r="G4460" s="37"/>
      <c r="H4460" s="37"/>
      <c r="I4460" s="37"/>
      <c r="J4460" s="37"/>
    </row>
    <row r="4461" spans="1:10" x14ac:dyDescent="0.3">
      <c r="A4461" s="130"/>
      <c r="B4461" s="37"/>
      <c r="C4461" s="37"/>
      <c r="D4461" s="37"/>
      <c r="E4461" s="37"/>
      <c r="F4461" s="37"/>
      <c r="G4461" s="37"/>
      <c r="H4461" s="37"/>
      <c r="I4461" s="37"/>
      <c r="J4461" s="37"/>
    </row>
    <row r="4462" spans="1:10" x14ac:dyDescent="0.3">
      <c r="A4462" s="130"/>
      <c r="B4462" s="37"/>
      <c r="C4462" s="37"/>
      <c r="D4462" s="37"/>
      <c r="E4462" s="37"/>
      <c r="F4462" s="37"/>
      <c r="G4462" s="37"/>
      <c r="H4462" s="37"/>
      <c r="I4462" s="37"/>
      <c r="J4462" s="37"/>
    </row>
    <row r="4463" spans="1:10" x14ac:dyDescent="0.3">
      <c r="A4463" s="130"/>
      <c r="B4463" s="37"/>
      <c r="C4463" s="37"/>
      <c r="D4463" s="37"/>
      <c r="E4463" s="37"/>
      <c r="F4463" s="37"/>
      <c r="G4463" s="37"/>
      <c r="H4463" s="37"/>
      <c r="I4463" s="37"/>
      <c r="J4463" s="37"/>
    </row>
    <row r="4464" spans="1:10" x14ac:dyDescent="0.3">
      <c r="A4464" s="130"/>
      <c r="B4464" s="37"/>
      <c r="C4464" s="37"/>
      <c r="D4464" s="37"/>
      <c r="E4464" s="37"/>
      <c r="F4464" s="37"/>
      <c r="G4464" s="37"/>
      <c r="H4464" s="37"/>
      <c r="I4464" s="37"/>
      <c r="J4464" s="37"/>
    </row>
    <row r="4465" spans="1:10" x14ac:dyDescent="0.3">
      <c r="A4465" s="130"/>
      <c r="B4465" s="37"/>
      <c r="C4465" s="37"/>
      <c r="D4465" s="37"/>
      <c r="E4465" s="37"/>
      <c r="F4465" s="37"/>
      <c r="G4465" s="37"/>
      <c r="H4465" s="37"/>
      <c r="I4465" s="37"/>
      <c r="J4465" s="37"/>
    </row>
    <row r="4466" spans="1:10" x14ac:dyDescent="0.3">
      <c r="A4466" s="130"/>
      <c r="B4466" s="37"/>
      <c r="C4466" s="37"/>
      <c r="D4466" s="37"/>
      <c r="E4466" s="37"/>
      <c r="F4466" s="37"/>
      <c r="G4466" s="37"/>
      <c r="H4466" s="37"/>
      <c r="I4466" s="37"/>
      <c r="J4466" s="37"/>
    </row>
    <row r="4467" spans="1:10" x14ac:dyDescent="0.3">
      <c r="A4467" s="130"/>
      <c r="B4467" s="37"/>
      <c r="C4467" s="37"/>
      <c r="D4467" s="37"/>
      <c r="E4467" s="37"/>
      <c r="F4467" s="37"/>
      <c r="G4467" s="37"/>
      <c r="H4467" s="37"/>
      <c r="I4467" s="37"/>
      <c r="J4467" s="37"/>
    </row>
    <row r="4468" spans="1:10" x14ac:dyDescent="0.3">
      <c r="A4468" s="130"/>
      <c r="B4468" s="37"/>
      <c r="C4468" s="37"/>
      <c r="D4468" s="37"/>
      <c r="E4468" s="37"/>
      <c r="F4468" s="37"/>
      <c r="G4468" s="37"/>
      <c r="H4468" s="37"/>
      <c r="I4468" s="37"/>
      <c r="J4468" s="37"/>
    </row>
    <row r="4469" spans="1:10" x14ac:dyDescent="0.3">
      <c r="A4469" s="130"/>
      <c r="B4469" s="37"/>
      <c r="C4469" s="37"/>
      <c r="D4469" s="37"/>
      <c r="E4469" s="37"/>
      <c r="F4469" s="37"/>
      <c r="G4469" s="37"/>
      <c r="H4469" s="37"/>
      <c r="I4469" s="37"/>
      <c r="J4469" s="37"/>
    </row>
    <row r="4470" spans="1:10" x14ac:dyDescent="0.3">
      <c r="A4470" s="130"/>
      <c r="B4470" s="37"/>
      <c r="C4470" s="37"/>
      <c r="D4470" s="37"/>
      <c r="E4470" s="37"/>
      <c r="F4470" s="37"/>
      <c r="G4470" s="37"/>
      <c r="H4470" s="37"/>
      <c r="I4470" s="37"/>
      <c r="J4470" s="37"/>
    </row>
    <row r="4471" spans="1:10" x14ac:dyDescent="0.3">
      <c r="A4471" s="130"/>
      <c r="B4471" s="37"/>
      <c r="C4471" s="37"/>
      <c r="D4471" s="37"/>
      <c r="E4471" s="37"/>
      <c r="F4471" s="37"/>
      <c r="G4471" s="37"/>
      <c r="H4471" s="37"/>
      <c r="I4471" s="37"/>
      <c r="J4471" s="37"/>
    </row>
    <row r="4472" spans="1:10" x14ac:dyDescent="0.3">
      <c r="A4472" s="130"/>
      <c r="B4472" s="37"/>
      <c r="C4472" s="37"/>
      <c r="D4472" s="37"/>
      <c r="E4472" s="37"/>
      <c r="F4472" s="37"/>
      <c r="G4472" s="37"/>
      <c r="H4472" s="37"/>
      <c r="I4472" s="37"/>
      <c r="J4472" s="37"/>
    </row>
    <row r="4473" spans="1:10" x14ac:dyDescent="0.3">
      <c r="A4473" s="130"/>
      <c r="B4473" s="37"/>
      <c r="C4473" s="37"/>
      <c r="D4473" s="37"/>
      <c r="E4473" s="37"/>
      <c r="F4473" s="37"/>
      <c r="G4473" s="37"/>
      <c r="H4473" s="37"/>
      <c r="I4473" s="37"/>
      <c r="J4473" s="37"/>
    </row>
    <row r="4474" spans="1:10" x14ac:dyDescent="0.3">
      <c r="A4474" s="130"/>
      <c r="B4474" s="37"/>
      <c r="C4474" s="37"/>
      <c r="D4474" s="37"/>
      <c r="E4474" s="37"/>
      <c r="F4474" s="37"/>
      <c r="G4474" s="37"/>
      <c r="H4474" s="37"/>
      <c r="I4474" s="37"/>
      <c r="J4474" s="37"/>
    </row>
    <row r="4475" spans="1:10" x14ac:dyDescent="0.3">
      <c r="A4475" s="130"/>
      <c r="B4475" s="37"/>
      <c r="C4475" s="37"/>
      <c r="D4475" s="37"/>
      <c r="E4475" s="37"/>
      <c r="F4475" s="37"/>
      <c r="G4475" s="37"/>
      <c r="H4475" s="37"/>
      <c r="I4475" s="37"/>
      <c r="J4475" s="37"/>
    </row>
    <row r="4476" spans="1:10" x14ac:dyDescent="0.3">
      <c r="A4476" s="130"/>
      <c r="B4476" s="37"/>
      <c r="C4476" s="37"/>
      <c r="D4476" s="37"/>
      <c r="E4476" s="37"/>
      <c r="F4476" s="37"/>
      <c r="G4476" s="37"/>
      <c r="H4476" s="37"/>
      <c r="I4476" s="37"/>
      <c r="J4476" s="37"/>
    </row>
    <row r="4477" spans="1:10" x14ac:dyDescent="0.3">
      <c r="A4477" s="130"/>
      <c r="B4477" s="37"/>
      <c r="C4477" s="37"/>
      <c r="D4477" s="37"/>
      <c r="E4477" s="37"/>
      <c r="F4477" s="37"/>
      <c r="G4477" s="37"/>
      <c r="H4477" s="37"/>
      <c r="I4477" s="37"/>
      <c r="J4477" s="37"/>
    </row>
    <row r="4478" spans="1:10" x14ac:dyDescent="0.3">
      <c r="A4478" s="130"/>
      <c r="B4478" s="37"/>
      <c r="C4478" s="37"/>
      <c r="D4478" s="37"/>
      <c r="E4478" s="37"/>
      <c r="F4478" s="37"/>
      <c r="G4478" s="37"/>
      <c r="H4478" s="37"/>
      <c r="I4478" s="37"/>
      <c r="J4478" s="37"/>
    </row>
    <row r="4479" spans="1:10" x14ac:dyDescent="0.3">
      <c r="A4479" s="130"/>
      <c r="B4479" s="37"/>
      <c r="C4479" s="37"/>
      <c r="D4479" s="37"/>
      <c r="E4479" s="37"/>
      <c r="F4479" s="37"/>
      <c r="G4479" s="37"/>
      <c r="H4479" s="37"/>
      <c r="I4479" s="37"/>
      <c r="J4479" s="37"/>
    </row>
    <row r="4480" spans="1:10" x14ac:dyDescent="0.3">
      <c r="A4480" s="130"/>
      <c r="B4480" s="37"/>
      <c r="C4480" s="37"/>
      <c r="D4480" s="37"/>
      <c r="E4480" s="37"/>
      <c r="F4480" s="37"/>
      <c r="G4480" s="37"/>
      <c r="H4480" s="37"/>
      <c r="I4480" s="37"/>
      <c r="J4480" s="37"/>
    </row>
    <row r="4481" spans="1:10" x14ac:dyDescent="0.3">
      <c r="A4481" s="130"/>
      <c r="B4481" s="37"/>
      <c r="C4481" s="37"/>
      <c r="D4481" s="37"/>
      <c r="E4481" s="37"/>
      <c r="F4481" s="37"/>
      <c r="G4481" s="37"/>
      <c r="H4481" s="37"/>
      <c r="I4481" s="37"/>
      <c r="J4481" s="37"/>
    </row>
    <row r="4482" spans="1:10" x14ac:dyDescent="0.3">
      <c r="A4482" s="130"/>
      <c r="B4482" s="37"/>
      <c r="C4482" s="37"/>
      <c r="D4482" s="37"/>
      <c r="E4482" s="37"/>
      <c r="F4482" s="37"/>
      <c r="G4482" s="37"/>
      <c r="H4482" s="37"/>
      <c r="I4482" s="37"/>
      <c r="J4482" s="37"/>
    </row>
    <row r="4483" spans="1:10" x14ac:dyDescent="0.3">
      <c r="A4483" s="130"/>
      <c r="B4483" s="37"/>
      <c r="C4483" s="37"/>
      <c r="D4483" s="37"/>
      <c r="E4483" s="37"/>
      <c r="F4483" s="37"/>
      <c r="G4483" s="37"/>
      <c r="H4483" s="37"/>
      <c r="I4483" s="37"/>
      <c r="J4483" s="37"/>
    </row>
    <row r="4484" spans="1:10" x14ac:dyDescent="0.3">
      <c r="A4484" s="130"/>
      <c r="B4484" s="37"/>
      <c r="C4484" s="37"/>
      <c r="D4484" s="37"/>
      <c r="E4484" s="37"/>
      <c r="F4484" s="37"/>
      <c r="G4484" s="37"/>
      <c r="H4484" s="37"/>
      <c r="I4484" s="37"/>
      <c r="J4484" s="37"/>
    </row>
    <row r="4485" spans="1:10" x14ac:dyDescent="0.3">
      <c r="A4485" s="130"/>
      <c r="B4485" s="37"/>
      <c r="C4485" s="37"/>
      <c r="D4485" s="37"/>
      <c r="E4485" s="37"/>
      <c r="F4485" s="37"/>
      <c r="G4485" s="37"/>
      <c r="H4485" s="37"/>
      <c r="I4485" s="37"/>
      <c r="J4485" s="37"/>
    </row>
    <row r="4486" spans="1:10" x14ac:dyDescent="0.3">
      <c r="A4486" s="130"/>
      <c r="B4486" s="37"/>
      <c r="C4486" s="37"/>
      <c r="D4486" s="37"/>
      <c r="E4486" s="37"/>
      <c r="F4486" s="37"/>
      <c r="G4486" s="37"/>
      <c r="H4486" s="37"/>
      <c r="I4486" s="37"/>
      <c r="J4486" s="37"/>
    </row>
    <row r="4487" spans="1:10" x14ac:dyDescent="0.3">
      <c r="A4487" s="130"/>
      <c r="B4487" s="37"/>
      <c r="C4487" s="37"/>
      <c r="D4487" s="37"/>
      <c r="E4487" s="37"/>
      <c r="F4487" s="37"/>
      <c r="G4487" s="37"/>
      <c r="H4487" s="37"/>
      <c r="I4487" s="37"/>
      <c r="J4487" s="37"/>
    </row>
    <row r="4488" spans="1:10" x14ac:dyDescent="0.3">
      <c r="A4488" s="130"/>
      <c r="B4488" s="37"/>
      <c r="C4488" s="37"/>
      <c r="D4488" s="37"/>
      <c r="E4488" s="37"/>
      <c r="F4488" s="37"/>
      <c r="G4488" s="37"/>
      <c r="H4488" s="37"/>
      <c r="I4488" s="37"/>
      <c r="J4488" s="37"/>
    </row>
    <row r="4489" spans="1:10" x14ac:dyDescent="0.3">
      <c r="A4489" s="130"/>
      <c r="B4489" s="37"/>
      <c r="C4489" s="37"/>
      <c r="D4489" s="37"/>
      <c r="E4489" s="37"/>
      <c r="F4489" s="37"/>
      <c r="G4489" s="37"/>
      <c r="H4489" s="37"/>
      <c r="I4489" s="37"/>
      <c r="J4489" s="37"/>
    </row>
    <row r="4490" spans="1:10" x14ac:dyDescent="0.3">
      <c r="A4490" s="130"/>
      <c r="B4490" s="37"/>
      <c r="C4490" s="37"/>
      <c r="D4490" s="37"/>
      <c r="E4490" s="37"/>
      <c r="F4490" s="37"/>
      <c r="G4490" s="37"/>
      <c r="H4490" s="37"/>
      <c r="I4490" s="37"/>
      <c r="J4490" s="37"/>
    </row>
    <row r="4491" spans="1:10" x14ac:dyDescent="0.3">
      <c r="A4491" s="130"/>
      <c r="B4491" s="37"/>
      <c r="C4491" s="37"/>
      <c r="D4491" s="37"/>
      <c r="E4491" s="37"/>
      <c r="F4491" s="37"/>
      <c r="G4491" s="37"/>
      <c r="H4491" s="37"/>
      <c r="I4491" s="37"/>
      <c r="J4491" s="37"/>
    </row>
    <row r="4492" spans="1:10" x14ac:dyDescent="0.3">
      <c r="A4492" s="130"/>
      <c r="B4492" s="37"/>
      <c r="C4492" s="37"/>
      <c r="D4492" s="37"/>
      <c r="E4492" s="37"/>
      <c r="F4492" s="37"/>
      <c r="G4492" s="37"/>
      <c r="H4492" s="37"/>
      <c r="I4492" s="37"/>
      <c r="J4492" s="37"/>
    </row>
    <row r="4493" spans="1:10" x14ac:dyDescent="0.3">
      <c r="A4493" s="130"/>
      <c r="B4493" s="37"/>
      <c r="C4493" s="37"/>
      <c r="D4493" s="37"/>
      <c r="E4493" s="37"/>
      <c r="F4493" s="37"/>
      <c r="G4493" s="37"/>
      <c r="H4493" s="37"/>
      <c r="I4493" s="37"/>
      <c r="J4493" s="37"/>
    </row>
    <row r="4494" spans="1:10" x14ac:dyDescent="0.3">
      <c r="A4494" s="130"/>
      <c r="B4494" s="37"/>
      <c r="C4494" s="37"/>
      <c r="D4494" s="37"/>
      <c r="E4494" s="37"/>
      <c r="F4494" s="37"/>
      <c r="G4494" s="37"/>
      <c r="H4494" s="37"/>
      <c r="I4494" s="37"/>
      <c r="J4494" s="37"/>
    </row>
    <row r="4495" spans="1:10" x14ac:dyDescent="0.3">
      <c r="A4495" s="130"/>
      <c r="B4495" s="37"/>
      <c r="C4495" s="37"/>
      <c r="D4495" s="37"/>
      <c r="E4495" s="37"/>
      <c r="F4495" s="37"/>
      <c r="G4495" s="37"/>
      <c r="H4495" s="37"/>
      <c r="I4495" s="37"/>
      <c r="J4495" s="37"/>
    </row>
    <row r="4496" spans="1:10" x14ac:dyDescent="0.3">
      <c r="A4496" s="130"/>
      <c r="B4496" s="37"/>
      <c r="C4496" s="37"/>
      <c r="D4496" s="37"/>
      <c r="E4496" s="37"/>
      <c r="F4496" s="37"/>
      <c r="G4496" s="37"/>
      <c r="H4496" s="37"/>
      <c r="I4496" s="37"/>
      <c r="J4496" s="37"/>
    </row>
    <row r="4497" spans="1:10" x14ac:dyDescent="0.3">
      <c r="A4497" s="130"/>
      <c r="B4497" s="37"/>
      <c r="C4497" s="37"/>
      <c r="D4497" s="37"/>
      <c r="E4497" s="37"/>
      <c r="F4497" s="37"/>
      <c r="G4497" s="37"/>
      <c r="H4497" s="37"/>
      <c r="I4497" s="37"/>
      <c r="J4497" s="37"/>
    </row>
    <row r="4498" spans="1:10" x14ac:dyDescent="0.3">
      <c r="A4498" s="130"/>
      <c r="B4498" s="37"/>
      <c r="C4498" s="37"/>
      <c r="D4498" s="37"/>
      <c r="E4498" s="37"/>
      <c r="F4498" s="37"/>
      <c r="G4498" s="37"/>
      <c r="H4498" s="37"/>
      <c r="I4498" s="37"/>
      <c r="J4498" s="37"/>
    </row>
    <row r="4499" spans="1:10" x14ac:dyDescent="0.3">
      <c r="A4499" s="130"/>
      <c r="B4499" s="37"/>
      <c r="C4499" s="37"/>
      <c r="D4499" s="37"/>
      <c r="E4499" s="37"/>
      <c r="F4499" s="37"/>
      <c r="G4499" s="37"/>
      <c r="H4499" s="37"/>
      <c r="I4499" s="37"/>
      <c r="J4499" s="37"/>
    </row>
    <row r="4500" spans="1:10" x14ac:dyDescent="0.3">
      <c r="A4500" s="130"/>
      <c r="B4500" s="37"/>
      <c r="C4500" s="37"/>
      <c r="D4500" s="37"/>
      <c r="E4500" s="37"/>
      <c r="F4500" s="37"/>
      <c r="G4500" s="37"/>
      <c r="H4500" s="37"/>
      <c r="I4500" s="37"/>
      <c r="J4500" s="37"/>
    </row>
    <row r="4501" spans="1:10" x14ac:dyDescent="0.3">
      <c r="A4501" s="130"/>
      <c r="B4501" s="37"/>
      <c r="C4501" s="37"/>
      <c r="D4501" s="37"/>
      <c r="E4501" s="37"/>
      <c r="F4501" s="37"/>
      <c r="G4501" s="37"/>
      <c r="H4501" s="37"/>
      <c r="I4501" s="37"/>
      <c r="J4501" s="37"/>
    </row>
    <row r="4502" spans="1:10" x14ac:dyDescent="0.3">
      <c r="A4502" s="130"/>
      <c r="B4502" s="37"/>
      <c r="C4502" s="37"/>
      <c r="D4502" s="37"/>
      <c r="E4502" s="37"/>
      <c r="F4502" s="37"/>
      <c r="G4502" s="37"/>
      <c r="H4502" s="37"/>
      <c r="I4502" s="37"/>
      <c r="J4502" s="37"/>
    </row>
    <row r="4503" spans="1:10" x14ac:dyDescent="0.3">
      <c r="A4503" s="130"/>
      <c r="B4503" s="37"/>
      <c r="C4503" s="37"/>
      <c r="D4503" s="37"/>
      <c r="E4503" s="37"/>
      <c r="F4503" s="37"/>
      <c r="G4503" s="37"/>
      <c r="H4503" s="37"/>
      <c r="I4503" s="37"/>
      <c r="J4503" s="37"/>
    </row>
    <row r="4504" spans="1:10" x14ac:dyDescent="0.3">
      <c r="A4504" s="130"/>
      <c r="B4504" s="37"/>
      <c r="C4504" s="37"/>
      <c r="D4504" s="37"/>
      <c r="E4504" s="37"/>
      <c r="F4504" s="37"/>
      <c r="G4504" s="37"/>
      <c r="H4504" s="37"/>
      <c r="I4504" s="37"/>
      <c r="J4504" s="37"/>
    </row>
    <row r="4505" spans="1:10" x14ac:dyDescent="0.3">
      <c r="A4505" s="130"/>
      <c r="B4505" s="37"/>
      <c r="C4505" s="37"/>
      <c r="D4505" s="37"/>
      <c r="E4505" s="37"/>
      <c r="F4505" s="37"/>
      <c r="G4505" s="37"/>
      <c r="H4505" s="37"/>
      <c r="I4505" s="37"/>
      <c r="J4505" s="37"/>
    </row>
    <row r="4506" spans="1:10" x14ac:dyDescent="0.3">
      <c r="A4506" s="130"/>
      <c r="B4506" s="37"/>
      <c r="C4506" s="37"/>
      <c r="D4506" s="37"/>
      <c r="E4506" s="37"/>
      <c r="F4506" s="37"/>
      <c r="G4506" s="37"/>
      <c r="H4506" s="37"/>
      <c r="I4506" s="37"/>
      <c r="J4506" s="37"/>
    </row>
    <row r="4507" spans="1:10" x14ac:dyDescent="0.3">
      <c r="A4507" s="130"/>
      <c r="B4507" s="37"/>
      <c r="C4507" s="37"/>
      <c r="D4507" s="37"/>
      <c r="E4507" s="37"/>
      <c r="F4507" s="37"/>
      <c r="G4507" s="37"/>
      <c r="H4507" s="37"/>
      <c r="I4507" s="37"/>
      <c r="J4507" s="37"/>
    </row>
    <row r="4508" spans="1:10" x14ac:dyDescent="0.3">
      <c r="A4508" s="130"/>
      <c r="B4508" s="37"/>
      <c r="C4508" s="37"/>
      <c r="D4508" s="37"/>
      <c r="E4508" s="37"/>
      <c r="F4508" s="37"/>
      <c r="G4508" s="37"/>
      <c r="H4508" s="37"/>
      <c r="I4508" s="37"/>
      <c r="J4508" s="37"/>
    </row>
    <row r="4509" spans="1:10" x14ac:dyDescent="0.3">
      <c r="A4509" s="130"/>
      <c r="B4509" s="37"/>
      <c r="C4509" s="37"/>
      <c r="D4509" s="37"/>
      <c r="E4509" s="37"/>
      <c r="F4509" s="37"/>
      <c r="G4509" s="37"/>
      <c r="H4509" s="37"/>
      <c r="I4509" s="37"/>
      <c r="J4509" s="37"/>
    </row>
    <row r="4510" spans="1:10" x14ac:dyDescent="0.3">
      <c r="A4510" s="130"/>
      <c r="B4510" s="37"/>
      <c r="C4510" s="37"/>
      <c r="D4510" s="37"/>
      <c r="E4510" s="37"/>
      <c r="F4510" s="37"/>
      <c r="G4510" s="37"/>
      <c r="H4510" s="37"/>
      <c r="I4510" s="37"/>
      <c r="J4510" s="37"/>
    </row>
    <row r="4511" spans="1:10" x14ac:dyDescent="0.3">
      <c r="A4511" s="130"/>
      <c r="B4511" s="37"/>
      <c r="C4511" s="37"/>
      <c r="D4511" s="37"/>
      <c r="E4511" s="37"/>
      <c r="F4511" s="37"/>
      <c r="G4511" s="37"/>
      <c r="H4511" s="37"/>
      <c r="I4511" s="37"/>
      <c r="J4511" s="37"/>
    </row>
    <row r="4512" spans="1:10" x14ac:dyDescent="0.3">
      <c r="A4512" s="130"/>
      <c r="B4512" s="37"/>
      <c r="C4512" s="37"/>
      <c r="D4512" s="37"/>
      <c r="E4512" s="37"/>
      <c r="F4512" s="37"/>
      <c r="G4512" s="37"/>
      <c r="H4512" s="37"/>
      <c r="I4512" s="37"/>
      <c r="J4512" s="37"/>
    </row>
    <row r="4513" spans="1:10" x14ac:dyDescent="0.3">
      <c r="A4513" s="130"/>
      <c r="B4513" s="37"/>
      <c r="C4513" s="37"/>
      <c r="D4513" s="37"/>
      <c r="E4513" s="37"/>
      <c r="F4513" s="37"/>
      <c r="G4513" s="37"/>
      <c r="H4513" s="37"/>
      <c r="I4513" s="37"/>
      <c r="J4513" s="37"/>
    </row>
    <row r="4514" spans="1:10" x14ac:dyDescent="0.3">
      <c r="A4514" s="130"/>
      <c r="B4514" s="37"/>
      <c r="C4514" s="37"/>
      <c r="D4514" s="37"/>
      <c r="E4514" s="37"/>
      <c r="F4514" s="37"/>
      <c r="G4514" s="37"/>
      <c r="H4514" s="37"/>
      <c r="I4514" s="37"/>
      <c r="J4514" s="37"/>
    </row>
    <row r="4515" spans="1:10" x14ac:dyDescent="0.3">
      <c r="A4515" s="130"/>
      <c r="B4515" s="37"/>
      <c r="C4515" s="37"/>
      <c r="D4515" s="37"/>
      <c r="E4515" s="37"/>
      <c r="F4515" s="37"/>
      <c r="G4515" s="37"/>
      <c r="H4515" s="37"/>
      <c r="I4515" s="37"/>
      <c r="J4515" s="37"/>
    </row>
    <row r="4516" spans="1:10" x14ac:dyDescent="0.3">
      <c r="A4516" s="130"/>
      <c r="B4516" s="37"/>
      <c r="C4516" s="37"/>
      <c r="D4516" s="37"/>
      <c r="E4516" s="37"/>
      <c r="F4516" s="37"/>
      <c r="G4516" s="37"/>
      <c r="H4516" s="37"/>
      <c r="I4516" s="37"/>
      <c r="J4516" s="37"/>
    </row>
    <row r="4517" spans="1:10" x14ac:dyDescent="0.3">
      <c r="A4517" s="130"/>
      <c r="B4517" s="37"/>
      <c r="C4517" s="37"/>
      <c r="D4517" s="37"/>
      <c r="E4517" s="37"/>
      <c r="F4517" s="37"/>
      <c r="G4517" s="37"/>
      <c r="H4517" s="37"/>
      <c r="I4517" s="37"/>
      <c r="J4517" s="37"/>
    </row>
    <row r="4518" spans="1:10" x14ac:dyDescent="0.3">
      <c r="A4518" s="130"/>
      <c r="B4518" s="37"/>
      <c r="C4518" s="37"/>
      <c r="D4518" s="37"/>
      <c r="E4518" s="37"/>
      <c r="F4518" s="37"/>
      <c r="G4518" s="37"/>
      <c r="H4518" s="37"/>
      <c r="I4518" s="37"/>
      <c r="J4518" s="37"/>
    </row>
    <row r="4519" spans="1:10" x14ac:dyDescent="0.3">
      <c r="A4519" s="130"/>
      <c r="B4519" s="37"/>
      <c r="C4519" s="37"/>
      <c r="D4519" s="37"/>
      <c r="E4519" s="37"/>
      <c r="F4519" s="37"/>
      <c r="G4519" s="37"/>
      <c r="H4519" s="37"/>
      <c r="I4519" s="37"/>
      <c r="J4519" s="37"/>
    </row>
    <row r="4520" spans="1:10" x14ac:dyDescent="0.3">
      <c r="A4520" s="130"/>
      <c r="B4520" s="37"/>
      <c r="C4520" s="37"/>
      <c r="D4520" s="37"/>
      <c r="E4520" s="37"/>
      <c r="F4520" s="37"/>
      <c r="G4520" s="37"/>
      <c r="H4520" s="37"/>
      <c r="I4520" s="37"/>
      <c r="J4520" s="37"/>
    </row>
    <row r="4521" spans="1:10" x14ac:dyDescent="0.3">
      <c r="A4521" s="130"/>
      <c r="B4521" s="37"/>
      <c r="C4521" s="37"/>
      <c r="D4521" s="37"/>
      <c r="E4521" s="37"/>
      <c r="F4521" s="37"/>
      <c r="G4521" s="37"/>
      <c r="H4521" s="37"/>
      <c r="I4521" s="37"/>
      <c r="J4521" s="37"/>
    </row>
    <row r="4522" spans="1:10" x14ac:dyDescent="0.3">
      <c r="A4522" s="130"/>
      <c r="B4522" s="37"/>
      <c r="C4522" s="37"/>
      <c r="D4522" s="37"/>
      <c r="E4522" s="37"/>
      <c r="F4522" s="37"/>
      <c r="G4522" s="37"/>
      <c r="H4522" s="37"/>
      <c r="I4522" s="37"/>
      <c r="J4522" s="37"/>
    </row>
    <row r="4523" spans="1:10" x14ac:dyDescent="0.3">
      <c r="A4523" s="130"/>
      <c r="B4523" s="37"/>
      <c r="C4523" s="37"/>
      <c r="D4523" s="37"/>
      <c r="E4523" s="37"/>
      <c r="F4523" s="37"/>
      <c r="G4523" s="37"/>
      <c r="H4523" s="37"/>
      <c r="I4523" s="37"/>
      <c r="J4523" s="37"/>
    </row>
    <row r="4524" spans="1:10" x14ac:dyDescent="0.3">
      <c r="A4524" s="130"/>
      <c r="B4524" s="37"/>
      <c r="C4524" s="37"/>
      <c r="D4524" s="37"/>
      <c r="E4524" s="37"/>
      <c r="F4524" s="37"/>
      <c r="G4524" s="37"/>
      <c r="H4524" s="37"/>
      <c r="I4524" s="37"/>
      <c r="J4524" s="37"/>
    </row>
    <row r="4525" spans="1:10" x14ac:dyDescent="0.3">
      <c r="A4525" s="130"/>
      <c r="B4525" s="37"/>
      <c r="C4525" s="37"/>
      <c r="D4525" s="37"/>
      <c r="E4525" s="37"/>
      <c r="F4525" s="37"/>
      <c r="G4525" s="37"/>
      <c r="H4525" s="37"/>
      <c r="I4525" s="37"/>
      <c r="J4525" s="37"/>
    </row>
    <row r="4526" spans="1:10" x14ac:dyDescent="0.3">
      <c r="A4526" s="130"/>
      <c r="B4526" s="37"/>
      <c r="C4526" s="37"/>
      <c r="D4526" s="37"/>
      <c r="E4526" s="37"/>
      <c r="F4526" s="37"/>
      <c r="G4526" s="37"/>
      <c r="H4526" s="37"/>
      <c r="I4526" s="37"/>
      <c r="J4526" s="37"/>
    </row>
    <row r="4527" spans="1:10" x14ac:dyDescent="0.3">
      <c r="A4527" s="130"/>
      <c r="B4527" s="37"/>
      <c r="C4527" s="37"/>
      <c r="D4527" s="37"/>
      <c r="E4527" s="37"/>
      <c r="F4527" s="37"/>
      <c r="G4527" s="37"/>
      <c r="H4527" s="37"/>
      <c r="I4527" s="37"/>
      <c r="J4527" s="37"/>
    </row>
    <row r="4528" spans="1:10" x14ac:dyDescent="0.3">
      <c r="A4528" s="130"/>
      <c r="B4528" s="37"/>
      <c r="C4528" s="37"/>
      <c r="D4528" s="37"/>
      <c r="E4528" s="37"/>
      <c r="F4528" s="37"/>
      <c r="G4528" s="37"/>
      <c r="H4528" s="37"/>
      <c r="I4528" s="37"/>
      <c r="J4528" s="37"/>
    </row>
    <row r="4529" spans="1:10" x14ac:dyDescent="0.3">
      <c r="A4529" s="130"/>
      <c r="B4529" s="37"/>
      <c r="C4529" s="37"/>
      <c r="D4529" s="37"/>
      <c r="E4529" s="37"/>
      <c r="F4529" s="37"/>
      <c r="G4529" s="37"/>
      <c r="H4529" s="37"/>
      <c r="I4529" s="37"/>
      <c r="J4529" s="37"/>
    </row>
    <row r="4530" spans="1:10" x14ac:dyDescent="0.3">
      <c r="A4530" s="130"/>
      <c r="B4530" s="37"/>
      <c r="C4530" s="37"/>
      <c r="D4530" s="37"/>
      <c r="E4530" s="37"/>
      <c r="F4530" s="37"/>
      <c r="G4530" s="37"/>
      <c r="H4530" s="37"/>
      <c r="I4530" s="37"/>
      <c r="J4530" s="37"/>
    </row>
    <row r="4531" spans="1:10" x14ac:dyDescent="0.3">
      <c r="A4531" s="130"/>
      <c r="B4531" s="37"/>
      <c r="C4531" s="37"/>
      <c r="D4531" s="37"/>
      <c r="E4531" s="37"/>
      <c r="F4531" s="37"/>
      <c r="G4531" s="37"/>
      <c r="H4531" s="37"/>
      <c r="I4531" s="37"/>
      <c r="J4531" s="37"/>
    </row>
    <row r="4532" spans="1:10" x14ac:dyDescent="0.3">
      <c r="A4532" s="130"/>
      <c r="B4532" s="37"/>
      <c r="C4532" s="37"/>
      <c r="D4532" s="37"/>
      <c r="E4532" s="37"/>
      <c r="F4532" s="37"/>
      <c r="G4532" s="37"/>
      <c r="H4532" s="37"/>
      <c r="I4532" s="37"/>
      <c r="J4532" s="37"/>
    </row>
    <row r="4533" spans="1:10" x14ac:dyDescent="0.3">
      <c r="A4533" s="130"/>
      <c r="B4533" s="37"/>
      <c r="C4533" s="37"/>
      <c r="D4533" s="37"/>
      <c r="E4533" s="37"/>
      <c r="F4533" s="37"/>
      <c r="G4533" s="37"/>
      <c r="H4533" s="37"/>
      <c r="I4533" s="37"/>
      <c r="J4533" s="37"/>
    </row>
    <row r="4534" spans="1:10" x14ac:dyDescent="0.3">
      <c r="A4534" s="130"/>
      <c r="B4534" s="37"/>
      <c r="C4534" s="37"/>
      <c r="D4534" s="37"/>
      <c r="E4534" s="37"/>
      <c r="F4534" s="37"/>
      <c r="G4534" s="37"/>
      <c r="H4534" s="37"/>
      <c r="I4534" s="37"/>
      <c r="J4534" s="37"/>
    </row>
    <row r="4535" spans="1:10" x14ac:dyDescent="0.3">
      <c r="A4535" s="130"/>
      <c r="B4535" s="37"/>
      <c r="C4535" s="37"/>
      <c r="D4535" s="37"/>
      <c r="E4535" s="37"/>
      <c r="F4535" s="37"/>
      <c r="G4535" s="37"/>
      <c r="H4535" s="37"/>
      <c r="I4535" s="37"/>
      <c r="J4535" s="37"/>
    </row>
    <row r="4536" spans="1:10" x14ac:dyDescent="0.3">
      <c r="A4536" s="130"/>
      <c r="B4536" s="37"/>
      <c r="C4536" s="37"/>
      <c r="D4536" s="37"/>
      <c r="E4536" s="37"/>
      <c r="F4536" s="37"/>
      <c r="G4536" s="37"/>
      <c r="H4536" s="37"/>
      <c r="I4536" s="37"/>
      <c r="J4536" s="37"/>
    </row>
    <row r="4537" spans="1:10" x14ac:dyDescent="0.3">
      <c r="A4537" s="130"/>
      <c r="B4537" s="37"/>
      <c r="C4537" s="37"/>
      <c r="D4537" s="37"/>
      <c r="E4537" s="37"/>
      <c r="F4537" s="37"/>
      <c r="G4537" s="37"/>
      <c r="H4537" s="37"/>
      <c r="I4537" s="37"/>
      <c r="J4537" s="37"/>
    </row>
    <row r="4538" spans="1:10" x14ac:dyDescent="0.3">
      <c r="A4538" s="130"/>
      <c r="B4538" s="37"/>
      <c r="C4538" s="37"/>
      <c r="D4538" s="37"/>
      <c r="E4538" s="37"/>
      <c r="F4538" s="37"/>
      <c r="G4538" s="37"/>
      <c r="H4538" s="37"/>
      <c r="I4538" s="37"/>
      <c r="J4538" s="37"/>
    </row>
    <row r="4539" spans="1:10" x14ac:dyDescent="0.3">
      <c r="A4539" s="130"/>
      <c r="B4539" s="37"/>
      <c r="C4539" s="37"/>
      <c r="D4539" s="37"/>
      <c r="E4539" s="37"/>
      <c r="F4539" s="37"/>
      <c r="G4539" s="37"/>
      <c r="H4539" s="37"/>
      <c r="I4539" s="37"/>
      <c r="J4539" s="37"/>
    </row>
    <row r="4540" spans="1:10" x14ac:dyDescent="0.3">
      <c r="A4540" s="130"/>
      <c r="B4540" s="37"/>
      <c r="C4540" s="37"/>
      <c r="D4540" s="37"/>
      <c r="E4540" s="37"/>
      <c r="F4540" s="37"/>
      <c r="G4540" s="37"/>
      <c r="H4540" s="37"/>
      <c r="I4540" s="37"/>
      <c r="J4540" s="37"/>
    </row>
    <row r="4541" spans="1:10" x14ac:dyDescent="0.3">
      <c r="A4541" s="130"/>
      <c r="B4541" s="37"/>
      <c r="C4541" s="37"/>
      <c r="D4541" s="37"/>
      <c r="E4541" s="37"/>
      <c r="F4541" s="37"/>
      <c r="G4541" s="37"/>
      <c r="H4541" s="37"/>
      <c r="I4541" s="37"/>
      <c r="J4541" s="37"/>
    </row>
    <row r="4542" spans="1:10" x14ac:dyDescent="0.3">
      <c r="A4542" s="130"/>
      <c r="B4542" s="37"/>
      <c r="C4542" s="37"/>
      <c r="D4542" s="37"/>
      <c r="E4542" s="37"/>
      <c r="F4542" s="37"/>
      <c r="G4542" s="37"/>
      <c r="H4542" s="37"/>
      <c r="I4542" s="37"/>
      <c r="J4542" s="37"/>
    </row>
    <row r="4543" spans="1:10" x14ac:dyDescent="0.3">
      <c r="A4543" s="130"/>
      <c r="B4543" s="37"/>
      <c r="C4543" s="37"/>
      <c r="D4543" s="37"/>
      <c r="E4543" s="37"/>
      <c r="F4543" s="37"/>
      <c r="G4543" s="37"/>
      <c r="H4543" s="37"/>
      <c r="I4543" s="37"/>
      <c r="J4543" s="37"/>
    </row>
    <row r="4544" spans="1:10" x14ac:dyDescent="0.3">
      <c r="A4544" s="130"/>
      <c r="B4544" s="37"/>
      <c r="C4544" s="37"/>
      <c r="D4544" s="37"/>
      <c r="E4544" s="37"/>
      <c r="F4544" s="37"/>
      <c r="G4544" s="37"/>
      <c r="H4544" s="37"/>
      <c r="I4544" s="37"/>
      <c r="J4544" s="37"/>
    </row>
    <row r="4545" spans="1:10" x14ac:dyDescent="0.3">
      <c r="A4545" s="130"/>
      <c r="B4545" s="37"/>
      <c r="C4545" s="37"/>
      <c r="D4545" s="37"/>
      <c r="E4545" s="37"/>
      <c r="F4545" s="37"/>
      <c r="G4545" s="37"/>
      <c r="H4545" s="37"/>
      <c r="I4545" s="37"/>
      <c r="J4545" s="37"/>
    </row>
    <row r="4546" spans="1:10" x14ac:dyDescent="0.3">
      <c r="A4546" s="130"/>
      <c r="B4546" s="37"/>
      <c r="C4546" s="37"/>
      <c r="D4546" s="37"/>
      <c r="E4546" s="37"/>
      <c r="F4546" s="37"/>
      <c r="G4546" s="37"/>
      <c r="H4546" s="37"/>
      <c r="I4546" s="37"/>
      <c r="J4546" s="37"/>
    </row>
    <row r="4547" spans="1:10" x14ac:dyDescent="0.3">
      <c r="A4547" s="130"/>
      <c r="B4547" s="37"/>
      <c r="C4547" s="37"/>
      <c r="D4547" s="37"/>
      <c r="E4547" s="37"/>
      <c r="F4547" s="37"/>
      <c r="G4547" s="37"/>
      <c r="H4547" s="37"/>
      <c r="I4547" s="37"/>
      <c r="J4547" s="37"/>
    </row>
    <row r="4548" spans="1:10" x14ac:dyDescent="0.3">
      <c r="A4548" s="130"/>
      <c r="B4548" s="37"/>
      <c r="C4548" s="37"/>
      <c r="D4548" s="37"/>
      <c r="E4548" s="37"/>
      <c r="F4548" s="37"/>
      <c r="G4548" s="37"/>
      <c r="H4548" s="37"/>
      <c r="I4548" s="37"/>
      <c r="J4548" s="37"/>
    </row>
    <row r="4549" spans="1:10" x14ac:dyDescent="0.3">
      <c r="A4549" s="130"/>
      <c r="B4549" s="37"/>
      <c r="C4549" s="37"/>
      <c r="D4549" s="37"/>
      <c r="E4549" s="37"/>
      <c r="F4549" s="37"/>
      <c r="G4549" s="37"/>
      <c r="H4549" s="37"/>
      <c r="I4549" s="37"/>
      <c r="J4549" s="37"/>
    </row>
    <row r="4550" spans="1:10" x14ac:dyDescent="0.3">
      <c r="A4550" s="130"/>
      <c r="B4550" s="37"/>
      <c r="C4550" s="37"/>
      <c r="D4550" s="37"/>
      <c r="E4550" s="37"/>
      <c r="F4550" s="37"/>
      <c r="G4550" s="37"/>
      <c r="H4550" s="37"/>
      <c r="I4550" s="37"/>
      <c r="J4550" s="37"/>
    </row>
    <row r="4551" spans="1:10" x14ac:dyDescent="0.3">
      <c r="A4551" s="130"/>
      <c r="B4551" s="37"/>
      <c r="C4551" s="37"/>
      <c r="D4551" s="37"/>
      <c r="E4551" s="37"/>
      <c r="F4551" s="37"/>
      <c r="G4551" s="37"/>
      <c r="H4551" s="37"/>
      <c r="I4551" s="37"/>
      <c r="J4551" s="37"/>
    </row>
    <row r="4552" spans="1:10" x14ac:dyDescent="0.3">
      <c r="A4552" s="130"/>
      <c r="B4552" s="37"/>
      <c r="C4552" s="37"/>
      <c r="D4552" s="37"/>
      <c r="E4552" s="37"/>
      <c r="F4552" s="37"/>
      <c r="G4552" s="37"/>
      <c r="H4552" s="37"/>
      <c r="I4552" s="37"/>
      <c r="J4552" s="37"/>
    </row>
    <row r="4553" spans="1:10" x14ac:dyDescent="0.3">
      <c r="A4553" s="130"/>
      <c r="B4553" s="37"/>
      <c r="C4553" s="37"/>
      <c r="D4553" s="37"/>
      <c r="E4553" s="37"/>
      <c r="F4553" s="37"/>
      <c r="G4553" s="37"/>
      <c r="H4553" s="37"/>
      <c r="I4553" s="37"/>
      <c r="J4553" s="37"/>
    </row>
    <row r="4554" spans="1:10" x14ac:dyDescent="0.3">
      <c r="A4554" s="130"/>
      <c r="B4554" s="37"/>
      <c r="C4554" s="37"/>
      <c r="D4554" s="37"/>
      <c r="E4554" s="37"/>
      <c r="F4554" s="37"/>
      <c r="G4554" s="37"/>
      <c r="H4554" s="37"/>
      <c r="I4554" s="37"/>
      <c r="J4554" s="37"/>
    </row>
    <row r="4555" spans="1:10" x14ac:dyDescent="0.3">
      <c r="A4555" s="130"/>
      <c r="B4555" s="37"/>
      <c r="C4555" s="37"/>
      <c r="D4555" s="37"/>
      <c r="E4555" s="37"/>
      <c r="F4555" s="37"/>
      <c r="G4555" s="37"/>
      <c r="H4555" s="37"/>
      <c r="I4555" s="37"/>
      <c r="J4555" s="37"/>
    </row>
    <row r="4556" spans="1:10" x14ac:dyDescent="0.3">
      <c r="A4556" s="130"/>
      <c r="B4556" s="37"/>
      <c r="C4556" s="37"/>
      <c r="D4556" s="37"/>
      <c r="E4556" s="37"/>
      <c r="F4556" s="37"/>
      <c r="G4556" s="37"/>
      <c r="H4556" s="37"/>
      <c r="I4556" s="37"/>
      <c r="J4556" s="37"/>
    </row>
    <row r="4557" spans="1:10" x14ac:dyDescent="0.3">
      <c r="A4557" s="130"/>
      <c r="B4557" s="37"/>
      <c r="C4557" s="37"/>
      <c r="D4557" s="37"/>
      <c r="E4557" s="37"/>
      <c r="F4557" s="37"/>
      <c r="G4557" s="37"/>
      <c r="H4557" s="37"/>
      <c r="I4557" s="37"/>
      <c r="J4557" s="37"/>
    </row>
    <row r="4558" spans="1:10" x14ac:dyDescent="0.3">
      <c r="A4558" s="130"/>
      <c r="B4558" s="37"/>
      <c r="C4558" s="37"/>
      <c r="D4558" s="37"/>
      <c r="E4558" s="37"/>
      <c r="F4558" s="37"/>
      <c r="G4558" s="37"/>
      <c r="H4558" s="37"/>
      <c r="I4558" s="37"/>
      <c r="J4558" s="37"/>
    </row>
    <row r="4559" spans="1:10" x14ac:dyDescent="0.3">
      <c r="A4559" s="130"/>
      <c r="B4559" s="37"/>
      <c r="C4559" s="37"/>
      <c r="D4559" s="37"/>
      <c r="E4559" s="37"/>
      <c r="F4559" s="37"/>
      <c r="G4559" s="37"/>
      <c r="H4559" s="37"/>
      <c r="I4559" s="37"/>
      <c r="J4559" s="37"/>
    </row>
    <row r="4560" spans="1:10" x14ac:dyDescent="0.3">
      <c r="A4560" s="130"/>
      <c r="B4560" s="37"/>
      <c r="C4560" s="37"/>
      <c r="D4560" s="37"/>
      <c r="E4560" s="37"/>
      <c r="F4560" s="37"/>
      <c r="G4560" s="37"/>
      <c r="H4560" s="37"/>
      <c r="I4560" s="37"/>
      <c r="J4560" s="37"/>
    </row>
    <row r="4561" spans="1:10" x14ac:dyDescent="0.3">
      <c r="A4561" s="130"/>
      <c r="B4561" s="37"/>
      <c r="C4561" s="37"/>
      <c r="D4561" s="37"/>
      <c r="E4561" s="37"/>
      <c r="F4561" s="37"/>
      <c r="G4561" s="37"/>
      <c r="H4561" s="37"/>
      <c r="I4561" s="37"/>
      <c r="J4561" s="37"/>
    </row>
    <row r="4562" spans="1:10" x14ac:dyDescent="0.3">
      <c r="A4562" s="130"/>
      <c r="B4562" s="37"/>
      <c r="C4562" s="37"/>
      <c r="D4562" s="37"/>
      <c r="E4562" s="37"/>
      <c r="F4562" s="37"/>
      <c r="G4562" s="37"/>
      <c r="H4562" s="37"/>
      <c r="I4562" s="37"/>
      <c r="J4562" s="37"/>
    </row>
    <row r="4563" spans="1:10" x14ac:dyDescent="0.3">
      <c r="A4563" s="130"/>
      <c r="B4563" s="37"/>
      <c r="C4563" s="37"/>
      <c r="D4563" s="37"/>
      <c r="E4563" s="37"/>
      <c r="F4563" s="37"/>
      <c r="G4563" s="37"/>
      <c r="H4563" s="37"/>
      <c r="I4563" s="37"/>
      <c r="J4563" s="37"/>
    </row>
    <row r="4564" spans="1:10" x14ac:dyDescent="0.3">
      <c r="A4564" s="130"/>
      <c r="B4564" s="37"/>
      <c r="C4564" s="37"/>
      <c r="D4564" s="37"/>
      <c r="E4564" s="37"/>
      <c r="F4564" s="37"/>
      <c r="G4564" s="37"/>
      <c r="H4564" s="37"/>
      <c r="I4564" s="37"/>
      <c r="J4564" s="37"/>
    </row>
    <row r="4565" spans="1:10" x14ac:dyDescent="0.3">
      <c r="A4565" s="130"/>
      <c r="B4565" s="37"/>
      <c r="C4565" s="37"/>
      <c r="D4565" s="37"/>
      <c r="E4565" s="37"/>
      <c r="F4565" s="37"/>
      <c r="G4565" s="37"/>
      <c r="H4565" s="37"/>
      <c r="I4565" s="37"/>
      <c r="J4565" s="37"/>
    </row>
    <row r="4566" spans="1:10" x14ac:dyDescent="0.3">
      <c r="A4566" s="130"/>
      <c r="B4566" s="37"/>
      <c r="C4566" s="37"/>
      <c r="D4566" s="37"/>
      <c r="E4566" s="37"/>
      <c r="F4566" s="37"/>
      <c r="G4566" s="37"/>
      <c r="H4566" s="37"/>
      <c r="I4566" s="37"/>
      <c r="J4566" s="37"/>
    </row>
    <row r="4567" spans="1:10" x14ac:dyDescent="0.3">
      <c r="A4567" s="130"/>
      <c r="B4567" s="37"/>
      <c r="C4567" s="37"/>
      <c r="D4567" s="37"/>
      <c r="E4567" s="37"/>
      <c r="F4567" s="37"/>
      <c r="G4567" s="37"/>
      <c r="H4567" s="37"/>
      <c r="I4567" s="37"/>
      <c r="J4567" s="37"/>
    </row>
    <row r="4568" spans="1:10" x14ac:dyDescent="0.3">
      <c r="A4568" s="130"/>
      <c r="B4568" s="37"/>
      <c r="C4568" s="37"/>
      <c r="D4568" s="37"/>
      <c r="E4568" s="37"/>
      <c r="F4568" s="37"/>
      <c r="G4568" s="37"/>
      <c r="H4568" s="37"/>
      <c r="I4568" s="37"/>
      <c r="J4568" s="37"/>
    </row>
    <row r="4569" spans="1:10" x14ac:dyDescent="0.3">
      <c r="A4569" s="130"/>
      <c r="B4569" s="37"/>
      <c r="C4569" s="37"/>
      <c r="D4569" s="37"/>
      <c r="E4569" s="37"/>
      <c r="F4569" s="37"/>
      <c r="G4569" s="37"/>
      <c r="H4569" s="37"/>
      <c r="I4569" s="37"/>
      <c r="J4569" s="37"/>
    </row>
    <row r="4570" spans="1:10" x14ac:dyDescent="0.3">
      <c r="A4570" s="130"/>
      <c r="B4570" s="37"/>
      <c r="C4570" s="37"/>
      <c r="D4570" s="37"/>
      <c r="E4570" s="37"/>
      <c r="F4570" s="37"/>
      <c r="G4570" s="37"/>
      <c r="H4570" s="37"/>
      <c r="I4570" s="37"/>
      <c r="J4570" s="37"/>
    </row>
    <row r="4571" spans="1:10" x14ac:dyDescent="0.3">
      <c r="A4571" s="130"/>
      <c r="B4571" s="37"/>
      <c r="C4571" s="37"/>
      <c r="D4571" s="37"/>
      <c r="E4571" s="37"/>
      <c r="F4571" s="37"/>
      <c r="G4571" s="37"/>
      <c r="H4571" s="37"/>
      <c r="I4571" s="37"/>
      <c r="J4571" s="37"/>
    </row>
    <row r="4572" spans="1:10" x14ac:dyDescent="0.3">
      <c r="A4572" s="130"/>
      <c r="B4572" s="37"/>
      <c r="C4572" s="37"/>
      <c r="D4572" s="37"/>
      <c r="E4572" s="37"/>
      <c r="F4572" s="37"/>
      <c r="G4572" s="37"/>
      <c r="H4572" s="37"/>
      <c r="I4572" s="37"/>
      <c r="J4572" s="37"/>
    </row>
    <row r="4573" spans="1:10" x14ac:dyDescent="0.3">
      <c r="A4573" s="130"/>
      <c r="B4573" s="37"/>
      <c r="C4573" s="37"/>
      <c r="D4573" s="37"/>
      <c r="E4573" s="37"/>
      <c r="F4573" s="37"/>
      <c r="G4573" s="37"/>
      <c r="H4573" s="37"/>
      <c r="I4573" s="37"/>
      <c r="J4573" s="37"/>
    </row>
    <row r="4574" spans="1:10" x14ac:dyDescent="0.3">
      <c r="A4574" s="130"/>
      <c r="B4574" s="37"/>
      <c r="C4574" s="37"/>
      <c r="D4574" s="37"/>
      <c r="E4574" s="37"/>
      <c r="F4574" s="37"/>
      <c r="G4574" s="37"/>
      <c r="H4574" s="37"/>
      <c r="I4574" s="37"/>
      <c r="J4574" s="37"/>
    </row>
    <row r="4575" spans="1:10" x14ac:dyDescent="0.3">
      <c r="A4575" s="130"/>
      <c r="B4575" s="37"/>
      <c r="C4575" s="37"/>
      <c r="D4575" s="37"/>
      <c r="E4575" s="37"/>
      <c r="F4575" s="37"/>
      <c r="G4575" s="37"/>
      <c r="H4575" s="37"/>
      <c r="I4575" s="37"/>
      <c r="J4575" s="37"/>
    </row>
    <row r="4576" spans="1:10" x14ac:dyDescent="0.3">
      <c r="A4576" s="130"/>
      <c r="B4576" s="37"/>
      <c r="C4576" s="37"/>
      <c r="D4576" s="37"/>
      <c r="E4576" s="37"/>
      <c r="F4576" s="37"/>
      <c r="G4576" s="37"/>
      <c r="H4576" s="37"/>
      <c r="I4576" s="37"/>
      <c r="J4576" s="37"/>
    </row>
    <row r="4577" spans="1:10" x14ac:dyDescent="0.3">
      <c r="A4577" s="130"/>
      <c r="B4577" s="37"/>
      <c r="C4577" s="37"/>
      <c r="D4577" s="37"/>
      <c r="E4577" s="37"/>
      <c r="F4577" s="37"/>
      <c r="G4577" s="37"/>
      <c r="H4577" s="37"/>
      <c r="I4577" s="37"/>
      <c r="J4577" s="37"/>
    </row>
    <row r="4578" spans="1:10" x14ac:dyDescent="0.3">
      <c r="A4578" s="130"/>
      <c r="B4578" s="37"/>
      <c r="C4578" s="37"/>
      <c r="D4578" s="37"/>
      <c r="E4578" s="37"/>
      <c r="F4578" s="37"/>
      <c r="G4578" s="37"/>
      <c r="H4578" s="37"/>
      <c r="I4578" s="37"/>
      <c r="J4578" s="37"/>
    </row>
    <row r="4579" spans="1:10" x14ac:dyDescent="0.3">
      <c r="A4579" s="130"/>
      <c r="B4579" s="37"/>
      <c r="C4579" s="37"/>
      <c r="D4579" s="37"/>
      <c r="E4579" s="37"/>
      <c r="F4579" s="37"/>
      <c r="G4579" s="37"/>
      <c r="H4579" s="37"/>
      <c r="I4579" s="37"/>
      <c r="J4579" s="37"/>
    </row>
    <row r="4580" spans="1:10" x14ac:dyDescent="0.3">
      <c r="A4580" s="130"/>
      <c r="B4580" s="37"/>
      <c r="C4580" s="37"/>
      <c r="D4580" s="37"/>
      <c r="E4580" s="37"/>
      <c r="F4580" s="37"/>
      <c r="G4580" s="37"/>
      <c r="H4580" s="37"/>
      <c r="I4580" s="37"/>
      <c r="J4580" s="37"/>
    </row>
    <row r="4581" spans="1:10" x14ac:dyDescent="0.3">
      <c r="A4581" s="130"/>
      <c r="B4581" s="37"/>
      <c r="C4581" s="37"/>
      <c r="D4581" s="37"/>
      <c r="E4581" s="37"/>
      <c r="F4581" s="37"/>
      <c r="G4581" s="37"/>
      <c r="H4581" s="37"/>
      <c r="I4581" s="37"/>
      <c r="J4581" s="37"/>
    </row>
    <row r="4582" spans="1:10" x14ac:dyDescent="0.3">
      <c r="A4582" s="130"/>
      <c r="B4582" s="37"/>
      <c r="C4582" s="37"/>
      <c r="D4582" s="37"/>
      <c r="E4582" s="37"/>
      <c r="F4582" s="37"/>
      <c r="G4582" s="37"/>
      <c r="H4582" s="37"/>
      <c r="I4582" s="37"/>
      <c r="J4582" s="37"/>
    </row>
    <row r="4583" spans="1:10" x14ac:dyDescent="0.3">
      <c r="A4583" s="130"/>
      <c r="B4583" s="37"/>
      <c r="C4583" s="37"/>
      <c r="D4583" s="37"/>
      <c r="E4583" s="37"/>
      <c r="F4583" s="37"/>
      <c r="G4583" s="37"/>
      <c r="H4583" s="37"/>
      <c r="I4583" s="37"/>
      <c r="J4583" s="37"/>
    </row>
    <row r="4584" spans="1:10" x14ac:dyDescent="0.3">
      <c r="A4584" s="130"/>
      <c r="B4584" s="37"/>
      <c r="C4584" s="37"/>
      <c r="D4584" s="37"/>
      <c r="E4584" s="37"/>
      <c r="F4584" s="37"/>
      <c r="G4584" s="37"/>
      <c r="H4584" s="37"/>
      <c r="I4584" s="37"/>
      <c r="J4584" s="37"/>
    </row>
    <row r="4585" spans="1:10" x14ac:dyDescent="0.3">
      <c r="A4585" s="130"/>
      <c r="B4585" s="37"/>
      <c r="C4585" s="37"/>
      <c r="D4585" s="37"/>
      <c r="E4585" s="37"/>
      <c r="F4585" s="37"/>
      <c r="G4585" s="37"/>
      <c r="H4585" s="37"/>
      <c r="I4585" s="37"/>
      <c r="J4585" s="37"/>
    </row>
    <row r="4586" spans="1:10" x14ac:dyDescent="0.3">
      <c r="A4586" s="130"/>
      <c r="B4586" s="37"/>
      <c r="C4586" s="37"/>
      <c r="D4586" s="37"/>
      <c r="E4586" s="37"/>
      <c r="F4586" s="37"/>
      <c r="G4586" s="37"/>
      <c r="H4586" s="37"/>
      <c r="I4586" s="37"/>
      <c r="J4586" s="37"/>
    </row>
    <row r="4587" spans="1:10" x14ac:dyDescent="0.3">
      <c r="A4587" s="130"/>
      <c r="B4587" s="37"/>
      <c r="C4587" s="37"/>
      <c r="D4587" s="37"/>
      <c r="E4587" s="37"/>
      <c r="F4587" s="37"/>
      <c r="G4587" s="37"/>
      <c r="H4587" s="37"/>
      <c r="I4587" s="37"/>
      <c r="J4587" s="37"/>
    </row>
    <row r="4588" spans="1:10" x14ac:dyDescent="0.3">
      <c r="A4588" s="130"/>
      <c r="B4588" s="37"/>
      <c r="C4588" s="37"/>
      <c r="D4588" s="37"/>
      <c r="E4588" s="37"/>
      <c r="F4588" s="37"/>
      <c r="G4588" s="37"/>
      <c r="H4588" s="37"/>
      <c r="I4588" s="37"/>
      <c r="J4588" s="37"/>
    </row>
    <row r="4589" spans="1:10" x14ac:dyDescent="0.3">
      <c r="A4589" s="130"/>
      <c r="B4589" s="37"/>
      <c r="C4589" s="37"/>
      <c r="D4589" s="37"/>
      <c r="E4589" s="37"/>
      <c r="F4589" s="37"/>
      <c r="G4589" s="37"/>
      <c r="H4589" s="37"/>
      <c r="I4589" s="37"/>
      <c r="J4589" s="37"/>
    </row>
    <row r="4590" spans="1:10" x14ac:dyDescent="0.3">
      <c r="A4590" s="130"/>
      <c r="B4590" s="37"/>
      <c r="C4590" s="37"/>
      <c r="D4590" s="37"/>
      <c r="E4590" s="37"/>
      <c r="F4590" s="37"/>
      <c r="G4590" s="37"/>
      <c r="H4590" s="37"/>
      <c r="I4590" s="37"/>
      <c r="J4590" s="37"/>
    </row>
    <row r="4591" spans="1:10" x14ac:dyDescent="0.3">
      <c r="A4591" s="130"/>
      <c r="B4591" s="37"/>
      <c r="C4591" s="37"/>
      <c r="D4591" s="37"/>
      <c r="E4591" s="37"/>
      <c r="F4591" s="37"/>
      <c r="G4591" s="37"/>
      <c r="H4591" s="37"/>
      <c r="I4591" s="37"/>
      <c r="J4591" s="37"/>
    </row>
    <row r="4592" spans="1:10" x14ac:dyDescent="0.3">
      <c r="A4592" s="130"/>
      <c r="B4592" s="37"/>
      <c r="C4592" s="37"/>
      <c r="D4592" s="37"/>
      <c r="E4592" s="37"/>
      <c r="F4592" s="37"/>
      <c r="G4592" s="37"/>
      <c r="H4592" s="37"/>
      <c r="I4592" s="37"/>
      <c r="J4592" s="37"/>
    </row>
    <row r="4593" spans="1:10" x14ac:dyDescent="0.3">
      <c r="A4593" s="130"/>
      <c r="B4593" s="37"/>
      <c r="C4593" s="37"/>
      <c r="D4593" s="37"/>
      <c r="E4593" s="37"/>
      <c r="F4593" s="37"/>
      <c r="G4593" s="37"/>
      <c r="H4593" s="37"/>
      <c r="I4593" s="37"/>
      <c r="J4593" s="37"/>
    </row>
    <row r="4594" spans="1:10" x14ac:dyDescent="0.3">
      <c r="A4594" s="130"/>
      <c r="B4594" s="37"/>
      <c r="C4594" s="37"/>
      <c r="D4594" s="37"/>
      <c r="E4594" s="37"/>
      <c r="F4594" s="37"/>
      <c r="G4594" s="37"/>
      <c r="H4594" s="37"/>
      <c r="I4594" s="37"/>
      <c r="J4594" s="37"/>
    </row>
    <row r="4595" spans="1:10" x14ac:dyDescent="0.3">
      <c r="A4595" s="130"/>
      <c r="B4595" s="37"/>
      <c r="C4595" s="37"/>
      <c r="D4595" s="37"/>
      <c r="E4595" s="37"/>
      <c r="F4595" s="37"/>
      <c r="G4595" s="37"/>
      <c r="H4595" s="37"/>
      <c r="I4595" s="37"/>
      <c r="J4595" s="37"/>
    </row>
    <row r="4596" spans="1:10" x14ac:dyDescent="0.3">
      <c r="A4596" s="130"/>
      <c r="B4596" s="37"/>
      <c r="C4596" s="37"/>
      <c r="D4596" s="37"/>
      <c r="E4596" s="37"/>
      <c r="F4596" s="37"/>
      <c r="G4596" s="37"/>
      <c r="H4596" s="37"/>
      <c r="I4596" s="37"/>
      <c r="J4596" s="37"/>
    </row>
    <row r="4597" spans="1:10" x14ac:dyDescent="0.3">
      <c r="A4597" s="130"/>
      <c r="B4597" s="37"/>
      <c r="C4597" s="37"/>
      <c r="D4597" s="37"/>
      <c r="E4597" s="37"/>
      <c r="F4597" s="37"/>
      <c r="G4597" s="37"/>
      <c r="H4597" s="37"/>
      <c r="I4597" s="37"/>
      <c r="J4597" s="37"/>
    </row>
    <row r="4598" spans="1:10" x14ac:dyDescent="0.3">
      <c r="A4598" s="130"/>
      <c r="B4598" s="37"/>
      <c r="C4598" s="37"/>
      <c r="D4598" s="37"/>
      <c r="E4598" s="37"/>
      <c r="F4598" s="37"/>
      <c r="G4598" s="37"/>
      <c r="H4598" s="37"/>
      <c r="I4598" s="37"/>
      <c r="J4598" s="37"/>
    </row>
    <row r="4599" spans="1:10" x14ac:dyDescent="0.3">
      <c r="A4599" s="130"/>
      <c r="B4599" s="37"/>
      <c r="C4599" s="37"/>
      <c r="D4599" s="37"/>
      <c r="E4599" s="37"/>
      <c r="F4599" s="37"/>
      <c r="G4599" s="37"/>
      <c r="H4599" s="37"/>
      <c r="I4599" s="37"/>
      <c r="J4599" s="37"/>
    </row>
    <row r="4600" spans="1:10" x14ac:dyDescent="0.3">
      <c r="A4600" s="130"/>
      <c r="B4600" s="37"/>
      <c r="C4600" s="37"/>
      <c r="D4600" s="37"/>
      <c r="E4600" s="37"/>
      <c r="F4600" s="37"/>
      <c r="G4600" s="37"/>
      <c r="H4600" s="37"/>
      <c r="I4600" s="37"/>
      <c r="J4600" s="37"/>
    </row>
    <row r="4601" spans="1:10" x14ac:dyDescent="0.3">
      <c r="A4601" s="130"/>
      <c r="B4601" s="37"/>
      <c r="C4601" s="37"/>
      <c r="D4601" s="37"/>
      <c r="E4601" s="37"/>
      <c r="F4601" s="37"/>
      <c r="G4601" s="37"/>
      <c r="H4601" s="37"/>
      <c r="I4601" s="37"/>
      <c r="J4601" s="37"/>
    </row>
    <row r="4602" spans="1:10" x14ac:dyDescent="0.3">
      <c r="A4602" s="130"/>
      <c r="B4602" s="37"/>
      <c r="C4602" s="37"/>
      <c r="D4602" s="37"/>
      <c r="E4602" s="37"/>
      <c r="F4602" s="37"/>
      <c r="G4602" s="37"/>
      <c r="H4602" s="37"/>
      <c r="I4602" s="37"/>
      <c r="J4602" s="37"/>
    </row>
    <row r="4603" spans="1:10" x14ac:dyDescent="0.3">
      <c r="A4603" s="130"/>
      <c r="B4603" s="37"/>
      <c r="C4603" s="37"/>
      <c r="D4603" s="37"/>
      <c r="E4603" s="37"/>
      <c r="F4603" s="37"/>
      <c r="G4603" s="37"/>
      <c r="H4603" s="37"/>
      <c r="I4603" s="37"/>
      <c r="J4603" s="37"/>
    </row>
    <row r="4604" spans="1:10" x14ac:dyDescent="0.3">
      <c r="A4604" s="130"/>
      <c r="B4604" s="37"/>
      <c r="C4604" s="37"/>
      <c r="D4604" s="37"/>
      <c r="E4604" s="37"/>
      <c r="F4604" s="37"/>
      <c r="G4604" s="37"/>
      <c r="H4604" s="37"/>
      <c r="I4604" s="37"/>
      <c r="J4604" s="37"/>
    </row>
    <row r="4605" spans="1:10" x14ac:dyDescent="0.3">
      <c r="A4605" s="130"/>
      <c r="B4605" s="37"/>
      <c r="C4605" s="37"/>
      <c r="D4605" s="37"/>
      <c r="E4605" s="37"/>
      <c r="F4605" s="37"/>
      <c r="G4605" s="37"/>
      <c r="H4605" s="37"/>
      <c r="I4605" s="37"/>
      <c r="J4605" s="37"/>
    </row>
    <row r="4606" spans="1:10" x14ac:dyDescent="0.3">
      <c r="A4606" s="130"/>
      <c r="B4606" s="37"/>
      <c r="C4606" s="37"/>
      <c r="D4606" s="37"/>
      <c r="E4606" s="37"/>
      <c r="F4606" s="37"/>
      <c r="G4606" s="37"/>
      <c r="H4606" s="37"/>
      <c r="I4606" s="37"/>
      <c r="J4606" s="37"/>
    </row>
    <row r="4607" spans="1:10" x14ac:dyDescent="0.3">
      <c r="A4607" s="130"/>
      <c r="B4607" s="37"/>
      <c r="C4607" s="37"/>
      <c r="D4607" s="37"/>
      <c r="E4607" s="37"/>
      <c r="F4607" s="37"/>
      <c r="G4607" s="37"/>
      <c r="H4607" s="37"/>
      <c r="I4607" s="37"/>
      <c r="J4607" s="37"/>
    </row>
    <row r="4608" spans="1:10" x14ac:dyDescent="0.3">
      <c r="A4608" s="130"/>
      <c r="B4608" s="37"/>
      <c r="C4608" s="37"/>
      <c r="D4608" s="37"/>
      <c r="E4608" s="37"/>
      <c r="F4608" s="37"/>
      <c r="G4608" s="37"/>
      <c r="H4608" s="37"/>
      <c r="I4608" s="37"/>
      <c r="J4608" s="37"/>
    </row>
    <row r="4609" spans="1:10" x14ac:dyDescent="0.3">
      <c r="A4609" s="130"/>
      <c r="B4609" s="37"/>
      <c r="C4609" s="37"/>
      <c r="D4609" s="37"/>
      <c r="E4609" s="37"/>
      <c r="F4609" s="37"/>
      <c r="G4609" s="37"/>
      <c r="H4609" s="37"/>
      <c r="I4609" s="37"/>
      <c r="J4609" s="37"/>
    </row>
    <row r="4610" spans="1:10" x14ac:dyDescent="0.3">
      <c r="A4610" s="130"/>
      <c r="B4610" s="37"/>
      <c r="C4610" s="37"/>
      <c r="D4610" s="37"/>
      <c r="E4610" s="37"/>
      <c r="F4610" s="37"/>
      <c r="G4610" s="37"/>
      <c r="H4610" s="37"/>
      <c r="I4610" s="37"/>
      <c r="J4610" s="37"/>
    </row>
    <row r="4611" spans="1:10" x14ac:dyDescent="0.3">
      <c r="A4611" s="130"/>
      <c r="B4611" s="37"/>
      <c r="C4611" s="37"/>
      <c r="D4611" s="37"/>
      <c r="E4611" s="37"/>
      <c r="F4611" s="37"/>
      <c r="G4611" s="37"/>
      <c r="H4611" s="37"/>
      <c r="I4611" s="37"/>
      <c r="J4611" s="37"/>
    </row>
    <row r="4612" spans="1:10" x14ac:dyDescent="0.3">
      <c r="A4612" s="130"/>
      <c r="B4612" s="37"/>
      <c r="C4612" s="37"/>
      <c r="D4612" s="37"/>
      <c r="E4612" s="37"/>
      <c r="F4612" s="37"/>
      <c r="G4612" s="37"/>
      <c r="H4612" s="37"/>
      <c r="I4612" s="37"/>
      <c r="J4612" s="37"/>
    </row>
    <row r="4613" spans="1:10" x14ac:dyDescent="0.3">
      <c r="A4613" s="130"/>
      <c r="B4613" s="37"/>
      <c r="C4613" s="37"/>
      <c r="D4613" s="37"/>
      <c r="E4613" s="37"/>
      <c r="F4613" s="37"/>
      <c r="G4613" s="37"/>
      <c r="H4613" s="37"/>
      <c r="I4613" s="37"/>
      <c r="J4613" s="37"/>
    </row>
    <row r="4614" spans="1:10" x14ac:dyDescent="0.3">
      <c r="A4614" s="130"/>
      <c r="B4614" s="37"/>
      <c r="C4614" s="37"/>
      <c r="D4614" s="37"/>
      <c r="E4614" s="37"/>
      <c r="F4614" s="37"/>
      <c r="G4614" s="37"/>
      <c r="H4614" s="37"/>
      <c r="I4614" s="37"/>
      <c r="J4614" s="37"/>
    </row>
    <row r="4615" spans="1:10" x14ac:dyDescent="0.3">
      <c r="A4615" s="130"/>
      <c r="B4615" s="37"/>
      <c r="C4615" s="37"/>
      <c r="D4615" s="37"/>
      <c r="E4615" s="37"/>
      <c r="F4615" s="37"/>
      <c r="G4615" s="37"/>
      <c r="H4615" s="37"/>
      <c r="I4615" s="37"/>
      <c r="J4615" s="37"/>
    </row>
    <row r="4616" spans="1:10" x14ac:dyDescent="0.3">
      <c r="A4616" s="130"/>
      <c r="B4616" s="37"/>
      <c r="C4616" s="37"/>
      <c r="D4616" s="37"/>
      <c r="E4616" s="37"/>
      <c r="F4616" s="37"/>
      <c r="G4616" s="37"/>
      <c r="H4616" s="37"/>
      <c r="I4616" s="37"/>
      <c r="J4616" s="37"/>
    </row>
    <row r="4617" spans="1:10" x14ac:dyDescent="0.3">
      <c r="A4617" s="130"/>
      <c r="B4617" s="37"/>
      <c r="C4617" s="37"/>
      <c r="D4617" s="37"/>
      <c r="E4617" s="37"/>
      <c r="F4617" s="37"/>
      <c r="G4617" s="37"/>
      <c r="H4617" s="37"/>
      <c r="I4617" s="37"/>
      <c r="J4617" s="37"/>
    </row>
    <row r="4618" spans="1:10" x14ac:dyDescent="0.3">
      <c r="A4618" s="130"/>
      <c r="B4618" s="37"/>
      <c r="C4618" s="37"/>
      <c r="D4618" s="37"/>
      <c r="E4618" s="37"/>
      <c r="F4618" s="37"/>
      <c r="G4618" s="37"/>
      <c r="H4618" s="37"/>
      <c r="I4618" s="37"/>
      <c r="J4618" s="37"/>
    </row>
    <row r="4619" spans="1:10" x14ac:dyDescent="0.3">
      <c r="A4619" s="130"/>
      <c r="B4619" s="37"/>
      <c r="C4619" s="37"/>
      <c r="D4619" s="37"/>
      <c r="E4619" s="37"/>
      <c r="F4619" s="37"/>
      <c r="G4619" s="37"/>
      <c r="H4619" s="37"/>
      <c r="I4619" s="37"/>
      <c r="J4619" s="37"/>
    </row>
    <row r="4620" spans="1:10" x14ac:dyDescent="0.3">
      <c r="A4620" s="130"/>
      <c r="B4620" s="37"/>
      <c r="C4620" s="37"/>
      <c r="D4620" s="37"/>
      <c r="E4620" s="37"/>
      <c r="F4620" s="37"/>
      <c r="G4620" s="37"/>
      <c r="H4620" s="37"/>
      <c r="I4620" s="37"/>
      <c r="J4620" s="37"/>
    </row>
    <row r="4621" spans="1:10" x14ac:dyDescent="0.3">
      <c r="A4621" s="130"/>
      <c r="B4621" s="37"/>
      <c r="C4621" s="37"/>
      <c r="D4621" s="37"/>
      <c r="E4621" s="37"/>
      <c r="F4621" s="37"/>
      <c r="G4621" s="37"/>
      <c r="H4621" s="37"/>
      <c r="I4621" s="37"/>
      <c r="J4621" s="37"/>
    </row>
    <row r="4622" spans="1:10" x14ac:dyDescent="0.3">
      <c r="A4622" s="130"/>
      <c r="B4622" s="37"/>
      <c r="C4622" s="37"/>
      <c r="D4622" s="37"/>
      <c r="E4622" s="37"/>
      <c r="F4622" s="37"/>
      <c r="G4622" s="37"/>
      <c r="H4622" s="37"/>
      <c r="I4622" s="37"/>
      <c r="J4622" s="37"/>
    </row>
    <row r="4623" spans="1:10" x14ac:dyDescent="0.3">
      <c r="A4623" s="130"/>
      <c r="B4623" s="37"/>
      <c r="C4623" s="37"/>
      <c r="D4623" s="37"/>
      <c r="E4623" s="37"/>
      <c r="F4623" s="37"/>
      <c r="G4623" s="37"/>
      <c r="H4623" s="37"/>
      <c r="I4623" s="37"/>
      <c r="J4623" s="37"/>
    </row>
    <row r="4624" spans="1:10" x14ac:dyDescent="0.3">
      <c r="A4624" s="130"/>
      <c r="B4624" s="37"/>
      <c r="C4624" s="37"/>
      <c r="D4624" s="37"/>
      <c r="E4624" s="37"/>
      <c r="F4624" s="37"/>
      <c r="G4624" s="37"/>
      <c r="H4624" s="37"/>
      <c r="I4624" s="37"/>
      <c r="J4624" s="37"/>
    </row>
    <row r="4625" spans="1:10" x14ac:dyDescent="0.3">
      <c r="A4625" s="130"/>
      <c r="B4625" s="37"/>
      <c r="C4625" s="37"/>
      <c r="D4625" s="37"/>
      <c r="E4625" s="37"/>
      <c r="F4625" s="37"/>
      <c r="G4625" s="37"/>
      <c r="H4625" s="37"/>
      <c r="I4625" s="37"/>
      <c r="J4625" s="37"/>
    </row>
    <row r="4626" spans="1:10" x14ac:dyDescent="0.3">
      <c r="A4626" s="130"/>
      <c r="B4626" s="37"/>
      <c r="C4626" s="37"/>
      <c r="D4626" s="37"/>
      <c r="E4626" s="37"/>
      <c r="F4626" s="37"/>
      <c r="G4626" s="37"/>
      <c r="H4626" s="37"/>
      <c r="I4626" s="37"/>
      <c r="J4626" s="37"/>
    </row>
    <row r="4627" spans="1:10" x14ac:dyDescent="0.3">
      <c r="A4627" s="130"/>
      <c r="B4627" s="37"/>
      <c r="C4627" s="37"/>
      <c r="D4627" s="37"/>
      <c r="E4627" s="37"/>
      <c r="F4627" s="37"/>
      <c r="G4627" s="37"/>
      <c r="H4627" s="37"/>
      <c r="I4627" s="37"/>
      <c r="J4627" s="37"/>
    </row>
    <row r="4628" spans="1:10" x14ac:dyDescent="0.3">
      <c r="A4628" s="130"/>
      <c r="B4628" s="37"/>
      <c r="C4628" s="37"/>
      <c r="D4628" s="37"/>
      <c r="E4628" s="37"/>
      <c r="F4628" s="37"/>
      <c r="G4628" s="37"/>
      <c r="H4628" s="37"/>
      <c r="I4628" s="37"/>
      <c r="J4628" s="37"/>
    </row>
    <row r="4629" spans="1:10" x14ac:dyDescent="0.3">
      <c r="A4629" s="130"/>
      <c r="B4629" s="37"/>
      <c r="C4629" s="37"/>
      <c r="D4629" s="37"/>
      <c r="E4629" s="37"/>
      <c r="F4629" s="37"/>
      <c r="G4629" s="37"/>
      <c r="H4629" s="37"/>
      <c r="I4629" s="37"/>
      <c r="J4629" s="37"/>
    </row>
    <row r="4630" spans="1:10" x14ac:dyDescent="0.3">
      <c r="A4630" s="130"/>
      <c r="B4630" s="37"/>
      <c r="C4630" s="37"/>
      <c r="D4630" s="37"/>
      <c r="E4630" s="37"/>
      <c r="F4630" s="37"/>
      <c r="G4630" s="37"/>
      <c r="H4630" s="37"/>
      <c r="I4630" s="37"/>
      <c r="J4630" s="37"/>
    </row>
    <row r="4631" spans="1:10" x14ac:dyDescent="0.3">
      <c r="A4631" s="130"/>
      <c r="B4631" s="37"/>
      <c r="C4631" s="37"/>
      <c r="D4631" s="37"/>
      <c r="E4631" s="37"/>
      <c r="F4631" s="37"/>
      <c r="G4631" s="37"/>
      <c r="H4631" s="37"/>
      <c r="I4631" s="37"/>
      <c r="J4631" s="37"/>
    </row>
    <row r="4632" spans="1:10" x14ac:dyDescent="0.3">
      <c r="A4632" s="130"/>
      <c r="B4632" s="37"/>
      <c r="C4632" s="37"/>
      <c r="D4632" s="37"/>
      <c r="E4632" s="37"/>
      <c r="F4632" s="37"/>
      <c r="G4632" s="37"/>
      <c r="H4632" s="37"/>
      <c r="I4632" s="37"/>
      <c r="J4632" s="37"/>
    </row>
    <row r="4633" spans="1:10" x14ac:dyDescent="0.3">
      <c r="A4633" s="130"/>
      <c r="B4633" s="37"/>
      <c r="C4633" s="37"/>
      <c r="D4633" s="37"/>
      <c r="E4633" s="37"/>
      <c r="F4633" s="37"/>
      <c r="G4633" s="37"/>
      <c r="H4633" s="37"/>
      <c r="I4633" s="37"/>
      <c r="J4633" s="37"/>
    </row>
    <row r="4634" spans="1:10" x14ac:dyDescent="0.3">
      <c r="A4634" s="130"/>
      <c r="B4634" s="37"/>
      <c r="C4634" s="37"/>
      <c r="D4634" s="37"/>
      <c r="E4634" s="37"/>
      <c r="F4634" s="37"/>
      <c r="G4634" s="37"/>
      <c r="H4634" s="37"/>
      <c r="I4634" s="37"/>
      <c r="J4634" s="37"/>
    </row>
    <row r="4635" spans="1:10" x14ac:dyDescent="0.3">
      <c r="A4635" s="130"/>
      <c r="B4635" s="37"/>
      <c r="C4635" s="37"/>
      <c r="D4635" s="37"/>
      <c r="E4635" s="37"/>
      <c r="F4635" s="37"/>
      <c r="G4635" s="37"/>
      <c r="H4635" s="37"/>
      <c r="I4635" s="37"/>
      <c r="J4635" s="37"/>
    </row>
    <row r="4636" spans="1:10" x14ac:dyDescent="0.3">
      <c r="A4636" s="130"/>
      <c r="B4636" s="37"/>
      <c r="C4636" s="37"/>
      <c r="D4636" s="37"/>
      <c r="E4636" s="37"/>
      <c r="F4636" s="37"/>
      <c r="G4636" s="37"/>
      <c r="H4636" s="37"/>
      <c r="I4636" s="37"/>
      <c r="J4636" s="37"/>
    </row>
    <row r="4637" spans="1:10" x14ac:dyDescent="0.3">
      <c r="A4637" s="130"/>
      <c r="B4637" s="37"/>
      <c r="C4637" s="37"/>
      <c r="D4637" s="37"/>
      <c r="E4637" s="37"/>
      <c r="F4637" s="37"/>
      <c r="G4637" s="37"/>
      <c r="H4637" s="37"/>
      <c r="I4637" s="37"/>
      <c r="J4637" s="37"/>
    </row>
    <row r="4638" spans="1:10" x14ac:dyDescent="0.3">
      <c r="A4638" s="130"/>
      <c r="B4638" s="37"/>
      <c r="C4638" s="37"/>
      <c r="D4638" s="37"/>
      <c r="E4638" s="37"/>
      <c r="F4638" s="37"/>
      <c r="G4638" s="37"/>
      <c r="H4638" s="37"/>
      <c r="I4638" s="37"/>
      <c r="J4638" s="37"/>
    </row>
    <row r="4639" spans="1:10" x14ac:dyDescent="0.3">
      <c r="A4639" s="130"/>
      <c r="B4639" s="37"/>
      <c r="C4639" s="37"/>
      <c r="D4639" s="37"/>
      <c r="E4639" s="37"/>
      <c r="F4639" s="37"/>
      <c r="G4639" s="37"/>
      <c r="H4639" s="37"/>
      <c r="I4639" s="37"/>
      <c r="J4639" s="37"/>
    </row>
    <row r="4640" spans="1:10" x14ac:dyDescent="0.3">
      <c r="A4640" s="130"/>
      <c r="B4640" s="37"/>
      <c r="C4640" s="37"/>
      <c r="D4640" s="37"/>
      <c r="E4640" s="37"/>
      <c r="F4640" s="37"/>
      <c r="G4640" s="37"/>
      <c r="H4640" s="37"/>
      <c r="I4640" s="37"/>
      <c r="J4640" s="37"/>
    </row>
    <row r="4641" spans="1:10" x14ac:dyDescent="0.3">
      <c r="A4641" s="130"/>
      <c r="B4641" s="37"/>
      <c r="C4641" s="37"/>
      <c r="D4641" s="37"/>
      <c r="E4641" s="37"/>
      <c r="F4641" s="37"/>
      <c r="G4641" s="37"/>
      <c r="H4641" s="37"/>
      <c r="I4641" s="37"/>
      <c r="J4641" s="37"/>
    </row>
    <row r="4642" spans="1:10" x14ac:dyDescent="0.3">
      <c r="A4642" s="130"/>
      <c r="B4642" s="37"/>
      <c r="C4642" s="37"/>
      <c r="D4642" s="37"/>
      <c r="E4642" s="37"/>
      <c r="F4642" s="37"/>
      <c r="G4642" s="37"/>
      <c r="H4642" s="37"/>
      <c r="I4642" s="37"/>
      <c r="J4642" s="37"/>
    </row>
    <row r="4643" spans="1:10" x14ac:dyDescent="0.3">
      <c r="A4643" s="130"/>
      <c r="B4643" s="37"/>
      <c r="C4643" s="37"/>
      <c r="D4643" s="37"/>
      <c r="E4643" s="37"/>
      <c r="F4643" s="37"/>
      <c r="G4643" s="37"/>
      <c r="H4643" s="37"/>
      <c r="I4643" s="37"/>
      <c r="J4643" s="37"/>
    </row>
    <row r="4644" spans="1:10" x14ac:dyDescent="0.3">
      <c r="A4644" s="130"/>
      <c r="B4644" s="37"/>
      <c r="C4644" s="37"/>
      <c r="D4644" s="37"/>
      <c r="E4644" s="37"/>
      <c r="F4644" s="37"/>
      <c r="G4644" s="37"/>
      <c r="H4644" s="37"/>
      <c r="I4644" s="37"/>
      <c r="J4644" s="37"/>
    </row>
    <row r="4645" spans="1:10" x14ac:dyDescent="0.3">
      <c r="A4645" s="130"/>
      <c r="B4645" s="37"/>
      <c r="C4645" s="37"/>
      <c r="D4645" s="37"/>
      <c r="E4645" s="37"/>
      <c r="F4645" s="37"/>
      <c r="G4645" s="37"/>
      <c r="H4645" s="37"/>
      <c r="I4645" s="37"/>
      <c r="J4645" s="37"/>
    </row>
    <row r="4646" spans="1:10" x14ac:dyDescent="0.3">
      <c r="A4646" s="130"/>
      <c r="B4646" s="37"/>
      <c r="C4646" s="37"/>
      <c r="D4646" s="37"/>
      <c r="E4646" s="37"/>
      <c r="F4646" s="37"/>
      <c r="G4646" s="37"/>
      <c r="H4646" s="37"/>
      <c r="I4646" s="37"/>
      <c r="J4646" s="37"/>
    </row>
    <row r="4647" spans="1:10" x14ac:dyDescent="0.3">
      <c r="A4647" s="130"/>
      <c r="B4647" s="37"/>
      <c r="C4647" s="37"/>
      <c r="D4647" s="37"/>
      <c r="E4647" s="37"/>
      <c r="F4647" s="37"/>
      <c r="G4647" s="37"/>
      <c r="H4647" s="37"/>
      <c r="I4647" s="37"/>
      <c r="J4647" s="37"/>
    </row>
    <row r="4648" spans="1:10" x14ac:dyDescent="0.3">
      <c r="A4648" s="130"/>
      <c r="B4648" s="37"/>
      <c r="C4648" s="37"/>
      <c r="D4648" s="37"/>
      <c r="E4648" s="37"/>
      <c r="F4648" s="37"/>
      <c r="G4648" s="37"/>
      <c r="H4648" s="37"/>
      <c r="I4648" s="37"/>
      <c r="J4648" s="37"/>
    </row>
    <row r="4649" spans="1:10" x14ac:dyDescent="0.3">
      <c r="A4649" s="130"/>
      <c r="B4649" s="37"/>
      <c r="C4649" s="37"/>
      <c r="D4649" s="37"/>
      <c r="E4649" s="37"/>
      <c r="F4649" s="37"/>
      <c r="G4649" s="37"/>
      <c r="H4649" s="37"/>
      <c r="I4649" s="37"/>
      <c r="J4649" s="37"/>
    </row>
    <row r="4650" spans="1:10" x14ac:dyDescent="0.3">
      <c r="A4650" s="130"/>
      <c r="B4650" s="37"/>
      <c r="C4650" s="37"/>
      <c r="D4650" s="37"/>
      <c r="E4650" s="37"/>
      <c r="F4650" s="37"/>
      <c r="G4650" s="37"/>
      <c r="H4650" s="37"/>
      <c r="I4650" s="37"/>
      <c r="J4650" s="37"/>
    </row>
    <row r="4651" spans="1:10" x14ac:dyDescent="0.3">
      <c r="A4651" s="130"/>
      <c r="B4651" s="37"/>
      <c r="C4651" s="37"/>
      <c r="D4651" s="37"/>
      <c r="E4651" s="37"/>
      <c r="F4651" s="37"/>
      <c r="G4651" s="37"/>
      <c r="H4651" s="37"/>
      <c r="I4651" s="37"/>
      <c r="J4651" s="37"/>
    </row>
    <row r="4652" spans="1:10" x14ac:dyDescent="0.3">
      <c r="A4652" s="130"/>
      <c r="B4652" s="37"/>
      <c r="C4652" s="37"/>
      <c r="D4652" s="37"/>
      <c r="E4652" s="37"/>
      <c r="F4652" s="37"/>
      <c r="G4652" s="37"/>
      <c r="H4652" s="37"/>
      <c r="I4652" s="37"/>
      <c r="J4652" s="37"/>
    </row>
    <row r="4653" spans="1:10" x14ac:dyDescent="0.3">
      <c r="A4653" s="130"/>
      <c r="B4653" s="37"/>
      <c r="C4653" s="37"/>
      <c r="D4653" s="37"/>
      <c r="E4653" s="37"/>
      <c r="F4653" s="37"/>
      <c r="G4653" s="37"/>
      <c r="H4653" s="37"/>
      <c r="I4653" s="37"/>
      <c r="J4653" s="37"/>
    </row>
    <row r="4654" spans="1:10" x14ac:dyDescent="0.3">
      <c r="A4654" s="130"/>
      <c r="B4654" s="37"/>
      <c r="C4654" s="37"/>
      <c r="D4654" s="37"/>
      <c r="E4654" s="37"/>
      <c r="F4654" s="37"/>
      <c r="G4654" s="37"/>
      <c r="H4654" s="37"/>
      <c r="I4654" s="37"/>
      <c r="J4654" s="37"/>
    </row>
    <row r="4655" spans="1:10" x14ac:dyDescent="0.3">
      <c r="A4655" s="130"/>
      <c r="B4655" s="37"/>
      <c r="C4655" s="37"/>
      <c r="D4655" s="37"/>
      <c r="E4655" s="37"/>
      <c r="F4655" s="37"/>
      <c r="G4655" s="37"/>
      <c r="H4655" s="37"/>
      <c r="I4655" s="37"/>
      <c r="J4655" s="37"/>
    </row>
    <row r="4656" spans="1:10" x14ac:dyDescent="0.3">
      <c r="A4656" s="130"/>
      <c r="B4656" s="37"/>
      <c r="C4656" s="37"/>
      <c r="D4656" s="37"/>
      <c r="E4656" s="37"/>
      <c r="F4656" s="37"/>
      <c r="G4656" s="37"/>
      <c r="H4656" s="37"/>
      <c r="I4656" s="37"/>
      <c r="J4656" s="37"/>
    </row>
    <row r="4657" spans="1:10" x14ac:dyDescent="0.3">
      <c r="A4657" s="130"/>
      <c r="B4657" s="37"/>
      <c r="C4657" s="37"/>
      <c r="D4657" s="37"/>
      <c r="E4657" s="37"/>
      <c r="F4657" s="37"/>
      <c r="G4657" s="37"/>
      <c r="H4657" s="37"/>
      <c r="I4657" s="37"/>
      <c r="J4657" s="37"/>
    </row>
    <row r="4658" spans="1:10" x14ac:dyDescent="0.3">
      <c r="A4658" s="130"/>
      <c r="B4658" s="37"/>
      <c r="C4658" s="37"/>
      <c r="D4658" s="37"/>
      <c r="E4658" s="37"/>
      <c r="F4658" s="37"/>
      <c r="G4658" s="37"/>
      <c r="H4658" s="37"/>
      <c r="I4658" s="37"/>
      <c r="J4658" s="37"/>
    </row>
    <row r="4659" spans="1:10" x14ac:dyDescent="0.3">
      <c r="A4659" s="130"/>
      <c r="B4659" s="37"/>
      <c r="C4659" s="37"/>
      <c r="D4659" s="37"/>
      <c r="E4659" s="37"/>
      <c r="F4659" s="37"/>
      <c r="G4659" s="37"/>
      <c r="H4659" s="37"/>
      <c r="I4659" s="37"/>
      <c r="J4659" s="37"/>
    </row>
    <row r="4660" spans="1:10" x14ac:dyDescent="0.3">
      <c r="A4660" s="130"/>
      <c r="B4660" s="37"/>
      <c r="C4660" s="37"/>
      <c r="D4660" s="37"/>
      <c r="E4660" s="37"/>
      <c r="F4660" s="37"/>
      <c r="G4660" s="37"/>
      <c r="H4660" s="37"/>
      <c r="I4660" s="37"/>
      <c r="J4660" s="37"/>
    </row>
    <row r="4661" spans="1:10" x14ac:dyDescent="0.3">
      <c r="A4661" s="130"/>
      <c r="B4661" s="37"/>
      <c r="C4661" s="37"/>
      <c r="D4661" s="37"/>
      <c r="E4661" s="37"/>
      <c r="F4661" s="37"/>
      <c r="G4661" s="37"/>
      <c r="H4661" s="37"/>
      <c r="I4661" s="37"/>
      <c r="J4661" s="37"/>
    </row>
    <row r="4662" spans="1:10" x14ac:dyDescent="0.3">
      <c r="A4662" s="130"/>
      <c r="B4662" s="37"/>
      <c r="C4662" s="37"/>
      <c r="D4662" s="37"/>
      <c r="E4662" s="37"/>
      <c r="F4662" s="37"/>
      <c r="G4662" s="37"/>
      <c r="H4662" s="37"/>
      <c r="I4662" s="37"/>
      <c r="J4662" s="37"/>
    </row>
    <row r="4663" spans="1:10" x14ac:dyDescent="0.3">
      <c r="A4663" s="130"/>
      <c r="B4663" s="37"/>
      <c r="C4663" s="37"/>
      <c r="D4663" s="37"/>
      <c r="E4663" s="37"/>
      <c r="F4663" s="37"/>
      <c r="G4663" s="37"/>
      <c r="H4663" s="37"/>
      <c r="I4663" s="37"/>
      <c r="J4663" s="37"/>
    </row>
    <row r="4664" spans="1:10" x14ac:dyDescent="0.3">
      <c r="A4664" s="130"/>
      <c r="B4664" s="37"/>
      <c r="C4664" s="37"/>
      <c r="D4664" s="37"/>
      <c r="E4664" s="37"/>
      <c r="F4664" s="37"/>
      <c r="G4664" s="37"/>
      <c r="H4664" s="37"/>
      <c r="I4664" s="37"/>
      <c r="J4664" s="37"/>
    </row>
    <row r="4665" spans="1:10" x14ac:dyDescent="0.3">
      <c r="A4665" s="130"/>
      <c r="B4665" s="37"/>
      <c r="C4665" s="37"/>
      <c r="D4665" s="37"/>
      <c r="E4665" s="37"/>
      <c r="F4665" s="37"/>
      <c r="G4665" s="37"/>
      <c r="H4665" s="37"/>
      <c r="I4665" s="37"/>
      <c r="J4665" s="37"/>
    </row>
    <row r="4666" spans="1:10" x14ac:dyDescent="0.3">
      <c r="A4666" s="130"/>
      <c r="B4666" s="37"/>
      <c r="C4666" s="37"/>
      <c r="D4666" s="37"/>
      <c r="E4666" s="37"/>
      <c r="F4666" s="37"/>
      <c r="G4666" s="37"/>
      <c r="H4666" s="37"/>
      <c r="I4666" s="37"/>
      <c r="J4666" s="37"/>
    </row>
    <row r="4667" spans="1:10" x14ac:dyDescent="0.3">
      <c r="A4667" s="130"/>
      <c r="B4667" s="37"/>
      <c r="C4667" s="37"/>
      <c r="D4667" s="37"/>
      <c r="E4667" s="37"/>
      <c r="F4667" s="37"/>
      <c r="G4667" s="37"/>
      <c r="H4667" s="37"/>
      <c r="I4667" s="37"/>
      <c r="J4667" s="37"/>
    </row>
    <row r="4668" spans="1:10" x14ac:dyDescent="0.3">
      <c r="A4668" s="130"/>
      <c r="B4668" s="37"/>
      <c r="C4668" s="37"/>
      <c r="D4668" s="37"/>
      <c r="E4668" s="37"/>
      <c r="F4668" s="37"/>
      <c r="G4668" s="37"/>
      <c r="H4668" s="37"/>
      <c r="I4668" s="37"/>
      <c r="J4668" s="37"/>
    </row>
    <row r="4669" spans="1:10" x14ac:dyDescent="0.3">
      <c r="A4669" s="130"/>
      <c r="B4669" s="37"/>
      <c r="C4669" s="37"/>
      <c r="D4669" s="37"/>
      <c r="E4669" s="37"/>
      <c r="F4669" s="37"/>
      <c r="G4669" s="37"/>
      <c r="H4669" s="37"/>
      <c r="I4669" s="37"/>
      <c r="J4669" s="37"/>
    </row>
    <row r="4670" spans="1:10" x14ac:dyDescent="0.3">
      <c r="A4670" s="130"/>
      <c r="B4670" s="37"/>
      <c r="C4670" s="37"/>
      <c r="D4670" s="37"/>
      <c r="E4670" s="37"/>
      <c r="F4670" s="37"/>
      <c r="G4670" s="37"/>
      <c r="H4670" s="37"/>
      <c r="I4670" s="37"/>
      <c r="J4670" s="37"/>
    </row>
    <row r="4671" spans="1:10" x14ac:dyDescent="0.3">
      <c r="A4671" s="130"/>
      <c r="B4671" s="37"/>
      <c r="C4671" s="37"/>
      <c r="D4671" s="37"/>
      <c r="E4671" s="37"/>
      <c r="F4671" s="37"/>
      <c r="G4671" s="37"/>
      <c r="H4671" s="37"/>
      <c r="I4671" s="37"/>
      <c r="J4671" s="37"/>
    </row>
    <row r="4672" spans="1:10" x14ac:dyDescent="0.3">
      <c r="A4672" s="130"/>
      <c r="B4672" s="37"/>
      <c r="C4672" s="37"/>
      <c r="D4672" s="37"/>
      <c r="E4672" s="37"/>
      <c r="F4672" s="37"/>
      <c r="G4672" s="37"/>
      <c r="H4672" s="37"/>
      <c r="I4672" s="37"/>
      <c r="J4672" s="37"/>
    </row>
    <row r="4673" spans="1:10" x14ac:dyDescent="0.3">
      <c r="A4673" s="130"/>
      <c r="B4673" s="37"/>
      <c r="C4673" s="37"/>
      <c r="D4673" s="37"/>
      <c r="E4673" s="37"/>
      <c r="F4673" s="37"/>
      <c r="G4673" s="37"/>
      <c r="H4673" s="37"/>
      <c r="I4673" s="37"/>
      <c r="J4673" s="37"/>
    </row>
    <row r="4674" spans="1:10" x14ac:dyDescent="0.3">
      <c r="A4674" s="130"/>
      <c r="B4674" s="37"/>
      <c r="C4674" s="37"/>
      <c r="D4674" s="37"/>
      <c r="E4674" s="37"/>
      <c r="F4674" s="37"/>
      <c r="G4674" s="37"/>
      <c r="H4674" s="37"/>
      <c r="I4674" s="37"/>
      <c r="J4674" s="37"/>
    </row>
    <row r="4675" spans="1:10" x14ac:dyDescent="0.3">
      <c r="A4675" s="130"/>
      <c r="B4675" s="37"/>
      <c r="C4675" s="37"/>
      <c r="D4675" s="37"/>
      <c r="E4675" s="37"/>
      <c r="F4675" s="37"/>
      <c r="G4675" s="37"/>
      <c r="H4675" s="37"/>
      <c r="I4675" s="37"/>
      <c r="J4675" s="37"/>
    </row>
    <row r="4676" spans="1:10" x14ac:dyDescent="0.3">
      <c r="A4676" s="130"/>
      <c r="B4676" s="37"/>
      <c r="C4676" s="37"/>
      <c r="D4676" s="37"/>
      <c r="E4676" s="37"/>
      <c r="F4676" s="37"/>
      <c r="G4676" s="37"/>
      <c r="H4676" s="37"/>
      <c r="I4676" s="37"/>
      <c r="J4676" s="37"/>
    </row>
    <row r="4677" spans="1:10" x14ac:dyDescent="0.3">
      <c r="A4677" s="130"/>
      <c r="B4677" s="37"/>
      <c r="C4677" s="37"/>
      <c r="D4677" s="37"/>
      <c r="E4677" s="37"/>
      <c r="F4677" s="37"/>
      <c r="G4677" s="37"/>
      <c r="H4677" s="37"/>
      <c r="I4677" s="37"/>
      <c r="J4677" s="37"/>
    </row>
    <row r="4678" spans="1:10" x14ac:dyDescent="0.3">
      <c r="A4678" s="130"/>
      <c r="B4678" s="37"/>
      <c r="C4678" s="37"/>
      <c r="D4678" s="37"/>
      <c r="E4678" s="37"/>
      <c r="F4678" s="37"/>
      <c r="G4678" s="37"/>
      <c r="H4678" s="37"/>
      <c r="I4678" s="37"/>
      <c r="J4678" s="37"/>
    </row>
    <row r="4679" spans="1:10" x14ac:dyDescent="0.3">
      <c r="A4679" s="130"/>
      <c r="B4679" s="37"/>
      <c r="C4679" s="37"/>
      <c r="D4679" s="37"/>
      <c r="E4679" s="37"/>
      <c r="F4679" s="37"/>
      <c r="G4679" s="37"/>
      <c r="H4679" s="37"/>
      <c r="I4679" s="37"/>
      <c r="J4679" s="37"/>
    </row>
    <row r="4680" spans="1:10" x14ac:dyDescent="0.3">
      <c r="A4680" s="130"/>
      <c r="B4680" s="37"/>
      <c r="C4680" s="37"/>
      <c r="D4680" s="37"/>
      <c r="E4680" s="37"/>
      <c r="F4680" s="37"/>
      <c r="G4680" s="37"/>
      <c r="H4680" s="37"/>
      <c r="I4680" s="37"/>
      <c r="J4680" s="37"/>
    </row>
    <row r="4681" spans="1:10" x14ac:dyDescent="0.3">
      <c r="A4681" s="130"/>
      <c r="B4681" s="37"/>
      <c r="C4681" s="37"/>
      <c r="D4681" s="37"/>
      <c r="E4681" s="37"/>
      <c r="F4681" s="37"/>
      <c r="G4681" s="37"/>
      <c r="H4681" s="37"/>
      <c r="I4681" s="37"/>
      <c r="J4681" s="37"/>
    </row>
    <row r="4682" spans="1:10" x14ac:dyDescent="0.3">
      <c r="A4682" s="130"/>
      <c r="B4682" s="37"/>
      <c r="C4682" s="37"/>
      <c r="D4682" s="37"/>
      <c r="E4682" s="37"/>
      <c r="F4682" s="37"/>
      <c r="G4682" s="37"/>
      <c r="H4682" s="37"/>
      <c r="I4682" s="37"/>
      <c r="J4682" s="37"/>
    </row>
    <row r="4683" spans="1:10" x14ac:dyDescent="0.3">
      <c r="A4683" s="130"/>
      <c r="B4683" s="37"/>
      <c r="C4683" s="37"/>
      <c r="D4683" s="37"/>
      <c r="E4683" s="37"/>
      <c r="F4683" s="37"/>
      <c r="G4683" s="37"/>
      <c r="H4683" s="37"/>
      <c r="I4683" s="37"/>
      <c r="J4683" s="37"/>
    </row>
    <row r="4684" spans="1:10" x14ac:dyDescent="0.3">
      <c r="A4684" s="130"/>
      <c r="B4684" s="37"/>
      <c r="C4684" s="37"/>
      <c r="D4684" s="37"/>
      <c r="E4684" s="37"/>
      <c r="F4684" s="37"/>
      <c r="G4684" s="37"/>
      <c r="H4684" s="37"/>
      <c r="I4684" s="37"/>
      <c r="J4684" s="37"/>
    </row>
    <row r="4685" spans="1:10" x14ac:dyDescent="0.3">
      <c r="A4685" s="130"/>
      <c r="B4685" s="37"/>
      <c r="C4685" s="37"/>
      <c r="D4685" s="37"/>
      <c r="E4685" s="37"/>
      <c r="F4685" s="37"/>
      <c r="G4685" s="37"/>
      <c r="H4685" s="37"/>
      <c r="I4685" s="37"/>
      <c r="J4685" s="37"/>
    </row>
    <row r="4686" spans="1:10" x14ac:dyDescent="0.3">
      <c r="A4686" s="130"/>
      <c r="B4686" s="37"/>
      <c r="C4686" s="37"/>
      <c r="D4686" s="37"/>
      <c r="E4686" s="37"/>
      <c r="F4686" s="37"/>
      <c r="G4686" s="37"/>
      <c r="H4686" s="37"/>
      <c r="I4686" s="37"/>
      <c r="J4686" s="37"/>
    </row>
    <row r="4687" spans="1:10" x14ac:dyDescent="0.3">
      <c r="A4687" s="130"/>
      <c r="B4687" s="37"/>
      <c r="C4687" s="37"/>
      <c r="D4687" s="37"/>
      <c r="E4687" s="37"/>
      <c r="F4687" s="37"/>
      <c r="G4687" s="37"/>
      <c r="H4687" s="37"/>
      <c r="I4687" s="37"/>
      <c r="J4687" s="37"/>
    </row>
    <row r="4688" spans="1:10" x14ac:dyDescent="0.3">
      <c r="A4688" s="130"/>
      <c r="B4688" s="37"/>
      <c r="C4688" s="37"/>
      <c r="D4688" s="37"/>
      <c r="E4688" s="37"/>
      <c r="F4688" s="37"/>
      <c r="G4688" s="37"/>
      <c r="H4688" s="37"/>
      <c r="I4688" s="37"/>
      <c r="J4688" s="37"/>
    </row>
    <row r="4689" spans="1:10" x14ac:dyDescent="0.3">
      <c r="A4689" s="130"/>
      <c r="B4689" s="37"/>
      <c r="C4689" s="37"/>
      <c r="D4689" s="37"/>
      <c r="E4689" s="37"/>
      <c r="F4689" s="37"/>
      <c r="G4689" s="37"/>
      <c r="H4689" s="37"/>
      <c r="I4689" s="37"/>
      <c r="J4689" s="37"/>
    </row>
    <row r="4690" spans="1:10" x14ac:dyDescent="0.3">
      <c r="A4690" s="130"/>
      <c r="B4690" s="37"/>
      <c r="C4690" s="37"/>
      <c r="D4690" s="37"/>
      <c r="E4690" s="37"/>
      <c r="F4690" s="37"/>
      <c r="G4690" s="37"/>
      <c r="H4690" s="37"/>
      <c r="I4690" s="37"/>
      <c r="J4690" s="37"/>
    </row>
    <row r="4691" spans="1:10" x14ac:dyDescent="0.3">
      <c r="A4691" s="130"/>
      <c r="B4691" s="37"/>
      <c r="C4691" s="37"/>
      <c r="D4691" s="37"/>
      <c r="E4691" s="37"/>
      <c r="F4691" s="37"/>
      <c r="G4691" s="37"/>
      <c r="H4691" s="37"/>
      <c r="I4691" s="37"/>
      <c r="J4691" s="37"/>
    </row>
    <row r="4692" spans="1:10" x14ac:dyDescent="0.3">
      <c r="A4692" s="130"/>
      <c r="B4692" s="37"/>
      <c r="C4692" s="37"/>
      <c r="D4692" s="37"/>
      <c r="E4692" s="37"/>
      <c r="F4692" s="37"/>
      <c r="G4692" s="37"/>
      <c r="H4692" s="37"/>
      <c r="I4692" s="37"/>
      <c r="J4692" s="37"/>
    </row>
    <row r="4693" spans="1:10" x14ac:dyDescent="0.3">
      <c r="A4693" s="130"/>
      <c r="B4693" s="37"/>
      <c r="C4693" s="37"/>
      <c r="D4693" s="37"/>
      <c r="E4693" s="37"/>
      <c r="F4693" s="37"/>
      <c r="G4693" s="37"/>
      <c r="H4693" s="37"/>
      <c r="I4693" s="37"/>
      <c r="J4693" s="37"/>
    </row>
    <row r="4694" spans="1:10" x14ac:dyDescent="0.3">
      <c r="A4694" s="130"/>
      <c r="B4694" s="37"/>
      <c r="C4694" s="37"/>
      <c r="D4694" s="37"/>
      <c r="E4694" s="37"/>
      <c r="F4694" s="37"/>
      <c r="G4694" s="37"/>
      <c r="H4694" s="37"/>
      <c r="I4694" s="37"/>
      <c r="J4694" s="37"/>
    </row>
    <row r="4695" spans="1:10" x14ac:dyDescent="0.3">
      <c r="A4695" s="130"/>
      <c r="B4695" s="37"/>
      <c r="C4695" s="37"/>
      <c r="D4695" s="37"/>
      <c r="E4695" s="37"/>
      <c r="F4695" s="37"/>
      <c r="G4695" s="37"/>
      <c r="H4695" s="37"/>
      <c r="I4695" s="37"/>
      <c r="J4695" s="37"/>
    </row>
    <row r="4696" spans="1:10" x14ac:dyDescent="0.3">
      <c r="A4696" s="130"/>
      <c r="B4696" s="37"/>
      <c r="C4696" s="37"/>
      <c r="D4696" s="37"/>
      <c r="E4696" s="37"/>
      <c r="F4696" s="37"/>
      <c r="G4696" s="37"/>
      <c r="H4696" s="37"/>
      <c r="I4696" s="37"/>
      <c r="J4696" s="37"/>
    </row>
    <row r="4697" spans="1:10" x14ac:dyDescent="0.3">
      <c r="A4697" s="130"/>
      <c r="B4697" s="37"/>
      <c r="C4697" s="37"/>
      <c r="D4697" s="37"/>
      <c r="E4697" s="37"/>
      <c r="F4697" s="37"/>
      <c r="G4697" s="37"/>
      <c r="H4697" s="37"/>
      <c r="I4697" s="37"/>
      <c r="J4697" s="37"/>
    </row>
    <row r="4698" spans="1:10" x14ac:dyDescent="0.3">
      <c r="A4698" s="130"/>
      <c r="B4698" s="37"/>
      <c r="C4698" s="37"/>
      <c r="D4698" s="37"/>
      <c r="E4698" s="37"/>
      <c r="F4698" s="37"/>
      <c r="G4698" s="37"/>
      <c r="H4698" s="37"/>
      <c r="I4698" s="37"/>
      <c r="J4698" s="37"/>
    </row>
    <row r="4699" spans="1:10" x14ac:dyDescent="0.3">
      <c r="A4699" s="130"/>
      <c r="B4699" s="37"/>
      <c r="C4699" s="37"/>
      <c r="D4699" s="37"/>
      <c r="E4699" s="37"/>
      <c r="F4699" s="37"/>
      <c r="G4699" s="37"/>
      <c r="H4699" s="37"/>
      <c r="I4699" s="37"/>
      <c r="J4699" s="37"/>
    </row>
    <row r="4700" spans="1:10" x14ac:dyDescent="0.3">
      <c r="A4700" s="130"/>
      <c r="B4700" s="37"/>
      <c r="C4700" s="37"/>
      <c r="D4700" s="37"/>
      <c r="E4700" s="37"/>
      <c r="F4700" s="37"/>
      <c r="G4700" s="37"/>
      <c r="H4700" s="37"/>
      <c r="I4700" s="37"/>
      <c r="J4700" s="37"/>
    </row>
    <row r="4701" spans="1:10" x14ac:dyDescent="0.3">
      <c r="A4701" s="130"/>
      <c r="B4701" s="37"/>
      <c r="C4701" s="37"/>
      <c r="D4701" s="37"/>
      <c r="E4701" s="37"/>
      <c r="F4701" s="37"/>
      <c r="G4701" s="37"/>
      <c r="H4701" s="37"/>
      <c r="I4701" s="37"/>
      <c r="J4701" s="37"/>
    </row>
    <row r="4702" spans="1:10" x14ac:dyDescent="0.3">
      <c r="A4702" s="130"/>
      <c r="B4702" s="37"/>
      <c r="C4702" s="37"/>
      <c r="D4702" s="37"/>
      <c r="E4702" s="37"/>
      <c r="F4702" s="37"/>
      <c r="G4702" s="37"/>
      <c r="H4702" s="37"/>
      <c r="I4702" s="37"/>
      <c r="J4702" s="37"/>
    </row>
    <row r="4703" spans="1:10" x14ac:dyDescent="0.3">
      <c r="A4703" s="130"/>
      <c r="B4703" s="37"/>
      <c r="C4703" s="37"/>
      <c r="D4703" s="37"/>
      <c r="E4703" s="37"/>
      <c r="F4703" s="37"/>
      <c r="G4703" s="37"/>
      <c r="H4703" s="37"/>
      <c r="I4703" s="37"/>
      <c r="J4703" s="37"/>
    </row>
    <row r="4704" spans="1:10" x14ac:dyDescent="0.3">
      <c r="A4704" s="130"/>
      <c r="B4704" s="37"/>
      <c r="C4704" s="37"/>
      <c r="D4704" s="37"/>
      <c r="E4704" s="37"/>
      <c r="F4704" s="37"/>
      <c r="G4704" s="37"/>
      <c r="H4704" s="37"/>
      <c r="I4704" s="37"/>
      <c r="J4704" s="37"/>
    </row>
    <row r="4705" spans="1:10" x14ac:dyDescent="0.3">
      <c r="A4705" s="130"/>
      <c r="B4705" s="37"/>
      <c r="C4705" s="37"/>
      <c r="D4705" s="37"/>
      <c r="E4705" s="37"/>
      <c r="F4705" s="37"/>
      <c r="G4705" s="37"/>
      <c r="H4705" s="37"/>
      <c r="I4705" s="37"/>
      <c r="J4705" s="37"/>
    </row>
    <row r="4706" spans="1:10" x14ac:dyDescent="0.3">
      <c r="A4706" s="130"/>
      <c r="B4706" s="37"/>
      <c r="C4706" s="37"/>
      <c r="D4706" s="37"/>
      <c r="E4706" s="37"/>
      <c r="F4706" s="37"/>
      <c r="G4706" s="37"/>
      <c r="H4706" s="37"/>
      <c r="I4706" s="37"/>
      <c r="J4706" s="37"/>
    </row>
    <row r="4707" spans="1:10" x14ac:dyDescent="0.3">
      <c r="A4707" s="130"/>
      <c r="B4707" s="37"/>
      <c r="C4707" s="37"/>
      <c r="D4707" s="37"/>
      <c r="E4707" s="37"/>
      <c r="F4707" s="37"/>
      <c r="G4707" s="37"/>
      <c r="H4707" s="37"/>
      <c r="I4707" s="37"/>
      <c r="J4707" s="37"/>
    </row>
    <row r="4708" spans="1:10" x14ac:dyDescent="0.3">
      <c r="A4708" s="130"/>
      <c r="B4708" s="37"/>
      <c r="C4708" s="37"/>
      <c r="D4708" s="37"/>
      <c r="E4708" s="37"/>
      <c r="F4708" s="37"/>
      <c r="G4708" s="37"/>
      <c r="H4708" s="37"/>
      <c r="I4708" s="37"/>
      <c r="J4708" s="37"/>
    </row>
    <row r="4709" spans="1:10" x14ac:dyDescent="0.3">
      <c r="A4709" s="130"/>
      <c r="B4709" s="37"/>
      <c r="C4709" s="37"/>
      <c r="D4709" s="37"/>
      <c r="E4709" s="37"/>
      <c r="F4709" s="37"/>
      <c r="G4709" s="37"/>
      <c r="H4709" s="37"/>
      <c r="I4709" s="37"/>
      <c r="J4709" s="37"/>
    </row>
    <row r="4710" spans="1:10" x14ac:dyDescent="0.3">
      <c r="A4710" s="130"/>
      <c r="B4710" s="37"/>
      <c r="C4710" s="37"/>
      <c r="D4710" s="37"/>
      <c r="E4710" s="37"/>
      <c r="F4710" s="37"/>
      <c r="G4710" s="37"/>
      <c r="H4710" s="37"/>
      <c r="I4710" s="37"/>
      <c r="J4710" s="37"/>
    </row>
    <row r="4711" spans="1:10" x14ac:dyDescent="0.3">
      <c r="A4711" s="130"/>
      <c r="B4711" s="37"/>
      <c r="C4711" s="37"/>
      <c r="D4711" s="37"/>
      <c r="E4711" s="37"/>
      <c r="F4711" s="37"/>
      <c r="G4711" s="37"/>
      <c r="H4711" s="37"/>
      <c r="I4711" s="37"/>
      <c r="J4711" s="37"/>
    </row>
    <row r="4712" spans="1:10" x14ac:dyDescent="0.3">
      <c r="A4712" s="130"/>
      <c r="B4712" s="37"/>
      <c r="C4712" s="37"/>
      <c r="D4712" s="37"/>
      <c r="E4712" s="37"/>
      <c r="F4712" s="37"/>
      <c r="G4712" s="37"/>
      <c r="H4712" s="37"/>
      <c r="I4712" s="37"/>
      <c r="J4712" s="37"/>
    </row>
    <row r="4713" spans="1:10" x14ac:dyDescent="0.3">
      <c r="A4713" s="130"/>
      <c r="B4713" s="37"/>
      <c r="C4713" s="37"/>
      <c r="D4713" s="37"/>
      <c r="E4713" s="37"/>
      <c r="F4713" s="37"/>
      <c r="G4713" s="37"/>
      <c r="H4713" s="37"/>
      <c r="I4713" s="37"/>
      <c r="J4713" s="37"/>
    </row>
    <row r="4714" spans="1:10" x14ac:dyDescent="0.3">
      <c r="A4714" s="130"/>
      <c r="B4714" s="37"/>
      <c r="C4714" s="37"/>
      <c r="D4714" s="37"/>
      <c r="E4714" s="37"/>
      <c r="F4714" s="37"/>
      <c r="G4714" s="37"/>
      <c r="H4714" s="37"/>
      <c r="I4714" s="37"/>
      <c r="J4714" s="37"/>
    </row>
    <row r="4715" spans="1:10" x14ac:dyDescent="0.3">
      <c r="A4715" s="130"/>
      <c r="B4715" s="37"/>
      <c r="C4715" s="37"/>
      <c r="D4715" s="37"/>
      <c r="E4715" s="37"/>
      <c r="F4715" s="37"/>
      <c r="G4715" s="37"/>
      <c r="H4715" s="37"/>
      <c r="I4715" s="37"/>
      <c r="J4715" s="37"/>
    </row>
    <row r="4716" spans="1:10" x14ac:dyDescent="0.3">
      <c r="A4716" s="130"/>
      <c r="B4716" s="37"/>
      <c r="C4716" s="37"/>
      <c r="D4716" s="37"/>
      <c r="E4716" s="37"/>
      <c r="F4716" s="37"/>
      <c r="G4716" s="37"/>
      <c r="H4716" s="37"/>
      <c r="I4716" s="37"/>
      <c r="J4716" s="37"/>
    </row>
    <row r="4717" spans="1:10" x14ac:dyDescent="0.3">
      <c r="A4717" s="130"/>
      <c r="B4717" s="37"/>
      <c r="C4717" s="37"/>
      <c r="D4717" s="37"/>
      <c r="E4717" s="37"/>
      <c r="F4717" s="37"/>
      <c r="G4717" s="37"/>
      <c r="H4717" s="37"/>
      <c r="I4717" s="37"/>
      <c r="J4717" s="37"/>
    </row>
    <row r="4718" spans="1:10" x14ac:dyDescent="0.3">
      <c r="A4718" s="130"/>
      <c r="B4718" s="37"/>
      <c r="C4718" s="37"/>
      <c r="D4718" s="37"/>
      <c r="E4718" s="37"/>
      <c r="F4718" s="37"/>
      <c r="G4718" s="37"/>
      <c r="H4718" s="37"/>
      <c r="I4718" s="37"/>
      <c r="J4718" s="37"/>
    </row>
    <row r="4719" spans="1:10" x14ac:dyDescent="0.3">
      <c r="A4719" s="130"/>
      <c r="B4719" s="37"/>
      <c r="C4719" s="37"/>
      <c r="D4719" s="37"/>
      <c r="E4719" s="37"/>
      <c r="F4719" s="37"/>
      <c r="G4719" s="37"/>
      <c r="H4719" s="37"/>
      <c r="I4719" s="37"/>
      <c r="J4719" s="37"/>
    </row>
    <row r="4720" spans="1:10" x14ac:dyDescent="0.3">
      <c r="A4720" s="130"/>
      <c r="B4720" s="37"/>
      <c r="C4720" s="37"/>
      <c r="D4720" s="37"/>
      <c r="E4720" s="37"/>
      <c r="F4720" s="37"/>
      <c r="G4720" s="37"/>
      <c r="H4720" s="37"/>
      <c r="I4720" s="37"/>
      <c r="J4720" s="37"/>
    </row>
    <row r="4721" spans="1:10" x14ac:dyDescent="0.3">
      <c r="A4721" s="130"/>
      <c r="B4721" s="37"/>
      <c r="C4721" s="37"/>
      <c r="D4721" s="37"/>
      <c r="E4721" s="37"/>
      <c r="F4721" s="37"/>
      <c r="G4721" s="37"/>
      <c r="H4721" s="37"/>
      <c r="I4721" s="37"/>
      <c r="J4721" s="37"/>
    </row>
    <row r="4722" spans="1:10" x14ac:dyDescent="0.3">
      <c r="A4722" s="130"/>
      <c r="B4722" s="37"/>
      <c r="C4722" s="37"/>
      <c r="D4722" s="37"/>
      <c r="E4722" s="37"/>
      <c r="F4722" s="37"/>
      <c r="G4722" s="37"/>
      <c r="H4722" s="37"/>
      <c r="I4722" s="37"/>
      <c r="J4722" s="37"/>
    </row>
    <row r="4723" spans="1:10" x14ac:dyDescent="0.3">
      <c r="A4723" s="130"/>
      <c r="B4723" s="37"/>
      <c r="C4723" s="37"/>
      <c r="D4723" s="37"/>
      <c r="E4723" s="37"/>
      <c r="F4723" s="37"/>
      <c r="G4723" s="37"/>
      <c r="H4723" s="37"/>
      <c r="I4723" s="37"/>
      <c r="J4723" s="37"/>
    </row>
    <row r="4724" spans="1:10" x14ac:dyDescent="0.3">
      <c r="A4724" s="130"/>
      <c r="B4724" s="37"/>
      <c r="C4724" s="37"/>
      <c r="D4724" s="37"/>
      <c r="E4724" s="37"/>
      <c r="F4724" s="37"/>
      <c r="G4724" s="37"/>
      <c r="H4724" s="37"/>
      <c r="I4724" s="37"/>
      <c r="J4724" s="37"/>
    </row>
    <row r="4725" spans="1:10" x14ac:dyDescent="0.3">
      <c r="A4725" s="130"/>
      <c r="B4725" s="37"/>
      <c r="C4725" s="37"/>
      <c r="D4725" s="37"/>
      <c r="E4725" s="37"/>
      <c r="F4725" s="37"/>
      <c r="G4725" s="37"/>
      <c r="H4725" s="37"/>
      <c r="I4725" s="37"/>
      <c r="J4725" s="37"/>
    </row>
    <row r="4726" spans="1:10" x14ac:dyDescent="0.3">
      <c r="A4726" s="130"/>
      <c r="B4726" s="37"/>
      <c r="C4726" s="37"/>
      <c r="D4726" s="37"/>
      <c r="E4726" s="37"/>
      <c r="F4726" s="37"/>
      <c r="G4726" s="37"/>
      <c r="H4726" s="37"/>
      <c r="I4726" s="37"/>
      <c r="J4726" s="37"/>
    </row>
    <row r="4727" spans="1:10" x14ac:dyDescent="0.3">
      <c r="A4727" s="130"/>
      <c r="B4727" s="37"/>
      <c r="C4727" s="37"/>
      <c r="D4727" s="37"/>
      <c r="E4727" s="37"/>
      <c r="F4727" s="37"/>
      <c r="G4727" s="37"/>
      <c r="H4727" s="37"/>
      <c r="I4727" s="37"/>
      <c r="J4727" s="37"/>
    </row>
    <row r="4728" spans="1:10" x14ac:dyDescent="0.3">
      <c r="A4728" s="130"/>
      <c r="B4728" s="37"/>
      <c r="C4728" s="37"/>
      <c r="D4728" s="37"/>
      <c r="E4728" s="37"/>
      <c r="F4728" s="37"/>
      <c r="G4728" s="37"/>
      <c r="H4728" s="37"/>
      <c r="I4728" s="37"/>
      <c r="J4728" s="37"/>
    </row>
    <row r="4729" spans="1:10" x14ac:dyDescent="0.3">
      <c r="A4729" s="130"/>
      <c r="B4729" s="37"/>
      <c r="C4729" s="37"/>
      <c r="D4729" s="37"/>
      <c r="E4729" s="37"/>
      <c r="F4729" s="37"/>
      <c r="G4729" s="37"/>
      <c r="H4729" s="37"/>
      <c r="I4729" s="37"/>
      <c r="J4729" s="37"/>
    </row>
    <row r="4730" spans="1:10" x14ac:dyDescent="0.3">
      <c r="A4730" s="130"/>
      <c r="B4730" s="37"/>
      <c r="C4730" s="37"/>
      <c r="D4730" s="37"/>
      <c r="E4730" s="37"/>
      <c r="F4730" s="37"/>
      <c r="G4730" s="37"/>
      <c r="H4730" s="37"/>
      <c r="I4730" s="37"/>
      <c r="J4730" s="37"/>
    </row>
    <row r="4731" spans="1:10" x14ac:dyDescent="0.3">
      <c r="A4731" s="130"/>
      <c r="B4731" s="37"/>
      <c r="C4731" s="37"/>
      <c r="D4731" s="37"/>
      <c r="E4731" s="37"/>
      <c r="F4731" s="37"/>
      <c r="G4731" s="37"/>
      <c r="H4731" s="37"/>
      <c r="I4731" s="37"/>
      <c r="J4731" s="37"/>
    </row>
    <row r="4732" spans="1:10" x14ac:dyDescent="0.3">
      <c r="A4732" s="130"/>
      <c r="B4732" s="37"/>
      <c r="C4732" s="37"/>
      <c r="D4732" s="37"/>
      <c r="E4732" s="37"/>
      <c r="F4732" s="37"/>
      <c r="G4732" s="37"/>
      <c r="H4732" s="37"/>
      <c r="I4732" s="37"/>
      <c r="J4732" s="37"/>
    </row>
    <row r="4733" spans="1:10" x14ac:dyDescent="0.3">
      <c r="A4733" s="130"/>
      <c r="B4733" s="37"/>
      <c r="C4733" s="37"/>
      <c r="D4733" s="37"/>
      <c r="E4733" s="37"/>
      <c r="F4733" s="37"/>
      <c r="G4733" s="37"/>
      <c r="H4733" s="37"/>
      <c r="I4733" s="37"/>
      <c r="J4733" s="37"/>
    </row>
    <row r="4734" spans="1:10" x14ac:dyDescent="0.3">
      <c r="A4734" s="130"/>
      <c r="B4734" s="37"/>
      <c r="C4734" s="37"/>
      <c r="D4734" s="37"/>
      <c r="E4734" s="37"/>
      <c r="F4734" s="37"/>
      <c r="G4734" s="37"/>
      <c r="H4734" s="37"/>
      <c r="I4734" s="37"/>
      <c r="J4734" s="37"/>
    </row>
    <row r="4735" spans="1:10" x14ac:dyDescent="0.3">
      <c r="A4735" s="130"/>
      <c r="B4735" s="37"/>
      <c r="C4735" s="37"/>
      <c r="D4735" s="37"/>
      <c r="E4735" s="37"/>
      <c r="F4735" s="37"/>
      <c r="G4735" s="37"/>
      <c r="H4735" s="37"/>
      <c r="I4735" s="37"/>
      <c r="J4735" s="37"/>
    </row>
    <row r="4736" spans="1:10" x14ac:dyDescent="0.3">
      <c r="A4736" s="130"/>
      <c r="B4736" s="37"/>
      <c r="C4736" s="37"/>
      <c r="D4736" s="37"/>
      <c r="E4736" s="37"/>
      <c r="F4736" s="37"/>
      <c r="G4736" s="37"/>
      <c r="H4736" s="37"/>
      <c r="I4736" s="37"/>
      <c r="J4736" s="37"/>
    </row>
    <row r="4737" spans="1:10" x14ac:dyDescent="0.3">
      <c r="A4737" s="130"/>
      <c r="B4737" s="37"/>
      <c r="C4737" s="37"/>
      <c r="D4737" s="37"/>
      <c r="E4737" s="37"/>
      <c r="F4737" s="37"/>
      <c r="G4737" s="37"/>
      <c r="H4737" s="37"/>
      <c r="I4737" s="37"/>
      <c r="J4737" s="37"/>
    </row>
    <row r="4738" spans="1:10" x14ac:dyDescent="0.3">
      <c r="A4738" s="130"/>
      <c r="B4738" s="37"/>
      <c r="C4738" s="37"/>
      <c r="D4738" s="37"/>
      <c r="E4738" s="37"/>
      <c r="F4738" s="37"/>
      <c r="G4738" s="37"/>
      <c r="H4738" s="37"/>
      <c r="I4738" s="37"/>
      <c r="J4738" s="37"/>
    </row>
    <row r="4739" spans="1:10" x14ac:dyDescent="0.3">
      <c r="A4739" s="130"/>
      <c r="B4739" s="37"/>
      <c r="C4739" s="37"/>
      <c r="D4739" s="37"/>
      <c r="E4739" s="37"/>
      <c r="F4739" s="37"/>
      <c r="G4739" s="37"/>
      <c r="H4739" s="37"/>
      <c r="I4739" s="37"/>
      <c r="J4739" s="37"/>
    </row>
    <row r="4740" spans="1:10" x14ac:dyDescent="0.3">
      <c r="A4740" s="130"/>
      <c r="B4740" s="37"/>
      <c r="C4740" s="37"/>
      <c r="D4740" s="37"/>
      <c r="E4740" s="37"/>
      <c r="F4740" s="37"/>
      <c r="G4740" s="37"/>
      <c r="H4740" s="37"/>
      <c r="I4740" s="37"/>
      <c r="J4740" s="37"/>
    </row>
    <row r="4741" spans="1:10" x14ac:dyDescent="0.3">
      <c r="A4741" s="130"/>
      <c r="B4741" s="37"/>
      <c r="C4741" s="37"/>
      <c r="D4741" s="37"/>
      <c r="E4741" s="37"/>
      <c r="F4741" s="37"/>
      <c r="G4741" s="37"/>
      <c r="H4741" s="37"/>
      <c r="I4741" s="37"/>
      <c r="J4741" s="37"/>
    </row>
    <row r="4742" spans="1:10" x14ac:dyDescent="0.3">
      <c r="A4742" s="130"/>
      <c r="B4742" s="37"/>
      <c r="C4742" s="37"/>
      <c r="D4742" s="37"/>
      <c r="E4742" s="37"/>
      <c r="F4742" s="37"/>
      <c r="G4742" s="37"/>
      <c r="H4742" s="37"/>
      <c r="I4742" s="37"/>
      <c r="J4742" s="37"/>
    </row>
    <row r="4743" spans="1:10" x14ac:dyDescent="0.3">
      <c r="A4743" s="130"/>
      <c r="B4743" s="37"/>
      <c r="C4743" s="37"/>
      <c r="D4743" s="37"/>
      <c r="E4743" s="37"/>
      <c r="F4743" s="37"/>
      <c r="G4743" s="37"/>
      <c r="H4743" s="37"/>
      <c r="I4743" s="37"/>
      <c r="J4743" s="37"/>
    </row>
    <row r="4744" spans="1:10" x14ac:dyDescent="0.3">
      <c r="A4744" s="130"/>
      <c r="B4744" s="37"/>
      <c r="C4744" s="37"/>
      <c r="D4744" s="37"/>
      <c r="E4744" s="37"/>
      <c r="F4744" s="37"/>
      <c r="G4744" s="37"/>
      <c r="H4744" s="37"/>
      <c r="I4744" s="37"/>
      <c r="J4744" s="37"/>
    </row>
    <row r="4745" spans="1:10" x14ac:dyDescent="0.3">
      <c r="A4745" s="130"/>
      <c r="B4745" s="37"/>
      <c r="C4745" s="37"/>
      <c r="D4745" s="37"/>
      <c r="E4745" s="37"/>
      <c r="F4745" s="37"/>
      <c r="G4745" s="37"/>
      <c r="H4745" s="37"/>
      <c r="I4745" s="37"/>
      <c r="J4745" s="37"/>
    </row>
    <row r="4746" spans="1:10" x14ac:dyDescent="0.3">
      <c r="A4746" s="130"/>
      <c r="B4746" s="37"/>
      <c r="C4746" s="37"/>
      <c r="D4746" s="37"/>
      <c r="E4746" s="37"/>
      <c r="F4746" s="37"/>
      <c r="G4746" s="37"/>
      <c r="H4746" s="37"/>
      <c r="I4746" s="37"/>
      <c r="J4746" s="37"/>
    </row>
    <row r="4747" spans="1:10" x14ac:dyDescent="0.3">
      <c r="A4747" s="130"/>
      <c r="B4747" s="37"/>
      <c r="C4747" s="37"/>
      <c r="D4747" s="37"/>
      <c r="E4747" s="37"/>
      <c r="F4747" s="37"/>
      <c r="G4747" s="37"/>
      <c r="H4747" s="37"/>
      <c r="I4747" s="37"/>
      <c r="J4747" s="37"/>
    </row>
    <row r="4748" spans="1:10" x14ac:dyDescent="0.3">
      <c r="A4748" s="130"/>
      <c r="B4748" s="37"/>
      <c r="C4748" s="37"/>
      <c r="D4748" s="37"/>
      <c r="E4748" s="37"/>
      <c r="F4748" s="37"/>
      <c r="G4748" s="37"/>
      <c r="H4748" s="37"/>
      <c r="I4748" s="37"/>
      <c r="J4748" s="37"/>
    </row>
    <row r="4749" spans="1:10" x14ac:dyDescent="0.3">
      <c r="A4749" s="130"/>
      <c r="B4749" s="37"/>
      <c r="C4749" s="37"/>
      <c r="D4749" s="37"/>
      <c r="E4749" s="37"/>
      <c r="F4749" s="37"/>
      <c r="G4749" s="37"/>
      <c r="H4749" s="37"/>
      <c r="I4749" s="37"/>
      <c r="J4749" s="37"/>
    </row>
    <row r="4750" spans="1:10" x14ac:dyDescent="0.3">
      <c r="A4750" s="130"/>
      <c r="B4750" s="37"/>
      <c r="C4750" s="37"/>
      <c r="D4750" s="37"/>
      <c r="E4750" s="37"/>
      <c r="F4750" s="37"/>
      <c r="G4750" s="37"/>
      <c r="H4750" s="37"/>
      <c r="I4750" s="37"/>
      <c r="J4750" s="37"/>
    </row>
    <row r="4751" spans="1:10" x14ac:dyDescent="0.3">
      <c r="A4751" s="130"/>
      <c r="B4751" s="37"/>
      <c r="C4751" s="37"/>
      <c r="D4751" s="37"/>
      <c r="E4751" s="37"/>
      <c r="F4751" s="37"/>
      <c r="G4751" s="37"/>
      <c r="H4751" s="37"/>
      <c r="I4751" s="37"/>
      <c r="J4751" s="37"/>
    </row>
    <row r="4752" spans="1:10" x14ac:dyDescent="0.3">
      <c r="A4752" s="130"/>
      <c r="B4752" s="37"/>
      <c r="C4752" s="37"/>
      <c r="D4752" s="37"/>
      <c r="E4752" s="37"/>
      <c r="F4752" s="37"/>
      <c r="G4752" s="37"/>
      <c r="H4752" s="37"/>
      <c r="I4752" s="37"/>
      <c r="J4752" s="37"/>
    </row>
    <row r="4753" spans="1:10" x14ac:dyDescent="0.3">
      <c r="A4753" s="130"/>
      <c r="B4753" s="37"/>
      <c r="C4753" s="37"/>
      <c r="D4753" s="37"/>
      <c r="E4753" s="37"/>
      <c r="F4753" s="37"/>
      <c r="G4753" s="37"/>
      <c r="H4753" s="37"/>
      <c r="I4753" s="37"/>
      <c r="J4753" s="37"/>
    </row>
    <row r="4754" spans="1:10" x14ac:dyDescent="0.3">
      <c r="A4754" s="130"/>
      <c r="B4754" s="37"/>
      <c r="C4754" s="37"/>
      <c r="D4754" s="37"/>
      <c r="E4754" s="37"/>
      <c r="F4754" s="37"/>
      <c r="G4754" s="37"/>
      <c r="H4754" s="37"/>
      <c r="I4754" s="37"/>
      <c r="J4754" s="37"/>
    </row>
    <row r="4755" spans="1:10" x14ac:dyDescent="0.3">
      <c r="A4755" s="130"/>
      <c r="B4755" s="37"/>
      <c r="C4755" s="37"/>
      <c r="D4755" s="37"/>
      <c r="E4755" s="37"/>
      <c r="F4755" s="37"/>
      <c r="G4755" s="37"/>
      <c r="H4755" s="37"/>
      <c r="I4755" s="37"/>
      <c r="J4755" s="37"/>
    </row>
    <row r="4756" spans="1:10" x14ac:dyDescent="0.3">
      <c r="A4756" s="130"/>
      <c r="B4756" s="37"/>
      <c r="C4756" s="37"/>
      <c r="D4756" s="37"/>
      <c r="E4756" s="37"/>
      <c r="F4756" s="37"/>
      <c r="G4756" s="37"/>
      <c r="H4756" s="37"/>
      <c r="I4756" s="37"/>
      <c r="J4756" s="37"/>
    </row>
    <row r="4757" spans="1:10" x14ac:dyDescent="0.3">
      <c r="A4757" s="130"/>
      <c r="B4757" s="37"/>
      <c r="C4757" s="37"/>
      <c r="D4757" s="37"/>
      <c r="E4757" s="37"/>
      <c r="F4757" s="37"/>
      <c r="G4757" s="37"/>
      <c r="H4757" s="37"/>
      <c r="I4757" s="37"/>
      <c r="J4757" s="37"/>
    </row>
    <row r="4758" spans="1:10" x14ac:dyDescent="0.3">
      <c r="A4758" s="130"/>
      <c r="B4758" s="37"/>
      <c r="C4758" s="37"/>
      <c r="D4758" s="37"/>
      <c r="E4758" s="37"/>
      <c r="F4758" s="37"/>
      <c r="G4758" s="37"/>
      <c r="H4758" s="37"/>
      <c r="I4758" s="37"/>
      <c r="J4758" s="37"/>
    </row>
    <row r="4759" spans="1:10" x14ac:dyDescent="0.3">
      <c r="A4759" s="130"/>
      <c r="B4759" s="37"/>
      <c r="C4759" s="37"/>
      <c r="D4759" s="37"/>
      <c r="E4759" s="37"/>
      <c r="F4759" s="37"/>
      <c r="G4759" s="37"/>
      <c r="H4759" s="37"/>
      <c r="I4759" s="37"/>
      <c r="J4759" s="37"/>
    </row>
    <row r="4760" spans="1:10" x14ac:dyDescent="0.3">
      <c r="A4760" s="130"/>
      <c r="B4760" s="37"/>
      <c r="C4760" s="37"/>
      <c r="D4760" s="37"/>
      <c r="E4760" s="37"/>
      <c r="F4760" s="37"/>
      <c r="G4760" s="37"/>
      <c r="H4760" s="37"/>
      <c r="I4760" s="37"/>
      <c r="J4760" s="37"/>
    </row>
    <row r="4761" spans="1:10" x14ac:dyDescent="0.3">
      <c r="A4761" s="130"/>
      <c r="B4761" s="37"/>
      <c r="C4761" s="37"/>
      <c r="D4761" s="37"/>
      <c r="E4761" s="37"/>
      <c r="F4761" s="37"/>
      <c r="G4761" s="37"/>
      <c r="H4761" s="37"/>
      <c r="I4761" s="37"/>
      <c r="J4761" s="37"/>
    </row>
    <row r="4762" spans="1:10" x14ac:dyDescent="0.3">
      <c r="A4762" s="130"/>
      <c r="B4762" s="37"/>
      <c r="C4762" s="37"/>
      <c r="D4762" s="37"/>
      <c r="E4762" s="37"/>
      <c r="F4762" s="37"/>
      <c r="G4762" s="37"/>
      <c r="H4762" s="37"/>
      <c r="I4762" s="37"/>
      <c r="J4762" s="37"/>
    </row>
    <row r="4763" spans="1:10" x14ac:dyDescent="0.3">
      <c r="A4763" s="130"/>
      <c r="B4763" s="37"/>
      <c r="C4763" s="37"/>
      <c r="D4763" s="37"/>
      <c r="E4763" s="37"/>
      <c r="F4763" s="37"/>
      <c r="G4763" s="37"/>
      <c r="H4763" s="37"/>
      <c r="I4763" s="37"/>
      <c r="J4763" s="37"/>
    </row>
    <row r="4764" spans="1:10" x14ac:dyDescent="0.3">
      <c r="A4764" s="130"/>
      <c r="B4764" s="37"/>
      <c r="C4764" s="37"/>
      <c r="D4764" s="37"/>
      <c r="E4764" s="37"/>
      <c r="F4764" s="37"/>
      <c r="G4764" s="37"/>
      <c r="H4764" s="37"/>
      <c r="I4764" s="37"/>
      <c r="J4764" s="37"/>
    </row>
    <row r="4765" spans="1:10" x14ac:dyDescent="0.3">
      <c r="A4765" s="130"/>
      <c r="B4765" s="37"/>
      <c r="C4765" s="37"/>
      <c r="D4765" s="37"/>
      <c r="E4765" s="37"/>
      <c r="F4765" s="37"/>
      <c r="G4765" s="37"/>
      <c r="H4765" s="37"/>
      <c r="I4765" s="37"/>
      <c r="J4765" s="37"/>
    </row>
    <row r="4766" spans="1:10" x14ac:dyDescent="0.3">
      <c r="A4766" s="130"/>
      <c r="B4766" s="37"/>
      <c r="C4766" s="37"/>
      <c r="D4766" s="37"/>
      <c r="E4766" s="37"/>
      <c r="F4766" s="37"/>
      <c r="G4766" s="37"/>
      <c r="H4766" s="37"/>
      <c r="I4766" s="37"/>
      <c r="J4766" s="37"/>
    </row>
    <row r="4767" spans="1:10" x14ac:dyDescent="0.3">
      <c r="A4767" s="130"/>
      <c r="B4767" s="37"/>
      <c r="C4767" s="37"/>
      <c r="D4767" s="37"/>
      <c r="E4767" s="37"/>
      <c r="F4767" s="37"/>
      <c r="G4767" s="37"/>
      <c r="H4767" s="37"/>
      <c r="I4767" s="37"/>
      <c r="J4767" s="37"/>
    </row>
    <row r="4768" spans="1:10" x14ac:dyDescent="0.3">
      <c r="A4768" s="130"/>
      <c r="B4768" s="37"/>
      <c r="C4768" s="37"/>
      <c r="D4768" s="37"/>
      <c r="E4768" s="37"/>
      <c r="F4768" s="37"/>
      <c r="G4768" s="37"/>
      <c r="H4768" s="37"/>
      <c r="I4768" s="37"/>
      <c r="J4768" s="37"/>
    </row>
    <row r="4769" spans="1:10" x14ac:dyDescent="0.3">
      <c r="A4769" s="130"/>
      <c r="B4769" s="37"/>
      <c r="C4769" s="37"/>
      <c r="D4769" s="37"/>
      <c r="E4769" s="37"/>
      <c r="F4769" s="37"/>
      <c r="G4769" s="37"/>
      <c r="H4769" s="37"/>
      <c r="I4769" s="37"/>
      <c r="J4769" s="37"/>
    </row>
    <row r="4770" spans="1:10" x14ac:dyDescent="0.3">
      <c r="A4770" s="130"/>
      <c r="B4770" s="37"/>
      <c r="C4770" s="37"/>
      <c r="D4770" s="37"/>
      <c r="E4770" s="37"/>
      <c r="F4770" s="37"/>
      <c r="G4770" s="37"/>
      <c r="H4770" s="37"/>
      <c r="I4770" s="37"/>
      <c r="J4770" s="37"/>
    </row>
    <row r="4771" spans="1:10" x14ac:dyDescent="0.3">
      <c r="A4771" s="130"/>
      <c r="B4771" s="37"/>
      <c r="C4771" s="37"/>
      <c r="D4771" s="37"/>
      <c r="E4771" s="37"/>
      <c r="F4771" s="37"/>
      <c r="G4771" s="37"/>
      <c r="H4771" s="37"/>
      <c r="I4771" s="37"/>
      <c r="J4771" s="37"/>
    </row>
    <row r="4772" spans="1:10" x14ac:dyDescent="0.3">
      <c r="A4772" s="130"/>
      <c r="B4772" s="37"/>
      <c r="C4772" s="37"/>
      <c r="D4772" s="37"/>
      <c r="E4772" s="37"/>
      <c r="F4772" s="37"/>
      <c r="G4772" s="37"/>
      <c r="H4772" s="37"/>
      <c r="I4772" s="37"/>
      <c r="J4772" s="37"/>
    </row>
    <row r="4773" spans="1:10" x14ac:dyDescent="0.3">
      <c r="A4773" s="130"/>
      <c r="B4773" s="37"/>
      <c r="C4773" s="37"/>
      <c r="D4773" s="37"/>
      <c r="E4773" s="37"/>
      <c r="F4773" s="37"/>
      <c r="G4773" s="37"/>
      <c r="H4773" s="37"/>
      <c r="I4773" s="37"/>
      <c r="J4773" s="37"/>
    </row>
    <row r="4774" spans="1:10" x14ac:dyDescent="0.3">
      <c r="A4774" s="130"/>
      <c r="B4774" s="37"/>
      <c r="C4774" s="37"/>
      <c r="D4774" s="37"/>
      <c r="E4774" s="37"/>
      <c r="F4774" s="37"/>
      <c r="G4774" s="37"/>
      <c r="H4774" s="37"/>
      <c r="I4774" s="37"/>
      <c r="J4774" s="37"/>
    </row>
    <row r="4775" spans="1:10" x14ac:dyDescent="0.3">
      <c r="A4775" s="130"/>
      <c r="B4775" s="37"/>
      <c r="C4775" s="37"/>
      <c r="D4775" s="37"/>
      <c r="E4775" s="37"/>
      <c r="F4775" s="37"/>
      <c r="G4775" s="37"/>
      <c r="H4775" s="37"/>
      <c r="I4775" s="37"/>
      <c r="J4775" s="37"/>
    </row>
    <row r="4776" spans="1:10" x14ac:dyDescent="0.3">
      <c r="A4776" s="130"/>
      <c r="B4776" s="37"/>
      <c r="C4776" s="37"/>
      <c r="D4776" s="37"/>
      <c r="E4776" s="37"/>
      <c r="F4776" s="37"/>
      <c r="G4776" s="37"/>
      <c r="H4776" s="37"/>
      <c r="I4776" s="37"/>
      <c r="J4776" s="37"/>
    </row>
    <row r="4777" spans="1:10" x14ac:dyDescent="0.3">
      <c r="A4777" s="130"/>
      <c r="B4777" s="37"/>
      <c r="C4777" s="37"/>
      <c r="D4777" s="37"/>
      <c r="E4777" s="37"/>
      <c r="F4777" s="37"/>
      <c r="G4777" s="37"/>
      <c r="H4777" s="37"/>
      <c r="I4777" s="37"/>
      <c r="J4777" s="37"/>
    </row>
    <row r="4778" spans="1:10" x14ac:dyDescent="0.3">
      <c r="A4778" s="130"/>
      <c r="B4778" s="37"/>
      <c r="C4778" s="37"/>
      <c r="D4778" s="37"/>
      <c r="E4778" s="37"/>
      <c r="F4778" s="37"/>
      <c r="G4778" s="37"/>
      <c r="H4778" s="37"/>
      <c r="I4778" s="37"/>
      <c r="J4778" s="37"/>
    </row>
    <row r="4779" spans="1:10" x14ac:dyDescent="0.3">
      <c r="A4779" s="130"/>
      <c r="B4779" s="37"/>
      <c r="C4779" s="37"/>
      <c r="D4779" s="37"/>
      <c r="E4779" s="37"/>
      <c r="F4779" s="37"/>
      <c r="G4779" s="37"/>
      <c r="H4779" s="37"/>
      <c r="I4779" s="37"/>
      <c r="J4779" s="37"/>
    </row>
    <row r="4780" spans="1:10" x14ac:dyDescent="0.3">
      <c r="A4780" s="130"/>
      <c r="B4780" s="37"/>
      <c r="C4780" s="37"/>
      <c r="D4780" s="37"/>
      <c r="E4780" s="37"/>
      <c r="F4780" s="37"/>
      <c r="G4780" s="37"/>
      <c r="H4780" s="37"/>
      <c r="I4780" s="37"/>
      <c r="J4780" s="37"/>
    </row>
    <row r="4781" spans="1:10" x14ac:dyDescent="0.3">
      <c r="A4781" s="130"/>
      <c r="B4781" s="37"/>
      <c r="C4781" s="37"/>
      <c r="D4781" s="37"/>
      <c r="E4781" s="37"/>
      <c r="F4781" s="37"/>
      <c r="G4781" s="37"/>
      <c r="H4781" s="37"/>
      <c r="I4781" s="37"/>
      <c r="J4781" s="37"/>
    </row>
    <row r="4782" spans="1:10" x14ac:dyDescent="0.3">
      <c r="A4782" s="130"/>
      <c r="B4782" s="37"/>
      <c r="C4782" s="37"/>
      <c r="D4782" s="37"/>
      <c r="E4782" s="37"/>
      <c r="F4782" s="37"/>
      <c r="G4782" s="37"/>
      <c r="H4782" s="37"/>
      <c r="I4782" s="37"/>
      <c r="J4782" s="37"/>
    </row>
    <row r="4783" spans="1:10" x14ac:dyDescent="0.3">
      <c r="A4783" s="130"/>
      <c r="B4783" s="37"/>
      <c r="C4783" s="37"/>
      <c r="D4783" s="37"/>
      <c r="E4783" s="37"/>
      <c r="F4783" s="37"/>
      <c r="G4783" s="37"/>
      <c r="H4783" s="37"/>
      <c r="I4783" s="37"/>
      <c r="J4783" s="37"/>
    </row>
    <row r="4784" spans="1:10" x14ac:dyDescent="0.3">
      <c r="A4784" s="130"/>
      <c r="B4784" s="37"/>
      <c r="C4784" s="37"/>
      <c r="D4784" s="37"/>
      <c r="E4784" s="37"/>
      <c r="F4784" s="37"/>
      <c r="G4784" s="37"/>
      <c r="H4784" s="37"/>
      <c r="I4784" s="37"/>
      <c r="J4784" s="37"/>
    </row>
    <row r="4785" spans="1:10" x14ac:dyDescent="0.3">
      <c r="A4785" s="130"/>
      <c r="B4785" s="37"/>
      <c r="C4785" s="37"/>
      <c r="D4785" s="37"/>
      <c r="E4785" s="37"/>
      <c r="F4785" s="37"/>
      <c r="G4785" s="37"/>
      <c r="H4785" s="37"/>
      <c r="I4785" s="37"/>
      <c r="J4785" s="37"/>
    </row>
    <row r="4786" spans="1:10" x14ac:dyDescent="0.3">
      <c r="A4786" s="130"/>
      <c r="B4786" s="37"/>
      <c r="C4786" s="37"/>
      <c r="D4786" s="37"/>
      <c r="E4786" s="37"/>
      <c r="F4786" s="37"/>
      <c r="G4786" s="37"/>
      <c r="H4786" s="37"/>
      <c r="I4786" s="37"/>
      <c r="J4786" s="37"/>
    </row>
    <row r="4787" spans="1:10" x14ac:dyDescent="0.3">
      <c r="A4787" s="130"/>
      <c r="B4787" s="37"/>
      <c r="C4787" s="37"/>
      <c r="D4787" s="37"/>
      <c r="E4787" s="37"/>
      <c r="F4787" s="37"/>
      <c r="G4787" s="37"/>
      <c r="H4787" s="37"/>
      <c r="I4787" s="37"/>
      <c r="J4787" s="37"/>
    </row>
    <row r="4788" spans="1:10" x14ac:dyDescent="0.3">
      <c r="A4788" s="130"/>
      <c r="B4788" s="37"/>
      <c r="C4788" s="37"/>
      <c r="D4788" s="37"/>
      <c r="E4788" s="37"/>
      <c r="F4788" s="37"/>
      <c r="G4788" s="37"/>
      <c r="H4788" s="37"/>
      <c r="I4788" s="37"/>
      <c r="J4788" s="37"/>
    </row>
    <row r="4789" spans="1:10" x14ac:dyDescent="0.3">
      <c r="A4789" s="130"/>
      <c r="B4789" s="37"/>
      <c r="C4789" s="37"/>
      <c r="D4789" s="37"/>
      <c r="E4789" s="37"/>
      <c r="F4789" s="37"/>
      <c r="G4789" s="37"/>
      <c r="H4789" s="37"/>
      <c r="I4789" s="37"/>
      <c r="J4789" s="37"/>
    </row>
    <row r="4790" spans="1:10" x14ac:dyDescent="0.3">
      <c r="A4790" s="130"/>
      <c r="B4790" s="37"/>
      <c r="C4790" s="37"/>
      <c r="D4790" s="37"/>
      <c r="E4790" s="37"/>
      <c r="F4790" s="37"/>
      <c r="G4790" s="37"/>
      <c r="H4790" s="37"/>
      <c r="I4790" s="37"/>
      <c r="J4790" s="37"/>
    </row>
    <row r="4791" spans="1:10" x14ac:dyDescent="0.3">
      <c r="A4791" s="130"/>
      <c r="B4791" s="37"/>
      <c r="C4791" s="37"/>
      <c r="D4791" s="37"/>
      <c r="E4791" s="37"/>
      <c r="F4791" s="37"/>
      <c r="G4791" s="37"/>
      <c r="H4791" s="37"/>
      <c r="I4791" s="37"/>
      <c r="J4791" s="37"/>
    </row>
    <row r="4792" spans="1:10" x14ac:dyDescent="0.3">
      <c r="A4792" s="130"/>
      <c r="B4792" s="37"/>
      <c r="C4792" s="37"/>
      <c r="D4792" s="37"/>
      <c r="E4792" s="37"/>
      <c r="F4792" s="37"/>
      <c r="G4792" s="37"/>
      <c r="H4792" s="37"/>
      <c r="I4792" s="37"/>
      <c r="J4792" s="37"/>
    </row>
    <row r="4793" spans="1:10" x14ac:dyDescent="0.3">
      <c r="A4793" s="130"/>
      <c r="B4793" s="37"/>
      <c r="C4793" s="37"/>
      <c r="D4793" s="37"/>
      <c r="E4793" s="37"/>
      <c r="F4793" s="37"/>
      <c r="G4793" s="37"/>
      <c r="H4793" s="37"/>
      <c r="I4793" s="37"/>
      <c r="J4793" s="37"/>
    </row>
    <row r="4794" spans="1:10" x14ac:dyDescent="0.3">
      <c r="A4794" s="130"/>
      <c r="B4794" s="37"/>
      <c r="C4794" s="37"/>
      <c r="D4794" s="37"/>
      <c r="E4794" s="37"/>
      <c r="F4794" s="37"/>
      <c r="G4794" s="37"/>
      <c r="H4794" s="37"/>
      <c r="I4794" s="37"/>
      <c r="J4794" s="37"/>
    </row>
    <row r="4795" spans="1:10" x14ac:dyDescent="0.3">
      <c r="A4795" s="130"/>
      <c r="B4795" s="37"/>
      <c r="C4795" s="37"/>
      <c r="D4795" s="37"/>
      <c r="E4795" s="37"/>
      <c r="F4795" s="37"/>
      <c r="G4795" s="37"/>
      <c r="H4795" s="37"/>
      <c r="I4795" s="37"/>
      <c r="J4795" s="37"/>
    </row>
    <row r="4796" spans="1:10" x14ac:dyDescent="0.3">
      <c r="A4796" s="130"/>
      <c r="B4796" s="37"/>
      <c r="C4796" s="37"/>
      <c r="D4796" s="37"/>
      <c r="E4796" s="37"/>
      <c r="F4796" s="37"/>
      <c r="G4796" s="37"/>
      <c r="H4796" s="37"/>
      <c r="I4796" s="37"/>
      <c r="J4796" s="37"/>
    </row>
    <row r="4797" spans="1:10" x14ac:dyDescent="0.3">
      <c r="A4797" s="130"/>
      <c r="B4797" s="37"/>
      <c r="C4797" s="37"/>
      <c r="D4797" s="37"/>
      <c r="E4797" s="37"/>
      <c r="F4797" s="37"/>
      <c r="G4797" s="37"/>
      <c r="H4797" s="37"/>
      <c r="I4797" s="37"/>
      <c r="J4797" s="37"/>
    </row>
    <row r="4798" spans="1:10" x14ac:dyDescent="0.3">
      <c r="A4798" s="130"/>
      <c r="B4798" s="37"/>
      <c r="C4798" s="37"/>
      <c r="D4798" s="37"/>
      <c r="E4798" s="37"/>
      <c r="F4798" s="37"/>
      <c r="G4798" s="37"/>
      <c r="H4798" s="37"/>
      <c r="I4798" s="37"/>
      <c r="J4798" s="37"/>
    </row>
    <row r="4799" spans="1:10" x14ac:dyDescent="0.3">
      <c r="A4799" s="130"/>
      <c r="B4799" s="37"/>
      <c r="C4799" s="37"/>
      <c r="D4799" s="37"/>
      <c r="E4799" s="37"/>
      <c r="F4799" s="37"/>
      <c r="G4799" s="37"/>
      <c r="H4799" s="37"/>
      <c r="I4799" s="37"/>
      <c r="J4799" s="37"/>
    </row>
    <row r="4800" spans="1:10" x14ac:dyDescent="0.3">
      <c r="A4800" s="130"/>
      <c r="B4800" s="37"/>
      <c r="C4800" s="37"/>
      <c r="D4800" s="37"/>
      <c r="E4800" s="37"/>
      <c r="F4800" s="37"/>
      <c r="G4800" s="37"/>
      <c r="H4800" s="37"/>
      <c r="I4800" s="37"/>
      <c r="J4800" s="37"/>
    </row>
    <row r="4801" spans="1:10" x14ac:dyDescent="0.3">
      <c r="A4801" s="130"/>
      <c r="B4801" s="37"/>
      <c r="C4801" s="37"/>
      <c r="D4801" s="37"/>
      <c r="E4801" s="37"/>
      <c r="F4801" s="37"/>
      <c r="G4801" s="37"/>
      <c r="H4801" s="37"/>
      <c r="I4801" s="37"/>
      <c r="J4801" s="37"/>
    </row>
    <row r="4802" spans="1:10" x14ac:dyDescent="0.3">
      <c r="A4802" s="130"/>
      <c r="B4802" s="37"/>
      <c r="C4802" s="37"/>
      <c r="D4802" s="37"/>
      <c r="E4802" s="37"/>
      <c r="F4802" s="37"/>
      <c r="G4802" s="37"/>
      <c r="H4802" s="37"/>
      <c r="I4802" s="37"/>
      <c r="J4802" s="37"/>
    </row>
    <row r="4803" spans="1:10" x14ac:dyDescent="0.3">
      <c r="A4803" s="130"/>
      <c r="B4803" s="37"/>
      <c r="C4803" s="37"/>
      <c r="D4803" s="37"/>
      <c r="E4803" s="37"/>
      <c r="F4803" s="37"/>
      <c r="G4803" s="37"/>
      <c r="H4803" s="37"/>
      <c r="I4803" s="37"/>
      <c r="J4803" s="37"/>
    </row>
    <row r="4804" spans="1:10" x14ac:dyDescent="0.3">
      <c r="A4804" s="130"/>
      <c r="B4804" s="37"/>
      <c r="C4804" s="37"/>
      <c r="D4804" s="37"/>
      <c r="E4804" s="37"/>
      <c r="F4804" s="37"/>
      <c r="G4804" s="37"/>
      <c r="H4804" s="37"/>
      <c r="I4804" s="37"/>
      <c r="J4804" s="37"/>
    </row>
    <row r="4805" spans="1:10" x14ac:dyDescent="0.3">
      <c r="A4805" s="130"/>
      <c r="B4805" s="37"/>
      <c r="C4805" s="37"/>
      <c r="D4805" s="37"/>
      <c r="E4805" s="37"/>
      <c r="F4805" s="37"/>
      <c r="G4805" s="37"/>
      <c r="H4805" s="37"/>
      <c r="I4805" s="37"/>
      <c r="J4805" s="37"/>
    </row>
    <row r="4806" spans="1:10" x14ac:dyDescent="0.3">
      <c r="A4806" s="130"/>
      <c r="B4806" s="37"/>
      <c r="C4806" s="37"/>
      <c r="D4806" s="37"/>
      <c r="E4806" s="37"/>
      <c r="F4806" s="37"/>
      <c r="G4806" s="37"/>
      <c r="H4806" s="37"/>
      <c r="I4806" s="37"/>
      <c r="J4806" s="37"/>
    </row>
    <row r="4807" spans="1:10" x14ac:dyDescent="0.3">
      <c r="A4807" s="130"/>
      <c r="B4807" s="37"/>
      <c r="C4807" s="37"/>
      <c r="D4807" s="37"/>
      <c r="E4807" s="37"/>
      <c r="F4807" s="37"/>
      <c r="G4807" s="37"/>
      <c r="H4807" s="37"/>
      <c r="I4807" s="37"/>
      <c r="J4807" s="37"/>
    </row>
    <row r="4808" spans="1:10" x14ac:dyDescent="0.3">
      <c r="A4808" s="130"/>
      <c r="B4808" s="37"/>
      <c r="C4808" s="37"/>
      <c r="D4808" s="37"/>
      <c r="E4808" s="37"/>
      <c r="F4808" s="37"/>
      <c r="G4808" s="37"/>
      <c r="H4808" s="37"/>
      <c r="I4808" s="37"/>
      <c r="J4808" s="37"/>
    </row>
    <row r="4809" spans="1:10" x14ac:dyDescent="0.3">
      <c r="A4809" s="130"/>
      <c r="B4809" s="37"/>
      <c r="C4809" s="37"/>
      <c r="D4809" s="37"/>
      <c r="E4809" s="37"/>
      <c r="F4809" s="37"/>
      <c r="G4809" s="37"/>
      <c r="H4809" s="37"/>
      <c r="I4809" s="37"/>
      <c r="J4809" s="37"/>
    </row>
    <row r="4810" spans="1:10" x14ac:dyDescent="0.3">
      <c r="A4810" s="130"/>
      <c r="B4810" s="37"/>
      <c r="C4810" s="37"/>
      <c r="D4810" s="37"/>
      <c r="E4810" s="37"/>
      <c r="F4810" s="37"/>
      <c r="G4810" s="37"/>
      <c r="H4810" s="37"/>
      <c r="I4810" s="37"/>
      <c r="J4810" s="37"/>
    </row>
    <row r="4811" spans="1:10" x14ac:dyDescent="0.3">
      <c r="A4811" s="130"/>
      <c r="B4811" s="37"/>
      <c r="C4811" s="37"/>
      <c r="D4811" s="37"/>
      <c r="E4811" s="37"/>
      <c r="F4811" s="37"/>
      <c r="G4811" s="37"/>
      <c r="H4811" s="37"/>
      <c r="I4811" s="37"/>
      <c r="J4811" s="37"/>
    </row>
    <row r="4812" spans="1:10" x14ac:dyDescent="0.3">
      <c r="A4812" s="130"/>
      <c r="B4812" s="37"/>
      <c r="C4812" s="37"/>
      <c r="D4812" s="37"/>
      <c r="E4812" s="37"/>
      <c r="F4812" s="37"/>
      <c r="G4812" s="37"/>
      <c r="H4812" s="37"/>
      <c r="I4812" s="37"/>
      <c r="J4812" s="37"/>
    </row>
    <row r="4813" spans="1:10" x14ac:dyDescent="0.3">
      <c r="A4813" s="130"/>
      <c r="B4813" s="37"/>
      <c r="C4813" s="37"/>
      <c r="D4813" s="37"/>
      <c r="E4813" s="37"/>
      <c r="F4813" s="37"/>
      <c r="G4813" s="37"/>
      <c r="H4813" s="37"/>
      <c r="I4813" s="37"/>
      <c r="J4813" s="37"/>
    </row>
    <row r="4814" spans="1:10" x14ac:dyDescent="0.3">
      <c r="A4814" s="130"/>
      <c r="B4814" s="37"/>
      <c r="C4814" s="37"/>
      <c r="D4814" s="37"/>
      <c r="E4814" s="37"/>
      <c r="F4814" s="37"/>
      <c r="G4814" s="37"/>
      <c r="H4814" s="37"/>
      <c r="I4814" s="37"/>
      <c r="J4814" s="37"/>
    </row>
    <row r="4815" spans="1:10" x14ac:dyDescent="0.3">
      <c r="A4815" s="130"/>
      <c r="B4815" s="37"/>
      <c r="C4815" s="37"/>
      <c r="D4815" s="37"/>
      <c r="E4815" s="37"/>
      <c r="F4815" s="37"/>
      <c r="G4815" s="37"/>
      <c r="H4815" s="37"/>
      <c r="I4815" s="37"/>
      <c r="J4815" s="37"/>
    </row>
    <row r="4816" spans="1:10" x14ac:dyDescent="0.3">
      <c r="A4816" s="130"/>
      <c r="B4816" s="37"/>
      <c r="C4816" s="37"/>
      <c r="D4816" s="37"/>
      <c r="E4816" s="37"/>
      <c r="F4816" s="37"/>
      <c r="G4816" s="37"/>
      <c r="H4816" s="37"/>
      <c r="I4816" s="37"/>
      <c r="J4816" s="37"/>
    </row>
    <row r="4817" spans="1:10" x14ac:dyDescent="0.3">
      <c r="A4817" s="130"/>
      <c r="B4817" s="37"/>
      <c r="C4817" s="37"/>
      <c r="D4817" s="37"/>
      <c r="E4817" s="37"/>
      <c r="F4817" s="37"/>
      <c r="G4817" s="37"/>
      <c r="H4817" s="37"/>
      <c r="I4817" s="37"/>
      <c r="J4817" s="37"/>
    </row>
    <row r="4818" spans="1:10" x14ac:dyDescent="0.3">
      <c r="A4818" s="130"/>
      <c r="B4818" s="37"/>
      <c r="C4818" s="37"/>
      <c r="D4818" s="37"/>
      <c r="E4818" s="37"/>
      <c r="F4818" s="37"/>
      <c r="G4818" s="37"/>
      <c r="H4818" s="37"/>
      <c r="I4818" s="37"/>
      <c r="J4818" s="37"/>
    </row>
    <row r="4819" spans="1:10" x14ac:dyDescent="0.3">
      <c r="A4819" s="130"/>
      <c r="B4819" s="37"/>
      <c r="C4819" s="37"/>
      <c r="D4819" s="37"/>
      <c r="E4819" s="37"/>
      <c r="F4819" s="37"/>
      <c r="G4819" s="37"/>
      <c r="H4819" s="37"/>
      <c r="I4819" s="37"/>
      <c r="J4819" s="37"/>
    </row>
    <row r="4820" spans="1:10" x14ac:dyDescent="0.3">
      <c r="A4820" s="130"/>
      <c r="B4820" s="37"/>
      <c r="C4820" s="37"/>
      <c r="D4820" s="37"/>
      <c r="E4820" s="37"/>
      <c r="F4820" s="37"/>
      <c r="G4820" s="37"/>
      <c r="H4820" s="37"/>
      <c r="I4820" s="37"/>
      <c r="J4820" s="37"/>
    </row>
    <row r="4821" spans="1:10" x14ac:dyDescent="0.3">
      <c r="A4821" s="130"/>
      <c r="B4821" s="37"/>
      <c r="C4821" s="37"/>
      <c r="D4821" s="37"/>
      <c r="E4821" s="37"/>
      <c r="F4821" s="37"/>
      <c r="G4821" s="37"/>
      <c r="H4821" s="37"/>
      <c r="I4821" s="37"/>
      <c r="J4821" s="37"/>
    </row>
    <row r="4822" spans="1:10" x14ac:dyDescent="0.3">
      <c r="A4822" s="130"/>
      <c r="B4822" s="37"/>
      <c r="C4822" s="37"/>
      <c r="D4822" s="37"/>
      <c r="E4822" s="37"/>
      <c r="F4822" s="37"/>
      <c r="G4822" s="37"/>
      <c r="H4822" s="37"/>
      <c r="I4822" s="37"/>
      <c r="J4822" s="37"/>
    </row>
    <row r="4823" spans="1:10" x14ac:dyDescent="0.3">
      <c r="A4823" s="130"/>
      <c r="B4823" s="37"/>
      <c r="C4823" s="37"/>
      <c r="D4823" s="37"/>
      <c r="E4823" s="37"/>
      <c r="F4823" s="37"/>
      <c r="G4823" s="37"/>
      <c r="H4823" s="37"/>
      <c r="I4823" s="37"/>
      <c r="J4823" s="37"/>
    </row>
    <row r="4824" spans="1:10" x14ac:dyDescent="0.3">
      <c r="A4824" s="130"/>
      <c r="B4824" s="37"/>
      <c r="C4824" s="37"/>
      <c r="D4824" s="37"/>
      <c r="E4824" s="37"/>
      <c r="F4824" s="37"/>
      <c r="G4824" s="37"/>
      <c r="H4824" s="37"/>
      <c r="I4824" s="37"/>
      <c r="J4824" s="37"/>
    </row>
    <row r="4825" spans="1:10" x14ac:dyDescent="0.3">
      <c r="A4825" s="130"/>
      <c r="B4825" s="37"/>
      <c r="C4825" s="37"/>
      <c r="D4825" s="37"/>
      <c r="E4825" s="37"/>
      <c r="F4825" s="37"/>
      <c r="G4825" s="37"/>
      <c r="H4825" s="37"/>
      <c r="I4825" s="37"/>
      <c r="J4825" s="37"/>
    </row>
    <row r="4826" spans="1:10" x14ac:dyDescent="0.3">
      <c r="A4826" s="130"/>
      <c r="B4826" s="37"/>
      <c r="C4826" s="37"/>
      <c r="D4826" s="37"/>
      <c r="E4826" s="37"/>
      <c r="F4826" s="37"/>
      <c r="G4826" s="37"/>
      <c r="H4826" s="37"/>
      <c r="I4826" s="37"/>
      <c r="J4826" s="37"/>
    </row>
    <row r="4827" spans="1:10" x14ac:dyDescent="0.3">
      <c r="A4827" s="130"/>
      <c r="B4827" s="37"/>
      <c r="C4827" s="37"/>
      <c r="D4827" s="37"/>
      <c r="E4827" s="37"/>
      <c r="F4827" s="37"/>
      <c r="G4827" s="37"/>
      <c r="H4827" s="37"/>
      <c r="I4827" s="37"/>
      <c r="J4827" s="37"/>
    </row>
    <row r="4828" spans="1:10" x14ac:dyDescent="0.3">
      <c r="A4828" s="130"/>
      <c r="B4828" s="37"/>
      <c r="C4828" s="37"/>
      <c r="D4828" s="37"/>
      <c r="E4828" s="37"/>
      <c r="F4828" s="37"/>
      <c r="G4828" s="37"/>
      <c r="H4828" s="37"/>
      <c r="I4828" s="37"/>
      <c r="J4828" s="37"/>
    </row>
    <row r="4829" spans="1:10" x14ac:dyDescent="0.3">
      <c r="A4829" s="130"/>
      <c r="B4829" s="37"/>
      <c r="C4829" s="37"/>
      <c r="D4829" s="37"/>
      <c r="E4829" s="37"/>
      <c r="F4829" s="37"/>
      <c r="G4829" s="37"/>
      <c r="H4829" s="37"/>
      <c r="I4829" s="37"/>
      <c r="J4829" s="37"/>
    </row>
    <row r="4830" spans="1:10" x14ac:dyDescent="0.3">
      <c r="A4830" s="130"/>
      <c r="B4830" s="37"/>
      <c r="C4830" s="37"/>
      <c r="D4830" s="37"/>
      <c r="E4830" s="37"/>
      <c r="F4830" s="37"/>
      <c r="G4830" s="37"/>
      <c r="H4830" s="37"/>
      <c r="I4830" s="37"/>
      <c r="J4830" s="37"/>
    </row>
    <row r="4831" spans="1:10" x14ac:dyDescent="0.3">
      <c r="A4831" s="130"/>
      <c r="B4831" s="37"/>
      <c r="C4831" s="37"/>
      <c r="D4831" s="37"/>
      <c r="E4831" s="37"/>
      <c r="F4831" s="37"/>
      <c r="G4831" s="37"/>
      <c r="H4831" s="37"/>
      <c r="I4831" s="37"/>
      <c r="J4831" s="37"/>
    </row>
    <row r="4832" spans="1:10" x14ac:dyDescent="0.3">
      <c r="A4832" s="130"/>
      <c r="B4832" s="37"/>
      <c r="C4832" s="37"/>
      <c r="D4832" s="37"/>
      <c r="E4832" s="37"/>
      <c r="F4832" s="37"/>
      <c r="G4832" s="37"/>
      <c r="H4832" s="37"/>
      <c r="I4832" s="37"/>
      <c r="J4832" s="37"/>
    </row>
    <row r="4833" spans="1:10" x14ac:dyDescent="0.3">
      <c r="A4833" s="130"/>
      <c r="B4833" s="37"/>
      <c r="C4833" s="37"/>
      <c r="D4833" s="37"/>
      <c r="E4833" s="37"/>
      <c r="F4833" s="37"/>
      <c r="G4833" s="37"/>
      <c r="H4833" s="37"/>
      <c r="I4833" s="37"/>
      <c r="J4833" s="37"/>
    </row>
    <row r="4834" spans="1:10" x14ac:dyDescent="0.3">
      <c r="A4834" s="130"/>
      <c r="B4834" s="37"/>
      <c r="C4834" s="37"/>
      <c r="D4834" s="37"/>
      <c r="E4834" s="37"/>
      <c r="F4834" s="37"/>
      <c r="G4834" s="37"/>
      <c r="H4834" s="37"/>
      <c r="I4834" s="37"/>
      <c r="J4834" s="37"/>
    </row>
    <row r="4835" spans="1:10" x14ac:dyDescent="0.3">
      <c r="A4835" s="130"/>
      <c r="B4835" s="37"/>
      <c r="C4835" s="37"/>
      <c r="D4835" s="37"/>
      <c r="E4835" s="37"/>
      <c r="F4835" s="37"/>
      <c r="G4835" s="37"/>
      <c r="H4835" s="37"/>
      <c r="I4835" s="37"/>
      <c r="J4835" s="37"/>
    </row>
    <row r="4836" spans="1:10" x14ac:dyDescent="0.3">
      <c r="A4836" s="130"/>
      <c r="B4836" s="37"/>
      <c r="C4836" s="37"/>
      <c r="D4836" s="37"/>
      <c r="E4836" s="37"/>
      <c r="F4836" s="37"/>
      <c r="G4836" s="37"/>
      <c r="H4836" s="37"/>
      <c r="I4836" s="37"/>
      <c r="J4836" s="37"/>
    </row>
    <row r="4837" spans="1:10" x14ac:dyDescent="0.3">
      <c r="A4837" s="130"/>
      <c r="B4837" s="37"/>
      <c r="C4837" s="37"/>
      <c r="D4837" s="37"/>
      <c r="E4837" s="37"/>
      <c r="F4837" s="37"/>
      <c r="G4837" s="37"/>
      <c r="H4837" s="37"/>
      <c r="I4837" s="37"/>
      <c r="J4837" s="37"/>
    </row>
    <row r="4838" spans="1:10" x14ac:dyDescent="0.3">
      <c r="A4838" s="130"/>
      <c r="B4838" s="37"/>
      <c r="C4838" s="37"/>
      <c r="D4838" s="37"/>
      <c r="E4838" s="37"/>
      <c r="F4838" s="37"/>
      <c r="G4838" s="37"/>
      <c r="H4838" s="37"/>
      <c r="I4838" s="37"/>
      <c r="J4838" s="37"/>
    </row>
    <row r="4839" spans="1:10" x14ac:dyDescent="0.3">
      <c r="A4839" s="130"/>
      <c r="B4839" s="37"/>
      <c r="C4839" s="37"/>
      <c r="D4839" s="37"/>
      <c r="E4839" s="37"/>
      <c r="F4839" s="37"/>
      <c r="G4839" s="37"/>
      <c r="H4839" s="37"/>
      <c r="I4839" s="37"/>
      <c r="J4839" s="37"/>
    </row>
    <row r="4840" spans="1:10" x14ac:dyDescent="0.3">
      <c r="A4840" s="130"/>
      <c r="B4840" s="37"/>
      <c r="C4840" s="37"/>
      <c r="D4840" s="37"/>
      <c r="E4840" s="37"/>
      <c r="F4840" s="37"/>
      <c r="G4840" s="37"/>
      <c r="H4840" s="37"/>
      <c r="I4840" s="37"/>
      <c r="J4840" s="37"/>
    </row>
    <row r="4841" spans="1:10" x14ac:dyDescent="0.3">
      <c r="A4841" s="130"/>
      <c r="B4841" s="37"/>
      <c r="C4841" s="37"/>
      <c r="D4841" s="37"/>
      <c r="E4841" s="37"/>
      <c r="F4841" s="37"/>
      <c r="G4841" s="37"/>
      <c r="H4841" s="37"/>
      <c r="I4841" s="37"/>
      <c r="J4841" s="37"/>
    </row>
    <row r="4842" spans="1:10" x14ac:dyDescent="0.3">
      <c r="A4842" s="130"/>
      <c r="B4842" s="37"/>
      <c r="C4842" s="37"/>
      <c r="D4842" s="37"/>
      <c r="E4842" s="37"/>
      <c r="F4842" s="37"/>
      <c r="G4842" s="37"/>
      <c r="H4842" s="37"/>
      <c r="I4842" s="37"/>
      <c r="J4842" s="37"/>
    </row>
    <row r="4843" spans="1:10" x14ac:dyDescent="0.3">
      <c r="A4843" s="130"/>
      <c r="B4843" s="37"/>
      <c r="C4843" s="37"/>
      <c r="D4843" s="37"/>
      <c r="E4843" s="37"/>
      <c r="F4843" s="37"/>
      <c r="G4843" s="37"/>
      <c r="H4843" s="37"/>
      <c r="I4843" s="37"/>
      <c r="J4843" s="37"/>
    </row>
    <row r="4844" spans="1:10" x14ac:dyDescent="0.3">
      <c r="A4844" s="130"/>
      <c r="B4844" s="37"/>
      <c r="C4844" s="37"/>
      <c r="D4844" s="37"/>
      <c r="E4844" s="37"/>
      <c r="F4844" s="37"/>
      <c r="G4844" s="37"/>
      <c r="H4844" s="37"/>
      <c r="I4844" s="37"/>
      <c r="J4844" s="37"/>
    </row>
    <row r="4845" spans="1:10" x14ac:dyDescent="0.3">
      <c r="A4845" s="130"/>
      <c r="B4845" s="37"/>
      <c r="C4845" s="37"/>
      <c r="D4845" s="37"/>
      <c r="E4845" s="37"/>
      <c r="F4845" s="37"/>
      <c r="G4845" s="37"/>
      <c r="H4845" s="37"/>
      <c r="I4845" s="37"/>
      <c r="J4845" s="37"/>
    </row>
    <row r="4846" spans="1:10" x14ac:dyDescent="0.3">
      <c r="A4846" s="130"/>
      <c r="B4846" s="37"/>
      <c r="C4846" s="37"/>
      <c r="D4846" s="37"/>
      <c r="E4846" s="37"/>
      <c r="F4846" s="37"/>
      <c r="G4846" s="37"/>
      <c r="H4846" s="37"/>
      <c r="I4846" s="37"/>
      <c r="J4846" s="37"/>
    </row>
    <row r="4847" spans="1:10" x14ac:dyDescent="0.3">
      <c r="A4847" s="130"/>
      <c r="B4847" s="37"/>
      <c r="C4847" s="37"/>
      <c r="D4847" s="37"/>
      <c r="E4847" s="37"/>
      <c r="F4847" s="37"/>
      <c r="G4847" s="37"/>
      <c r="H4847" s="37"/>
      <c r="I4847" s="37"/>
      <c r="J4847" s="37"/>
    </row>
    <row r="4848" spans="1:10" x14ac:dyDescent="0.3">
      <c r="A4848" s="130"/>
      <c r="B4848" s="37"/>
      <c r="C4848" s="37"/>
      <c r="D4848" s="37"/>
      <c r="E4848" s="37"/>
      <c r="F4848" s="37"/>
      <c r="G4848" s="37"/>
      <c r="H4848" s="37"/>
      <c r="I4848" s="37"/>
      <c r="J4848" s="37"/>
    </row>
    <row r="4849" spans="1:10" x14ac:dyDescent="0.3">
      <c r="A4849" s="130"/>
      <c r="B4849" s="37"/>
      <c r="C4849" s="37"/>
      <c r="D4849" s="37"/>
      <c r="E4849" s="37"/>
      <c r="F4849" s="37"/>
      <c r="G4849" s="37"/>
      <c r="H4849" s="37"/>
      <c r="I4849" s="37"/>
      <c r="J4849" s="37"/>
    </row>
    <row r="4850" spans="1:10" x14ac:dyDescent="0.3">
      <c r="A4850" s="130"/>
      <c r="B4850" s="37"/>
      <c r="C4850" s="37"/>
      <c r="D4850" s="37"/>
      <c r="E4850" s="37"/>
      <c r="F4850" s="37"/>
      <c r="G4850" s="37"/>
      <c r="H4850" s="37"/>
      <c r="I4850" s="37"/>
      <c r="J4850" s="37"/>
    </row>
    <row r="4851" spans="1:10" x14ac:dyDescent="0.3">
      <c r="A4851" s="130"/>
      <c r="B4851" s="37"/>
      <c r="C4851" s="37"/>
      <c r="D4851" s="37"/>
      <c r="E4851" s="37"/>
      <c r="F4851" s="37"/>
      <c r="G4851" s="37"/>
      <c r="H4851" s="37"/>
      <c r="I4851" s="37"/>
      <c r="J4851" s="37"/>
    </row>
    <row r="4852" spans="1:10" x14ac:dyDescent="0.3">
      <c r="A4852" s="130"/>
      <c r="B4852" s="37"/>
      <c r="C4852" s="37"/>
      <c r="D4852" s="37"/>
      <c r="E4852" s="37"/>
      <c r="F4852" s="37"/>
      <c r="G4852" s="37"/>
      <c r="H4852" s="37"/>
      <c r="I4852" s="37"/>
      <c r="J4852" s="37"/>
    </row>
    <row r="4853" spans="1:10" x14ac:dyDescent="0.3">
      <c r="A4853" s="130"/>
      <c r="B4853" s="37"/>
      <c r="C4853" s="37"/>
      <c r="D4853" s="37"/>
      <c r="E4853" s="37"/>
      <c r="F4853" s="37"/>
      <c r="G4853" s="37"/>
      <c r="H4853" s="37"/>
      <c r="I4853" s="37"/>
      <c r="J4853" s="37"/>
    </row>
    <row r="4854" spans="1:10" x14ac:dyDescent="0.3">
      <c r="A4854" s="130"/>
      <c r="B4854" s="37"/>
      <c r="C4854" s="37"/>
      <c r="D4854" s="37"/>
      <c r="E4854" s="37"/>
      <c r="F4854" s="37"/>
      <c r="G4854" s="37"/>
      <c r="H4854" s="37"/>
      <c r="I4854" s="37"/>
      <c r="J4854" s="37"/>
    </row>
    <row r="4855" spans="1:10" x14ac:dyDescent="0.3">
      <c r="A4855" s="130"/>
      <c r="B4855" s="37"/>
      <c r="C4855" s="37"/>
      <c r="D4855" s="37"/>
      <c r="E4855" s="37"/>
      <c r="F4855" s="37"/>
      <c r="G4855" s="37"/>
      <c r="H4855" s="37"/>
      <c r="I4855" s="37"/>
      <c r="J4855" s="37"/>
    </row>
    <row r="4856" spans="1:10" x14ac:dyDescent="0.3">
      <c r="A4856" s="130"/>
      <c r="B4856" s="37"/>
      <c r="C4856" s="37"/>
      <c r="D4856" s="37"/>
      <c r="E4856" s="37"/>
      <c r="F4856" s="37"/>
      <c r="G4856" s="37"/>
      <c r="H4856" s="37"/>
      <c r="I4856" s="37"/>
      <c r="J4856" s="37"/>
    </row>
    <row r="4857" spans="1:10" x14ac:dyDescent="0.3">
      <c r="A4857" s="130"/>
      <c r="B4857" s="37"/>
      <c r="C4857" s="37"/>
      <c r="D4857" s="37"/>
      <c r="E4857" s="37"/>
      <c r="F4857" s="37"/>
      <c r="G4857" s="37"/>
      <c r="H4857" s="37"/>
      <c r="I4857" s="37"/>
      <c r="J4857" s="37"/>
    </row>
    <row r="4858" spans="1:10" x14ac:dyDescent="0.3">
      <c r="A4858" s="130"/>
      <c r="B4858" s="37"/>
      <c r="C4858" s="37"/>
      <c r="D4858" s="37"/>
      <c r="E4858" s="37"/>
      <c r="F4858" s="37"/>
      <c r="G4858" s="37"/>
      <c r="H4858" s="37"/>
      <c r="I4858" s="37"/>
      <c r="J4858" s="37"/>
    </row>
    <row r="4859" spans="1:10" x14ac:dyDescent="0.3">
      <c r="A4859" s="130"/>
      <c r="B4859" s="37"/>
      <c r="C4859" s="37"/>
      <c r="D4859" s="37"/>
      <c r="E4859" s="37"/>
      <c r="F4859" s="37"/>
      <c r="G4859" s="37"/>
      <c r="H4859" s="37"/>
      <c r="I4859" s="37"/>
      <c r="J4859" s="37"/>
    </row>
    <row r="4860" spans="1:10" x14ac:dyDescent="0.3">
      <c r="A4860" s="130"/>
      <c r="B4860" s="37"/>
      <c r="C4860" s="37"/>
      <c r="D4860" s="37"/>
      <c r="E4860" s="37"/>
      <c r="F4860" s="37"/>
      <c r="G4860" s="37"/>
      <c r="H4860" s="37"/>
      <c r="I4860" s="37"/>
      <c r="J4860" s="37"/>
    </row>
    <row r="4861" spans="1:10" x14ac:dyDescent="0.3">
      <c r="A4861" s="130"/>
      <c r="B4861" s="37"/>
      <c r="C4861" s="37"/>
      <c r="D4861" s="37"/>
      <c r="E4861" s="37"/>
      <c r="F4861" s="37"/>
      <c r="G4861" s="37"/>
      <c r="H4861" s="37"/>
      <c r="I4861" s="37"/>
      <c r="J4861" s="37"/>
    </row>
    <row r="4862" spans="1:10" x14ac:dyDescent="0.3">
      <c r="A4862" s="130"/>
      <c r="B4862" s="37"/>
      <c r="C4862" s="37"/>
      <c r="D4862" s="37"/>
      <c r="E4862" s="37"/>
      <c r="F4862" s="37"/>
      <c r="G4862" s="37"/>
      <c r="H4862" s="37"/>
      <c r="I4862" s="37"/>
      <c r="J4862" s="37"/>
    </row>
    <row r="4863" spans="1:10" x14ac:dyDescent="0.3">
      <c r="A4863" s="130"/>
      <c r="B4863" s="37"/>
      <c r="C4863" s="37"/>
      <c r="D4863" s="37"/>
      <c r="E4863" s="37"/>
      <c r="F4863" s="37"/>
      <c r="G4863" s="37"/>
      <c r="H4863" s="37"/>
      <c r="I4863" s="37"/>
      <c r="J4863" s="37"/>
    </row>
    <row r="4864" spans="1:10" x14ac:dyDescent="0.3">
      <c r="A4864" s="130"/>
      <c r="B4864" s="37"/>
      <c r="C4864" s="37"/>
      <c r="D4864" s="37"/>
      <c r="E4864" s="37"/>
      <c r="F4864" s="37"/>
      <c r="G4864" s="37"/>
      <c r="H4864" s="37"/>
      <c r="I4864" s="37"/>
      <c r="J4864" s="37"/>
    </row>
    <row r="4865" spans="1:10" x14ac:dyDescent="0.3">
      <c r="A4865" s="130"/>
      <c r="B4865" s="37"/>
      <c r="C4865" s="37"/>
      <c r="D4865" s="37"/>
      <c r="E4865" s="37"/>
      <c r="F4865" s="37"/>
      <c r="G4865" s="37"/>
      <c r="H4865" s="37"/>
      <c r="I4865" s="37"/>
      <c r="J4865" s="37"/>
    </row>
    <row r="4866" spans="1:10" x14ac:dyDescent="0.3">
      <c r="A4866" s="130"/>
      <c r="B4866" s="37"/>
      <c r="C4866" s="37"/>
      <c r="D4866" s="37"/>
      <c r="E4866" s="37"/>
      <c r="F4866" s="37"/>
      <c r="G4866" s="37"/>
      <c r="H4866" s="37"/>
      <c r="I4866" s="37"/>
      <c r="J4866" s="37"/>
    </row>
    <row r="4867" spans="1:10" x14ac:dyDescent="0.3">
      <c r="A4867" s="130"/>
      <c r="B4867" s="37"/>
      <c r="C4867" s="37"/>
      <c r="D4867" s="37"/>
      <c r="E4867" s="37"/>
      <c r="F4867" s="37"/>
      <c r="G4867" s="37"/>
      <c r="H4867" s="37"/>
      <c r="I4867" s="37"/>
      <c r="J4867" s="37"/>
    </row>
    <row r="4868" spans="1:10" x14ac:dyDescent="0.3">
      <c r="A4868" s="130"/>
      <c r="B4868" s="37"/>
      <c r="C4868" s="37"/>
      <c r="D4868" s="37"/>
      <c r="E4868" s="37"/>
      <c r="F4868" s="37"/>
      <c r="G4868" s="37"/>
      <c r="H4868" s="37"/>
      <c r="I4868" s="37"/>
      <c r="J4868" s="37"/>
    </row>
    <row r="4869" spans="1:10" x14ac:dyDescent="0.3">
      <c r="A4869" s="130"/>
      <c r="B4869" s="37"/>
      <c r="C4869" s="37"/>
      <c r="D4869" s="37"/>
      <c r="E4869" s="37"/>
      <c r="F4869" s="37"/>
      <c r="G4869" s="37"/>
      <c r="H4869" s="37"/>
      <c r="I4869" s="37"/>
      <c r="J4869" s="37"/>
    </row>
    <row r="4870" spans="1:10" x14ac:dyDescent="0.3">
      <c r="A4870" s="130"/>
      <c r="B4870" s="37"/>
      <c r="C4870" s="37"/>
      <c r="D4870" s="37"/>
      <c r="E4870" s="37"/>
      <c r="F4870" s="37"/>
      <c r="G4870" s="37"/>
      <c r="H4870" s="37"/>
      <c r="I4870" s="37"/>
      <c r="J4870" s="37"/>
    </row>
    <row r="4871" spans="1:10" x14ac:dyDescent="0.3">
      <c r="A4871" s="130"/>
      <c r="B4871" s="37"/>
      <c r="C4871" s="37"/>
      <c r="D4871" s="37"/>
      <c r="E4871" s="37"/>
      <c r="F4871" s="37"/>
      <c r="G4871" s="37"/>
      <c r="H4871" s="37"/>
      <c r="I4871" s="37"/>
      <c r="J4871" s="37"/>
    </row>
    <row r="4872" spans="1:10" x14ac:dyDescent="0.3">
      <c r="A4872" s="130"/>
      <c r="B4872" s="37"/>
      <c r="C4872" s="37"/>
      <c r="D4872" s="37"/>
      <c r="E4872" s="37"/>
      <c r="F4872" s="37"/>
      <c r="G4872" s="37"/>
      <c r="H4872" s="37"/>
      <c r="I4872" s="37"/>
      <c r="J4872" s="37"/>
    </row>
    <row r="4873" spans="1:10" x14ac:dyDescent="0.3">
      <c r="A4873" s="130"/>
      <c r="B4873" s="37"/>
      <c r="C4873" s="37"/>
      <c r="D4873" s="37"/>
      <c r="E4873" s="37"/>
      <c r="F4873" s="37"/>
      <c r="G4873" s="37"/>
      <c r="H4873" s="37"/>
      <c r="I4873" s="37"/>
      <c r="J4873" s="37"/>
    </row>
    <row r="4874" spans="1:10" x14ac:dyDescent="0.3">
      <c r="A4874" s="130"/>
      <c r="B4874" s="37"/>
      <c r="C4874" s="37"/>
      <c r="D4874" s="37"/>
      <c r="E4874" s="37"/>
      <c r="F4874" s="37"/>
      <c r="G4874" s="37"/>
      <c r="H4874" s="37"/>
      <c r="I4874" s="37"/>
      <c r="J4874" s="37"/>
    </row>
    <row r="4875" spans="1:10" x14ac:dyDescent="0.3">
      <c r="A4875" s="130"/>
      <c r="B4875" s="37"/>
      <c r="C4875" s="37"/>
      <c r="D4875" s="37"/>
      <c r="E4875" s="37"/>
      <c r="F4875" s="37"/>
      <c r="G4875" s="37"/>
      <c r="H4875" s="37"/>
      <c r="I4875" s="37"/>
      <c r="J4875" s="37"/>
    </row>
    <row r="4876" spans="1:10" x14ac:dyDescent="0.3">
      <c r="A4876" s="130"/>
      <c r="B4876" s="37"/>
      <c r="C4876" s="37"/>
      <c r="D4876" s="37"/>
      <c r="E4876" s="37"/>
      <c r="F4876" s="37"/>
      <c r="G4876" s="37"/>
      <c r="H4876" s="37"/>
      <c r="I4876" s="37"/>
      <c r="J4876" s="37"/>
    </row>
    <row r="4877" spans="1:10" x14ac:dyDescent="0.3">
      <c r="A4877" s="130"/>
      <c r="B4877" s="37"/>
      <c r="C4877" s="37"/>
      <c r="D4877" s="37"/>
      <c r="E4877" s="37"/>
      <c r="F4877" s="37"/>
      <c r="G4877" s="37"/>
      <c r="H4877" s="37"/>
      <c r="I4877" s="37"/>
      <c r="J4877" s="37"/>
    </row>
    <row r="4878" spans="1:10" x14ac:dyDescent="0.3">
      <c r="A4878" s="130"/>
      <c r="B4878" s="37"/>
      <c r="C4878" s="37"/>
      <c r="D4878" s="37"/>
      <c r="E4878" s="37"/>
      <c r="F4878" s="37"/>
      <c r="G4878" s="37"/>
      <c r="H4878" s="37"/>
      <c r="I4878" s="37"/>
      <c r="J4878" s="37"/>
    </row>
    <row r="4879" spans="1:10" x14ac:dyDescent="0.3">
      <c r="A4879" s="130"/>
      <c r="B4879" s="37"/>
      <c r="C4879" s="37"/>
      <c r="D4879" s="37"/>
      <c r="E4879" s="37"/>
      <c r="F4879" s="37"/>
      <c r="G4879" s="37"/>
      <c r="H4879" s="37"/>
      <c r="I4879" s="37"/>
      <c r="J4879" s="37"/>
    </row>
    <row r="4880" spans="1:10" x14ac:dyDescent="0.3">
      <c r="A4880" s="130"/>
      <c r="B4880" s="37"/>
      <c r="C4880" s="37"/>
      <c r="D4880" s="37"/>
      <c r="E4880" s="37"/>
      <c r="F4880" s="37"/>
      <c r="G4880" s="37"/>
      <c r="H4880" s="37"/>
      <c r="I4880" s="37"/>
      <c r="J4880" s="37"/>
    </row>
    <row r="4881" spans="1:10" x14ac:dyDescent="0.3">
      <c r="A4881" s="130"/>
      <c r="B4881" s="37"/>
      <c r="C4881" s="37"/>
      <c r="D4881" s="37"/>
      <c r="E4881" s="37"/>
      <c r="F4881" s="37"/>
      <c r="G4881" s="37"/>
      <c r="H4881" s="37"/>
      <c r="I4881" s="37"/>
      <c r="J4881" s="37"/>
    </row>
    <row r="4882" spans="1:10" x14ac:dyDescent="0.3">
      <c r="A4882" s="130"/>
      <c r="B4882" s="37"/>
      <c r="C4882" s="37"/>
      <c r="D4882" s="37"/>
      <c r="E4882" s="37"/>
      <c r="F4882" s="37"/>
      <c r="G4882" s="37"/>
      <c r="H4882" s="37"/>
      <c r="I4882" s="37"/>
      <c r="J4882" s="37"/>
    </row>
    <row r="4883" spans="1:10" x14ac:dyDescent="0.3">
      <c r="A4883" s="130"/>
      <c r="B4883" s="37"/>
      <c r="C4883" s="37"/>
      <c r="D4883" s="37"/>
      <c r="E4883" s="37"/>
      <c r="F4883" s="37"/>
      <c r="G4883" s="37"/>
      <c r="H4883" s="37"/>
      <c r="I4883" s="37"/>
      <c r="J4883" s="37"/>
    </row>
    <row r="4884" spans="1:10" x14ac:dyDescent="0.3">
      <c r="A4884" s="130"/>
      <c r="B4884" s="37"/>
      <c r="C4884" s="37"/>
      <c r="D4884" s="37"/>
      <c r="E4884" s="37"/>
      <c r="F4884" s="37"/>
      <c r="G4884" s="37"/>
      <c r="H4884" s="37"/>
      <c r="I4884" s="37"/>
      <c r="J4884" s="37"/>
    </row>
    <row r="4885" spans="1:10" x14ac:dyDescent="0.3">
      <c r="A4885" s="130"/>
      <c r="B4885" s="37"/>
      <c r="C4885" s="37"/>
      <c r="D4885" s="37"/>
      <c r="E4885" s="37"/>
      <c r="F4885" s="37"/>
      <c r="G4885" s="37"/>
      <c r="H4885" s="37"/>
      <c r="I4885" s="37"/>
      <c r="J4885" s="37"/>
    </row>
    <row r="4886" spans="1:10" x14ac:dyDescent="0.3">
      <c r="A4886" s="130"/>
      <c r="B4886" s="37"/>
      <c r="C4886" s="37"/>
      <c r="D4886" s="37"/>
      <c r="E4886" s="37"/>
      <c r="F4886" s="37"/>
      <c r="G4886" s="37"/>
      <c r="H4886" s="37"/>
      <c r="I4886" s="37"/>
      <c r="J4886" s="37"/>
    </row>
    <row r="4887" spans="1:10" x14ac:dyDescent="0.3">
      <c r="A4887" s="130"/>
      <c r="B4887" s="37"/>
      <c r="C4887" s="37"/>
      <c r="D4887" s="37"/>
      <c r="E4887" s="37"/>
      <c r="F4887" s="37"/>
      <c r="G4887" s="37"/>
      <c r="H4887" s="37"/>
      <c r="I4887" s="37"/>
      <c r="J4887" s="37"/>
    </row>
    <row r="4888" spans="1:10" x14ac:dyDescent="0.3">
      <c r="A4888" s="130"/>
      <c r="B4888" s="37"/>
      <c r="C4888" s="37"/>
      <c r="D4888" s="37"/>
      <c r="E4888" s="37"/>
      <c r="F4888" s="37"/>
      <c r="G4888" s="37"/>
      <c r="H4888" s="37"/>
      <c r="I4888" s="37"/>
      <c r="J4888" s="37"/>
    </row>
    <row r="4889" spans="1:10" x14ac:dyDescent="0.3">
      <c r="A4889" s="130"/>
      <c r="B4889" s="37"/>
      <c r="C4889" s="37"/>
      <c r="D4889" s="37"/>
      <c r="E4889" s="37"/>
      <c r="F4889" s="37"/>
      <c r="G4889" s="37"/>
      <c r="H4889" s="37"/>
      <c r="I4889" s="37"/>
      <c r="J4889" s="37"/>
    </row>
    <row r="4890" spans="1:10" x14ac:dyDescent="0.3">
      <c r="A4890" s="130"/>
      <c r="B4890" s="37"/>
      <c r="C4890" s="37"/>
      <c r="D4890" s="37"/>
      <c r="E4890" s="37"/>
      <c r="F4890" s="37"/>
      <c r="G4890" s="37"/>
      <c r="H4890" s="37"/>
      <c r="I4890" s="37"/>
      <c r="J4890" s="37"/>
    </row>
    <row r="4891" spans="1:10" x14ac:dyDescent="0.3">
      <c r="A4891" s="130"/>
      <c r="B4891" s="37"/>
      <c r="C4891" s="37"/>
      <c r="D4891" s="37"/>
      <c r="E4891" s="37"/>
      <c r="F4891" s="37"/>
      <c r="G4891" s="37"/>
      <c r="H4891" s="37"/>
      <c r="I4891" s="37"/>
      <c r="J4891" s="37"/>
    </row>
    <row r="4892" spans="1:10" x14ac:dyDescent="0.3">
      <c r="A4892" s="130"/>
      <c r="B4892" s="37"/>
      <c r="C4892" s="37"/>
      <c r="D4892" s="37"/>
      <c r="E4892" s="37"/>
      <c r="F4892" s="37"/>
      <c r="G4892" s="37"/>
      <c r="H4892" s="37"/>
      <c r="I4892" s="37"/>
      <c r="J4892" s="37"/>
    </row>
    <row r="4893" spans="1:10" x14ac:dyDescent="0.3">
      <c r="A4893" s="130"/>
      <c r="B4893" s="37"/>
      <c r="C4893" s="37"/>
      <c r="D4893" s="37"/>
      <c r="E4893" s="37"/>
      <c r="F4893" s="37"/>
      <c r="G4893" s="37"/>
      <c r="H4893" s="37"/>
      <c r="I4893" s="37"/>
      <c r="J4893" s="37"/>
    </row>
    <row r="4894" spans="1:10" x14ac:dyDescent="0.3">
      <c r="A4894" s="130"/>
      <c r="B4894" s="37"/>
      <c r="C4894" s="37"/>
      <c r="D4894" s="37"/>
      <c r="E4894" s="37"/>
      <c r="F4894" s="37"/>
      <c r="G4894" s="37"/>
      <c r="H4894" s="37"/>
      <c r="I4894" s="37"/>
      <c r="J4894" s="37"/>
    </row>
    <row r="4895" spans="1:10" x14ac:dyDescent="0.3">
      <c r="A4895" s="130"/>
      <c r="B4895" s="37"/>
      <c r="C4895" s="37"/>
      <c r="D4895" s="37"/>
      <c r="E4895" s="37"/>
      <c r="F4895" s="37"/>
      <c r="G4895" s="37"/>
      <c r="H4895" s="37"/>
      <c r="I4895" s="37"/>
      <c r="J4895" s="37"/>
    </row>
    <row r="4896" spans="1:10" x14ac:dyDescent="0.3">
      <c r="A4896" s="130"/>
      <c r="B4896" s="37"/>
      <c r="C4896" s="37"/>
      <c r="D4896" s="37"/>
      <c r="E4896" s="37"/>
      <c r="F4896" s="37"/>
      <c r="G4896" s="37"/>
      <c r="H4896" s="37"/>
      <c r="I4896" s="37"/>
      <c r="J4896" s="37"/>
    </row>
    <row r="4897" spans="1:10" x14ac:dyDescent="0.3">
      <c r="A4897" s="130"/>
      <c r="B4897" s="37"/>
      <c r="C4897" s="37"/>
      <c r="D4897" s="37"/>
      <c r="E4897" s="37"/>
      <c r="F4897" s="37"/>
      <c r="G4897" s="37"/>
      <c r="H4897" s="37"/>
      <c r="I4897" s="37"/>
      <c r="J4897" s="37"/>
    </row>
    <row r="4898" spans="1:10" x14ac:dyDescent="0.3">
      <c r="A4898" s="130"/>
      <c r="B4898" s="37"/>
      <c r="C4898" s="37"/>
      <c r="D4898" s="37"/>
      <c r="E4898" s="37"/>
      <c r="F4898" s="37"/>
      <c r="G4898" s="37"/>
      <c r="H4898" s="37"/>
      <c r="I4898" s="37"/>
      <c r="J4898" s="37"/>
    </row>
    <row r="4899" spans="1:10" x14ac:dyDescent="0.3">
      <c r="A4899" s="130"/>
      <c r="B4899" s="37"/>
      <c r="C4899" s="37"/>
      <c r="D4899" s="37"/>
      <c r="E4899" s="37"/>
      <c r="F4899" s="37"/>
      <c r="G4899" s="37"/>
      <c r="H4899" s="37"/>
      <c r="I4899" s="37"/>
      <c r="J4899" s="37"/>
    </row>
    <row r="4900" spans="1:10" x14ac:dyDescent="0.3">
      <c r="A4900" s="130"/>
      <c r="B4900" s="37"/>
      <c r="C4900" s="37"/>
      <c r="D4900" s="37"/>
      <c r="E4900" s="37"/>
      <c r="F4900" s="37"/>
      <c r="G4900" s="37"/>
      <c r="H4900" s="37"/>
      <c r="I4900" s="37"/>
      <c r="J4900" s="37"/>
    </row>
    <row r="4901" spans="1:10" x14ac:dyDescent="0.3">
      <c r="A4901" s="130"/>
      <c r="B4901" s="37"/>
      <c r="C4901" s="37"/>
      <c r="D4901" s="37"/>
      <c r="E4901" s="37"/>
      <c r="F4901" s="37"/>
      <c r="G4901" s="37"/>
      <c r="H4901" s="37"/>
      <c r="I4901" s="37"/>
      <c r="J4901" s="37"/>
    </row>
    <row r="4902" spans="1:10" x14ac:dyDescent="0.3">
      <c r="A4902" s="130"/>
      <c r="B4902" s="37"/>
      <c r="C4902" s="37"/>
      <c r="D4902" s="37"/>
      <c r="E4902" s="37"/>
      <c r="F4902" s="37"/>
      <c r="G4902" s="37"/>
      <c r="H4902" s="37"/>
      <c r="I4902" s="37"/>
      <c r="J4902" s="37"/>
    </row>
    <row r="4903" spans="1:10" x14ac:dyDescent="0.3">
      <c r="A4903" s="130"/>
      <c r="B4903" s="37"/>
      <c r="C4903" s="37"/>
      <c r="D4903" s="37"/>
      <c r="E4903" s="37"/>
      <c r="F4903" s="37"/>
      <c r="G4903" s="37"/>
      <c r="H4903" s="37"/>
      <c r="I4903" s="37"/>
      <c r="J4903" s="37"/>
    </row>
    <row r="4904" spans="1:10" x14ac:dyDescent="0.3">
      <c r="A4904" s="130"/>
      <c r="B4904" s="37"/>
      <c r="C4904" s="37"/>
      <c r="D4904" s="37"/>
      <c r="E4904" s="37"/>
      <c r="F4904" s="37"/>
      <c r="G4904" s="37"/>
      <c r="H4904" s="37"/>
      <c r="I4904" s="37"/>
      <c r="J4904" s="37"/>
    </row>
    <row r="4905" spans="1:10" x14ac:dyDescent="0.3">
      <c r="A4905" s="130"/>
      <c r="B4905" s="37"/>
      <c r="C4905" s="37"/>
      <c r="D4905" s="37"/>
      <c r="E4905" s="37"/>
      <c r="F4905" s="37"/>
      <c r="G4905" s="37"/>
      <c r="H4905" s="37"/>
      <c r="I4905" s="37"/>
      <c r="J4905" s="37"/>
    </row>
    <row r="4906" spans="1:10" x14ac:dyDescent="0.3">
      <c r="A4906" s="130"/>
      <c r="B4906" s="37"/>
      <c r="C4906" s="37"/>
      <c r="D4906" s="37"/>
      <c r="E4906" s="37"/>
      <c r="F4906" s="37"/>
      <c r="G4906" s="37"/>
      <c r="H4906" s="37"/>
      <c r="I4906" s="37"/>
      <c r="J4906" s="37"/>
    </row>
    <row r="4907" spans="1:10" x14ac:dyDescent="0.3">
      <c r="A4907" s="130"/>
      <c r="B4907" s="37"/>
      <c r="C4907" s="37"/>
      <c r="D4907" s="37"/>
      <c r="E4907" s="37"/>
      <c r="F4907" s="37"/>
      <c r="G4907" s="37"/>
      <c r="H4907" s="37"/>
      <c r="I4907" s="37"/>
      <c r="J4907" s="37"/>
    </row>
    <row r="4908" spans="1:10" x14ac:dyDescent="0.3">
      <c r="A4908" s="130"/>
      <c r="B4908" s="37"/>
      <c r="C4908" s="37"/>
      <c r="D4908" s="37"/>
      <c r="E4908" s="37"/>
      <c r="F4908" s="37"/>
      <c r="G4908" s="37"/>
      <c r="H4908" s="37"/>
      <c r="I4908" s="37"/>
      <c r="J4908" s="37"/>
    </row>
    <row r="4909" spans="1:10" x14ac:dyDescent="0.3">
      <c r="A4909" s="130"/>
      <c r="B4909" s="37"/>
      <c r="C4909" s="37"/>
      <c r="D4909" s="37"/>
      <c r="E4909" s="37"/>
      <c r="F4909" s="37"/>
      <c r="G4909" s="37"/>
      <c r="H4909" s="37"/>
      <c r="I4909" s="37"/>
      <c r="J4909" s="37"/>
    </row>
    <row r="4910" spans="1:10" x14ac:dyDescent="0.3">
      <c r="A4910" s="130"/>
      <c r="B4910" s="37"/>
      <c r="C4910" s="37"/>
      <c r="D4910" s="37"/>
      <c r="E4910" s="37"/>
      <c r="F4910" s="37"/>
      <c r="G4910" s="37"/>
      <c r="H4910" s="37"/>
      <c r="I4910" s="37"/>
      <c r="J4910" s="37"/>
    </row>
    <row r="4911" spans="1:10" x14ac:dyDescent="0.3">
      <c r="A4911" s="130"/>
      <c r="B4911" s="37"/>
      <c r="C4911" s="37"/>
      <c r="D4911" s="37"/>
      <c r="E4911" s="37"/>
      <c r="F4911" s="37"/>
      <c r="G4911" s="37"/>
      <c r="H4911" s="37"/>
      <c r="I4911" s="37"/>
      <c r="J4911" s="37"/>
    </row>
    <row r="4912" spans="1:10" x14ac:dyDescent="0.3">
      <c r="A4912" s="130"/>
      <c r="B4912" s="37"/>
      <c r="C4912" s="37"/>
      <c r="D4912" s="37"/>
      <c r="E4912" s="37"/>
      <c r="F4912" s="37"/>
      <c r="G4912" s="37"/>
      <c r="H4912" s="37"/>
      <c r="I4912" s="37"/>
      <c r="J4912" s="37"/>
    </row>
    <row r="4913" spans="1:10" x14ac:dyDescent="0.3">
      <c r="A4913" s="130"/>
      <c r="B4913" s="37"/>
      <c r="C4913" s="37"/>
      <c r="D4913" s="37"/>
      <c r="E4913" s="37"/>
      <c r="F4913" s="37"/>
      <c r="G4913" s="37"/>
      <c r="H4913" s="37"/>
      <c r="I4913" s="37"/>
      <c r="J4913" s="37"/>
    </row>
    <row r="4914" spans="1:10" x14ac:dyDescent="0.3">
      <c r="A4914" s="130"/>
      <c r="B4914" s="37"/>
      <c r="C4914" s="37"/>
      <c r="D4914" s="37"/>
      <c r="E4914" s="37"/>
      <c r="F4914" s="37"/>
      <c r="G4914" s="37"/>
      <c r="H4914" s="37"/>
      <c r="I4914" s="37"/>
      <c r="J4914" s="37"/>
    </row>
    <row r="4915" spans="1:10" x14ac:dyDescent="0.3">
      <c r="A4915" s="130"/>
      <c r="B4915" s="37"/>
      <c r="C4915" s="37"/>
      <c r="D4915" s="37"/>
      <c r="E4915" s="37"/>
      <c r="F4915" s="37"/>
      <c r="G4915" s="37"/>
      <c r="H4915" s="37"/>
      <c r="I4915" s="37"/>
      <c r="J4915" s="37"/>
    </row>
    <row r="4916" spans="1:10" x14ac:dyDescent="0.3">
      <c r="A4916" s="130"/>
      <c r="B4916" s="37"/>
      <c r="C4916" s="37"/>
      <c r="D4916" s="37"/>
      <c r="E4916" s="37"/>
      <c r="F4916" s="37"/>
      <c r="G4916" s="37"/>
      <c r="H4916" s="37"/>
      <c r="I4916" s="37"/>
      <c r="J4916" s="37"/>
    </row>
    <row r="4917" spans="1:10" x14ac:dyDescent="0.3">
      <c r="A4917" s="130"/>
      <c r="B4917" s="37"/>
      <c r="C4917" s="37"/>
      <c r="D4917" s="37"/>
      <c r="E4917" s="37"/>
      <c r="F4917" s="37"/>
      <c r="G4917" s="37"/>
      <c r="H4917" s="37"/>
      <c r="I4917" s="37"/>
      <c r="J4917" s="37"/>
    </row>
    <row r="4918" spans="1:10" x14ac:dyDescent="0.3">
      <c r="A4918" s="130"/>
      <c r="B4918" s="37"/>
      <c r="C4918" s="37"/>
      <c r="D4918" s="37"/>
      <c r="E4918" s="37"/>
      <c r="F4918" s="37"/>
      <c r="G4918" s="37"/>
      <c r="H4918" s="37"/>
      <c r="I4918" s="37"/>
      <c r="J4918" s="37"/>
    </row>
    <row r="4919" spans="1:10" x14ac:dyDescent="0.3">
      <c r="A4919" s="130"/>
      <c r="B4919" s="37"/>
      <c r="C4919" s="37"/>
      <c r="D4919" s="37"/>
      <c r="E4919" s="37"/>
      <c r="F4919" s="37"/>
      <c r="G4919" s="37"/>
      <c r="H4919" s="37"/>
      <c r="I4919" s="37"/>
      <c r="J4919" s="37"/>
    </row>
    <row r="4920" spans="1:10" x14ac:dyDescent="0.3">
      <c r="A4920" s="130"/>
      <c r="B4920" s="37"/>
      <c r="C4920" s="37"/>
      <c r="D4920" s="37"/>
      <c r="E4920" s="37"/>
      <c r="F4920" s="37"/>
      <c r="G4920" s="37"/>
      <c r="H4920" s="37"/>
      <c r="I4920" s="37"/>
      <c r="J4920" s="37"/>
    </row>
    <row r="4921" spans="1:10" x14ac:dyDescent="0.3">
      <c r="A4921" s="130"/>
      <c r="B4921" s="37"/>
      <c r="C4921" s="37"/>
      <c r="D4921" s="37"/>
      <c r="E4921" s="37"/>
      <c r="F4921" s="37"/>
      <c r="G4921" s="37"/>
      <c r="H4921" s="37"/>
      <c r="I4921" s="37"/>
      <c r="J4921" s="37"/>
    </row>
    <row r="4922" spans="1:10" x14ac:dyDescent="0.3">
      <c r="A4922" s="130"/>
      <c r="B4922" s="37"/>
      <c r="C4922" s="37"/>
      <c r="D4922" s="37"/>
      <c r="E4922" s="37"/>
      <c r="F4922" s="37"/>
      <c r="G4922" s="37"/>
      <c r="H4922" s="37"/>
      <c r="I4922" s="37"/>
      <c r="J4922" s="37"/>
    </row>
    <row r="4923" spans="1:10" x14ac:dyDescent="0.3">
      <c r="A4923" s="130"/>
      <c r="B4923" s="37"/>
      <c r="C4923" s="37"/>
      <c r="D4923" s="37"/>
      <c r="E4923" s="37"/>
      <c r="F4923" s="37"/>
      <c r="G4923" s="37"/>
      <c r="H4923" s="37"/>
      <c r="I4923" s="37"/>
      <c r="J4923" s="37"/>
    </row>
    <row r="4924" spans="1:10" x14ac:dyDescent="0.3">
      <c r="A4924" s="130"/>
      <c r="B4924" s="37"/>
      <c r="C4924" s="37"/>
      <c r="D4924" s="37"/>
      <c r="E4924" s="37"/>
      <c r="F4924" s="37"/>
      <c r="G4924" s="37"/>
      <c r="H4924" s="37"/>
      <c r="I4924" s="37"/>
      <c r="J4924" s="37"/>
    </row>
    <row r="4925" spans="1:10" x14ac:dyDescent="0.3">
      <c r="A4925" s="130"/>
      <c r="B4925" s="37"/>
      <c r="C4925" s="37"/>
      <c r="D4925" s="37"/>
      <c r="E4925" s="37"/>
      <c r="F4925" s="37"/>
      <c r="G4925" s="37"/>
      <c r="H4925" s="37"/>
      <c r="I4925" s="37"/>
      <c r="J4925" s="37"/>
    </row>
    <row r="4926" spans="1:10" x14ac:dyDescent="0.3">
      <c r="A4926" s="130"/>
      <c r="B4926" s="37"/>
      <c r="C4926" s="37"/>
      <c r="D4926" s="37"/>
      <c r="E4926" s="37"/>
      <c r="F4926" s="37"/>
      <c r="G4926" s="37"/>
      <c r="H4926" s="37"/>
      <c r="I4926" s="37"/>
      <c r="J4926" s="37"/>
    </row>
    <row r="4927" spans="1:10" x14ac:dyDescent="0.3">
      <c r="A4927" s="130"/>
      <c r="B4927" s="37"/>
      <c r="C4927" s="37"/>
      <c r="D4927" s="37"/>
      <c r="E4927" s="37"/>
      <c r="F4927" s="37"/>
      <c r="G4927" s="37"/>
      <c r="H4927" s="37"/>
      <c r="I4927" s="37"/>
      <c r="J4927" s="37"/>
    </row>
    <row r="4928" spans="1:10" x14ac:dyDescent="0.3">
      <c r="A4928" s="130"/>
      <c r="B4928" s="37"/>
      <c r="C4928" s="37"/>
      <c r="D4928" s="37"/>
      <c r="E4928" s="37"/>
      <c r="F4928" s="37"/>
      <c r="G4928" s="37"/>
      <c r="H4928" s="37"/>
      <c r="I4928" s="37"/>
      <c r="J4928" s="37"/>
    </row>
    <row r="4929" spans="1:10" x14ac:dyDescent="0.3">
      <c r="A4929" s="130"/>
      <c r="B4929" s="37"/>
      <c r="C4929" s="37"/>
      <c r="D4929" s="37"/>
      <c r="E4929" s="37"/>
      <c r="F4929" s="37"/>
      <c r="G4929" s="37"/>
      <c r="H4929" s="37"/>
      <c r="I4929" s="37"/>
      <c r="J4929" s="37"/>
    </row>
    <row r="4930" spans="1:10" x14ac:dyDescent="0.3">
      <c r="A4930" s="130"/>
      <c r="B4930" s="37"/>
      <c r="C4930" s="37"/>
      <c r="D4930" s="37"/>
      <c r="E4930" s="37"/>
      <c r="F4930" s="37"/>
      <c r="G4930" s="37"/>
      <c r="H4930" s="37"/>
      <c r="I4930" s="37"/>
      <c r="J4930" s="37"/>
    </row>
    <row r="4931" spans="1:10" x14ac:dyDescent="0.3">
      <c r="A4931" s="130"/>
      <c r="B4931" s="37"/>
      <c r="C4931" s="37"/>
      <c r="D4931" s="37"/>
      <c r="E4931" s="37"/>
      <c r="F4931" s="37"/>
      <c r="G4931" s="37"/>
      <c r="H4931" s="37"/>
      <c r="I4931" s="37"/>
      <c r="J4931" s="37"/>
    </row>
    <row r="4932" spans="1:10" x14ac:dyDescent="0.3">
      <c r="A4932" s="130"/>
      <c r="B4932" s="37"/>
      <c r="C4932" s="37"/>
      <c r="D4932" s="37"/>
      <c r="E4932" s="37"/>
      <c r="F4932" s="37"/>
      <c r="G4932" s="37"/>
      <c r="H4932" s="37"/>
      <c r="I4932" s="37"/>
      <c r="J4932" s="37"/>
    </row>
    <row r="4933" spans="1:10" x14ac:dyDescent="0.3">
      <c r="A4933" s="130"/>
      <c r="B4933" s="37"/>
      <c r="C4933" s="37"/>
      <c r="D4933" s="37"/>
      <c r="E4933" s="37"/>
      <c r="F4933" s="37"/>
      <c r="G4933" s="37"/>
      <c r="H4933" s="37"/>
      <c r="I4933" s="37"/>
      <c r="J4933" s="37"/>
    </row>
    <row r="4934" spans="1:10" x14ac:dyDescent="0.3">
      <c r="A4934" s="130"/>
      <c r="B4934" s="37"/>
      <c r="C4934" s="37"/>
      <c r="D4934" s="37"/>
      <c r="E4934" s="37"/>
      <c r="F4934" s="37"/>
      <c r="G4934" s="37"/>
      <c r="H4934" s="37"/>
      <c r="I4934" s="37"/>
      <c r="J4934" s="37"/>
    </row>
    <row r="4935" spans="1:10" x14ac:dyDescent="0.3">
      <c r="A4935" s="130"/>
      <c r="B4935" s="37"/>
      <c r="C4935" s="37"/>
      <c r="D4935" s="37"/>
      <c r="E4935" s="37"/>
      <c r="F4935" s="37"/>
      <c r="G4935" s="37"/>
      <c r="H4935" s="37"/>
      <c r="I4935" s="37"/>
      <c r="J4935" s="37"/>
    </row>
    <row r="4936" spans="1:10" x14ac:dyDescent="0.3">
      <c r="A4936" s="130"/>
      <c r="B4936" s="37"/>
      <c r="C4936" s="37"/>
      <c r="D4936" s="37"/>
      <c r="E4936" s="37"/>
      <c r="F4936" s="37"/>
      <c r="G4936" s="37"/>
      <c r="H4936" s="37"/>
      <c r="I4936" s="37"/>
      <c r="J4936" s="37"/>
    </row>
    <row r="4937" spans="1:10" x14ac:dyDescent="0.3">
      <c r="A4937" s="130"/>
      <c r="B4937" s="37"/>
      <c r="C4937" s="37"/>
      <c r="D4937" s="37"/>
      <c r="E4937" s="37"/>
      <c r="F4937" s="37"/>
      <c r="G4937" s="37"/>
      <c r="H4937" s="37"/>
      <c r="I4937" s="37"/>
      <c r="J4937" s="37"/>
    </row>
    <row r="4938" spans="1:10" x14ac:dyDescent="0.3">
      <c r="A4938" s="130"/>
      <c r="B4938" s="37"/>
      <c r="C4938" s="37"/>
      <c r="D4938" s="37"/>
      <c r="E4938" s="37"/>
      <c r="F4938" s="37"/>
      <c r="G4938" s="37"/>
      <c r="H4938" s="37"/>
      <c r="I4938" s="37"/>
      <c r="J4938" s="37"/>
    </row>
    <row r="4939" spans="1:10" x14ac:dyDescent="0.3">
      <c r="A4939" s="130"/>
      <c r="B4939" s="37"/>
      <c r="C4939" s="37"/>
      <c r="D4939" s="37"/>
      <c r="E4939" s="37"/>
      <c r="F4939" s="37"/>
      <c r="G4939" s="37"/>
      <c r="H4939" s="37"/>
      <c r="I4939" s="37"/>
      <c r="J4939" s="37"/>
    </row>
    <row r="4940" spans="1:10" x14ac:dyDescent="0.3">
      <c r="A4940" s="130"/>
      <c r="B4940" s="37"/>
      <c r="C4940" s="37"/>
      <c r="D4940" s="37"/>
      <c r="E4940" s="37"/>
      <c r="F4940" s="37"/>
      <c r="G4940" s="37"/>
      <c r="H4940" s="37"/>
      <c r="I4940" s="37"/>
      <c r="J4940" s="37"/>
    </row>
    <row r="4941" spans="1:10" x14ac:dyDescent="0.3">
      <c r="A4941" s="130"/>
      <c r="B4941" s="37"/>
      <c r="C4941" s="37"/>
      <c r="D4941" s="37"/>
      <c r="E4941" s="37"/>
      <c r="F4941" s="37"/>
      <c r="G4941" s="37"/>
      <c r="H4941" s="37"/>
      <c r="I4941" s="37"/>
      <c r="J4941" s="37"/>
    </row>
    <row r="4942" spans="1:10" x14ac:dyDescent="0.3">
      <c r="A4942" s="130"/>
      <c r="B4942" s="37"/>
      <c r="C4942" s="37"/>
      <c r="D4942" s="37"/>
      <c r="E4942" s="37"/>
      <c r="F4942" s="37"/>
      <c r="G4942" s="37"/>
      <c r="H4942" s="37"/>
      <c r="I4942" s="37"/>
      <c r="J4942" s="37"/>
    </row>
    <row r="4943" spans="1:10" x14ac:dyDescent="0.3">
      <c r="A4943" s="130"/>
      <c r="B4943" s="37"/>
      <c r="C4943" s="37"/>
      <c r="D4943" s="37"/>
      <c r="E4943" s="37"/>
      <c r="F4943" s="37"/>
      <c r="G4943" s="37"/>
      <c r="H4943" s="37"/>
      <c r="I4943" s="37"/>
      <c r="J4943" s="37"/>
    </row>
    <row r="4944" spans="1:10" x14ac:dyDescent="0.3">
      <c r="A4944" s="130"/>
      <c r="B4944" s="37"/>
      <c r="C4944" s="37"/>
      <c r="D4944" s="37"/>
      <c r="E4944" s="37"/>
      <c r="F4944" s="37"/>
      <c r="G4944" s="37"/>
      <c r="H4944" s="37"/>
      <c r="I4944" s="37"/>
      <c r="J4944" s="37"/>
    </row>
    <row r="4945" spans="1:10" x14ac:dyDescent="0.3">
      <c r="A4945" s="130"/>
      <c r="B4945" s="37"/>
      <c r="C4945" s="37"/>
      <c r="D4945" s="37"/>
      <c r="E4945" s="37"/>
      <c r="F4945" s="37"/>
      <c r="G4945" s="37"/>
      <c r="H4945" s="37"/>
      <c r="I4945" s="37"/>
      <c r="J4945" s="37"/>
    </row>
    <row r="4946" spans="1:10" x14ac:dyDescent="0.3">
      <c r="A4946" s="130"/>
      <c r="B4946" s="37"/>
      <c r="C4946" s="37"/>
      <c r="D4946" s="37"/>
      <c r="E4946" s="37"/>
      <c r="F4946" s="37"/>
      <c r="G4946" s="37"/>
      <c r="H4946" s="37"/>
      <c r="I4946" s="37"/>
      <c r="J4946" s="37"/>
    </row>
    <row r="4947" spans="1:10" x14ac:dyDescent="0.3">
      <c r="A4947" s="130"/>
      <c r="B4947" s="37"/>
      <c r="C4947" s="37"/>
      <c r="D4947" s="37"/>
      <c r="E4947" s="37"/>
      <c r="F4947" s="37"/>
      <c r="G4947" s="37"/>
      <c r="H4947" s="37"/>
      <c r="I4947" s="37"/>
      <c r="J4947" s="37"/>
    </row>
    <row r="4948" spans="1:10" x14ac:dyDescent="0.3">
      <c r="A4948" s="130"/>
      <c r="B4948" s="37"/>
      <c r="C4948" s="37"/>
      <c r="D4948" s="37"/>
      <c r="E4948" s="37"/>
      <c r="F4948" s="37"/>
      <c r="G4948" s="37"/>
      <c r="H4948" s="37"/>
      <c r="I4948" s="37"/>
      <c r="J4948" s="37"/>
    </row>
    <row r="4949" spans="1:10" x14ac:dyDescent="0.3">
      <c r="A4949" s="130"/>
      <c r="B4949" s="37"/>
      <c r="C4949" s="37"/>
      <c r="D4949" s="37"/>
      <c r="E4949" s="37"/>
      <c r="F4949" s="37"/>
      <c r="G4949" s="37"/>
      <c r="H4949" s="37"/>
      <c r="I4949" s="37"/>
      <c r="J4949" s="37"/>
    </row>
    <row r="4950" spans="1:10" x14ac:dyDescent="0.3">
      <c r="A4950" s="130"/>
      <c r="B4950" s="37"/>
      <c r="C4950" s="37"/>
      <c r="D4950" s="37"/>
      <c r="E4950" s="37"/>
      <c r="F4950" s="37"/>
      <c r="G4950" s="37"/>
      <c r="H4950" s="37"/>
      <c r="I4950" s="37"/>
      <c r="J4950" s="37"/>
    </row>
    <row r="4951" spans="1:10" x14ac:dyDescent="0.3">
      <c r="A4951" s="130"/>
      <c r="B4951" s="37"/>
      <c r="C4951" s="37"/>
      <c r="D4951" s="37"/>
      <c r="E4951" s="37"/>
      <c r="F4951" s="37"/>
      <c r="G4951" s="37"/>
      <c r="H4951" s="37"/>
      <c r="I4951" s="37"/>
      <c r="J4951" s="37"/>
    </row>
    <row r="4952" spans="1:10" x14ac:dyDescent="0.3">
      <c r="A4952" s="130"/>
      <c r="B4952" s="37"/>
      <c r="C4952" s="37"/>
      <c r="D4952" s="37"/>
      <c r="E4952" s="37"/>
      <c r="F4952" s="37"/>
      <c r="G4952" s="37"/>
      <c r="H4952" s="37"/>
      <c r="I4952" s="37"/>
      <c r="J4952" s="37"/>
    </row>
    <row r="4953" spans="1:10" x14ac:dyDescent="0.3">
      <c r="A4953" s="130"/>
      <c r="B4953" s="37"/>
      <c r="C4953" s="37"/>
      <c r="D4953" s="37"/>
      <c r="E4953" s="37"/>
      <c r="F4953" s="37"/>
      <c r="G4953" s="37"/>
      <c r="H4953" s="37"/>
      <c r="I4953" s="37"/>
      <c r="J4953" s="37"/>
    </row>
    <row r="4954" spans="1:10" x14ac:dyDescent="0.3">
      <c r="A4954" s="130"/>
      <c r="B4954" s="37"/>
      <c r="C4954" s="37"/>
      <c r="D4954" s="37"/>
      <c r="E4954" s="37"/>
      <c r="F4954" s="37"/>
      <c r="G4954" s="37"/>
      <c r="H4954" s="37"/>
      <c r="I4954" s="37"/>
      <c r="J4954" s="37"/>
    </row>
    <row r="4955" spans="1:10" x14ac:dyDescent="0.3">
      <c r="A4955" s="130"/>
      <c r="B4955" s="37"/>
      <c r="C4955" s="37"/>
      <c r="D4955" s="37"/>
      <c r="E4955" s="37"/>
      <c r="F4955" s="37"/>
      <c r="G4955" s="37"/>
      <c r="H4955" s="37"/>
      <c r="I4955" s="37"/>
      <c r="J4955" s="37"/>
    </row>
    <row r="4956" spans="1:10" x14ac:dyDescent="0.3">
      <c r="A4956" s="130"/>
      <c r="B4956" s="37"/>
      <c r="C4956" s="37"/>
      <c r="D4956" s="37"/>
      <c r="E4956" s="37"/>
      <c r="F4956" s="37"/>
      <c r="G4956" s="37"/>
      <c r="H4956" s="37"/>
      <c r="I4956" s="37"/>
      <c r="J4956" s="37"/>
    </row>
    <row r="4957" spans="1:10" x14ac:dyDescent="0.3">
      <c r="A4957" s="130"/>
      <c r="B4957" s="37"/>
      <c r="C4957" s="37"/>
      <c r="D4957" s="37"/>
      <c r="E4957" s="37"/>
      <c r="F4957" s="37"/>
      <c r="G4957" s="37"/>
      <c r="H4957" s="37"/>
      <c r="I4957" s="37"/>
      <c r="J4957" s="37"/>
    </row>
    <row r="4958" spans="1:10" x14ac:dyDescent="0.3">
      <c r="A4958" s="130"/>
      <c r="B4958" s="37"/>
      <c r="C4958" s="37"/>
      <c r="D4958" s="37"/>
      <c r="E4958" s="37"/>
      <c r="F4958" s="37"/>
      <c r="G4958" s="37"/>
      <c r="H4958" s="37"/>
      <c r="I4958" s="37"/>
      <c r="J4958" s="37"/>
    </row>
    <row r="4959" spans="1:10" x14ac:dyDescent="0.3">
      <c r="A4959" s="130"/>
      <c r="B4959" s="37"/>
      <c r="C4959" s="37"/>
      <c r="D4959" s="37"/>
      <c r="E4959" s="37"/>
      <c r="F4959" s="37"/>
      <c r="G4959" s="37"/>
      <c r="H4959" s="37"/>
      <c r="I4959" s="37"/>
      <c r="J4959" s="37"/>
    </row>
    <row r="4960" spans="1:10" x14ac:dyDescent="0.3">
      <c r="A4960" s="130"/>
      <c r="B4960" s="37"/>
      <c r="C4960" s="37"/>
      <c r="D4960" s="37"/>
      <c r="E4960" s="37"/>
      <c r="F4960" s="37"/>
      <c r="G4960" s="37"/>
      <c r="H4960" s="37"/>
      <c r="I4960" s="37"/>
      <c r="J4960" s="37"/>
    </row>
    <row r="4961" spans="1:10" x14ac:dyDescent="0.3">
      <c r="A4961" s="130"/>
      <c r="B4961" s="37"/>
      <c r="C4961" s="37"/>
      <c r="D4961" s="37"/>
      <c r="E4961" s="37"/>
      <c r="F4961" s="37"/>
      <c r="G4961" s="37"/>
      <c r="H4961" s="37"/>
      <c r="I4961" s="37"/>
      <c r="J4961" s="37"/>
    </row>
    <row r="4962" spans="1:10" x14ac:dyDescent="0.3">
      <c r="A4962" s="130"/>
      <c r="B4962" s="37"/>
      <c r="C4962" s="37"/>
      <c r="D4962" s="37"/>
      <c r="E4962" s="37"/>
      <c r="F4962" s="37"/>
      <c r="G4962" s="37"/>
      <c r="H4962" s="37"/>
      <c r="I4962" s="37"/>
      <c r="J4962" s="37"/>
    </row>
    <row r="4963" spans="1:10" x14ac:dyDescent="0.3">
      <c r="A4963" s="130"/>
      <c r="B4963" s="37"/>
      <c r="C4963" s="37"/>
      <c r="D4963" s="37"/>
      <c r="E4963" s="37"/>
      <c r="F4963" s="37"/>
      <c r="G4963" s="37"/>
      <c r="H4963" s="37"/>
      <c r="I4963" s="37"/>
      <c r="J4963" s="37"/>
    </row>
    <row r="4964" spans="1:10" x14ac:dyDescent="0.3">
      <c r="A4964" s="130"/>
      <c r="B4964" s="37"/>
      <c r="C4964" s="37"/>
      <c r="D4964" s="37"/>
      <c r="E4964" s="37"/>
      <c r="F4964" s="37"/>
      <c r="G4964" s="37"/>
      <c r="H4964" s="37"/>
      <c r="I4964" s="37"/>
      <c r="J4964" s="37"/>
    </row>
    <row r="4965" spans="1:10" x14ac:dyDescent="0.3">
      <c r="A4965" s="130"/>
      <c r="B4965" s="37"/>
      <c r="C4965" s="37"/>
      <c r="D4965" s="37"/>
      <c r="E4965" s="37"/>
      <c r="F4965" s="37"/>
      <c r="G4965" s="37"/>
      <c r="H4965" s="37"/>
      <c r="I4965" s="37"/>
      <c r="J4965" s="37"/>
    </row>
    <row r="4966" spans="1:10" x14ac:dyDescent="0.3">
      <c r="A4966" s="130"/>
      <c r="B4966" s="37"/>
      <c r="C4966" s="37"/>
      <c r="D4966" s="37"/>
      <c r="E4966" s="37"/>
      <c r="F4966" s="37"/>
      <c r="G4966" s="37"/>
      <c r="H4966" s="37"/>
      <c r="I4966" s="37"/>
      <c r="J4966" s="37"/>
    </row>
    <row r="4967" spans="1:10" x14ac:dyDescent="0.3">
      <c r="A4967" s="130"/>
      <c r="B4967" s="37"/>
      <c r="C4967" s="37"/>
      <c r="D4967" s="37"/>
      <c r="E4967" s="37"/>
      <c r="F4967" s="37"/>
      <c r="G4967" s="37"/>
      <c r="H4967" s="37"/>
      <c r="I4967" s="37"/>
      <c r="J4967" s="37"/>
    </row>
    <row r="4968" spans="1:10" x14ac:dyDescent="0.3">
      <c r="A4968" s="130"/>
      <c r="B4968" s="37"/>
      <c r="C4968" s="37"/>
      <c r="D4968" s="37"/>
      <c r="E4968" s="37"/>
      <c r="F4968" s="37"/>
      <c r="G4968" s="37"/>
      <c r="H4968" s="37"/>
      <c r="I4968" s="37"/>
      <c r="J4968" s="37"/>
    </row>
    <row r="4969" spans="1:10" x14ac:dyDescent="0.3">
      <c r="A4969" s="130"/>
      <c r="B4969" s="37"/>
      <c r="C4969" s="37"/>
      <c r="D4969" s="37"/>
      <c r="E4969" s="37"/>
      <c r="F4969" s="37"/>
      <c r="G4969" s="37"/>
      <c r="H4969" s="37"/>
      <c r="I4969" s="37"/>
      <c r="J4969" s="37"/>
    </row>
    <row r="4970" spans="1:10" x14ac:dyDescent="0.3">
      <c r="A4970" s="130"/>
      <c r="B4970" s="37"/>
      <c r="C4970" s="37"/>
      <c r="D4970" s="37"/>
      <c r="E4970" s="37"/>
      <c r="F4970" s="37"/>
      <c r="G4970" s="37"/>
      <c r="H4970" s="37"/>
      <c r="I4970" s="37"/>
      <c r="J4970" s="37"/>
    </row>
    <row r="4971" spans="1:10" x14ac:dyDescent="0.3">
      <c r="A4971" s="130"/>
      <c r="B4971" s="37"/>
      <c r="C4971" s="37"/>
      <c r="D4971" s="37"/>
      <c r="E4971" s="37"/>
      <c r="F4971" s="37"/>
      <c r="G4971" s="37"/>
      <c r="H4971" s="37"/>
      <c r="I4971" s="37"/>
      <c r="J4971" s="37"/>
    </row>
    <row r="4972" spans="1:10" x14ac:dyDescent="0.3">
      <c r="A4972" s="130"/>
      <c r="B4972" s="37"/>
      <c r="C4972" s="37"/>
      <c r="D4972" s="37"/>
      <c r="E4972" s="37"/>
      <c r="F4972" s="37"/>
      <c r="G4972" s="37"/>
      <c r="H4972" s="37"/>
      <c r="I4972" s="37"/>
      <c r="J4972" s="37"/>
    </row>
    <row r="4973" spans="1:10" x14ac:dyDescent="0.3">
      <c r="A4973" s="130"/>
      <c r="B4973" s="37"/>
      <c r="C4973" s="37"/>
      <c r="D4973" s="37"/>
      <c r="E4973" s="37"/>
      <c r="F4973" s="37"/>
      <c r="G4973" s="37"/>
      <c r="H4973" s="37"/>
      <c r="I4973" s="37"/>
      <c r="J4973" s="37"/>
    </row>
    <row r="4974" spans="1:10" x14ac:dyDescent="0.3">
      <c r="A4974" s="130"/>
      <c r="B4974" s="37"/>
      <c r="C4974" s="37"/>
      <c r="D4974" s="37"/>
      <c r="E4974" s="37"/>
      <c r="F4974" s="37"/>
      <c r="G4974" s="37"/>
      <c r="H4974" s="37"/>
      <c r="I4974" s="37"/>
      <c r="J4974" s="37"/>
    </row>
    <row r="4975" spans="1:10" x14ac:dyDescent="0.3">
      <c r="A4975" s="130"/>
      <c r="B4975" s="37"/>
      <c r="C4975" s="37"/>
      <c r="D4975" s="37"/>
      <c r="E4975" s="37"/>
      <c r="F4975" s="37"/>
      <c r="G4975" s="37"/>
      <c r="H4975" s="37"/>
      <c r="I4975" s="37"/>
      <c r="J4975" s="37"/>
    </row>
    <row r="4976" spans="1:10" x14ac:dyDescent="0.3">
      <c r="A4976" s="130"/>
      <c r="B4976" s="37"/>
      <c r="C4976" s="37"/>
      <c r="D4976" s="37"/>
      <c r="E4976" s="37"/>
      <c r="F4976" s="37"/>
      <c r="G4976" s="37"/>
      <c r="H4976" s="37"/>
      <c r="I4976" s="37"/>
      <c r="J4976" s="37"/>
    </row>
    <row r="4977" spans="1:10" x14ac:dyDescent="0.3">
      <c r="A4977" s="130"/>
      <c r="B4977" s="37"/>
      <c r="C4977" s="37"/>
      <c r="D4977" s="37"/>
      <c r="E4977" s="37"/>
      <c r="F4977" s="37"/>
      <c r="G4977" s="37"/>
      <c r="H4977" s="37"/>
      <c r="I4977" s="37"/>
      <c r="J4977" s="37"/>
    </row>
    <row r="4978" spans="1:10" x14ac:dyDescent="0.3">
      <c r="A4978" s="130"/>
      <c r="B4978" s="37"/>
      <c r="C4978" s="37"/>
      <c r="D4978" s="37"/>
      <c r="E4978" s="37"/>
      <c r="F4978" s="37"/>
      <c r="G4978" s="37"/>
      <c r="H4978" s="37"/>
      <c r="I4978" s="37"/>
      <c r="J4978" s="37"/>
    </row>
    <row r="4979" spans="1:10" x14ac:dyDescent="0.3">
      <c r="A4979" s="130"/>
      <c r="B4979" s="37"/>
      <c r="C4979" s="37"/>
      <c r="D4979" s="37"/>
      <c r="E4979" s="37"/>
      <c r="F4979" s="37"/>
      <c r="G4979" s="37"/>
      <c r="H4979" s="37"/>
      <c r="I4979" s="37"/>
      <c r="J4979" s="37"/>
    </row>
    <row r="4980" spans="1:10" x14ac:dyDescent="0.3">
      <c r="A4980" s="130"/>
      <c r="B4980" s="37"/>
      <c r="C4980" s="37"/>
      <c r="D4980" s="37"/>
      <c r="E4980" s="37"/>
      <c r="F4980" s="37"/>
      <c r="G4980" s="37"/>
      <c r="H4980" s="37"/>
      <c r="I4980" s="37"/>
      <c r="J4980" s="37"/>
    </row>
    <row r="4981" spans="1:10" x14ac:dyDescent="0.3">
      <c r="A4981" s="130"/>
      <c r="B4981" s="37"/>
      <c r="C4981" s="37"/>
      <c r="D4981" s="37"/>
      <c r="E4981" s="37"/>
      <c r="F4981" s="37"/>
      <c r="G4981" s="37"/>
      <c r="H4981" s="37"/>
      <c r="I4981" s="37"/>
      <c r="J4981" s="37"/>
    </row>
    <row r="4982" spans="1:10" x14ac:dyDescent="0.3">
      <c r="A4982" s="130"/>
      <c r="B4982" s="37"/>
      <c r="C4982" s="37"/>
      <c r="D4982" s="37"/>
      <c r="E4982" s="37"/>
      <c r="F4982" s="37"/>
      <c r="G4982" s="37"/>
      <c r="H4982" s="37"/>
      <c r="I4982" s="37"/>
      <c r="J4982" s="37"/>
    </row>
    <row r="4983" spans="1:10" x14ac:dyDescent="0.3">
      <c r="A4983" s="130"/>
      <c r="B4983" s="37"/>
      <c r="C4983" s="37"/>
      <c r="D4983" s="37"/>
      <c r="E4983" s="37"/>
      <c r="F4983" s="37"/>
      <c r="G4983" s="37"/>
      <c r="H4983" s="37"/>
      <c r="I4983" s="37"/>
      <c r="J4983" s="37"/>
    </row>
    <row r="4984" spans="1:10" x14ac:dyDescent="0.3">
      <c r="A4984" s="130"/>
      <c r="B4984" s="37"/>
      <c r="C4984" s="37"/>
      <c r="D4984" s="37"/>
      <c r="E4984" s="37"/>
      <c r="F4984" s="37"/>
      <c r="G4984" s="37"/>
      <c r="H4984" s="37"/>
      <c r="I4984" s="37"/>
      <c r="J4984" s="37"/>
    </row>
    <row r="4985" spans="1:10" x14ac:dyDescent="0.3">
      <c r="A4985" s="130"/>
      <c r="B4985" s="37"/>
      <c r="C4985" s="37"/>
      <c r="D4985" s="37"/>
      <c r="E4985" s="37"/>
      <c r="F4985" s="37"/>
      <c r="G4985" s="37"/>
      <c r="H4985" s="37"/>
      <c r="I4985" s="37"/>
      <c r="J4985" s="37"/>
    </row>
    <row r="4986" spans="1:10" x14ac:dyDescent="0.3">
      <c r="A4986" s="130"/>
      <c r="B4986" s="37"/>
      <c r="C4986" s="37"/>
      <c r="D4986" s="37"/>
      <c r="E4986" s="37"/>
      <c r="F4986" s="37"/>
      <c r="G4986" s="37"/>
      <c r="H4986" s="37"/>
      <c r="I4986" s="37"/>
      <c r="J4986" s="37"/>
    </row>
    <row r="4987" spans="1:10" x14ac:dyDescent="0.3">
      <c r="A4987" s="130"/>
      <c r="B4987" s="37"/>
      <c r="C4987" s="37"/>
      <c r="D4987" s="37"/>
      <c r="E4987" s="37"/>
      <c r="F4987" s="37"/>
      <c r="G4987" s="37"/>
      <c r="H4987" s="37"/>
      <c r="I4987" s="37"/>
      <c r="J4987" s="37"/>
    </row>
    <row r="4988" spans="1:10" x14ac:dyDescent="0.3">
      <c r="A4988" s="130"/>
      <c r="B4988" s="37"/>
      <c r="C4988" s="37"/>
      <c r="D4988" s="37"/>
      <c r="E4988" s="37"/>
      <c r="F4988" s="37"/>
      <c r="G4988" s="37"/>
      <c r="H4988" s="37"/>
      <c r="I4988" s="37"/>
      <c r="J4988" s="37"/>
    </row>
    <row r="4989" spans="1:10" x14ac:dyDescent="0.3">
      <c r="A4989" s="130"/>
      <c r="B4989" s="37"/>
      <c r="C4989" s="37"/>
      <c r="D4989" s="37"/>
      <c r="E4989" s="37"/>
      <c r="F4989" s="37"/>
      <c r="G4989" s="37"/>
      <c r="H4989" s="37"/>
      <c r="I4989" s="37"/>
      <c r="J4989" s="37"/>
    </row>
    <row r="4990" spans="1:10" x14ac:dyDescent="0.3">
      <c r="A4990" s="130"/>
      <c r="B4990" s="37"/>
      <c r="C4990" s="37"/>
      <c r="D4990" s="37"/>
      <c r="E4990" s="37"/>
      <c r="F4990" s="37"/>
      <c r="G4990" s="37"/>
      <c r="H4990" s="37"/>
      <c r="I4990" s="37"/>
      <c r="J4990" s="37"/>
    </row>
    <row r="4991" spans="1:10" x14ac:dyDescent="0.3">
      <c r="A4991" s="130"/>
      <c r="B4991" s="37"/>
      <c r="C4991" s="37"/>
      <c r="D4991" s="37"/>
      <c r="E4991" s="37"/>
      <c r="F4991" s="37"/>
      <c r="G4991" s="37"/>
      <c r="H4991" s="37"/>
      <c r="I4991" s="37"/>
      <c r="J4991" s="37"/>
    </row>
    <row r="4992" spans="1:10" x14ac:dyDescent="0.3">
      <c r="A4992" s="130"/>
      <c r="B4992" s="37"/>
      <c r="C4992" s="37"/>
      <c r="D4992" s="37"/>
      <c r="E4992" s="37"/>
      <c r="F4992" s="37"/>
      <c r="G4992" s="37"/>
      <c r="H4992" s="37"/>
      <c r="I4992" s="37"/>
      <c r="J4992" s="37"/>
    </row>
    <row r="4993" spans="1:10" x14ac:dyDescent="0.3">
      <c r="A4993" s="130"/>
      <c r="B4993" s="37"/>
      <c r="C4993" s="37"/>
      <c r="D4993" s="37"/>
      <c r="E4993" s="37"/>
      <c r="F4993" s="37"/>
      <c r="G4993" s="37"/>
      <c r="H4993" s="37"/>
      <c r="I4993" s="37"/>
      <c r="J4993" s="37"/>
    </row>
    <row r="4994" spans="1:10" x14ac:dyDescent="0.3">
      <c r="A4994" s="130"/>
      <c r="B4994" s="37"/>
      <c r="C4994" s="37"/>
      <c r="D4994" s="37"/>
      <c r="E4994" s="37"/>
      <c r="F4994" s="37"/>
      <c r="G4994" s="37"/>
      <c r="H4994" s="37"/>
      <c r="I4994" s="37"/>
      <c r="J4994" s="37"/>
    </row>
    <row r="4995" spans="1:10" x14ac:dyDescent="0.3">
      <c r="A4995" s="130"/>
      <c r="B4995" s="37"/>
      <c r="C4995" s="37"/>
      <c r="D4995" s="37"/>
      <c r="E4995" s="37"/>
      <c r="F4995" s="37"/>
      <c r="G4995" s="37"/>
      <c r="H4995" s="37"/>
      <c r="I4995" s="37"/>
      <c r="J4995" s="37"/>
    </row>
    <row r="4996" spans="1:10" x14ac:dyDescent="0.3">
      <c r="A4996" s="130"/>
      <c r="B4996" s="37"/>
      <c r="C4996" s="37"/>
      <c r="D4996" s="37"/>
      <c r="E4996" s="37"/>
      <c r="F4996" s="37"/>
      <c r="G4996" s="37"/>
      <c r="H4996" s="37"/>
      <c r="I4996" s="37"/>
      <c r="J4996" s="37"/>
    </row>
    <row r="4997" spans="1:10" x14ac:dyDescent="0.3">
      <c r="A4997" s="130"/>
      <c r="B4997" s="37"/>
      <c r="C4997" s="37"/>
      <c r="D4997" s="37"/>
      <c r="E4997" s="37"/>
      <c r="F4997" s="37"/>
      <c r="G4997" s="37"/>
      <c r="H4997" s="37"/>
      <c r="I4997" s="37"/>
      <c r="J4997" s="37"/>
    </row>
    <row r="4998" spans="1:10" x14ac:dyDescent="0.3">
      <c r="A4998" s="130"/>
      <c r="B4998" s="37"/>
      <c r="C4998" s="37"/>
      <c r="D4998" s="37"/>
      <c r="E4998" s="37"/>
      <c r="F4998" s="37"/>
      <c r="G4998" s="37"/>
      <c r="H4998" s="37"/>
      <c r="I4998" s="37"/>
      <c r="J4998" s="37"/>
    </row>
    <row r="4999" spans="1:10" x14ac:dyDescent="0.3">
      <c r="A4999" s="130"/>
      <c r="B4999" s="37"/>
      <c r="C4999" s="37"/>
      <c r="D4999" s="37"/>
      <c r="E4999" s="37"/>
      <c r="F4999" s="37"/>
      <c r="G4999" s="37"/>
      <c r="H4999" s="37"/>
      <c r="I4999" s="37"/>
      <c r="J4999" s="37"/>
    </row>
    <row r="5000" spans="1:10" x14ac:dyDescent="0.3">
      <c r="A5000" s="130"/>
      <c r="B5000" s="37"/>
      <c r="C5000" s="37"/>
      <c r="D5000" s="37"/>
      <c r="E5000" s="37"/>
      <c r="F5000" s="37"/>
      <c r="G5000" s="37"/>
      <c r="H5000" s="37"/>
      <c r="I5000" s="37"/>
      <c r="J5000" s="37"/>
    </row>
    <row r="5001" spans="1:10" x14ac:dyDescent="0.3">
      <c r="A5001" s="130"/>
      <c r="B5001" s="37"/>
      <c r="C5001" s="37"/>
      <c r="D5001" s="37"/>
      <c r="E5001" s="37"/>
      <c r="F5001" s="37"/>
      <c r="G5001" s="37"/>
      <c r="H5001" s="37"/>
      <c r="I5001" s="37"/>
      <c r="J5001" s="37"/>
    </row>
    <row r="5002" spans="1:10" x14ac:dyDescent="0.3">
      <c r="A5002" s="130"/>
      <c r="B5002" s="37"/>
      <c r="C5002" s="37"/>
      <c r="D5002" s="37"/>
      <c r="E5002" s="37"/>
      <c r="F5002" s="37"/>
      <c r="G5002" s="37"/>
      <c r="H5002" s="37"/>
      <c r="I5002" s="37"/>
      <c r="J5002" s="37"/>
    </row>
    <row r="5003" spans="1:10" x14ac:dyDescent="0.3">
      <c r="A5003" s="130"/>
      <c r="B5003" s="37"/>
      <c r="C5003" s="37"/>
      <c r="D5003" s="37"/>
      <c r="E5003" s="37"/>
      <c r="F5003" s="37"/>
      <c r="G5003" s="37"/>
      <c r="H5003" s="37"/>
      <c r="I5003" s="37"/>
      <c r="J5003" s="37"/>
    </row>
    <row r="5004" spans="1:10" x14ac:dyDescent="0.3">
      <c r="A5004" s="130"/>
      <c r="B5004" s="37"/>
      <c r="C5004" s="37"/>
      <c r="D5004" s="37"/>
      <c r="E5004" s="37"/>
      <c r="F5004" s="37"/>
      <c r="G5004" s="37"/>
      <c r="H5004" s="37"/>
      <c r="I5004" s="37"/>
      <c r="J5004" s="37"/>
    </row>
    <row r="5005" spans="1:10" x14ac:dyDescent="0.3">
      <c r="A5005" s="130"/>
      <c r="B5005" s="37"/>
      <c r="C5005" s="37"/>
      <c r="D5005" s="37"/>
      <c r="E5005" s="37"/>
      <c r="F5005" s="37"/>
      <c r="G5005" s="37"/>
      <c r="H5005" s="37"/>
      <c r="I5005" s="37"/>
      <c r="J5005" s="37"/>
    </row>
    <row r="5006" spans="1:10" x14ac:dyDescent="0.3">
      <c r="A5006" s="130"/>
      <c r="B5006" s="37"/>
      <c r="C5006" s="37"/>
      <c r="D5006" s="37"/>
      <c r="E5006" s="37"/>
      <c r="F5006" s="37"/>
      <c r="G5006" s="37"/>
      <c r="H5006" s="37"/>
      <c r="I5006" s="37"/>
      <c r="J5006" s="37"/>
    </row>
    <row r="5007" spans="1:10" x14ac:dyDescent="0.3">
      <c r="A5007" s="130"/>
      <c r="B5007" s="37"/>
      <c r="C5007" s="37"/>
      <c r="D5007" s="37"/>
      <c r="E5007" s="37"/>
      <c r="F5007" s="37"/>
      <c r="G5007" s="37"/>
      <c r="H5007" s="37"/>
      <c r="I5007" s="37"/>
      <c r="J5007" s="37"/>
    </row>
    <row r="5008" spans="1:10" x14ac:dyDescent="0.3">
      <c r="A5008" s="130"/>
      <c r="B5008" s="37"/>
      <c r="C5008" s="37"/>
      <c r="D5008" s="37"/>
      <c r="E5008" s="37"/>
      <c r="F5008" s="37"/>
      <c r="G5008" s="37"/>
      <c r="H5008" s="37"/>
      <c r="I5008" s="37"/>
      <c r="J5008" s="37"/>
    </row>
    <row r="5009" spans="1:10" x14ac:dyDescent="0.3">
      <c r="A5009" s="130"/>
      <c r="B5009" s="37"/>
      <c r="C5009" s="37"/>
      <c r="D5009" s="37"/>
      <c r="E5009" s="37"/>
      <c r="F5009" s="37"/>
      <c r="G5009" s="37"/>
      <c r="H5009" s="37"/>
      <c r="I5009" s="37"/>
      <c r="J5009" s="37"/>
    </row>
    <row r="5010" spans="1:10" x14ac:dyDescent="0.3">
      <c r="A5010" s="130"/>
      <c r="B5010" s="37"/>
      <c r="C5010" s="37"/>
      <c r="D5010" s="37"/>
      <c r="E5010" s="37"/>
      <c r="F5010" s="37"/>
      <c r="G5010" s="37"/>
      <c r="H5010" s="37"/>
      <c r="I5010" s="37"/>
      <c r="J5010" s="37"/>
    </row>
    <row r="5011" spans="1:10" x14ac:dyDescent="0.3">
      <c r="A5011" s="130"/>
      <c r="B5011" s="37"/>
      <c r="C5011" s="37"/>
      <c r="D5011" s="37"/>
      <c r="E5011" s="37"/>
      <c r="F5011" s="37"/>
      <c r="G5011" s="37"/>
      <c r="H5011" s="37"/>
      <c r="I5011" s="37"/>
      <c r="J5011" s="37"/>
    </row>
    <row r="5012" spans="1:10" x14ac:dyDescent="0.3">
      <c r="A5012" s="130"/>
      <c r="B5012" s="37"/>
      <c r="C5012" s="37"/>
      <c r="D5012" s="37"/>
      <c r="E5012" s="37"/>
      <c r="F5012" s="37"/>
      <c r="G5012" s="37"/>
      <c r="H5012" s="37"/>
      <c r="I5012" s="37"/>
      <c r="J5012" s="37"/>
    </row>
    <row r="5013" spans="1:10" x14ac:dyDescent="0.3">
      <c r="A5013" s="130"/>
      <c r="B5013" s="37"/>
      <c r="C5013" s="37"/>
      <c r="D5013" s="37"/>
      <c r="E5013" s="37"/>
      <c r="F5013" s="37"/>
      <c r="G5013" s="37"/>
      <c r="H5013" s="37"/>
      <c r="I5013" s="37"/>
      <c r="J5013" s="37"/>
    </row>
    <row r="5014" spans="1:10" x14ac:dyDescent="0.3">
      <c r="A5014" s="130"/>
      <c r="B5014" s="37"/>
      <c r="C5014" s="37"/>
      <c r="D5014" s="37"/>
      <c r="E5014" s="37"/>
      <c r="F5014" s="37"/>
      <c r="G5014" s="37"/>
      <c r="H5014" s="37"/>
      <c r="I5014" s="37"/>
      <c r="J5014" s="37"/>
    </row>
    <row r="5015" spans="1:10" x14ac:dyDescent="0.3">
      <c r="A5015" s="130"/>
      <c r="B5015" s="37"/>
      <c r="C5015" s="37"/>
      <c r="D5015" s="37"/>
      <c r="E5015" s="37"/>
      <c r="F5015" s="37"/>
      <c r="G5015" s="37"/>
      <c r="H5015" s="37"/>
      <c r="I5015" s="37"/>
      <c r="J5015" s="37"/>
    </row>
    <row r="5016" spans="1:10" x14ac:dyDescent="0.3">
      <c r="A5016" s="130"/>
      <c r="B5016" s="37"/>
      <c r="C5016" s="37"/>
      <c r="D5016" s="37"/>
      <c r="E5016" s="37"/>
      <c r="F5016" s="37"/>
      <c r="G5016" s="37"/>
      <c r="H5016" s="37"/>
      <c r="I5016" s="37"/>
      <c r="J5016" s="37"/>
    </row>
    <row r="5017" spans="1:10" x14ac:dyDescent="0.3">
      <c r="A5017" s="130"/>
      <c r="B5017" s="37"/>
      <c r="C5017" s="37"/>
      <c r="D5017" s="37"/>
      <c r="E5017" s="37"/>
      <c r="F5017" s="37"/>
      <c r="G5017" s="37"/>
      <c r="H5017" s="37"/>
      <c r="I5017" s="37"/>
      <c r="J5017" s="37"/>
    </row>
    <row r="5018" spans="1:10" x14ac:dyDescent="0.3">
      <c r="A5018" s="130"/>
      <c r="B5018" s="37"/>
      <c r="C5018" s="37"/>
      <c r="D5018" s="37"/>
      <c r="E5018" s="37"/>
      <c r="F5018" s="37"/>
      <c r="G5018" s="37"/>
      <c r="H5018" s="37"/>
      <c r="I5018" s="37"/>
      <c r="J5018" s="37"/>
    </row>
    <row r="5019" spans="1:10" x14ac:dyDescent="0.3">
      <c r="A5019" s="130"/>
      <c r="B5019" s="37"/>
      <c r="C5019" s="37"/>
      <c r="D5019" s="37"/>
      <c r="E5019" s="37"/>
      <c r="F5019" s="37"/>
      <c r="G5019" s="37"/>
      <c r="H5019" s="37"/>
      <c r="I5019" s="37"/>
      <c r="J5019" s="37"/>
    </row>
    <row r="5020" spans="1:10" x14ac:dyDescent="0.3">
      <c r="A5020" s="130"/>
      <c r="B5020" s="37"/>
      <c r="C5020" s="37"/>
      <c r="D5020" s="37"/>
      <c r="E5020" s="37"/>
      <c r="F5020" s="37"/>
      <c r="G5020" s="37"/>
      <c r="H5020" s="37"/>
      <c r="I5020" s="37"/>
      <c r="J5020" s="37"/>
    </row>
    <row r="5021" spans="1:10" x14ac:dyDescent="0.3">
      <c r="A5021" s="130"/>
      <c r="B5021" s="37"/>
      <c r="C5021" s="37"/>
      <c r="D5021" s="37"/>
      <c r="E5021" s="37"/>
      <c r="F5021" s="37"/>
      <c r="G5021" s="37"/>
      <c r="H5021" s="37"/>
      <c r="I5021" s="37"/>
      <c r="J5021" s="37"/>
    </row>
    <row r="5022" spans="1:10" x14ac:dyDescent="0.3">
      <c r="A5022" s="130"/>
      <c r="B5022" s="37"/>
      <c r="C5022" s="37"/>
      <c r="D5022" s="37"/>
      <c r="E5022" s="37"/>
      <c r="F5022" s="37"/>
      <c r="G5022" s="37"/>
      <c r="H5022" s="37"/>
      <c r="I5022" s="37"/>
      <c r="J5022" s="37"/>
    </row>
    <row r="5023" spans="1:10" x14ac:dyDescent="0.3">
      <c r="A5023" s="130"/>
      <c r="B5023" s="37"/>
      <c r="C5023" s="37"/>
      <c r="D5023" s="37"/>
      <c r="E5023" s="37"/>
      <c r="F5023" s="37"/>
      <c r="G5023" s="37"/>
      <c r="H5023" s="37"/>
      <c r="I5023" s="37"/>
      <c r="J5023" s="37"/>
    </row>
    <row r="5024" spans="1:10" x14ac:dyDescent="0.3">
      <c r="A5024" s="130"/>
      <c r="B5024" s="37"/>
      <c r="C5024" s="37"/>
      <c r="D5024" s="37"/>
      <c r="E5024" s="37"/>
      <c r="F5024" s="37"/>
      <c r="G5024" s="37"/>
      <c r="H5024" s="37"/>
      <c r="I5024" s="37"/>
      <c r="J5024" s="37"/>
    </row>
    <row r="5025" spans="1:10" x14ac:dyDescent="0.3">
      <c r="A5025" s="130"/>
      <c r="B5025" s="37"/>
      <c r="C5025" s="37"/>
      <c r="D5025" s="37"/>
      <c r="E5025" s="37"/>
      <c r="F5025" s="37"/>
      <c r="G5025" s="37"/>
      <c r="H5025" s="37"/>
      <c r="I5025" s="37"/>
      <c r="J5025" s="37"/>
    </row>
    <row r="5026" spans="1:10" x14ac:dyDescent="0.3">
      <c r="A5026" s="130"/>
      <c r="B5026" s="37"/>
      <c r="C5026" s="37"/>
      <c r="D5026" s="37"/>
      <c r="E5026" s="37"/>
      <c r="F5026" s="37"/>
      <c r="G5026" s="37"/>
      <c r="H5026" s="37"/>
      <c r="I5026" s="37"/>
      <c r="J5026" s="37"/>
    </row>
    <row r="5027" spans="1:10" x14ac:dyDescent="0.3">
      <c r="A5027" s="130"/>
      <c r="B5027" s="37"/>
      <c r="C5027" s="37"/>
      <c r="D5027" s="37"/>
      <c r="E5027" s="37"/>
      <c r="F5027" s="37"/>
      <c r="G5027" s="37"/>
      <c r="H5027" s="37"/>
      <c r="I5027" s="37"/>
      <c r="J5027" s="37"/>
    </row>
    <row r="5028" spans="1:10" x14ac:dyDescent="0.3">
      <c r="A5028" s="130"/>
      <c r="B5028" s="37"/>
      <c r="C5028" s="37"/>
      <c r="D5028" s="37"/>
      <c r="E5028" s="37"/>
      <c r="F5028" s="37"/>
      <c r="G5028" s="37"/>
      <c r="H5028" s="37"/>
      <c r="I5028" s="37"/>
      <c r="J5028" s="37"/>
    </row>
    <row r="5029" spans="1:10" x14ac:dyDescent="0.3">
      <c r="A5029" s="130"/>
      <c r="B5029" s="37"/>
      <c r="C5029" s="37"/>
      <c r="D5029" s="37"/>
      <c r="E5029" s="37"/>
      <c r="F5029" s="37"/>
      <c r="G5029" s="37"/>
      <c r="H5029" s="37"/>
      <c r="I5029" s="37"/>
      <c r="J5029" s="37"/>
    </row>
    <row r="5030" spans="1:10" x14ac:dyDescent="0.3">
      <c r="A5030" s="130"/>
      <c r="B5030" s="37"/>
      <c r="C5030" s="37"/>
      <c r="D5030" s="37"/>
      <c r="E5030" s="37"/>
      <c r="F5030" s="37"/>
      <c r="G5030" s="37"/>
      <c r="H5030" s="37"/>
      <c r="I5030" s="37"/>
      <c r="J5030" s="37"/>
    </row>
    <row r="5031" spans="1:10" x14ac:dyDescent="0.3">
      <c r="A5031" s="130"/>
      <c r="B5031" s="37"/>
      <c r="C5031" s="37"/>
      <c r="D5031" s="37"/>
      <c r="E5031" s="37"/>
      <c r="F5031" s="37"/>
      <c r="G5031" s="37"/>
      <c r="H5031" s="37"/>
      <c r="I5031" s="37"/>
      <c r="J5031" s="37"/>
    </row>
    <row r="5032" spans="1:10" x14ac:dyDescent="0.3">
      <c r="A5032" s="130"/>
      <c r="B5032" s="37"/>
      <c r="C5032" s="37"/>
      <c r="D5032" s="37"/>
      <c r="E5032" s="37"/>
      <c r="F5032" s="37"/>
      <c r="G5032" s="37"/>
      <c r="H5032" s="37"/>
      <c r="I5032" s="37"/>
      <c r="J5032" s="37"/>
    </row>
    <row r="5033" spans="1:10" x14ac:dyDescent="0.3">
      <c r="A5033" s="130"/>
      <c r="B5033" s="37"/>
      <c r="C5033" s="37"/>
      <c r="D5033" s="37"/>
      <c r="E5033" s="37"/>
      <c r="F5033" s="37"/>
      <c r="G5033" s="37"/>
      <c r="H5033" s="37"/>
      <c r="I5033" s="37"/>
      <c r="J5033" s="37"/>
    </row>
    <row r="5034" spans="1:10" x14ac:dyDescent="0.3">
      <c r="A5034" s="130"/>
      <c r="B5034" s="37"/>
      <c r="C5034" s="37"/>
      <c r="D5034" s="37"/>
      <c r="E5034" s="37"/>
      <c r="F5034" s="37"/>
      <c r="G5034" s="37"/>
      <c r="H5034" s="37"/>
      <c r="I5034" s="37"/>
      <c r="J5034" s="37"/>
    </row>
    <row r="5035" spans="1:10" x14ac:dyDescent="0.3">
      <c r="A5035" s="130"/>
      <c r="B5035" s="37"/>
      <c r="C5035" s="37"/>
      <c r="D5035" s="37"/>
      <c r="E5035" s="37"/>
      <c r="F5035" s="37"/>
      <c r="G5035" s="37"/>
      <c r="H5035" s="37"/>
      <c r="I5035" s="37"/>
      <c r="J5035" s="37"/>
    </row>
    <row r="5036" spans="1:10" x14ac:dyDescent="0.3">
      <c r="A5036" s="130"/>
      <c r="B5036" s="37"/>
      <c r="C5036" s="37"/>
      <c r="D5036" s="37"/>
      <c r="E5036" s="37"/>
      <c r="F5036" s="37"/>
      <c r="G5036" s="37"/>
      <c r="H5036" s="37"/>
      <c r="I5036" s="37"/>
      <c r="J5036" s="37"/>
    </row>
    <row r="5037" spans="1:10" x14ac:dyDescent="0.3">
      <c r="A5037" s="130"/>
      <c r="B5037" s="37"/>
      <c r="C5037" s="37"/>
      <c r="D5037" s="37"/>
      <c r="E5037" s="37"/>
      <c r="F5037" s="37"/>
      <c r="G5037" s="37"/>
      <c r="H5037" s="37"/>
      <c r="I5037" s="37"/>
      <c r="J5037" s="37"/>
    </row>
    <row r="5038" spans="1:10" x14ac:dyDescent="0.3">
      <c r="A5038" s="130"/>
      <c r="B5038" s="37"/>
      <c r="C5038" s="37"/>
      <c r="D5038" s="37"/>
      <c r="E5038" s="37"/>
      <c r="F5038" s="37"/>
      <c r="G5038" s="37"/>
      <c r="H5038" s="37"/>
      <c r="I5038" s="37"/>
      <c r="J5038" s="37"/>
    </row>
    <row r="5039" spans="1:10" x14ac:dyDescent="0.3">
      <c r="A5039" s="130"/>
      <c r="B5039" s="37"/>
      <c r="C5039" s="37"/>
      <c r="D5039" s="37"/>
      <c r="E5039" s="37"/>
      <c r="F5039" s="37"/>
      <c r="G5039" s="37"/>
      <c r="H5039" s="37"/>
      <c r="I5039" s="37"/>
      <c r="J5039" s="37"/>
    </row>
    <row r="5040" spans="1:10" x14ac:dyDescent="0.3">
      <c r="A5040" s="130"/>
      <c r="B5040" s="37"/>
      <c r="C5040" s="37"/>
      <c r="D5040" s="37"/>
      <c r="E5040" s="37"/>
      <c r="F5040" s="37"/>
      <c r="G5040" s="37"/>
      <c r="H5040" s="37"/>
      <c r="I5040" s="37"/>
      <c r="J5040" s="37"/>
    </row>
    <row r="5041" spans="1:10" x14ac:dyDescent="0.3">
      <c r="A5041" s="130"/>
      <c r="B5041" s="37"/>
      <c r="C5041" s="37"/>
      <c r="D5041" s="37"/>
      <c r="E5041" s="37"/>
      <c r="F5041" s="37"/>
      <c r="G5041" s="37"/>
      <c r="H5041" s="37"/>
      <c r="I5041" s="37"/>
      <c r="J5041" s="37"/>
    </row>
    <row r="5042" spans="1:10" x14ac:dyDescent="0.3">
      <c r="A5042" s="130"/>
      <c r="B5042" s="37"/>
      <c r="C5042" s="37"/>
      <c r="D5042" s="37"/>
      <c r="E5042" s="37"/>
      <c r="F5042" s="37"/>
      <c r="G5042" s="37"/>
      <c r="H5042" s="37"/>
      <c r="I5042" s="37"/>
      <c r="J5042" s="37"/>
    </row>
    <row r="5043" spans="1:10" x14ac:dyDescent="0.3">
      <c r="A5043" s="130"/>
      <c r="B5043" s="37"/>
      <c r="C5043" s="37"/>
      <c r="D5043" s="37"/>
      <c r="E5043" s="37"/>
      <c r="F5043" s="37"/>
      <c r="G5043" s="37"/>
      <c r="H5043" s="37"/>
      <c r="I5043" s="37"/>
      <c r="J5043" s="37"/>
    </row>
    <row r="5044" spans="1:10" x14ac:dyDescent="0.3">
      <c r="A5044" s="130"/>
      <c r="B5044" s="37"/>
      <c r="C5044" s="37"/>
      <c r="D5044" s="37"/>
      <c r="E5044" s="37"/>
      <c r="F5044" s="37"/>
      <c r="G5044" s="37"/>
      <c r="H5044" s="37"/>
      <c r="I5044" s="37"/>
      <c r="J5044" s="37"/>
    </row>
    <row r="5045" spans="1:10" x14ac:dyDescent="0.3">
      <c r="A5045" s="130"/>
      <c r="B5045" s="37"/>
      <c r="C5045" s="37"/>
      <c r="D5045" s="37"/>
      <c r="E5045" s="37"/>
      <c r="F5045" s="37"/>
      <c r="G5045" s="37"/>
      <c r="H5045" s="37"/>
      <c r="I5045" s="37"/>
      <c r="J5045" s="37"/>
    </row>
    <row r="5046" spans="1:10" x14ac:dyDescent="0.3">
      <c r="A5046" s="130"/>
      <c r="B5046" s="37"/>
      <c r="C5046" s="37"/>
      <c r="D5046" s="37"/>
      <c r="E5046" s="37"/>
      <c r="F5046" s="37"/>
      <c r="G5046" s="37"/>
      <c r="H5046" s="37"/>
      <c r="I5046" s="37"/>
      <c r="J5046" s="37"/>
    </row>
    <row r="5047" spans="1:10" x14ac:dyDescent="0.3">
      <c r="A5047" s="130"/>
      <c r="B5047" s="37"/>
      <c r="C5047" s="37"/>
      <c r="D5047" s="37"/>
      <c r="E5047" s="37"/>
      <c r="F5047" s="37"/>
      <c r="G5047" s="37"/>
      <c r="H5047" s="37"/>
      <c r="I5047" s="37"/>
      <c r="J5047" s="37"/>
    </row>
    <row r="5048" spans="1:10" x14ac:dyDescent="0.3">
      <c r="A5048" s="130"/>
      <c r="B5048" s="37"/>
      <c r="C5048" s="37"/>
      <c r="D5048" s="37"/>
      <c r="E5048" s="37"/>
      <c r="F5048" s="37"/>
      <c r="G5048" s="37"/>
      <c r="H5048" s="37"/>
      <c r="I5048" s="37"/>
      <c r="J5048" s="37"/>
    </row>
    <row r="5049" spans="1:10" x14ac:dyDescent="0.3">
      <c r="A5049" s="130"/>
      <c r="B5049" s="37"/>
      <c r="C5049" s="37"/>
      <c r="D5049" s="37"/>
      <c r="E5049" s="37"/>
      <c r="F5049" s="37"/>
      <c r="G5049" s="37"/>
      <c r="H5049" s="37"/>
      <c r="I5049" s="37"/>
      <c r="J5049" s="37"/>
    </row>
    <row r="5050" spans="1:10" x14ac:dyDescent="0.3">
      <c r="A5050" s="130"/>
      <c r="B5050" s="37"/>
      <c r="C5050" s="37"/>
      <c r="D5050" s="37"/>
      <c r="E5050" s="37"/>
      <c r="F5050" s="37"/>
      <c r="G5050" s="37"/>
      <c r="H5050" s="37"/>
      <c r="I5050" s="37"/>
      <c r="J5050" s="37"/>
    </row>
    <row r="5051" spans="1:10" x14ac:dyDescent="0.3">
      <c r="A5051" s="130"/>
      <c r="B5051" s="37"/>
      <c r="C5051" s="37"/>
      <c r="D5051" s="37"/>
      <c r="E5051" s="37"/>
      <c r="F5051" s="37"/>
      <c r="G5051" s="37"/>
      <c r="H5051" s="37"/>
      <c r="I5051" s="37"/>
      <c r="J5051" s="37"/>
    </row>
    <row r="5052" spans="1:10" x14ac:dyDescent="0.3">
      <c r="A5052" s="130"/>
      <c r="B5052" s="37"/>
      <c r="C5052" s="37"/>
      <c r="D5052" s="37"/>
      <c r="E5052" s="37"/>
      <c r="F5052" s="37"/>
      <c r="G5052" s="37"/>
      <c r="H5052" s="37"/>
      <c r="I5052" s="37"/>
      <c r="J5052" s="37"/>
    </row>
    <row r="5053" spans="1:10" x14ac:dyDescent="0.3">
      <c r="A5053" s="130"/>
      <c r="B5053" s="37"/>
      <c r="C5053" s="37"/>
      <c r="D5053" s="37"/>
      <c r="E5053" s="37"/>
      <c r="F5053" s="37"/>
      <c r="G5053" s="37"/>
      <c r="H5053" s="37"/>
      <c r="I5053" s="37"/>
      <c r="J5053" s="37"/>
    </row>
    <row r="5054" spans="1:10" x14ac:dyDescent="0.3">
      <c r="A5054" s="130"/>
      <c r="B5054" s="37"/>
      <c r="C5054" s="37"/>
      <c r="D5054" s="37"/>
      <c r="E5054" s="37"/>
      <c r="F5054" s="37"/>
      <c r="G5054" s="37"/>
      <c r="H5054" s="37"/>
      <c r="I5054" s="37"/>
      <c r="J5054" s="37"/>
    </row>
    <row r="5055" spans="1:10" x14ac:dyDescent="0.3">
      <c r="A5055" s="130"/>
      <c r="B5055" s="37"/>
      <c r="C5055" s="37"/>
      <c r="D5055" s="37"/>
      <c r="E5055" s="37"/>
      <c r="F5055" s="37"/>
      <c r="G5055" s="37"/>
      <c r="H5055" s="37"/>
      <c r="I5055" s="37"/>
      <c r="J5055" s="37"/>
    </row>
    <row r="5056" spans="1:10" x14ac:dyDescent="0.3">
      <c r="A5056" s="130"/>
      <c r="B5056" s="37"/>
      <c r="C5056" s="37"/>
      <c r="D5056" s="37"/>
      <c r="E5056" s="37"/>
      <c r="F5056" s="37"/>
      <c r="G5056" s="37"/>
      <c r="H5056" s="37"/>
      <c r="I5056" s="37"/>
      <c r="J5056" s="37"/>
    </row>
    <row r="5057" spans="1:10" x14ac:dyDescent="0.3">
      <c r="A5057" s="130"/>
      <c r="B5057" s="37"/>
      <c r="C5057" s="37"/>
      <c r="D5057" s="37"/>
      <c r="E5057" s="37"/>
      <c r="F5057" s="37"/>
      <c r="G5057" s="37"/>
      <c r="H5057" s="37"/>
      <c r="I5057" s="37"/>
      <c r="J5057" s="37"/>
    </row>
    <row r="5058" spans="1:10" x14ac:dyDescent="0.3">
      <c r="A5058" s="130"/>
      <c r="B5058" s="37"/>
      <c r="C5058" s="37"/>
      <c r="D5058" s="37"/>
      <c r="E5058" s="37"/>
      <c r="F5058" s="37"/>
      <c r="G5058" s="37"/>
      <c r="H5058" s="37"/>
      <c r="I5058" s="37"/>
      <c r="J5058" s="37"/>
    </row>
    <row r="5059" spans="1:10" x14ac:dyDescent="0.3">
      <c r="A5059" s="130"/>
      <c r="B5059" s="37"/>
      <c r="C5059" s="37"/>
      <c r="D5059" s="37"/>
      <c r="E5059" s="37"/>
      <c r="F5059" s="37"/>
      <c r="G5059" s="37"/>
      <c r="H5059" s="37"/>
      <c r="I5059" s="37"/>
      <c r="J5059" s="37"/>
    </row>
    <row r="5060" spans="1:10" x14ac:dyDescent="0.3">
      <c r="A5060" s="130"/>
      <c r="B5060" s="37"/>
      <c r="C5060" s="37"/>
      <c r="D5060" s="37"/>
      <c r="E5060" s="37"/>
      <c r="F5060" s="37"/>
      <c r="G5060" s="37"/>
      <c r="H5060" s="37"/>
      <c r="I5060" s="37"/>
      <c r="J5060" s="37"/>
    </row>
    <row r="5061" spans="1:10" x14ac:dyDescent="0.3">
      <c r="A5061" s="130"/>
      <c r="B5061" s="37"/>
      <c r="C5061" s="37"/>
      <c r="D5061" s="37"/>
      <c r="E5061" s="37"/>
      <c r="F5061" s="37"/>
      <c r="G5061" s="37"/>
      <c r="H5061" s="37"/>
      <c r="I5061" s="37"/>
      <c r="J5061" s="37"/>
    </row>
    <row r="5062" spans="1:10" x14ac:dyDescent="0.3">
      <c r="A5062" s="130"/>
      <c r="B5062" s="37"/>
      <c r="C5062" s="37"/>
      <c r="D5062" s="37"/>
      <c r="E5062" s="37"/>
      <c r="F5062" s="37"/>
      <c r="G5062" s="37"/>
      <c r="H5062" s="37"/>
      <c r="I5062" s="37"/>
      <c r="J5062" s="37"/>
    </row>
    <row r="5063" spans="1:10" x14ac:dyDescent="0.3">
      <c r="A5063" s="130"/>
      <c r="B5063" s="37"/>
      <c r="C5063" s="37"/>
      <c r="D5063" s="37"/>
      <c r="E5063" s="37"/>
      <c r="F5063" s="37"/>
      <c r="G5063" s="37"/>
      <c r="H5063" s="37"/>
      <c r="I5063" s="37"/>
      <c r="J5063" s="37"/>
    </row>
    <row r="5064" spans="1:10" x14ac:dyDescent="0.3">
      <c r="A5064" s="130"/>
      <c r="B5064" s="37"/>
      <c r="C5064" s="37"/>
      <c r="D5064" s="37"/>
      <c r="E5064" s="37"/>
      <c r="F5064" s="37"/>
      <c r="G5064" s="37"/>
      <c r="H5064" s="37"/>
      <c r="I5064" s="37"/>
      <c r="J5064" s="37"/>
    </row>
    <row r="5065" spans="1:10" x14ac:dyDescent="0.3">
      <c r="A5065" s="130"/>
      <c r="B5065" s="37"/>
      <c r="C5065" s="37"/>
      <c r="D5065" s="37"/>
      <c r="E5065" s="37"/>
      <c r="F5065" s="37"/>
      <c r="G5065" s="37"/>
      <c r="H5065" s="37"/>
      <c r="I5065" s="37"/>
      <c r="J5065" s="37"/>
    </row>
    <row r="5066" spans="1:10" x14ac:dyDescent="0.3">
      <c r="A5066" s="130"/>
      <c r="B5066" s="37"/>
      <c r="C5066" s="37"/>
      <c r="D5066" s="37"/>
      <c r="E5066" s="37"/>
      <c r="F5066" s="37"/>
      <c r="G5066" s="37"/>
      <c r="H5066" s="37"/>
      <c r="I5066" s="37"/>
      <c r="J5066" s="37"/>
    </row>
    <row r="5067" spans="1:10" x14ac:dyDescent="0.3">
      <c r="A5067" s="130"/>
      <c r="B5067" s="37"/>
      <c r="C5067" s="37"/>
      <c r="D5067" s="37"/>
      <c r="E5067" s="37"/>
      <c r="F5067" s="37"/>
      <c r="G5067" s="37"/>
      <c r="H5067" s="37"/>
      <c r="I5067" s="37"/>
      <c r="J5067" s="37"/>
    </row>
    <row r="5068" spans="1:10" x14ac:dyDescent="0.3">
      <c r="A5068" s="130"/>
      <c r="B5068" s="37"/>
      <c r="C5068" s="37"/>
      <c r="D5068" s="37"/>
      <c r="E5068" s="37"/>
      <c r="F5068" s="37"/>
      <c r="G5068" s="37"/>
      <c r="H5068" s="37"/>
      <c r="I5068" s="37"/>
      <c r="J5068" s="37"/>
    </row>
    <row r="5069" spans="1:10" x14ac:dyDescent="0.3">
      <c r="A5069" s="130"/>
      <c r="B5069" s="37"/>
      <c r="C5069" s="37"/>
      <c r="D5069" s="37"/>
      <c r="E5069" s="37"/>
      <c r="F5069" s="37"/>
      <c r="G5069" s="37"/>
      <c r="H5069" s="37"/>
      <c r="I5069" s="37"/>
      <c r="J5069" s="37"/>
    </row>
    <row r="5070" spans="1:10" x14ac:dyDescent="0.3">
      <c r="A5070" s="130"/>
      <c r="B5070" s="37"/>
      <c r="C5070" s="37"/>
      <c r="D5070" s="37"/>
      <c r="E5070" s="37"/>
      <c r="F5070" s="37"/>
      <c r="G5070" s="37"/>
      <c r="H5070" s="37"/>
      <c r="I5070" s="37"/>
      <c r="J5070" s="37"/>
    </row>
    <row r="5071" spans="1:10" x14ac:dyDescent="0.3">
      <c r="A5071" s="130"/>
      <c r="B5071" s="37"/>
      <c r="C5071" s="37"/>
      <c r="D5071" s="37"/>
      <c r="E5071" s="37"/>
      <c r="F5071" s="37"/>
      <c r="G5071" s="37"/>
      <c r="H5071" s="37"/>
      <c r="I5071" s="37"/>
      <c r="J5071" s="37"/>
    </row>
    <row r="5072" spans="1:10" x14ac:dyDescent="0.3">
      <c r="A5072" s="130"/>
      <c r="B5072" s="37"/>
      <c r="C5072" s="37"/>
      <c r="D5072" s="37"/>
      <c r="E5072" s="37"/>
      <c r="F5072" s="37"/>
      <c r="G5072" s="37"/>
      <c r="H5072" s="37"/>
      <c r="I5072" s="37"/>
      <c r="J5072" s="37"/>
    </row>
    <row r="5073" spans="1:10" x14ac:dyDescent="0.3">
      <c r="A5073" s="130"/>
      <c r="B5073" s="37"/>
      <c r="C5073" s="37"/>
      <c r="D5073" s="37"/>
      <c r="E5073" s="37"/>
      <c r="F5073" s="37"/>
      <c r="G5073" s="37"/>
      <c r="H5073" s="37"/>
      <c r="I5073" s="37"/>
      <c r="J5073" s="37"/>
    </row>
    <row r="5074" spans="1:10" x14ac:dyDescent="0.3">
      <c r="A5074" s="130"/>
      <c r="B5074" s="37"/>
      <c r="C5074" s="37"/>
      <c r="D5074" s="37"/>
      <c r="E5074" s="37"/>
      <c r="F5074" s="37"/>
      <c r="G5074" s="37"/>
      <c r="H5074" s="37"/>
      <c r="I5074" s="37"/>
      <c r="J5074" s="37"/>
    </row>
    <row r="5075" spans="1:10" x14ac:dyDescent="0.3">
      <c r="A5075" s="130"/>
      <c r="B5075" s="37"/>
      <c r="C5075" s="37"/>
      <c r="D5075" s="37"/>
      <c r="E5075" s="37"/>
      <c r="F5075" s="37"/>
      <c r="G5075" s="37"/>
      <c r="H5075" s="37"/>
      <c r="I5075" s="37"/>
      <c r="J5075" s="37"/>
    </row>
    <row r="5076" spans="1:10" x14ac:dyDescent="0.3">
      <c r="A5076" s="130"/>
      <c r="B5076" s="37"/>
      <c r="C5076" s="37"/>
      <c r="D5076" s="37"/>
      <c r="E5076" s="37"/>
      <c r="F5076" s="37"/>
      <c r="G5076" s="37"/>
      <c r="H5076" s="37"/>
      <c r="I5076" s="37"/>
      <c r="J5076" s="37"/>
    </row>
    <row r="5077" spans="1:10" x14ac:dyDescent="0.3">
      <c r="A5077" s="130"/>
      <c r="B5077" s="37"/>
      <c r="C5077" s="37"/>
      <c r="D5077" s="37"/>
      <c r="E5077" s="37"/>
      <c r="F5077" s="37"/>
      <c r="G5077" s="37"/>
      <c r="H5077" s="37"/>
      <c r="I5077" s="37"/>
      <c r="J5077" s="37"/>
    </row>
    <row r="5078" spans="1:10" x14ac:dyDescent="0.3">
      <c r="A5078" s="130"/>
      <c r="B5078" s="37"/>
      <c r="C5078" s="37"/>
      <c r="D5078" s="37"/>
      <c r="E5078" s="37"/>
      <c r="F5078" s="37"/>
      <c r="G5078" s="37"/>
      <c r="H5078" s="37"/>
      <c r="I5078" s="37"/>
      <c r="J5078" s="37"/>
    </row>
    <row r="5079" spans="1:10" x14ac:dyDescent="0.3">
      <c r="A5079" s="130"/>
      <c r="B5079" s="37"/>
      <c r="C5079" s="37"/>
      <c r="D5079" s="37"/>
      <c r="E5079" s="37"/>
      <c r="F5079" s="37"/>
      <c r="G5079" s="37"/>
      <c r="H5079" s="37"/>
      <c r="I5079" s="37"/>
      <c r="J5079" s="37"/>
    </row>
    <row r="5080" spans="1:10" x14ac:dyDescent="0.3">
      <c r="A5080" s="130"/>
      <c r="B5080" s="37"/>
      <c r="C5080" s="37"/>
      <c r="D5080" s="37"/>
      <c r="E5080" s="37"/>
      <c r="F5080" s="37"/>
      <c r="G5080" s="37"/>
      <c r="H5080" s="37"/>
      <c r="I5080" s="37"/>
      <c r="J5080" s="37"/>
    </row>
    <row r="5081" spans="1:10" x14ac:dyDescent="0.3">
      <c r="A5081" s="130"/>
      <c r="B5081" s="37"/>
      <c r="C5081" s="37"/>
      <c r="D5081" s="37"/>
      <c r="E5081" s="37"/>
      <c r="F5081" s="37"/>
      <c r="G5081" s="37"/>
      <c r="H5081" s="37"/>
      <c r="I5081" s="37"/>
      <c r="J5081" s="37"/>
    </row>
    <row r="5082" spans="1:10" x14ac:dyDescent="0.3">
      <c r="A5082" s="130"/>
      <c r="B5082" s="37"/>
      <c r="C5082" s="37"/>
      <c r="D5082" s="37"/>
      <c r="E5082" s="37"/>
      <c r="F5082" s="37"/>
      <c r="G5082" s="37"/>
      <c r="H5082" s="37"/>
      <c r="I5082" s="37"/>
      <c r="J5082" s="37"/>
    </row>
    <row r="5083" spans="1:10" x14ac:dyDescent="0.3">
      <c r="A5083" s="130"/>
      <c r="B5083" s="37"/>
      <c r="C5083" s="37"/>
      <c r="D5083" s="37"/>
      <c r="E5083" s="37"/>
      <c r="F5083" s="37"/>
      <c r="G5083" s="37"/>
      <c r="H5083" s="37"/>
      <c r="I5083" s="37"/>
      <c r="J5083" s="37"/>
    </row>
    <row r="5084" spans="1:10" x14ac:dyDescent="0.3">
      <c r="A5084" s="130"/>
      <c r="B5084" s="37"/>
      <c r="C5084" s="37"/>
      <c r="D5084" s="37"/>
      <c r="E5084" s="37"/>
      <c r="F5084" s="37"/>
      <c r="G5084" s="37"/>
      <c r="H5084" s="37"/>
      <c r="I5084" s="37"/>
      <c r="J5084" s="37"/>
    </row>
    <row r="5085" spans="1:10" x14ac:dyDescent="0.3">
      <c r="A5085" s="130"/>
      <c r="B5085" s="37"/>
      <c r="C5085" s="37"/>
      <c r="D5085" s="37"/>
      <c r="E5085" s="37"/>
      <c r="F5085" s="37"/>
      <c r="G5085" s="37"/>
      <c r="H5085" s="37"/>
      <c r="I5085" s="37"/>
      <c r="J5085" s="37"/>
    </row>
    <row r="5086" spans="1:10" x14ac:dyDescent="0.3">
      <c r="A5086" s="130"/>
      <c r="B5086" s="37"/>
      <c r="C5086" s="37"/>
      <c r="D5086" s="37"/>
      <c r="E5086" s="37"/>
      <c r="F5086" s="37"/>
      <c r="G5086" s="37"/>
      <c r="H5086" s="37"/>
      <c r="I5086" s="37"/>
      <c r="J5086" s="37"/>
    </row>
    <row r="5087" spans="1:10" x14ac:dyDescent="0.3">
      <c r="A5087" s="130"/>
      <c r="B5087" s="37"/>
      <c r="C5087" s="37"/>
      <c r="D5087" s="37"/>
      <c r="E5087" s="37"/>
      <c r="F5087" s="37"/>
      <c r="G5087" s="37"/>
      <c r="H5087" s="37"/>
      <c r="I5087" s="37"/>
      <c r="J5087" s="37"/>
    </row>
    <row r="5088" spans="1:10" x14ac:dyDescent="0.3">
      <c r="A5088" s="130"/>
      <c r="B5088" s="37"/>
      <c r="C5088" s="37"/>
      <c r="D5088" s="37"/>
      <c r="E5088" s="37"/>
      <c r="F5088" s="37"/>
      <c r="G5088" s="37"/>
      <c r="H5088" s="37"/>
      <c r="I5088" s="37"/>
      <c r="J5088" s="37"/>
    </row>
    <row r="5089" spans="1:10" x14ac:dyDescent="0.3">
      <c r="A5089" s="130"/>
      <c r="B5089" s="37"/>
      <c r="C5089" s="37"/>
      <c r="D5089" s="37"/>
      <c r="E5089" s="37"/>
      <c r="F5089" s="37"/>
      <c r="G5089" s="37"/>
      <c r="H5089" s="37"/>
      <c r="I5089" s="37"/>
      <c r="J5089" s="37"/>
    </row>
    <row r="5090" spans="1:10" x14ac:dyDescent="0.3">
      <c r="A5090" s="130"/>
      <c r="B5090" s="37"/>
      <c r="C5090" s="37"/>
      <c r="D5090" s="37"/>
      <c r="E5090" s="37"/>
      <c r="F5090" s="37"/>
      <c r="G5090" s="37"/>
      <c r="H5090" s="37"/>
      <c r="I5090" s="37"/>
      <c r="J5090" s="37"/>
    </row>
    <row r="5091" spans="1:10" x14ac:dyDescent="0.3">
      <c r="A5091" s="130"/>
      <c r="B5091" s="37"/>
      <c r="C5091" s="37"/>
      <c r="D5091" s="37"/>
      <c r="E5091" s="37"/>
      <c r="F5091" s="37"/>
      <c r="G5091" s="37"/>
      <c r="H5091" s="37"/>
      <c r="I5091" s="37"/>
      <c r="J5091" s="37"/>
    </row>
    <row r="5092" spans="1:10" x14ac:dyDescent="0.3">
      <c r="A5092" s="130"/>
      <c r="B5092" s="37"/>
      <c r="C5092" s="37"/>
      <c r="D5092" s="37"/>
      <c r="E5092" s="37"/>
      <c r="F5092" s="37"/>
      <c r="G5092" s="37"/>
      <c r="H5092" s="37"/>
      <c r="I5092" s="37"/>
      <c r="J5092" s="37"/>
    </row>
    <row r="5093" spans="1:10" x14ac:dyDescent="0.3">
      <c r="A5093" s="130"/>
      <c r="B5093" s="37"/>
      <c r="C5093" s="37"/>
      <c r="D5093" s="37"/>
      <c r="E5093" s="37"/>
      <c r="F5093" s="37"/>
      <c r="G5093" s="37"/>
      <c r="H5093" s="37"/>
      <c r="I5093" s="37"/>
      <c r="J5093" s="37"/>
    </row>
    <row r="5094" spans="1:10" x14ac:dyDescent="0.3">
      <c r="A5094" s="130"/>
      <c r="B5094" s="37"/>
      <c r="C5094" s="37"/>
      <c r="D5094" s="37"/>
      <c r="E5094" s="37"/>
      <c r="F5094" s="37"/>
      <c r="G5094" s="37"/>
      <c r="H5094" s="37"/>
      <c r="I5094" s="37"/>
      <c r="J5094" s="37"/>
    </row>
    <row r="5095" spans="1:10" x14ac:dyDescent="0.3">
      <c r="A5095" s="130"/>
      <c r="B5095" s="37"/>
      <c r="C5095" s="37"/>
      <c r="D5095" s="37"/>
      <c r="E5095" s="37"/>
      <c r="F5095" s="37"/>
      <c r="G5095" s="37"/>
      <c r="H5095" s="37"/>
      <c r="I5095" s="37"/>
      <c r="J5095" s="37"/>
    </row>
    <row r="5096" spans="1:10" x14ac:dyDescent="0.3">
      <c r="A5096" s="130"/>
      <c r="B5096" s="37"/>
      <c r="C5096" s="37"/>
      <c r="D5096" s="37"/>
      <c r="E5096" s="37"/>
      <c r="F5096" s="37"/>
      <c r="G5096" s="37"/>
      <c r="H5096" s="37"/>
      <c r="I5096" s="37"/>
      <c r="J5096" s="37"/>
    </row>
    <row r="5097" spans="1:10" x14ac:dyDescent="0.3">
      <c r="A5097" s="130"/>
      <c r="B5097" s="37"/>
      <c r="C5097" s="37"/>
      <c r="D5097" s="37"/>
      <c r="E5097" s="37"/>
      <c r="F5097" s="37"/>
      <c r="G5097" s="37"/>
      <c r="H5097" s="37"/>
      <c r="I5097" s="37"/>
      <c r="J5097" s="37"/>
    </row>
    <row r="5098" spans="1:10" x14ac:dyDescent="0.3">
      <c r="A5098" s="130"/>
      <c r="B5098" s="37"/>
      <c r="C5098" s="37"/>
      <c r="D5098" s="37"/>
      <c r="E5098" s="37"/>
      <c r="F5098" s="37"/>
      <c r="G5098" s="37"/>
      <c r="H5098" s="37"/>
      <c r="I5098" s="37"/>
      <c r="J5098" s="37"/>
    </row>
    <row r="5099" spans="1:10" x14ac:dyDescent="0.3">
      <c r="A5099" s="130"/>
      <c r="B5099" s="37"/>
      <c r="C5099" s="37"/>
      <c r="D5099" s="37"/>
      <c r="E5099" s="37"/>
      <c r="F5099" s="37"/>
      <c r="G5099" s="37"/>
      <c r="H5099" s="37"/>
      <c r="I5099" s="37"/>
      <c r="J5099" s="37"/>
    </row>
    <row r="5100" spans="1:10" x14ac:dyDescent="0.3">
      <c r="A5100" s="130"/>
      <c r="B5100" s="37"/>
      <c r="C5100" s="37"/>
      <c r="D5100" s="37"/>
      <c r="E5100" s="37"/>
      <c r="F5100" s="37"/>
      <c r="G5100" s="37"/>
      <c r="H5100" s="37"/>
      <c r="I5100" s="37"/>
      <c r="J5100" s="37"/>
    </row>
    <row r="5101" spans="1:10" x14ac:dyDescent="0.3">
      <c r="A5101" s="130"/>
      <c r="B5101" s="37"/>
      <c r="C5101" s="37"/>
      <c r="D5101" s="37"/>
      <c r="E5101" s="37"/>
      <c r="F5101" s="37"/>
      <c r="G5101" s="37"/>
      <c r="H5101" s="37"/>
      <c r="I5101" s="37"/>
      <c r="J5101" s="37"/>
    </row>
    <row r="5102" spans="1:10" x14ac:dyDescent="0.3">
      <c r="A5102" s="130"/>
      <c r="B5102" s="37"/>
      <c r="C5102" s="37"/>
      <c r="D5102" s="37"/>
      <c r="E5102" s="37"/>
      <c r="F5102" s="37"/>
      <c r="G5102" s="37"/>
      <c r="H5102" s="37"/>
      <c r="I5102" s="37"/>
      <c r="J5102" s="37"/>
    </row>
    <row r="5103" spans="1:10" x14ac:dyDescent="0.3">
      <c r="A5103" s="130"/>
      <c r="B5103" s="37"/>
      <c r="C5103" s="37"/>
      <c r="D5103" s="37"/>
      <c r="E5103" s="37"/>
      <c r="F5103" s="37"/>
      <c r="G5103" s="37"/>
      <c r="H5103" s="37"/>
      <c r="I5103" s="37"/>
      <c r="J5103" s="37"/>
    </row>
    <row r="5104" spans="1:10" x14ac:dyDescent="0.3">
      <c r="A5104" s="130"/>
      <c r="B5104" s="37"/>
      <c r="C5104" s="37"/>
      <c r="D5104" s="37"/>
      <c r="E5104" s="37"/>
      <c r="F5104" s="37"/>
      <c r="G5104" s="37"/>
      <c r="H5104" s="37"/>
      <c r="I5104" s="37"/>
      <c r="J5104" s="37"/>
    </row>
    <row r="5105" spans="1:10" x14ac:dyDescent="0.3">
      <c r="A5105" s="130"/>
      <c r="B5105" s="37"/>
      <c r="C5105" s="37"/>
      <c r="D5105" s="37"/>
      <c r="E5105" s="37"/>
      <c r="F5105" s="37"/>
      <c r="G5105" s="37"/>
      <c r="H5105" s="37"/>
      <c r="I5105" s="37"/>
      <c r="J5105" s="37"/>
    </row>
    <row r="5106" spans="1:10" x14ac:dyDescent="0.3">
      <c r="A5106" s="130"/>
      <c r="B5106" s="37"/>
      <c r="C5106" s="37"/>
      <c r="D5106" s="37"/>
      <c r="E5106" s="37"/>
      <c r="F5106" s="37"/>
      <c r="G5106" s="37"/>
      <c r="H5106" s="37"/>
      <c r="I5106" s="37"/>
      <c r="J5106" s="37"/>
    </row>
    <row r="5107" spans="1:10" x14ac:dyDescent="0.3">
      <c r="A5107" s="130"/>
      <c r="B5107" s="37"/>
      <c r="C5107" s="37"/>
      <c r="D5107" s="37"/>
      <c r="E5107" s="37"/>
      <c r="F5107" s="37"/>
      <c r="G5107" s="37"/>
      <c r="H5107" s="37"/>
      <c r="I5107" s="37"/>
      <c r="J5107" s="37"/>
    </row>
    <row r="5108" spans="1:10" x14ac:dyDescent="0.3">
      <c r="A5108" s="130"/>
      <c r="B5108" s="37"/>
      <c r="C5108" s="37"/>
      <c r="D5108" s="37"/>
      <c r="E5108" s="37"/>
      <c r="F5108" s="37"/>
      <c r="G5108" s="37"/>
      <c r="H5108" s="37"/>
      <c r="I5108" s="37"/>
      <c r="J5108" s="37"/>
    </row>
    <row r="5109" spans="1:10" x14ac:dyDescent="0.3">
      <c r="A5109" s="130"/>
      <c r="B5109" s="37"/>
      <c r="C5109" s="37"/>
      <c r="D5109" s="37"/>
      <c r="E5109" s="37"/>
      <c r="F5109" s="37"/>
      <c r="G5109" s="37"/>
      <c r="H5109" s="37"/>
      <c r="I5109" s="37"/>
      <c r="J5109" s="37"/>
    </row>
    <row r="5110" spans="1:10" x14ac:dyDescent="0.3">
      <c r="A5110" s="130"/>
      <c r="B5110" s="37"/>
      <c r="C5110" s="37"/>
      <c r="D5110" s="37"/>
      <c r="E5110" s="37"/>
      <c r="F5110" s="37"/>
      <c r="G5110" s="37"/>
      <c r="H5110" s="37"/>
      <c r="I5110" s="37"/>
      <c r="J5110" s="37"/>
    </row>
    <row r="5111" spans="1:10" x14ac:dyDescent="0.3">
      <c r="A5111" s="130"/>
      <c r="B5111" s="37"/>
      <c r="C5111" s="37"/>
      <c r="D5111" s="37"/>
      <c r="E5111" s="37"/>
      <c r="F5111" s="37"/>
      <c r="G5111" s="37"/>
      <c r="H5111" s="37"/>
      <c r="I5111" s="37"/>
      <c r="J5111" s="37"/>
    </row>
    <row r="5112" spans="1:10" x14ac:dyDescent="0.3">
      <c r="A5112" s="130"/>
      <c r="B5112" s="37"/>
      <c r="C5112" s="37"/>
      <c r="D5112" s="37"/>
      <c r="E5112" s="37"/>
      <c r="F5112" s="37"/>
      <c r="G5112" s="37"/>
      <c r="H5112" s="37"/>
      <c r="I5112" s="37"/>
      <c r="J5112" s="37"/>
    </row>
    <row r="5113" spans="1:10" x14ac:dyDescent="0.3">
      <c r="A5113" s="130"/>
      <c r="B5113" s="37"/>
      <c r="C5113" s="37"/>
      <c r="D5113" s="37"/>
      <c r="E5113" s="37"/>
      <c r="F5113" s="37"/>
      <c r="G5113" s="37"/>
      <c r="H5113" s="37"/>
      <c r="I5113" s="37"/>
      <c r="J5113" s="37"/>
    </row>
    <row r="5114" spans="1:10" x14ac:dyDescent="0.3">
      <c r="A5114" s="130"/>
      <c r="B5114" s="37"/>
      <c r="C5114" s="37"/>
      <c r="D5114" s="37"/>
      <c r="E5114" s="37"/>
      <c r="F5114" s="37"/>
      <c r="G5114" s="37"/>
      <c r="H5114" s="37"/>
      <c r="I5114" s="37"/>
      <c r="J5114" s="37"/>
    </row>
    <row r="5115" spans="1:10" x14ac:dyDescent="0.3">
      <c r="A5115" s="130"/>
      <c r="B5115" s="37"/>
      <c r="C5115" s="37"/>
      <c r="D5115" s="37"/>
      <c r="E5115" s="37"/>
      <c r="F5115" s="37"/>
      <c r="G5115" s="37"/>
      <c r="H5115" s="37"/>
      <c r="I5115" s="37"/>
      <c r="J5115" s="37"/>
    </row>
    <row r="5116" spans="1:10" x14ac:dyDescent="0.3">
      <c r="A5116" s="130"/>
      <c r="B5116" s="37"/>
      <c r="C5116" s="37"/>
      <c r="D5116" s="37"/>
      <c r="E5116" s="37"/>
      <c r="F5116" s="37"/>
      <c r="G5116" s="37"/>
      <c r="H5116" s="37"/>
      <c r="I5116" s="37"/>
      <c r="J5116" s="37"/>
    </row>
    <row r="5117" spans="1:10" x14ac:dyDescent="0.3">
      <c r="A5117" s="130"/>
      <c r="B5117" s="37"/>
      <c r="C5117" s="37"/>
      <c r="D5117" s="37"/>
      <c r="E5117" s="37"/>
      <c r="F5117" s="37"/>
      <c r="G5117" s="37"/>
      <c r="H5117" s="37"/>
      <c r="I5117" s="37"/>
      <c r="J5117" s="37"/>
    </row>
    <row r="5118" spans="1:10" x14ac:dyDescent="0.3">
      <c r="A5118" s="130"/>
      <c r="B5118" s="37"/>
      <c r="C5118" s="37"/>
      <c r="D5118" s="37"/>
      <c r="E5118" s="37"/>
      <c r="F5118" s="37"/>
      <c r="G5118" s="37"/>
      <c r="H5118" s="37"/>
      <c r="I5118" s="37"/>
      <c r="J5118" s="37"/>
    </row>
    <row r="5119" spans="1:10" x14ac:dyDescent="0.3">
      <c r="A5119" s="130"/>
      <c r="B5119" s="37"/>
      <c r="C5119" s="37"/>
      <c r="D5119" s="37"/>
      <c r="E5119" s="37"/>
      <c r="F5119" s="37"/>
      <c r="G5119" s="37"/>
      <c r="H5119" s="37"/>
      <c r="I5119" s="37"/>
      <c r="J5119" s="37"/>
    </row>
    <row r="5120" spans="1:10" x14ac:dyDescent="0.3">
      <c r="A5120" s="130"/>
      <c r="B5120" s="37"/>
      <c r="C5120" s="37"/>
      <c r="D5120" s="37"/>
      <c r="E5120" s="37"/>
      <c r="F5120" s="37"/>
      <c r="G5120" s="37"/>
      <c r="H5120" s="37"/>
      <c r="I5120" s="37"/>
      <c r="J5120" s="37"/>
    </row>
    <row r="5121" spans="1:10" x14ac:dyDescent="0.3">
      <c r="A5121" s="130"/>
      <c r="B5121" s="37"/>
      <c r="C5121" s="37"/>
      <c r="D5121" s="37"/>
      <c r="E5121" s="37"/>
      <c r="F5121" s="37"/>
      <c r="G5121" s="37"/>
      <c r="H5121" s="37"/>
      <c r="I5121" s="37"/>
      <c r="J5121" s="37"/>
    </row>
    <row r="5122" spans="1:10" x14ac:dyDescent="0.3">
      <c r="A5122" s="130"/>
      <c r="B5122" s="37"/>
      <c r="C5122" s="37"/>
      <c r="D5122" s="37"/>
      <c r="E5122" s="37"/>
      <c r="F5122" s="37"/>
      <c r="G5122" s="37"/>
      <c r="H5122" s="37"/>
      <c r="I5122" s="37"/>
      <c r="J5122" s="37"/>
    </row>
    <row r="5123" spans="1:10" x14ac:dyDescent="0.3">
      <c r="A5123" s="130"/>
      <c r="B5123" s="37"/>
      <c r="C5123" s="37"/>
      <c r="D5123" s="37"/>
      <c r="E5123" s="37"/>
      <c r="F5123" s="37"/>
      <c r="G5123" s="37"/>
      <c r="H5123" s="37"/>
      <c r="I5123" s="37"/>
      <c r="J5123" s="37"/>
    </row>
    <row r="5124" spans="1:10" x14ac:dyDescent="0.3">
      <c r="A5124" s="130"/>
      <c r="B5124" s="37"/>
      <c r="C5124" s="37"/>
      <c r="D5124" s="37"/>
      <c r="E5124" s="37"/>
      <c r="F5124" s="37"/>
      <c r="G5124" s="37"/>
      <c r="H5124" s="37"/>
      <c r="I5124" s="37"/>
      <c r="J5124" s="37"/>
    </row>
    <row r="5125" spans="1:10" x14ac:dyDescent="0.3">
      <c r="A5125" s="130"/>
      <c r="B5125" s="37"/>
      <c r="C5125" s="37"/>
      <c r="D5125" s="37"/>
      <c r="E5125" s="37"/>
      <c r="F5125" s="37"/>
      <c r="G5125" s="37"/>
      <c r="H5125" s="37"/>
      <c r="I5125" s="37"/>
      <c r="J5125" s="37"/>
    </row>
    <row r="5126" spans="1:10" x14ac:dyDescent="0.3">
      <c r="A5126" s="130"/>
      <c r="B5126" s="37"/>
      <c r="C5126" s="37"/>
      <c r="D5126" s="37"/>
      <c r="E5126" s="37"/>
      <c r="F5126" s="37"/>
      <c r="G5126" s="37"/>
      <c r="H5126" s="37"/>
      <c r="I5126" s="37"/>
      <c r="J5126" s="37"/>
    </row>
    <row r="5127" spans="1:10" x14ac:dyDescent="0.3">
      <c r="A5127" s="130"/>
      <c r="B5127" s="37"/>
      <c r="C5127" s="37"/>
      <c r="D5127" s="37"/>
      <c r="E5127" s="37"/>
      <c r="F5127" s="37"/>
      <c r="G5127" s="37"/>
      <c r="H5127" s="37"/>
      <c r="I5127" s="37"/>
      <c r="J5127" s="37"/>
    </row>
    <row r="5128" spans="1:10" x14ac:dyDescent="0.3">
      <c r="A5128" s="130"/>
      <c r="B5128" s="37"/>
      <c r="C5128" s="37"/>
      <c r="D5128" s="37"/>
      <c r="E5128" s="37"/>
      <c r="F5128" s="37"/>
      <c r="G5128" s="37"/>
      <c r="H5128" s="37"/>
      <c r="I5128" s="37"/>
      <c r="J5128" s="37"/>
    </row>
    <row r="5129" spans="1:10" x14ac:dyDescent="0.3">
      <c r="A5129" s="130"/>
      <c r="B5129" s="37"/>
      <c r="C5129" s="37"/>
      <c r="D5129" s="37"/>
      <c r="E5129" s="37"/>
      <c r="F5129" s="37"/>
      <c r="G5129" s="37"/>
      <c r="H5129" s="37"/>
      <c r="I5129" s="37"/>
      <c r="J5129" s="37"/>
    </row>
    <row r="5130" spans="1:10" x14ac:dyDescent="0.3">
      <c r="A5130" s="130"/>
      <c r="B5130" s="37"/>
      <c r="C5130" s="37"/>
      <c r="D5130" s="37"/>
      <c r="E5130" s="37"/>
      <c r="F5130" s="37"/>
      <c r="G5130" s="37"/>
      <c r="H5130" s="37"/>
      <c r="I5130" s="37"/>
      <c r="J5130" s="37"/>
    </row>
    <row r="5131" spans="1:10" x14ac:dyDescent="0.3">
      <c r="A5131" s="130"/>
      <c r="B5131" s="37"/>
      <c r="C5131" s="37"/>
      <c r="D5131" s="37"/>
      <c r="E5131" s="37"/>
      <c r="F5131" s="37"/>
      <c r="G5131" s="37"/>
      <c r="H5131" s="37"/>
      <c r="I5131" s="37"/>
      <c r="J5131" s="37"/>
    </row>
    <row r="5132" spans="1:10" x14ac:dyDescent="0.3">
      <c r="A5132" s="130"/>
      <c r="B5132" s="37"/>
      <c r="C5132" s="37"/>
      <c r="D5132" s="37"/>
      <c r="E5132" s="37"/>
      <c r="F5132" s="37"/>
      <c r="G5132" s="37"/>
      <c r="H5132" s="37"/>
      <c r="I5132" s="37"/>
      <c r="J5132" s="37"/>
    </row>
    <row r="5133" spans="1:10" x14ac:dyDescent="0.3">
      <c r="A5133" s="130"/>
      <c r="B5133" s="37"/>
      <c r="C5133" s="37"/>
      <c r="D5133" s="37"/>
      <c r="E5133" s="37"/>
      <c r="F5133" s="37"/>
      <c r="G5133" s="37"/>
      <c r="H5133" s="37"/>
      <c r="I5133" s="37"/>
      <c r="J5133" s="37"/>
    </row>
    <row r="5134" spans="1:10" x14ac:dyDescent="0.3">
      <c r="A5134" s="130"/>
      <c r="B5134" s="37"/>
      <c r="C5134" s="37"/>
      <c r="D5134" s="37"/>
      <c r="E5134" s="37"/>
      <c r="F5134" s="37"/>
      <c r="G5134" s="37"/>
      <c r="H5134" s="37"/>
      <c r="I5134" s="37"/>
      <c r="J5134" s="37"/>
    </row>
    <row r="5135" spans="1:10" x14ac:dyDescent="0.3">
      <c r="A5135" s="130"/>
      <c r="B5135" s="37"/>
      <c r="C5135" s="37"/>
      <c r="D5135" s="37"/>
      <c r="E5135" s="37"/>
      <c r="F5135" s="37"/>
      <c r="G5135" s="37"/>
      <c r="H5135" s="37"/>
      <c r="I5135" s="37"/>
      <c r="J5135" s="37"/>
    </row>
    <row r="5136" spans="1:10" x14ac:dyDescent="0.3">
      <c r="A5136" s="130"/>
      <c r="B5136" s="37"/>
      <c r="C5136" s="37"/>
      <c r="D5136" s="37"/>
      <c r="E5136" s="37"/>
      <c r="F5136" s="37"/>
      <c r="G5136" s="37"/>
      <c r="H5136" s="37"/>
      <c r="I5136" s="37"/>
      <c r="J5136" s="37"/>
    </row>
    <row r="5137" spans="1:10" x14ac:dyDescent="0.3">
      <c r="A5137" s="130"/>
      <c r="B5137" s="37"/>
      <c r="C5137" s="37"/>
      <c r="D5137" s="37"/>
      <c r="E5137" s="37"/>
      <c r="F5137" s="37"/>
      <c r="G5137" s="37"/>
      <c r="H5137" s="37"/>
      <c r="I5137" s="37"/>
      <c r="J5137" s="37"/>
    </row>
    <row r="5138" spans="1:10" x14ac:dyDescent="0.3">
      <c r="A5138" s="130"/>
      <c r="B5138" s="37"/>
      <c r="C5138" s="37"/>
      <c r="D5138" s="37"/>
      <c r="E5138" s="37"/>
      <c r="F5138" s="37"/>
      <c r="G5138" s="37"/>
      <c r="H5138" s="37"/>
      <c r="I5138" s="37"/>
      <c r="J5138" s="37"/>
    </row>
    <row r="5139" spans="1:10" x14ac:dyDescent="0.3">
      <c r="A5139" s="130"/>
      <c r="B5139" s="37"/>
      <c r="C5139" s="37"/>
      <c r="D5139" s="37"/>
      <c r="E5139" s="37"/>
      <c r="F5139" s="37"/>
      <c r="G5139" s="37"/>
      <c r="H5139" s="37"/>
      <c r="I5139" s="37"/>
      <c r="J5139" s="37"/>
    </row>
    <row r="5140" spans="1:10" x14ac:dyDescent="0.3">
      <c r="A5140" s="130"/>
      <c r="B5140" s="37"/>
      <c r="C5140" s="37"/>
      <c r="D5140" s="37"/>
      <c r="E5140" s="37"/>
      <c r="F5140" s="37"/>
      <c r="G5140" s="37"/>
      <c r="H5140" s="37"/>
      <c r="I5140" s="37"/>
      <c r="J5140" s="37"/>
    </row>
    <row r="5141" spans="1:10" x14ac:dyDescent="0.3">
      <c r="A5141" s="130"/>
      <c r="B5141" s="37"/>
      <c r="C5141" s="37"/>
      <c r="D5141" s="37"/>
      <c r="E5141" s="37"/>
      <c r="F5141" s="37"/>
      <c r="G5141" s="37"/>
      <c r="H5141" s="37"/>
      <c r="I5141" s="37"/>
      <c r="J5141" s="37"/>
    </row>
    <row r="5142" spans="1:10" x14ac:dyDescent="0.3">
      <c r="A5142" s="130"/>
      <c r="B5142" s="37"/>
      <c r="C5142" s="37"/>
      <c r="D5142" s="37"/>
      <c r="E5142" s="37"/>
      <c r="F5142" s="37"/>
      <c r="G5142" s="37"/>
      <c r="H5142" s="37"/>
      <c r="I5142" s="37"/>
      <c r="J5142" s="37"/>
    </row>
    <row r="5143" spans="1:10" x14ac:dyDescent="0.3">
      <c r="A5143" s="130"/>
      <c r="B5143" s="37"/>
      <c r="C5143" s="37"/>
      <c r="D5143" s="37"/>
      <c r="E5143" s="37"/>
      <c r="F5143" s="37"/>
      <c r="G5143" s="37"/>
      <c r="H5143" s="37"/>
      <c r="I5143" s="37"/>
      <c r="J5143" s="37"/>
    </row>
    <row r="5144" spans="1:10" x14ac:dyDescent="0.3">
      <c r="A5144" s="130"/>
      <c r="B5144" s="37"/>
      <c r="C5144" s="37"/>
      <c r="D5144" s="37"/>
      <c r="E5144" s="37"/>
      <c r="F5144" s="37"/>
      <c r="G5144" s="37"/>
      <c r="H5144" s="37"/>
      <c r="I5144" s="37"/>
      <c r="J5144" s="37"/>
    </row>
    <row r="5145" spans="1:10" x14ac:dyDescent="0.3">
      <c r="A5145" s="130"/>
      <c r="B5145" s="37"/>
      <c r="C5145" s="37"/>
      <c r="D5145" s="37"/>
      <c r="E5145" s="37"/>
      <c r="F5145" s="37"/>
      <c r="G5145" s="37"/>
      <c r="H5145" s="37"/>
      <c r="I5145" s="37"/>
      <c r="J5145" s="37"/>
    </row>
    <row r="5146" spans="1:10" x14ac:dyDescent="0.3">
      <c r="A5146" s="130"/>
      <c r="B5146" s="37"/>
      <c r="C5146" s="37"/>
      <c r="D5146" s="37"/>
      <c r="E5146" s="37"/>
      <c r="F5146" s="37"/>
      <c r="G5146" s="37"/>
      <c r="H5146" s="37"/>
      <c r="I5146" s="37"/>
      <c r="J5146" s="37"/>
    </row>
    <row r="5147" spans="1:10" x14ac:dyDescent="0.3">
      <c r="A5147" s="130"/>
      <c r="B5147" s="37"/>
      <c r="C5147" s="37"/>
      <c r="D5147" s="37"/>
      <c r="E5147" s="37"/>
      <c r="F5147" s="37"/>
      <c r="G5147" s="37"/>
      <c r="H5147" s="37"/>
      <c r="I5147" s="37"/>
      <c r="J5147" s="37"/>
    </row>
    <row r="5148" spans="1:10" x14ac:dyDescent="0.3">
      <c r="A5148" s="130"/>
      <c r="B5148" s="37"/>
      <c r="C5148" s="37"/>
      <c r="D5148" s="37"/>
      <c r="E5148" s="37"/>
      <c r="F5148" s="37"/>
      <c r="G5148" s="37"/>
      <c r="H5148" s="37"/>
      <c r="I5148" s="37"/>
      <c r="J5148" s="37"/>
    </row>
    <row r="5149" spans="1:10" x14ac:dyDescent="0.3">
      <c r="A5149" s="130"/>
      <c r="B5149" s="37"/>
      <c r="C5149" s="37"/>
      <c r="D5149" s="37"/>
      <c r="E5149" s="37"/>
      <c r="F5149" s="37"/>
      <c r="G5149" s="37"/>
      <c r="H5149" s="37"/>
      <c r="I5149" s="37"/>
      <c r="J5149" s="37"/>
    </row>
    <row r="5150" spans="1:10" x14ac:dyDescent="0.3">
      <c r="A5150" s="130"/>
      <c r="B5150" s="37"/>
      <c r="C5150" s="37"/>
      <c r="D5150" s="37"/>
      <c r="E5150" s="37"/>
      <c r="F5150" s="37"/>
      <c r="G5150" s="37"/>
      <c r="H5150" s="37"/>
      <c r="I5150" s="37"/>
      <c r="J5150" s="37"/>
    </row>
    <row r="5151" spans="1:10" x14ac:dyDescent="0.3">
      <c r="A5151" s="130"/>
      <c r="B5151" s="37"/>
      <c r="C5151" s="37"/>
      <c r="D5151" s="37"/>
      <c r="E5151" s="37"/>
      <c r="F5151" s="37"/>
      <c r="G5151" s="37"/>
      <c r="H5151" s="37"/>
      <c r="I5151" s="37"/>
      <c r="J5151" s="37"/>
    </row>
    <row r="5152" spans="1:10" x14ac:dyDescent="0.3">
      <c r="A5152" s="130"/>
      <c r="B5152" s="37"/>
      <c r="C5152" s="37"/>
      <c r="D5152" s="37"/>
      <c r="E5152" s="37"/>
      <c r="F5152" s="37"/>
      <c r="G5152" s="37"/>
      <c r="H5152" s="37"/>
      <c r="I5152" s="37"/>
      <c r="J5152" s="37"/>
    </row>
    <row r="5153" spans="1:10" x14ac:dyDescent="0.3">
      <c r="A5153" s="130"/>
      <c r="B5153" s="37"/>
      <c r="C5153" s="37"/>
      <c r="D5153" s="37"/>
      <c r="E5153" s="37"/>
      <c r="F5153" s="37"/>
      <c r="G5153" s="37"/>
      <c r="H5153" s="37"/>
      <c r="I5153" s="37"/>
      <c r="J5153" s="37"/>
    </row>
    <row r="5154" spans="1:10" x14ac:dyDescent="0.3">
      <c r="A5154" s="130"/>
      <c r="B5154" s="37"/>
      <c r="C5154" s="37"/>
      <c r="D5154" s="37"/>
      <c r="E5154" s="37"/>
      <c r="F5154" s="37"/>
      <c r="G5154" s="37"/>
      <c r="H5154" s="37"/>
      <c r="I5154" s="37"/>
      <c r="J5154" s="37"/>
    </row>
    <row r="5155" spans="1:10" x14ac:dyDescent="0.3">
      <c r="A5155" s="130"/>
      <c r="B5155" s="37"/>
      <c r="C5155" s="37"/>
      <c r="D5155" s="37"/>
      <c r="E5155" s="37"/>
      <c r="F5155" s="37"/>
      <c r="G5155" s="37"/>
      <c r="H5155" s="37"/>
      <c r="I5155" s="37"/>
      <c r="J5155" s="37"/>
    </row>
    <row r="5156" spans="1:10" x14ac:dyDescent="0.3">
      <c r="A5156" s="130"/>
      <c r="B5156" s="37"/>
      <c r="C5156" s="37"/>
      <c r="D5156" s="37"/>
      <c r="E5156" s="37"/>
      <c r="F5156" s="37"/>
      <c r="G5156" s="37"/>
      <c r="H5156" s="37"/>
      <c r="I5156" s="37"/>
      <c r="J5156" s="37"/>
    </row>
    <row r="5157" spans="1:10" x14ac:dyDescent="0.3">
      <c r="A5157" s="130"/>
      <c r="B5157" s="37"/>
      <c r="C5157" s="37"/>
      <c r="D5157" s="37"/>
      <c r="E5157" s="37"/>
      <c r="F5157" s="37"/>
      <c r="G5157" s="37"/>
      <c r="H5157" s="37"/>
      <c r="I5157" s="37"/>
      <c r="J5157" s="37"/>
    </row>
    <row r="5158" spans="1:10" x14ac:dyDescent="0.3">
      <c r="A5158" s="130"/>
      <c r="B5158" s="37"/>
      <c r="C5158" s="37"/>
      <c r="D5158" s="37"/>
      <c r="E5158" s="37"/>
      <c r="F5158" s="37"/>
      <c r="G5158" s="37"/>
      <c r="H5158" s="37"/>
      <c r="I5158" s="37"/>
      <c r="J5158" s="37"/>
    </row>
    <row r="5159" spans="1:10" x14ac:dyDescent="0.3">
      <c r="A5159" s="130"/>
      <c r="B5159" s="37"/>
      <c r="C5159" s="37"/>
      <c r="D5159" s="37"/>
      <c r="E5159" s="37"/>
      <c r="F5159" s="37"/>
      <c r="G5159" s="37"/>
      <c r="H5159" s="37"/>
      <c r="I5159" s="37"/>
      <c r="J5159" s="37"/>
    </row>
    <row r="5160" spans="1:10" x14ac:dyDescent="0.3">
      <c r="A5160" s="130"/>
      <c r="B5160" s="37"/>
      <c r="C5160" s="37"/>
      <c r="D5160" s="37"/>
      <c r="E5160" s="37"/>
      <c r="F5160" s="37"/>
      <c r="G5160" s="37"/>
      <c r="H5160" s="37"/>
      <c r="I5160" s="37"/>
      <c r="J5160" s="37"/>
    </row>
    <row r="5161" spans="1:10" x14ac:dyDescent="0.3">
      <c r="A5161" s="130"/>
      <c r="B5161" s="37"/>
      <c r="C5161" s="37"/>
      <c r="D5161" s="37"/>
      <c r="E5161" s="37"/>
      <c r="F5161" s="37"/>
      <c r="G5161" s="37"/>
      <c r="H5161" s="37"/>
      <c r="I5161" s="37"/>
      <c r="J5161" s="37"/>
    </row>
    <row r="5162" spans="1:10" x14ac:dyDescent="0.3">
      <c r="A5162" s="130"/>
      <c r="B5162" s="37"/>
      <c r="C5162" s="37"/>
      <c r="D5162" s="37"/>
      <c r="E5162" s="37"/>
      <c r="F5162" s="37"/>
      <c r="G5162" s="37"/>
      <c r="H5162" s="37"/>
      <c r="I5162" s="37"/>
      <c r="J5162" s="37"/>
    </row>
    <row r="5163" spans="1:10" x14ac:dyDescent="0.3">
      <c r="A5163" s="130"/>
      <c r="B5163" s="37"/>
      <c r="C5163" s="37"/>
      <c r="D5163" s="37"/>
      <c r="E5163" s="37"/>
      <c r="F5163" s="37"/>
      <c r="G5163" s="37"/>
      <c r="H5163" s="37"/>
      <c r="I5163" s="37"/>
      <c r="J5163" s="37"/>
    </row>
    <row r="5164" spans="1:10" x14ac:dyDescent="0.3">
      <c r="A5164" s="130"/>
      <c r="B5164" s="37"/>
      <c r="C5164" s="37"/>
      <c r="D5164" s="37"/>
      <c r="E5164" s="37"/>
      <c r="F5164" s="37"/>
      <c r="G5164" s="37"/>
      <c r="H5164" s="37"/>
      <c r="I5164" s="37"/>
      <c r="J5164" s="37"/>
    </row>
    <row r="5165" spans="1:10" x14ac:dyDescent="0.3">
      <c r="A5165" s="130"/>
      <c r="B5165" s="37"/>
      <c r="C5165" s="37"/>
      <c r="D5165" s="37"/>
      <c r="E5165" s="37"/>
      <c r="F5165" s="37"/>
      <c r="G5165" s="37"/>
      <c r="H5165" s="37"/>
      <c r="I5165" s="37"/>
      <c r="J5165" s="37"/>
    </row>
    <row r="5166" spans="1:10" x14ac:dyDescent="0.3">
      <c r="A5166" s="130"/>
      <c r="B5166" s="37"/>
      <c r="C5166" s="37"/>
      <c r="D5166" s="37"/>
      <c r="E5166" s="37"/>
      <c r="F5166" s="37"/>
      <c r="G5166" s="37"/>
      <c r="H5166" s="37"/>
      <c r="I5166" s="37"/>
      <c r="J5166" s="37"/>
    </row>
    <row r="5167" spans="1:10" x14ac:dyDescent="0.3">
      <c r="A5167" s="130"/>
      <c r="B5167" s="37"/>
      <c r="C5167" s="37"/>
      <c r="D5167" s="37"/>
      <c r="E5167" s="37"/>
      <c r="F5167" s="37"/>
      <c r="G5167" s="37"/>
      <c r="H5167" s="37"/>
      <c r="I5167" s="37"/>
      <c r="J5167" s="37"/>
    </row>
    <row r="5168" spans="1:10" x14ac:dyDescent="0.3">
      <c r="A5168" s="130"/>
      <c r="B5168" s="37"/>
      <c r="C5168" s="37"/>
      <c r="D5168" s="37"/>
      <c r="E5168" s="37"/>
      <c r="F5168" s="37"/>
      <c r="G5168" s="37"/>
      <c r="H5168" s="37"/>
      <c r="I5168" s="37"/>
      <c r="J5168" s="37"/>
    </row>
    <row r="5169" spans="1:10" x14ac:dyDescent="0.3">
      <c r="A5169" s="130"/>
      <c r="B5169" s="37"/>
      <c r="C5169" s="37"/>
      <c r="D5169" s="37"/>
      <c r="E5169" s="37"/>
      <c r="F5169" s="37"/>
      <c r="G5169" s="37"/>
      <c r="H5169" s="37"/>
      <c r="I5169" s="37"/>
      <c r="J5169" s="37"/>
    </row>
    <row r="5170" spans="1:10" x14ac:dyDescent="0.3">
      <c r="A5170" s="130"/>
      <c r="B5170" s="37"/>
      <c r="C5170" s="37"/>
      <c r="D5170" s="37"/>
      <c r="E5170" s="37"/>
      <c r="F5170" s="37"/>
      <c r="G5170" s="37"/>
      <c r="H5170" s="37"/>
      <c r="I5170" s="37"/>
      <c r="J5170" s="37"/>
    </row>
    <row r="5171" spans="1:10" x14ac:dyDescent="0.3">
      <c r="A5171" s="130"/>
      <c r="B5171" s="37"/>
      <c r="C5171" s="37"/>
      <c r="D5171" s="37"/>
      <c r="E5171" s="37"/>
      <c r="F5171" s="37"/>
      <c r="G5171" s="37"/>
      <c r="H5171" s="37"/>
      <c r="I5171" s="37"/>
      <c r="J5171" s="37"/>
    </row>
    <row r="5172" spans="1:10" x14ac:dyDescent="0.3">
      <c r="A5172" s="130"/>
      <c r="B5172" s="37"/>
      <c r="C5172" s="37"/>
      <c r="D5172" s="37"/>
      <c r="E5172" s="37"/>
      <c r="F5172" s="37"/>
      <c r="G5172" s="37"/>
      <c r="H5172" s="37"/>
      <c r="I5172" s="37"/>
      <c r="J5172" s="37"/>
    </row>
    <row r="5173" spans="1:10" x14ac:dyDescent="0.3">
      <c r="A5173" s="130"/>
      <c r="B5173" s="37"/>
      <c r="C5173" s="37"/>
      <c r="D5173" s="37"/>
      <c r="E5173" s="37"/>
      <c r="F5173" s="37"/>
      <c r="G5173" s="37"/>
      <c r="H5173" s="37"/>
      <c r="I5173" s="37"/>
      <c r="J5173" s="37"/>
    </row>
    <row r="5174" spans="1:10" x14ac:dyDescent="0.3">
      <c r="A5174" s="130"/>
      <c r="B5174" s="37"/>
      <c r="C5174" s="37"/>
      <c r="D5174" s="37"/>
      <c r="E5174" s="37"/>
      <c r="F5174" s="37"/>
      <c r="G5174" s="37"/>
      <c r="H5174" s="37"/>
      <c r="I5174" s="37"/>
      <c r="J5174" s="37"/>
    </row>
    <row r="5175" spans="1:10" x14ac:dyDescent="0.3">
      <c r="A5175" s="130"/>
      <c r="B5175" s="37"/>
      <c r="C5175" s="37"/>
      <c r="D5175" s="37"/>
      <c r="E5175" s="37"/>
      <c r="F5175" s="37"/>
      <c r="G5175" s="37"/>
      <c r="H5175" s="37"/>
      <c r="I5175" s="37"/>
      <c r="J5175" s="37"/>
    </row>
    <row r="5176" spans="1:10" x14ac:dyDescent="0.3">
      <c r="A5176" s="130"/>
      <c r="B5176" s="37"/>
      <c r="C5176" s="37"/>
      <c r="D5176" s="37"/>
      <c r="E5176" s="37"/>
      <c r="F5176" s="37"/>
      <c r="G5176" s="37"/>
      <c r="H5176" s="37"/>
      <c r="I5176" s="37"/>
      <c r="J5176" s="37"/>
    </row>
    <row r="5177" spans="1:10" x14ac:dyDescent="0.3">
      <c r="A5177" s="130"/>
      <c r="B5177" s="37"/>
      <c r="C5177" s="37"/>
      <c r="D5177" s="37"/>
      <c r="E5177" s="37"/>
      <c r="F5177" s="37"/>
      <c r="G5177" s="37"/>
      <c r="H5177" s="37"/>
      <c r="I5177" s="37"/>
      <c r="J5177" s="37"/>
    </row>
    <row r="5178" spans="1:10" x14ac:dyDescent="0.3">
      <c r="A5178" s="130"/>
      <c r="B5178" s="37"/>
      <c r="C5178" s="37"/>
      <c r="D5178" s="37"/>
      <c r="E5178" s="37"/>
      <c r="F5178" s="37"/>
      <c r="G5178" s="37"/>
      <c r="H5178" s="37"/>
      <c r="I5178" s="37"/>
      <c r="J5178" s="37"/>
    </row>
    <row r="5179" spans="1:10" x14ac:dyDescent="0.3">
      <c r="A5179" s="130"/>
      <c r="B5179" s="37"/>
      <c r="C5179" s="37"/>
      <c r="D5179" s="37"/>
      <c r="E5179" s="37"/>
      <c r="F5179" s="37"/>
      <c r="G5179" s="37"/>
      <c r="H5179" s="37"/>
      <c r="I5179" s="37"/>
      <c r="J5179" s="37"/>
    </row>
    <row r="5180" spans="1:10" x14ac:dyDescent="0.3">
      <c r="A5180" s="130"/>
      <c r="B5180" s="37"/>
      <c r="C5180" s="37"/>
      <c r="D5180" s="37"/>
      <c r="E5180" s="37"/>
      <c r="F5180" s="37"/>
      <c r="G5180" s="37"/>
      <c r="H5180" s="37"/>
      <c r="I5180" s="37"/>
      <c r="J5180" s="37"/>
    </row>
    <row r="5181" spans="1:10" x14ac:dyDescent="0.3">
      <c r="A5181" s="130"/>
      <c r="B5181" s="37"/>
      <c r="C5181" s="37"/>
      <c r="D5181" s="37"/>
      <c r="E5181" s="37"/>
      <c r="F5181" s="37"/>
      <c r="G5181" s="37"/>
      <c r="H5181" s="37"/>
      <c r="I5181" s="37"/>
      <c r="J5181" s="37"/>
    </row>
    <row r="5182" spans="1:10" x14ac:dyDescent="0.3">
      <c r="A5182" s="130"/>
      <c r="B5182" s="37"/>
      <c r="C5182" s="37"/>
      <c r="D5182" s="37"/>
      <c r="E5182" s="37"/>
      <c r="F5182" s="37"/>
      <c r="G5182" s="37"/>
      <c r="H5182" s="37"/>
      <c r="I5182" s="37"/>
      <c r="J5182" s="37"/>
    </row>
    <row r="5183" spans="1:10" x14ac:dyDescent="0.3">
      <c r="A5183" s="130"/>
      <c r="B5183" s="37"/>
      <c r="C5183" s="37"/>
      <c r="D5183" s="37"/>
      <c r="E5183" s="37"/>
      <c r="F5183" s="37"/>
      <c r="G5183" s="37"/>
      <c r="H5183" s="37"/>
      <c r="I5183" s="37"/>
      <c r="J5183" s="37"/>
    </row>
    <row r="5184" spans="1:10" x14ac:dyDescent="0.3">
      <c r="A5184" s="130"/>
      <c r="B5184" s="37"/>
      <c r="C5184" s="37"/>
      <c r="D5184" s="37"/>
      <c r="E5184" s="37"/>
      <c r="F5184" s="37"/>
      <c r="G5184" s="37"/>
      <c r="H5184" s="37"/>
      <c r="I5184" s="37"/>
      <c r="J5184" s="37"/>
    </row>
    <row r="5185" spans="1:10" x14ac:dyDescent="0.3">
      <c r="A5185" s="130"/>
      <c r="B5185" s="37"/>
      <c r="C5185" s="37"/>
      <c r="D5185" s="37"/>
      <c r="E5185" s="37"/>
      <c r="F5185" s="37"/>
      <c r="G5185" s="37"/>
      <c r="H5185" s="37"/>
      <c r="I5185" s="37"/>
      <c r="J5185" s="37"/>
    </row>
    <row r="5186" spans="1:10" x14ac:dyDescent="0.3">
      <c r="A5186" s="130"/>
      <c r="B5186" s="37"/>
      <c r="C5186" s="37"/>
      <c r="D5186" s="37"/>
      <c r="E5186" s="37"/>
      <c r="F5186" s="37"/>
      <c r="G5186" s="37"/>
      <c r="H5186" s="37"/>
      <c r="I5186" s="37"/>
      <c r="J5186" s="37"/>
    </row>
    <row r="5187" spans="1:10" x14ac:dyDescent="0.3">
      <c r="A5187" s="130"/>
      <c r="B5187" s="37"/>
      <c r="C5187" s="37"/>
      <c r="D5187" s="37"/>
      <c r="E5187" s="37"/>
      <c r="F5187" s="37"/>
      <c r="G5187" s="37"/>
      <c r="H5187" s="37"/>
      <c r="I5187" s="37"/>
      <c r="J5187" s="37"/>
    </row>
    <row r="5188" spans="1:10" x14ac:dyDescent="0.3">
      <c r="A5188" s="130"/>
      <c r="B5188" s="37"/>
      <c r="C5188" s="37"/>
      <c r="D5188" s="37"/>
      <c r="E5188" s="37"/>
      <c r="F5188" s="37"/>
      <c r="G5188" s="37"/>
      <c r="H5188" s="37"/>
      <c r="I5188" s="37"/>
      <c r="J5188" s="37"/>
    </row>
    <row r="5189" spans="1:10" x14ac:dyDescent="0.3">
      <c r="A5189" s="130"/>
      <c r="B5189" s="37"/>
      <c r="C5189" s="37"/>
      <c r="D5189" s="37"/>
      <c r="E5189" s="37"/>
      <c r="F5189" s="37"/>
      <c r="G5189" s="37"/>
      <c r="H5189" s="37"/>
      <c r="I5189" s="37"/>
      <c r="J5189" s="37"/>
    </row>
    <row r="5190" spans="1:10" x14ac:dyDescent="0.3">
      <c r="A5190" s="130"/>
      <c r="B5190" s="37"/>
      <c r="C5190" s="37"/>
      <c r="D5190" s="37"/>
      <c r="E5190" s="37"/>
      <c r="F5190" s="37"/>
      <c r="G5190" s="37"/>
      <c r="H5190" s="37"/>
      <c r="I5190" s="37"/>
      <c r="J5190" s="37"/>
    </row>
    <row r="5191" spans="1:10" x14ac:dyDescent="0.3">
      <c r="A5191" s="130"/>
      <c r="B5191" s="37"/>
      <c r="C5191" s="37"/>
      <c r="D5191" s="37"/>
      <c r="E5191" s="37"/>
      <c r="F5191" s="37"/>
      <c r="G5191" s="37"/>
      <c r="H5191" s="37"/>
      <c r="I5191" s="37"/>
      <c r="J5191" s="37"/>
    </row>
    <row r="5192" spans="1:10" x14ac:dyDescent="0.3">
      <c r="A5192" s="130"/>
      <c r="B5192" s="37"/>
      <c r="C5192" s="37"/>
      <c r="D5192" s="37"/>
      <c r="E5192" s="37"/>
      <c r="F5192" s="37"/>
      <c r="G5192" s="37"/>
      <c r="H5192" s="37"/>
      <c r="I5192" s="37"/>
      <c r="J5192" s="37"/>
    </row>
    <row r="5193" spans="1:10" x14ac:dyDescent="0.3">
      <c r="A5193" s="130"/>
      <c r="B5193" s="37"/>
      <c r="C5193" s="37"/>
      <c r="D5193" s="37"/>
      <c r="E5193" s="37"/>
      <c r="F5193" s="37"/>
      <c r="G5193" s="37"/>
      <c r="H5193" s="37"/>
      <c r="I5193" s="37"/>
      <c r="J5193" s="37"/>
    </row>
    <row r="5194" spans="1:10" x14ac:dyDescent="0.3">
      <c r="A5194" s="130"/>
      <c r="B5194" s="37"/>
      <c r="C5194" s="37"/>
      <c r="D5194" s="37"/>
      <c r="E5194" s="37"/>
      <c r="F5194" s="37"/>
      <c r="G5194" s="37"/>
      <c r="H5194" s="37"/>
      <c r="I5194" s="37"/>
      <c r="J5194" s="37"/>
    </row>
    <row r="5195" spans="1:10" x14ac:dyDescent="0.3">
      <c r="A5195" s="130"/>
      <c r="B5195" s="37"/>
      <c r="C5195" s="37"/>
      <c r="D5195" s="37"/>
      <c r="E5195" s="37"/>
      <c r="F5195" s="37"/>
      <c r="G5195" s="37"/>
      <c r="H5195" s="37"/>
      <c r="I5195" s="37"/>
      <c r="J5195" s="37"/>
    </row>
    <row r="5196" spans="1:10" x14ac:dyDescent="0.3">
      <c r="A5196" s="130"/>
      <c r="B5196" s="37"/>
      <c r="C5196" s="37"/>
      <c r="D5196" s="37"/>
      <c r="E5196" s="37"/>
      <c r="F5196" s="37"/>
      <c r="G5196" s="37"/>
      <c r="H5196" s="37"/>
      <c r="I5196" s="37"/>
      <c r="J5196" s="37"/>
    </row>
    <row r="5197" spans="1:10" x14ac:dyDescent="0.3">
      <c r="A5197" s="130"/>
      <c r="B5197" s="37"/>
      <c r="C5197" s="37"/>
      <c r="D5197" s="37"/>
      <c r="E5197" s="37"/>
      <c r="F5197" s="37"/>
      <c r="G5197" s="37"/>
      <c r="H5197" s="37"/>
      <c r="I5197" s="37"/>
      <c r="J5197" s="37"/>
    </row>
    <row r="5198" spans="1:10" x14ac:dyDescent="0.3">
      <c r="A5198" s="130"/>
      <c r="B5198" s="37"/>
      <c r="C5198" s="37"/>
      <c r="D5198" s="37"/>
      <c r="E5198" s="37"/>
      <c r="F5198" s="37"/>
      <c r="G5198" s="37"/>
      <c r="H5198" s="37"/>
      <c r="I5198" s="37"/>
      <c r="J5198" s="37"/>
    </row>
    <row r="5199" spans="1:10" x14ac:dyDescent="0.3">
      <c r="A5199" s="130"/>
      <c r="B5199" s="37"/>
      <c r="C5199" s="37"/>
      <c r="D5199" s="37"/>
      <c r="E5199" s="37"/>
      <c r="F5199" s="37"/>
      <c r="G5199" s="37"/>
      <c r="H5199" s="37"/>
      <c r="I5199" s="37"/>
      <c r="J5199" s="37"/>
    </row>
    <row r="5200" spans="1:10" x14ac:dyDescent="0.3">
      <c r="A5200" s="130"/>
      <c r="B5200" s="37"/>
      <c r="C5200" s="37"/>
      <c r="D5200" s="37"/>
      <c r="E5200" s="37"/>
      <c r="F5200" s="37"/>
      <c r="G5200" s="37"/>
      <c r="H5200" s="37"/>
      <c r="I5200" s="37"/>
      <c r="J5200" s="37"/>
    </row>
    <row r="5201" spans="1:10" x14ac:dyDescent="0.3">
      <c r="A5201" s="130"/>
      <c r="B5201" s="37"/>
      <c r="C5201" s="37"/>
      <c r="D5201" s="37"/>
      <c r="E5201" s="37"/>
      <c r="F5201" s="37"/>
      <c r="G5201" s="37"/>
      <c r="H5201" s="37"/>
      <c r="I5201" s="37"/>
      <c r="J5201" s="37"/>
    </row>
    <row r="5202" spans="1:10" x14ac:dyDescent="0.3">
      <c r="A5202" s="130"/>
      <c r="B5202" s="37"/>
      <c r="C5202" s="37"/>
      <c r="D5202" s="37"/>
      <c r="E5202" s="37"/>
      <c r="F5202" s="37"/>
      <c r="G5202" s="37"/>
      <c r="H5202" s="37"/>
      <c r="I5202" s="37"/>
      <c r="J5202" s="37"/>
    </row>
    <row r="5203" spans="1:10" x14ac:dyDescent="0.3">
      <c r="A5203" s="130"/>
      <c r="B5203" s="37"/>
      <c r="C5203" s="37"/>
      <c r="D5203" s="37"/>
      <c r="E5203" s="37"/>
      <c r="F5203" s="37"/>
      <c r="G5203" s="37"/>
      <c r="H5203" s="37"/>
      <c r="I5203" s="37"/>
      <c r="J5203" s="37"/>
    </row>
    <row r="5204" spans="1:10" x14ac:dyDescent="0.3">
      <c r="A5204" s="130"/>
      <c r="B5204" s="37"/>
      <c r="C5204" s="37"/>
      <c r="D5204" s="37"/>
      <c r="E5204" s="37"/>
      <c r="F5204" s="37"/>
      <c r="G5204" s="37"/>
      <c r="H5204" s="37"/>
      <c r="I5204" s="37"/>
      <c r="J5204" s="37"/>
    </row>
    <row r="5205" spans="1:10" x14ac:dyDescent="0.3">
      <c r="A5205" s="130"/>
      <c r="B5205" s="37"/>
      <c r="C5205" s="37"/>
      <c r="D5205" s="37"/>
      <c r="E5205" s="37"/>
      <c r="F5205" s="37"/>
      <c r="G5205" s="37"/>
      <c r="H5205" s="37"/>
      <c r="I5205" s="37"/>
      <c r="J5205" s="37"/>
    </row>
    <row r="5206" spans="1:10" x14ac:dyDescent="0.3">
      <c r="A5206" s="130"/>
      <c r="B5206" s="37"/>
      <c r="C5206" s="37"/>
      <c r="D5206" s="37"/>
      <c r="E5206" s="37"/>
      <c r="F5206" s="37"/>
      <c r="G5206" s="37"/>
      <c r="H5206" s="37"/>
      <c r="I5206" s="37"/>
      <c r="J5206" s="37"/>
    </row>
    <row r="5207" spans="1:10" x14ac:dyDescent="0.3">
      <c r="A5207" s="130"/>
      <c r="B5207" s="37"/>
      <c r="C5207" s="37"/>
      <c r="D5207" s="37"/>
      <c r="E5207" s="37"/>
      <c r="F5207" s="37"/>
      <c r="G5207" s="37"/>
      <c r="H5207" s="37"/>
      <c r="I5207" s="37"/>
      <c r="J5207" s="37"/>
    </row>
    <row r="5208" spans="1:10" x14ac:dyDescent="0.3">
      <c r="A5208" s="130"/>
      <c r="B5208" s="37"/>
      <c r="C5208" s="37"/>
      <c r="D5208" s="37"/>
      <c r="E5208" s="37"/>
      <c r="F5208" s="37"/>
      <c r="G5208" s="37"/>
      <c r="H5208" s="37"/>
      <c r="I5208" s="37"/>
      <c r="J5208" s="37"/>
    </row>
    <row r="5209" spans="1:10" x14ac:dyDescent="0.3">
      <c r="A5209" s="130"/>
      <c r="B5209" s="37"/>
      <c r="C5209" s="37"/>
      <c r="D5209" s="37"/>
      <c r="E5209" s="37"/>
      <c r="F5209" s="37"/>
      <c r="G5209" s="37"/>
      <c r="H5209" s="37"/>
      <c r="I5209" s="37"/>
      <c r="J5209" s="37"/>
    </row>
    <row r="5210" spans="1:10" x14ac:dyDescent="0.3">
      <c r="A5210" s="130"/>
      <c r="B5210" s="37"/>
      <c r="C5210" s="37"/>
      <c r="D5210" s="37"/>
      <c r="E5210" s="37"/>
      <c r="F5210" s="37"/>
      <c r="G5210" s="37"/>
      <c r="H5210" s="37"/>
      <c r="I5210" s="37"/>
      <c r="J5210" s="37"/>
    </row>
    <row r="5211" spans="1:10" x14ac:dyDescent="0.3">
      <c r="A5211" s="130"/>
      <c r="B5211" s="37"/>
      <c r="C5211" s="37"/>
      <c r="D5211" s="37"/>
      <c r="E5211" s="37"/>
      <c r="F5211" s="37"/>
      <c r="G5211" s="37"/>
      <c r="H5211" s="37"/>
      <c r="I5211" s="37"/>
      <c r="J5211" s="37"/>
    </row>
    <row r="5212" spans="1:10" x14ac:dyDescent="0.3">
      <c r="A5212" s="130"/>
      <c r="B5212" s="37"/>
      <c r="C5212" s="37"/>
      <c r="D5212" s="37"/>
      <c r="E5212" s="37"/>
      <c r="F5212" s="37"/>
      <c r="G5212" s="37"/>
      <c r="H5212" s="37"/>
      <c r="I5212" s="37"/>
      <c r="J5212" s="37"/>
    </row>
    <row r="5213" spans="1:10" x14ac:dyDescent="0.3">
      <c r="A5213" s="130"/>
      <c r="B5213" s="37"/>
      <c r="C5213" s="37"/>
      <c r="D5213" s="37"/>
      <c r="E5213" s="37"/>
      <c r="F5213" s="37"/>
      <c r="G5213" s="37"/>
      <c r="H5213" s="37"/>
      <c r="I5213" s="37"/>
      <c r="J5213" s="37"/>
    </row>
    <row r="5214" spans="1:10" x14ac:dyDescent="0.3">
      <c r="A5214" s="130"/>
      <c r="B5214" s="37"/>
      <c r="C5214" s="37"/>
      <c r="D5214" s="37"/>
      <c r="E5214" s="37"/>
      <c r="F5214" s="37"/>
      <c r="G5214" s="37"/>
      <c r="H5214" s="37"/>
      <c r="I5214" s="37"/>
      <c r="J5214" s="37"/>
    </row>
    <row r="5215" spans="1:10" x14ac:dyDescent="0.3">
      <c r="A5215" s="130"/>
      <c r="B5215" s="37"/>
      <c r="C5215" s="37"/>
      <c r="D5215" s="37"/>
      <c r="E5215" s="37"/>
      <c r="F5215" s="37"/>
      <c r="G5215" s="37"/>
      <c r="H5215" s="37"/>
      <c r="I5215" s="37"/>
      <c r="J5215" s="37"/>
    </row>
    <row r="5216" spans="1:10" x14ac:dyDescent="0.3">
      <c r="A5216" s="130"/>
      <c r="B5216" s="37"/>
      <c r="C5216" s="37"/>
      <c r="D5216" s="37"/>
      <c r="E5216" s="37"/>
      <c r="F5216" s="37"/>
      <c r="G5216" s="37"/>
      <c r="H5216" s="37"/>
      <c r="I5216" s="37"/>
      <c r="J5216" s="37"/>
    </row>
    <row r="5217" spans="1:10" x14ac:dyDescent="0.3">
      <c r="A5217" s="130"/>
      <c r="B5217" s="37"/>
      <c r="C5217" s="37"/>
      <c r="D5217" s="37"/>
      <c r="E5217" s="37"/>
      <c r="F5217" s="37"/>
      <c r="G5217" s="37"/>
      <c r="H5217" s="37"/>
      <c r="I5217" s="37"/>
      <c r="J5217" s="37"/>
    </row>
    <row r="5218" spans="1:10" x14ac:dyDescent="0.3">
      <c r="A5218" s="130"/>
      <c r="B5218" s="37"/>
      <c r="C5218" s="37"/>
      <c r="D5218" s="37"/>
      <c r="E5218" s="37"/>
      <c r="F5218" s="37"/>
      <c r="G5218" s="37"/>
      <c r="H5218" s="37"/>
      <c r="I5218" s="37"/>
      <c r="J5218" s="37"/>
    </row>
    <row r="5219" spans="1:10" x14ac:dyDescent="0.3">
      <c r="A5219" s="130"/>
      <c r="B5219" s="37"/>
      <c r="C5219" s="37"/>
      <c r="D5219" s="37"/>
      <c r="E5219" s="37"/>
      <c r="F5219" s="37"/>
      <c r="G5219" s="37"/>
      <c r="H5219" s="37"/>
      <c r="I5219" s="37"/>
      <c r="J5219" s="37"/>
    </row>
    <row r="5220" spans="1:10" x14ac:dyDescent="0.3">
      <c r="A5220" s="130"/>
      <c r="B5220" s="37"/>
      <c r="C5220" s="37"/>
      <c r="D5220" s="37"/>
      <c r="E5220" s="37"/>
      <c r="F5220" s="37"/>
      <c r="G5220" s="37"/>
      <c r="H5220" s="37"/>
      <c r="I5220" s="37"/>
      <c r="J5220" s="37"/>
    </row>
    <row r="5221" spans="1:10" x14ac:dyDescent="0.3">
      <c r="A5221" s="130"/>
      <c r="B5221" s="37"/>
      <c r="C5221" s="37"/>
      <c r="D5221" s="37"/>
      <c r="E5221" s="37"/>
      <c r="F5221" s="37"/>
      <c r="G5221" s="37"/>
      <c r="H5221" s="37"/>
      <c r="I5221" s="37"/>
      <c r="J5221" s="37"/>
    </row>
    <row r="5222" spans="1:10" x14ac:dyDescent="0.3">
      <c r="A5222" s="130"/>
      <c r="B5222" s="37"/>
      <c r="C5222" s="37"/>
      <c r="D5222" s="37"/>
      <c r="E5222" s="37"/>
      <c r="F5222" s="37"/>
      <c r="G5222" s="37"/>
      <c r="H5222" s="37"/>
      <c r="I5222" s="37"/>
      <c r="J5222" s="37"/>
    </row>
    <row r="5223" spans="1:10" x14ac:dyDescent="0.3">
      <c r="A5223" s="130"/>
      <c r="B5223" s="37"/>
      <c r="C5223" s="37"/>
      <c r="D5223" s="37"/>
      <c r="E5223" s="37"/>
      <c r="F5223" s="37"/>
      <c r="G5223" s="37"/>
      <c r="H5223" s="37"/>
      <c r="I5223" s="37"/>
      <c r="J5223" s="37"/>
    </row>
    <row r="5224" spans="1:10" x14ac:dyDescent="0.3">
      <c r="A5224" s="130"/>
      <c r="B5224" s="37"/>
      <c r="C5224" s="37"/>
      <c r="D5224" s="37"/>
      <c r="E5224" s="37"/>
      <c r="F5224" s="37"/>
      <c r="G5224" s="37"/>
      <c r="H5224" s="37"/>
      <c r="I5224" s="37"/>
      <c r="J5224" s="37"/>
    </row>
    <row r="5225" spans="1:10" x14ac:dyDescent="0.3">
      <c r="A5225" s="130"/>
      <c r="B5225" s="37"/>
      <c r="C5225" s="37"/>
      <c r="D5225" s="37"/>
      <c r="E5225" s="37"/>
      <c r="F5225" s="37"/>
      <c r="G5225" s="37"/>
      <c r="H5225" s="37"/>
      <c r="I5225" s="37"/>
      <c r="J5225" s="37"/>
    </row>
    <row r="5226" spans="1:10" x14ac:dyDescent="0.3">
      <c r="A5226" s="130"/>
      <c r="B5226" s="37"/>
      <c r="C5226" s="37"/>
      <c r="D5226" s="37"/>
      <c r="E5226" s="37"/>
      <c r="F5226" s="37"/>
      <c r="G5226" s="37"/>
      <c r="H5226" s="37"/>
      <c r="I5226" s="37"/>
      <c r="J5226" s="37"/>
    </row>
    <row r="5227" spans="1:10" x14ac:dyDescent="0.3">
      <c r="A5227" s="130"/>
      <c r="B5227" s="37"/>
      <c r="C5227" s="37"/>
      <c r="D5227" s="37"/>
      <c r="E5227" s="37"/>
      <c r="F5227" s="37"/>
      <c r="G5227" s="37"/>
      <c r="H5227" s="37"/>
      <c r="I5227" s="37"/>
      <c r="J5227" s="37"/>
    </row>
    <row r="5228" spans="1:10" x14ac:dyDescent="0.3">
      <c r="A5228" s="130"/>
      <c r="B5228" s="37"/>
      <c r="C5228" s="37"/>
      <c r="D5228" s="37"/>
      <c r="E5228" s="37"/>
      <c r="F5228" s="37"/>
      <c r="G5228" s="37"/>
      <c r="H5228" s="37"/>
      <c r="I5228" s="37"/>
      <c r="J5228" s="37"/>
    </row>
    <row r="5229" spans="1:10" x14ac:dyDescent="0.3">
      <c r="A5229" s="130"/>
      <c r="B5229" s="37"/>
      <c r="C5229" s="37"/>
      <c r="D5229" s="37"/>
      <c r="E5229" s="37"/>
      <c r="F5229" s="37"/>
      <c r="G5229" s="37"/>
      <c r="H5229" s="37"/>
      <c r="I5229" s="37"/>
      <c r="J5229" s="37"/>
    </row>
    <row r="5230" spans="1:10" x14ac:dyDescent="0.3">
      <c r="A5230" s="130"/>
      <c r="B5230" s="37"/>
      <c r="C5230" s="37"/>
      <c r="D5230" s="37"/>
      <c r="E5230" s="37"/>
      <c r="F5230" s="37"/>
      <c r="G5230" s="37"/>
      <c r="H5230" s="37"/>
      <c r="I5230" s="37"/>
      <c r="J5230" s="37"/>
    </row>
    <row r="5231" spans="1:10" x14ac:dyDescent="0.3">
      <c r="A5231" s="130"/>
      <c r="B5231" s="37"/>
      <c r="C5231" s="37"/>
      <c r="D5231" s="37"/>
      <c r="E5231" s="37"/>
      <c r="F5231" s="37"/>
      <c r="G5231" s="37"/>
      <c r="H5231" s="37"/>
      <c r="I5231" s="37"/>
      <c r="J5231" s="37"/>
    </row>
    <row r="5232" spans="1:10" x14ac:dyDescent="0.3">
      <c r="A5232" s="130"/>
      <c r="B5232" s="37"/>
      <c r="C5232" s="37"/>
      <c r="D5232" s="37"/>
      <c r="E5232" s="37"/>
      <c r="F5232" s="37"/>
      <c r="G5232" s="37"/>
      <c r="H5232" s="37"/>
      <c r="I5232" s="37"/>
      <c r="J5232" s="37"/>
    </row>
    <row r="5233" spans="1:10" x14ac:dyDescent="0.3">
      <c r="A5233" s="130"/>
      <c r="B5233" s="37"/>
      <c r="C5233" s="37"/>
      <c r="D5233" s="37"/>
      <c r="E5233" s="37"/>
      <c r="F5233" s="37"/>
      <c r="G5233" s="37"/>
      <c r="H5233" s="37"/>
      <c r="I5233" s="37"/>
      <c r="J5233" s="37"/>
    </row>
    <row r="5234" spans="1:10" x14ac:dyDescent="0.3">
      <c r="A5234" s="130"/>
      <c r="B5234" s="37"/>
      <c r="C5234" s="37"/>
      <c r="D5234" s="37"/>
      <c r="E5234" s="37"/>
      <c r="F5234" s="37"/>
      <c r="G5234" s="37"/>
      <c r="H5234" s="37"/>
      <c r="I5234" s="37"/>
      <c r="J5234" s="37"/>
    </row>
    <row r="5235" spans="1:10" x14ac:dyDescent="0.3">
      <c r="A5235" s="130"/>
      <c r="B5235" s="37"/>
      <c r="C5235" s="37"/>
      <c r="D5235" s="37"/>
      <c r="E5235" s="37"/>
      <c r="F5235" s="37"/>
      <c r="G5235" s="37"/>
      <c r="H5235" s="37"/>
      <c r="I5235" s="37"/>
      <c r="J5235" s="37"/>
    </row>
    <row r="5236" spans="1:10" x14ac:dyDescent="0.3">
      <c r="A5236" s="130"/>
      <c r="B5236" s="37"/>
      <c r="C5236" s="37"/>
      <c r="D5236" s="37"/>
      <c r="E5236" s="37"/>
      <c r="F5236" s="37"/>
      <c r="G5236" s="37"/>
      <c r="H5236" s="37"/>
      <c r="I5236" s="37"/>
      <c r="J5236" s="37"/>
    </row>
    <row r="5237" spans="1:10" x14ac:dyDescent="0.3">
      <c r="A5237" s="130"/>
      <c r="B5237" s="37"/>
      <c r="C5237" s="37"/>
      <c r="D5237" s="37"/>
      <c r="E5237" s="37"/>
      <c r="F5237" s="37"/>
      <c r="G5237" s="37"/>
      <c r="H5237" s="37"/>
      <c r="I5237" s="37"/>
      <c r="J5237" s="37"/>
    </row>
    <row r="5238" spans="1:10" x14ac:dyDescent="0.3">
      <c r="A5238" s="130"/>
      <c r="B5238" s="37"/>
      <c r="C5238" s="37"/>
      <c r="D5238" s="37"/>
      <c r="E5238" s="37"/>
      <c r="F5238" s="37"/>
      <c r="G5238" s="37"/>
      <c r="H5238" s="37"/>
      <c r="I5238" s="37"/>
      <c r="J5238" s="37"/>
    </row>
    <row r="5239" spans="1:10" x14ac:dyDescent="0.3">
      <c r="A5239" s="130"/>
      <c r="B5239" s="37"/>
      <c r="C5239" s="37"/>
      <c r="D5239" s="37"/>
      <c r="E5239" s="37"/>
      <c r="F5239" s="37"/>
      <c r="G5239" s="37"/>
      <c r="H5239" s="37"/>
      <c r="I5239" s="37"/>
      <c r="J5239" s="37"/>
    </row>
    <row r="5240" spans="1:10" x14ac:dyDescent="0.3">
      <c r="A5240" s="130"/>
      <c r="B5240" s="37"/>
      <c r="C5240" s="37"/>
      <c r="D5240" s="37"/>
      <c r="E5240" s="37"/>
      <c r="F5240" s="37"/>
      <c r="G5240" s="37"/>
      <c r="H5240" s="37"/>
      <c r="I5240" s="37"/>
      <c r="J5240" s="37"/>
    </row>
    <row r="5241" spans="1:10" x14ac:dyDescent="0.3">
      <c r="A5241" s="130"/>
      <c r="B5241" s="37"/>
      <c r="C5241" s="37"/>
      <c r="D5241" s="37"/>
      <c r="E5241" s="37"/>
      <c r="F5241" s="37"/>
      <c r="G5241" s="37"/>
      <c r="H5241" s="37"/>
      <c r="I5241" s="37"/>
      <c r="J5241" s="37"/>
    </row>
    <row r="5242" spans="1:10" x14ac:dyDescent="0.3">
      <c r="A5242" s="130"/>
      <c r="B5242" s="37"/>
      <c r="C5242" s="37"/>
      <c r="D5242" s="37"/>
      <c r="E5242" s="37"/>
      <c r="F5242" s="37"/>
      <c r="G5242" s="37"/>
      <c r="H5242" s="37"/>
      <c r="I5242" s="37"/>
      <c r="J5242" s="37"/>
    </row>
    <row r="5243" spans="1:10" x14ac:dyDescent="0.3">
      <c r="A5243" s="130"/>
      <c r="B5243" s="37"/>
      <c r="C5243" s="37"/>
      <c r="D5243" s="37"/>
      <c r="E5243" s="37"/>
      <c r="F5243" s="37"/>
      <c r="G5243" s="37"/>
      <c r="H5243" s="37"/>
      <c r="I5243" s="37"/>
      <c r="J5243" s="37"/>
    </row>
    <row r="5244" spans="1:10" x14ac:dyDescent="0.3">
      <c r="A5244" s="130"/>
      <c r="B5244" s="37"/>
      <c r="C5244" s="37"/>
      <c r="D5244" s="37"/>
      <c r="E5244" s="37"/>
      <c r="F5244" s="37"/>
      <c r="G5244" s="37"/>
      <c r="H5244" s="37"/>
      <c r="I5244" s="37"/>
      <c r="J5244" s="37"/>
    </row>
    <row r="5245" spans="1:10" x14ac:dyDescent="0.3">
      <c r="A5245" s="130"/>
      <c r="B5245" s="37"/>
      <c r="C5245" s="37"/>
      <c r="D5245" s="37"/>
      <c r="E5245" s="37"/>
      <c r="F5245" s="37"/>
      <c r="G5245" s="37"/>
      <c r="H5245" s="37"/>
      <c r="I5245" s="37"/>
      <c r="J5245" s="37"/>
    </row>
    <row r="5246" spans="1:10" x14ac:dyDescent="0.3">
      <c r="A5246" s="130"/>
      <c r="B5246" s="37"/>
      <c r="C5246" s="37"/>
      <c r="D5246" s="37"/>
      <c r="E5246" s="37"/>
      <c r="F5246" s="37"/>
      <c r="G5246" s="37"/>
      <c r="H5246" s="37"/>
      <c r="I5246" s="37"/>
      <c r="J5246" s="37"/>
    </row>
    <row r="5247" spans="1:10" x14ac:dyDescent="0.3">
      <c r="A5247" s="130"/>
      <c r="B5247" s="37"/>
      <c r="C5247" s="37"/>
      <c r="D5247" s="37"/>
      <c r="E5247" s="37"/>
      <c r="F5247" s="37"/>
      <c r="G5247" s="37"/>
      <c r="H5247" s="37"/>
      <c r="I5247" s="37"/>
      <c r="J5247" s="37"/>
    </row>
    <row r="5248" spans="1:10" x14ac:dyDescent="0.3">
      <c r="A5248" s="130"/>
      <c r="B5248" s="37"/>
      <c r="C5248" s="37"/>
      <c r="D5248" s="37"/>
      <c r="E5248" s="37"/>
      <c r="F5248" s="37"/>
      <c r="G5248" s="37"/>
      <c r="H5248" s="37"/>
      <c r="I5248" s="37"/>
      <c r="J5248" s="37"/>
    </row>
    <row r="5249" spans="1:10" x14ac:dyDescent="0.3">
      <c r="A5249" s="130"/>
      <c r="B5249" s="37"/>
      <c r="C5249" s="37"/>
      <c r="D5249" s="37"/>
      <c r="E5249" s="37"/>
      <c r="F5249" s="37"/>
      <c r="G5249" s="37"/>
      <c r="H5249" s="37"/>
      <c r="I5249" s="37"/>
      <c r="J5249" s="37"/>
    </row>
    <row r="5250" spans="1:10" x14ac:dyDescent="0.3">
      <c r="A5250" s="130"/>
      <c r="B5250" s="37"/>
      <c r="C5250" s="37"/>
      <c r="D5250" s="37"/>
      <c r="E5250" s="37"/>
      <c r="F5250" s="37"/>
      <c r="G5250" s="37"/>
      <c r="H5250" s="37"/>
      <c r="I5250" s="37"/>
      <c r="J5250" s="37"/>
    </row>
    <row r="5251" spans="1:10" x14ac:dyDescent="0.3">
      <c r="A5251" s="130"/>
      <c r="B5251" s="37"/>
      <c r="C5251" s="37"/>
      <c r="D5251" s="37"/>
      <c r="E5251" s="37"/>
      <c r="F5251" s="37"/>
      <c r="G5251" s="37"/>
      <c r="H5251" s="37"/>
      <c r="I5251" s="37"/>
      <c r="J5251" s="37"/>
    </row>
    <row r="5252" spans="1:10" x14ac:dyDescent="0.3">
      <c r="A5252" s="130"/>
      <c r="B5252" s="37"/>
      <c r="C5252" s="37"/>
      <c r="D5252" s="37"/>
      <c r="E5252" s="37"/>
      <c r="F5252" s="37"/>
      <c r="G5252" s="37"/>
      <c r="H5252" s="37"/>
      <c r="I5252" s="37"/>
      <c r="J5252" s="37"/>
    </row>
    <row r="5253" spans="1:10" x14ac:dyDescent="0.3">
      <c r="A5253" s="130"/>
      <c r="B5253" s="37"/>
      <c r="C5253" s="37"/>
      <c r="D5253" s="37"/>
      <c r="E5253" s="37"/>
      <c r="F5253" s="37"/>
      <c r="G5253" s="37"/>
      <c r="H5253" s="37"/>
      <c r="I5253" s="37"/>
      <c r="J5253" s="37"/>
    </row>
    <row r="5254" spans="1:10" x14ac:dyDescent="0.3">
      <c r="A5254" s="130"/>
      <c r="B5254" s="37"/>
      <c r="C5254" s="37"/>
      <c r="D5254" s="37"/>
      <c r="E5254" s="37"/>
      <c r="F5254" s="37"/>
      <c r="G5254" s="37"/>
      <c r="H5254" s="37"/>
      <c r="I5254" s="37"/>
      <c r="J5254" s="37"/>
    </row>
    <row r="5255" spans="1:10" x14ac:dyDescent="0.3">
      <c r="A5255" s="130"/>
      <c r="B5255" s="37"/>
      <c r="C5255" s="37"/>
      <c r="D5255" s="37"/>
      <c r="E5255" s="37"/>
      <c r="F5255" s="37"/>
      <c r="G5255" s="37"/>
      <c r="H5255" s="37"/>
      <c r="I5255" s="37"/>
      <c r="J5255" s="37"/>
    </row>
    <row r="5256" spans="1:10" x14ac:dyDescent="0.3">
      <c r="A5256" s="130"/>
      <c r="B5256" s="37"/>
      <c r="C5256" s="37"/>
      <c r="D5256" s="37"/>
      <c r="E5256" s="37"/>
      <c r="F5256" s="37"/>
      <c r="G5256" s="37"/>
      <c r="H5256" s="37"/>
      <c r="I5256" s="37"/>
      <c r="J5256" s="37"/>
    </row>
    <row r="5257" spans="1:10" x14ac:dyDescent="0.3">
      <c r="A5257" s="130"/>
      <c r="B5257" s="37"/>
      <c r="C5257" s="37"/>
      <c r="D5257" s="37"/>
      <c r="E5257" s="37"/>
      <c r="F5257" s="37"/>
      <c r="G5257" s="37"/>
      <c r="H5257" s="37"/>
      <c r="I5257" s="37"/>
      <c r="J5257" s="37"/>
    </row>
    <row r="5258" spans="1:10" x14ac:dyDescent="0.3">
      <c r="A5258" s="130"/>
      <c r="B5258" s="37"/>
      <c r="C5258" s="37"/>
      <c r="D5258" s="37"/>
      <c r="E5258" s="37"/>
      <c r="F5258" s="37"/>
      <c r="G5258" s="37"/>
      <c r="H5258" s="37"/>
      <c r="I5258" s="37"/>
      <c r="J5258" s="37"/>
    </row>
    <row r="5259" spans="1:10" x14ac:dyDescent="0.3">
      <c r="A5259" s="130"/>
      <c r="B5259" s="37"/>
      <c r="C5259" s="37"/>
      <c r="D5259" s="37"/>
      <c r="E5259" s="37"/>
      <c r="F5259" s="37"/>
      <c r="G5259" s="37"/>
      <c r="H5259" s="37"/>
      <c r="I5259" s="37"/>
      <c r="J5259" s="37"/>
    </row>
    <row r="5260" spans="1:10" x14ac:dyDescent="0.3">
      <c r="A5260" s="130"/>
      <c r="B5260" s="37"/>
      <c r="C5260" s="37"/>
      <c r="D5260" s="37"/>
      <c r="E5260" s="37"/>
      <c r="F5260" s="37"/>
      <c r="G5260" s="37"/>
      <c r="H5260" s="37"/>
      <c r="I5260" s="37"/>
      <c r="J5260" s="37"/>
    </row>
    <row r="5261" spans="1:10" x14ac:dyDescent="0.3">
      <c r="A5261" s="130"/>
      <c r="B5261" s="37"/>
      <c r="C5261" s="37"/>
      <c r="D5261" s="37"/>
      <c r="E5261" s="37"/>
      <c r="F5261" s="37"/>
      <c r="G5261" s="37"/>
      <c r="H5261" s="37"/>
      <c r="I5261" s="37"/>
      <c r="J5261" s="37"/>
    </row>
    <row r="5262" spans="1:10" x14ac:dyDescent="0.3">
      <c r="A5262" s="130"/>
      <c r="B5262" s="37"/>
      <c r="C5262" s="37"/>
      <c r="D5262" s="37"/>
      <c r="E5262" s="37"/>
      <c r="F5262" s="37"/>
      <c r="G5262" s="37"/>
      <c r="H5262" s="37"/>
      <c r="I5262" s="37"/>
      <c r="J5262" s="37"/>
    </row>
    <row r="5263" spans="1:10" x14ac:dyDescent="0.3">
      <c r="A5263" s="130"/>
      <c r="B5263" s="37"/>
      <c r="C5263" s="37"/>
      <c r="D5263" s="37"/>
      <c r="E5263" s="37"/>
      <c r="F5263" s="37"/>
      <c r="G5263" s="37"/>
      <c r="H5263" s="37"/>
      <c r="I5263" s="37"/>
      <c r="J5263" s="37"/>
    </row>
    <row r="5264" spans="1:10" x14ac:dyDescent="0.3">
      <c r="A5264" s="130"/>
      <c r="B5264" s="37"/>
      <c r="C5264" s="37"/>
      <c r="D5264" s="37"/>
      <c r="E5264" s="37"/>
      <c r="F5264" s="37"/>
      <c r="G5264" s="37"/>
      <c r="H5264" s="37"/>
      <c r="I5264" s="37"/>
      <c r="J5264" s="37"/>
    </row>
    <row r="5265" spans="1:10" x14ac:dyDescent="0.3">
      <c r="A5265" s="130"/>
      <c r="B5265" s="37"/>
      <c r="C5265" s="37"/>
      <c r="D5265" s="37"/>
      <c r="E5265" s="37"/>
      <c r="F5265" s="37"/>
      <c r="G5265" s="37"/>
      <c r="H5265" s="37"/>
      <c r="I5265" s="37"/>
      <c r="J5265" s="37"/>
    </row>
    <row r="5266" spans="1:10" x14ac:dyDescent="0.3">
      <c r="A5266" s="130"/>
      <c r="B5266" s="37"/>
      <c r="C5266" s="37"/>
      <c r="D5266" s="37"/>
      <c r="E5266" s="37"/>
      <c r="F5266" s="37"/>
      <c r="G5266" s="37"/>
      <c r="H5266" s="37"/>
      <c r="I5266" s="37"/>
      <c r="J5266" s="37"/>
    </row>
    <row r="5267" spans="1:10" x14ac:dyDescent="0.3">
      <c r="A5267" s="130"/>
      <c r="B5267" s="37"/>
      <c r="C5267" s="37"/>
      <c r="D5267" s="37"/>
      <c r="E5267" s="37"/>
      <c r="F5267" s="37"/>
      <c r="G5267" s="37"/>
      <c r="H5267" s="37"/>
      <c r="I5267" s="37"/>
      <c r="J5267" s="37"/>
    </row>
    <row r="5268" spans="1:10" x14ac:dyDescent="0.3">
      <c r="A5268" s="130"/>
      <c r="B5268" s="37"/>
      <c r="C5268" s="37"/>
      <c r="D5268" s="37"/>
      <c r="E5268" s="37"/>
      <c r="F5268" s="37"/>
      <c r="G5268" s="37"/>
      <c r="H5268" s="37"/>
      <c r="I5268" s="37"/>
      <c r="J5268" s="37"/>
    </row>
    <row r="5269" spans="1:10" x14ac:dyDescent="0.3">
      <c r="A5269" s="130"/>
      <c r="B5269" s="37"/>
      <c r="C5269" s="37"/>
      <c r="D5269" s="37"/>
      <c r="E5269" s="37"/>
      <c r="F5269" s="37"/>
      <c r="G5269" s="37"/>
      <c r="H5269" s="37"/>
      <c r="I5269" s="37"/>
      <c r="J5269" s="37"/>
    </row>
    <row r="5270" spans="1:10" x14ac:dyDescent="0.3">
      <c r="A5270" s="130"/>
      <c r="B5270" s="37"/>
      <c r="C5270" s="37"/>
      <c r="D5270" s="37"/>
      <c r="E5270" s="37"/>
      <c r="F5270" s="37"/>
      <c r="G5270" s="37"/>
      <c r="H5270" s="37"/>
      <c r="I5270" s="37"/>
      <c r="J5270" s="37"/>
    </row>
    <row r="5271" spans="1:10" x14ac:dyDescent="0.3">
      <c r="A5271" s="130"/>
      <c r="B5271" s="37"/>
      <c r="C5271" s="37"/>
      <c r="D5271" s="37"/>
      <c r="E5271" s="37"/>
      <c r="F5271" s="37"/>
      <c r="G5271" s="37"/>
      <c r="H5271" s="37"/>
      <c r="I5271" s="37"/>
      <c r="J5271" s="37"/>
    </row>
    <row r="5272" spans="1:10" x14ac:dyDescent="0.3">
      <c r="A5272" s="130"/>
      <c r="B5272" s="37"/>
      <c r="C5272" s="37"/>
      <c r="D5272" s="37"/>
      <c r="E5272" s="37"/>
      <c r="F5272" s="37"/>
      <c r="G5272" s="37"/>
      <c r="H5272" s="37"/>
      <c r="I5272" s="37"/>
      <c r="J5272" s="37"/>
    </row>
    <row r="5273" spans="1:10" x14ac:dyDescent="0.3">
      <c r="A5273" s="130"/>
      <c r="B5273" s="37"/>
      <c r="C5273" s="37"/>
      <c r="D5273" s="37"/>
      <c r="E5273" s="37"/>
      <c r="F5273" s="37"/>
      <c r="G5273" s="37"/>
      <c r="H5273" s="37"/>
      <c r="I5273" s="37"/>
      <c r="J5273" s="37"/>
    </row>
    <row r="5274" spans="1:10" x14ac:dyDescent="0.3">
      <c r="A5274" s="130"/>
      <c r="B5274" s="37"/>
      <c r="C5274" s="37"/>
      <c r="D5274" s="37"/>
      <c r="E5274" s="37"/>
      <c r="F5274" s="37"/>
      <c r="G5274" s="37"/>
      <c r="H5274" s="37"/>
      <c r="I5274" s="37"/>
      <c r="J5274" s="37"/>
    </row>
    <row r="5275" spans="1:10" x14ac:dyDescent="0.3">
      <c r="A5275" s="130"/>
      <c r="B5275" s="37"/>
      <c r="C5275" s="37"/>
      <c r="D5275" s="37"/>
      <c r="E5275" s="37"/>
      <c r="F5275" s="37"/>
      <c r="G5275" s="37"/>
      <c r="H5275" s="37"/>
      <c r="I5275" s="37"/>
      <c r="J5275" s="37"/>
    </row>
    <row r="5276" spans="1:10" x14ac:dyDescent="0.3">
      <c r="A5276" s="130"/>
      <c r="B5276" s="37"/>
      <c r="C5276" s="37"/>
      <c r="D5276" s="37"/>
      <c r="E5276" s="37"/>
      <c r="F5276" s="37"/>
      <c r="G5276" s="37"/>
      <c r="H5276" s="37"/>
      <c r="I5276" s="37"/>
      <c r="J5276" s="37"/>
    </row>
    <row r="5277" spans="1:10" x14ac:dyDescent="0.3">
      <c r="A5277" s="130"/>
      <c r="B5277" s="37"/>
      <c r="C5277" s="37"/>
      <c r="D5277" s="37"/>
      <c r="E5277" s="37"/>
      <c r="F5277" s="37"/>
      <c r="G5277" s="37"/>
      <c r="H5277" s="37"/>
      <c r="I5277" s="37"/>
      <c r="J5277" s="37"/>
    </row>
    <row r="5278" spans="1:10" x14ac:dyDescent="0.3">
      <c r="A5278" s="130"/>
      <c r="B5278" s="37"/>
      <c r="C5278" s="37"/>
      <c r="D5278" s="37"/>
      <c r="E5278" s="37"/>
      <c r="F5278" s="37"/>
      <c r="G5278" s="37"/>
      <c r="H5278" s="37"/>
      <c r="I5278" s="37"/>
      <c r="J5278" s="37"/>
    </row>
    <row r="5279" spans="1:10" x14ac:dyDescent="0.3">
      <c r="A5279" s="130"/>
      <c r="B5279" s="37"/>
      <c r="C5279" s="37"/>
      <c r="D5279" s="37"/>
      <c r="E5279" s="37"/>
      <c r="F5279" s="37"/>
      <c r="G5279" s="37"/>
      <c r="H5279" s="37"/>
      <c r="I5279" s="37"/>
      <c r="J5279" s="37"/>
    </row>
    <row r="5280" spans="1:10" x14ac:dyDescent="0.3">
      <c r="A5280" s="130"/>
      <c r="B5280" s="37"/>
      <c r="C5280" s="37"/>
      <c r="D5280" s="37"/>
      <c r="E5280" s="37"/>
      <c r="F5280" s="37"/>
      <c r="G5280" s="37"/>
      <c r="H5280" s="37"/>
      <c r="I5280" s="37"/>
      <c r="J5280" s="37"/>
    </row>
    <row r="5281" spans="1:10" x14ac:dyDescent="0.3">
      <c r="A5281" s="130"/>
      <c r="B5281" s="37"/>
      <c r="C5281" s="37"/>
      <c r="D5281" s="37"/>
      <c r="E5281" s="37"/>
      <c r="F5281" s="37"/>
      <c r="G5281" s="37"/>
      <c r="H5281" s="37"/>
      <c r="I5281" s="37"/>
      <c r="J5281" s="37"/>
    </row>
    <row r="5282" spans="1:10" x14ac:dyDescent="0.3">
      <c r="A5282" s="130"/>
      <c r="B5282" s="37"/>
      <c r="C5282" s="37"/>
      <c r="D5282" s="37"/>
      <c r="E5282" s="37"/>
      <c r="F5282" s="37"/>
      <c r="G5282" s="37"/>
      <c r="H5282" s="37"/>
      <c r="I5282" s="37"/>
      <c r="J5282" s="37"/>
    </row>
    <row r="5283" spans="1:10" x14ac:dyDescent="0.3">
      <c r="A5283" s="130"/>
      <c r="B5283" s="37"/>
      <c r="C5283" s="37"/>
      <c r="D5283" s="37"/>
      <c r="E5283" s="37"/>
      <c r="F5283" s="37"/>
      <c r="G5283" s="37"/>
      <c r="H5283" s="37"/>
      <c r="I5283" s="37"/>
      <c r="J5283" s="37"/>
    </row>
    <row r="5284" spans="1:10" x14ac:dyDescent="0.3">
      <c r="A5284" s="130"/>
      <c r="B5284" s="37"/>
      <c r="C5284" s="37"/>
      <c r="D5284" s="37"/>
      <c r="E5284" s="37"/>
      <c r="F5284" s="37"/>
      <c r="G5284" s="37"/>
      <c r="H5284" s="37"/>
      <c r="I5284" s="37"/>
      <c r="J5284" s="37"/>
    </row>
    <row r="5285" spans="1:10" x14ac:dyDescent="0.3">
      <c r="A5285" s="130"/>
      <c r="B5285" s="37"/>
      <c r="C5285" s="37"/>
      <c r="D5285" s="37"/>
      <c r="E5285" s="37"/>
      <c r="F5285" s="37"/>
      <c r="G5285" s="37"/>
      <c r="H5285" s="37"/>
      <c r="I5285" s="37"/>
      <c r="J5285" s="37"/>
    </row>
    <row r="5286" spans="1:10" x14ac:dyDescent="0.3">
      <c r="A5286" s="130"/>
      <c r="B5286" s="37"/>
      <c r="C5286" s="37"/>
      <c r="D5286" s="37"/>
      <c r="E5286" s="37"/>
      <c r="F5286" s="37"/>
      <c r="G5286" s="37"/>
      <c r="H5286" s="37"/>
      <c r="I5286" s="37"/>
      <c r="J5286" s="37"/>
    </row>
    <row r="5287" spans="1:10" x14ac:dyDescent="0.3">
      <c r="A5287" s="130"/>
      <c r="B5287" s="37"/>
      <c r="C5287" s="37"/>
      <c r="D5287" s="37"/>
      <c r="E5287" s="37"/>
      <c r="F5287" s="37"/>
      <c r="G5287" s="37"/>
      <c r="H5287" s="37"/>
      <c r="I5287" s="37"/>
      <c r="J5287" s="37"/>
    </row>
    <row r="5288" spans="1:10" x14ac:dyDescent="0.3">
      <c r="A5288" s="130"/>
      <c r="B5288" s="37"/>
      <c r="C5288" s="37"/>
      <c r="D5288" s="37"/>
      <c r="E5288" s="37"/>
      <c r="F5288" s="37"/>
      <c r="G5288" s="37"/>
      <c r="H5288" s="37"/>
      <c r="I5288" s="37"/>
      <c r="J5288" s="37"/>
    </row>
    <row r="5289" spans="1:10" x14ac:dyDescent="0.3">
      <c r="A5289" s="130"/>
      <c r="B5289" s="37"/>
      <c r="C5289" s="37"/>
      <c r="D5289" s="37"/>
      <c r="E5289" s="37"/>
      <c r="F5289" s="37"/>
      <c r="G5289" s="37"/>
      <c r="H5289" s="37"/>
      <c r="I5289" s="37"/>
      <c r="J5289" s="37"/>
    </row>
    <row r="5290" spans="1:10" x14ac:dyDescent="0.3">
      <c r="A5290" s="130"/>
      <c r="B5290" s="37"/>
      <c r="C5290" s="37"/>
      <c r="D5290" s="37"/>
      <c r="E5290" s="37"/>
      <c r="F5290" s="37"/>
      <c r="G5290" s="37"/>
      <c r="H5290" s="37"/>
      <c r="I5290" s="37"/>
      <c r="J5290" s="37"/>
    </row>
    <row r="5291" spans="1:10" x14ac:dyDescent="0.3">
      <c r="A5291" s="130"/>
      <c r="B5291" s="37"/>
      <c r="C5291" s="37"/>
      <c r="D5291" s="37"/>
      <c r="E5291" s="37"/>
      <c r="F5291" s="37"/>
      <c r="G5291" s="37"/>
      <c r="H5291" s="37"/>
      <c r="I5291" s="37"/>
      <c r="J5291" s="37"/>
    </row>
    <row r="5292" spans="1:10" x14ac:dyDescent="0.3">
      <c r="A5292" s="130"/>
      <c r="B5292" s="37"/>
      <c r="C5292" s="37"/>
      <c r="D5292" s="37"/>
      <c r="E5292" s="37"/>
      <c r="F5292" s="37"/>
      <c r="G5292" s="37"/>
      <c r="H5292" s="37"/>
      <c r="I5292" s="37"/>
      <c r="J5292" s="37"/>
    </row>
    <row r="5293" spans="1:10" x14ac:dyDescent="0.3">
      <c r="A5293" s="130"/>
      <c r="B5293" s="37"/>
      <c r="C5293" s="37"/>
      <c r="D5293" s="37"/>
      <c r="E5293" s="37"/>
      <c r="F5293" s="37"/>
      <c r="G5293" s="37"/>
      <c r="H5293" s="37"/>
      <c r="I5293" s="37"/>
      <c r="J5293" s="37"/>
    </row>
    <row r="5294" spans="1:10" x14ac:dyDescent="0.3">
      <c r="A5294" s="130"/>
      <c r="B5294" s="37"/>
      <c r="C5294" s="37"/>
      <c r="D5294" s="37"/>
      <c r="E5294" s="37"/>
      <c r="F5294" s="37"/>
      <c r="G5294" s="37"/>
      <c r="H5294" s="37"/>
      <c r="I5294" s="37"/>
      <c r="J5294" s="37"/>
    </row>
    <row r="5295" spans="1:10" x14ac:dyDescent="0.3">
      <c r="A5295" s="130"/>
      <c r="B5295" s="37"/>
      <c r="C5295" s="37"/>
      <c r="D5295" s="37"/>
      <c r="E5295" s="37"/>
      <c r="F5295" s="37"/>
      <c r="G5295" s="37"/>
      <c r="H5295" s="37"/>
      <c r="I5295" s="37"/>
      <c r="J5295" s="37"/>
    </row>
    <row r="5296" spans="1:10" x14ac:dyDescent="0.3">
      <c r="A5296" s="130"/>
      <c r="B5296" s="37"/>
      <c r="C5296" s="37"/>
      <c r="D5296" s="37"/>
      <c r="E5296" s="37"/>
      <c r="F5296" s="37"/>
      <c r="G5296" s="37"/>
      <c r="H5296" s="37"/>
      <c r="I5296" s="37"/>
      <c r="J5296" s="37"/>
    </row>
    <row r="5297" spans="1:10" x14ac:dyDescent="0.3">
      <c r="A5297" s="130"/>
      <c r="B5297" s="37"/>
      <c r="C5297" s="37"/>
      <c r="D5297" s="37"/>
      <c r="E5297" s="37"/>
      <c r="F5297" s="37"/>
      <c r="G5297" s="37"/>
      <c r="H5297" s="37"/>
      <c r="I5297" s="37"/>
      <c r="J5297" s="37"/>
    </row>
    <row r="5298" spans="1:10" x14ac:dyDescent="0.3">
      <c r="A5298" s="130"/>
      <c r="B5298" s="37"/>
      <c r="C5298" s="37"/>
      <c r="D5298" s="37"/>
      <c r="E5298" s="37"/>
      <c r="F5298" s="37"/>
      <c r="G5298" s="37"/>
      <c r="H5298" s="37"/>
      <c r="I5298" s="37"/>
      <c r="J5298" s="37"/>
    </row>
    <row r="5299" spans="1:10" x14ac:dyDescent="0.3">
      <c r="A5299" s="130"/>
      <c r="B5299" s="37"/>
      <c r="C5299" s="37"/>
      <c r="D5299" s="37"/>
      <c r="E5299" s="37"/>
      <c r="F5299" s="37"/>
      <c r="G5299" s="37"/>
      <c r="H5299" s="37"/>
      <c r="I5299" s="37"/>
      <c r="J5299" s="37"/>
    </row>
    <row r="5300" spans="1:10" x14ac:dyDescent="0.3">
      <c r="A5300" s="130"/>
      <c r="B5300" s="37"/>
      <c r="C5300" s="37"/>
      <c r="D5300" s="37"/>
      <c r="E5300" s="37"/>
      <c r="F5300" s="37"/>
      <c r="G5300" s="37"/>
      <c r="H5300" s="37"/>
      <c r="I5300" s="37"/>
      <c r="J5300" s="37"/>
    </row>
    <row r="5301" spans="1:10" x14ac:dyDescent="0.3">
      <c r="A5301" s="130"/>
      <c r="B5301" s="37"/>
      <c r="C5301" s="37"/>
      <c r="D5301" s="37"/>
      <c r="E5301" s="37"/>
      <c r="F5301" s="37"/>
      <c r="G5301" s="37"/>
      <c r="H5301" s="37"/>
      <c r="I5301" s="37"/>
      <c r="J5301" s="37"/>
    </row>
    <row r="5302" spans="1:10" x14ac:dyDescent="0.3">
      <c r="A5302" s="130"/>
      <c r="B5302" s="37"/>
      <c r="C5302" s="37"/>
      <c r="D5302" s="37"/>
      <c r="E5302" s="37"/>
      <c r="F5302" s="37"/>
      <c r="G5302" s="37"/>
      <c r="H5302" s="37"/>
      <c r="I5302" s="37"/>
      <c r="J5302" s="37"/>
    </row>
    <row r="5303" spans="1:10" x14ac:dyDescent="0.3">
      <c r="A5303" s="130"/>
      <c r="B5303" s="37"/>
      <c r="C5303" s="37"/>
      <c r="D5303" s="37"/>
      <c r="E5303" s="37"/>
      <c r="F5303" s="37"/>
      <c r="G5303" s="37"/>
      <c r="H5303" s="37"/>
      <c r="I5303" s="37"/>
      <c r="J5303" s="37"/>
    </row>
    <row r="5304" spans="1:10" x14ac:dyDescent="0.3">
      <c r="A5304" s="130"/>
      <c r="B5304" s="37"/>
      <c r="C5304" s="37"/>
      <c r="D5304" s="37"/>
      <c r="E5304" s="37"/>
      <c r="F5304" s="37"/>
      <c r="G5304" s="37"/>
      <c r="H5304" s="37"/>
      <c r="I5304" s="37"/>
      <c r="J5304" s="37"/>
    </row>
    <row r="5305" spans="1:10" x14ac:dyDescent="0.3">
      <c r="A5305" s="130"/>
      <c r="B5305" s="37"/>
      <c r="C5305" s="37"/>
      <c r="D5305" s="37"/>
      <c r="E5305" s="37"/>
      <c r="F5305" s="37"/>
      <c r="G5305" s="37"/>
      <c r="H5305" s="37"/>
      <c r="I5305" s="37"/>
      <c r="J5305" s="37"/>
    </row>
    <row r="5306" spans="1:10" x14ac:dyDescent="0.3">
      <c r="A5306" s="130"/>
      <c r="B5306" s="37"/>
      <c r="C5306" s="37"/>
      <c r="D5306" s="37"/>
      <c r="E5306" s="37"/>
      <c r="F5306" s="37"/>
      <c r="G5306" s="37"/>
      <c r="H5306" s="37"/>
      <c r="I5306" s="37"/>
      <c r="J5306" s="37"/>
    </row>
    <row r="5307" spans="1:10" x14ac:dyDescent="0.3">
      <c r="A5307" s="130"/>
      <c r="B5307" s="37"/>
      <c r="C5307" s="37"/>
      <c r="D5307" s="37"/>
      <c r="E5307" s="37"/>
      <c r="F5307" s="37"/>
      <c r="G5307" s="37"/>
      <c r="H5307" s="37"/>
      <c r="I5307" s="37"/>
      <c r="J5307" s="37"/>
    </row>
    <row r="5308" spans="1:10" x14ac:dyDescent="0.3">
      <c r="A5308" s="130"/>
      <c r="B5308" s="37"/>
      <c r="C5308" s="37"/>
      <c r="D5308" s="37"/>
      <c r="E5308" s="37"/>
      <c r="F5308" s="37"/>
      <c r="G5308" s="37"/>
      <c r="H5308" s="37"/>
      <c r="I5308" s="37"/>
      <c r="J5308" s="37"/>
    </row>
    <row r="5309" spans="1:10" x14ac:dyDescent="0.3">
      <c r="A5309" s="130"/>
      <c r="B5309" s="37"/>
      <c r="C5309" s="37"/>
      <c r="D5309" s="37"/>
      <c r="E5309" s="37"/>
      <c r="F5309" s="37"/>
      <c r="G5309" s="37"/>
      <c r="H5309" s="37"/>
      <c r="I5309" s="37"/>
      <c r="J5309" s="37"/>
    </row>
    <row r="5310" spans="1:10" x14ac:dyDescent="0.3">
      <c r="A5310" s="130"/>
      <c r="B5310" s="37"/>
      <c r="C5310" s="37"/>
      <c r="D5310" s="37"/>
      <c r="E5310" s="37"/>
      <c r="F5310" s="37"/>
      <c r="G5310" s="37"/>
      <c r="H5310" s="37"/>
      <c r="I5310" s="37"/>
      <c r="J5310" s="37"/>
    </row>
    <row r="5311" spans="1:10" x14ac:dyDescent="0.3">
      <c r="A5311" s="130"/>
      <c r="B5311" s="37"/>
      <c r="C5311" s="37"/>
      <c r="D5311" s="37"/>
      <c r="E5311" s="37"/>
      <c r="F5311" s="37"/>
      <c r="G5311" s="37"/>
      <c r="H5311" s="37"/>
      <c r="I5311" s="37"/>
      <c r="J5311" s="37"/>
    </row>
    <row r="5312" spans="1:10" x14ac:dyDescent="0.3">
      <c r="A5312" s="130"/>
      <c r="B5312" s="37"/>
      <c r="C5312" s="37"/>
      <c r="D5312" s="37"/>
      <c r="E5312" s="37"/>
      <c r="F5312" s="37"/>
      <c r="G5312" s="37"/>
      <c r="H5312" s="37"/>
      <c r="I5312" s="37"/>
      <c r="J5312" s="37"/>
    </row>
    <row r="5313" spans="1:10" x14ac:dyDescent="0.3">
      <c r="A5313" s="130"/>
      <c r="B5313" s="37"/>
      <c r="C5313" s="37"/>
      <c r="D5313" s="37"/>
      <c r="E5313" s="37"/>
      <c r="F5313" s="37"/>
      <c r="G5313" s="37"/>
      <c r="H5313" s="37"/>
      <c r="I5313" s="37"/>
      <c r="J5313" s="37"/>
    </row>
    <row r="5314" spans="1:10" x14ac:dyDescent="0.3">
      <c r="A5314" s="130"/>
      <c r="B5314" s="37"/>
      <c r="C5314" s="37"/>
      <c r="D5314" s="37"/>
      <c r="E5314" s="37"/>
      <c r="F5314" s="37"/>
      <c r="G5314" s="37"/>
      <c r="H5314" s="37"/>
      <c r="I5314" s="37"/>
      <c r="J5314" s="37"/>
    </row>
    <row r="5315" spans="1:10" x14ac:dyDescent="0.3">
      <c r="A5315" s="130"/>
      <c r="B5315" s="37"/>
      <c r="C5315" s="37"/>
      <c r="D5315" s="37"/>
      <c r="E5315" s="37"/>
      <c r="F5315" s="37"/>
      <c r="G5315" s="37"/>
      <c r="H5315" s="37"/>
      <c r="I5315" s="37"/>
      <c r="J5315" s="37"/>
    </row>
    <row r="5316" spans="1:10" x14ac:dyDescent="0.3">
      <c r="A5316" s="130"/>
      <c r="B5316" s="37"/>
      <c r="C5316" s="37"/>
      <c r="D5316" s="37"/>
      <c r="E5316" s="37"/>
      <c r="F5316" s="37"/>
      <c r="G5316" s="37"/>
      <c r="H5316" s="37"/>
      <c r="I5316" s="37"/>
      <c r="J5316" s="37"/>
    </row>
    <row r="5317" spans="1:10" x14ac:dyDescent="0.3">
      <c r="A5317" s="130"/>
      <c r="B5317" s="37"/>
      <c r="C5317" s="37"/>
      <c r="D5317" s="37"/>
      <c r="E5317" s="37"/>
      <c r="F5317" s="37"/>
      <c r="G5317" s="37"/>
      <c r="H5317" s="37"/>
      <c r="I5317" s="37"/>
      <c r="J5317" s="37"/>
    </row>
    <row r="5318" spans="1:10" x14ac:dyDescent="0.3">
      <c r="A5318" s="130"/>
      <c r="B5318" s="37"/>
      <c r="C5318" s="37"/>
      <c r="D5318" s="37"/>
      <c r="E5318" s="37"/>
      <c r="F5318" s="37"/>
      <c r="G5318" s="37"/>
      <c r="H5318" s="37"/>
      <c r="I5318" s="37"/>
      <c r="J5318" s="37"/>
    </row>
    <row r="5319" spans="1:10" x14ac:dyDescent="0.3">
      <c r="A5319" s="130"/>
      <c r="B5319" s="37"/>
      <c r="C5319" s="37"/>
      <c r="D5319" s="37"/>
      <c r="E5319" s="37"/>
      <c r="F5319" s="37"/>
      <c r="G5319" s="37"/>
      <c r="H5319" s="37"/>
      <c r="I5319" s="37"/>
      <c r="J5319" s="37"/>
    </row>
    <row r="5320" spans="1:10" x14ac:dyDescent="0.3">
      <c r="A5320" s="130"/>
      <c r="B5320" s="37"/>
      <c r="C5320" s="37"/>
      <c r="D5320" s="37"/>
      <c r="E5320" s="37"/>
      <c r="F5320" s="37"/>
      <c r="G5320" s="37"/>
      <c r="H5320" s="37"/>
      <c r="I5320" s="37"/>
      <c r="J5320" s="37"/>
    </row>
    <row r="5321" spans="1:10" x14ac:dyDescent="0.3">
      <c r="A5321" s="130"/>
      <c r="B5321" s="37"/>
      <c r="C5321" s="37"/>
      <c r="D5321" s="37"/>
      <c r="E5321" s="37"/>
      <c r="F5321" s="37"/>
      <c r="G5321" s="37"/>
      <c r="H5321" s="37"/>
      <c r="I5321" s="37"/>
      <c r="J5321" s="37"/>
    </row>
    <row r="5322" spans="1:10" x14ac:dyDescent="0.3">
      <c r="A5322" s="130"/>
      <c r="B5322" s="37"/>
      <c r="C5322" s="37"/>
      <c r="D5322" s="37"/>
      <c r="E5322" s="37"/>
      <c r="F5322" s="37"/>
      <c r="G5322" s="37"/>
      <c r="H5322" s="37"/>
      <c r="I5322" s="37"/>
      <c r="J5322" s="37"/>
    </row>
    <row r="5323" spans="1:10" x14ac:dyDescent="0.3">
      <c r="A5323" s="130"/>
      <c r="B5323" s="37"/>
      <c r="C5323" s="37"/>
      <c r="D5323" s="37"/>
      <c r="E5323" s="37"/>
      <c r="F5323" s="37"/>
      <c r="G5323" s="37"/>
      <c r="H5323" s="37"/>
      <c r="I5323" s="37"/>
      <c r="J5323" s="37"/>
    </row>
    <row r="5324" spans="1:10" x14ac:dyDescent="0.3">
      <c r="A5324" s="130"/>
      <c r="B5324" s="37"/>
      <c r="C5324" s="37"/>
      <c r="D5324" s="37"/>
      <c r="E5324" s="37"/>
      <c r="F5324" s="37"/>
      <c r="G5324" s="37"/>
      <c r="H5324" s="37"/>
      <c r="I5324" s="37"/>
      <c r="J5324" s="37"/>
    </row>
    <row r="5325" spans="1:10" x14ac:dyDescent="0.3">
      <c r="A5325" s="130"/>
      <c r="B5325" s="37"/>
      <c r="C5325" s="37"/>
      <c r="D5325" s="37"/>
      <c r="E5325" s="37"/>
      <c r="F5325" s="37"/>
      <c r="G5325" s="37"/>
      <c r="H5325" s="37"/>
      <c r="I5325" s="37"/>
      <c r="J5325" s="37"/>
    </row>
    <row r="5326" spans="1:10" x14ac:dyDescent="0.3">
      <c r="A5326" s="130"/>
      <c r="B5326" s="37"/>
      <c r="C5326" s="37"/>
      <c r="D5326" s="37"/>
      <c r="E5326" s="37"/>
      <c r="F5326" s="37"/>
      <c r="G5326" s="37"/>
      <c r="H5326" s="37"/>
      <c r="I5326" s="37"/>
      <c r="J5326" s="37"/>
    </row>
    <row r="5327" spans="1:10" x14ac:dyDescent="0.3">
      <c r="A5327" s="130"/>
      <c r="B5327" s="37"/>
      <c r="C5327" s="37"/>
      <c r="D5327" s="37"/>
      <c r="E5327" s="37"/>
      <c r="F5327" s="37"/>
      <c r="G5327" s="37"/>
      <c r="H5327" s="37"/>
      <c r="I5327" s="37"/>
      <c r="J5327" s="37"/>
    </row>
    <row r="5328" spans="1:10" x14ac:dyDescent="0.3">
      <c r="A5328" s="130"/>
      <c r="B5328" s="37"/>
      <c r="C5328" s="37"/>
      <c r="D5328" s="37"/>
      <c r="E5328" s="37"/>
      <c r="F5328" s="37"/>
      <c r="G5328" s="37"/>
      <c r="H5328" s="37"/>
      <c r="I5328" s="37"/>
      <c r="J5328" s="37"/>
    </row>
    <row r="5329" spans="1:10" x14ac:dyDescent="0.3">
      <c r="A5329" s="130"/>
      <c r="B5329" s="37"/>
      <c r="C5329" s="37"/>
      <c r="D5329" s="37"/>
      <c r="E5329" s="37"/>
      <c r="F5329" s="37"/>
      <c r="G5329" s="37"/>
      <c r="H5329" s="37"/>
      <c r="I5329" s="37"/>
      <c r="J5329" s="37"/>
    </row>
    <row r="5330" spans="1:10" x14ac:dyDescent="0.3">
      <c r="A5330" s="130"/>
      <c r="B5330" s="37"/>
      <c r="C5330" s="37"/>
      <c r="D5330" s="37"/>
      <c r="E5330" s="37"/>
      <c r="F5330" s="37"/>
      <c r="G5330" s="37"/>
      <c r="H5330" s="37"/>
      <c r="I5330" s="37"/>
      <c r="J5330" s="37"/>
    </row>
    <row r="5331" spans="1:10" x14ac:dyDescent="0.3">
      <c r="A5331" s="130"/>
      <c r="B5331" s="37"/>
      <c r="C5331" s="37"/>
      <c r="D5331" s="37"/>
      <c r="E5331" s="37"/>
      <c r="F5331" s="37"/>
      <c r="G5331" s="37"/>
      <c r="H5331" s="37"/>
      <c r="I5331" s="37"/>
      <c r="J5331" s="37"/>
    </row>
    <row r="5332" spans="1:10" x14ac:dyDescent="0.3">
      <c r="A5332" s="130"/>
      <c r="B5332" s="37"/>
      <c r="C5332" s="37"/>
      <c r="D5332" s="37"/>
      <c r="E5332" s="37"/>
      <c r="F5332" s="37"/>
      <c r="G5332" s="37"/>
      <c r="H5332" s="37"/>
      <c r="I5332" s="37"/>
      <c r="J5332" s="37"/>
    </row>
    <row r="5333" spans="1:10" x14ac:dyDescent="0.3">
      <c r="A5333" s="130"/>
      <c r="B5333" s="37"/>
      <c r="C5333" s="37"/>
      <c r="D5333" s="37"/>
      <c r="E5333" s="37"/>
      <c r="F5333" s="37"/>
      <c r="G5333" s="37"/>
      <c r="H5333" s="37"/>
      <c r="I5333" s="37"/>
      <c r="J5333" s="37"/>
    </row>
    <row r="5334" spans="1:10" x14ac:dyDescent="0.3">
      <c r="A5334" s="130"/>
      <c r="B5334" s="37"/>
      <c r="C5334" s="37"/>
      <c r="D5334" s="37"/>
      <c r="E5334" s="37"/>
      <c r="F5334" s="37"/>
      <c r="G5334" s="37"/>
      <c r="H5334" s="37"/>
      <c r="I5334" s="37"/>
      <c r="J5334" s="37"/>
    </row>
    <row r="5335" spans="1:10" x14ac:dyDescent="0.3">
      <c r="A5335" s="130"/>
      <c r="B5335" s="37"/>
      <c r="C5335" s="37"/>
      <c r="D5335" s="37"/>
      <c r="E5335" s="37"/>
      <c r="F5335" s="37"/>
      <c r="G5335" s="37"/>
      <c r="H5335" s="37"/>
      <c r="I5335" s="37"/>
      <c r="J5335" s="37"/>
    </row>
    <row r="5336" spans="1:10" x14ac:dyDescent="0.3">
      <c r="A5336" s="130"/>
      <c r="B5336" s="37"/>
      <c r="C5336" s="37"/>
      <c r="D5336" s="37"/>
      <c r="E5336" s="37"/>
      <c r="F5336" s="37"/>
      <c r="G5336" s="37"/>
      <c r="H5336" s="37"/>
      <c r="I5336" s="37"/>
      <c r="J5336" s="37"/>
    </row>
    <row r="5337" spans="1:10" x14ac:dyDescent="0.3">
      <c r="A5337" s="130"/>
      <c r="B5337" s="37"/>
      <c r="C5337" s="37"/>
      <c r="D5337" s="37"/>
      <c r="E5337" s="37"/>
      <c r="F5337" s="37"/>
      <c r="G5337" s="37"/>
      <c r="H5337" s="37"/>
      <c r="I5337" s="37"/>
      <c r="J5337" s="37"/>
    </row>
    <row r="5338" spans="1:10" x14ac:dyDescent="0.3">
      <c r="A5338" s="130"/>
      <c r="B5338" s="37"/>
      <c r="C5338" s="37"/>
      <c r="D5338" s="37"/>
      <c r="E5338" s="37"/>
      <c r="F5338" s="37"/>
      <c r="G5338" s="37"/>
      <c r="H5338" s="37"/>
      <c r="I5338" s="37"/>
      <c r="J5338" s="37"/>
    </row>
    <row r="5339" spans="1:10" x14ac:dyDescent="0.3">
      <c r="A5339" s="130"/>
      <c r="B5339" s="37"/>
      <c r="C5339" s="37"/>
      <c r="D5339" s="37"/>
      <c r="E5339" s="37"/>
      <c r="F5339" s="37"/>
      <c r="G5339" s="37"/>
      <c r="H5339" s="37"/>
      <c r="I5339" s="37"/>
      <c r="J5339" s="37"/>
    </row>
    <row r="5340" spans="1:10" x14ac:dyDescent="0.3">
      <c r="A5340" s="130"/>
      <c r="B5340" s="37"/>
      <c r="C5340" s="37"/>
      <c r="D5340" s="37"/>
      <c r="E5340" s="37"/>
      <c r="F5340" s="37"/>
      <c r="G5340" s="37"/>
      <c r="H5340" s="37"/>
      <c r="I5340" s="37"/>
      <c r="J5340" s="37"/>
    </row>
    <row r="5341" spans="1:10" x14ac:dyDescent="0.3">
      <c r="A5341" s="130"/>
      <c r="B5341" s="37"/>
      <c r="C5341" s="37"/>
      <c r="D5341" s="37"/>
      <c r="E5341" s="37"/>
      <c r="F5341" s="37"/>
      <c r="G5341" s="37"/>
      <c r="H5341" s="37"/>
      <c r="I5341" s="37"/>
      <c r="J5341" s="37"/>
    </row>
    <row r="5342" spans="1:10" x14ac:dyDescent="0.3">
      <c r="A5342" s="130"/>
      <c r="B5342" s="37"/>
      <c r="C5342" s="37"/>
      <c r="D5342" s="37"/>
      <c r="E5342" s="37"/>
      <c r="F5342" s="37"/>
      <c r="G5342" s="37"/>
      <c r="H5342" s="37"/>
      <c r="I5342" s="37"/>
      <c r="J5342" s="37"/>
    </row>
    <row r="5343" spans="1:10" x14ac:dyDescent="0.3">
      <c r="A5343" s="130"/>
      <c r="B5343" s="37"/>
      <c r="C5343" s="37"/>
      <c r="D5343" s="37"/>
      <c r="E5343" s="37"/>
      <c r="F5343" s="37"/>
      <c r="G5343" s="37"/>
      <c r="H5343" s="37"/>
      <c r="I5343" s="37"/>
      <c r="J5343" s="37"/>
    </row>
    <row r="5344" spans="1:10" x14ac:dyDescent="0.3">
      <c r="A5344" s="130"/>
      <c r="B5344" s="37"/>
      <c r="C5344" s="37"/>
      <c r="D5344" s="37"/>
      <c r="E5344" s="37"/>
      <c r="F5344" s="37"/>
      <c r="G5344" s="37"/>
      <c r="H5344" s="37"/>
      <c r="I5344" s="37"/>
      <c r="J5344" s="37"/>
    </row>
    <row r="5345" spans="1:10" x14ac:dyDescent="0.3">
      <c r="A5345" s="130"/>
      <c r="B5345" s="37"/>
      <c r="C5345" s="37"/>
      <c r="D5345" s="37"/>
      <c r="E5345" s="37"/>
      <c r="F5345" s="37"/>
      <c r="G5345" s="37"/>
      <c r="H5345" s="37"/>
      <c r="I5345" s="37"/>
      <c r="J5345" s="37"/>
    </row>
    <row r="5346" spans="1:10" x14ac:dyDescent="0.3">
      <c r="A5346" s="130"/>
      <c r="B5346" s="37"/>
      <c r="C5346" s="37"/>
      <c r="D5346" s="37"/>
      <c r="E5346" s="37"/>
      <c r="F5346" s="37"/>
      <c r="G5346" s="37"/>
      <c r="H5346" s="37"/>
      <c r="I5346" s="37"/>
      <c r="J5346" s="37"/>
    </row>
    <row r="5347" spans="1:10" x14ac:dyDescent="0.3">
      <c r="A5347" s="130"/>
      <c r="B5347" s="37"/>
      <c r="C5347" s="37"/>
      <c r="D5347" s="37"/>
      <c r="E5347" s="37"/>
      <c r="F5347" s="37"/>
      <c r="G5347" s="37"/>
      <c r="H5347" s="37"/>
      <c r="I5347" s="37"/>
      <c r="J5347" s="37"/>
    </row>
    <row r="5348" spans="1:10" x14ac:dyDescent="0.3">
      <c r="A5348" s="130"/>
      <c r="B5348" s="37"/>
      <c r="C5348" s="37"/>
      <c r="D5348" s="37"/>
      <c r="E5348" s="37"/>
      <c r="F5348" s="37"/>
      <c r="G5348" s="37"/>
      <c r="H5348" s="37"/>
      <c r="I5348" s="37"/>
      <c r="J5348" s="37"/>
    </row>
    <row r="5349" spans="1:10" x14ac:dyDescent="0.3">
      <c r="A5349" s="130"/>
      <c r="B5349" s="37"/>
      <c r="C5349" s="37"/>
      <c r="D5349" s="37"/>
      <c r="E5349" s="37"/>
      <c r="F5349" s="37"/>
      <c r="G5349" s="37"/>
      <c r="H5349" s="37"/>
      <c r="I5349" s="37"/>
      <c r="J5349" s="37"/>
    </row>
    <row r="5350" spans="1:10" x14ac:dyDescent="0.3">
      <c r="A5350" s="130"/>
      <c r="B5350" s="37"/>
      <c r="C5350" s="37"/>
      <c r="D5350" s="37"/>
      <c r="E5350" s="37"/>
      <c r="F5350" s="37"/>
      <c r="G5350" s="37"/>
      <c r="H5350" s="37"/>
      <c r="I5350" s="37"/>
      <c r="J5350" s="37"/>
    </row>
    <row r="5351" spans="1:10" x14ac:dyDescent="0.3">
      <c r="A5351" s="130"/>
      <c r="B5351" s="37"/>
      <c r="C5351" s="37"/>
      <c r="D5351" s="37"/>
      <c r="E5351" s="37"/>
      <c r="F5351" s="37"/>
      <c r="G5351" s="37"/>
      <c r="H5351" s="37"/>
      <c r="I5351" s="37"/>
      <c r="J5351" s="37"/>
    </row>
    <row r="5352" spans="1:10" x14ac:dyDescent="0.3">
      <c r="A5352" s="130"/>
      <c r="B5352" s="37"/>
      <c r="C5352" s="37"/>
      <c r="D5352" s="37"/>
      <c r="E5352" s="37"/>
      <c r="F5352" s="37"/>
      <c r="G5352" s="37"/>
      <c r="H5352" s="37"/>
      <c r="I5352" s="37"/>
      <c r="J5352" s="37"/>
    </row>
    <row r="5353" spans="1:10" x14ac:dyDescent="0.3">
      <c r="A5353" s="130"/>
      <c r="B5353" s="37"/>
      <c r="C5353" s="37"/>
      <c r="D5353" s="37"/>
      <c r="E5353" s="37"/>
      <c r="F5353" s="37"/>
      <c r="G5353" s="37"/>
      <c r="H5353" s="37"/>
      <c r="I5353" s="37"/>
      <c r="J5353" s="37"/>
    </row>
    <row r="5354" spans="1:10" x14ac:dyDescent="0.3">
      <c r="A5354" s="130"/>
      <c r="B5354" s="37"/>
      <c r="C5354" s="37"/>
      <c r="D5354" s="37"/>
      <c r="E5354" s="37"/>
      <c r="F5354" s="37"/>
      <c r="G5354" s="37"/>
      <c r="H5354" s="37"/>
      <c r="I5354" s="37"/>
      <c r="J5354" s="37"/>
    </row>
    <row r="5355" spans="1:10" x14ac:dyDescent="0.3">
      <c r="A5355" s="130"/>
      <c r="B5355" s="37"/>
      <c r="C5355" s="37"/>
      <c r="D5355" s="37"/>
      <c r="E5355" s="37"/>
      <c r="F5355" s="37"/>
      <c r="G5355" s="37"/>
      <c r="H5355" s="37"/>
      <c r="I5355" s="37"/>
      <c r="J5355" s="37"/>
    </row>
    <row r="5356" spans="1:10" x14ac:dyDescent="0.3">
      <c r="A5356" s="130"/>
      <c r="B5356" s="37"/>
      <c r="C5356" s="37"/>
      <c r="D5356" s="37"/>
      <c r="E5356" s="37"/>
      <c r="F5356" s="37"/>
      <c r="G5356" s="37"/>
      <c r="H5356" s="37"/>
      <c r="I5356" s="37"/>
      <c r="J5356" s="37"/>
    </row>
    <row r="5357" spans="1:10" x14ac:dyDescent="0.3">
      <c r="A5357" s="130"/>
      <c r="B5357" s="37"/>
      <c r="C5357" s="37"/>
      <c r="D5357" s="37"/>
      <c r="E5357" s="37"/>
      <c r="F5357" s="37"/>
      <c r="G5357" s="37"/>
      <c r="H5357" s="37"/>
      <c r="I5357" s="37"/>
      <c r="J5357" s="37"/>
    </row>
    <row r="5358" spans="1:10" x14ac:dyDescent="0.3">
      <c r="A5358" s="130"/>
      <c r="B5358" s="37"/>
      <c r="C5358" s="37"/>
      <c r="D5358" s="37"/>
      <c r="E5358" s="37"/>
      <c r="F5358" s="37"/>
      <c r="G5358" s="37"/>
      <c r="H5358" s="37"/>
      <c r="I5358" s="37"/>
      <c r="J5358" s="37"/>
    </row>
    <row r="5359" spans="1:10" x14ac:dyDescent="0.3">
      <c r="A5359" s="130"/>
      <c r="B5359" s="37"/>
      <c r="C5359" s="37"/>
      <c r="D5359" s="37"/>
      <c r="E5359" s="37"/>
      <c r="F5359" s="37"/>
      <c r="G5359" s="37"/>
      <c r="H5359" s="37"/>
      <c r="I5359" s="37"/>
      <c r="J5359" s="37"/>
    </row>
    <row r="5360" spans="1:10" x14ac:dyDescent="0.3">
      <c r="A5360" s="130"/>
      <c r="B5360" s="37"/>
      <c r="C5360" s="37"/>
      <c r="D5360" s="37"/>
      <c r="E5360" s="37"/>
      <c r="F5360" s="37"/>
      <c r="G5360" s="37"/>
      <c r="H5360" s="37"/>
      <c r="I5360" s="37"/>
      <c r="J5360" s="37"/>
    </row>
    <row r="5361" spans="1:10" x14ac:dyDescent="0.3">
      <c r="A5361" s="130"/>
      <c r="B5361" s="37"/>
      <c r="C5361" s="37"/>
      <c r="D5361" s="37"/>
      <c r="E5361" s="37"/>
      <c r="F5361" s="37"/>
      <c r="G5361" s="37"/>
      <c r="H5361" s="37"/>
      <c r="I5361" s="37"/>
      <c r="J5361" s="37"/>
    </row>
    <row r="5362" spans="1:10" x14ac:dyDescent="0.3">
      <c r="A5362" s="130"/>
      <c r="B5362" s="37"/>
      <c r="C5362" s="37"/>
      <c r="D5362" s="37"/>
      <c r="E5362" s="37"/>
      <c r="F5362" s="37"/>
      <c r="G5362" s="37"/>
      <c r="H5362" s="37"/>
      <c r="I5362" s="37"/>
      <c r="J5362" s="37"/>
    </row>
    <row r="5363" spans="1:10" x14ac:dyDescent="0.3">
      <c r="A5363" s="130"/>
      <c r="B5363" s="37"/>
      <c r="C5363" s="37"/>
      <c r="D5363" s="37"/>
      <c r="E5363" s="37"/>
      <c r="F5363" s="37"/>
      <c r="G5363" s="37"/>
      <c r="H5363" s="37"/>
      <c r="I5363" s="37"/>
      <c r="J5363" s="37"/>
    </row>
    <row r="5364" spans="1:10" x14ac:dyDescent="0.3">
      <c r="A5364" s="130"/>
      <c r="B5364" s="37"/>
      <c r="C5364" s="37"/>
      <c r="D5364" s="37"/>
      <c r="E5364" s="37"/>
      <c r="F5364" s="37"/>
      <c r="G5364" s="37"/>
      <c r="H5364" s="37"/>
      <c r="I5364" s="37"/>
      <c r="J5364" s="37"/>
    </row>
    <row r="5365" spans="1:10" x14ac:dyDescent="0.3">
      <c r="A5365" s="130"/>
      <c r="B5365" s="37"/>
      <c r="C5365" s="37"/>
      <c r="D5365" s="37"/>
      <c r="E5365" s="37"/>
      <c r="F5365" s="37"/>
      <c r="G5365" s="37"/>
      <c r="H5365" s="37"/>
      <c r="I5365" s="37"/>
      <c r="J5365" s="37"/>
    </row>
    <row r="5366" spans="1:10" x14ac:dyDescent="0.3">
      <c r="A5366" s="130"/>
      <c r="B5366" s="37"/>
      <c r="C5366" s="37"/>
      <c r="D5366" s="37"/>
      <c r="E5366" s="37"/>
      <c r="F5366" s="37"/>
      <c r="G5366" s="37"/>
      <c r="H5366" s="37"/>
      <c r="I5366" s="37"/>
      <c r="J5366" s="37"/>
    </row>
    <row r="5367" spans="1:10" x14ac:dyDescent="0.3">
      <c r="A5367" s="130"/>
      <c r="B5367" s="37"/>
      <c r="C5367" s="37"/>
      <c r="D5367" s="37"/>
      <c r="E5367" s="37"/>
      <c r="F5367" s="37"/>
      <c r="G5367" s="37"/>
      <c r="H5367" s="37"/>
      <c r="I5367" s="37"/>
      <c r="J5367" s="37"/>
    </row>
    <row r="5368" spans="1:10" x14ac:dyDescent="0.3">
      <c r="A5368" s="130"/>
      <c r="B5368" s="37"/>
      <c r="C5368" s="37"/>
      <c r="D5368" s="37"/>
      <c r="E5368" s="37"/>
      <c r="F5368" s="37"/>
      <c r="G5368" s="37"/>
      <c r="H5368" s="37"/>
      <c r="I5368" s="37"/>
      <c r="J5368" s="37"/>
    </row>
    <row r="5369" spans="1:10" x14ac:dyDescent="0.3">
      <c r="A5369" s="130"/>
      <c r="B5369" s="37"/>
      <c r="C5369" s="37"/>
      <c r="D5369" s="37"/>
      <c r="E5369" s="37"/>
      <c r="F5369" s="37"/>
      <c r="G5369" s="37"/>
      <c r="H5369" s="37"/>
      <c r="I5369" s="37"/>
      <c r="J5369" s="37"/>
    </row>
    <row r="5370" spans="1:10" x14ac:dyDescent="0.3">
      <c r="A5370" s="130"/>
      <c r="B5370" s="37"/>
      <c r="C5370" s="37"/>
      <c r="D5370" s="37"/>
      <c r="E5370" s="37"/>
      <c r="F5370" s="37"/>
      <c r="G5370" s="37"/>
      <c r="H5370" s="37"/>
      <c r="I5370" s="37"/>
      <c r="J5370" s="37"/>
    </row>
    <row r="5371" spans="1:10" x14ac:dyDescent="0.3">
      <c r="A5371" s="130"/>
      <c r="B5371" s="37"/>
      <c r="C5371" s="37"/>
      <c r="D5371" s="37"/>
      <c r="E5371" s="37"/>
      <c r="F5371" s="37"/>
      <c r="G5371" s="37"/>
      <c r="H5371" s="37"/>
      <c r="I5371" s="37"/>
      <c r="J5371" s="37"/>
    </row>
    <row r="5372" spans="1:10" x14ac:dyDescent="0.3">
      <c r="A5372" s="130"/>
      <c r="B5372" s="37"/>
      <c r="C5372" s="37"/>
      <c r="D5372" s="37"/>
      <c r="E5372" s="37"/>
      <c r="F5372" s="37"/>
      <c r="G5372" s="37"/>
      <c r="H5372" s="37"/>
      <c r="I5372" s="37"/>
      <c r="J5372" s="37"/>
    </row>
    <row r="5373" spans="1:10" x14ac:dyDescent="0.3">
      <c r="A5373" s="130"/>
      <c r="B5373" s="37"/>
      <c r="C5373" s="37"/>
      <c r="D5373" s="37"/>
      <c r="E5373" s="37"/>
      <c r="F5373" s="37"/>
      <c r="G5373" s="37"/>
      <c r="H5373" s="37"/>
      <c r="I5373" s="37"/>
      <c r="J5373" s="37"/>
    </row>
    <row r="5374" spans="1:10" x14ac:dyDescent="0.3">
      <c r="A5374" s="130"/>
      <c r="B5374" s="37"/>
      <c r="C5374" s="37"/>
      <c r="D5374" s="37"/>
      <c r="E5374" s="37"/>
      <c r="F5374" s="37"/>
      <c r="G5374" s="37"/>
      <c r="H5374" s="37"/>
      <c r="I5374" s="37"/>
      <c r="J5374" s="37"/>
    </row>
    <row r="5375" spans="1:10" x14ac:dyDescent="0.3">
      <c r="A5375" s="130"/>
      <c r="B5375" s="37"/>
      <c r="C5375" s="37"/>
      <c r="D5375" s="37"/>
      <c r="E5375" s="37"/>
      <c r="F5375" s="37"/>
      <c r="G5375" s="37"/>
      <c r="H5375" s="37"/>
      <c r="I5375" s="37"/>
      <c r="J5375" s="37"/>
    </row>
    <row r="5376" spans="1:10" x14ac:dyDescent="0.3">
      <c r="A5376" s="130"/>
      <c r="B5376" s="37"/>
      <c r="C5376" s="37"/>
      <c r="D5376" s="37"/>
      <c r="E5376" s="37"/>
      <c r="F5376" s="37"/>
      <c r="G5376" s="37"/>
      <c r="H5376" s="37"/>
      <c r="I5376" s="37"/>
      <c r="J5376" s="37"/>
    </row>
    <row r="5377" spans="1:10" x14ac:dyDescent="0.3">
      <c r="A5377" s="130"/>
      <c r="B5377" s="37"/>
      <c r="C5377" s="37"/>
      <c r="D5377" s="37"/>
      <c r="E5377" s="37"/>
      <c r="F5377" s="37"/>
      <c r="G5377" s="37"/>
      <c r="H5377" s="37"/>
      <c r="I5377" s="37"/>
      <c r="J5377" s="37"/>
    </row>
    <row r="5378" spans="1:10" x14ac:dyDescent="0.3">
      <c r="A5378" s="130"/>
      <c r="B5378" s="37"/>
      <c r="C5378" s="37"/>
      <c r="D5378" s="37"/>
      <c r="E5378" s="37"/>
      <c r="F5378" s="37"/>
      <c r="G5378" s="37"/>
      <c r="H5378" s="37"/>
      <c r="I5378" s="37"/>
      <c r="J5378" s="37"/>
    </row>
    <row r="5379" spans="1:10" x14ac:dyDescent="0.3">
      <c r="A5379" s="130"/>
      <c r="B5379" s="37"/>
      <c r="C5379" s="37"/>
      <c r="D5379" s="37"/>
      <c r="E5379" s="37"/>
      <c r="F5379" s="37"/>
      <c r="G5379" s="37"/>
      <c r="H5379" s="37"/>
      <c r="I5379" s="37"/>
      <c r="J5379" s="37"/>
    </row>
    <row r="5380" spans="1:10" x14ac:dyDescent="0.3">
      <c r="A5380" s="130"/>
      <c r="B5380" s="37"/>
      <c r="C5380" s="37"/>
      <c r="D5380" s="37"/>
      <c r="E5380" s="37"/>
      <c r="F5380" s="37"/>
      <c r="G5380" s="37"/>
      <c r="H5380" s="37"/>
      <c r="I5380" s="37"/>
      <c r="J5380" s="37"/>
    </row>
    <row r="5381" spans="1:10" x14ac:dyDescent="0.3">
      <c r="A5381" s="130"/>
      <c r="B5381" s="37"/>
      <c r="C5381" s="37"/>
      <c r="D5381" s="37"/>
      <c r="E5381" s="37"/>
      <c r="F5381" s="37"/>
      <c r="G5381" s="37"/>
      <c r="H5381" s="37"/>
      <c r="I5381" s="37"/>
      <c r="J5381" s="37"/>
    </row>
    <row r="5382" spans="1:10" x14ac:dyDescent="0.3">
      <c r="A5382" s="130"/>
      <c r="B5382" s="37"/>
      <c r="C5382" s="37"/>
      <c r="D5382" s="37"/>
      <c r="E5382" s="37"/>
      <c r="F5382" s="37"/>
      <c r="G5382" s="37"/>
      <c r="H5382" s="37"/>
      <c r="I5382" s="37"/>
      <c r="J5382" s="37"/>
    </row>
    <row r="5383" spans="1:10" x14ac:dyDescent="0.3">
      <c r="A5383" s="130"/>
      <c r="B5383" s="37"/>
      <c r="C5383" s="37"/>
      <c r="D5383" s="37"/>
      <c r="E5383" s="37"/>
      <c r="F5383" s="37"/>
      <c r="G5383" s="37"/>
      <c r="H5383" s="37"/>
      <c r="I5383" s="37"/>
      <c r="J5383" s="37"/>
    </row>
    <row r="5384" spans="1:10" x14ac:dyDescent="0.3">
      <c r="A5384" s="130"/>
      <c r="B5384" s="37"/>
      <c r="C5384" s="37"/>
      <c r="D5384" s="37"/>
      <c r="E5384" s="37"/>
      <c r="F5384" s="37"/>
      <c r="G5384" s="37"/>
      <c r="H5384" s="37"/>
      <c r="I5384" s="37"/>
      <c r="J5384" s="37"/>
    </row>
    <row r="5385" spans="1:10" x14ac:dyDescent="0.3">
      <c r="A5385" s="130"/>
      <c r="B5385" s="37"/>
      <c r="C5385" s="37"/>
      <c r="D5385" s="37"/>
      <c r="E5385" s="37"/>
      <c r="F5385" s="37"/>
      <c r="G5385" s="37"/>
      <c r="H5385" s="37"/>
      <c r="I5385" s="37"/>
      <c r="J5385" s="37"/>
    </row>
    <row r="5386" spans="1:10" x14ac:dyDescent="0.3">
      <c r="A5386" s="130"/>
      <c r="B5386" s="37"/>
      <c r="C5386" s="37"/>
      <c r="D5386" s="37"/>
      <c r="E5386" s="37"/>
      <c r="F5386" s="37"/>
      <c r="G5386" s="37"/>
      <c r="H5386" s="37"/>
      <c r="I5386" s="37"/>
      <c r="J5386" s="37"/>
    </row>
    <row r="5387" spans="1:10" x14ac:dyDescent="0.3">
      <c r="A5387" s="130"/>
      <c r="B5387" s="37"/>
      <c r="C5387" s="37"/>
      <c r="D5387" s="37"/>
      <c r="E5387" s="37"/>
      <c r="F5387" s="37"/>
      <c r="G5387" s="37"/>
      <c r="H5387" s="37"/>
      <c r="I5387" s="37"/>
      <c r="J5387" s="37"/>
    </row>
    <row r="5388" spans="1:10" x14ac:dyDescent="0.3">
      <c r="A5388" s="130"/>
      <c r="B5388" s="37"/>
      <c r="C5388" s="37"/>
      <c r="D5388" s="37"/>
      <c r="E5388" s="37"/>
      <c r="F5388" s="37"/>
      <c r="G5388" s="37"/>
      <c r="H5388" s="37"/>
      <c r="I5388" s="37"/>
      <c r="J5388" s="37"/>
    </row>
    <row r="5389" spans="1:10" x14ac:dyDescent="0.3">
      <c r="A5389" s="130"/>
      <c r="B5389" s="37"/>
      <c r="C5389" s="37"/>
      <c r="D5389" s="37"/>
      <c r="E5389" s="37"/>
      <c r="F5389" s="37"/>
      <c r="G5389" s="37"/>
      <c r="H5389" s="37"/>
      <c r="I5389" s="37"/>
      <c r="J5389" s="37"/>
    </row>
    <row r="5390" spans="1:10" x14ac:dyDescent="0.3">
      <c r="A5390" s="130"/>
      <c r="B5390" s="37"/>
      <c r="C5390" s="37"/>
      <c r="D5390" s="37"/>
      <c r="E5390" s="37"/>
      <c r="F5390" s="37"/>
      <c r="G5390" s="37"/>
      <c r="H5390" s="37"/>
      <c r="I5390" s="37"/>
      <c r="J5390" s="37"/>
    </row>
    <row r="5391" spans="1:10" x14ac:dyDescent="0.3">
      <c r="A5391" s="130"/>
      <c r="B5391" s="37"/>
      <c r="C5391" s="37"/>
      <c r="D5391" s="37"/>
      <c r="E5391" s="37"/>
      <c r="F5391" s="37"/>
      <c r="G5391" s="37"/>
      <c r="H5391" s="37"/>
      <c r="I5391" s="37"/>
      <c r="J5391" s="37"/>
    </row>
    <row r="5392" spans="1:10" x14ac:dyDescent="0.3">
      <c r="A5392" s="130"/>
      <c r="B5392" s="37"/>
      <c r="C5392" s="37"/>
      <c r="D5392" s="37"/>
      <c r="E5392" s="37"/>
      <c r="F5392" s="37"/>
      <c r="G5392" s="37"/>
      <c r="H5392" s="37"/>
      <c r="I5392" s="37"/>
      <c r="J5392" s="37"/>
    </row>
    <row r="5393" spans="1:10" x14ac:dyDescent="0.3">
      <c r="A5393" s="130"/>
      <c r="B5393" s="37"/>
      <c r="C5393" s="37"/>
      <c r="D5393" s="37"/>
      <c r="E5393" s="37"/>
      <c r="F5393" s="37"/>
      <c r="G5393" s="37"/>
      <c r="H5393" s="37"/>
      <c r="I5393" s="37"/>
      <c r="J5393" s="37"/>
    </row>
    <row r="5394" spans="1:10" x14ac:dyDescent="0.3">
      <c r="A5394" s="130"/>
      <c r="B5394" s="37"/>
      <c r="C5394" s="37"/>
      <c r="D5394" s="37"/>
      <c r="E5394" s="37"/>
      <c r="F5394" s="37"/>
      <c r="G5394" s="37"/>
      <c r="H5394" s="37"/>
      <c r="I5394" s="37"/>
      <c r="J5394" s="37"/>
    </row>
    <row r="5395" spans="1:10" x14ac:dyDescent="0.3">
      <c r="A5395" s="130"/>
      <c r="B5395" s="37"/>
      <c r="C5395" s="37"/>
      <c r="D5395" s="37"/>
      <c r="E5395" s="37"/>
      <c r="F5395" s="37"/>
      <c r="G5395" s="37"/>
      <c r="H5395" s="37"/>
      <c r="I5395" s="37"/>
      <c r="J5395" s="37"/>
    </row>
    <row r="5396" spans="1:10" x14ac:dyDescent="0.3">
      <c r="A5396" s="130"/>
      <c r="B5396" s="37"/>
      <c r="C5396" s="37"/>
      <c r="D5396" s="37"/>
      <c r="E5396" s="37"/>
      <c r="F5396" s="37"/>
      <c r="G5396" s="37"/>
      <c r="H5396" s="37"/>
      <c r="I5396" s="37"/>
      <c r="J5396" s="37"/>
    </row>
    <row r="5397" spans="1:10" x14ac:dyDescent="0.3">
      <c r="A5397" s="130"/>
      <c r="B5397" s="37"/>
      <c r="C5397" s="37"/>
      <c r="D5397" s="37"/>
      <c r="E5397" s="37"/>
      <c r="F5397" s="37"/>
      <c r="G5397" s="37"/>
      <c r="H5397" s="37"/>
      <c r="I5397" s="37"/>
      <c r="J5397" s="37"/>
    </row>
    <row r="5398" spans="1:10" x14ac:dyDescent="0.3">
      <c r="A5398" s="130"/>
      <c r="B5398" s="37"/>
      <c r="C5398" s="37"/>
      <c r="D5398" s="37"/>
      <c r="E5398" s="37"/>
      <c r="F5398" s="37"/>
      <c r="G5398" s="37"/>
      <c r="H5398" s="37"/>
      <c r="I5398" s="37"/>
      <c r="J5398" s="37"/>
    </row>
    <row r="5399" spans="1:10" x14ac:dyDescent="0.3">
      <c r="A5399" s="130"/>
      <c r="B5399" s="37"/>
      <c r="C5399" s="37"/>
      <c r="D5399" s="37"/>
      <c r="E5399" s="37"/>
      <c r="F5399" s="37"/>
      <c r="G5399" s="37"/>
      <c r="H5399" s="37"/>
      <c r="I5399" s="37"/>
      <c r="J5399" s="37"/>
    </row>
    <row r="5400" spans="1:10" x14ac:dyDescent="0.3">
      <c r="A5400" s="130"/>
      <c r="B5400" s="37"/>
      <c r="C5400" s="37"/>
      <c r="D5400" s="37"/>
      <c r="E5400" s="37"/>
      <c r="F5400" s="37"/>
      <c r="G5400" s="37"/>
      <c r="H5400" s="37"/>
      <c r="I5400" s="37"/>
      <c r="J5400" s="37"/>
    </row>
    <row r="5401" spans="1:10" x14ac:dyDescent="0.3">
      <c r="A5401" s="130"/>
      <c r="B5401" s="37"/>
      <c r="C5401" s="37"/>
      <c r="D5401" s="37"/>
      <c r="E5401" s="37"/>
      <c r="F5401" s="37"/>
      <c r="G5401" s="37"/>
      <c r="H5401" s="37"/>
      <c r="I5401" s="37"/>
      <c r="J5401" s="37"/>
    </row>
    <row r="5402" spans="1:10" x14ac:dyDescent="0.3">
      <c r="A5402" s="130"/>
      <c r="B5402" s="37"/>
      <c r="C5402" s="37"/>
      <c r="D5402" s="37"/>
      <c r="E5402" s="37"/>
      <c r="F5402" s="37"/>
      <c r="G5402" s="37"/>
      <c r="H5402" s="37"/>
      <c r="I5402" s="37"/>
      <c r="J5402" s="37"/>
    </row>
    <row r="5403" spans="1:10" x14ac:dyDescent="0.3">
      <c r="A5403" s="130"/>
      <c r="B5403" s="37"/>
      <c r="C5403" s="37"/>
      <c r="D5403" s="37"/>
      <c r="E5403" s="37"/>
      <c r="F5403" s="37"/>
      <c r="G5403" s="37"/>
      <c r="H5403" s="37"/>
      <c r="I5403" s="37"/>
      <c r="J5403" s="37"/>
    </row>
    <row r="5404" spans="1:10" x14ac:dyDescent="0.3">
      <c r="A5404" s="130"/>
      <c r="B5404" s="37"/>
      <c r="C5404" s="37"/>
      <c r="D5404" s="37"/>
      <c r="E5404" s="37"/>
      <c r="F5404" s="37"/>
      <c r="G5404" s="37"/>
      <c r="H5404" s="37"/>
      <c r="I5404" s="37"/>
      <c r="J5404" s="37"/>
    </row>
    <row r="5405" spans="1:10" x14ac:dyDescent="0.3">
      <c r="A5405" s="130"/>
      <c r="B5405" s="37"/>
      <c r="C5405" s="37"/>
      <c r="D5405" s="37"/>
      <c r="E5405" s="37"/>
      <c r="F5405" s="37"/>
      <c r="G5405" s="37"/>
      <c r="H5405" s="37"/>
      <c r="I5405" s="37"/>
      <c r="J5405" s="37"/>
    </row>
    <row r="5406" spans="1:10" x14ac:dyDescent="0.3">
      <c r="A5406" s="130"/>
      <c r="B5406" s="37"/>
      <c r="C5406" s="37"/>
      <c r="D5406" s="37"/>
      <c r="E5406" s="37"/>
      <c r="F5406" s="37"/>
      <c r="G5406" s="37"/>
      <c r="H5406" s="37"/>
      <c r="I5406" s="37"/>
      <c r="J5406" s="37"/>
    </row>
    <row r="5407" spans="1:10" x14ac:dyDescent="0.3">
      <c r="A5407" s="130"/>
      <c r="B5407" s="37"/>
      <c r="C5407" s="37"/>
      <c r="D5407" s="37"/>
      <c r="E5407" s="37"/>
      <c r="F5407" s="37"/>
      <c r="G5407" s="37"/>
      <c r="H5407" s="37"/>
      <c r="I5407" s="37"/>
      <c r="J5407" s="37"/>
    </row>
    <row r="5408" spans="1:10" x14ac:dyDescent="0.3">
      <c r="A5408" s="130"/>
      <c r="B5408" s="37"/>
      <c r="C5408" s="37"/>
      <c r="D5408" s="37"/>
      <c r="E5408" s="37"/>
      <c r="F5408" s="37"/>
      <c r="G5408" s="37"/>
      <c r="H5408" s="37"/>
      <c r="I5408" s="37"/>
      <c r="J5408" s="37"/>
    </row>
    <row r="5409" spans="1:10" x14ac:dyDescent="0.3">
      <c r="A5409" s="130"/>
      <c r="B5409" s="37"/>
      <c r="C5409" s="37"/>
      <c r="D5409" s="37"/>
      <c r="E5409" s="37"/>
      <c r="F5409" s="37"/>
      <c r="G5409" s="37"/>
      <c r="H5409" s="37"/>
      <c r="I5409" s="37"/>
      <c r="J5409" s="37"/>
    </row>
    <row r="5410" spans="1:10" x14ac:dyDescent="0.3">
      <c r="A5410" s="130"/>
      <c r="B5410" s="37"/>
      <c r="C5410" s="37"/>
      <c r="D5410" s="37"/>
      <c r="E5410" s="37"/>
      <c r="F5410" s="37"/>
      <c r="G5410" s="37"/>
      <c r="H5410" s="37"/>
      <c r="I5410" s="37"/>
      <c r="J5410" s="37"/>
    </row>
    <row r="5411" spans="1:10" x14ac:dyDescent="0.3">
      <c r="A5411" s="130"/>
      <c r="B5411" s="37"/>
      <c r="C5411" s="37"/>
      <c r="D5411" s="37"/>
      <c r="E5411" s="37"/>
      <c r="F5411" s="37"/>
      <c r="G5411" s="37"/>
      <c r="H5411" s="37"/>
      <c r="I5411" s="37"/>
      <c r="J5411" s="37"/>
    </row>
    <row r="5412" spans="1:10" x14ac:dyDescent="0.3">
      <c r="A5412" s="130"/>
      <c r="B5412" s="37"/>
      <c r="C5412" s="37"/>
      <c r="D5412" s="37"/>
      <c r="E5412" s="37"/>
      <c r="F5412" s="37"/>
      <c r="G5412" s="37"/>
      <c r="H5412" s="37"/>
      <c r="I5412" s="37"/>
      <c r="J5412" s="37"/>
    </row>
    <row r="5413" spans="1:10" x14ac:dyDescent="0.3">
      <c r="A5413" s="130"/>
      <c r="B5413" s="37"/>
      <c r="C5413" s="37"/>
      <c r="D5413" s="37"/>
      <c r="E5413" s="37"/>
      <c r="F5413" s="37"/>
      <c r="G5413" s="37"/>
      <c r="H5413" s="37"/>
      <c r="I5413" s="37"/>
      <c r="J5413" s="37"/>
    </row>
    <row r="5414" spans="1:10" x14ac:dyDescent="0.3">
      <c r="A5414" s="130"/>
      <c r="B5414" s="37"/>
      <c r="C5414" s="37"/>
      <c r="D5414" s="37"/>
      <c r="E5414" s="37"/>
      <c r="F5414" s="37"/>
      <c r="G5414" s="37"/>
      <c r="H5414" s="37"/>
      <c r="I5414" s="37"/>
      <c r="J5414" s="37"/>
    </row>
    <row r="5415" spans="1:10" x14ac:dyDescent="0.3">
      <c r="A5415" s="130"/>
      <c r="B5415" s="37"/>
      <c r="C5415" s="37"/>
      <c r="D5415" s="37"/>
      <c r="E5415" s="37"/>
      <c r="F5415" s="37"/>
      <c r="G5415" s="37"/>
      <c r="H5415" s="37"/>
      <c r="I5415" s="37"/>
      <c r="J5415" s="37"/>
    </row>
    <row r="5416" spans="1:10" x14ac:dyDescent="0.3">
      <c r="A5416" s="130"/>
      <c r="B5416" s="37"/>
      <c r="C5416" s="37"/>
      <c r="D5416" s="37"/>
      <c r="E5416" s="37"/>
      <c r="F5416" s="37"/>
      <c r="G5416" s="37"/>
      <c r="H5416" s="37"/>
      <c r="I5416" s="37"/>
      <c r="J5416" s="37"/>
    </row>
    <row r="5417" spans="1:10" x14ac:dyDescent="0.3">
      <c r="A5417" s="130"/>
      <c r="B5417" s="37"/>
      <c r="C5417" s="37"/>
      <c r="D5417" s="37"/>
      <c r="E5417" s="37"/>
      <c r="F5417" s="37"/>
      <c r="G5417" s="37"/>
      <c r="H5417" s="37"/>
      <c r="I5417" s="37"/>
      <c r="J5417" s="37"/>
    </row>
    <row r="5418" spans="1:10" x14ac:dyDescent="0.3">
      <c r="A5418" s="130"/>
      <c r="B5418" s="37"/>
      <c r="C5418" s="37"/>
      <c r="D5418" s="37"/>
      <c r="E5418" s="37"/>
      <c r="F5418" s="37"/>
      <c r="G5418" s="37"/>
      <c r="H5418" s="37"/>
      <c r="I5418" s="37"/>
      <c r="J5418" s="37"/>
    </row>
    <row r="5419" spans="1:10" x14ac:dyDescent="0.3">
      <c r="A5419" s="130"/>
      <c r="B5419" s="37"/>
      <c r="C5419" s="37"/>
      <c r="D5419" s="37"/>
      <c r="E5419" s="37"/>
      <c r="F5419" s="37"/>
      <c r="G5419" s="37"/>
      <c r="H5419" s="37"/>
      <c r="I5419" s="37"/>
      <c r="J5419" s="37"/>
    </row>
    <row r="5420" spans="1:10" x14ac:dyDescent="0.3">
      <c r="A5420" s="130"/>
      <c r="B5420" s="37"/>
      <c r="C5420" s="37"/>
      <c r="D5420" s="37"/>
      <c r="E5420" s="37"/>
      <c r="F5420" s="37"/>
      <c r="G5420" s="37"/>
      <c r="H5420" s="37"/>
      <c r="I5420" s="37"/>
      <c r="J5420" s="37"/>
    </row>
    <row r="5421" spans="1:10" x14ac:dyDescent="0.3">
      <c r="A5421" s="130"/>
      <c r="B5421" s="37"/>
      <c r="C5421" s="37"/>
      <c r="D5421" s="37"/>
      <c r="E5421" s="37"/>
      <c r="F5421" s="37"/>
      <c r="G5421" s="37"/>
      <c r="H5421" s="37"/>
      <c r="I5421" s="37"/>
      <c r="J5421" s="37"/>
    </row>
    <row r="5422" spans="1:10" x14ac:dyDescent="0.3">
      <c r="A5422" s="130"/>
      <c r="B5422" s="37"/>
      <c r="C5422" s="37"/>
      <c r="D5422" s="37"/>
      <c r="E5422" s="37"/>
      <c r="F5422" s="37"/>
      <c r="G5422" s="37"/>
      <c r="H5422" s="37"/>
      <c r="I5422" s="37"/>
      <c r="J5422" s="37"/>
    </row>
    <row r="5423" spans="1:10" x14ac:dyDescent="0.3">
      <c r="A5423" s="130"/>
      <c r="B5423" s="37"/>
      <c r="C5423" s="37"/>
      <c r="D5423" s="37"/>
      <c r="E5423" s="37"/>
      <c r="F5423" s="37"/>
      <c r="G5423" s="37"/>
      <c r="H5423" s="37"/>
      <c r="I5423" s="37"/>
      <c r="J5423" s="37"/>
    </row>
    <row r="5424" spans="1:10" x14ac:dyDescent="0.3">
      <c r="A5424" s="130"/>
      <c r="B5424" s="37"/>
      <c r="C5424" s="37"/>
      <c r="D5424" s="37"/>
      <c r="E5424" s="37"/>
      <c r="F5424" s="37"/>
      <c r="G5424" s="37"/>
      <c r="H5424" s="37"/>
      <c r="I5424" s="37"/>
      <c r="J5424" s="37"/>
    </row>
    <row r="5425" spans="1:10" x14ac:dyDescent="0.3">
      <c r="A5425" s="130"/>
      <c r="B5425" s="37"/>
      <c r="C5425" s="37"/>
      <c r="D5425" s="37"/>
      <c r="E5425" s="37"/>
      <c r="F5425" s="37"/>
      <c r="G5425" s="37"/>
      <c r="H5425" s="37"/>
      <c r="I5425" s="37"/>
      <c r="J5425" s="37"/>
    </row>
    <row r="5426" spans="1:10" x14ac:dyDescent="0.3">
      <c r="A5426" s="130"/>
      <c r="B5426" s="37"/>
      <c r="C5426" s="37"/>
      <c r="D5426" s="37"/>
      <c r="E5426" s="37"/>
      <c r="F5426" s="37"/>
      <c r="G5426" s="37"/>
      <c r="H5426" s="37"/>
      <c r="I5426" s="37"/>
      <c r="J5426" s="37"/>
    </row>
    <row r="5427" spans="1:10" x14ac:dyDescent="0.3">
      <c r="A5427" s="130"/>
      <c r="B5427" s="37"/>
      <c r="C5427" s="37"/>
      <c r="D5427" s="37"/>
      <c r="E5427" s="37"/>
      <c r="F5427" s="37"/>
      <c r="G5427" s="37"/>
      <c r="H5427" s="37"/>
      <c r="I5427" s="37"/>
      <c r="J5427" s="37"/>
    </row>
    <row r="5428" spans="1:10" x14ac:dyDescent="0.3">
      <c r="A5428" s="130"/>
      <c r="B5428" s="37"/>
      <c r="C5428" s="37"/>
      <c r="D5428" s="37"/>
      <c r="E5428" s="37"/>
      <c r="F5428" s="37"/>
      <c r="G5428" s="37"/>
      <c r="H5428" s="37"/>
      <c r="I5428" s="37"/>
      <c r="J5428" s="37"/>
    </row>
    <row r="5429" spans="1:10" x14ac:dyDescent="0.3">
      <c r="A5429" s="130"/>
      <c r="B5429" s="37"/>
      <c r="C5429" s="37"/>
      <c r="D5429" s="37"/>
      <c r="E5429" s="37"/>
      <c r="F5429" s="37"/>
      <c r="G5429" s="37"/>
      <c r="H5429" s="37"/>
      <c r="I5429" s="37"/>
      <c r="J5429" s="37"/>
    </row>
    <row r="5430" spans="1:10" x14ac:dyDescent="0.3">
      <c r="A5430" s="130"/>
      <c r="B5430" s="37"/>
      <c r="C5430" s="37"/>
      <c r="D5430" s="37"/>
      <c r="E5430" s="37"/>
      <c r="F5430" s="37"/>
      <c r="G5430" s="37"/>
      <c r="H5430" s="37"/>
      <c r="I5430" s="37"/>
      <c r="J5430" s="37"/>
    </row>
    <row r="5431" spans="1:10" x14ac:dyDescent="0.3">
      <c r="A5431" s="130"/>
      <c r="B5431" s="37"/>
      <c r="C5431" s="37"/>
      <c r="D5431" s="37"/>
      <c r="E5431" s="37"/>
      <c r="F5431" s="37"/>
      <c r="G5431" s="37"/>
      <c r="H5431" s="37"/>
      <c r="I5431" s="37"/>
      <c r="J5431" s="37"/>
    </row>
    <row r="5432" spans="1:10" x14ac:dyDescent="0.3">
      <c r="A5432" s="130"/>
      <c r="B5432" s="37"/>
      <c r="C5432" s="37"/>
      <c r="D5432" s="37"/>
      <c r="E5432" s="37"/>
      <c r="F5432" s="37"/>
      <c r="G5432" s="37"/>
      <c r="H5432" s="37"/>
      <c r="I5432" s="37"/>
      <c r="J5432" s="37"/>
    </row>
    <row r="5433" spans="1:10" x14ac:dyDescent="0.3">
      <c r="A5433" s="130"/>
      <c r="B5433" s="37"/>
      <c r="C5433" s="37"/>
      <c r="D5433" s="37"/>
      <c r="E5433" s="37"/>
      <c r="F5433" s="37"/>
      <c r="G5433" s="37"/>
      <c r="H5433" s="37"/>
      <c r="I5433" s="37"/>
      <c r="J5433" s="37"/>
    </row>
    <row r="5434" spans="1:10" x14ac:dyDescent="0.3">
      <c r="A5434" s="130"/>
      <c r="B5434" s="37"/>
      <c r="C5434" s="37"/>
      <c r="D5434" s="37"/>
      <c r="E5434" s="37"/>
      <c r="F5434" s="37"/>
      <c r="G5434" s="37"/>
      <c r="H5434" s="37"/>
      <c r="I5434" s="37"/>
      <c r="J5434" s="37"/>
    </row>
    <row r="5435" spans="1:10" x14ac:dyDescent="0.3">
      <c r="A5435" s="130"/>
      <c r="B5435" s="37"/>
      <c r="C5435" s="37"/>
      <c r="D5435" s="37"/>
      <c r="E5435" s="37"/>
      <c r="F5435" s="37"/>
      <c r="G5435" s="37"/>
      <c r="H5435" s="37"/>
      <c r="I5435" s="37"/>
      <c r="J5435" s="37"/>
    </row>
    <row r="5436" spans="1:10" x14ac:dyDescent="0.3">
      <c r="A5436" s="130"/>
      <c r="B5436" s="37"/>
      <c r="C5436" s="37"/>
      <c r="D5436" s="37"/>
      <c r="E5436" s="37"/>
      <c r="F5436" s="37"/>
      <c r="G5436" s="37"/>
      <c r="H5436" s="37"/>
      <c r="I5436" s="37"/>
      <c r="J5436" s="37"/>
    </row>
    <row r="5437" spans="1:10" x14ac:dyDescent="0.3">
      <c r="A5437" s="130"/>
      <c r="B5437" s="37"/>
      <c r="C5437" s="37"/>
      <c r="D5437" s="37"/>
      <c r="E5437" s="37"/>
      <c r="F5437" s="37"/>
      <c r="G5437" s="37"/>
      <c r="H5437" s="37"/>
      <c r="I5437" s="37"/>
      <c r="J5437" s="37"/>
    </row>
    <row r="5438" spans="1:10" x14ac:dyDescent="0.3">
      <c r="A5438" s="130"/>
      <c r="B5438" s="37"/>
      <c r="C5438" s="37"/>
      <c r="D5438" s="37"/>
      <c r="E5438" s="37"/>
      <c r="F5438" s="37"/>
      <c r="G5438" s="37"/>
      <c r="H5438" s="37"/>
      <c r="I5438" s="37"/>
      <c r="J5438" s="37"/>
    </row>
    <row r="5439" spans="1:10" x14ac:dyDescent="0.3">
      <c r="A5439" s="130"/>
      <c r="B5439" s="37"/>
      <c r="C5439" s="37"/>
      <c r="D5439" s="37"/>
      <c r="E5439" s="37"/>
      <c r="F5439" s="37"/>
      <c r="G5439" s="37"/>
      <c r="H5439" s="37"/>
      <c r="I5439" s="37"/>
      <c r="J5439" s="37"/>
    </row>
    <row r="5440" spans="1:10" x14ac:dyDescent="0.3">
      <c r="A5440" s="130"/>
      <c r="B5440" s="37"/>
      <c r="C5440" s="37"/>
      <c r="D5440" s="37"/>
      <c r="E5440" s="37"/>
      <c r="F5440" s="37"/>
      <c r="G5440" s="37"/>
      <c r="H5440" s="37"/>
      <c r="I5440" s="37"/>
      <c r="J5440" s="37"/>
    </row>
    <row r="5441" spans="1:10" x14ac:dyDescent="0.3">
      <c r="A5441" s="130"/>
      <c r="B5441" s="37"/>
      <c r="C5441" s="37"/>
      <c r="D5441" s="37"/>
      <c r="E5441" s="37"/>
      <c r="F5441" s="37"/>
      <c r="G5441" s="37"/>
      <c r="H5441" s="37"/>
      <c r="I5441" s="37"/>
      <c r="J5441" s="37"/>
    </row>
    <row r="5442" spans="1:10" x14ac:dyDescent="0.3">
      <c r="A5442" s="130"/>
      <c r="B5442" s="37"/>
      <c r="C5442" s="37"/>
      <c r="D5442" s="37"/>
      <c r="E5442" s="37"/>
      <c r="F5442" s="37"/>
      <c r="G5442" s="37"/>
      <c r="H5442" s="37"/>
      <c r="I5442" s="37"/>
      <c r="J5442" s="37"/>
    </row>
    <row r="5443" spans="1:10" x14ac:dyDescent="0.3">
      <c r="A5443" s="130"/>
      <c r="B5443" s="37"/>
      <c r="C5443" s="37"/>
      <c r="D5443" s="37"/>
      <c r="E5443" s="37"/>
      <c r="F5443" s="37"/>
      <c r="G5443" s="37"/>
      <c r="H5443" s="37"/>
      <c r="I5443" s="37"/>
      <c r="J5443" s="37"/>
    </row>
    <row r="5444" spans="1:10" x14ac:dyDescent="0.3">
      <c r="A5444" s="130"/>
      <c r="B5444" s="37"/>
      <c r="C5444" s="37"/>
      <c r="D5444" s="37"/>
      <c r="E5444" s="37"/>
      <c r="F5444" s="37"/>
      <c r="G5444" s="37"/>
      <c r="H5444" s="37"/>
      <c r="I5444" s="37"/>
      <c r="J5444" s="37"/>
    </row>
    <row r="5445" spans="1:10" x14ac:dyDescent="0.3">
      <c r="A5445" s="130"/>
      <c r="B5445" s="37"/>
      <c r="C5445" s="37"/>
      <c r="D5445" s="37"/>
      <c r="E5445" s="37"/>
      <c r="F5445" s="37"/>
      <c r="G5445" s="37"/>
      <c r="H5445" s="37"/>
      <c r="I5445" s="37"/>
      <c r="J5445" s="37"/>
    </row>
    <row r="5446" spans="1:10" x14ac:dyDescent="0.3">
      <c r="A5446" s="130"/>
      <c r="B5446" s="37"/>
      <c r="C5446" s="37"/>
      <c r="D5446" s="37"/>
      <c r="E5446" s="37"/>
      <c r="F5446" s="37"/>
      <c r="G5446" s="37"/>
      <c r="H5446" s="37"/>
      <c r="I5446" s="37"/>
      <c r="J5446" s="37"/>
    </row>
    <row r="5447" spans="1:10" x14ac:dyDescent="0.3">
      <c r="A5447" s="130"/>
      <c r="B5447" s="37"/>
      <c r="C5447" s="37"/>
      <c r="D5447" s="37"/>
      <c r="E5447" s="37"/>
      <c r="F5447" s="37"/>
      <c r="G5447" s="37"/>
      <c r="H5447" s="37"/>
      <c r="I5447" s="37"/>
      <c r="J5447" s="37"/>
    </row>
    <row r="5448" spans="1:10" x14ac:dyDescent="0.3">
      <c r="A5448" s="130"/>
      <c r="B5448" s="37"/>
      <c r="C5448" s="37"/>
      <c r="D5448" s="37"/>
      <c r="E5448" s="37"/>
      <c r="F5448" s="37"/>
      <c r="G5448" s="37"/>
      <c r="H5448" s="37"/>
      <c r="I5448" s="37"/>
      <c r="J5448" s="37"/>
    </row>
    <row r="5449" spans="1:10" x14ac:dyDescent="0.3">
      <c r="A5449" s="130"/>
      <c r="B5449" s="37"/>
      <c r="C5449" s="37"/>
      <c r="D5449" s="37"/>
      <c r="E5449" s="37"/>
      <c r="F5449" s="37"/>
      <c r="G5449" s="37"/>
      <c r="H5449" s="37"/>
      <c r="I5449" s="37"/>
      <c r="J5449" s="37"/>
    </row>
    <row r="5450" spans="1:10" x14ac:dyDescent="0.3">
      <c r="A5450" s="130"/>
      <c r="B5450" s="37"/>
      <c r="C5450" s="37"/>
      <c r="D5450" s="37"/>
      <c r="E5450" s="37"/>
      <c r="F5450" s="37"/>
      <c r="G5450" s="37"/>
      <c r="H5450" s="37"/>
      <c r="I5450" s="37"/>
      <c r="J5450" s="37"/>
    </row>
    <row r="5451" spans="1:10" x14ac:dyDescent="0.3">
      <c r="A5451" s="130"/>
      <c r="B5451" s="37"/>
      <c r="C5451" s="37"/>
      <c r="D5451" s="37"/>
      <c r="E5451" s="37"/>
      <c r="F5451" s="37"/>
      <c r="G5451" s="37"/>
      <c r="H5451" s="37"/>
      <c r="I5451" s="37"/>
      <c r="J5451" s="37"/>
    </row>
    <row r="5452" spans="1:10" x14ac:dyDescent="0.3">
      <c r="A5452" s="130"/>
      <c r="B5452" s="37"/>
      <c r="C5452" s="37"/>
      <c r="D5452" s="37"/>
      <c r="E5452" s="37"/>
      <c r="F5452" s="37"/>
      <c r="G5452" s="37"/>
      <c r="H5452" s="37"/>
      <c r="I5452" s="37"/>
      <c r="J5452" s="37"/>
    </row>
    <row r="5453" spans="1:10" x14ac:dyDescent="0.3">
      <c r="A5453" s="130"/>
      <c r="B5453" s="37"/>
      <c r="C5453" s="37"/>
      <c r="D5453" s="37"/>
      <c r="E5453" s="37"/>
      <c r="F5453" s="37"/>
      <c r="G5453" s="37"/>
      <c r="H5453" s="37"/>
      <c r="I5453" s="37"/>
      <c r="J5453" s="37"/>
    </row>
    <row r="5454" spans="1:10" x14ac:dyDescent="0.3">
      <c r="A5454" s="130"/>
      <c r="B5454" s="37"/>
      <c r="C5454" s="37"/>
      <c r="D5454" s="37"/>
      <c r="E5454" s="37"/>
      <c r="F5454" s="37"/>
      <c r="G5454" s="37"/>
      <c r="H5454" s="37"/>
      <c r="I5454" s="37"/>
      <c r="J5454" s="37"/>
    </row>
    <row r="5455" spans="1:10" x14ac:dyDescent="0.3">
      <c r="A5455" s="130"/>
      <c r="B5455" s="37"/>
      <c r="C5455" s="37"/>
      <c r="D5455" s="37"/>
      <c r="E5455" s="37"/>
      <c r="F5455" s="37"/>
      <c r="G5455" s="37"/>
      <c r="H5455" s="37"/>
      <c r="I5455" s="37"/>
      <c r="J5455" s="37"/>
    </row>
    <row r="5456" spans="1:10" x14ac:dyDescent="0.3">
      <c r="A5456" s="130"/>
      <c r="B5456" s="37"/>
      <c r="C5456" s="37"/>
      <c r="D5456" s="37"/>
      <c r="E5456" s="37"/>
      <c r="F5456" s="37"/>
      <c r="G5456" s="37"/>
      <c r="H5456" s="37"/>
      <c r="I5456" s="37"/>
      <c r="J5456" s="37"/>
    </row>
    <row r="5457" spans="1:10" x14ac:dyDescent="0.3">
      <c r="A5457" s="130"/>
      <c r="B5457" s="37"/>
      <c r="C5457" s="37"/>
      <c r="D5457" s="37"/>
      <c r="E5457" s="37"/>
      <c r="F5457" s="37"/>
      <c r="G5457" s="37"/>
      <c r="H5457" s="37"/>
      <c r="I5457" s="37"/>
      <c r="J5457" s="37"/>
    </row>
    <row r="5458" spans="1:10" x14ac:dyDescent="0.3">
      <c r="A5458" s="130"/>
      <c r="B5458" s="37"/>
      <c r="C5458" s="37"/>
      <c r="D5458" s="37"/>
      <c r="E5458" s="37"/>
      <c r="F5458" s="37"/>
      <c r="G5458" s="37"/>
      <c r="H5458" s="37"/>
      <c r="I5458" s="37"/>
      <c r="J5458" s="37"/>
    </row>
    <row r="5459" spans="1:10" x14ac:dyDescent="0.3">
      <c r="A5459" s="130"/>
      <c r="B5459" s="37"/>
      <c r="C5459" s="37"/>
      <c r="D5459" s="37"/>
      <c r="E5459" s="37"/>
      <c r="F5459" s="37"/>
      <c r="G5459" s="37"/>
      <c r="H5459" s="37"/>
      <c r="I5459" s="37"/>
      <c r="J5459" s="37"/>
    </row>
    <row r="5460" spans="1:10" x14ac:dyDescent="0.3">
      <c r="A5460" s="130"/>
      <c r="B5460" s="37"/>
      <c r="C5460" s="37"/>
      <c r="D5460" s="37"/>
      <c r="E5460" s="37"/>
      <c r="F5460" s="37"/>
      <c r="G5460" s="37"/>
      <c r="H5460" s="37"/>
      <c r="I5460" s="37"/>
      <c r="J5460" s="37"/>
    </row>
    <row r="5461" spans="1:10" x14ac:dyDescent="0.3">
      <c r="A5461" s="130"/>
      <c r="B5461" s="37"/>
      <c r="C5461" s="37"/>
      <c r="D5461" s="37"/>
      <c r="E5461" s="37"/>
      <c r="F5461" s="37"/>
      <c r="G5461" s="37"/>
      <c r="H5461" s="37"/>
      <c r="I5461" s="37"/>
      <c r="J5461" s="37"/>
    </row>
    <row r="5462" spans="1:10" x14ac:dyDescent="0.3">
      <c r="A5462" s="130"/>
      <c r="B5462" s="37"/>
      <c r="C5462" s="37"/>
      <c r="D5462" s="37"/>
      <c r="E5462" s="37"/>
      <c r="F5462" s="37"/>
      <c r="G5462" s="37"/>
      <c r="H5462" s="37"/>
      <c r="I5462" s="37"/>
      <c r="J5462" s="37"/>
    </row>
    <row r="5463" spans="1:10" x14ac:dyDescent="0.3">
      <c r="A5463" s="130"/>
      <c r="B5463" s="37"/>
      <c r="C5463" s="37"/>
      <c r="D5463" s="37"/>
      <c r="E5463" s="37"/>
      <c r="F5463" s="37"/>
      <c r="G5463" s="37"/>
      <c r="H5463" s="37"/>
      <c r="I5463" s="37"/>
      <c r="J5463" s="37"/>
    </row>
    <row r="5464" spans="1:10" x14ac:dyDescent="0.3">
      <c r="A5464" s="130"/>
      <c r="B5464" s="37"/>
      <c r="C5464" s="37"/>
      <c r="D5464" s="37"/>
      <c r="E5464" s="37"/>
      <c r="F5464" s="37"/>
      <c r="G5464" s="37"/>
      <c r="H5464" s="37"/>
      <c r="I5464" s="37"/>
      <c r="J5464" s="37"/>
    </row>
    <row r="5465" spans="1:10" x14ac:dyDescent="0.3">
      <c r="A5465" s="130"/>
      <c r="B5465" s="37"/>
      <c r="C5465" s="37"/>
      <c r="D5465" s="37"/>
      <c r="E5465" s="37"/>
      <c r="F5465" s="37"/>
      <c r="G5465" s="37"/>
      <c r="H5465" s="37"/>
      <c r="I5465" s="37"/>
      <c r="J5465" s="37"/>
    </row>
    <row r="5466" spans="1:10" x14ac:dyDescent="0.3">
      <c r="A5466" s="130"/>
      <c r="B5466" s="37"/>
      <c r="C5466" s="37"/>
      <c r="D5466" s="37"/>
      <c r="E5466" s="37"/>
      <c r="F5466" s="37"/>
      <c r="G5466" s="37"/>
      <c r="H5466" s="37"/>
      <c r="I5466" s="37"/>
      <c r="J5466" s="37"/>
    </row>
    <row r="5467" spans="1:10" x14ac:dyDescent="0.3">
      <c r="A5467" s="130"/>
      <c r="B5467" s="37"/>
      <c r="C5467" s="37"/>
      <c r="D5467" s="37"/>
      <c r="E5467" s="37"/>
      <c r="F5467" s="37"/>
      <c r="G5467" s="37"/>
      <c r="H5467" s="37"/>
      <c r="I5467" s="37"/>
      <c r="J5467" s="37"/>
    </row>
    <row r="5468" spans="1:10" x14ac:dyDescent="0.3">
      <c r="A5468" s="130"/>
      <c r="B5468" s="37"/>
      <c r="C5468" s="37"/>
      <c r="D5468" s="37"/>
      <c r="E5468" s="37"/>
      <c r="F5468" s="37"/>
      <c r="G5468" s="37"/>
      <c r="H5468" s="37"/>
      <c r="I5468" s="37"/>
      <c r="J5468" s="37"/>
    </row>
    <row r="5469" spans="1:10" x14ac:dyDescent="0.3">
      <c r="A5469" s="130"/>
      <c r="B5469" s="37"/>
      <c r="C5469" s="37"/>
      <c r="D5469" s="37"/>
      <c r="E5469" s="37"/>
      <c r="F5469" s="37"/>
      <c r="G5469" s="37"/>
      <c r="H5469" s="37"/>
      <c r="I5469" s="37"/>
      <c r="J5469" s="37"/>
    </row>
    <row r="5470" spans="1:10" x14ac:dyDescent="0.3">
      <c r="A5470" s="130"/>
      <c r="B5470" s="37"/>
      <c r="C5470" s="37"/>
      <c r="D5470" s="37"/>
      <c r="E5470" s="37"/>
      <c r="F5470" s="37"/>
      <c r="G5470" s="37"/>
      <c r="H5470" s="37"/>
      <c r="I5470" s="37"/>
      <c r="J5470" s="37"/>
    </row>
    <row r="5471" spans="1:10" x14ac:dyDescent="0.3">
      <c r="A5471" s="130"/>
      <c r="B5471" s="37"/>
      <c r="C5471" s="37"/>
      <c r="D5471" s="37"/>
      <c r="E5471" s="37"/>
      <c r="F5471" s="37"/>
      <c r="G5471" s="37"/>
      <c r="H5471" s="37"/>
      <c r="I5471" s="37"/>
      <c r="J5471" s="37"/>
    </row>
    <row r="5472" spans="1:10" x14ac:dyDescent="0.3">
      <c r="A5472" s="130"/>
      <c r="B5472" s="37"/>
      <c r="C5472" s="37"/>
      <c r="D5472" s="37"/>
      <c r="E5472" s="37"/>
      <c r="F5472" s="37"/>
      <c r="G5472" s="37"/>
      <c r="H5472" s="37"/>
      <c r="I5472" s="37"/>
      <c r="J5472" s="37"/>
    </row>
    <row r="5473" spans="1:10" x14ac:dyDescent="0.3">
      <c r="A5473" s="130"/>
      <c r="B5473" s="37"/>
      <c r="C5473" s="37"/>
      <c r="D5473" s="37"/>
      <c r="E5473" s="37"/>
      <c r="F5473" s="37"/>
      <c r="G5473" s="37"/>
      <c r="H5473" s="37"/>
      <c r="I5473" s="37"/>
      <c r="J5473" s="37"/>
    </row>
    <row r="5474" spans="1:10" x14ac:dyDescent="0.3">
      <c r="A5474" s="130"/>
      <c r="B5474" s="37"/>
      <c r="C5474" s="37"/>
      <c r="D5474" s="37"/>
      <c r="E5474" s="37"/>
      <c r="F5474" s="37"/>
      <c r="G5474" s="37"/>
      <c r="H5474" s="37"/>
      <c r="I5474" s="37"/>
      <c r="J5474" s="37"/>
    </row>
    <row r="5475" spans="1:10" x14ac:dyDescent="0.3">
      <c r="A5475" s="130"/>
      <c r="B5475" s="37"/>
      <c r="C5475" s="37"/>
      <c r="D5475" s="37"/>
      <c r="E5475" s="37"/>
      <c r="F5475" s="37"/>
      <c r="G5475" s="37"/>
      <c r="H5475" s="37"/>
      <c r="I5475" s="37"/>
      <c r="J5475" s="37"/>
    </row>
    <row r="5476" spans="1:10" x14ac:dyDescent="0.3">
      <c r="A5476" s="130"/>
      <c r="B5476" s="37"/>
      <c r="C5476" s="37"/>
      <c r="D5476" s="37"/>
      <c r="E5476" s="37"/>
      <c r="F5476" s="37"/>
      <c r="G5476" s="37"/>
      <c r="H5476" s="37"/>
      <c r="I5476" s="37"/>
      <c r="J5476" s="37"/>
    </row>
    <row r="5477" spans="1:10" x14ac:dyDescent="0.3">
      <c r="A5477" s="130"/>
      <c r="B5477" s="37"/>
      <c r="C5477" s="37"/>
      <c r="D5477" s="37"/>
      <c r="E5477" s="37"/>
      <c r="F5477" s="37"/>
      <c r="G5477" s="37"/>
      <c r="H5477" s="37"/>
      <c r="I5477" s="37"/>
      <c r="J5477" s="37"/>
    </row>
    <row r="5478" spans="1:10" x14ac:dyDescent="0.3">
      <c r="A5478" s="130"/>
      <c r="B5478" s="37"/>
      <c r="C5478" s="37"/>
      <c r="D5478" s="37"/>
      <c r="E5478" s="37"/>
      <c r="F5478" s="37"/>
      <c r="G5478" s="37"/>
      <c r="H5478" s="37"/>
      <c r="I5478" s="37"/>
      <c r="J5478" s="37"/>
    </row>
    <row r="5479" spans="1:10" x14ac:dyDescent="0.3">
      <c r="A5479" s="130"/>
      <c r="B5479" s="37"/>
      <c r="C5479" s="37"/>
      <c r="D5479" s="37"/>
      <c r="E5479" s="37"/>
      <c r="F5479" s="37"/>
      <c r="G5479" s="37"/>
      <c r="H5479" s="37"/>
      <c r="I5479" s="37"/>
      <c r="J5479" s="37"/>
    </row>
    <row r="5480" spans="1:10" x14ac:dyDescent="0.3">
      <c r="A5480" s="130"/>
      <c r="B5480" s="37"/>
      <c r="C5480" s="37"/>
      <c r="D5480" s="37"/>
      <c r="E5480" s="37"/>
      <c r="F5480" s="37"/>
      <c r="G5480" s="37"/>
      <c r="H5480" s="37"/>
      <c r="I5480" s="37"/>
      <c r="J5480" s="37"/>
    </row>
    <row r="5481" spans="1:10" x14ac:dyDescent="0.3">
      <c r="A5481" s="130"/>
      <c r="B5481" s="37"/>
      <c r="C5481" s="37"/>
      <c r="D5481" s="37"/>
      <c r="E5481" s="37"/>
      <c r="F5481" s="37"/>
      <c r="G5481" s="37"/>
      <c r="H5481" s="37"/>
      <c r="I5481" s="37"/>
      <c r="J5481" s="37"/>
    </row>
    <row r="5482" spans="1:10" x14ac:dyDescent="0.3">
      <c r="A5482" s="130"/>
      <c r="B5482" s="37"/>
      <c r="C5482" s="37"/>
      <c r="D5482" s="37"/>
      <c r="E5482" s="37"/>
      <c r="F5482" s="37"/>
      <c r="G5482" s="37"/>
      <c r="H5482" s="37"/>
      <c r="I5482" s="37"/>
      <c r="J5482" s="37"/>
    </row>
    <row r="5483" spans="1:10" x14ac:dyDescent="0.3">
      <c r="A5483" s="130"/>
      <c r="B5483" s="37"/>
      <c r="C5483" s="37"/>
      <c r="D5483" s="37"/>
      <c r="E5483" s="37"/>
      <c r="F5483" s="37"/>
      <c r="G5483" s="37"/>
      <c r="H5483" s="37"/>
      <c r="I5483" s="37"/>
      <c r="J5483" s="37"/>
    </row>
    <row r="5484" spans="1:10" x14ac:dyDescent="0.3">
      <c r="A5484" s="130"/>
      <c r="B5484" s="37"/>
      <c r="C5484" s="37"/>
      <c r="D5484" s="37"/>
      <c r="E5484" s="37"/>
      <c r="F5484" s="37"/>
      <c r="G5484" s="37"/>
      <c r="H5484" s="37"/>
      <c r="I5484" s="37"/>
      <c r="J5484" s="37"/>
    </row>
    <row r="5485" spans="1:10" x14ac:dyDescent="0.3">
      <c r="A5485" s="130"/>
      <c r="B5485" s="37"/>
      <c r="C5485" s="37"/>
      <c r="D5485" s="37"/>
      <c r="E5485" s="37"/>
      <c r="F5485" s="37"/>
      <c r="G5485" s="37"/>
      <c r="H5485" s="37"/>
      <c r="I5485" s="37"/>
      <c r="J5485" s="37"/>
    </row>
    <row r="5486" spans="1:10" x14ac:dyDescent="0.3">
      <c r="A5486" s="130"/>
      <c r="B5486" s="37"/>
      <c r="C5486" s="37"/>
      <c r="D5486" s="37"/>
      <c r="E5486" s="37"/>
      <c r="F5486" s="37"/>
      <c r="G5486" s="37"/>
      <c r="H5486" s="37"/>
      <c r="I5486" s="37"/>
      <c r="J5486" s="37"/>
    </row>
    <row r="5487" spans="1:10" x14ac:dyDescent="0.3">
      <c r="A5487" s="130"/>
      <c r="B5487" s="37"/>
      <c r="C5487" s="37"/>
      <c r="D5487" s="37"/>
      <c r="E5487" s="37"/>
      <c r="F5487" s="37"/>
      <c r="G5487" s="37"/>
      <c r="H5487" s="37"/>
      <c r="I5487" s="37"/>
      <c r="J5487" s="37"/>
    </row>
    <row r="5488" spans="1:10" x14ac:dyDescent="0.3">
      <c r="A5488" s="130"/>
      <c r="B5488" s="37"/>
      <c r="C5488" s="37"/>
      <c r="D5488" s="37"/>
      <c r="E5488" s="37"/>
      <c r="F5488" s="37"/>
      <c r="G5488" s="37"/>
      <c r="H5488" s="37"/>
      <c r="I5488" s="37"/>
      <c r="J5488" s="37"/>
    </row>
    <row r="5489" spans="1:10" x14ac:dyDescent="0.3">
      <c r="A5489" s="130"/>
      <c r="B5489" s="37"/>
      <c r="C5489" s="37"/>
      <c r="D5489" s="37"/>
      <c r="E5489" s="37"/>
      <c r="F5489" s="37"/>
      <c r="G5489" s="37"/>
      <c r="H5489" s="37"/>
      <c r="I5489" s="37"/>
      <c r="J5489" s="37"/>
    </row>
    <row r="5490" spans="1:10" x14ac:dyDescent="0.3">
      <c r="A5490" s="130"/>
      <c r="B5490" s="37"/>
      <c r="C5490" s="37"/>
      <c r="D5490" s="37"/>
      <c r="E5490" s="37"/>
      <c r="F5490" s="37"/>
      <c r="G5490" s="37"/>
      <c r="H5490" s="37"/>
      <c r="I5490" s="37"/>
      <c r="J5490" s="37"/>
    </row>
    <row r="5491" spans="1:10" x14ac:dyDescent="0.3">
      <c r="A5491" s="130"/>
      <c r="B5491" s="37"/>
      <c r="C5491" s="37"/>
      <c r="D5491" s="37"/>
      <c r="E5491" s="37"/>
      <c r="F5491" s="37"/>
      <c r="G5491" s="37"/>
      <c r="H5491" s="37"/>
      <c r="I5491" s="37"/>
      <c r="J5491" s="37"/>
    </row>
    <row r="5492" spans="1:10" x14ac:dyDescent="0.3">
      <c r="A5492" s="130"/>
      <c r="B5492" s="37"/>
      <c r="C5492" s="37"/>
      <c r="D5492" s="37"/>
      <c r="E5492" s="37"/>
      <c r="F5492" s="37"/>
      <c r="G5492" s="37"/>
      <c r="H5492" s="37"/>
      <c r="I5492" s="37"/>
      <c r="J5492" s="37"/>
    </row>
    <row r="5493" spans="1:10" x14ac:dyDescent="0.3">
      <c r="A5493" s="130"/>
      <c r="B5493" s="37"/>
      <c r="C5493" s="37"/>
      <c r="D5493" s="37"/>
      <c r="E5493" s="37"/>
      <c r="F5493" s="37"/>
      <c r="G5493" s="37"/>
      <c r="H5493" s="37"/>
      <c r="I5493" s="37"/>
      <c r="J5493" s="37"/>
    </row>
    <row r="5494" spans="1:10" x14ac:dyDescent="0.3">
      <c r="A5494" s="130"/>
      <c r="B5494" s="37"/>
      <c r="C5494" s="37"/>
      <c r="D5494" s="37"/>
      <c r="E5494" s="37"/>
      <c r="F5494" s="37"/>
      <c r="G5494" s="37"/>
      <c r="H5494" s="37"/>
      <c r="I5494" s="37"/>
      <c r="J5494" s="37"/>
    </row>
    <row r="5495" spans="1:10" x14ac:dyDescent="0.3">
      <c r="A5495" s="130"/>
      <c r="B5495" s="37"/>
      <c r="C5495" s="37"/>
      <c r="D5495" s="37"/>
      <c r="E5495" s="37"/>
      <c r="F5495" s="37"/>
      <c r="G5495" s="37"/>
      <c r="H5495" s="37"/>
      <c r="I5495" s="37"/>
      <c r="J5495" s="37"/>
    </row>
    <row r="5496" spans="1:10" x14ac:dyDescent="0.3">
      <c r="A5496" s="130"/>
      <c r="B5496" s="37"/>
      <c r="C5496" s="37"/>
      <c r="D5496" s="37"/>
      <c r="E5496" s="37"/>
      <c r="F5496" s="37"/>
      <c r="G5496" s="37"/>
      <c r="H5496" s="37"/>
      <c r="I5496" s="37"/>
      <c r="J5496" s="37"/>
    </row>
    <row r="5497" spans="1:10" x14ac:dyDescent="0.3">
      <c r="A5497" s="130"/>
      <c r="B5497" s="37"/>
      <c r="C5497" s="37"/>
      <c r="D5497" s="37"/>
      <c r="E5497" s="37"/>
      <c r="F5497" s="37"/>
      <c r="G5497" s="37"/>
      <c r="H5497" s="37"/>
      <c r="I5497" s="37"/>
      <c r="J5497" s="37"/>
    </row>
    <row r="5498" spans="1:10" x14ac:dyDescent="0.3">
      <c r="A5498" s="130"/>
      <c r="B5498" s="37"/>
      <c r="C5498" s="37"/>
      <c r="D5498" s="37"/>
      <c r="E5498" s="37"/>
      <c r="F5498" s="37"/>
      <c r="G5498" s="37"/>
      <c r="H5498" s="37"/>
      <c r="I5498" s="37"/>
      <c r="J5498" s="37"/>
    </row>
    <row r="5499" spans="1:10" x14ac:dyDescent="0.3">
      <c r="A5499" s="130"/>
      <c r="B5499" s="37"/>
      <c r="C5499" s="37"/>
      <c r="D5499" s="37"/>
      <c r="E5499" s="37"/>
      <c r="F5499" s="37"/>
      <c r="G5499" s="37"/>
      <c r="H5499" s="37"/>
      <c r="I5499" s="37"/>
      <c r="J5499" s="37"/>
    </row>
    <row r="5500" spans="1:10" x14ac:dyDescent="0.3">
      <c r="A5500" s="130"/>
      <c r="B5500" s="37"/>
      <c r="C5500" s="37"/>
      <c r="D5500" s="37"/>
      <c r="E5500" s="37"/>
      <c r="F5500" s="37"/>
      <c r="G5500" s="37"/>
      <c r="H5500" s="37"/>
      <c r="I5500" s="37"/>
      <c r="J5500" s="37"/>
    </row>
    <row r="5501" spans="1:10" x14ac:dyDescent="0.3">
      <c r="A5501" s="130"/>
      <c r="B5501" s="37"/>
      <c r="C5501" s="37"/>
      <c r="D5501" s="37"/>
      <c r="E5501" s="37"/>
      <c r="F5501" s="37"/>
      <c r="G5501" s="37"/>
      <c r="H5501" s="37"/>
      <c r="I5501" s="37"/>
      <c r="J5501" s="37"/>
    </row>
    <row r="5502" spans="1:10" x14ac:dyDescent="0.3">
      <c r="A5502" s="130"/>
      <c r="B5502" s="37"/>
      <c r="C5502" s="37"/>
      <c r="D5502" s="37"/>
      <c r="E5502" s="37"/>
      <c r="F5502" s="37"/>
      <c r="G5502" s="37"/>
      <c r="H5502" s="37"/>
      <c r="I5502" s="37"/>
      <c r="J5502" s="37"/>
    </row>
    <row r="5503" spans="1:10" x14ac:dyDescent="0.3">
      <c r="A5503" s="130"/>
      <c r="B5503" s="37"/>
      <c r="C5503" s="37"/>
      <c r="D5503" s="37"/>
      <c r="E5503" s="37"/>
      <c r="F5503" s="37"/>
      <c r="G5503" s="37"/>
      <c r="H5503" s="37"/>
      <c r="I5503" s="37"/>
      <c r="J5503" s="37"/>
    </row>
    <row r="5504" spans="1:10" x14ac:dyDescent="0.3">
      <c r="A5504" s="130"/>
      <c r="B5504" s="37"/>
      <c r="C5504" s="37"/>
      <c r="D5504" s="37"/>
      <c r="E5504" s="37"/>
      <c r="F5504" s="37"/>
      <c r="G5504" s="37"/>
      <c r="H5504" s="37"/>
      <c r="I5504" s="37"/>
      <c r="J5504" s="37"/>
    </row>
    <row r="5505" spans="1:10" x14ac:dyDescent="0.3">
      <c r="A5505" s="130"/>
      <c r="B5505" s="37"/>
      <c r="C5505" s="37"/>
      <c r="D5505" s="37"/>
      <c r="E5505" s="37"/>
      <c r="F5505" s="37"/>
      <c r="G5505" s="37"/>
      <c r="H5505" s="37"/>
      <c r="I5505" s="37"/>
      <c r="J5505" s="37"/>
    </row>
    <row r="5506" spans="1:10" x14ac:dyDescent="0.3">
      <c r="A5506" s="130"/>
      <c r="B5506" s="37"/>
      <c r="C5506" s="37"/>
      <c r="D5506" s="37"/>
      <c r="E5506" s="37"/>
      <c r="F5506" s="37"/>
      <c r="G5506" s="37"/>
      <c r="H5506" s="37"/>
      <c r="I5506" s="37"/>
      <c r="J5506" s="37"/>
    </row>
    <row r="5507" spans="1:10" x14ac:dyDescent="0.3">
      <c r="A5507" s="130"/>
      <c r="B5507" s="37"/>
      <c r="C5507" s="37"/>
      <c r="D5507" s="37"/>
      <c r="E5507" s="37"/>
      <c r="F5507" s="37"/>
      <c r="G5507" s="37"/>
      <c r="H5507" s="37"/>
      <c r="I5507" s="37"/>
      <c r="J5507" s="37"/>
    </row>
    <row r="5508" spans="1:10" x14ac:dyDescent="0.3">
      <c r="A5508" s="130"/>
      <c r="B5508" s="37"/>
      <c r="C5508" s="37"/>
      <c r="D5508" s="37"/>
      <c r="E5508" s="37"/>
      <c r="F5508" s="37"/>
      <c r="G5508" s="37"/>
      <c r="H5508" s="37"/>
      <c r="I5508" s="37"/>
      <c r="J5508" s="37"/>
    </row>
    <row r="5509" spans="1:10" x14ac:dyDescent="0.3">
      <c r="A5509" s="130"/>
      <c r="B5509" s="37"/>
      <c r="C5509" s="37"/>
      <c r="D5509" s="37"/>
      <c r="E5509" s="37"/>
      <c r="F5509" s="37"/>
      <c r="G5509" s="37"/>
      <c r="H5509" s="37"/>
      <c r="I5509" s="37"/>
      <c r="J5509" s="37"/>
    </row>
    <row r="5510" spans="1:10" x14ac:dyDescent="0.3">
      <c r="A5510" s="130"/>
      <c r="B5510" s="37"/>
      <c r="C5510" s="37"/>
      <c r="D5510" s="37"/>
      <c r="E5510" s="37"/>
      <c r="F5510" s="37"/>
      <c r="G5510" s="37"/>
      <c r="H5510" s="37"/>
      <c r="I5510" s="37"/>
      <c r="J5510" s="37"/>
    </row>
    <row r="5511" spans="1:10" x14ac:dyDescent="0.3">
      <c r="A5511" s="130"/>
      <c r="B5511" s="37"/>
      <c r="C5511" s="37"/>
      <c r="D5511" s="37"/>
      <c r="E5511" s="37"/>
      <c r="F5511" s="37"/>
      <c r="G5511" s="37"/>
      <c r="H5511" s="37"/>
      <c r="I5511" s="37"/>
      <c r="J5511" s="37"/>
    </row>
    <row r="5512" spans="1:10" x14ac:dyDescent="0.3">
      <c r="A5512" s="130"/>
      <c r="B5512" s="37"/>
      <c r="C5512" s="37"/>
      <c r="D5512" s="37"/>
      <c r="E5512" s="37"/>
      <c r="F5512" s="37"/>
      <c r="G5512" s="37"/>
      <c r="H5512" s="37"/>
      <c r="I5512" s="37"/>
      <c r="J5512" s="37"/>
    </row>
    <row r="5513" spans="1:10" x14ac:dyDescent="0.3">
      <c r="A5513" s="130"/>
      <c r="B5513" s="37"/>
      <c r="C5513" s="37"/>
      <c r="D5513" s="37"/>
      <c r="E5513" s="37"/>
      <c r="F5513" s="37"/>
      <c r="G5513" s="37"/>
      <c r="H5513" s="37"/>
      <c r="I5513" s="37"/>
      <c r="J5513" s="37"/>
    </row>
    <row r="5514" spans="1:10" x14ac:dyDescent="0.3">
      <c r="A5514" s="130"/>
      <c r="B5514" s="37"/>
      <c r="C5514" s="37"/>
      <c r="D5514" s="37"/>
      <c r="E5514" s="37"/>
      <c r="F5514" s="37"/>
      <c r="G5514" s="37"/>
      <c r="H5514" s="37"/>
      <c r="I5514" s="37"/>
      <c r="J5514" s="37"/>
    </row>
    <row r="5515" spans="1:10" x14ac:dyDescent="0.3">
      <c r="A5515" s="130"/>
      <c r="B5515" s="37"/>
      <c r="C5515" s="37"/>
      <c r="D5515" s="37"/>
      <c r="E5515" s="37"/>
      <c r="F5515" s="37"/>
      <c r="G5515" s="37"/>
      <c r="H5515" s="37"/>
      <c r="I5515" s="37"/>
      <c r="J5515" s="37"/>
    </row>
    <row r="5516" spans="1:10" x14ac:dyDescent="0.3">
      <c r="A5516" s="130"/>
      <c r="B5516" s="37"/>
      <c r="C5516" s="37"/>
      <c r="D5516" s="37"/>
      <c r="E5516" s="37"/>
      <c r="F5516" s="37"/>
      <c r="G5516" s="37"/>
      <c r="H5516" s="37"/>
      <c r="I5516" s="37"/>
      <c r="J5516" s="37"/>
    </row>
    <row r="5517" spans="1:10" x14ac:dyDescent="0.3">
      <c r="A5517" s="130"/>
      <c r="B5517" s="37"/>
      <c r="C5517" s="37"/>
      <c r="D5517" s="37"/>
      <c r="E5517" s="37"/>
      <c r="F5517" s="37"/>
      <c r="G5517" s="37"/>
      <c r="H5517" s="37"/>
      <c r="I5517" s="37"/>
      <c r="J5517" s="37"/>
    </row>
    <row r="5518" spans="1:10" x14ac:dyDescent="0.3">
      <c r="A5518" s="130"/>
      <c r="B5518" s="37"/>
      <c r="C5518" s="37"/>
      <c r="D5518" s="37"/>
      <c r="E5518" s="37"/>
      <c r="F5518" s="37"/>
      <c r="G5518" s="37"/>
      <c r="H5518" s="37"/>
      <c r="I5518" s="37"/>
      <c r="J5518" s="37"/>
    </row>
    <row r="5519" spans="1:10" x14ac:dyDescent="0.3">
      <c r="A5519" s="130"/>
      <c r="B5519" s="37"/>
      <c r="C5519" s="37"/>
      <c r="D5519" s="37"/>
      <c r="E5519" s="37"/>
      <c r="F5519" s="37"/>
      <c r="G5519" s="37"/>
      <c r="H5519" s="37"/>
      <c r="I5519" s="37"/>
      <c r="J5519" s="37"/>
    </row>
    <row r="5520" spans="1:10" x14ac:dyDescent="0.3">
      <c r="A5520" s="130"/>
      <c r="B5520" s="37"/>
      <c r="C5520" s="37"/>
      <c r="D5520" s="37"/>
      <c r="E5520" s="37"/>
      <c r="F5520" s="37"/>
      <c r="G5520" s="37"/>
      <c r="H5520" s="37"/>
      <c r="I5520" s="37"/>
      <c r="J5520" s="37"/>
    </row>
    <row r="5521" spans="1:10" x14ac:dyDescent="0.3">
      <c r="A5521" s="130"/>
      <c r="B5521" s="37"/>
      <c r="C5521" s="37"/>
      <c r="D5521" s="37"/>
      <c r="E5521" s="37"/>
      <c r="F5521" s="37"/>
      <c r="G5521" s="37"/>
      <c r="H5521" s="37"/>
      <c r="I5521" s="37"/>
      <c r="J5521" s="37"/>
    </row>
    <row r="5522" spans="1:10" x14ac:dyDescent="0.3">
      <c r="A5522" s="130"/>
      <c r="B5522" s="37"/>
      <c r="C5522" s="37"/>
      <c r="D5522" s="37"/>
      <c r="E5522" s="37"/>
      <c r="F5522" s="37"/>
      <c r="G5522" s="37"/>
      <c r="H5522" s="37"/>
      <c r="I5522" s="37"/>
      <c r="J5522" s="37"/>
    </row>
    <row r="5523" spans="1:10" x14ac:dyDescent="0.3">
      <c r="A5523" s="130"/>
      <c r="B5523" s="37"/>
      <c r="C5523" s="37"/>
      <c r="D5523" s="37"/>
      <c r="E5523" s="37"/>
      <c r="F5523" s="37"/>
      <c r="G5523" s="37"/>
      <c r="H5523" s="37"/>
      <c r="I5523" s="37"/>
      <c r="J5523" s="37"/>
    </row>
    <row r="5524" spans="1:10" x14ac:dyDescent="0.3">
      <c r="A5524" s="130"/>
      <c r="B5524" s="37"/>
      <c r="C5524" s="37"/>
      <c r="D5524" s="37"/>
      <c r="E5524" s="37"/>
      <c r="F5524" s="37"/>
      <c r="G5524" s="37"/>
      <c r="H5524" s="37"/>
      <c r="I5524" s="37"/>
      <c r="J5524" s="37"/>
    </row>
    <row r="5525" spans="1:10" x14ac:dyDescent="0.3">
      <c r="A5525" s="130"/>
      <c r="B5525" s="37"/>
      <c r="C5525" s="37"/>
      <c r="D5525" s="37"/>
      <c r="E5525" s="37"/>
      <c r="F5525" s="37"/>
      <c r="G5525" s="37"/>
      <c r="H5525" s="37"/>
      <c r="I5525" s="37"/>
      <c r="J5525" s="37"/>
    </row>
    <row r="5526" spans="1:10" x14ac:dyDescent="0.3">
      <c r="A5526" s="130"/>
      <c r="B5526" s="37"/>
      <c r="C5526" s="37"/>
      <c r="D5526" s="37"/>
      <c r="E5526" s="37"/>
      <c r="F5526" s="37"/>
      <c r="G5526" s="37"/>
      <c r="H5526" s="37"/>
      <c r="I5526" s="37"/>
      <c r="J5526" s="37"/>
    </row>
    <row r="5527" spans="1:10" x14ac:dyDescent="0.3">
      <c r="A5527" s="130"/>
      <c r="B5527" s="37"/>
      <c r="C5527" s="37"/>
      <c r="D5527" s="37"/>
      <c r="E5527" s="37"/>
      <c r="F5527" s="37"/>
      <c r="G5527" s="37"/>
      <c r="H5527" s="37"/>
      <c r="I5527" s="37"/>
      <c r="J5527" s="37"/>
    </row>
    <row r="5528" spans="1:10" x14ac:dyDescent="0.3">
      <c r="A5528" s="130"/>
      <c r="B5528" s="37"/>
      <c r="C5528" s="37"/>
      <c r="D5528" s="37"/>
      <c r="E5528" s="37"/>
      <c r="F5528" s="37"/>
      <c r="G5528" s="37"/>
      <c r="H5528" s="37"/>
      <c r="I5528" s="37"/>
      <c r="J5528" s="37"/>
    </row>
    <row r="5529" spans="1:10" x14ac:dyDescent="0.3">
      <c r="A5529" s="130"/>
      <c r="B5529" s="37"/>
      <c r="C5529" s="37"/>
      <c r="D5529" s="37"/>
      <c r="E5529" s="37"/>
      <c r="F5529" s="37"/>
      <c r="G5529" s="37"/>
      <c r="H5529" s="37"/>
      <c r="I5529" s="37"/>
      <c r="J5529" s="37"/>
    </row>
    <row r="5530" spans="1:10" x14ac:dyDescent="0.3">
      <c r="A5530" s="130"/>
      <c r="B5530" s="37"/>
      <c r="C5530" s="37"/>
      <c r="D5530" s="37"/>
      <c r="E5530" s="37"/>
      <c r="F5530" s="37"/>
      <c r="G5530" s="37"/>
      <c r="H5530" s="37"/>
      <c r="I5530" s="37"/>
      <c r="J5530" s="37"/>
    </row>
    <row r="5531" spans="1:10" x14ac:dyDescent="0.3">
      <c r="A5531" s="130"/>
      <c r="B5531" s="37"/>
      <c r="C5531" s="37"/>
      <c r="D5531" s="37"/>
      <c r="E5531" s="37"/>
      <c r="F5531" s="37"/>
      <c r="G5531" s="37"/>
      <c r="H5531" s="37"/>
      <c r="I5531" s="37"/>
      <c r="J5531" s="37"/>
    </row>
    <row r="5532" spans="1:10" x14ac:dyDescent="0.3">
      <c r="A5532" s="130"/>
      <c r="B5532" s="37"/>
      <c r="C5532" s="37"/>
      <c r="D5532" s="37"/>
      <c r="E5532" s="37"/>
      <c r="F5532" s="37"/>
      <c r="G5532" s="37"/>
      <c r="H5532" s="37"/>
      <c r="I5532" s="37"/>
      <c r="J5532" s="37"/>
    </row>
    <row r="5533" spans="1:10" x14ac:dyDescent="0.3">
      <c r="A5533" s="130"/>
      <c r="B5533" s="37"/>
      <c r="C5533" s="37"/>
      <c r="D5533" s="37"/>
      <c r="E5533" s="37"/>
      <c r="F5533" s="37"/>
      <c r="G5533" s="37"/>
      <c r="H5533" s="37"/>
      <c r="I5533" s="37"/>
      <c r="J5533" s="37"/>
    </row>
    <row r="5534" spans="1:10" x14ac:dyDescent="0.3">
      <c r="A5534" s="130"/>
      <c r="B5534" s="37"/>
      <c r="C5534" s="37"/>
      <c r="D5534" s="37"/>
      <c r="E5534" s="37"/>
      <c r="F5534" s="37"/>
      <c r="G5534" s="37"/>
      <c r="H5534" s="37"/>
      <c r="I5534" s="37"/>
      <c r="J5534" s="37"/>
    </row>
    <row r="5535" spans="1:10" x14ac:dyDescent="0.3">
      <c r="A5535" s="130"/>
      <c r="B5535" s="37"/>
      <c r="C5535" s="37"/>
      <c r="D5535" s="37"/>
      <c r="E5535" s="37"/>
      <c r="F5535" s="37"/>
      <c r="G5535" s="37"/>
      <c r="H5535" s="37"/>
      <c r="I5535" s="37"/>
      <c r="J5535" s="37"/>
    </row>
    <row r="5536" spans="1:10" x14ac:dyDescent="0.3">
      <c r="A5536" s="130"/>
      <c r="B5536" s="37"/>
      <c r="C5536" s="37"/>
      <c r="D5536" s="37"/>
      <c r="E5536" s="37"/>
      <c r="F5536" s="37"/>
      <c r="G5536" s="37"/>
      <c r="H5536" s="37"/>
      <c r="I5536" s="37"/>
      <c r="J5536" s="37"/>
    </row>
    <row r="5537" spans="1:10" x14ac:dyDescent="0.3">
      <c r="A5537" s="130"/>
      <c r="B5537" s="37"/>
      <c r="C5537" s="37"/>
      <c r="D5537" s="37"/>
      <c r="E5537" s="37"/>
      <c r="F5537" s="37"/>
      <c r="G5537" s="37"/>
      <c r="H5537" s="37"/>
      <c r="I5537" s="37"/>
      <c r="J5537" s="37"/>
    </row>
    <row r="5538" spans="1:10" x14ac:dyDescent="0.3">
      <c r="A5538" s="130"/>
      <c r="B5538" s="37"/>
      <c r="C5538" s="37"/>
      <c r="D5538" s="37"/>
      <c r="E5538" s="37"/>
      <c r="F5538" s="37"/>
      <c r="G5538" s="37"/>
      <c r="H5538" s="37"/>
      <c r="I5538" s="37"/>
      <c r="J5538" s="37"/>
    </row>
    <row r="5539" spans="1:10" x14ac:dyDescent="0.3">
      <c r="A5539" s="130"/>
      <c r="B5539" s="37"/>
      <c r="C5539" s="37"/>
      <c r="D5539" s="37"/>
      <c r="E5539" s="37"/>
      <c r="F5539" s="37"/>
      <c r="G5539" s="37"/>
      <c r="H5539" s="37"/>
      <c r="I5539" s="37"/>
      <c r="J5539" s="37"/>
    </row>
    <row r="5540" spans="1:10" x14ac:dyDescent="0.3">
      <c r="A5540" s="130"/>
      <c r="B5540" s="37"/>
      <c r="C5540" s="37"/>
      <c r="D5540" s="37"/>
      <c r="E5540" s="37"/>
      <c r="F5540" s="37"/>
      <c r="G5540" s="37"/>
      <c r="H5540" s="37"/>
      <c r="I5540" s="37"/>
      <c r="J5540" s="37"/>
    </row>
    <row r="5541" spans="1:10" x14ac:dyDescent="0.3">
      <c r="A5541" s="130"/>
      <c r="B5541" s="37"/>
      <c r="C5541" s="37"/>
      <c r="D5541" s="37"/>
      <c r="E5541" s="37"/>
      <c r="F5541" s="37"/>
      <c r="G5541" s="37"/>
      <c r="H5541" s="37"/>
      <c r="I5541" s="37"/>
      <c r="J5541" s="37"/>
    </row>
    <row r="5542" spans="1:10" x14ac:dyDescent="0.3">
      <c r="A5542" s="130"/>
      <c r="B5542" s="37"/>
      <c r="C5542" s="37"/>
      <c r="D5542" s="37"/>
      <c r="E5542" s="37"/>
      <c r="F5542" s="37"/>
      <c r="G5542" s="37"/>
      <c r="H5542" s="37"/>
      <c r="I5542" s="37"/>
      <c r="J5542" s="37"/>
    </row>
    <row r="5543" spans="1:10" x14ac:dyDescent="0.3">
      <c r="A5543" s="130"/>
      <c r="B5543" s="37"/>
      <c r="C5543" s="37"/>
      <c r="D5543" s="37"/>
      <c r="E5543" s="37"/>
      <c r="F5543" s="37"/>
      <c r="G5543" s="37"/>
      <c r="H5543" s="37"/>
      <c r="I5543" s="37"/>
      <c r="J5543" s="37"/>
    </row>
    <row r="5544" spans="1:10" x14ac:dyDescent="0.3">
      <c r="A5544" s="130"/>
      <c r="B5544" s="37"/>
      <c r="C5544" s="37"/>
      <c r="D5544" s="37"/>
      <c r="E5544" s="37"/>
      <c r="F5544" s="37"/>
      <c r="G5544" s="37"/>
      <c r="H5544" s="37"/>
      <c r="I5544" s="37"/>
      <c r="J5544" s="37"/>
    </row>
    <row r="5545" spans="1:10" x14ac:dyDescent="0.3">
      <c r="A5545" s="130"/>
      <c r="B5545" s="37"/>
      <c r="C5545" s="37"/>
      <c r="D5545" s="37"/>
      <c r="E5545" s="37"/>
      <c r="F5545" s="37"/>
      <c r="G5545" s="37"/>
      <c r="H5545" s="37"/>
      <c r="I5545" s="37"/>
      <c r="J5545" s="37"/>
    </row>
    <row r="5546" spans="1:10" x14ac:dyDescent="0.3">
      <c r="A5546" s="130"/>
      <c r="B5546" s="37"/>
      <c r="C5546" s="37"/>
      <c r="D5546" s="37"/>
      <c r="E5546" s="37"/>
      <c r="F5546" s="37"/>
      <c r="G5546" s="37"/>
      <c r="H5546" s="37"/>
      <c r="I5546" s="37"/>
      <c r="J5546" s="37"/>
    </row>
    <row r="5547" spans="1:10" x14ac:dyDescent="0.3">
      <c r="A5547" s="130"/>
      <c r="B5547" s="37"/>
      <c r="C5547" s="37"/>
      <c r="D5547" s="37"/>
      <c r="E5547" s="37"/>
      <c r="F5547" s="37"/>
      <c r="G5547" s="37"/>
      <c r="H5547" s="37"/>
      <c r="I5547" s="37"/>
      <c r="J5547" s="37"/>
    </row>
    <row r="5548" spans="1:10" x14ac:dyDescent="0.3">
      <c r="A5548" s="130"/>
      <c r="B5548" s="37"/>
      <c r="C5548" s="37"/>
      <c r="D5548" s="37"/>
      <c r="E5548" s="37"/>
      <c r="F5548" s="37"/>
      <c r="G5548" s="37"/>
      <c r="H5548" s="37"/>
      <c r="I5548" s="37"/>
      <c r="J5548" s="37"/>
    </row>
    <row r="5549" spans="1:10" x14ac:dyDescent="0.3">
      <c r="A5549" s="130"/>
      <c r="B5549" s="37"/>
      <c r="C5549" s="37"/>
      <c r="D5549" s="37"/>
      <c r="E5549" s="37"/>
      <c r="F5549" s="37"/>
      <c r="G5549" s="37"/>
      <c r="H5549" s="37"/>
      <c r="I5549" s="37"/>
      <c r="J5549" s="37"/>
    </row>
    <row r="5550" spans="1:10" x14ac:dyDescent="0.3">
      <c r="A5550" s="130"/>
      <c r="B5550" s="37"/>
      <c r="C5550" s="37"/>
      <c r="D5550" s="37"/>
      <c r="E5550" s="37"/>
      <c r="F5550" s="37"/>
      <c r="G5550" s="37"/>
      <c r="H5550" s="37"/>
      <c r="I5550" s="37"/>
      <c r="J5550" s="37"/>
    </row>
    <row r="5551" spans="1:10" x14ac:dyDescent="0.3">
      <c r="A5551" s="130"/>
      <c r="B5551" s="37"/>
      <c r="C5551" s="37"/>
      <c r="D5551" s="37"/>
      <c r="E5551" s="37"/>
      <c r="F5551" s="37"/>
      <c r="G5551" s="37"/>
      <c r="H5551" s="37"/>
      <c r="I5551" s="37"/>
      <c r="J5551" s="37"/>
    </row>
    <row r="5552" spans="1:10" x14ac:dyDescent="0.3">
      <c r="A5552" s="130"/>
      <c r="B5552" s="37"/>
      <c r="C5552" s="37"/>
      <c r="D5552" s="37"/>
      <c r="E5552" s="37"/>
      <c r="F5552" s="37"/>
      <c r="G5552" s="37"/>
      <c r="H5552" s="37"/>
      <c r="I5552" s="37"/>
      <c r="J5552" s="37"/>
    </row>
    <row r="5553" spans="1:10" x14ac:dyDescent="0.3">
      <c r="A5553" s="130"/>
      <c r="B5553" s="37"/>
      <c r="C5553" s="37"/>
      <c r="D5553" s="37"/>
      <c r="E5553" s="37"/>
      <c r="F5553" s="37"/>
      <c r="G5553" s="37"/>
      <c r="H5553" s="37"/>
      <c r="I5553" s="37"/>
      <c r="J5553" s="37"/>
    </row>
    <row r="5554" spans="1:10" x14ac:dyDescent="0.3">
      <c r="A5554" s="130"/>
      <c r="B5554" s="37"/>
      <c r="C5554" s="37"/>
      <c r="D5554" s="37"/>
      <c r="E5554" s="37"/>
      <c r="F5554" s="37"/>
      <c r="G5554" s="37"/>
      <c r="H5554" s="37"/>
      <c r="I5554" s="37"/>
      <c r="J5554" s="37"/>
    </row>
    <row r="5555" spans="1:10" x14ac:dyDescent="0.3">
      <c r="A5555" s="130"/>
      <c r="B5555" s="37"/>
      <c r="C5555" s="37"/>
      <c r="D5555" s="37"/>
      <c r="E5555" s="37"/>
      <c r="F5555" s="37"/>
      <c r="G5555" s="37"/>
      <c r="H5555" s="37"/>
      <c r="I5555" s="37"/>
      <c r="J5555" s="37"/>
    </row>
    <row r="5556" spans="1:10" x14ac:dyDescent="0.3">
      <c r="A5556" s="130"/>
      <c r="B5556" s="37"/>
      <c r="C5556" s="37"/>
      <c r="D5556" s="37"/>
      <c r="E5556" s="37"/>
      <c r="F5556" s="37"/>
      <c r="G5556" s="37"/>
      <c r="H5556" s="37"/>
      <c r="I5556" s="37"/>
      <c r="J5556" s="37"/>
    </row>
    <row r="5557" spans="1:10" x14ac:dyDescent="0.3">
      <c r="A5557" s="130"/>
      <c r="B5557" s="37"/>
      <c r="C5557" s="37"/>
      <c r="D5557" s="37"/>
      <c r="E5557" s="37"/>
      <c r="F5557" s="37"/>
      <c r="G5557" s="37"/>
      <c r="H5557" s="37"/>
      <c r="I5557" s="37"/>
      <c r="J5557" s="37"/>
    </row>
    <row r="5558" spans="1:10" x14ac:dyDescent="0.3">
      <c r="A5558" s="130"/>
      <c r="B5558" s="37"/>
      <c r="C5558" s="37"/>
      <c r="D5558" s="37"/>
      <c r="E5558" s="37"/>
      <c r="F5558" s="37"/>
      <c r="G5558" s="37"/>
      <c r="H5558" s="37"/>
      <c r="I5558" s="37"/>
      <c r="J5558" s="37"/>
    </row>
    <row r="5559" spans="1:10" x14ac:dyDescent="0.3">
      <c r="A5559" s="130"/>
      <c r="B5559" s="37"/>
      <c r="C5559" s="37"/>
      <c r="D5559" s="37"/>
      <c r="E5559" s="37"/>
      <c r="F5559" s="37"/>
      <c r="G5559" s="37"/>
      <c r="H5559" s="37"/>
      <c r="I5559" s="37"/>
      <c r="J5559" s="37"/>
    </row>
    <row r="5560" spans="1:10" x14ac:dyDescent="0.3">
      <c r="A5560" s="130"/>
      <c r="B5560" s="37"/>
      <c r="C5560" s="37"/>
      <c r="D5560" s="37"/>
      <c r="E5560" s="37"/>
      <c r="F5560" s="37"/>
      <c r="G5560" s="37"/>
      <c r="H5560" s="37"/>
      <c r="I5560" s="37"/>
      <c r="J5560" s="37"/>
    </row>
    <row r="5561" spans="1:10" x14ac:dyDescent="0.3">
      <c r="A5561" s="130"/>
      <c r="B5561" s="37"/>
      <c r="C5561" s="37"/>
      <c r="D5561" s="37"/>
      <c r="E5561" s="37"/>
      <c r="F5561" s="37"/>
      <c r="G5561" s="37"/>
      <c r="H5561" s="37"/>
      <c r="I5561" s="37"/>
      <c r="J5561" s="37"/>
    </row>
    <row r="5562" spans="1:10" x14ac:dyDescent="0.3">
      <c r="A5562" s="130"/>
      <c r="B5562" s="37"/>
      <c r="C5562" s="37"/>
      <c r="D5562" s="37"/>
      <c r="E5562" s="37"/>
      <c r="F5562" s="37"/>
      <c r="G5562" s="37"/>
      <c r="H5562" s="37"/>
      <c r="I5562" s="37"/>
      <c r="J5562" s="37"/>
    </row>
    <row r="5563" spans="1:10" x14ac:dyDescent="0.3">
      <c r="A5563" s="130"/>
      <c r="B5563" s="37"/>
      <c r="C5563" s="37"/>
      <c r="D5563" s="37"/>
      <c r="E5563" s="37"/>
      <c r="F5563" s="37"/>
      <c r="G5563" s="37"/>
      <c r="H5563" s="37"/>
      <c r="I5563" s="37"/>
      <c r="J5563" s="37"/>
    </row>
    <row r="5564" spans="1:10" x14ac:dyDescent="0.3">
      <c r="A5564" s="130"/>
      <c r="B5564" s="37"/>
      <c r="C5564" s="37"/>
      <c r="D5564" s="37"/>
      <c r="E5564" s="37"/>
      <c r="F5564" s="37"/>
      <c r="G5564" s="37"/>
      <c r="H5564" s="37"/>
      <c r="I5564" s="37"/>
      <c r="J5564" s="37"/>
    </row>
    <row r="5565" spans="1:10" x14ac:dyDescent="0.3">
      <c r="A5565" s="130"/>
      <c r="B5565" s="37"/>
      <c r="C5565" s="37"/>
      <c r="D5565" s="37"/>
      <c r="E5565" s="37"/>
      <c r="F5565" s="37"/>
      <c r="G5565" s="37"/>
      <c r="H5565" s="37"/>
      <c r="I5565" s="37"/>
      <c r="J5565" s="37"/>
    </row>
    <row r="5566" spans="1:10" x14ac:dyDescent="0.3">
      <c r="A5566" s="130"/>
      <c r="B5566" s="37"/>
      <c r="C5566" s="37"/>
      <c r="D5566" s="37"/>
      <c r="E5566" s="37"/>
      <c r="F5566" s="37"/>
      <c r="G5566" s="37"/>
      <c r="H5566" s="37"/>
      <c r="I5566" s="37"/>
      <c r="J5566" s="37"/>
    </row>
    <row r="5567" spans="1:10" x14ac:dyDescent="0.3">
      <c r="A5567" s="130"/>
      <c r="B5567" s="37"/>
      <c r="C5567" s="37"/>
      <c r="D5567" s="37"/>
      <c r="E5567" s="37"/>
      <c r="F5567" s="37"/>
      <c r="G5567" s="37"/>
      <c r="H5567" s="37"/>
      <c r="I5567" s="37"/>
      <c r="J5567" s="37"/>
    </row>
    <row r="5568" spans="1:10" x14ac:dyDescent="0.3">
      <c r="A5568" s="130"/>
      <c r="B5568" s="37"/>
      <c r="C5568" s="37"/>
      <c r="D5568" s="37"/>
      <c r="E5568" s="37"/>
      <c r="F5568" s="37"/>
      <c r="G5568" s="37"/>
      <c r="H5568" s="37"/>
      <c r="I5568" s="37"/>
      <c r="J5568" s="37"/>
    </row>
    <row r="5569" spans="1:10" x14ac:dyDescent="0.3">
      <c r="A5569" s="130"/>
      <c r="B5569" s="37"/>
      <c r="C5569" s="37"/>
      <c r="D5569" s="37"/>
      <c r="E5569" s="37"/>
      <c r="F5569" s="37"/>
      <c r="G5569" s="37"/>
      <c r="H5569" s="37"/>
      <c r="I5569" s="37"/>
      <c r="J5569" s="37"/>
    </row>
    <row r="5570" spans="1:10" x14ac:dyDescent="0.3">
      <c r="A5570" s="130"/>
      <c r="B5570" s="37"/>
      <c r="C5570" s="37"/>
      <c r="D5570" s="37"/>
      <c r="E5570" s="37"/>
      <c r="F5570" s="37"/>
      <c r="G5570" s="37"/>
      <c r="H5570" s="37"/>
      <c r="I5570" s="37"/>
      <c r="J5570" s="37"/>
    </row>
    <row r="5571" spans="1:10" x14ac:dyDescent="0.3">
      <c r="A5571" s="130"/>
      <c r="B5571" s="37"/>
      <c r="C5571" s="37"/>
      <c r="D5571" s="37"/>
      <c r="E5571" s="37"/>
      <c r="F5571" s="37"/>
      <c r="G5571" s="37"/>
      <c r="H5571" s="37"/>
      <c r="I5571" s="37"/>
      <c r="J5571" s="37"/>
    </row>
    <row r="5572" spans="1:10" x14ac:dyDescent="0.3">
      <c r="A5572" s="130"/>
      <c r="B5572" s="37"/>
      <c r="C5572" s="37"/>
      <c r="D5572" s="37"/>
      <c r="E5572" s="37"/>
      <c r="F5572" s="37"/>
      <c r="G5572" s="37"/>
      <c r="H5572" s="37"/>
      <c r="I5572" s="37"/>
      <c r="J5572" s="37"/>
    </row>
    <row r="5573" spans="1:10" x14ac:dyDescent="0.3">
      <c r="A5573" s="130"/>
      <c r="B5573" s="37"/>
      <c r="C5573" s="37"/>
      <c r="D5573" s="37"/>
      <c r="E5573" s="37"/>
      <c r="F5573" s="37"/>
      <c r="G5573" s="37"/>
      <c r="H5573" s="37"/>
      <c r="I5573" s="37"/>
      <c r="J5573" s="37"/>
    </row>
    <row r="5574" spans="1:10" x14ac:dyDescent="0.3">
      <c r="A5574" s="130"/>
      <c r="B5574" s="37"/>
      <c r="C5574" s="37"/>
      <c r="D5574" s="37"/>
      <c r="E5574" s="37"/>
      <c r="F5574" s="37"/>
      <c r="G5574" s="37"/>
      <c r="H5574" s="37"/>
      <c r="I5574" s="37"/>
      <c r="J5574" s="37"/>
    </row>
    <row r="5575" spans="1:10" x14ac:dyDescent="0.3">
      <c r="A5575" s="130"/>
      <c r="B5575" s="37"/>
      <c r="C5575" s="37"/>
      <c r="D5575" s="37"/>
      <c r="E5575" s="37"/>
      <c r="F5575" s="37"/>
      <c r="G5575" s="37"/>
      <c r="H5575" s="37"/>
      <c r="I5575" s="37"/>
      <c r="J5575" s="37"/>
    </row>
    <row r="5576" spans="1:10" x14ac:dyDescent="0.3">
      <c r="A5576" s="130"/>
      <c r="B5576" s="37"/>
      <c r="C5576" s="37"/>
      <c r="D5576" s="37"/>
      <c r="E5576" s="37"/>
      <c r="F5576" s="37"/>
      <c r="G5576" s="37"/>
      <c r="H5576" s="37"/>
      <c r="I5576" s="37"/>
      <c r="J5576" s="37"/>
    </row>
    <row r="5577" spans="1:10" x14ac:dyDescent="0.3">
      <c r="A5577" s="130"/>
      <c r="B5577" s="37"/>
      <c r="C5577" s="37"/>
      <c r="D5577" s="37"/>
      <c r="E5577" s="37"/>
      <c r="F5577" s="37"/>
      <c r="G5577" s="37"/>
      <c r="H5577" s="37"/>
      <c r="I5577" s="37"/>
      <c r="J5577" s="37"/>
    </row>
    <row r="5578" spans="1:10" x14ac:dyDescent="0.3">
      <c r="A5578" s="130"/>
      <c r="B5578" s="37"/>
      <c r="C5578" s="37"/>
      <c r="D5578" s="37"/>
      <c r="E5578" s="37"/>
      <c r="F5578" s="37"/>
      <c r="G5578" s="37"/>
      <c r="H5578" s="37"/>
      <c r="I5578" s="37"/>
      <c r="J5578" s="37"/>
    </row>
    <row r="5579" spans="1:10" x14ac:dyDescent="0.3">
      <c r="A5579" s="130"/>
      <c r="B5579" s="37"/>
      <c r="C5579" s="37"/>
      <c r="D5579" s="37"/>
      <c r="E5579" s="37"/>
      <c r="F5579" s="37"/>
      <c r="G5579" s="37"/>
      <c r="H5579" s="37"/>
      <c r="I5579" s="37"/>
      <c r="J5579" s="37"/>
    </row>
    <row r="5580" spans="1:10" x14ac:dyDescent="0.3">
      <c r="A5580" s="130"/>
      <c r="B5580" s="37"/>
      <c r="C5580" s="37"/>
      <c r="D5580" s="37"/>
      <c r="E5580" s="37"/>
      <c r="F5580" s="37"/>
      <c r="G5580" s="37"/>
      <c r="H5580" s="37"/>
      <c r="I5580" s="37"/>
      <c r="J5580" s="37"/>
    </row>
    <row r="5581" spans="1:10" x14ac:dyDescent="0.3">
      <c r="A5581" s="130"/>
      <c r="B5581" s="37"/>
      <c r="C5581" s="37"/>
      <c r="D5581" s="37"/>
      <c r="E5581" s="37"/>
      <c r="F5581" s="37"/>
      <c r="G5581" s="37"/>
      <c r="H5581" s="37"/>
      <c r="I5581" s="37"/>
      <c r="J5581" s="37"/>
    </row>
    <row r="5582" spans="1:10" x14ac:dyDescent="0.3">
      <c r="A5582" s="130"/>
      <c r="B5582" s="37"/>
      <c r="C5582" s="37"/>
      <c r="D5582" s="37"/>
      <c r="E5582" s="37"/>
      <c r="F5582" s="37"/>
      <c r="G5582" s="37"/>
      <c r="H5582" s="37"/>
      <c r="I5582" s="37"/>
      <c r="J5582" s="37"/>
    </row>
    <row r="5583" spans="1:10" x14ac:dyDescent="0.3">
      <c r="A5583" s="130"/>
      <c r="B5583" s="37"/>
      <c r="C5583" s="37"/>
      <c r="D5583" s="37"/>
      <c r="E5583" s="37"/>
      <c r="F5583" s="37"/>
      <c r="G5583" s="37"/>
      <c r="H5583" s="37"/>
      <c r="I5583" s="37"/>
      <c r="J5583" s="37"/>
    </row>
    <row r="5584" spans="1:10" x14ac:dyDescent="0.3">
      <c r="A5584" s="130"/>
      <c r="B5584" s="37"/>
      <c r="C5584" s="37"/>
      <c r="D5584" s="37"/>
      <c r="E5584" s="37"/>
      <c r="F5584" s="37"/>
      <c r="G5584" s="37"/>
      <c r="H5584" s="37"/>
      <c r="I5584" s="37"/>
      <c r="J5584" s="37"/>
    </row>
    <row r="5585" spans="1:10" x14ac:dyDescent="0.3">
      <c r="A5585" s="130"/>
      <c r="B5585" s="37"/>
      <c r="C5585" s="37"/>
      <c r="D5585" s="37"/>
      <c r="E5585" s="37"/>
      <c r="F5585" s="37"/>
      <c r="G5585" s="37"/>
      <c r="H5585" s="37"/>
      <c r="I5585" s="37"/>
      <c r="J5585" s="37"/>
    </row>
    <row r="5586" spans="1:10" x14ac:dyDescent="0.3">
      <c r="A5586" s="130"/>
      <c r="B5586" s="37"/>
      <c r="C5586" s="37"/>
      <c r="D5586" s="37"/>
      <c r="E5586" s="37"/>
      <c r="F5586" s="37"/>
      <c r="G5586" s="37"/>
      <c r="H5586" s="37"/>
      <c r="I5586" s="37"/>
      <c r="J5586" s="37"/>
    </row>
    <row r="5587" spans="1:10" x14ac:dyDescent="0.3">
      <c r="A5587" s="130"/>
      <c r="B5587" s="37"/>
      <c r="C5587" s="37"/>
      <c r="D5587" s="37"/>
      <c r="E5587" s="37"/>
      <c r="F5587" s="37"/>
      <c r="G5587" s="37"/>
      <c r="H5587" s="37"/>
      <c r="I5587" s="37"/>
      <c r="J5587" s="37"/>
    </row>
    <row r="5588" spans="1:10" x14ac:dyDescent="0.3">
      <c r="A5588" s="130"/>
      <c r="B5588" s="37"/>
      <c r="C5588" s="37"/>
      <c r="D5588" s="37"/>
      <c r="E5588" s="37"/>
      <c r="F5588" s="37"/>
      <c r="G5588" s="37"/>
      <c r="H5588" s="37"/>
      <c r="I5588" s="37"/>
      <c r="J5588" s="37"/>
    </row>
    <row r="5589" spans="1:10" x14ac:dyDescent="0.3">
      <c r="A5589" s="130"/>
      <c r="B5589" s="37"/>
      <c r="C5589" s="37"/>
      <c r="D5589" s="37"/>
      <c r="E5589" s="37"/>
      <c r="F5589" s="37"/>
      <c r="G5589" s="37"/>
      <c r="H5589" s="37"/>
      <c r="I5589" s="37"/>
      <c r="J5589" s="37"/>
    </row>
    <row r="5590" spans="1:10" x14ac:dyDescent="0.3">
      <c r="A5590" s="130"/>
      <c r="B5590" s="37"/>
      <c r="C5590" s="37"/>
      <c r="D5590" s="37"/>
      <c r="E5590" s="37"/>
      <c r="F5590" s="37"/>
      <c r="G5590" s="37"/>
      <c r="H5590" s="37"/>
      <c r="I5590" s="37"/>
      <c r="J5590" s="37"/>
    </row>
    <row r="5591" spans="1:10" x14ac:dyDescent="0.3">
      <c r="A5591" s="130"/>
      <c r="B5591" s="37"/>
      <c r="C5591" s="37"/>
      <c r="D5591" s="37"/>
      <c r="E5591" s="37"/>
      <c r="F5591" s="37"/>
      <c r="G5591" s="37"/>
      <c r="H5591" s="37"/>
      <c r="I5591" s="37"/>
      <c r="J5591" s="37"/>
    </row>
    <row r="5592" spans="1:10" x14ac:dyDescent="0.3">
      <c r="A5592" s="130"/>
      <c r="B5592" s="37"/>
      <c r="C5592" s="37"/>
      <c r="D5592" s="37"/>
      <c r="E5592" s="37"/>
      <c r="F5592" s="37"/>
      <c r="G5592" s="37"/>
      <c r="H5592" s="37"/>
      <c r="I5592" s="37"/>
      <c r="J5592" s="37"/>
    </row>
    <row r="5593" spans="1:10" x14ac:dyDescent="0.3">
      <c r="A5593" s="130"/>
      <c r="B5593" s="37"/>
      <c r="C5593" s="37"/>
      <c r="D5593" s="37"/>
      <c r="E5593" s="37"/>
      <c r="F5593" s="37"/>
      <c r="G5593" s="37"/>
      <c r="H5593" s="37"/>
      <c r="I5593" s="37"/>
      <c r="J5593" s="37"/>
    </row>
    <row r="5594" spans="1:10" x14ac:dyDescent="0.3">
      <c r="A5594" s="130"/>
      <c r="B5594" s="37"/>
      <c r="C5594" s="37"/>
      <c r="D5594" s="37"/>
      <c r="E5594" s="37"/>
      <c r="F5594" s="37"/>
      <c r="G5594" s="37"/>
      <c r="H5594" s="37"/>
      <c r="I5594" s="37"/>
      <c r="J5594" s="37"/>
    </row>
    <row r="5595" spans="1:10" x14ac:dyDescent="0.3">
      <c r="A5595" s="130"/>
      <c r="B5595" s="37"/>
      <c r="C5595" s="37"/>
      <c r="D5595" s="37"/>
      <c r="E5595" s="37"/>
      <c r="F5595" s="37"/>
      <c r="G5595" s="37"/>
      <c r="H5595" s="37"/>
      <c r="I5595" s="37"/>
      <c r="J5595" s="37"/>
    </row>
    <row r="5596" spans="1:10" x14ac:dyDescent="0.3">
      <c r="A5596" s="130"/>
      <c r="B5596" s="37"/>
      <c r="C5596" s="37"/>
      <c r="D5596" s="37"/>
      <c r="E5596" s="37"/>
      <c r="F5596" s="37"/>
      <c r="G5596" s="37"/>
      <c r="H5596" s="37"/>
      <c r="I5596" s="37"/>
      <c r="J5596" s="37"/>
    </row>
    <row r="5597" spans="1:10" x14ac:dyDescent="0.3">
      <c r="A5597" s="130"/>
      <c r="B5597" s="37"/>
      <c r="C5597" s="37"/>
      <c r="D5597" s="37"/>
      <c r="E5597" s="37"/>
      <c r="F5597" s="37"/>
      <c r="G5597" s="37"/>
      <c r="H5597" s="37"/>
      <c r="I5597" s="37"/>
      <c r="J5597" s="37"/>
    </row>
    <row r="5598" spans="1:10" x14ac:dyDescent="0.3">
      <c r="A5598" s="130"/>
      <c r="B5598" s="37"/>
      <c r="C5598" s="37"/>
      <c r="D5598" s="37"/>
      <c r="E5598" s="37"/>
      <c r="F5598" s="37"/>
      <c r="G5598" s="37"/>
      <c r="H5598" s="37"/>
      <c r="I5598" s="37"/>
      <c r="J5598" s="37"/>
    </row>
    <row r="5599" spans="1:10" x14ac:dyDescent="0.3">
      <c r="A5599" s="130"/>
      <c r="B5599" s="37"/>
      <c r="C5599" s="37"/>
      <c r="D5599" s="37"/>
      <c r="E5599" s="37"/>
      <c r="F5599" s="37"/>
      <c r="G5599" s="37"/>
      <c r="H5599" s="37"/>
      <c r="I5599" s="37"/>
      <c r="J5599" s="37"/>
    </row>
    <row r="5600" spans="1:10" x14ac:dyDescent="0.3">
      <c r="A5600" s="130"/>
      <c r="B5600" s="37"/>
      <c r="C5600" s="37"/>
      <c r="D5600" s="37"/>
      <c r="E5600" s="37"/>
      <c r="F5600" s="37"/>
      <c r="G5600" s="37"/>
      <c r="H5600" s="37"/>
      <c r="I5600" s="37"/>
      <c r="J5600" s="37"/>
    </row>
    <row r="5601" spans="1:10" x14ac:dyDescent="0.3">
      <c r="A5601" s="130"/>
      <c r="B5601" s="37"/>
      <c r="C5601" s="37"/>
      <c r="D5601" s="37"/>
      <c r="E5601" s="37"/>
      <c r="F5601" s="37"/>
      <c r="G5601" s="37"/>
      <c r="H5601" s="37"/>
      <c r="I5601" s="37"/>
      <c r="J5601" s="37"/>
    </row>
    <row r="5602" spans="1:10" x14ac:dyDescent="0.3">
      <c r="A5602" s="130"/>
      <c r="B5602" s="37"/>
      <c r="C5602" s="37"/>
      <c r="D5602" s="37"/>
      <c r="E5602" s="37"/>
      <c r="F5602" s="37"/>
      <c r="G5602" s="37"/>
      <c r="H5602" s="37"/>
      <c r="I5602" s="37"/>
      <c r="J5602" s="37"/>
    </row>
    <row r="5603" spans="1:10" x14ac:dyDescent="0.3">
      <c r="A5603" s="130"/>
      <c r="B5603" s="37"/>
      <c r="C5603" s="37"/>
      <c r="D5603" s="37"/>
      <c r="E5603" s="37"/>
      <c r="F5603" s="37"/>
      <c r="G5603" s="37"/>
      <c r="H5603" s="37"/>
      <c r="I5603" s="37"/>
      <c r="J5603" s="37"/>
    </row>
    <row r="5604" spans="1:10" x14ac:dyDescent="0.3">
      <c r="A5604" s="130"/>
      <c r="B5604" s="37"/>
      <c r="C5604" s="37"/>
      <c r="D5604" s="37"/>
      <c r="E5604" s="37"/>
      <c r="F5604" s="37"/>
      <c r="G5604" s="37"/>
      <c r="H5604" s="37"/>
      <c r="I5604" s="37"/>
      <c r="J5604" s="37"/>
    </row>
    <row r="5605" spans="1:10" x14ac:dyDescent="0.3">
      <c r="A5605" s="130"/>
      <c r="B5605" s="37"/>
      <c r="C5605" s="37"/>
      <c r="D5605" s="37"/>
      <c r="E5605" s="37"/>
      <c r="F5605" s="37"/>
      <c r="G5605" s="37"/>
      <c r="H5605" s="37"/>
      <c r="I5605" s="37"/>
      <c r="J5605" s="37"/>
    </row>
    <row r="5606" spans="1:10" x14ac:dyDescent="0.3">
      <c r="A5606" s="130"/>
      <c r="B5606" s="37"/>
      <c r="C5606" s="37"/>
      <c r="D5606" s="37"/>
      <c r="E5606" s="37"/>
      <c r="F5606" s="37"/>
      <c r="G5606" s="37"/>
      <c r="H5606" s="37"/>
      <c r="I5606" s="37"/>
      <c r="J5606" s="37"/>
    </row>
    <row r="5607" spans="1:10" x14ac:dyDescent="0.3">
      <c r="A5607" s="130"/>
      <c r="B5607" s="37"/>
      <c r="C5607" s="37"/>
      <c r="D5607" s="37"/>
      <c r="E5607" s="37"/>
      <c r="F5607" s="37"/>
      <c r="G5607" s="37"/>
      <c r="H5607" s="37"/>
      <c r="I5607" s="37"/>
      <c r="J5607" s="37"/>
    </row>
    <row r="5608" spans="1:10" x14ac:dyDescent="0.3">
      <c r="A5608" s="130"/>
      <c r="B5608" s="37"/>
      <c r="C5608" s="37"/>
      <c r="D5608" s="37"/>
      <c r="E5608" s="37"/>
      <c r="F5608" s="37"/>
      <c r="G5608" s="37"/>
      <c r="H5608" s="37"/>
      <c r="I5608" s="37"/>
      <c r="J5608" s="37"/>
    </row>
    <row r="5609" spans="1:10" x14ac:dyDescent="0.3">
      <c r="A5609" s="130"/>
      <c r="B5609" s="37"/>
      <c r="C5609" s="37"/>
      <c r="D5609" s="37"/>
      <c r="E5609" s="37"/>
      <c r="F5609" s="37"/>
      <c r="G5609" s="37"/>
      <c r="H5609" s="37"/>
      <c r="I5609" s="37"/>
      <c r="J5609" s="37"/>
    </row>
    <row r="5610" spans="1:10" x14ac:dyDescent="0.3">
      <c r="A5610" s="130"/>
      <c r="B5610" s="37"/>
      <c r="C5610" s="37"/>
      <c r="D5610" s="37"/>
      <c r="E5610" s="37"/>
      <c r="F5610" s="37"/>
      <c r="G5610" s="37"/>
      <c r="H5610" s="37"/>
      <c r="I5610" s="37"/>
      <c r="J5610" s="37"/>
    </row>
    <row r="5611" spans="1:10" x14ac:dyDescent="0.3">
      <c r="A5611" s="130"/>
      <c r="B5611" s="37"/>
      <c r="C5611" s="37"/>
      <c r="D5611" s="37"/>
      <c r="E5611" s="37"/>
      <c r="F5611" s="37"/>
      <c r="G5611" s="37"/>
      <c r="H5611" s="37"/>
      <c r="I5611" s="37"/>
      <c r="J5611" s="37"/>
    </row>
    <row r="5612" spans="1:10" x14ac:dyDescent="0.3">
      <c r="A5612" s="130"/>
      <c r="B5612" s="37"/>
      <c r="C5612" s="37"/>
      <c r="D5612" s="37"/>
      <c r="E5612" s="37"/>
      <c r="F5612" s="37"/>
      <c r="G5612" s="37"/>
      <c r="H5612" s="37"/>
      <c r="I5612" s="37"/>
      <c r="J5612" s="37"/>
    </row>
    <row r="5613" spans="1:10" x14ac:dyDescent="0.3">
      <c r="A5613" s="130"/>
      <c r="B5613" s="37"/>
      <c r="C5613" s="37"/>
      <c r="D5613" s="37"/>
      <c r="E5613" s="37"/>
      <c r="F5613" s="37"/>
      <c r="G5613" s="37"/>
      <c r="H5613" s="37"/>
      <c r="I5613" s="37"/>
      <c r="J5613" s="37"/>
    </row>
    <row r="5614" spans="1:10" x14ac:dyDescent="0.3">
      <c r="A5614" s="130"/>
      <c r="B5614" s="37"/>
      <c r="C5614" s="37"/>
      <c r="D5614" s="37"/>
      <c r="E5614" s="37"/>
      <c r="F5614" s="37"/>
      <c r="G5614" s="37"/>
      <c r="H5614" s="37"/>
      <c r="I5614" s="37"/>
      <c r="J5614" s="37"/>
    </row>
    <row r="5615" spans="1:10" x14ac:dyDescent="0.3">
      <c r="A5615" s="130"/>
      <c r="B5615" s="37"/>
      <c r="C5615" s="37"/>
      <c r="D5615" s="37"/>
      <c r="E5615" s="37"/>
      <c r="F5615" s="37"/>
      <c r="G5615" s="37"/>
      <c r="H5615" s="37"/>
      <c r="I5615" s="37"/>
      <c r="J5615" s="37"/>
    </row>
    <row r="5616" spans="1:10" x14ac:dyDescent="0.3">
      <c r="A5616" s="130"/>
      <c r="B5616" s="37"/>
      <c r="C5616" s="37"/>
      <c r="D5616" s="37"/>
      <c r="E5616" s="37"/>
      <c r="F5616" s="37"/>
      <c r="G5616" s="37"/>
      <c r="H5616" s="37"/>
      <c r="I5616" s="37"/>
      <c r="J5616" s="37"/>
    </row>
    <row r="5617" spans="1:10" x14ac:dyDescent="0.3">
      <c r="A5617" s="130"/>
      <c r="B5617" s="37"/>
      <c r="C5617" s="37"/>
      <c r="D5617" s="37"/>
      <c r="E5617" s="37"/>
      <c r="F5617" s="37"/>
      <c r="G5617" s="37"/>
      <c r="H5617" s="37"/>
      <c r="I5617" s="37"/>
      <c r="J5617" s="37"/>
    </row>
    <row r="5618" spans="1:10" x14ac:dyDescent="0.3">
      <c r="A5618" s="130"/>
      <c r="B5618" s="37"/>
      <c r="C5618" s="37"/>
      <c r="D5618" s="37"/>
      <c r="E5618" s="37"/>
      <c r="F5618" s="37"/>
      <c r="G5618" s="37"/>
      <c r="H5618" s="37"/>
      <c r="I5618" s="37"/>
      <c r="J5618" s="37"/>
    </row>
    <row r="5619" spans="1:10" x14ac:dyDescent="0.3">
      <c r="A5619" s="130"/>
      <c r="B5619" s="37"/>
      <c r="C5619" s="37"/>
      <c r="D5619" s="37"/>
      <c r="E5619" s="37"/>
      <c r="F5619" s="37"/>
      <c r="G5619" s="37"/>
      <c r="H5619" s="37"/>
      <c r="I5619" s="37"/>
      <c r="J5619" s="37"/>
    </row>
    <row r="5620" spans="1:10" x14ac:dyDescent="0.3">
      <c r="A5620" s="130"/>
      <c r="B5620" s="37"/>
      <c r="C5620" s="37"/>
      <c r="D5620" s="37"/>
      <c r="E5620" s="37"/>
      <c r="F5620" s="37"/>
      <c r="G5620" s="37"/>
      <c r="H5620" s="37"/>
      <c r="I5620" s="37"/>
      <c r="J5620" s="37"/>
    </row>
    <row r="5621" spans="1:10" x14ac:dyDescent="0.3">
      <c r="A5621" s="130"/>
      <c r="B5621" s="37"/>
      <c r="C5621" s="37"/>
      <c r="D5621" s="37"/>
      <c r="E5621" s="37"/>
      <c r="F5621" s="37"/>
      <c r="G5621" s="37"/>
      <c r="H5621" s="37"/>
      <c r="I5621" s="37"/>
      <c r="J5621" s="37"/>
    </row>
    <row r="5622" spans="1:10" x14ac:dyDescent="0.3">
      <c r="A5622" s="130"/>
      <c r="B5622" s="37"/>
      <c r="C5622" s="37"/>
      <c r="D5622" s="37"/>
      <c r="E5622" s="37"/>
      <c r="F5622" s="37"/>
      <c r="G5622" s="37"/>
      <c r="H5622" s="37"/>
      <c r="I5622" s="37"/>
      <c r="J5622" s="37"/>
    </row>
    <row r="5623" spans="1:10" x14ac:dyDescent="0.3">
      <c r="A5623" s="130"/>
      <c r="B5623" s="37"/>
      <c r="C5623" s="37"/>
      <c r="D5623" s="37"/>
      <c r="E5623" s="37"/>
      <c r="F5623" s="37"/>
      <c r="G5623" s="37"/>
      <c r="H5623" s="37"/>
      <c r="I5623" s="37"/>
      <c r="J5623" s="37"/>
    </row>
    <row r="5624" spans="1:10" x14ac:dyDescent="0.3">
      <c r="A5624" s="130"/>
      <c r="B5624" s="37"/>
      <c r="C5624" s="37"/>
      <c r="D5624" s="37"/>
      <c r="E5624" s="37"/>
      <c r="F5624" s="37"/>
      <c r="G5624" s="37"/>
      <c r="H5624" s="37"/>
      <c r="I5624" s="37"/>
      <c r="J5624" s="37"/>
    </row>
    <row r="5625" spans="1:10" x14ac:dyDescent="0.3">
      <c r="A5625" s="130"/>
      <c r="B5625" s="37"/>
      <c r="C5625" s="37"/>
      <c r="D5625" s="37"/>
      <c r="E5625" s="37"/>
      <c r="F5625" s="37"/>
      <c r="G5625" s="37"/>
      <c r="H5625" s="37"/>
      <c r="I5625" s="37"/>
      <c r="J5625" s="37"/>
    </row>
    <row r="5626" spans="1:10" x14ac:dyDescent="0.3">
      <c r="A5626" s="130"/>
      <c r="B5626" s="37"/>
      <c r="C5626" s="37"/>
      <c r="D5626" s="37"/>
      <c r="E5626" s="37"/>
      <c r="F5626" s="37"/>
      <c r="G5626" s="37"/>
      <c r="H5626" s="37"/>
      <c r="I5626" s="37"/>
      <c r="J5626" s="37"/>
    </row>
    <row r="5627" spans="1:10" x14ac:dyDescent="0.3">
      <c r="A5627" s="130"/>
      <c r="B5627" s="37"/>
      <c r="C5627" s="37"/>
      <c r="D5627" s="37"/>
      <c r="E5627" s="37"/>
      <c r="F5627" s="37"/>
      <c r="G5627" s="37"/>
      <c r="H5627" s="37"/>
      <c r="I5627" s="37"/>
      <c r="J5627" s="37"/>
    </row>
    <row r="5628" spans="1:10" x14ac:dyDescent="0.3">
      <c r="A5628" s="130"/>
      <c r="B5628" s="37"/>
      <c r="C5628" s="37"/>
      <c r="D5628" s="37"/>
      <c r="E5628" s="37"/>
      <c r="F5628" s="37"/>
      <c r="G5628" s="37"/>
      <c r="H5628" s="37"/>
      <c r="I5628" s="37"/>
      <c r="J5628" s="37"/>
    </row>
    <row r="5629" spans="1:10" x14ac:dyDescent="0.3">
      <c r="A5629" s="130"/>
      <c r="B5629" s="37"/>
      <c r="C5629" s="37"/>
      <c r="D5629" s="37"/>
      <c r="E5629" s="37"/>
      <c r="F5629" s="37"/>
      <c r="G5629" s="37"/>
      <c r="H5629" s="37"/>
      <c r="I5629" s="37"/>
      <c r="J5629" s="37"/>
    </row>
    <row r="5630" spans="1:10" x14ac:dyDescent="0.3">
      <c r="A5630" s="130"/>
      <c r="B5630" s="37"/>
      <c r="C5630" s="37"/>
      <c r="D5630" s="37"/>
      <c r="E5630" s="37"/>
      <c r="F5630" s="37"/>
      <c r="G5630" s="37"/>
      <c r="H5630" s="37"/>
      <c r="I5630" s="37"/>
      <c r="J5630" s="37"/>
    </row>
    <row r="5631" spans="1:10" x14ac:dyDescent="0.3">
      <c r="A5631" s="130"/>
      <c r="B5631" s="37"/>
      <c r="C5631" s="37"/>
      <c r="D5631" s="37"/>
      <c r="E5631" s="37"/>
      <c r="F5631" s="37"/>
      <c r="G5631" s="37"/>
      <c r="H5631" s="37"/>
      <c r="I5631" s="37"/>
      <c r="J5631" s="37"/>
    </row>
    <row r="5632" spans="1:10" x14ac:dyDescent="0.3">
      <c r="A5632" s="130"/>
      <c r="B5632" s="37"/>
      <c r="C5632" s="37"/>
      <c r="D5632" s="37"/>
      <c r="E5632" s="37"/>
      <c r="F5632" s="37"/>
      <c r="G5632" s="37"/>
      <c r="H5632" s="37"/>
      <c r="I5632" s="37"/>
      <c r="J5632" s="37"/>
    </row>
    <row r="5633" spans="1:10" x14ac:dyDescent="0.3">
      <c r="A5633" s="130"/>
      <c r="B5633" s="37"/>
      <c r="C5633" s="37"/>
      <c r="D5633" s="37"/>
      <c r="E5633" s="37"/>
      <c r="F5633" s="37"/>
      <c r="G5633" s="37"/>
      <c r="H5633" s="37"/>
      <c r="I5633" s="37"/>
      <c r="J5633" s="37"/>
    </row>
    <row r="5634" spans="1:10" x14ac:dyDescent="0.3">
      <c r="A5634" s="130"/>
      <c r="B5634" s="37"/>
      <c r="C5634" s="37"/>
      <c r="D5634" s="37"/>
      <c r="E5634" s="37"/>
      <c r="F5634" s="37"/>
      <c r="G5634" s="37"/>
      <c r="H5634" s="37"/>
      <c r="I5634" s="37"/>
      <c r="J5634" s="37"/>
    </row>
    <row r="5635" spans="1:10" x14ac:dyDescent="0.3">
      <c r="A5635" s="130"/>
      <c r="B5635" s="37"/>
      <c r="C5635" s="37"/>
      <c r="D5635" s="37"/>
      <c r="E5635" s="37"/>
      <c r="F5635" s="37"/>
      <c r="G5635" s="37"/>
      <c r="H5635" s="37"/>
      <c r="I5635" s="37"/>
      <c r="J5635" s="37"/>
    </row>
    <row r="5636" spans="1:10" x14ac:dyDescent="0.3">
      <c r="A5636" s="130"/>
      <c r="B5636" s="37"/>
      <c r="C5636" s="37"/>
      <c r="D5636" s="37"/>
      <c r="E5636" s="37"/>
      <c r="F5636" s="37"/>
      <c r="G5636" s="37"/>
      <c r="H5636" s="37"/>
      <c r="I5636" s="37"/>
      <c r="J5636" s="37"/>
    </row>
    <row r="5637" spans="1:10" x14ac:dyDescent="0.3">
      <c r="A5637" s="130"/>
      <c r="B5637" s="37"/>
      <c r="C5637" s="37"/>
      <c r="D5637" s="37"/>
      <c r="E5637" s="37"/>
      <c r="F5637" s="37"/>
      <c r="G5637" s="37"/>
      <c r="H5637" s="37"/>
      <c r="I5637" s="37"/>
      <c r="J5637" s="37"/>
    </row>
    <row r="5638" spans="1:10" x14ac:dyDescent="0.3">
      <c r="A5638" s="130"/>
      <c r="B5638" s="37"/>
      <c r="C5638" s="37"/>
      <c r="D5638" s="37"/>
      <c r="E5638" s="37"/>
      <c r="F5638" s="37"/>
      <c r="G5638" s="37"/>
      <c r="H5638" s="37"/>
      <c r="I5638" s="37"/>
      <c r="J5638" s="37"/>
    </row>
    <row r="5639" spans="1:10" x14ac:dyDescent="0.3">
      <c r="A5639" s="130"/>
      <c r="B5639" s="37"/>
      <c r="C5639" s="37"/>
      <c r="D5639" s="37"/>
      <c r="E5639" s="37"/>
      <c r="F5639" s="37"/>
      <c r="G5639" s="37"/>
      <c r="H5639" s="37"/>
      <c r="I5639" s="37"/>
      <c r="J5639" s="37"/>
    </row>
    <row r="5640" spans="1:10" x14ac:dyDescent="0.3">
      <c r="A5640" s="130"/>
      <c r="B5640" s="37"/>
      <c r="C5640" s="37"/>
      <c r="D5640" s="37"/>
      <c r="E5640" s="37"/>
      <c r="F5640" s="37"/>
      <c r="G5640" s="37"/>
      <c r="H5640" s="37"/>
      <c r="I5640" s="37"/>
      <c r="J5640" s="37"/>
    </row>
    <row r="5641" spans="1:10" x14ac:dyDescent="0.3">
      <c r="A5641" s="130"/>
      <c r="B5641" s="37"/>
      <c r="C5641" s="37"/>
      <c r="D5641" s="37"/>
      <c r="E5641" s="37"/>
      <c r="F5641" s="37"/>
      <c r="G5641" s="37"/>
      <c r="H5641" s="37"/>
      <c r="I5641" s="37"/>
      <c r="J5641" s="37"/>
    </row>
    <row r="5642" spans="1:10" x14ac:dyDescent="0.3">
      <c r="A5642" s="130"/>
      <c r="B5642" s="37"/>
      <c r="C5642" s="37"/>
      <c r="D5642" s="37"/>
      <c r="E5642" s="37"/>
      <c r="F5642" s="37"/>
      <c r="G5642" s="37"/>
      <c r="H5642" s="37"/>
      <c r="I5642" s="37"/>
      <c r="J5642" s="37"/>
    </row>
    <row r="5643" spans="1:10" x14ac:dyDescent="0.3">
      <c r="A5643" s="130"/>
      <c r="B5643" s="37"/>
      <c r="C5643" s="37"/>
      <c r="D5643" s="37"/>
      <c r="E5643" s="37"/>
      <c r="F5643" s="37"/>
      <c r="G5643" s="37"/>
      <c r="H5643" s="37"/>
      <c r="I5643" s="37"/>
      <c r="J5643" s="37"/>
    </row>
    <row r="5644" spans="1:10" x14ac:dyDescent="0.3">
      <c r="A5644" s="130"/>
      <c r="B5644" s="37"/>
      <c r="C5644" s="37"/>
      <c r="D5644" s="37"/>
      <c r="E5644" s="37"/>
      <c r="F5644" s="37"/>
      <c r="G5644" s="37"/>
      <c r="H5644" s="37"/>
      <c r="I5644" s="37"/>
      <c r="J5644" s="37"/>
    </row>
    <row r="5645" spans="1:10" x14ac:dyDescent="0.3">
      <c r="A5645" s="130"/>
      <c r="B5645" s="37"/>
      <c r="C5645" s="37"/>
      <c r="D5645" s="37"/>
      <c r="E5645" s="37"/>
      <c r="F5645" s="37"/>
      <c r="G5645" s="37"/>
      <c r="H5645" s="37"/>
      <c r="I5645" s="37"/>
      <c r="J5645" s="37"/>
    </row>
    <row r="5646" spans="1:10" x14ac:dyDescent="0.3">
      <c r="A5646" s="130"/>
      <c r="B5646" s="37"/>
      <c r="C5646" s="37"/>
      <c r="D5646" s="37"/>
      <c r="E5646" s="37"/>
      <c r="F5646" s="37"/>
      <c r="G5646" s="37"/>
      <c r="H5646" s="37"/>
      <c r="I5646" s="37"/>
      <c r="J5646" s="37"/>
    </row>
    <row r="5647" spans="1:10" x14ac:dyDescent="0.3">
      <c r="A5647" s="130"/>
      <c r="B5647" s="37"/>
      <c r="C5647" s="37"/>
      <c r="D5647" s="37"/>
      <c r="E5647" s="37"/>
      <c r="F5647" s="37"/>
      <c r="G5647" s="37"/>
      <c r="H5647" s="37"/>
      <c r="I5647" s="37"/>
      <c r="J5647" s="37"/>
    </row>
    <row r="5648" spans="1:10" x14ac:dyDescent="0.3">
      <c r="A5648" s="130"/>
      <c r="B5648" s="37"/>
      <c r="C5648" s="37"/>
      <c r="D5648" s="37"/>
      <c r="E5648" s="37"/>
      <c r="F5648" s="37"/>
      <c r="G5648" s="37"/>
      <c r="H5648" s="37"/>
      <c r="I5648" s="37"/>
      <c r="J5648" s="37"/>
    </row>
    <row r="5649" spans="1:10" x14ac:dyDescent="0.3">
      <c r="A5649" s="130"/>
      <c r="B5649" s="37"/>
      <c r="C5649" s="37"/>
      <c r="D5649" s="37"/>
      <c r="E5649" s="37"/>
      <c r="F5649" s="37"/>
      <c r="G5649" s="37"/>
      <c r="H5649" s="37"/>
      <c r="I5649" s="37"/>
      <c r="J5649" s="37"/>
    </row>
    <row r="5650" spans="1:10" x14ac:dyDescent="0.3">
      <c r="A5650" s="130"/>
      <c r="B5650" s="37"/>
      <c r="C5650" s="37"/>
      <c r="D5650" s="37"/>
      <c r="E5650" s="37"/>
      <c r="F5650" s="37"/>
      <c r="G5650" s="37"/>
      <c r="H5650" s="37"/>
      <c r="I5650" s="37"/>
      <c r="J5650" s="37"/>
    </row>
    <row r="5651" spans="1:10" x14ac:dyDescent="0.3">
      <c r="A5651" s="130"/>
      <c r="B5651" s="37"/>
      <c r="C5651" s="37"/>
      <c r="D5651" s="37"/>
      <c r="E5651" s="37"/>
      <c r="F5651" s="37"/>
      <c r="G5651" s="37"/>
      <c r="H5651" s="37"/>
      <c r="I5651" s="37"/>
      <c r="J5651" s="37"/>
    </row>
    <row r="5652" spans="1:10" x14ac:dyDescent="0.3">
      <c r="A5652" s="130"/>
      <c r="B5652" s="37"/>
      <c r="C5652" s="37"/>
      <c r="D5652" s="37"/>
      <c r="E5652" s="37"/>
      <c r="F5652" s="37"/>
      <c r="G5652" s="37"/>
      <c r="H5652" s="37"/>
      <c r="I5652" s="37"/>
      <c r="J5652" s="37"/>
    </row>
    <row r="5653" spans="1:10" x14ac:dyDescent="0.3">
      <c r="A5653" s="130"/>
      <c r="B5653" s="37"/>
      <c r="C5653" s="37"/>
      <c r="D5653" s="37"/>
      <c r="E5653" s="37"/>
      <c r="F5653" s="37"/>
      <c r="G5653" s="37"/>
      <c r="H5653" s="37"/>
      <c r="I5653" s="37"/>
      <c r="J5653" s="37"/>
    </row>
    <row r="5654" spans="1:10" x14ac:dyDescent="0.3">
      <c r="A5654" s="130"/>
      <c r="B5654" s="37"/>
      <c r="C5654" s="37"/>
      <c r="D5654" s="37"/>
      <c r="E5654" s="37"/>
      <c r="F5654" s="37"/>
      <c r="G5654" s="37"/>
      <c r="H5654" s="37"/>
      <c r="I5654" s="37"/>
      <c r="J5654" s="37"/>
    </row>
    <row r="5655" spans="1:10" x14ac:dyDescent="0.3">
      <c r="A5655" s="130"/>
      <c r="B5655" s="37"/>
      <c r="C5655" s="37"/>
      <c r="D5655" s="37"/>
      <c r="E5655" s="37"/>
      <c r="F5655" s="37"/>
      <c r="G5655" s="37"/>
      <c r="H5655" s="37"/>
      <c r="I5655" s="37"/>
      <c r="J5655" s="37"/>
    </row>
    <row r="5656" spans="1:10" x14ac:dyDescent="0.3">
      <c r="A5656" s="130"/>
      <c r="B5656" s="37"/>
      <c r="C5656" s="37"/>
      <c r="D5656" s="37"/>
      <c r="E5656" s="37"/>
      <c r="F5656" s="37"/>
      <c r="G5656" s="37"/>
      <c r="H5656" s="37"/>
      <c r="I5656" s="37"/>
      <c r="J5656" s="37"/>
    </row>
    <row r="5657" spans="1:10" x14ac:dyDescent="0.3">
      <c r="A5657" s="130"/>
      <c r="B5657" s="37"/>
      <c r="C5657" s="37"/>
      <c r="D5657" s="37"/>
      <c r="E5657" s="37"/>
      <c r="F5657" s="37"/>
      <c r="G5657" s="37"/>
      <c r="H5657" s="37"/>
      <c r="I5657" s="37"/>
      <c r="J5657" s="37"/>
    </row>
    <row r="5658" spans="1:10" x14ac:dyDescent="0.3">
      <c r="A5658" s="130"/>
      <c r="B5658" s="37"/>
      <c r="C5658" s="37"/>
      <c r="D5658" s="37"/>
      <c r="E5658" s="37"/>
      <c r="F5658" s="37"/>
      <c r="G5658" s="37"/>
      <c r="H5658" s="37"/>
      <c r="I5658" s="37"/>
      <c r="J5658" s="37"/>
    </row>
    <row r="5659" spans="1:10" x14ac:dyDescent="0.3">
      <c r="A5659" s="130"/>
      <c r="B5659" s="37"/>
      <c r="C5659" s="37"/>
      <c r="D5659" s="37"/>
      <c r="E5659" s="37"/>
      <c r="F5659" s="37"/>
      <c r="G5659" s="37"/>
      <c r="H5659" s="37"/>
      <c r="I5659" s="37"/>
      <c r="J5659" s="37"/>
    </row>
    <row r="5660" spans="1:10" x14ac:dyDescent="0.3">
      <c r="A5660" s="130"/>
      <c r="B5660" s="37"/>
      <c r="C5660" s="37"/>
      <c r="D5660" s="37"/>
      <c r="E5660" s="37"/>
      <c r="F5660" s="37"/>
      <c r="G5660" s="37"/>
      <c r="H5660" s="37"/>
      <c r="I5660" s="37"/>
      <c r="J5660" s="37"/>
    </row>
    <row r="5661" spans="1:10" x14ac:dyDescent="0.3">
      <c r="A5661" s="130"/>
      <c r="B5661" s="37"/>
      <c r="C5661" s="37"/>
      <c r="D5661" s="37"/>
      <c r="E5661" s="37"/>
      <c r="F5661" s="37"/>
      <c r="G5661" s="37"/>
      <c r="H5661" s="37"/>
      <c r="I5661" s="37"/>
      <c r="J5661" s="37"/>
    </row>
    <row r="5662" spans="1:10" x14ac:dyDescent="0.3">
      <c r="A5662" s="130"/>
      <c r="B5662" s="37"/>
      <c r="C5662" s="37"/>
      <c r="D5662" s="37"/>
      <c r="E5662" s="37"/>
      <c r="F5662" s="37"/>
      <c r="G5662" s="37"/>
      <c r="H5662" s="37"/>
      <c r="I5662" s="37"/>
      <c r="J5662" s="37"/>
    </row>
    <row r="5663" spans="1:10" x14ac:dyDescent="0.3">
      <c r="A5663" s="130"/>
      <c r="B5663" s="37"/>
      <c r="C5663" s="37"/>
      <c r="D5663" s="37"/>
      <c r="E5663" s="37"/>
      <c r="F5663" s="37"/>
      <c r="G5663" s="37"/>
      <c r="H5663" s="37"/>
      <c r="I5663" s="37"/>
      <c r="J5663" s="37"/>
    </row>
    <row r="5664" spans="1:10" x14ac:dyDescent="0.3">
      <c r="A5664" s="130"/>
      <c r="B5664" s="37"/>
      <c r="C5664" s="37"/>
      <c r="D5664" s="37"/>
      <c r="E5664" s="37"/>
      <c r="F5664" s="37"/>
      <c r="G5664" s="37"/>
      <c r="H5664" s="37"/>
      <c r="I5664" s="37"/>
      <c r="J5664" s="37"/>
    </row>
    <row r="5665" spans="1:10" x14ac:dyDescent="0.3">
      <c r="A5665" s="130"/>
      <c r="B5665" s="37"/>
      <c r="C5665" s="37"/>
      <c r="D5665" s="37"/>
      <c r="E5665" s="37"/>
      <c r="F5665" s="37"/>
      <c r="G5665" s="37"/>
      <c r="H5665" s="37"/>
      <c r="I5665" s="37"/>
      <c r="J5665" s="37"/>
    </row>
    <row r="5666" spans="1:10" x14ac:dyDescent="0.3">
      <c r="A5666" s="130"/>
      <c r="B5666" s="37"/>
      <c r="C5666" s="37"/>
      <c r="D5666" s="37"/>
      <c r="E5666" s="37"/>
      <c r="F5666" s="37"/>
      <c r="G5666" s="37"/>
      <c r="H5666" s="37"/>
      <c r="I5666" s="37"/>
      <c r="J5666" s="37"/>
    </row>
    <row r="5667" spans="1:10" x14ac:dyDescent="0.3">
      <c r="A5667" s="130"/>
      <c r="B5667" s="37"/>
      <c r="C5667" s="37"/>
      <c r="D5667" s="37"/>
      <c r="E5667" s="37"/>
      <c r="F5667" s="37"/>
      <c r="G5667" s="37"/>
      <c r="H5667" s="37"/>
      <c r="I5667" s="37"/>
      <c r="J5667" s="37"/>
    </row>
    <row r="5668" spans="1:10" x14ac:dyDescent="0.3">
      <c r="A5668" s="130"/>
      <c r="B5668" s="37"/>
      <c r="C5668" s="37"/>
      <c r="D5668" s="37"/>
      <c r="E5668" s="37"/>
      <c r="F5668" s="37"/>
      <c r="G5668" s="37"/>
      <c r="H5668" s="37"/>
      <c r="I5668" s="37"/>
      <c r="J5668" s="37"/>
    </row>
    <row r="5669" spans="1:10" x14ac:dyDescent="0.3">
      <c r="A5669" s="130"/>
      <c r="B5669" s="37"/>
      <c r="C5669" s="37"/>
      <c r="D5669" s="37"/>
      <c r="E5669" s="37"/>
      <c r="F5669" s="37"/>
      <c r="G5669" s="37"/>
      <c r="H5669" s="37"/>
      <c r="I5669" s="37"/>
      <c r="J5669" s="37"/>
    </row>
    <row r="5670" spans="1:10" x14ac:dyDescent="0.3">
      <c r="A5670" s="130"/>
      <c r="B5670" s="37"/>
      <c r="C5670" s="37"/>
      <c r="D5670" s="37"/>
      <c r="E5670" s="37"/>
      <c r="F5670" s="37"/>
      <c r="G5670" s="37"/>
      <c r="H5670" s="37"/>
      <c r="I5670" s="37"/>
      <c r="J5670" s="37"/>
    </row>
    <row r="5671" spans="1:10" x14ac:dyDescent="0.3">
      <c r="A5671" s="130"/>
      <c r="B5671" s="37"/>
      <c r="C5671" s="37"/>
      <c r="D5671" s="37"/>
      <c r="E5671" s="37"/>
      <c r="F5671" s="37"/>
      <c r="G5671" s="37"/>
      <c r="H5671" s="37"/>
      <c r="I5671" s="37"/>
      <c r="J5671" s="37"/>
    </row>
    <row r="5672" spans="1:10" x14ac:dyDescent="0.3">
      <c r="A5672" s="130"/>
      <c r="B5672" s="37"/>
      <c r="C5672" s="37"/>
      <c r="D5672" s="37"/>
      <c r="E5672" s="37"/>
      <c r="F5672" s="37"/>
      <c r="G5672" s="37"/>
      <c r="H5672" s="37"/>
      <c r="I5672" s="37"/>
      <c r="J5672" s="37"/>
    </row>
    <row r="5673" spans="1:10" x14ac:dyDescent="0.3">
      <c r="A5673" s="130"/>
      <c r="B5673" s="37"/>
      <c r="C5673" s="37"/>
      <c r="D5673" s="37"/>
      <c r="E5673" s="37"/>
      <c r="F5673" s="37"/>
      <c r="G5673" s="37"/>
      <c r="H5673" s="37"/>
      <c r="I5673" s="37"/>
      <c r="J5673" s="37"/>
    </row>
    <row r="5674" spans="1:10" x14ac:dyDescent="0.3">
      <c r="A5674" s="130"/>
      <c r="B5674" s="37"/>
      <c r="C5674" s="37"/>
      <c r="D5674" s="37"/>
      <c r="E5674" s="37"/>
      <c r="F5674" s="37"/>
      <c r="G5674" s="37"/>
      <c r="H5674" s="37"/>
      <c r="I5674" s="37"/>
      <c r="J5674" s="37"/>
    </row>
    <row r="5675" spans="1:10" x14ac:dyDescent="0.3">
      <c r="A5675" s="130"/>
      <c r="B5675" s="37"/>
      <c r="C5675" s="37"/>
      <c r="D5675" s="37"/>
      <c r="E5675" s="37"/>
      <c r="F5675" s="37"/>
      <c r="G5675" s="37"/>
      <c r="H5675" s="37"/>
      <c r="I5675" s="37"/>
      <c r="J5675" s="37"/>
    </row>
    <row r="5676" spans="1:10" x14ac:dyDescent="0.3">
      <c r="A5676" s="130"/>
      <c r="B5676" s="37"/>
      <c r="C5676" s="37"/>
      <c r="D5676" s="37"/>
      <c r="E5676" s="37"/>
      <c r="F5676" s="37"/>
      <c r="G5676" s="37"/>
      <c r="H5676" s="37"/>
      <c r="I5676" s="37"/>
      <c r="J5676" s="37"/>
    </row>
    <row r="5677" spans="1:10" x14ac:dyDescent="0.3">
      <c r="A5677" s="130"/>
      <c r="B5677" s="37"/>
      <c r="C5677" s="37"/>
      <c r="D5677" s="37"/>
      <c r="E5677" s="37"/>
      <c r="F5677" s="37"/>
      <c r="G5677" s="37"/>
      <c r="H5677" s="37"/>
      <c r="I5677" s="37"/>
      <c r="J5677" s="37"/>
    </row>
    <row r="5678" spans="1:10" x14ac:dyDescent="0.3">
      <c r="A5678" s="130"/>
      <c r="B5678" s="37"/>
      <c r="C5678" s="37"/>
      <c r="D5678" s="37"/>
      <c r="E5678" s="37"/>
      <c r="F5678" s="37"/>
      <c r="G5678" s="37"/>
      <c r="H5678" s="37"/>
      <c r="I5678" s="37"/>
      <c r="J5678" s="37"/>
    </row>
    <row r="5679" spans="1:10" x14ac:dyDescent="0.3">
      <c r="A5679" s="130"/>
      <c r="B5679" s="37"/>
      <c r="C5679" s="37"/>
      <c r="D5679" s="37"/>
      <c r="E5679" s="37"/>
      <c r="F5679" s="37"/>
      <c r="G5679" s="37"/>
      <c r="H5679" s="37"/>
      <c r="I5679" s="37"/>
      <c r="J5679" s="37"/>
    </row>
    <row r="5680" spans="1:10" x14ac:dyDescent="0.3">
      <c r="A5680" s="130"/>
      <c r="B5680" s="37"/>
      <c r="C5680" s="37"/>
      <c r="D5680" s="37"/>
      <c r="E5680" s="37"/>
      <c r="F5680" s="37"/>
      <c r="G5680" s="37"/>
      <c r="H5680" s="37"/>
      <c r="I5680" s="37"/>
      <c r="J5680" s="37"/>
    </row>
    <row r="5681" spans="1:10" x14ac:dyDescent="0.3">
      <c r="A5681" s="130"/>
      <c r="B5681" s="37"/>
      <c r="C5681" s="37"/>
      <c r="D5681" s="37"/>
      <c r="E5681" s="37"/>
      <c r="F5681" s="37"/>
      <c r="G5681" s="37"/>
      <c r="H5681" s="37"/>
      <c r="I5681" s="37"/>
      <c r="J5681" s="37"/>
    </row>
    <row r="5682" spans="1:10" x14ac:dyDescent="0.3">
      <c r="A5682" s="130"/>
      <c r="B5682" s="37"/>
      <c r="C5682" s="37"/>
      <c r="D5682" s="37"/>
      <c r="E5682" s="37"/>
      <c r="F5682" s="37"/>
      <c r="G5682" s="37"/>
      <c r="H5682" s="37"/>
      <c r="I5682" s="37"/>
      <c r="J5682" s="37"/>
    </row>
    <row r="5683" spans="1:10" x14ac:dyDescent="0.3">
      <c r="A5683" s="130"/>
      <c r="B5683" s="37"/>
      <c r="C5683" s="37"/>
      <c r="D5683" s="37"/>
      <c r="E5683" s="37"/>
      <c r="F5683" s="37"/>
      <c r="G5683" s="37"/>
      <c r="H5683" s="37"/>
      <c r="I5683" s="37"/>
      <c r="J5683" s="37"/>
    </row>
    <row r="5684" spans="1:10" x14ac:dyDescent="0.3">
      <c r="A5684" s="130"/>
      <c r="B5684" s="37"/>
      <c r="C5684" s="37"/>
      <c r="D5684" s="37"/>
      <c r="E5684" s="37"/>
      <c r="F5684" s="37"/>
      <c r="G5684" s="37"/>
      <c r="H5684" s="37"/>
      <c r="I5684" s="37"/>
      <c r="J5684" s="37"/>
    </row>
    <row r="5685" spans="1:10" x14ac:dyDescent="0.3">
      <c r="A5685" s="130"/>
      <c r="B5685" s="37"/>
      <c r="C5685" s="37"/>
      <c r="D5685" s="37"/>
      <c r="E5685" s="37"/>
      <c r="F5685" s="37"/>
      <c r="G5685" s="37"/>
      <c r="H5685" s="37"/>
      <c r="I5685" s="37"/>
      <c r="J5685" s="37"/>
    </row>
    <row r="5686" spans="1:10" x14ac:dyDescent="0.3">
      <c r="A5686" s="130"/>
      <c r="B5686" s="37"/>
      <c r="C5686" s="37"/>
      <c r="D5686" s="37"/>
      <c r="E5686" s="37"/>
      <c r="F5686" s="37"/>
      <c r="G5686" s="37"/>
      <c r="H5686" s="37"/>
      <c r="I5686" s="37"/>
      <c r="J5686" s="37"/>
    </row>
    <row r="5687" spans="1:10" x14ac:dyDescent="0.3">
      <c r="A5687" s="130"/>
      <c r="B5687" s="37"/>
      <c r="C5687" s="37"/>
      <c r="D5687" s="37"/>
      <c r="E5687" s="37"/>
      <c r="F5687" s="37"/>
      <c r="G5687" s="37"/>
      <c r="H5687" s="37"/>
      <c r="I5687" s="37"/>
      <c r="J5687" s="37"/>
    </row>
    <row r="5688" spans="1:10" x14ac:dyDescent="0.3">
      <c r="A5688" s="130"/>
      <c r="B5688" s="37"/>
      <c r="C5688" s="37"/>
      <c r="D5688" s="37"/>
      <c r="E5688" s="37"/>
      <c r="F5688" s="37"/>
      <c r="G5688" s="37"/>
      <c r="H5688" s="37"/>
      <c r="I5688" s="37"/>
      <c r="J5688" s="37"/>
    </row>
    <row r="5689" spans="1:10" x14ac:dyDescent="0.3">
      <c r="A5689" s="130"/>
      <c r="B5689" s="37"/>
      <c r="C5689" s="37"/>
      <c r="D5689" s="37"/>
      <c r="E5689" s="37"/>
      <c r="F5689" s="37"/>
      <c r="G5689" s="37"/>
      <c r="H5689" s="37"/>
      <c r="I5689" s="37"/>
      <c r="J5689" s="37"/>
    </row>
    <row r="5690" spans="1:10" x14ac:dyDescent="0.3">
      <c r="A5690" s="130"/>
      <c r="B5690" s="37"/>
      <c r="C5690" s="37"/>
      <c r="D5690" s="37"/>
      <c r="E5690" s="37"/>
      <c r="F5690" s="37"/>
      <c r="G5690" s="37"/>
      <c r="H5690" s="37"/>
      <c r="I5690" s="37"/>
      <c r="J5690" s="37"/>
    </row>
    <row r="5691" spans="1:10" x14ac:dyDescent="0.3">
      <c r="A5691" s="130"/>
      <c r="B5691" s="37"/>
      <c r="C5691" s="37"/>
      <c r="D5691" s="37"/>
      <c r="E5691" s="37"/>
      <c r="F5691" s="37"/>
      <c r="G5691" s="37"/>
      <c r="H5691" s="37"/>
      <c r="I5691" s="37"/>
      <c r="J5691" s="37"/>
    </row>
    <row r="5692" spans="1:10" x14ac:dyDescent="0.3">
      <c r="A5692" s="130"/>
      <c r="B5692" s="37"/>
      <c r="C5692" s="37"/>
      <c r="D5692" s="37"/>
      <c r="E5692" s="37"/>
      <c r="F5692" s="37"/>
      <c r="G5692" s="37"/>
      <c r="H5692" s="37"/>
      <c r="I5692" s="37"/>
      <c r="J5692" s="37"/>
    </row>
    <row r="5693" spans="1:10" x14ac:dyDescent="0.3">
      <c r="A5693" s="130"/>
      <c r="B5693" s="37"/>
      <c r="C5693" s="37"/>
      <c r="D5693" s="37"/>
      <c r="E5693" s="37"/>
      <c r="F5693" s="37"/>
      <c r="G5693" s="37"/>
      <c r="H5693" s="37"/>
      <c r="I5693" s="37"/>
      <c r="J5693" s="37"/>
    </row>
    <row r="5694" spans="1:10" x14ac:dyDescent="0.3">
      <c r="A5694" s="130"/>
      <c r="B5694" s="37"/>
      <c r="C5694" s="37"/>
      <c r="D5694" s="37"/>
      <c r="E5694" s="37"/>
      <c r="F5694" s="37"/>
      <c r="G5694" s="37"/>
      <c r="H5694" s="37"/>
      <c r="I5694" s="37"/>
      <c r="J5694" s="37"/>
    </row>
    <row r="5695" spans="1:10" x14ac:dyDescent="0.3">
      <c r="A5695" s="130"/>
      <c r="B5695" s="37"/>
      <c r="C5695" s="37"/>
      <c r="D5695" s="37"/>
      <c r="E5695" s="37"/>
      <c r="F5695" s="37"/>
      <c r="G5695" s="37"/>
      <c r="H5695" s="37"/>
      <c r="I5695" s="37"/>
      <c r="J5695" s="37"/>
    </row>
    <row r="5696" spans="1:10" x14ac:dyDescent="0.3">
      <c r="A5696" s="130"/>
      <c r="B5696" s="37"/>
      <c r="C5696" s="37"/>
      <c r="D5696" s="37"/>
      <c r="E5696" s="37"/>
      <c r="F5696" s="37"/>
      <c r="G5696" s="37"/>
      <c r="H5696" s="37"/>
      <c r="I5696" s="37"/>
      <c r="J5696" s="37"/>
    </row>
    <row r="5697" spans="1:10" x14ac:dyDescent="0.3">
      <c r="A5697" s="130"/>
      <c r="B5697" s="37"/>
      <c r="C5697" s="37"/>
      <c r="D5697" s="37"/>
      <c r="E5697" s="37"/>
      <c r="F5697" s="37"/>
      <c r="G5697" s="37"/>
      <c r="H5697" s="37"/>
      <c r="I5697" s="37"/>
      <c r="J5697" s="37"/>
    </row>
    <row r="5698" spans="1:10" x14ac:dyDescent="0.3">
      <c r="A5698" s="130"/>
      <c r="B5698" s="37"/>
      <c r="C5698" s="37"/>
      <c r="D5698" s="37"/>
      <c r="E5698" s="37"/>
      <c r="F5698" s="37"/>
      <c r="G5698" s="37"/>
      <c r="H5698" s="37"/>
      <c r="I5698" s="37"/>
      <c r="J5698" s="37"/>
    </row>
    <row r="5699" spans="1:10" x14ac:dyDescent="0.3">
      <c r="A5699" s="130"/>
      <c r="B5699" s="37"/>
      <c r="C5699" s="37"/>
      <c r="D5699" s="37"/>
      <c r="E5699" s="37"/>
      <c r="F5699" s="37"/>
      <c r="G5699" s="37"/>
      <c r="H5699" s="37"/>
      <c r="I5699" s="37"/>
      <c r="J5699" s="37"/>
    </row>
    <row r="5700" spans="1:10" x14ac:dyDescent="0.3">
      <c r="A5700" s="130"/>
      <c r="B5700" s="37"/>
      <c r="C5700" s="37"/>
      <c r="D5700" s="37"/>
      <c r="E5700" s="37"/>
      <c r="F5700" s="37"/>
      <c r="G5700" s="37"/>
      <c r="H5700" s="37"/>
      <c r="I5700" s="37"/>
      <c r="J5700" s="37"/>
    </row>
    <row r="5701" spans="1:10" x14ac:dyDescent="0.3">
      <c r="A5701" s="130"/>
      <c r="B5701" s="37"/>
      <c r="C5701" s="37"/>
      <c r="D5701" s="37"/>
      <c r="E5701" s="37"/>
      <c r="F5701" s="37"/>
      <c r="G5701" s="37"/>
      <c r="H5701" s="37"/>
      <c r="I5701" s="37"/>
      <c r="J5701" s="37"/>
    </row>
    <row r="5702" spans="1:10" x14ac:dyDescent="0.3">
      <c r="A5702" s="130"/>
      <c r="B5702" s="37"/>
      <c r="C5702" s="37"/>
      <c r="D5702" s="37"/>
      <c r="E5702" s="37"/>
      <c r="F5702" s="37"/>
      <c r="G5702" s="37"/>
      <c r="H5702" s="37"/>
      <c r="I5702" s="37"/>
      <c r="J5702" s="37"/>
    </row>
    <row r="5703" spans="1:10" x14ac:dyDescent="0.3">
      <c r="A5703" s="130"/>
      <c r="B5703" s="37"/>
      <c r="C5703" s="37"/>
      <c r="D5703" s="37"/>
      <c r="E5703" s="37"/>
      <c r="F5703" s="37"/>
      <c r="G5703" s="37"/>
      <c r="H5703" s="37"/>
      <c r="I5703" s="37"/>
      <c r="J5703" s="37"/>
    </row>
    <row r="5704" spans="1:10" x14ac:dyDescent="0.3">
      <c r="A5704" s="130"/>
      <c r="B5704" s="37"/>
      <c r="C5704" s="37"/>
      <c r="D5704" s="37"/>
      <c r="E5704" s="37"/>
      <c r="F5704" s="37"/>
      <c r="G5704" s="37"/>
      <c r="H5704" s="37"/>
      <c r="I5704" s="37"/>
      <c r="J5704" s="37"/>
    </row>
    <row r="5705" spans="1:10" x14ac:dyDescent="0.3">
      <c r="A5705" s="130"/>
      <c r="B5705" s="37"/>
      <c r="C5705" s="37"/>
      <c r="D5705" s="37"/>
      <c r="E5705" s="37"/>
      <c r="F5705" s="37"/>
      <c r="G5705" s="37"/>
      <c r="H5705" s="37"/>
      <c r="I5705" s="37"/>
      <c r="J5705" s="37"/>
    </row>
    <row r="5706" spans="1:10" x14ac:dyDescent="0.3">
      <c r="A5706" s="130"/>
      <c r="B5706" s="37"/>
      <c r="C5706" s="37"/>
      <c r="D5706" s="37"/>
      <c r="E5706" s="37"/>
      <c r="F5706" s="37"/>
      <c r="G5706" s="37"/>
      <c r="H5706" s="37"/>
      <c r="I5706" s="37"/>
      <c r="J5706" s="37"/>
    </row>
    <row r="5707" spans="1:10" x14ac:dyDescent="0.3">
      <c r="A5707" s="130"/>
      <c r="B5707" s="37"/>
      <c r="C5707" s="37"/>
      <c r="D5707" s="37"/>
      <c r="E5707" s="37"/>
      <c r="F5707" s="37"/>
      <c r="G5707" s="37"/>
      <c r="H5707" s="37"/>
      <c r="I5707" s="37"/>
      <c r="J5707" s="37"/>
    </row>
    <row r="5708" spans="1:10" x14ac:dyDescent="0.3">
      <c r="A5708" s="130"/>
      <c r="B5708" s="37"/>
      <c r="C5708" s="37"/>
      <c r="D5708" s="37"/>
      <c r="E5708" s="37"/>
      <c r="F5708" s="37"/>
      <c r="G5708" s="37"/>
      <c r="H5708" s="37"/>
      <c r="I5708" s="37"/>
      <c r="J5708" s="37"/>
    </row>
    <row r="5709" spans="1:10" x14ac:dyDescent="0.3">
      <c r="A5709" s="130"/>
      <c r="B5709" s="37"/>
      <c r="C5709" s="37"/>
      <c r="D5709" s="37"/>
      <c r="E5709" s="37"/>
      <c r="F5709" s="37"/>
      <c r="G5709" s="37"/>
      <c r="H5709" s="37"/>
      <c r="I5709" s="37"/>
      <c r="J5709" s="37"/>
    </row>
    <row r="5710" spans="1:10" x14ac:dyDescent="0.3">
      <c r="A5710" s="130"/>
      <c r="B5710" s="37"/>
      <c r="C5710" s="37"/>
      <c r="D5710" s="37"/>
      <c r="E5710" s="37"/>
      <c r="F5710" s="37"/>
      <c r="G5710" s="37"/>
      <c r="H5710" s="37"/>
      <c r="I5710" s="37"/>
      <c r="J5710" s="37"/>
    </row>
    <row r="5711" spans="1:10" x14ac:dyDescent="0.3">
      <c r="A5711" s="130"/>
      <c r="B5711" s="37"/>
      <c r="C5711" s="37"/>
      <c r="D5711" s="37"/>
      <c r="E5711" s="37"/>
      <c r="F5711" s="37"/>
      <c r="G5711" s="37"/>
      <c r="H5711" s="37"/>
      <c r="I5711" s="37"/>
      <c r="J5711" s="37"/>
    </row>
    <row r="5712" spans="1:10" x14ac:dyDescent="0.3">
      <c r="A5712" s="130"/>
      <c r="B5712" s="37"/>
      <c r="C5712" s="37"/>
      <c r="D5712" s="37"/>
      <c r="E5712" s="37"/>
      <c r="F5712" s="37"/>
      <c r="G5712" s="37"/>
      <c r="H5712" s="37"/>
      <c r="I5712" s="37"/>
      <c r="J5712" s="37"/>
    </row>
    <row r="5713" spans="1:10" x14ac:dyDescent="0.3">
      <c r="A5713" s="130"/>
      <c r="B5713" s="37"/>
      <c r="C5713" s="37"/>
      <c r="D5713" s="37"/>
      <c r="E5713" s="37"/>
      <c r="F5713" s="37"/>
      <c r="G5713" s="37"/>
      <c r="H5713" s="37"/>
      <c r="I5713" s="37"/>
      <c r="J5713" s="37"/>
    </row>
    <row r="5714" spans="1:10" x14ac:dyDescent="0.3">
      <c r="A5714" s="130"/>
      <c r="B5714" s="37"/>
      <c r="C5714" s="37"/>
      <c r="D5714" s="37"/>
      <c r="E5714" s="37"/>
      <c r="F5714" s="37"/>
      <c r="G5714" s="37"/>
      <c r="H5714" s="37"/>
      <c r="I5714" s="37"/>
      <c r="J5714" s="37"/>
    </row>
    <row r="5715" spans="1:10" x14ac:dyDescent="0.3">
      <c r="A5715" s="130"/>
      <c r="B5715" s="37"/>
      <c r="C5715" s="37"/>
      <c r="D5715" s="37"/>
      <c r="E5715" s="37"/>
      <c r="F5715" s="37"/>
      <c r="G5715" s="37"/>
      <c r="H5715" s="37"/>
      <c r="I5715" s="37"/>
      <c r="J5715" s="37"/>
    </row>
    <row r="5716" spans="1:10" x14ac:dyDescent="0.3">
      <c r="A5716" s="130"/>
      <c r="B5716" s="37"/>
      <c r="C5716" s="37"/>
      <c r="D5716" s="37"/>
      <c r="E5716" s="37"/>
      <c r="F5716" s="37"/>
      <c r="G5716" s="37"/>
      <c r="H5716" s="37"/>
      <c r="I5716" s="37"/>
      <c r="J5716" s="37"/>
    </row>
    <row r="5717" spans="1:10" x14ac:dyDescent="0.3">
      <c r="A5717" s="130"/>
      <c r="B5717" s="37"/>
      <c r="C5717" s="37"/>
      <c r="D5717" s="37"/>
      <c r="E5717" s="37"/>
      <c r="F5717" s="37"/>
      <c r="G5717" s="37"/>
      <c r="H5717" s="37"/>
      <c r="I5717" s="37"/>
      <c r="J5717" s="37"/>
    </row>
    <row r="5718" spans="1:10" x14ac:dyDescent="0.3">
      <c r="A5718" s="130"/>
      <c r="B5718" s="37"/>
      <c r="C5718" s="37"/>
      <c r="D5718" s="37"/>
      <c r="E5718" s="37"/>
      <c r="F5718" s="37"/>
      <c r="G5718" s="37"/>
      <c r="H5718" s="37"/>
      <c r="I5718" s="37"/>
      <c r="J5718" s="37"/>
    </row>
    <row r="5719" spans="1:10" x14ac:dyDescent="0.3">
      <c r="A5719" s="130"/>
      <c r="B5719" s="37"/>
      <c r="C5719" s="37"/>
      <c r="D5719" s="37"/>
      <c r="E5719" s="37"/>
      <c r="F5719" s="37"/>
      <c r="G5719" s="37"/>
      <c r="H5719" s="37"/>
      <c r="I5719" s="37"/>
      <c r="J5719" s="37"/>
    </row>
    <row r="5720" spans="1:10" x14ac:dyDescent="0.3">
      <c r="A5720" s="130"/>
      <c r="B5720" s="37"/>
      <c r="C5720" s="37"/>
      <c r="D5720" s="37"/>
      <c r="E5720" s="37"/>
      <c r="F5720" s="37"/>
      <c r="G5720" s="37"/>
      <c r="H5720" s="37"/>
      <c r="I5720" s="37"/>
      <c r="J5720" s="37"/>
    </row>
    <row r="5721" spans="1:10" x14ac:dyDescent="0.3">
      <c r="A5721" s="130"/>
      <c r="B5721" s="37"/>
      <c r="C5721" s="37"/>
      <c r="D5721" s="37"/>
      <c r="E5721" s="37"/>
      <c r="F5721" s="37"/>
      <c r="G5721" s="37"/>
      <c r="H5721" s="37"/>
      <c r="I5721" s="37"/>
      <c r="J5721" s="37"/>
    </row>
    <row r="5722" spans="1:10" x14ac:dyDescent="0.3">
      <c r="A5722" s="130"/>
      <c r="B5722" s="37"/>
      <c r="C5722" s="37"/>
      <c r="D5722" s="37"/>
      <c r="E5722" s="37"/>
      <c r="F5722" s="37"/>
      <c r="G5722" s="37"/>
      <c r="H5722" s="37"/>
      <c r="I5722" s="37"/>
      <c r="J5722" s="37"/>
    </row>
    <row r="5723" spans="1:10" x14ac:dyDescent="0.3">
      <c r="A5723" s="130"/>
      <c r="B5723" s="37"/>
      <c r="C5723" s="37"/>
      <c r="D5723" s="37"/>
      <c r="E5723" s="37"/>
      <c r="F5723" s="37"/>
      <c r="G5723" s="37"/>
      <c r="H5723" s="37"/>
      <c r="I5723" s="37"/>
      <c r="J5723" s="37"/>
    </row>
    <row r="5724" spans="1:10" x14ac:dyDescent="0.3">
      <c r="A5724" s="130"/>
      <c r="B5724" s="37"/>
      <c r="C5724" s="37"/>
      <c r="D5724" s="37"/>
      <c r="E5724" s="37"/>
      <c r="F5724" s="37"/>
      <c r="G5724" s="37"/>
      <c r="H5724" s="37"/>
      <c r="I5724" s="37"/>
      <c r="J5724" s="37"/>
    </row>
    <row r="5725" spans="1:10" x14ac:dyDescent="0.3">
      <c r="A5725" s="130"/>
      <c r="B5725" s="37"/>
      <c r="C5725" s="37"/>
      <c r="D5725" s="37"/>
      <c r="E5725" s="37"/>
      <c r="F5725" s="37"/>
      <c r="G5725" s="37"/>
      <c r="H5725" s="37"/>
      <c r="I5725" s="37"/>
      <c r="J5725" s="37"/>
    </row>
    <row r="5726" spans="1:10" x14ac:dyDescent="0.3">
      <c r="A5726" s="130"/>
      <c r="B5726" s="37"/>
      <c r="C5726" s="37"/>
      <c r="D5726" s="37"/>
      <c r="E5726" s="37"/>
      <c r="F5726" s="37"/>
      <c r="G5726" s="37"/>
      <c r="H5726" s="37"/>
      <c r="I5726" s="37"/>
      <c r="J5726" s="37"/>
    </row>
    <row r="5727" spans="1:10" x14ac:dyDescent="0.3">
      <c r="A5727" s="130"/>
      <c r="B5727" s="37"/>
      <c r="C5727" s="37"/>
      <c r="D5727" s="37"/>
      <c r="E5727" s="37"/>
      <c r="F5727" s="37"/>
      <c r="G5727" s="37"/>
      <c r="H5727" s="37"/>
      <c r="I5727" s="37"/>
      <c r="J5727" s="37"/>
    </row>
    <row r="5728" spans="1:10" x14ac:dyDescent="0.3">
      <c r="A5728" s="130"/>
      <c r="B5728" s="37"/>
      <c r="C5728" s="37"/>
      <c r="D5728" s="37"/>
      <c r="E5728" s="37"/>
      <c r="F5728" s="37"/>
      <c r="G5728" s="37"/>
      <c r="H5728" s="37"/>
      <c r="I5728" s="37"/>
      <c r="J5728" s="37"/>
    </row>
    <row r="5729" spans="1:10" x14ac:dyDescent="0.3">
      <c r="A5729" s="130"/>
      <c r="B5729" s="37"/>
      <c r="C5729" s="37"/>
      <c r="D5729" s="37"/>
      <c r="E5729" s="37"/>
      <c r="F5729" s="37"/>
      <c r="G5729" s="37"/>
      <c r="H5729" s="37"/>
      <c r="I5729" s="37"/>
      <c r="J5729" s="37"/>
    </row>
    <row r="5730" spans="1:10" x14ac:dyDescent="0.3">
      <c r="A5730" s="130"/>
      <c r="B5730" s="37"/>
      <c r="C5730" s="37"/>
      <c r="D5730" s="37"/>
      <c r="E5730" s="37"/>
      <c r="F5730" s="37"/>
      <c r="G5730" s="37"/>
      <c r="H5730" s="37"/>
      <c r="I5730" s="37"/>
      <c r="J5730" s="37"/>
    </row>
    <row r="5731" spans="1:10" x14ac:dyDescent="0.3">
      <c r="A5731" s="130"/>
      <c r="B5731" s="37"/>
      <c r="C5731" s="37"/>
      <c r="D5731" s="37"/>
      <c r="E5731" s="37"/>
      <c r="F5731" s="37"/>
      <c r="G5731" s="37"/>
      <c r="H5731" s="37"/>
      <c r="I5731" s="37"/>
      <c r="J5731" s="37"/>
    </row>
    <row r="5732" spans="1:10" x14ac:dyDescent="0.3">
      <c r="A5732" s="130"/>
      <c r="B5732" s="37"/>
      <c r="C5732" s="37"/>
      <c r="D5732" s="37"/>
      <c r="E5732" s="37"/>
      <c r="F5732" s="37"/>
      <c r="G5732" s="37"/>
      <c r="H5732" s="37"/>
      <c r="I5732" s="37"/>
      <c r="J5732" s="37"/>
    </row>
    <row r="5733" spans="1:10" x14ac:dyDescent="0.3">
      <c r="A5733" s="130"/>
      <c r="B5733" s="37"/>
      <c r="C5733" s="37"/>
      <c r="D5733" s="37"/>
      <c r="E5733" s="37"/>
      <c r="F5733" s="37"/>
      <c r="G5733" s="37"/>
      <c r="H5733" s="37"/>
      <c r="I5733" s="37"/>
      <c r="J5733" s="37"/>
    </row>
    <row r="5734" spans="1:10" x14ac:dyDescent="0.3">
      <c r="A5734" s="130"/>
      <c r="B5734" s="37"/>
      <c r="C5734" s="37"/>
      <c r="D5734" s="37"/>
      <c r="E5734" s="37"/>
      <c r="F5734" s="37"/>
      <c r="G5734" s="37"/>
      <c r="H5734" s="37"/>
      <c r="I5734" s="37"/>
      <c r="J5734" s="37"/>
    </row>
    <row r="5735" spans="1:10" x14ac:dyDescent="0.3">
      <c r="A5735" s="130"/>
      <c r="B5735" s="37"/>
      <c r="C5735" s="37"/>
      <c r="D5735" s="37"/>
      <c r="E5735" s="37"/>
      <c r="F5735" s="37"/>
      <c r="G5735" s="37"/>
      <c r="H5735" s="37"/>
      <c r="I5735" s="37"/>
      <c r="J5735" s="37"/>
    </row>
    <row r="5736" spans="1:10" x14ac:dyDescent="0.3">
      <c r="A5736" s="130"/>
      <c r="B5736" s="37"/>
      <c r="C5736" s="37"/>
      <c r="D5736" s="37"/>
      <c r="E5736" s="37"/>
      <c r="F5736" s="37"/>
      <c r="G5736" s="37"/>
      <c r="H5736" s="37"/>
      <c r="I5736" s="37"/>
      <c r="J5736" s="37"/>
    </row>
    <row r="5737" spans="1:10" x14ac:dyDescent="0.3">
      <c r="A5737" s="130"/>
      <c r="B5737" s="37"/>
      <c r="C5737" s="37"/>
      <c r="D5737" s="37"/>
      <c r="E5737" s="37"/>
      <c r="F5737" s="37"/>
      <c r="G5737" s="37"/>
      <c r="H5737" s="37"/>
      <c r="I5737" s="37"/>
      <c r="J5737" s="37"/>
    </row>
    <row r="5738" spans="1:10" x14ac:dyDescent="0.3">
      <c r="A5738" s="130"/>
      <c r="B5738" s="37"/>
      <c r="C5738" s="37"/>
      <c r="D5738" s="37"/>
      <c r="E5738" s="37"/>
      <c r="F5738" s="37"/>
      <c r="G5738" s="37"/>
      <c r="H5738" s="37"/>
      <c r="I5738" s="37"/>
      <c r="J5738" s="37"/>
    </row>
    <row r="5739" spans="1:10" x14ac:dyDescent="0.3">
      <c r="A5739" s="130"/>
      <c r="B5739" s="37"/>
      <c r="C5739" s="37"/>
      <c r="D5739" s="37"/>
      <c r="E5739" s="37"/>
      <c r="F5739" s="37"/>
      <c r="G5739" s="37"/>
      <c r="H5739" s="37"/>
      <c r="I5739" s="37"/>
      <c r="J5739" s="37"/>
    </row>
    <row r="5740" spans="1:10" x14ac:dyDescent="0.3">
      <c r="A5740" s="130"/>
      <c r="B5740" s="37"/>
      <c r="C5740" s="37"/>
      <c r="D5740" s="37"/>
      <c r="E5740" s="37"/>
      <c r="F5740" s="37"/>
      <c r="G5740" s="37"/>
      <c r="H5740" s="37"/>
      <c r="I5740" s="37"/>
      <c r="J5740" s="37"/>
    </row>
    <row r="5741" spans="1:10" x14ac:dyDescent="0.3">
      <c r="A5741" s="130"/>
      <c r="B5741" s="37"/>
      <c r="C5741" s="37"/>
      <c r="D5741" s="37"/>
      <c r="E5741" s="37"/>
      <c r="F5741" s="37"/>
      <c r="G5741" s="37"/>
      <c r="H5741" s="37"/>
      <c r="I5741" s="37"/>
      <c r="J5741" s="37"/>
    </row>
    <row r="5742" spans="1:10" x14ac:dyDescent="0.3">
      <c r="A5742" s="130"/>
      <c r="B5742" s="37"/>
      <c r="C5742" s="37"/>
      <c r="D5742" s="37"/>
      <c r="E5742" s="37"/>
      <c r="F5742" s="37"/>
      <c r="G5742" s="37"/>
      <c r="H5742" s="37"/>
      <c r="I5742" s="37"/>
      <c r="J5742" s="37"/>
    </row>
    <row r="5743" spans="1:10" x14ac:dyDescent="0.3">
      <c r="A5743" s="130"/>
      <c r="B5743" s="37"/>
      <c r="C5743" s="37"/>
      <c r="D5743" s="37"/>
      <c r="E5743" s="37"/>
      <c r="F5743" s="37"/>
      <c r="G5743" s="37"/>
      <c r="H5743" s="37"/>
      <c r="I5743" s="37"/>
      <c r="J5743" s="37"/>
    </row>
    <row r="5744" spans="1:10" x14ac:dyDescent="0.3">
      <c r="A5744" s="130"/>
      <c r="B5744" s="37"/>
      <c r="C5744" s="37"/>
      <c r="D5744" s="37"/>
      <c r="E5744" s="37"/>
      <c r="F5744" s="37"/>
      <c r="G5744" s="37"/>
      <c r="H5744" s="37"/>
      <c r="I5744" s="37"/>
      <c r="J5744" s="37"/>
    </row>
    <row r="5745" spans="1:10" x14ac:dyDescent="0.3">
      <c r="A5745" s="130"/>
      <c r="B5745" s="37"/>
      <c r="C5745" s="37"/>
      <c r="D5745" s="37"/>
      <c r="E5745" s="37"/>
      <c r="F5745" s="37"/>
      <c r="G5745" s="37"/>
      <c r="H5745" s="37"/>
      <c r="I5745" s="37"/>
      <c r="J5745" s="37"/>
    </row>
    <row r="5746" spans="1:10" x14ac:dyDescent="0.3">
      <c r="A5746" s="130"/>
      <c r="B5746" s="37"/>
      <c r="C5746" s="37"/>
      <c r="D5746" s="37"/>
      <c r="E5746" s="37"/>
      <c r="F5746" s="37"/>
      <c r="G5746" s="37"/>
      <c r="H5746" s="37"/>
      <c r="I5746" s="37"/>
      <c r="J5746" s="37"/>
    </row>
    <row r="5747" spans="1:10" x14ac:dyDescent="0.3">
      <c r="A5747" s="130"/>
      <c r="B5747" s="37"/>
      <c r="C5747" s="37"/>
      <c r="D5747" s="37"/>
      <c r="E5747" s="37"/>
      <c r="F5747" s="37"/>
      <c r="G5747" s="37"/>
      <c r="H5747" s="37"/>
      <c r="I5747" s="37"/>
      <c r="J5747" s="37"/>
    </row>
    <row r="5748" spans="1:10" x14ac:dyDescent="0.3">
      <c r="A5748" s="130"/>
      <c r="B5748" s="37"/>
      <c r="C5748" s="37"/>
      <c r="D5748" s="37"/>
      <c r="E5748" s="37"/>
      <c r="F5748" s="37"/>
      <c r="G5748" s="37"/>
      <c r="H5748" s="37"/>
      <c r="I5748" s="37"/>
      <c r="J5748" s="37"/>
    </row>
    <row r="5749" spans="1:10" x14ac:dyDescent="0.3">
      <c r="A5749" s="130"/>
      <c r="B5749" s="37"/>
      <c r="C5749" s="37"/>
      <c r="D5749" s="37"/>
      <c r="E5749" s="37"/>
      <c r="F5749" s="37"/>
      <c r="G5749" s="37"/>
      <c r="H5749" s="37"/>
      <c r="I5749" s="37"/>
      <c r="J5749" s="37"/>
    </row>
    <row r="5750" spans="1:10" x14ac:dyDescent="0.3">
      <c r="A5750" s="130"/>
      <c r="B5750" s="37"/>
      <c r="C5750" s="37"/>
      <c r="D5750" s="37"/>
      <c r="E5750" s="37"/>
      <c r="F5750" s="37"/>
      <c r="G5750" s="37"/>
      <c r="H5750" s="37"/>
      <c r="I5750" s="37"/>
      <c r="J5750" s="37"/>
    </row>
    <row r="5751" spans="1:10" x14ac:dyDescent="0.3">
      <c r="A5751" s="130"/>
      <c r="B5751" s="37"/>
      <c r="C5751" s="37"/>
      <c r="D5751" s="37"/>
      <c r="E5751" s="37"/>
      <c r="F5751" s="37"/>
      <c r="G5751" s="37"/>
      <c r="H5751" s="37"/>
      <c r="I5751" s="37"/>
      <c r="J5751" s="37"/>
    </row>
    <row r="5752" spans="1:10" x14ac:dyDescent="0.3">
      <c r="A5752" s="130"/>
      <c r="B5752" s="37"/>
      <c r="C5752" s="37"/>
      <c r="D5752" s="37"/>
      <c r="E5752" s="37"/>
      <c r="F5752" s="37"/>
      <c r="G5752" s="37"/>
      <c r="H5752" s="37"/>
      <c r="I5752" s="37"/>
      <c r="J5752" s="37"/>
    </row>
    <row r="5753" spans="1:10" x14ac:dyDescent="0.3">
      <c r="A5753" s="130"/>
      <c r="B5753" s="37"/>
      <c r="C5753" s="37"/>
      <c r="D5753" s="37"/>
      <c r="E5753" s="37"/>
      <c r="F5753" s="37"/>
      <c r="G5753" s="37"/>
      <c r="H5753" s="37"/>
      <c r="I5753" s="37"/>
      <c r="J5753" s="37"/>
    </row>
    <row r="5754" spans="1:10" x14ac:dyDescent="0.3">
      <c r="A5754" s="130"/>
      <c r="B5754" s="37"/>
      <c r="C5754" s="37"/>
      <c r="D5754" s="37"/>
      <c r="E5754" s="37"/>
      <c r="F5754" s="37"/>
      <c r="G5754" s="37"/>
      <c r="H5754" s="37"/>
      <c r="I5754" s="37"/>
      <c r="J5754" s="37"/>
    </row>
    <row r="5755" spans="1:10" x14ac:dyDescent="0.3">
      <c r="A5755" s="130"/>
      <c r="B5755" s="37"/>
      <c r="C5755" s="37"/>
      <c r="D5755" s="37"/>
      <c r="E5755" s="37"/>
      <c r="F5755" s="37"/>
      <c r="G5755" s="37"/>
      <c r="H5755" s="37"/>
      <c r="I5755" s="37"/>
      <c r="J5755" s="37"/>
    </row>
    <row r="5756" spans="1:10" x14ac:dyDescent="0.3">
      <c r="A5756" s="130"/>
      <c r="B5756" s="37"/>
      <c r="C5756" s="37"/>
      <c r="D5756" s="37"/>
      <c r="E5756" s="37"/>
      <c r="F5756" s="37"/>
      <c r="G5756" s="37"/>
      <c r="H5756" s="37"/>
      <c r="I5756" s="37"/>
      <c r="J5756" s="37"/>
    </row>
    <row r="5757" spans="1:10" x14ac:dyDescent="0.3">
      <c r="A5757" s="130"/>
      <c r="B5757" s="37"/>
      <c r="C5757" s="37"/>
      <c r="D5757" s="37"/>
      <c r="E5757" s="37"/>
      <c r="F5757" s="37"/>
      <c r="G5757" s="37"/>
      <c r="H5757" s="37"/>
      <c r="I5757" s="37"/>
      <c r="J5757" s="37"/>
    </row>
    <row r="5758" spans="1:10" x14ac:dyDescent="0.3">
      <c r="A5758" s="130"/>
      <c r="B5758" s="37"/>
      <c r="C5758" s="37"/>
      <c r="D5758" s="37"/>
      <c r="E5758" s="37"/>
      <c r="F5758" s="37"/>
      <c r="G5758" s="37"/>
      <c r="H5758" s="37"/>
      <c r="I5758" s="37"/>
      <c r="J5758" s="37"/>
    </row>
    <row r="5759" spans="1:10" x14ac:dyDescent="0.3">
      <c r="A5759" s="130"/>
      <c r="B5759" s="37"/>
      <c r="C5759" s="37"/>
      <c r="D5759" s="37"/>
      <c r="E5759" s="37"/>
      <c r="F5759" s="37"/>
      <c r="G5759" s="37"/>
      <c r="H5759" s="37"/>
      <c r="I5759" s="37"/>
      <c r="J5759" s="37"/>
    </row>
    <row r="5760" spans="1:10" x14ac:dyDescent="0.3">
      <c r="A5760" s="130"/>
      <c r="B5760" s="37"/>
      <c r="C5760" s="37"/>
      <c r="D5760" s="37"/>
      <c r="E5760" s="37"/>
      <c r="F5760" s="37"/>
      <c r="G5760" s="37"/>
      <c r="H5760" s="37"/>
      <c r="I5760" s="37"/>
      <c r="J5760" s="37"/>
    </row>
    <row r="5761" spans="1:10" x14ac:dyDescent="0.3">
      <c r="A5761" s="130"/>
      <c r="B5761" s="37"/>
      <c r="C5761" s="37"/>
      <c r="D5761" s="37"/>
      <c r="E5761" s="37"/>
      <c r="F5761" s="37"/>
      <c r="G5761" s="37"/>
      <c r="H5761" s="37"/>
      <c r="I5761" s="37"/>
      <c r="J5761" s="37"/>
    </row>
    <row r="5762" spans="1:10" x14ac:dyDescent="0.3">
      <c r="A5762" s="130"/>
      <c r="B5762" s="37"/>
      <c r="C5762" s="37"/>
      <c r="D5762" s="37"/>
      <c r="E5762" s="37"/>
      <c r="F5762" s="37"/>
      <c r="G5762" s="37"/>
      <c r="H5762" s="37"/>
      <c r="I5762" s="37"/>
      <c r="J5762" s="37"/>
    </row>
    <row r="5763" spans="1:10" x14ac:dyDescent="0.3">
      <c r="A5763" s="130"/>
      <c r="B5763" s="37"/>
      <c r="C5763" s="37"/>
      <c r="D5763" s="37"/>
      <c r="E5763" s="37"/>
      <c r="F5763" s="37"/>
      <c r="G5763" s="37"/>
      <c r="H5763" s="37"/>
      <c r="I5763" s="37"/>
      <c r="J5763" s="37"/>
    </row>
    <row r="5764" spans="1:10" x14ac:dyDescent="0.3">
      <c r="A5764" s="130"/>
      <c r="B5764" s="37"/>
      <c r="C5764" s="37"/>
      <c r="D5764" s="37"/>
      <c r="E5764" s="37"/>
      <c r="F5764" s="37"/>
      <c r="G5764" s="37"/>
      <c r="H5764" s="37"/>
      <c r="I5764" s="37"/>
      <c r="J5764" s="37"/>
    </row>
    <row r="5765" spans="1:10" x14ac:dyDescent="0.3">
      <c r="A5765" s="130"/>
      <c r="B5765" s="37"/>
      <c r="C5765" s="37"/>
      <c r="D5765" s="37"/>
      <c r="E5765" s="37"/>
      <c r="F5765" s="37"/>
      <c r="G5765" s="37"/>
      <c r="H5765" s="37"/>
      <c r="I5765" s="37"/>
      <c r="J5765" s="37"/>
    </row>
    <row r="5766" spans="1:10" x14ac:dyDescent="0.3">
      <c r="A5766" s="130"/>
      <c r="B5766" s="37"/>
      <c r="C5766" s="37"/>
      <c r="D5766" s="37"/>
      <c r="E5766" s="37"/>
      <c r="F5766" s="37"/>
      <c r="G5766" s="37"/>
      <c r="H5766" s="37"/>
      <c r="I5766" s="37"/>
      <c r="J5766" s="37"/>
    </row>
    <row r="5767" spans="1:10" x14ac:dyDescent="0.3">
      <c r="A5767" s="130"/>
      <c r="B5767" s="37"/>
      <c r="C5767" s="37"/>
      <c r="D5767" s="37"/>
      <c r="E5767" s="37"/>
      <c r="F5767" s="37"/>
      <c r="G5767" s="37"/>
      <c r="H5767" s="37"/>
      <c r="I5767" s="37"/>
      <c r="J5767" s="37"/>
    </row>
    <row r="5768" spans="1:10" x14ac:dyDescent="0.3">
      <c r="A5768" s="130"/>
      <c r="B5768" s="37"/>
      <c r="C5768" s="37"/>
      <c r="D5768" s="37"/>
      <c r="E5768" s="37"/>
      <c r="F5768" s="37"/>
      <c r="G5768" s="37"/>
      <c r="H5768" s="37"/>
      <c r="I5768" s="37"/>
      <c r="J5768" s="37"/>
    </row>
    <row r="5769" spans="1:10" x14ac:dyDescent="0.3">
      <c r="A5769" s="130"/>
      <c r="B5769" s="37"/>
      <c r="C5769" s="37"/>
      <c r="D5769" s="37"/>
      <c r="E5769" s="37"/>
      <c r="F5769" s="37"/>
      <c r="G5769" s="37"/>
      <c r="H5769" s="37"/>
      <c r="I5769" s="37"/>
      <c r="J5769" s="37"/>
    </row>
    <row r="5770" spans="1:10" x14ac:dyDescent="0.3">
      <c r="A5770" s="130"/>
      <c r="B5770" s="37"/>
      <c r="C5770" s="37"/>
      <c r="D5770" s="37"/>
      <c r="E5770" s="37"/>
      <c r="F5770" s="37"/>
      <c r="G5770" s="37"/>
      <c r="H5770" s="37"/>
      <c r="I5770" s="37"/>
      <c r="J5770" s="37"/>
    </row>
    <row r="5771" spans="1:10" x14ac:dyDescent="0.3">
      <c r="A5771" s="130"/>
      <c r="B5771" s="37"/>
      <c r="C5771" s="37"/>
      <c r="D5771" s="37"/>
      <c r="E5771" s="37"/>
      <c r="F5771" s="37"/>
      <c r="G5771" s="37"/>
      <c r="H5771" s="37"/>
      <c r="I5771" s="37"/>
      <c r="J5771" s="37"/>
    </row>
    <row r="5772" spans="1:10" x14ac:dyDescent="0.3">
      <c r="A5772" s="130"/>
      <c r="B5772" s="37"/>
      <c r="C5772" s="37"/>
      <c r="D5772" s="37"/>
      <c r="E5772" s="37"/>
      <c r="F5772" s="37"/>
      <c r="G5772" s="37"/>
      <c r="H5772" s="37"/>
      <c r="I5772" s="37"/>
      <c r="J5772" s="37"/>
    </row>
    <row r="5773" spans="1:10" x14ac:dyDescent="0.3">
      <c r="A5773" s="130"/>
      <c r="B5773" s="37"/>
      <c r="C5773" s="37"/>
      <c r="D5773" s="37"/>
      <c r="E5773" s="37"/>
      <c r="F5773" s="37"/>
      <c r="G5773" s="37"/>
      <c r="H5773" s="37"/>
      <c r="I5773" s="37"/>
      <c r="J5773" s="37"/>
    </row>
    <row r="5774" spans="1:10" x14ac:dyDescent="0.3">
      <c r="A5774" s="130"/>
      <c r="B5774" s="37"/>
      <c r="C5774" s="37"/>
      <c r="D5774" s="37"/>
      <c r="E5774" s="37"/>
      <c r="F5774" s="37"/>
      <c r="G5774" s="37"/>
      <c r="H5774" s="37"/>
      <c r="I5774" s="37"/>
      <c r="J5774" s="37"/>
    </row>
    <row r="5775" spans="1:10" x14ac:dyDescent="0.3">
      <c r="A5775" s="130"/>
      <c r="B5775" s="37"/>
      <c r="C5775" s="37"/>
      <c r="D5775" s="37"/>
      <c r="E5775" s="37"/>
      <c r="F5775" s="37"/>
      <c r="G5775" s="37"/>
      <c r="H5775" s="37"/>
      <c r="I5775" s="37"/>
      <c r="J5775" s="37"/>
    </row>
    <row r="5776" spans="1:10" x14ac:dyDescent="0.3">
      <c r="A5776" s="130"/>
      <c r="B5776" s="37"/>
      <c r="C5776" s="37"/>
      <c r="D5776" s="37"/>
      <c r="E5776" s="37"/>
      <c r="F5776" s="37"/>
      <c r="G5776" s="37"/>
      <c r="H5776" s="37"/>
      <c r="I5776" s="37"/>
      <c r="J5776" s="37"/>
    </row>
    <row r="5777" spans="1:10" x14ac:dyDescent="0.3">
      <c r="A5777" s="130"/>
      <c r="B5777" s="37"/>
      <c r="C5777" s="37"/>
      <c r="D5777" s="37"/>
      <c r="E5777" s="37"/>
      <c r="F5777" s="37"/>
      <c r="G5777" s="37"/>
      <c r="H5777" s="37"/>
      <c r="I5777" s="37"/>
      <c r="J5777" s="37"/>
    </row>
    <row r="5778" spans="1:10" x14ac:dyDescent="0.3">
      <c r="A5778" s="130"/>
      <c r="B5778" s="37"/>
      <c r="C5778" s="37"/>
      <c r="D5778" s="37"/>
      <c r="E5778" s="37"/>
      <c r="F5778" s="37"/>
      <c r="G5778" s="37"/>
      <c r="H5778" s="37"/>
      <c r="I5778" s="37"/>
      <c r="J5778" s="37"/>
    </row>
    <row r="5779" spans="1:10" x14ac:dyDescent="0.3">
      <c r="A5779" s="130"/>
      <c r="B5779" s="37"/>
      <c r="C5779" s="37"/>
      <c r="D5779" s="37"/>
      <c r="E5779" s="37"/>
      <c r="F5779" s="37"/>
      <c r="G5779" s="37"/>
      <c r="H5779" s="37"/>
      <c r="I5779" s="37"/>
      <c r="J5779" s="37"/>
    </row>
    <row r="5780" spans="1:10" x14ac:dyDescent="0.3">
      <c r="A5780" s="130"/>
      <c r="B5780" s="37"/>
      <c r="C5780" s="37"/>
      <c r="D5780" s="37"/>
      <c r="E5780" s="37"/>
      <c r="F5780" s="37"/>
      <c r="G5780" s="37"/>
      <c r="H5780" s="37"/>
      <c r="I5780" s="37"/>
      <c r="J5780" s="37"/>
    </row>
    <row r="5781" spans="1:10" x14ac:dyDescent="0.3">
      <c r="A5781" s="130"/>
      <c r="B5781" s="37"/>
      <c r="C5781" s="37"/>
      <c r="D5781" s="37"/>
      <c r="E5781" s="37"/>
      <c r="F5781" s="37"/>
      <c r="G5781" s="37"/>
      <c r="H5781" s="37"/>
      <c r="I5781" s="37"/>
      <c r="J5781" s="37"/>
    </row>
    <row r="5782" spans="1:10" x14ac:dyDescent="0.3">
      <c r="A5782" s="130"/>
      <c r="B5782" s="37"/>
      <c r="C5782" s="37"/>
      <c r="D5782" s="37"/>
      <c r="E5782" s="37"/>
      <c r="F5782" s="37"/>
      <c r="G5782" s="37"/>
      <c r="H5782" s="37"/>
      <c r="I5782" s="37"/>
      <c r="J5782" s="37"/>
    </row>
    <row r="5783" spans="1:10" x14ac:dyDescent="0.3">
      <c r="A5783" s="130"/>
      <c r="B5783" s="37"/>
      <c r="C5783" s="37"/>
      <c r="D5783" s="37"/>
      <c r="E5783" s="37"/>
      <c r="F5783" s="37"/>
      <c r="G5783" s="37"/>
      <c r="H5783" s="37"/>
      <c r="I5783" s="37"/>
      <c r="J5783" s="37"/>
    </row>
    <row r="5784" spans="1:10" x14ac:dyDescent="0.3">
      <c r="A5784" s="130"/>
      <c r="B5784" s="37"/>
      <c r="C5784" s="37"/>
      <c r="D5784" s="37"/>
      <c r="E5784" s="37"/>
      <c r="F5784" s="37"/>
      <c r="G5784" s="37"/>
      <c r="H5784" s="37"/>
      <c r="I5784" s="37"/>
      <c r="J5784" s="37"/>
    </row>
    <row r="5785" spans="1:10" x14ac:dyDescent="0.3">
      <c r="A5785" s="130"/>
      <c r="B5785" s="37"/>
      <c r="C5785" s="37"/>
      <c r="D5785" s="37"/>
      <c r="E5785" s="37"/>
      <c r="F5785" s="37"/>
      <c r="G5785" s="37"/>
      <c r="H5785" s="37"/>
      <c r="I5785" s="37"/>
      <c r="J5785" s="37"/>
    </row>
    <row r="5786" spans="1:10" x14ac:dyDescent="0.3">
      <c r="A5786" s="130"/>
      <c r="B5786" s="37"/>
      <c r="C5786" s="37"/>
      <c r="D5786" s="37"/>
      <c r="E5786" s="37"/>
      <c r="F5786" s="37"/>
      <c r="G5786" s="37"/>
      <c r="H5786" s="37"/>
      <c r="I5786" s="37"/>
      <c r="J5786" s="37"/>
    </row>
    <row r="5787" spans="1:10" x14ac:dyDescent="0.3">
      <c r="A5787" s="130"/>
      <c r="B5787" s="37"/>
      <c r="C5787" s="37"/>
      <c r="D5787" s="37"/>
      <c r="E5787" s="37"/>
      <c r="F5787" s="37"/>
      <c r="G5787" s="37"/>
      <c r="H5787" s="37"/>
      <c r="I5787" s="37"/>
      <c r="J5787" s="37"/>
    </row>
    <row r="5788" spans="1:10" x14ac:dyDescent="0.3">
      <c r="A5788" s="130"/>
      <c r="B5788" s="37"/>
      <c r="C5788" s="37"/>
      <c r="D5788" s="37"/>
      <c r="E5788" s="37"/>
      <c r="F5788" s="37"/>
      <c r="G5788" s="37"/>
      <c r="H5788" s="37"/>
      <c r="I5788" s="37"/>
      <c r="J5788" s="37"/>
    </row>
    <row r="5789" spans="1:10" x14ac:dyDescent="0.3">
      <c r="A5789" s="130"/>
      <c r="B5789" s="37"/>
      <c r="C5789" s="37"/>
      <c r="D5789" s="37"/>
      <c r="E5789" s="37"/>
      <c r="F5789" s="37"/>
      <c r="G5789" s="37"/>
      <c r="H5789" s="37"/>
      <c r="I5789" s="37"/>
      <c r="J5789" s="37"/>
    </row>
    <row r="5790" spans="1:10" x14ac:dyDescent="0.3">
      <c r="A5790" s="130"/>
      <c r="B5790" s="37"/>
      <c r="C5790" s="37"/>
      <c r="D5790" s="37"/>
      <c r="E5790" s="37"/>
      <c r="F5790" s="37"/>
      <c r="G5790" s="37"/>
      <c r="H5790" s="37"/>
      <c r="I5790" s="37"/>
      <c r="J5790" s="37"/>
    </row>
    <row r="5791" spans="1:10" x14ac:dyDescent="0.3">
      <c r="A5791" s="130"/>
      <c r="B5791" s="37"/>
      <c r="C5791" s="37"/>
      <c r="D5791" s="37"/>
      <c r="E5791" s="37"/>
      <c r="F5791" s="37"/>
      <c r="G5791" s="37"/>
      <c r="H5791" s="37"/>
      <c r="I5791" s="37"/>
      <c r="J5791" s="37"/>
    </row>
    <row r="5792" spans="1:10" x14ac:dyDescent="0.3">
      <c r="A5792" s="130"/>
      <c r="B5792" s="37"/>
      <c r="C5792" s="37"/>
      <c r="D5792" s="37"/>
      <c r="E5792" s="37"/>
      <c r="F5792" s="37"/>
      <c r="G5792" s="37"/>
      <c r="H5792" s="37"/>
      <c r="I5792" s="37"/>
      <c r="J5792" s="37"/>
    </row>
    <row r="5793" spans="1:10" x14ac:dyDescent="0.3">
      <c r="A5793" s="130"/>
      <c r="B5793" s="37"/>
      <c r="C5793" s="37"/>
      <c r="D5793" s="37"/>
      <c r="E5793" s="37"/>
      <c r="F5793" s="37"/>
      <c r="G5793" s="37"/>
      <c r="H5793" s="37"/>
      <c r="I5793" s="37"/>
      <c r="J5793" s="37"/>
    </row>
    <row r="5794" spans="1:10" x14ac:dyDescent="0.3">
      <c r="A5794" s="130"/>
      <c r="B5794" s="37"/>
      <c r="C5794" s="37"/>
      <c r="D5794" s="37"/>
      <c r="E5794" s="37"/>
      <c r="F5794" s="37"/>
      <c r="G5794" s="37"/>
      <c r="H5794" s="37"/>
      <c r="I5794" s="37"/>
      <c r="J5794" s="37"/>
    </row>
    <row r="5795" spans="1:10" x14ac:dyDescent="0.3">
      <c r="A5795" s="130"/>
      <c r="B5795" s="37"/>
      <c r="C5795" s="37"/>
      <c r="D5795" s="37"/>
      <c r="E5795" s="37"/>
      <c r="F5795" s="37"/>
      <c r="G5795" s="37"/>
      <c r="H5795" s="37"/>
      <c r="I5795" s="37"/>
      <c r="J5795" s="37"/>
    </row>
    <row r="5796" spans="1:10" x14ac:dyDescent="0.3">
      <c r="A5796" s="130"/>
      <c r="B5796" s="37"/>
      <c r="C5796" s="37"/>
      <c r="D5796" s="37"/>
      <c r="E5796" s="37"/>
      <c r="F5796" s="37"/>
      <c r="G5796" s="37"/>
      <c r="H5796" s="37"/>
      <c r="I5796" s="37"/>
      <c r="J5796" s="37"/>
    </row>
    <row r="5797" spans="1:10" x14ac:dyDescent="0.3">
      <c r="A5797" s="130"/>
      <c r="B5797" s="37"/>
      <c r="C5797" s="37"/>
      <c r="D5797" s="37"/>
      <c r="E5797" s="37"/>
      <c r="F5797" s="37"/>
      <c r="G5797" s="37"/>
      <c r="H5797" s="37"/>
      <c r="I5797" s="37"/>
      <c r="J5797" s="37"/>
    </row>
    <row r="5798" spans="1:10" x14ac:dyDescent="0.3">
      <c r="A5798" s="130"/>
      <c r="B5798" s="37"/>
      <c r="C5798" s="37"/>
      <c r="D5798" s="37"/>
      <c r="E5798" s="37"/>
      <c r="F5798" s="37"/>
      <c r="G5798" s="37"/>
      <c r="H5798" s="37"/>
      <c r="I5798" s="37"/>
      <c r="J5798" s="37"/>
    </row>
    <row r="5799" spans="1:10" x14ac:dyDescent="0.3">
      <c r="A5799" s="130"/>
      <c r="B5799" s="37"/>
      <c r="C5799" s="37"/>
      <c r="D5799" s="37"/>
      <c r="E5799" s="37"/>
      <c r="F5799" s="37"/>
      <c r="G5799" s="37"/>
      <c r="H5799" s="37"/>
      <c r="I5799" s="37"/>
      <c r="J5799" s="37"/>
    </row>
    <row r="5800" spans="1:10" x14ac:dyDescent="0.3">
      <c r="A5800" s="130"/>
      <c r="B5800" s="37"/>
      <c r="C5800" s="37"/>
      <c r="D5800" s="37"/>
      <c r="E5800" s="37"/>
      <c r="F5800" s="37"/>
      <c r="G5800" s="37"/>
      <c r="H5800" s="37"/>
      <c r="I5800" s="37"/>
      <c r="J5800" s="37"/>
    </row>
    <row r="5801" spans="1:10" x14ac:dyDescent="0.3">
      <c r="A5801" s="130"/>
      <c r="B5801" s="37"/>
      <c r="C5801" s="37"/>
      <c r="D5801" s="37"/>
      <c r="E5801" s="37"/>
      <c r="F5801" s="37"/>
      <c r="G5801" s="37"/>
      <c r="H5801" s="37"/>
      <c r="I5801" s="37"/>
      <c r="J5801" s="37"/>
    </row>
    <row r="5802" spans="1:10" x14ac:dyDescent="0.3">
      <c r="A5802" s="130"/>
      <c r="B5802" s="37"/>
      <c r="C5802" s="37"/>
      <c r="D5802" s="37"/>
      <c r="E5802" s="37"/>
      <c r="F5802" s="37"/>
      <c r="G5802" s="37"/>
      <c r="H5802" s="37"/>
      <c r="I5802" s="37"/>
      <c r="J5802" s="37"/>
    </row>
    <row r="5803" spans="1:10" x14ac:dyDescent="0.3">
      <c r="A5803" s="130"/>
      <c r="B5803" s="37"/>
      <c r="C5803" s="37"/>
      <c r="D5803" s="37"/>
      <c r="E5803" s="37"/>
      <c r="F5803" s="37"/>
      <c r="G5803" s="37"/>
      <c r="H5803" s="37"/>
      <c r="I5803" s="37"/>
      <c r="J5803" s="37"/>
    </row>
    <row r="5804" spans="1:10" x14ac:dyDescent="0.3">
      <c r="A5804" s="130"/>
      <c r="B5804" s="37"/>
      <c r="C5804" s="37"/>
      <c r="D5804" s="37"/>
      <c r="E5804" s="37"/>
      <c r="F5804" s="37"/>
      <c r="G5804" s="37"/>
      <c r="H5804" s="37"/>
      <c r="I5804" s="37"/>
      <c r="J5804" s="37"/>
    </row>
    <row r="5805" spans="1:10" x14ac:dyDescent="0.3">
      <c r="A5805" s="130"/>
      <c r="B5805" s="37"/>
      <c r="C5805" s="37"/>
      <c r="D5805" s="37"/>
      <c r="E5805" s="37"/>
      <c r="F5805" s="37"/>
      <c r="G5805" s="37"/>
      <c r="H5805" s="37"/>
      <c r="I5805" s="37"/>
      <c r="J5805" s="37"/>
    </row>
    <row r="5806" spans="1:10" x14ac:dyDescent="0.3">
      <c r="A5806" s="130"/>
      <c r="B5806" s="37"/>
      <c r="C5806" s="37"/>
      <c r="D5806" s="37"/>
      <c r="E5806" s="37"/>
      <c r="F5806" s="37"/>
      <c r="G5806" s="37"/>
      <c r="H5806" s="37"/>
      <c r="I5806" s="37"/>
      <c r="J5806" s="37"/>
    </row>
    <row r="5807" spans="1:10" x14ac:dyDescent="0.3">
      <c r="A5807" s="130"/>
      <c r="B5807" s="37"/>
      <c r="C5807" s="37"/>
      <c r="D5807" s="37"/>
      <c r="E5807" s="37"/>
      <c r="F5807" s="37"/>
      <c r="G5807" s="37"/>
      <c r="H5807" s="37"/>
      <c r="I5807" s="37"/>
      <c r="J5807" s="37"/>
    </row>
    <row r="5808" spans="1:10" x14ac:dyDescent="0.3">
      <c r="A5808" s="130"/>
      <c r="B5808" s="37"/>
      <c r="C5808" s="37"/>
      <c r="D5808" s="37"/>
      <c r="E5808" s="37"/>
      <c r="F5808" s="37"/>
      <c r="G5808" s="37"/>
      <c r="H5808" s="37"/>
      <c r="I5808" s="37"/>
      <c r="J5808" s="37"/>
    </row>
    <row r="5809" spans="1:10" x14ac:dyDescent="0.3">
      <c r="A5809" s="130"/>
      <c r="B5809" s="37"/>
      <c r="C5809" s="37"/>
      <c r="D5809" s="37"/>
      <c r="E5809" s="37"/>
      <c r="F5809" s="37"/>
      <c r="G5809" s="37"/>
      <c r="H5809" s="37"/>
      <c r="I5809" s="37"/>
      <c r="J5809" s="37"/>
    </row>
    <row r="5810" spans="1:10" x14ac:dyDescent="0.3">
      <c r="A5810" s="130"/>
      <c r="B5810" s="37"/>
      <c r="C5810" s="37"/>
      <c r="D5810" s="37"/>
      <c r="E5810" s="37"/>
      <c r="F5810" s="37"/>
      <c r="G5810" s="37"/>
      <c r="H5810" s="37"/>
      <c r="I5810" s="37"/>
      <c r="J5810" s="37"/>
    </row>
    <row r="5811" spans="1:10" x14ac:dyDescent="0.3">
      <c r="A5811" s="130"/>
      <c r="B5811" s="37"/>
      <c r="C5811" s="37"/>
      <c r="D5811" s="37"/>
      <c r="E5811" s="37"/>
      <c r="F5811" s="37"/>
      <c r="G5811" s="37"/>
      <c r="H5811" s="37"/>
      <c r="I5811" s="37"/>
      <c r="J5811" s="37"/>
    </row>
    <row r="5812" spans="1:10" x14ac:dyDescent="0.3">
      <c r="A5812" s="130"/>
      <c r="B5812" s="37"/>
      <c r="C5812" s="37"/>
      <c r="D5812" s="37"/>
      <c r="E5812" s="37"/>
      <c r="F5812" s="37"/>
      <c r="G5812" s="37"/>
      <c r="H5812" s="37"/>
      <c r="I5812" s="37"/>
      <c r="J5812" s="37"/>
    </row>
    <row r="5813" spans="1:10" x14ac:dyDescent="0.3">
      <c r="A5813" s="130"/>
      <c r="B5813" s="37"/>
      <c r="C5813" s="37"/>
      <c r="D5813" s="37"/>
      <c r="E5813" s="37"/>
      <c r="F5813" s="37"/>
      <c r="G5813" s="37"/>
      <c r="H5813" s="37"/>
      <c r="I5813" s="37"/>
      <c r="J5813" s="37"/>
    </row>
    <row r="5814" spans="1:10" x14ac:dyDescent="0.3">
      <c r="A5814" s="130"/>
      <c r="B5814" s="37"/>
      <c r="C5814" s="37"/>
      <c r="D5814" s="37"/>
      <c r="E5814" s="37"/>
      <c r="F5814" s="37"/>
      <c r="G5814" s="37"/>
      <c r="H5814" s="37"/>
      <c r="I5814" s="37"/>
      <c r="J5814" s="37"/>
    </row>
    <row r="5815" spans="1:10" x14ac:dyDescent="0.3">
      <c r="A5815" s="130"/>
      <c r="B5815" s="37"/>
      <c r="C5815" s="37"/>
      <c r="D5815" s="37"/>
      <c r="E5815" s="37"/>
      <c r="F5815" s="37"/>
      <c r="G5815" s="37"/>
      <c r="H5815" s="37"/>
      <c r="I5815" s="37"/>
      <c r="J5815" s="37"/>
    </row>
    <row r="5816" spans="1:10" x14ac:dyDescent="0.3">
      <c r="A5816" s="130"/>
      <c r="B5816" s="37"/>
      <c r="C5816" s="37"/>
      <c r="D5816" s="37"/>
      <c r="E5816" s="37"/>
      <c r="F5816" s="37"/>
      <c r="G5816" s="37"/>
      <c r="H5816" s="37"/>
      <c r="I5816" s="37"/>
      <c r="J5816" s="37"/>
    </row>
    <row r="5817" spans="1:10" x14ac:dyDescent="0.3">
      <c r="A5817" s="130"/>
      <c r="B5817" s="37"/>
      <c r="C5817" s="37"/>
      <c r="D5817" s="37"/>
      <c r="E5817" s="37"/>
      <c r="F5817" s="37"/>
      <c r="G5817" s="37"/>
      <c r="H5817" s="37"/>
      <c r="I5817" s="37"/>
      <c r="J5817" s="37"/>
    </row>
    <row r="5818" spans="1:10" x14ac:dyDescent="0.3">
      <c r="A5818" s="130"/>
      <c r="B5818" s="37"/>
      <c r="C5818" s="37"/>
      <c r="D5818" s="37"/>
      <c r="E5818" s="37"/>
      <c r="F5818" s="37"/>
      <c r="G5818" s="37"/>
      <c r="H5818" s="37"/>
      <c r="I5818" s="37"/>
      <c r="J5818" s="37"/>
    </row>
    <row r="5819" spans="1:10" x14ac:dyDescent="0.3">
      <c r="A5819" s="130"/>
      <c r="B5819" s="37"/>
      <c r="C5819" s="37"/>
      <c r="D5819" s="37"/>
      <c r="E5819" s="37"/>
      <c r="F5819" s="37"/>
      <c r="G5819" s="37"/>
      <c r="H5819" s="37"/>
      <c r="I5819" s="37"/>
      <c r="J5819" s="37"/>
    </row>
    <row r="5820" spans="1:10" x14ac:dyDescent="0.3">
      <c r="A5820" s="130"/>
      <c r="B5820" s="37"/>
      <c r="C5820" s="37"/>
      <c r="D5820" s="37"/>
      <c r="E5820" s="37"/>
      <c r="F5820" s="37"/>
      <c r="G5820" s="37"/>
      <c r="H5820" s="37"/>
      <c r="I5820" s="37"/>
      <c r="J5820" s="37"/>
    </row>
    <row r="5821" spans="1:10" x14ac:dyDescent="0.3">
      <c r="A5821" s="130"/>
      <c r="B5821" s="37"/>
      <c r="C5821" s="37"/>
      <c r="D5821" s="37"/>
      <c r="E5821" s="37"/>
      <c r="F5821" s="37"/>
      <c r="G5821" s="37"/>
      <c r="H5821" s="37"/>
      <c r="I5821" s="37"/>
      <c r="J5821" s="37"/>
    </row>
    <row r="5822" spans="1:10" x14ac:dyDescent="0.3">
      <c r="A5822" s="130"/>
      <c r="B5822" s="37"/>
      <c r="C5822" s="37"/>
      <c r="D5822" s="37"/>
      <c r="E5822" s="37"/>
      <c r="F5822" s="37"/>
      <c r="G5822" s="37"/>
      <c r="H5822" s="37"/>
      <c r="I5822" s="37"/>
      <c r="J5822" s="37"/>
    </row>
    <row r="5823" spans="1:10" x14ac:dyDescent="0.3">
      <c r="A5823" s="130"/>
      <c r="B5823" s="37"/>
      <c r="C5823" s="37"/>
      <c r="D5823" s="37"/>
      <c r="E5823" s="37"/>
      <c r="F5823" s="37"/>
      <c r="G5823" s="37"/>
      <c r="H5823" s="37"/>
      <c r="I5823" s="37"/>
      <c r="J5823" s="37"/>
    </row>
    <row r="5824" spans="1:10" x14ac:dyDescent="0.3">
      <c r="A5824" s="130"/>
      <c r="B5824" s="37"/>
      <c r="C5824" s="37"/>
      <c r="D5824" s="37"/>
      <c r="E5824" s="37"/>
      <c r="F5824" s="37"/>
      <c r="G5824" s="37"/>
      <c r="H5824" s="37"/>
      <c r="I5824" s="37"/>
      <c r="J5824" s="37"/>
    </row>
    <row r="5825" spans="1:10" x14ac:dyDescent="0.3">
      <c r="A5825" s="130"/>
      <c r="B5825" s="37"/>
      <c r="C5825" s="37"/>
      <c r="D5825" s="37"/>
      <c r="E5825" s="37"/>
      <c r="F5825" s="37"/>
      <c r="G5825" s="37"/>
      <c r="H5825" s="37"/>
      <c r="I5825" s="37"/>
      <c r="J5825" s="37"/>
    </row>
    <row r="5826" spans="1:10" x14ac:dyDescent="0.3">
      <c r="A5826" s="130"/>
      <c r="B5826" s="37"/>
      <c r="C5826" s="37"/>
      <c r="D5826" s="37"/>
      <c r="E5826" s="37"/>
      <c r="F5826" s="37"/>
      <c r="G5826" s="37"/>
      <c r="H5826" s="37"/>
      <c r="I5826" s="37"/>
      <c r="J5826" s="37"/>
    </row>
    <row r="5827" spans="1:10" x14ac:dyDescent="0.3">
      <c r="A5827" s="130"/>
      <c r="B5827" s="37"/>
      <c r="C5827" s="37"/>
      <c r="D5827" s="37"/>
      <c r="E5827" s="37"/>
      <c r="F5827" s="37"/>
      <c r="G5827" s="37"/>
      <c r="H5827" s="37"/>
      <c r="I5827" s="37"/>
      <c r="J5827" s="37"/>
    </row>
    <row r="5828" spans="1:10" x14ac:dyDescent="0.3">
      <c r="A5828" s="130"/>
      <c r="B5828" s="37"/>
      <c r="C5828" s="37"/>
      <c r="D5828" s="37"/>
      <c r="E5828" s="37"/>
      <c r="F5828" s="37"/>
      <c r="G5828" s="37"/>
      <c r="H5828" s="37"/>
      <c r="I5828" s="37"/>
      <c r="J5828" s="37"/>
    </row>
    <row r="5829" spans="1:10" x14ac:dyDescent="0.3">
      <c r="A5829" s="130"/>
      <c r="B5829" s="37"/>
      <c r="C5829" s="37"/>
      <c r="D5829" s="37"/>
      <c r="E5829" s="37"/>
      <c r="F5829" s="37"/>
      <c r="G5829" s="37"/>
      <c r="H5829" s="37"/>
      <c r="I5829" s="37"/>
      <c r="J5829" s="37"/>
    </row>
    <row r="5830" spans="1:10" x14ac:dyDescent="0.3">
      <c r="A5830" s="130"/>
      <c r="B5830" s="37"/>
      <c r="C5830" s="37"/>
      <c r="D5830" s="37"/>
      <c r="E5830" s="37"/>
      <c r="F5830" s="37"/>
      <c r="G5830" s="37"/>
      <c r="H5830" s="37"/>
      <c r="I5830" s="37"/>
      <c r="J5830" s="37"/>
    </row>
    <row r="5831" spans="1:10" x14ac:dyDescent="0.3">
      <c r="A5831" s="130"/>
      <c r="B5831" s="37"/>
      <c r="C5831" s="37"/>
      <c r="D5831" s="37"/>
      <c r="E5831" s="37"/>
      <c r="F5831" s="37"/>
      <c r="G5831" s="37"/>
      <c r="H5831" s="37"/>
      <c r="I5831" s="37"/>
      <c r="J5831" s="37"/>
    </row>
    <row r="5832" spans="1:10" x14ac:dyDescent="0.3">
      <c r="A5832" s="130"/>
      <c r="B5832" s="37"/>
      <c r="C5832" s="37"/>
      <c r="D5832" s="37"/>
      <c r="E5832" s="37"/>
      <c r="F5832" s="37"/>
      <c r="G5832" s="37"/>
      <c r="H5832" s="37"/>
      <c r="I5832" s="37"/>
      <c r="J5832" s="37"/>
    </row>
    <row r="5833" spans="1:10" x14ac:dyDescent="0.3">
      <c r="A5833" s="130"/>
      <c r="B5833" s="37"/>
      <c r="C5833" s="37"/>
      <c r="D5833" s="37"/>
      <c r="E5833" s="37"/>
      <c r="F5833" s="37"/>
      <c r="G5833" s="37"/>
      <c r="H5833" s="37"/>
      <c r="I5833" s="37"/>
      <c r="J5833" s="37"/>
    </row>
    <row r="5834" spans="1:10" x14ac:dyDescent="0.3">
      <c r="A5834" s="130"/>
      <c r="B5834" s="37"/>
      <c r="C5834" s="37"/>
      <c r="D5834" s="37"/>
      <c r="E5834" s="37"/>
      <c r="F5834" s="37"/>
      <c r="G5834" s="37"/>
      <c r="H5834" s="37"/>
      <c r="I5834" s="37"/>
      <c r="J5834" s="37"/>
    </row>
    <row r="5835" spans="1:10" x14ac:dyDescent="0.3">
      <c r="A5835" s="130"/>
      <c r="B5835" s="37"/>
      <c r="C5835" s="37"/>
      <c r="D5835" s="37"/>
      <c r="E5835" s="37"/>
      <c r="F5835" s="37"/>
      <c r="G5835" s="37"/>
      <c r="H5835" s="37"/>
      <c r="I5835" s="37"/>
      <c r="J5835" s="37"/>
    </row>
    <row r="5836" spans="1:10" x14ac:dyDescent="0.3">
      <c r="A5836" s="130"/>
      <c r="B5836" s="37"/>
      <c r="C5836" s="37"/>
      <c r="D5836" s="37"/>
      <c r="E5836" s="37"/>
      <c r="F5836" s="37"/>
      <c r="G5836" s="37"/>
      <c r="H5836" s="37"/>
      <c r="I5836" s="37"/>
      <c r="J5836" s="37"/>
    </row>
    <row r="5837" spans="1:10" x14ac:dyDescent="0.3">
      <c r="A5837" s="130"/>
      <c r="B5837" s="37"/>
      <c r="C5837" s="37"/>
      <c r="D5837" s="37"/>
      <c r="E5837" s="37"/>
      <c r="F5837" s="37"/>
      <c r="G5837" s="37"/>
      <c r="H5837" s="37"/>
      <c r="I5837" s="37"/>
      <c r="J5837" s="37"/>
    </row>
    <row r="5838" spans="1:10" x14ac:dyDescent="0.3">
      <c r="A5838" s="130"/>
      <c r="B5838" s="37"/>
      <c r="C5838" s="37"/>
      <c r="D5838" s="37"/>
      <c r="E5838" s="37"/>
      <c r="F5838" s="37"/>
      <c r="G5838" s="37"/>
      <c r="H5838" s="37"/>
      <c r="I5838" s="37"/>
      <c r="J5838" s="37"/>
    </row>
    <row r="5839" spans="1:10" x14ac:dyDescent="0.3">
      <c r="A5839" s="130"/>
      <c r="B5839" s="37"/>
      <c r="C5839" s="37"/>
      <c r="D5839" s="37"/>
      <c r="E5839" s="37"/>
      <c r="F5839" s="37"/>
      <c r="G5839" s="37"/>
      <c r="H5839" s="37"/>
      <c r="I5839" s="37"/>
      <c r="J5839" s="37"/>
    </row>
    <row r="5840" spans="1:10" x14ac:dyDescent="0.3">
      <c r="A5840" s="130"/>
      <c r="B5840" s="37"/>
      <c r="C5840" s="37"/>
      <c r="D5840" s="37"/>
      <c r="E5840" s="37"/>
      <c r="F5840" s="37"/>
      <c r="G5840" s="37"/>
      <c r="H5840" s="37"/>
      <c r="I5840" s="37"/>
      <c r="J5840" s="37"/>
    </row>
    <row r="5841" spans="1:10" x14ac:dyDescent="0.3">
      <c r="A5841" s="130"/>
      <c r="B5841" s="37"/>
      <c r="C5841" s="37"/>
      <c r="D5841" s="37"/>
      <c r="E5841" s="37"/>
      <c r="F5841" s="37"/>
      <c r="G5841" s="37"/>
      <c r="H5841" s="37"/>
      <c r="I5841" s="37"/>
      <c r="J5841" s="37"/>
    </row>
    <row r="5842" spans="1:10" x14ac:dyDescent="0.3">
      <c r="A5842" s="130"/>
      <c r="B5842" s="37"/>
      <c r="C5842" s="37"/>
      <c r="D5842" s="37"/>
      <c r="E5842" s="37"/>
      <c r="F5842" s="37"/>
      <c r="G5842" s="37"/>
      <c r="H5842" s="37"/>
      <c r="I5842" s="37"/>
      <c r="J5842" s="37"/>
    </row>
    <row r="5843" spans="1:10" x14ac:dyDescent="0.3">
      <c r="A5843" s="130"/>
      <c r="B5843" s="37"/>
      <c r="C5843" s="37"/>
      <c r="D5843" s="37"/>
      <c r="E5843" s="37"/>
      <c r="F5843" s="37"/>
      <c r="G5843" s="37"/>
      <c r="H5843" s="37"/>
      <c r="I5843" s="37"/>
      <c r="J5843" s="37"/>
    </row>
    <row r="5844" spans="1:10" x14ac:dyDescent="0.3">
      <c r="A5844" s="130"/>
      <c r="B5844" s="37"/>
      <c r="C5844" s="37"/>
      <c r="D5844" s="37"/>
      <c r="E5844" s="37"/>
      <c r="F5844" s="37"/>
      <c r="G5844" s="37"/>
      <c r="H5844" s="37"/>
      <c r="I5844" s="37"/>
      <c r="J5844" s="37"/>
    </row>
    <row r="5845" spans="1:10" x14ac:dyDescent="0.3">
      <c r="A5845" s="130"/>
      <c r="B5845" s="37"/>
      <c r="C5845" s="37"/>
      <c r="D5845" s="37"/>
      <c r="E5845" s="37"/>
      <c r="F5845" s="37"/>
      <c r="G5845" s="37"/>
      <c r="H5845" s="37"/>
      <c r="I5845" s="37"/>
      <c r="J5845" s="37"/>
    </row>
    <row r="5846" spans="1:10" x14ac:dyDescent="0.3">
      <c r="A5846" s="130"/>
      <c r="B5846" s="37"/>
      <c r="C5846" s="37"/>
      <c r="D5846" s="37"/>
      <c r="E5846" s="37"/>
      <c r="F5846" s="37"/>
      <c r="G5846" s="37"/>
      <c r="H5846" s="37"/>
      <c r="I5846" s="37"/>
      <c r="J5846" s="37"/>
    </row>
    <row r="5847" spans="1:10" x14ac:dyDescent="0.3">
      <c r="A5847" s="130"/>
      <c r="B5847" s="37"/>
      <c r="C5847" s="37"/>
      <c r="D5847" s="37"/>
      <c r="E5847" s="37"/>
      <c r="F5847" s="37"/>
      <c r="G5847" s="37"/>
      <c r="H5847" s="37"/>
      <c r="I5847" s="37"/>
      <c r="J5847" s="37"/>
    </row>
    <row r="5848" spans="1:10" x14ac:dyDescent="0.3">
      <c r="A5848" s="130"/>
      <c r="B5848" s="37"/>
      <c r="C5848" s="37"/>
      <c r="D5848" s="37"/>
      <c r="E5848" s="37"/>
      <c r="F5848" s="37"/>
      <c r="G5848" s="37"/>
      <c r="H5848" s="37"/>
      <c r="I5848" s="37"/>
      <c r="J5848" s="37"/>
    </row>
    <row r="5849" spans="1:10" x14ac:dyDescent="0.3">
      <c r="A5849" s="130"/>
      <c r="B5849" s="37"/>
      <c r="C5849" s="37"/>
      <c r="D5849" s="37"/>
      <c r="E5849" s="37"/>
      <c r="F5849" s="37"/>
      <c r="G5849" s="37"/>
      <c r="H5849" s="37"/>
      <c r="I5849" s="37"/>
      <c r="J5849" s="37"/>
    </row>
    <row r="5850" spans="1:10" x14ac:dyDescent="0.3">
      <c r="A5850" s="130"/>
      <c r="B5850" s="37"/>
      <c r="C5850" s="37"/>
      <c r="D5850" s="37"/>
      <c r="E5850" s="37"/>
      <c r="F5850" s="37"/>
      <c r="G5850" s="37"/>
      <c r="H5850" s="37"/>
      <c r="I5850" s="37"/>
      <c r="J5850" s="37"/>
    </row>
    <row r="5851" spans="1:10" x14ac:dyDescent="0.3">
      <c r="A5851" s="130"/>
      <c r="B5851" s="37"/>
      <c r="C5851" s="37"/>
      <c r="D5851" s="37"/>
      <c r="E5851" s="37"/>
      <c r="F5851" s="37"/>
      <c r="G5851" s="37"/>
      <c r="H5851" s="37"/>
      <c r="I5851" s="37"/>
      <c r="J5851" s="37"/>
    </row>
    <row r="5852" spans="1:10" x14ac:dyDescent="0.3">
      <c r="A5852" s="130"/>
      <c r="B5852" s="37"/>
      <c r="C5852" s="37"/>
      <c r="D5852" s="37"/>
      <c r="E5852" s="37"/>
      <c r="F5852" s="37"/>
      <c r="G5852" s="37"/>
      <c r="H5852" s="37"/>
      <c r="I5852" s="37"/>
      <c r="J5852" s="37"/>
    </row>
    <row r="5853" spans="1:10" x14ac:dyDescent="0.3">
      <c r="A5853" s="130"/>
      <c r="B5853" s="37"/>
      <c r="C5853" s="37"/>
      <c r="D5853" s="37"/>
      <c r="E5853" s="37"/>
      <c r="F5853" s="37"/>
      <c r="G5853" s="37"/>
      <c r="H5853" s="37"/>
      <c r="I5853" s="37"/>
      <c r="J5853" s="37"/>
    </row>
    <row r="5854" spans="1:10" x14ac:dyDescent="0.3">
      <c r="A5854" s="130"/>
      <c r="B5854" s="37"/>
      <c r="C5854" s="37"/>
      <c r="D5854" s="37"/>
      <c r="E5854" s="37"/>
      <c r="F5854" s="37"/>
      <c r="G5854" s="37"/>
      <c r="H5854" s="37"/>
      <c r="I5854" s="37"/>
      <c r="J5854" s="37"/>
    </row>
    <row r="5855" spans="1:10" x14ac:dyDescent="0.3">
      <c r="A5855" s="130"/>
      <c r="B5855" s="37"/>
      <c r="C5855" s="37"/>
      <c r="D5855" s="37"/>
      <c r="E5855" s="37"/>
      <c r="F5855" s="37"/>
      <c r="G5855" s="37"/>
      <c r="H5855" s="37"/>
      <c r="I5855" s="37"/>
      <c r="J5855" s="37"/>
    </row>
    <row r="5856" spans="1:10" x14ac:dyDescent="0.3">
      <c r="A5856" s="130"/>
      <c r="B5856" s="37"/>
      <c r="C5856" s="37"/>
      <c r="D5856" s="37"/>
      <c r="E5856" s="37"/>
      <c r="F5856" s="37"/>
      <c r="G5856" s="37"/>
      <c r="H5856" s="37"/>
      <c r="I5856" s="37"/>
      <c r="J5856" s="37"/>
    </row>
    <row r="5857" spans="1:10" x14ac:dyDescent="0.3">
      <c r="A5857" s="130"/>
      <c r="B5857" s="37"/>
      <c r="C5857" s="37"/>
      <c r="D5857" s="37"/>
      <c r="E5857" s="37"/>
      <c r="F5857" s="37"/>
      <c r="G5857" s="37"/>
      <c r="H5857" s="37"/>
      <c r="I5857" s="37"/>
      <c r="J5857" s="37"/>
    </row>
    <row r="5858" spans="1:10" x14ac:dyDescent="0.3">
      <c r="A5858" s="130"/>
      <c r="B5858" s="37"/>
      <c r="C5858" s="37"/>
      <c r="D5858" s="37"/>
      <c r="E5858" s="37"/>
      <c r="F5858" s="37"/>
      <c r="G5858" s="37"/>
      <c r="H5858" s="37"/>
      <c r="I5858" s="37"/>
      <c r="J5858" s="37"/>
    </row>
    <row r="5859" spans="1:10" x14ac:dyDescent="0.3">
      <c r="A5859" s="130"/>
      <c r="B5859" s="37"/>
      <c r="C5859" s="37"/>
      <c r="D5859" s="37"/>
      <c r="E5859" s="37"/>
      <c r="F5859" s="37"/>
      <c r="G5859" s="37"/>
      <c r="H5859" s="37"/>
      <c r="I5859" s="37"/>
      <c r="J5859" s="37"/>
    </row>
    <row r="5860" spans="1:10" x14ac:dyDescent="0.3">
      <c r="A5860" s="130"/>
      <c r="B5860" s="37"/>
      <c r="C5860" s="37"/>
      <c r="D5860" s="37"/>
      <c r="E5860" s="37"/>
      <c r="F5860" s="37"/>
      <c r="G5860" s="37"/>
      <c r="H5860" s="37"/>
      <c r="I5860" s="37"/>
      <c r="J5860" s="37"/>
    </row>
    <row r="5861" spans="1:10" x14ac:dyDescent="0.3">
      <c r="A5861" s="130"/>
      <c r="B5861" s="37"/>
      <c r="C5861" s="37"/>
      <c r="D5861" s="37"/>
      <c r="E5861" s="37"/>
      <c r="F5861" s="37"/>
      <c r="G5861" s="37"/>
      <c r="H5861" s="37"/>
      <c r="I5861" s="37"/>
      <c r="J5861" s="37"/>
    </row>
    <row r="5862" spans="1:10" x14ac:dyDescent="0.3">
      <c r="A5862" s="130"/>
      <c r="B5862" s="37"/>
      <c r="C5862" s="37"/>
      <c r="D5862" s="37"/>
      <c r="E5862" s="37"/>
      <c r="F5862" s="37"/>
      <c r="G5862" s="37"/>
      <c r="H5862" s="37"/>
      <c r="I5862" s="37"/>
      <c r="J5862" s="37"/>
    </row>
    <row r="5863" spans="1:10" x14ac:dyDescent="0.3">
      <c r="A5863" s="130"/>
      <c r="B5863" s="37"/>
      <c r="C5863" s="37"/>
      <c r="D5863" s="37"/>
      <c r="E5863" s="37"/>
      <c r="F5863" s="37"/>
      <c r="G5863" s="37"/>
      <c r="H5863" s="37"/>
      <c r="I5863" s="37"/>
      <c r="J5863" s="37"/>
    </row>
    <row r="5864" spans="1:10" x14ac:dyDescent="0.3">
      <c r="A5864" s="130"/>
      <c r="B5864" s="37"/>
      <c r="C5864" s="37"/>
      <c r="D5864" s="37"/>
      <c r="E5864" s="37"/>
      <c r="F5864" s="37"/>
      <c r="G5864" s="37"/>
      <c r="H5864" s="37"/>
      <c r="I5864" s="37"/>
      <c r="J5864" s="37"/>
    </row>
    <row r="5865" spans="1:10" x14ac:dyDescent="0.3">
      <c r="A5865" s="130"/>
      <c r="B5865" s="37"/>
      <c r="C5865" s="37"/>
      <c r="D5865" s="37"/>
      <c r="E5865" s="37"/>
      <c r="F5865" s="37"/>
      <c r="G5865" s="37"/>
      <c r="H5865" s="37"/>
      <c r="I5865" s="37"/>
      <c r="J5865" s="37"/>
    </row>
    <row r="5866" spans="1:10" x14ac:dyDescent="0.3">
      <c r="A5866" s="130"/>
      <c r="B5866" s="37"/>
      <c r="C5866" s="37"/>
      <c r="D5866" s="37"/>
      <c r="E5866" s="37"/>
      <c r="F5866" s="37"/>
      <c r="G5866" s="37"/>
      <c r="H5866" s="37"/>
      <c r="I5866" s="37"/>
      <c r="J5866" s="37"/>
    </row>
    <row r="5867" spans="1:10" x14ac:dyDescent="0.3">
      <c r="A5867" s="130"/>
      <c r="B5867" s="37"/>
      <c r="C5867" s="37"/>
      <c r="D5867" s="37"/>
      <c r="E5867" s="37"/>
      <c r="F5867" s="37"/>
      <c r="G5867" s="37"/>
      <c r="H5867" s="37"/>
      <c r="I5867" s="37"/>
      <c r="J5867" s="37"/>
    </row>
    <row r="5868" spans="1:10" x14ac:dyDescent="0.3">
      <c r="A5868" s="130"/>
      <c r="B5868" s="37"/>
      <c r="C5868" s="37"/>
      <c r="D5868" s="37"/>
      <c r="E5868" s="37"/>
      <c r="F5868" s="37"/>
      <c r="G5868" s="37"/>
      <c r="H5868" s="37"/>
      <c r="I5868" s="37"/>
      <c r="J5868" s="37"/>
    </row>
    <row r="5869" spans="1:10" x14ac:dyDescent="0.3">
      <c r="A5869" s="130"/>
      <c r="B5869" s="37"/>
      <c r="C5869" s="37"/>
      <c r="D5869" s="37"/>
      <c r="E5869" s="37"/>
      <c r="F5869" s="37"/>
      <c r="G5869" s="37"/>
      <c r="H5869" s="37"/>
      <c r="I5869" s="37"/>
      <c r="J5869" s="37"/>
    </row>
    <row r="5870" spans="1:10" x14ac:dyDescent="0.3">
      <c r="A5870" s="130"/>
      <c r="B5870" s="37"/>
      <c r="C5870" s="37"/>
      <c r="D5870" s="37"/>
      <c r="E5870" s="37"/>
      <c r="F5870" s="37"/>
      <c r="G5870" s="37"/>
      <c r="H5870" s="37"/>
      <c r="I5870" s="37"/>
      <c r="J5870" s="37"/>
    </row>
    <row r="5871" spans="1:10" x14ac:dyDescent="0.3">
      <c r="A5871" s="130"/>
      <c r="B5871" s="37"/>
      <c r="C5871" s="37"/>
      <c r="D5871" s="37"/>
      <c r="E5871" s="37"/>
      <c r="F5871" s="37"/>
      <c r="G5871" s="37"/>
      <c r="H5871" s="37"/>
      <c r="I5871" s="37"/>
      <c r="J5871" s="37"/>
    </row>
    <row r="5872" spans="1:10" x14ac:dyDescent="0.3">
      <c r="A5872" s="130"/>
      <c r="B5872" s="37"/>
      <c r="C5872" s="37"/>
      <c r="D5872" s="37"/>
      <c r="E5872" s="37"/>
      <c r="F5872" s="37"/>
      <c r="G5872" s="37"/>
      <c r="H5872" s="37"/>
      <c r="I5872" s="37"/>
      <c r="J5872" s="37"/>
    </row>
    <row r="5873" spans="1:10" x14ac:dyDescent="0.3">
      <c r="A5873" s="130"/>
      <c r="B5873" s="37"/>
      <c r="C5873" s="37"/>
      <c r="D5873" s="37"/>
      <c r="E5873" s="37"/>
      <c r="F5873" s="37"/>
      <c r="G5873" s="37"/>
      <c r="H5873" s="37"/>
      <c r="I5873" s="37"/>
      <c r="J5873" s="37"/>
    </row>
    <row r="5874" spans="1:10" x14ac:dyDescent="0.3">
      <c r="A5874" s="130"/>
      <c r="B5874" s="37"/>
      <c r="C5874" s="37"/>
      <c r="D5874" s="37"/>
      <c r="E5874" s="37"/>
      <c r="F5874" s="37"/>
      <c r="G5874" s="37"/>
      <c r="H5874" s="37"/>
      <c r="I5874" s="37"/>
      <c r="J5874" s="37"/>
    </row>
    <row r="5875" spans="1:10" x14ac:dyDescent="0.3">
      <c r="A5875" s="130"/>
      <c r="B5875" s="37"/>
      <c r="C5875" s="37"/>
      <c r="D5875" s="37"/>
      <c r="E5875" s="37"/>
      <c r="F5875" s="37"/>
      <c r="G5875" s="37"/>
      <c r="H5875" s="37"/>
      <c r="I5875" s="37"/>
      <c r="J5875" s="37"/>
    </row>
    <row r="5876" spans="1:10" x14ac:dyDescent="0.3">
      <c r="A5876" s="130"/>
      <c r="B5876" s="37"/>
      <c r="C5876" s="37"/>
      <c r="D5876" s="37"/>
      <c r="E5876" s="37"/>
      <c r="F5876" s="37"/>
      <c r="G5876" s="37"/>
      <c r="H5876" s="37"/>
      <c r="I5876" s="37"/>
      <c r="J5876" s="37"/>
    </row>
    <row r="5877" spans="1:10" x14ac:dyDescent="0.3">
      <c r="A5877" s="130"/>
      <c r="B5877" s="37"/>
      <c r="C5877" s="37"/>
      <c r="D5877" s="37"/>
      <c r="E5877" s="37"/>
      <c r="F5877" s="37"/>
      <c r="G5877" s="37"/>
      <c r="H5877" s="37"/>
      <c r="I5877" s="37"/>
      <c r="J5877" s="37"/>
    </row>
    <row r="5878" spans="1:10" x14ac:dyDescent="0.3">
      <c r="A5878" s="130"/>
      <c r="B5878" s="37"/>
      <c r="C5878" s="37"/>
      <c r="D5878" s="37"/>
      <c r="E5878" s="37"/>
      <c r="F5878" s="37"/>
      <c r="G5878" s="37"/>
      <c r="H5878" s="37"/>
      <c r="I5878" s="37"/>
      <c r="J5878" s="37"/>
    </row>
    <row r="5879" spans="1:10" x14ac:dyDescent="0.3">
      <c r="A5879" s="130"/>
      <c r="B5879" s="37"/>
      <c r="C5879" s="37"/>
      <c r="D5879" s="37"/>
      <c r="E5879" s="37"/>
      <c r="F5879" s="37"/>
      <c r="G5879" s="37"/>
      <c r="H5879" s="37"/>
      <c r="I5879" s="37"/>
      <c r="J5879" s="37"/>
    </row>
    <row r="5880" spans="1:10" x14ac:dyDescent="0.3">
      <c r="A5880" s="130"/>
      <c r="B5880" s="37"/>
      <c r="C5880" s="37"/>
      <c r="D5880" s="37"/>
      <c r="E5880" s="37"/>
      <c r="F5880" s="37"/>
      <c r="G5880" s="37"/>
      <c r="H5880" s="37"/>
      <c r="I5880" s="37"/>
      <c r="J5880" s="37"/>
    </row>
    <row r="5881" spans="1:10" x14ac:dyDescent="0.3">
      <c r="A5881" s="130"/>
      <c r="B5881" s="37"/>
      <c r="C5881" s="37"/>
      <c r="D5881" s="37"/>
      <c r="E5881" s="37"/>
      <c r="F5881" s="37"/>
      <c r="G5881" s="37"/>
      <c r="H5881" s="37"/>
      <c r="I5881" s="37"/>
      <c r="J5881" s="37"/>
    </row>
    <row r="5882" spans="1:10" x14ac:dyDescent="0.3">
      <c r="A5882" s="130"/>
      <c r="B5882" s="37"/>
      <c r="C5882" s="37"/>
      <c r="D5882" s="37"/>
      <c r="E5882" s="37"/>
      <c r="F5882" s="37"/>
      <c r="G5882" s="37"/>
      <c r="H5882" s="37"/>
      <c r="I5882" s="37"/>
      <c r="J5882" s="37"/>
    </row>
    <row r="5883" spans="1:10" x14ac:dyDescent="0.3">
      <c r="A5883" s="130"/>
      <c r="B5883" s="37"/>
      <c r="C5883" s="37"/>
      <c r="D5883" s="37"/>
      <c r="E5883" s="37"/>
      <c r="F5883" s="37"/>
      <c r="G5883" s="37"/>
      <c r="H5883" s="37"/>
      <c r="I5883" s="37"/>
      <c r="J5883" s="37"/>
    </row>
    <row r="5884" spans="1:10" x14ac:dyDescent="0.3">
      <c r="A5884" s="130"/>
      <c r="B5884" s="37"/>
      <c r="C5884" s="37"/>
      <c r="D5884" s="37"/>
      <c r="E5884" s="37"/>
      <c r="F5884" s="37"/>
      <c r="G5884" s="37"/>
      <c r="H5884" s="37"/>
      <c r="I5884" s="37"/>
      <c r="J5884" s="37"/>
    </row>
    <row r="5885" spans="1:10" x14ac:dyDescent="0.3">
      <c r="A5885" s="130"/>
      <c r="B5885" s="37"/>
      <c r="C5885" s="37"/>
      <c r="D5885" s="37"/>
      <c r="E5885" s="37"/>
      <c r="F5885" s="37"/>
      <c r="G5885" s="37"/>
      <c r="H5885" s="37"/>
      <c r="I5885" s="37"/>
      <c r="J5885" s="37"/>
    </row>
    <row r="5886" spans="1:10" x14ac:dyDescent="0.3">
      <c r="A5886" s="130"/>
      <c r="B5886" s="37"/>
      <c r="C5886" s="37"/>
      <c r="D5886" s="37"/>
      <c r="E5886" s="37"/>
      <c r="F5886" s="37"/>
      <c r="G5886" s="37"/>
      <c r="H5886" s="37"/>
      <c r="I5886" s="37"/>
      <c r="J5886" s="37"/>
    </row>
    <row r="5887" spans="1:10" x14ac:dyDescent="0.3">
      <c r="A5887" s="130"/>
      <c r="B5887" s="37"/>
      <c r="C5887" s="37"/>
      <c r="D5887" s="37"/>
      <c r="E5887" s="37"/>
      <c r="F5887" s="37"/>
      <c r="G5887" s="37"/>
      <c r="H5887" s="37"/>
      <c r="I5887" s="37"/>
      <c r="J5887" s="37"/>
    </row>
    <row r="5888" spans="1:10" x14ac:dyDescent="0.3">
      <c r="A5888" s="130"/>
      <c r="B5888" s="37"/>
      <c r="C5888" s="37"/>
      <c r="D5888" s="37"/>
      <c r="E5888" s="37"/>
      <c r="F5888" s="37"/>
      <c r="G5888" s="37"/>
      <c r="H5888" s="37"/>
      <c r="I5888" s="37"/>
      <c r="J5888" s="37"/>
    </row>
    <row r="5889" spans="1:10" x14ac:dyDescent="0.3">
      <c r="A5889" s="130"/>
      <c r="B5889" s="37"/>
      <c r="C5889" s="37"/>
      <c r="D5889" s="37"/>
      <c r="E5889" s="37"/>
      <c r="F5889" s="37"/>
      <c r="G5889" s="37"/>
      <c r="H5889" s="37"/>
      <c r="I5889" s="37"/>
      <c r="J5889" s="37"/>
    </row>
    <row r="5890" spans="1:10" x14ac:dyDescent="0.3">
      <c r="A5890" s="130"/>
      <c r="B5890" s="37"/>
      <c r="C5890" s="37"/>
      <c r="D5890" s="37"/>
      <c r="E5890" s="37"/>
      <c r="F5890" s="37"/>
      <c r="G5890" s="37"/>
      <c r="H5890" s="37"/>
      <c r="I5890" s="37"/>
      <c r="J5890" s="37"/>
    </row>
    <row r="5891" spans="1:10" x14ac:dyDescent="0.3">
      <c r="A5891" s="130"/>
      <c r="B5891" s="37"/>
      <c r="C5891" s="37"/>
      <c r="D5891" s="37"/>
      <c r="E5891" s="37"/>
      <c r="F5891" s="37"/>
      <c r="G5891" s="37"/>
      <c r="H5891" s="37"/>
      <c r="I5891" s="37"/>
      <c r="J5891" s="37"/>
    </row>
    <row r="5892" spans="1:10" x14ac:dyDescent="0.3">
      <c r="A5892" s="130"/>
      <c r="B5892" s="37"/>
      <c r="C5892" s="37"/>
      <c r="D5892" s="37"/>
      <c r="E5892" s="37"/>
      <c r="F5892" s="37"/>
      <c r="G5892" s="37"/>
      <c r="H5892" s="37"/>
      <c r="I5892" s="37"/>
      <c r="J5892" s="37"/>
    </row>
    <row r="5893" spans="1:10" x14ac:dyDescent="0.3">
      <c r="A5893" s="130"/>
      <c r="B5893" s="37"/>
      <c r="C5893" s="37"/>
      <c r="D5893" s="37"/>
      <c r="E5893" s="37"/>
      <c r="F5893" s="37"/>
      <c r="G5893" s="37"/>
      <c r="H5893" s="37"/>
      <c r="I5893" s="37"/>
      <c r="J5893" s="37"/>
    </row>
    <row r="5894" spans="1:10" x14ac:dyDescent="0.3">
      <c r="A5894" s="130"/>
      <c r="B5894" s="37"/>
      <c r="C5894" s="37"/>
      <c r="D5894" s="37"/>
      <c r="E5894" s="37"/>
      <c r="F5894" s="37"/>
      <c r="G5894" s="37"/>
      <c r="H5894" s="37"/>
      <c r="I5894" s="37"/>
      <c r="J5894" s="37"/>
    </row>
    <row r="5895" spans="1:10" x14ac:dyDescent="0.3">
      <c r="A5895" s="130"/>
      <c r="B5895" s="37"/>
      <c r="C5895" s="37"/>
      <c r="D5895" s="37"/>
      <c r="E5895" s="37"/>
      <c r="F5895" s="37"/>
      <c r="G5895" s="37"/>
      <c r="H5895" s="37"/>
      <c r="I5895" s="37"/>
      <c r="J5895" s="37"/>
    </row>
    <row r="5896" spans="1:10" x14ac:dyDescent="0.3">
      <c r="A5896" s="130"/>
      <c r="B5896" s="37"/>
      <c r="C5896" s="37"/>
      <c r="D5896" s="37"/>
      <c r="E5896" s="37"/>
      <c r="F5896" s="37"/>
      <c r="G5896" s="37"/>
      <c r="H5896" s="37"/>
      <c r="I5896" s="37"/>
      <c r="J5896" s="37"/>
    </row>
    <row r="5897" spans="1:10" x14ac:dyDescent="0.3">
      <c r="A5897" s="130"/>
      <c r="B5897" s="37"/>
      <c r="C5897" s="37"/>
      <c r="D5897" s="37"/>
      <c r="E5897" s="37"/>
      <c r="F5897" s="37"/>
      <c r="G5897" s="37"/>
      <c r="H5897" s="37"/>
      <c r="I5897" s="37"/>
      <c r="J5897" s="37"/>
    </row>
    <row r="5898" spans="1:10" x14ac:dyDescent="0.3">
      <c r="A5898" s="130"/>
      <c r="B5898" s="37"/>
      <c r="C5898" s="37"/>
      <c r="D5898" s="37"/>
      <c r="E5898" s="37"/>
      <c r="F5898" s="37"/>
      <c r="G5898" s="37"/>
      <c r="H5898" s="37"/>
      <c r="I5898" s="37"/>
      <c r="J5898" s="37"/>
    </row>
    <row r="5899" spans="1:10" x14ac:dyDescent="0.3">
      <c r="A5899" s="130"/>
      <c r="B5899" s="37"/>
      <c r="C5899" s="37"/>
      <c r="D5899" s="37"/>
      <c r="E5899" s="37"/>
      <c r="F5899" s="37"/>
      <c r="G5899" s="37"/>
      <c r="H5899" s="37"/>
      <c r="I5899" s="37"/>
      <c r="J5899" s="37"/>
    </row>
    <row r="5900" spans="1:10" x14ac:dyDescent="0.3">
      <c r="A5900" s="130"/>
      <c r="B5900" s="37"/>
      <c r="C5900" s="37"/>
      <c r="D5900" s="37"/>
      <c r="E5900" s="37"/>
      <c r="F5900" s="37"/>
      <c r="G5900" s="37"/>
      <c r="H5900" s="37"/>
      <c r="I5900" s="37"/>
      <c r="J5900" s="37"/>
    </row>
    <row r="5901" spans="1:10" x14ac:dyDescent="0.3">
      <c r="A5901" s="130"/>
      <c r="B5901" s="37"/>
      <c r="C5901" s="37"/>
      <c r="D5901" s="37"/>
      <c r="E5901" s="37"/>
      <c r="F5901" s="37"/>
      <c r="G5901" s="37"/>
      <c r="H5901" s="37"/>
      <c r="I5901" s="37"/>
      <c r="J5901" s="37"/>
    </row>
    <row r="5902" spans="1:10" x14ac:dyDescent="0.3">
      <c r="A5902" s="130"/>
      <c r="B5902" s="37"/>
      <c r="C5902" s="37"/>
      <c r="D5902" s="37"/>
      <c r="E5902" s="37"/>
      <c r="F5902" s="37"/>
      <c r="G5902" s="37"/>
      <c r="H5902" s="37"/>
      <c r="I5902" s="37"/>
      <c r="J5902" s="37"/>
    </row>
    <row r="5903" spans="1:10" x14ac:dyDescent="0.3">
      <c r="A5903" s="130"/>
      <c r="B5903" s="37"/>
      <c r="C5903" s="37"/>
      <c r="D5903" s="37"/>
      <c r="E5903" s="37"/>
      <c r="F5903" s="37"/>
      <c r="G5903" s="37"/>
      <c r="H5903" s="37"/>
      <c r="I5903" s="37"/>
      <c r="J5903" s="37"/>
    </row>
    <row r="5904" spans="1:10" x14ac:dyDescent="0.3">
      <c r="A5904" s="130"/>
      <c r="B5904" s="37"/>
      <c r="C5904" s="37"/>
      <c r="D5904" s="37"/>
      <c r="E5904" s="37"/>
      <c r="F5904" s="37"/>
      <c r="G5904" s="37"/>
      <c r="H5904" s="37"/>
      <c r="I5904" s="37"/>
      <c r="J5904" s="37"/>
    </row>
    <row r="5905" spans="1:10" x14ac:dyDescent="0.3">
      <c r="A5905" s="130"/>
      <c r="B5905" s="37"/>
      <c r="C5905" s="37"/>
      <c r="D5905" s="37"/>
      <c r="E5905" s="37"/>
      <c r="F5905" s="37"/>
      <c r="G5905" s="37"/>
      <c r="H5905" s="37"/>
      <c r="I5905" s="37"/>
      <c r="J5905" s="37"/>
    </row>
    <row r="5906" spans="1:10" x14ac:dyDescent="0.3">
      <c r="A5906" s="130"/>
      <c r="B5906" s="37"/>
      <c r="C5906" s="37"/>
      <c r="D5906" s="37"/>
      <c r="E5906" s="37"/>
      <c r="F5906" s="37"/>
      <c r="G5906" s="37"/>
      <c r="H5906" s="37"/>
      <c r="I5906" s="37"/>
      <c r="J5906" s="37"/>
    </row>
    <row r="5907" spans="1:10" x14ac:dyDescent="0.3">
      <c r="A5907" s="130"/>
      <c r="B5907" s="37"/>
      <c r="C5907" s="37"/>
      <c r="D5907" s="37"/>
      <c r="E5907" s="37"/>
      <c r="F5907" s="37"/>
      <c r="G5907" s="37"/>
      <c r="H5907" s="37"/>
      <c r="I5907" s="37"/>
      <c r="J5907" s="37"/>
    </row>
    <row r="5908" spans="1:10" x14ac:dyDescent="0.3">
      <c r="A5908" s="130"/>
      <c r="B5908" s="37"/>
      <c r="C5908" s="37"/>
      <c r="D5908" s="37"/>
      <c r="E5908" s="37"/>
      <c r="F5908" s="37"/>
      <c r="G5908" s="37"/>
      <c r="H5908" s="37"/>
      <c r="I5908" s="37"/>
      <c r="J5908" s="37"/>
    </row>
    <row r="5909" spans="1:10" x14ac:dyDescent="0.3">
      <c r="A5909" s="130"/>
      <c r="B5909" s="37"/>
      <c r="C5909" s="37"/>
      <c r="D5909" s="37"/>
      <c r="E5909" s="37"/>
      <c r="F5909" s="37"/>
      <c r="G5909" s="37"/>
      <c r="H5909" s="37"/>
      <c r="I5909" s="37"/>
      <c r="J5909" s="37"/>
    </row>
    <row r="5910" spans="1:10" x14ac:dyDescent="0.3">
      <c r="A5910" s="130"/>
      <c r="B5910" s="37"/>
      <c r="C5910" s="37"/>
      <c r="D5910" s="37"/>
      <c r="E5910" s="37"/>
      <c r="F5910" s="37"/>
      <c r="G5910" s="37"/>
      <c r="H5910" s="37"/>
      <c r="I5910" s="37"/>
      <c r="J5910" s="37"/>
    </row>
    <row r="5911" spans="1:10" x14ac:dyDescent="0.3">
      <c r="A5911" s="130"/>
      <c r="B5911" s="37"/>
      <c r="C5911" s="37"/>
      <c r="D5911" s="37"/>
      <c r="E5911" s="37"/>
      <c r="F5911" s="37"/>
      <c r="G5911" s="37"/>
      <c r="H5911" s="37"/>
      <c r="I5911" s="37"/>
      <c r="J5911" s="37"/>
    </row>
    <row r="5912" spans="1:10" x14ac:dyDescent="0.3">
      <c r="A5912" s="130"/>
      <c r="B5912" s="37"/>
      <c r="C5912" s="37"/>
      <c r="D5912" s="37"/>
      <c r="E5912" s="37"/>
      <c r="F5912" s="37"/>
      <c r="G5912" s="37"/>
      <c r="H5912" s="37"/>
      <c r="I5912" s="37"/>
      <c r="J5912" s="37"/>
    </row>
    <row r="5913" spans="1:10" x14ac:dyDescent="0.3">
      <c r="A5913" s="130"/>
      <c r="B5913" s="37"/>
      <c r="C5913" s="37"/>
      <c r="D5913" s="37"/>
      <c r="E5913" s="37"/>
      <c r="F5913" s="37"/>
      <c r="G5913" s="37"/>
      <c r="H5913" s="37"/>
      <c r="I5913" s="37"/>
      <c r="J5913" s="37"/>
    </row>
    <row r="5914" spans="1:10" x14ac:dyDescent="0.3">
      <c r="A5914" s="130"/>
      <c r="B5914" s="37"/>
      <c r="C5914" s="37"/>
      <c r="D5914" s="37"/>
      <c r="E5914" s="37"/>
      <c r="F5914" s="37"/>
      <c r="G5914" s="37"/>
      <c r="H5914" s="37"/>
      <c r="I5914" s="37"/>
      <c r="J5914" s="37"/>
    </row>
    <row r="5915" spans="1:10" x14ac:dyDescent="0.3">
      <c r="A5915" s="130"/>
      <c r="B5915" s="37"/>
      <c r="C5915" s="37"/>
      <c r="D5915" s="37"/>
      <c r="E5915" s="37"/>
      <c r="F5915" s="37"/>
      <c r="G5915" s="37"/>
      <c r="H5915" s="37"/>
      <c r="I5915" s="37"/>
      <c r="J5915" s="37"/>
    </row>
    <row r="5916" spans="1:10" x14ac:dyDescent="0.3">
      <c r="A5916" s="130"/>
      <c r="B5916" s="37"/>
      <c r="C5916" s="37"/>
      <c r="D5916" s="37"/>
      <c r="E5916" s="37"/>
      <c r="F5916" s="37"/>
      <c r="G5916" s="37"/>
      <c r="H5916" s="37"/>
      <c r="I5916" s="37"/>
      <c r="J5916" s="37"/>
    </row>
    <row r="5917" spans="1:10" x14ac:dyDescent="0.3">
      <c r="A5917" s="130"/>
      <c r="B5917" s="37"/>
      <c r="C5917" s="37"/>
      <c r="D5917" s="37"/>
      <c r="E5917" s="37"/>
      <c r="F5917" s="37"/>
      <c r="G5917" s="37"/>
      <c r="H5917" s="37"/>
      <c r="I5917" s="37"/>
      <c r="J5917" s="37"/>
    </row>
    <row r="5918" spans="1:10" x14ac:dyDescent="0.3">
      <c r="A5918" s="130"/>
      <c r="B5918" s="37"/>
      <c r="C5918" s="37"/>
      <c r="D5918" s="37"/>
      <c r="E5918" s="37"/>
      <c r="F5918" s="37"/>
      <c r="G5918" s="37"/>
      <c r="H5918" s="37"/>
      <c r="I5918" s="37"/>
      <c r="J5918" s="37"/>
    </row>
    <row r="5919" spans="1:10" x14ac:dyDescent="0.3">
      <c r="A5919" s="130"/>
      <c r="B5919" s="37"/>
      <c r="C5919" s="37"/>
      <c r="D5919" s="37"/>
      <c r="E5919" s="37"/>
      <c r="F5919" s="37"/>
      <c r="G5919" s="37"/>
      <c r="H5919" s="37"/>
      <c r="I5919" s="37"/>
      <c r="J5919" s="37"/>
    </row>
    <row r="5920" spans="1:10" x14ac:dyDescent="0.3">
      <c r="A5920" s="130"/>
      <c r="B5920" s="37"/>
      <c r="C5920" s="37"/>
      <c r="D5920" s="37"/>
      <c r="E5920" s="37"/>
      <c r="F5920" s="37"/>
      <c r="G5920" s="37"/>
      <c r="H5920" s="37"/>
      <c r="I5920" s="37"/>
      <c r="J5920" s="37"/>
    </row>
    <row r="5921" spans="1:10" x14ac:dyDescent="0.3">
      <c r="A5921" s="130"/>
      <c r="B5921" s="37"/>
      <c r="C5921" s="37"/>
      <c r="D5921" s="37"/>
      <c r="E5921" s="37"/>
      <c r="F5921" s="37"/>
      <c r="G5921" s="37"/>
      <c r="H5921" s="37"/>
      <c r="I5921" s="37"/>
      <c r="J5921" s="37"/>
    </row>
    <row r="5922" spans="1:10" x14ac:dyDescent="0.3">
      <c r="A5922" s="130"/>
      <c r="B5922" s="37"/>
      <c r="C5922" s="37"/>
      <c r="D5922" s="37"/>
      <c r="E5922" s="37"/>
      <c r="F5922" s="37"/>
      <c r="G5922" s="37"/>
      <c r="H5922" s="37"/>
      <c r="I5922" s="37"/>
      <c r="J5922" s="37"/>
    </row>
    <row r="5923" spans="1:10" x14ac:dyDescent="0.3">
      <c r="A5923" s="130"/>
      <c r="B5923" s="37"/>
      <c r="C5923" s="37"/>
      <c r="D5923" s="37"/>
      <c r="E5923" s="37"/>
      <c r="F5923" s="37"/>
      <c r="G5923" s="37"/>
      <c r="H5923" s="37"/>
      <c r="I5923" s="37"/>
      <c r="J5923" s="37"/>
    </row>
    <row r="5924" spans="1:10" x14ac:dyDescent="0.3">
      <c r="A5924" s="130"/>
      <c r="B5924" s="37"/>
      <c r="C5924" s="37"/>
      <c r="D5924" s="37"/>
      <c r="E5924" s="37"/>
      <c r="F5924" s="37"/>
      <c r="G5924" s="37"/>
      <c r="H5924" s="37"/>
      <c r="I5924" s="37"/>
      <c r="J5924" s="37"/>
    </row>
    <row r="5925" spans="1:10" x14ac:dyDescent="0.3">
      <c r="A5925" s="130"/>
      <c r="B5925" s="37"/>
      <c r="C5925" s="37"/>
      <c r="D5925" s="37"/>
      <c r="E5925" s="37"/>
      <c r="F5925" s="37"/>
      <c r="G5925" s="37"/>
      <c r="H5925" s="37"/>
      <c r="I5925" s="37"/>
      <c r="J5925" s="37"/>
    </row>
    <row r="5926" spans="1:10" x14ac:dyDescent="0.3">
      <c r="A5926" s="130"/>
      <c r="B5926" s="37"/>
      <c r="C5926" s="37"/>
      <c r="D5926" s="37"/>
      <c r="E5926" s="37"/>
      <c r="F5926" s="37"/>
      <c r="G5926" s="37"/>
      <c r="H5926" s="37"/>
      <c r="I5926" s="37"/>
      <c r="J5926" s="37"/>
    </row>
    <row r="5927" spans="1:10" x14ac:dyDescent="0.3">
      <c r="A5927" s="130"/>
      <c r="B5927" s="37"/>
      <c r="C5927" s="37"/>
      <c r="D5927" s="37"/>
      <c r="E5927" s="37"/>
      <c r="F5927" s="37"/>
      <c r="G5927" s="37"/>
      <c r="H5927" s="37"/>
      <c r="I5927" s="37"/>
      <c r="J5927" s="37"/>
    </row>
    <row r="5928" spans="1:10" x14ac:dyDescent="0.3">
      <c r="A5928" s="130"/>
      <c r="B5928" s="37"/>
      <c r="C5928" s="37"/>
      <c r="D5928" s="37"/>
      <c r="E5928" s="37"/>
      <c r="F5928" s="37"/>
      <c r="G5928" s="37"/>
      <c r="H5928" s="37"/>
      <c r="I5928" s="37"/>
      <c r="J5928" s="37"/>
    </row>
    <row r="5929" spans="1:10" x14ac:dyDescent="0.3">
      <c r="A5929" s="130"/>
      <c r="B5929" s="37"/>
      <c r="C5929" s="37"/>
      <c r="D5929" s="37"/>
      <c r="E5929" s="37"/>
      <c r="F5929" s="37"/>
      <c r="G5929" s="37"/>
      <c r="H5929" s="37"/>
      <c r="I5929" s="37"/>
      <c r="J5929" s="37"/>
    </row>
    <row r="5930" spans="1:10" x14ac:dyDescent="0.3">
      <c r="A5930" s="130"/>
      <c r="B5930" s="37"/>
      <c r="C5930" s="37"/>
      <c r="D5930" s="37"/>
      <c r="E5930" s="37"/>
      <c r="F5930" s="37"/>
      <c r="G5930" s="37"/>
      <c r="H5930" s="37"/>
      <c r="I5930" s="37"/>
      <c r="J5930" s="37"/>
    </row>
    <row r="5931" spans="1:10" x14ac:dyDescent="0.3">
      <c r="A5931" s="130"/>
      <c r="B5931" s="37"/>
      <c r="C5931" s="37"/>
      <c r="D5931" s="37"/>
      <c r="E5931" s="37"/>
      <c r="F5931" s="37"/>
      <c r="G5931" s="37"/>
      <c r="H5931" s="37"/>
      <c r="I5931" s="37"/>
      <c r="J5931" s="37"/>
    </row>
    <row r="5932" spans="1:10" x14ac:dyDescent="0.3">
      <c r="A5932" s="130"/>
      <c r="B5932" s="37"/>
      <c r="C5932" s="37"/>
      <c r="D5932" s="37"/>
      <c r="E5932" s="37"/>
      <c r="F5932" s="37"/>
      <c r="G5932" s="37"/>
      <c r="H5932" s="37"/>
      <c r="I5932" s="37"/>
      <c r="J5932" s="37"/>
    </row>
    <row r="5933" spans="1:10" x14ac:dyDescent="0.3">
      <c r="A5933" s="130"/>
      <c r="B5933" s="37"/>
      <c r="C5933" s="37"/>
      <c r="D5933" s="37"/>
      <c r="E5933" s="37"/>
      <c r="F5933" s="37"/>
      <c r="G5933" s="37"/>
      <c r="H5933" s="37"/>
      <c r="I5933" s="37"/>
      <c r="J5933" s="37"/>
    </row>
    <row r="5934" spans="1:10" x14ac:dyDescent="0.3">
      <c r="A5934" s="130"/>
      <c r="B5934" s="37"/>
      <c r="C5934" s="37"/>
      <c r="D5934" s="37"/>
      <c r="E5934" s="37"/>
      <c r="F5934" s="37"/>
      <c r="G5934" s="37"/>
      <c r="H5934" s="37"/>
      <c r="I5934" s="37"/>
      <c r="J5934" s="37"/>
    </row>
    <row r="5935" spans="1:10" x14ac:dyDescent="0.3">
      <c r="A5935" s="130"/>
      <c r="B5935" s="37"/>
      <c r="C5935" s="37"/>
      <c r="D5935" s="37"/>
      <c r="E5935" s="37"/>
      <c r="F5935" s="37"/>
      <c r="G5935" s="37"/>
      <c r="H5935" s="37"/>
      <c r="I5935" s="37"/>
      <c r="J5935" s="37"/>
    </row>
    <row r="5936" spans="1:10" x14ac:dyDescent="0.3">
      <c r="A5936" s="130"/>
      <c r="B5936" s="37"/>
      <c r="C5936" s="37"/>
      <c r="D5936" s="37"/>
      <c r="E5936" s="37"/>
      <c r="F5936" s="37"/>
      <c r="G5936" s="37"/>
      <c r="H5936" s="37"/>
      <c r="I5936" s="37"/>
      <c r="J5936" s="37"/>
    </row>
    <row r="5937" spans="1:10" x14ac:dyDescent="0.3">
      <c r="A5937" s="130"/>
      <c r="B5937" s="37"/>
      <c r="C5937" s="37"/>
      <c r="D5937" s="37"/>
      <c r="E5937" s="37"/>
      <c r="F5937" s="37"/>
      <c r="G5937" s="37"/>
      <c r="H5937" s="37"/>
      <c r="I5937" s="37"/>
      <c r="J5937" s="37"/>
    </row>
    <row r="5938" spans="1:10" x14ac:dyDescent="0.3">
      <c r="A5938" s="130"/>
      <c r="B5938" s="37"/>
      <c r="C5938" s="37"/>
      <c r="D5938" s="37"/>
      <c r="E5938" s="37"/>
      <c r="F5938" s="37"/>
      <c r="G5938" s="37"/>
      <c r="H5938" s="37"/>
      <c r="I5938" s="37"/>
      <c r="J5938" s="37"/>
    </row>
    <row r="5939" spans="1:10" x14ac:dyDescent="0.3">
      <c r="A5939" s="130"/>
      <c r="B5939" s="37"/>
      <c r="C5939" s="37"/>
      <c r="D5939" s="37"/>
      <c r="E5939" s="37"/>
      <c r="F5939" s="37"/>
      <c r="G5939" s="37"/>
      <c r="H5939" s="37"/>
      <c r="I5939" s="37"/>
      <c r="J5939" s="37"/>
    </row>
    <row r="5940" spans="1:10" x14ac:dyDescent="0.3">
      <c r="A5940" s="130"/>
      <c r="B5940" s="37"/>
      <c r="C5940" s="37"/>
      <c r="D5940" s="37"/>
      <c r="E5940" s="37"/>
      <c r="F5940" s="37"/>
      <c r="G5940" s="37"/>
      <c r="H5940" s="37"/>
      <c r="I5940" s="37"/>
      <c r="J5940" s="37"/>
    </row>
    <row r="5941" spans="1:10" x14ac:dyDescent="0.3">
      <c r="A5941" s="130"/>
      <c r="B5941" s="37"/>
      <c r="C5941" s="37"/>
      <c r="D5941" s="37"/>
      <c r="E5941" s="37"/>
      <c r="F5941" s="37"/>
      <c r="G5941" s="37"/>
      <c r="H5941" s="37"/>
      <c r="I5941" s="37"/>
      <c r="J5941" s="37"/>
    </row>
    <row r="5942" spans="1:10" x14ac:dyDescent="0.3">
      <c r="A5942" s="130"/>
      <c r="B5942" s="37"/>
      <c r="C5942" s="37"/>
      <c r="D5942" s="37"/>
      <c r="E5942" s="37"/>
      <c r="F5942" s="37"/>
      <c r="G5942" s="37"/>
      <c r="H5942" s="37"/>
      <c r="I5942" s="37"/>
      <c r="J5942" s="37"/>
    </row>
    <row r="5943" spans="1:10" x14ac:dyDescent="0.3">
      <c r="A5943" s="130"/>
      <c r="B5943" s="37"/>
      <c r="C5943" s="37"/>
      <c r="D5943" s="37"/>
      <c r="E5943" s="37"/>
      <c r="F5943" s="37"/>
      <c r="G5943" s="37"/>
      <c r="H5943" s="37"/>
      <c r="I5943" s="37"/>
      <c r="J5943" s="37"/>
    </row>
    <row r="5944" spans="1:10" x14ac:dyDescent="0.3">
      <c r="A5944" s="130"/>
      <c r="B5944" s="37"/>
      <c r="C5944" s="37"/>
      <c r="D5944" s="37"/>
      <c r="E5944" s="37"/>
      <c r="F5944" s="37"/>
      <c r="G5944" s="37"/>
      <c r="H5944" s="37"/>
      <c r="I5944" s="37"/>
      <c r="J5944" s="37"/>
    </row>
    <row r="5945" spans="1:10" x14ac:dyDescent="0.3">
      <c r="A5945" s="130"/>
      <c r="B5945" s="37"/>
      <c r="C5945" s="37"/>
      <c r="D5945" s="37"/>
      <c r="E5945" s="37"/>
      <c r="F5945" s="37"/>
      <c r="G5945" s="37"/>
      <c r="H5945" s="37"/>
      <c r="I5945" s="37"/>
      <c r="J5945" s="37"/>
    </row>
    <row r="5946" spans="1:10" x14ac:dyDescent="0.3">
      <c r="A5946" s="130"/>
      <c r="B5946" s="37"/>
      <c r="C5946" s="37"/>
      <c r="D5946" s="37"/>
      <c r="E5946" s="37"/>
      <c r="F5946" s="37"/>
      <c r="G5946" s="37"/>
      <c r="H5946" s="37"/>
      <c r="I5946" s="37"/>
      <c r="J5946" s="37"/>
    </row>
    <row r="5947" spans="1:10" x14ac:dyDescent="0.3">
      <c r="A5947" s="130"/>
      <c r="B5947" s="37"/>
      <c r="C5947" s="37"/>
      <c r="D5947" s="37"/>
      <c r="E5947" s="37"/>
      <c r="F5947" s="37"/>
      <c r="G5947" s="37"/>
      <c r="H5947" s="37"/>
      <c r="I5947" s="37"/>
      <c r="J5947" s="37"/>
    </row>
    <row r="5948" spans="1:10" x14ac:dyDescent="0.3">
      <c r="A5948" s="130"/>
      <c r="B5948" s="37"/>
      <c r="C5948" s="37"/>
      <c r="D5948" s="37"/>
      <c r="E5948" s="37"/>
      <c r="F5948" s="37"/>
      <c r="G5948" s="37"/>
      <c r="H5948" s="37"/>
      <c r="I5948" s="37"/>
      <c r="J5948" s="37"/>
    </row>
    <row r="5949" spans="1:10" x14ac:dyDescent="0.3">
      <c r="A5949" s="130"/>
      <c r="B5949" s="37"/>
      <c r="C5949" s="37"/>
      <c r="D5949" s="37"/>
      <c r="E5949" s="37"/>
      <c r="F5949" s="37"/>
      <c r="G5949" s="37"/>
      <c r="H5949" s="37"/>
      <c r="I5949" s="37"/>
      <c r="J5949" s="37"/>
    </row>
    <row r="5950" spans="1:10" x14ac:dyDescent="0.3">
      <c r="A5950" s="130"/>
      <c r="B5950" s="37"/>
      <c r="C5950" s="37"/>
      <c r="D5950" s="37"/>
      <c r="E5950" s="37"/>
      <c r="F5950" s="37"/>
      <c r="G5950" s="37"/>
      <c r="H5950" s="37"/>
      <c r="I5950" s="37"/>
      <c r="J5950" s="37"/>
    </row>
    <row r="5951" spans="1:10" x14ac:dyDescent="0.3">
      <c r="A5951" s="130"/>
      <c r="B5951" s="37"/>
      <c r="C5951" s="37"/>
      <c r="D5951" s="37"/>
      <c r="E5951" s="37"/>
      <c r="F5951" s="37"/>
      <c r="G5951" s="37"/>
      <c r="H5951" s="37"/>
      <c r="I5951" s="37"/>
      <c r="J5951" s="37"/>
    </row>
    <row r="5952" spans="1:10" x14ac:dyDescent="0.3">
      <c r="A5952" s="130"/>
      <c r="B5952" s="37"/>
      <c r="C5952" s="37"/>
      <c r="D5952" s="37"/>
      <c r="E5952" s="37"/>
      <c r="F5952" s="37"/>
      <c r="G5952" s="37"/>
      <c r="H5952" s="37"/>
      <c r="I5952" s="37"/>
      <c r="J5952" s="37"/>
    </row>
    <row r="5953" spans="1:10" x14ac:dyDescent="0.3">
      <c r="A5953" s="130"/>
      <c r="B5953" s="37"/>
      <c r="C5953" s="37"/>
      <c r="D5953" s="37"/>
      <c r="E5953" s="37"/>
      <c r="F5953" s="37"/>
      <c r="G5953" s="37"/>
      <c r="H5953" s="37"/>
      <c r="I5953" s="37"/>
      <c r="J5953" s="37"/>
    </row>
    <row r="5954" spans="1:10" x14ac:dyDescent="0.3">
      <c r="A5954" s="130"/>
      <c r="B5954" s="37"/>
      <c r="C5954" s="37"/>
      <c r="D5954" s="37"/>
      <c r="E5954" s="37"/>
      <c r="F5954" s="37"/>
      <c r="G5954" s="37"/>
      <c r="H5954" s="37"/>
      <c r="I5954" s="37"/>
      <c r="J5954" s="37"/>
    </row>
    <row r="5955" spans="1:10" x14ac:dyDescent="0.3">
      <c r="A5955" s="130"/>
      <c r="B5955" s="37"/>
      <c r="C5955" s="37"/>
      <c r="D5955" s="37"/>
      <c r="E5955" s="37"/>
      <c r="F5955" s="37"/>
      <c r="G5955" s="37"/>
      <c r="H5955" s="37"/>
      <c r="I5955" s="37"/>
      <c r="J5955" s="37"/>
    </row>
    <row r="5956" spans="1:10" x14ac:dyDescent="0.3">
      <c r="A5956" s="130"/>
      <c r="B5956" s="37"/>
      <c r="C5956" s="37"/>
      <c r="D5956" s="37"/>
      <c r="E5956" s="37"/>
      <c r="F5956" s="37"/>
      <c r="G5956" s="37"/>
      <c r="H5956" s="37"/>
      <c r="I5956" s="37"/>
      <c r="J5956" s="37"/>
    </row>
    <row r="5957" spans="1:10" x14ac:dyDescent="0.3">
      <c r="A5957" s="130"/>
      <c r="B5957" s="37"/>
      <c r="C5957" s="37"/>
      <c r="D5957" s="37"/>
      <c r="E5957" s="37"/>
      <c r="F5957" s="37"/>
      <c r="G5957" s="37"/>
      <c r="H5957" s="37"/>
      <c r="I5957" s="37"/>
      <c r="J5957" s="37"/>
    </row>
    <row r="5958" spans="1:10" x14ac:dyDescent="0.3">
      <c r="A5958" s="130"/>
      <c r="B5958" s="37"/>
      <c r="C5958" s="37"/>
      <c r="D5958" s="37"/>
      <c r="E5958" s="37"/>
      <c r="F5958" s="37"/>
      <c r="G5958" s="37"/>
      <c r="H5958" s="37"/>
      <c r="I5958" s="37"/>
      <c r="J5958" s="37"/>
    </row>
    <row r="5959" spans="1:10" x14ac:dyDescent="0.3">
      <c r="A5959" s="130"/>
      <c r="B5959" s="37"/>
      <c r="C5959" s="37"/>
      <c r="D5959" s="37"/>
      <c r="E5959" s="37"/>
      <c r="F5959" s="37"/>
      <c r="G5959" s="37"/>
      <c r="H5959" s="37"/>
      <c r="I5959" s="37"/>
      <c r="J5959" s="37"/>
    </row>
    <row r="5960" spans="1:10" x14ac:dyDescent="0.3">
      <c r="A5960" s="130"/>
      <c r="B5960" s="37"/>
      <c r="C5960" s="37"/>
      <c r="D5960" s="37"/>
      <c r="E5960" s="37"/>
      <c r="F5960" s="37"/>
      <c r="G5960" s="37"/>
      <c r="H5960" s="37"/>
      <c r="I5960" s="37"/>
      <c r="J5960" s="37"/>
    </row>
    <row r="5961" spans="1:10" x14ac:dyDescent="0.3">
      <c r="A5961" s="130"/>
      <c r="B5961" s="37"/>
      <c r="C5961" s="37"/>
      <c r="D5961" s="37"/>
      <c r="E5961" s="37"/>
      <c r="F5961" s="37"/>
      <c r="G5961" s="37"/>
      <c r="H5961" s="37"/>
      <c r="I5961" s="37"/>
      <c r="J5961" s="37"/>
    </row>
    <row r="5962" spans="1:10" x14ac:dyDescent="0.3">
      <c r="A5962" s="130"/>
      <c r="B5962" s="37"/>
      <c r="C5962" s="37"/>
      <c r="D5962" s="37"/>
      <c r="E5962" s="37"/>
      <c r="F5962" s="37"/>
      <c r="G5962" s="37"/>
      <c r="H5962" s="37"/>
      <c r="I5962" s="37"/>
      <c r="J5962" s="37"/>
    </row>
    <row r="5963" spans="1:10" x14ac:dyDescent="0.3">
      <c r="A5963" s="130"/>
      <c r="B5963" s="37"/>
      <c r="C5963" s="37"/>
      <c r="D5963" s="37"/>
      <c r="E5963" s="37"/>
      <c r="F5963" s="37"/>
      <c r="G5963" s="37"/>
      <c r="H5963" s="37"/>
      <c r="I5963" s="37"/>
      <c r="J5963" s="37"/>
    </row>
    <row r="5964" spans="1:10" x14ac:dyDescent="0.3">
      <c r="A5964" s="130"/>
      <c r="B5964" s="37"/>
      <c r="C5964" s="37"/>
      <c r="D5964" s="37"/>
      <c r="E5964" s="37"/>
      <c r="F5964" s="37"/>
      <c r="G5964" s="37"/>
      <c r="H5964" s="37"/>
      <c r="I5964" s="37"/>
      <c r="J5964" s="37"/>
    </row>
    <row r="5965" spans="1:10" x14ac:dyDescent="0.3">
      <c r="A5965" s="130"/>
      <c r="B5965" s="37"/>
      <c r="C5965" s="37"/>
      <c r="D5965" s="37"/>
      <c r="E5965" s="37"/>
      <c r="F5965" s="37"/>
      <c r="G5965" s="37"/>
      <c r="H5965" s="37"/>
      <c r="I5965" s="37"/>
      <c r="J5965" s="37"/>
    </row>
    <row r="5966" spans="1:10" x14ac:dyDescent="0.3">
      <c r="A5966" s="130"/>
      <c r="B5966" s="37"/>
      <c r="C5966" s="37"/>
      <c r="D5966" s="37"/>
      <c r="E5966" s="37"/>
      <c r="F5966" s="37"/>
      <c r="G5966" s="37"/>
      <c r="H5966" s="37"/>
      <c r="I5966" s="37"/>
      <c r="J5966" s="37"/>
    </row>
    <row r="5967" spans="1:10" x14ac:dyDescent="0.3">
      <c r="A5967" s="130"/>
      <c r="B5967" s="37"/>
      <c r="C5967" s="37"/>
      <c r="D5967" s="37"/>
      <c r="E5967" s="37"/>
      <c r="F5967" s="37"/>
      <c r="G5967" s="37"/>
      <c r="H5967" s="37"/>
      <c r="I5967" s="37"/>
      <c r="J5967" s="37"/>
    </row>
    <row r="5968" spans="1:10" x14ac:dyDescent="0.3">
      <c r="A5968" s="130"/>
      <c r="B5968" s="37"/>
      <c r="C5968" s="37"/>
      <c r="D5968" s="37"/>
      <c r="E5968" s="37"/>
      <c r="F5968" s="37"/>
      <c r="G5968" s="37"/>
      <c r="H5968" s="37"/>
      <c r="I5968" s="37"/>
      <c r="J5968" s="37"/>
    </row>
    <row r="5969" spans="1:10" x14ac:dyDescent="0.3">
      <c r="A5969" s="130"/>
      <c r="B5969" s="37"/>
      <c r="C5969" s="37"/>
      <c r="D5969" s="37"/>
      <c r="E5969" s="37"/>
      <c r="F5969" s="37"/>
      <c r="G5969" s="37"/>
      <c r="H5969" s="37"/>
      <c r="I5969" s="37"/>
      <c r="J5969" s="37"/>
    </row>
    <row r="5970" spans="1:10" x14ac:dyDescent="0.3">
      <c r="A5970" s="130"/>
      <c r="B5970" s="37"/>
      <c r="C5970" s="37"/>
      <c r="D5970" s="37"/>
      <c r="E5970" s="37"/>
      <c r="F5970" s="37"/>
      <c r="G5970" s="37"/>
      <c r="H5970" s="37"/>
      <c r="I5970" s="37"/>
      <c r="J5970" s="37"/>
    </row>
    <row r="5971" spans="1:10" x14ac:dyDescent="0.3">
      <c r="A5971" s="130"/>
      <c r="B5971" s="37"/>
      <c r="C5971" s="37"/>
      <c r="D5971" s="37"/>
      <c r="E5971" s="37"/>
      <c r="F5971" s="37"/>
      <c r="G5971" s="37"/>
      <c r="H5971" s="37"/>
      <c r="I5971" s="37"/>
      <c r="J5971" s="37"/>
    </row>
    <row r="5972" spans="1:10" x14ac:dyDescent="0.3">
      <c r="A5972" s="130"/>
      <c r="B5972" s="37"/>
      <c r="C5972" s="37"/>
      <c r="D5972" s="37"/>
      <c r="E5972" s="37"/>
      <c r="F5972" s="37"/>
      <c r="G5972" s="37"/>
      <c r="H5972" s="37"/>
      <c r="I5972" s="37"/>
      <c r="J5972" s="37"/>
    </row>
    <row r="5973" spans="1:10" x14ac:dyDescent="0.3">
      <c r="A5973" s="130"/>
      <c r="B5973" s="37"/>
      <c r="C5973" s="37"/>
      <c r="D5973" s="37"/>
      <c r="E5973" s="37"/>
      <c r="F5973" s="37"/>
      <c r="G5973" s="37"/>
      <c r="H5973" s="37"/>
      <c r="I5973" s="37"/>
      <c r="J5973" s="37"/>
    </row>
    <row r="5974" spans="1:10" x14ac:dyDescent="0.3">
      <c r="A5974" s="130"/>
      <c r="B5974" s="37"/>
      <c r="C5974" s="37"/>
      <c r="D5974" s="37"/>
      <c r="E5974" s="37"/>
      <c r="F5974" s="37"/>
      <c r="G5974" s="37"/>
      <c r="H5974" s="37"/>
      <c r="I5974" s="37"/>
      <c r="J5974" s="37"/>
    </row>
    <row r="5975" spans="1:10" x14ac:dyDescent="0.3">
      <c r="A5975" s="130"/>
      <c r="B5975" s="37"/>
      <c r="C5975" s="37"/>
      <c r="D5975" s="37"/>
      <c r="E5975" s="37"/>
      <c r="F5975" s="37"/>
      <c r="G5975" s="37"/>
      <c r="H5975" s="37"/>
      <c r="I5975" s="37"/>
      <c r="J5975" s="37"/>
    </row>
    <row r="5976" spans="1:10" x14ac:dyDescent="0.3">
      <c r="A5976" s="130"/>
      <c r="B5976" s="37"/>
      <c r="C5976" s="37"/>
      <c r="D5976" s="37"/>
      <c r="E5976" s="37"/>
      <c r="F5976" s="37"/>
      <c r="G5976" s="37"/>
      <c r="H5976" s="37"/>
      <c r="I5976" s="37"/>
      <c r="J5976" s="37"/>
    </row>
    <row r="5977" spans="1:10" x14ac:dyDescent="0.3">
      <c r="A5977" s="130"/>
      <c r="B5977" s="37"/>
      <c r="C5977" s="37"/>
      <c r="D5977" s="37"/>
      <c r="E5977" s="37"/>
      <c r="F5977" s="37"/>
      <c r="G5977" s="37"/>
      <c r="H5977" s="37"/>
      <c r="I5977" s="37"/>
      <c r="J5977" s="37"/>
    </row>
    <row r="5978" spans="1:10" x14ac:dyDescent="0.3">
      <c r="A5978" s="130"/>
      <c r="B5978" s="37"/>
      <c r="C5978" s="37"/>
      <c r="D5978" s="37"/>
      <c r="E5978" s="37"/>
      <c r="F5978" s="37"/>
      <c r="G5978" s="37"/>
      <c r="H5978" s="37"/>
      <c r="I5978" s="37"/>
      <c r="J5978" s="37"/>
    </row>
    <row r="5979" spans="1:10" x14ac:dyDescent="0.3">
      <c r="A5979" s="130"/>
      <c r="B5979" s="37"/>
      <c r="C5979" s="37"/>
      <c r="D5979" s="37"/>
      <c r="E5979" s="37"/>
      <c r="F5979" s="37"/>
      <c r="G5979" s="37"/>
      <c r="H5979" s="37"/>
      <c r="I5979" s="37"/>
      <c r="J5979" s="37"/>
    </row>
    <row r="5980" spans="1:10" x14ac:dyDescent="0.3">
      <c r="A5980" s="130"/>
      <c r="B5980" s="37"/>
      <c r="C5980" s="37"/>
      <c r="D5980" s="37"/>
      <c r="E5980" s="37"/>
      <c r="F5980" s="37"/>
      <c r="G5980" s="37"/>
      <c r="H5980" s="37"/>
      <c r="I5980" s="37"/>
      <c r="J5980" s="37"/>
    </row>
    <row r="5981" spans="1:10" x14ac:dyDescent="0.3">
      <c r="A5981" s="130"/>
      <c r="B5981" s="37"/>
      <c r="C5981" s="37"/>
      <c r="D5981" s="37"/>
      <c r="E5981" s="37"/>
      <c r="F5981" s="37"/>
      <c r="G5981" s="37"/>
      <c r="H5981" s="37"/>
      <c r="I5981" s="37"/>
      <c r="J5981" s="37"/>
    </row>
    <row r="5982" spans="1:10" x14ac:dyDescent="0.3">
      <c r="A5982" s="130"/>
      <c r="B5982" s="37"/>
      <c r="C5982" s="37"/>
      <c r="D5982" s="37"/>
      <c r="E5982" s="37"/>
      <c r="F5982" s="37"/>
      <c r="G5982" s="37"/>
      <c r="H5982" s="37"/>
      <c r="I5982" s="37"/>
      <c r="J5982" s="37"/>
    </row>
    <row r="5983" spans="1:10" x14ac:dyDescent="0.3">
      <c r="A5983" s="130"/>
      <c r="B5983" s="37"/>
      <c r="C5983" s="37"/>
      <c r="D5983" s="37"/>
      <c r="E5983" s="37"/>
      <c r="F5983" s="37"/>
      <c r="G5983" s="37"/>
      <c r="H5983" s="37"/>
      <c r="I5983" s="37"/>
      <c r="J5983" s="37"/>
    </row>
    <row r="5984" spans="1:10" x14ac:dyDescent="0.3">
      <c r="A5984" s="130"/>
      <c r="B5984" s="37"/>
      <c r="C5984" s="37"/>
      <c r="D5984" s="37"/>
      <c r="E5984" s="37"/>
      <c r="F5984" s="37"/>
      <c r="G5984" s="37"/>
      <c r="H5984" s="37"/>
      <c r="I5984" s="37"/>
      <c r="J5984" s="37"/>
    </row>
    <row r="5985" spans="1:10" x14ac:dyDescent="0.3">
      <c r="A5985" s="130"/>
      <c r="B5985" s="37"/>
      <c r="C5985" s="37"/>
      <c r="D5985" s="37"/>
      <c r="E5985" s="37"/>
      <c r="F5985" s="37"/>
      <c r="G5985" s="37"/>
      <c r="H5985" s="37"/>
      <c r="I5985" s="37"/>
      <c r="J5985" s="37"/>
    </row>
    <row r="5986" spans="1:10" x14ac:dyDescent="0.3">
      <c r="A5986" s="130"/>
      <c r="B5986" s="37"/>
      <c r="C5986" s="37"/>
      <c r="D5986" s="37"/>
      <c r="E5986" s="37"/>
      <c r="F5986" s="37"/>
      <c r="G5986" s="37"/>
      <c r="H5986" s="37"/>
      <c r="I5986" s="37"/>
      <c r="J5986" s="37"/>
    </row>
    <row r="5987" spans="1:10" x14ac:dyDescent="0.3">
      <c r="A5987" s="130"/>
      <c r="B5987" s="37"/>
      <c r="C5987" s="37"/>
      <c r="D5987" s="37"/>
      <c r="E5987" s="37"/>
      <c r="F5987" s="37"/>
      <c r="G5987" s="37"/>
      <c r="H5987" s="37"/>
      <c r="I5987" s="37"/>
      <c r="J5987" s="37"/>
    </row>
    <row r="5988" spans="1:10" x14ac:dyDescent="0.3">
      <c r="A5988" s="130"/>
      <c r="B5988" s="37"/>
      <c r="C5988" s="37"/>
      <c r="D5988" s="37"/>
      <c r="E5988" s="37"/>
      <c r="F5988" s="37"/>
      <c r="G5988" s="37"/>
      <c r="H5988" s="37"/>
      <c r="I5988" s="37"/>
      <c r="J5988" s="37"/>
    </row>
    <row r="5989" spans="1:10" x14ac:dyDescent="0.3">
      <c r="A5989" s="130"/>
      <c r="B5989" s="37"/>
      <c r="C5989" s="37"/>
      <c r="D5989" s="37"/>
      <c r="E5989" s="37"/>
      <c r="F5989" s="37"/>
      <c r="G5989" s="37"/>
      <c r="H5989" s="37"/>
      <c r="I5989" s="37"/>
      <c r="J5989" s="37"/>
    </row>
    <row r="5990" spans="1:10" x14ac:dyDescent="0.3">
      <c r="A5990" s="130"/>
      <c r="B5990" s="37"/>
      <c r="C5990" s="37"/>
      <c r="D5990" s="37"/>
      <c r="E5990" s="37"/>
      <c r="F5990" s="37"/>
      <c r="G5990" s="37"/>
      <c r="H5990" s="37"/>
      <c r="I5990" s="37"/>
      <c r="J5990" s="37"/>
    </row>
    <row r="5991" spans="1:10" x14ac:dyDescent="0.3">
      <c r="A5991" s="130"/>
      <c r="B5991" s="37"/>
      <c r="C5991" s="37"/>
      <c r="D5991" s="37"/>
      <c r="E5991" s="37"/>
      <c r="F5991" s="37"/>
      <c r="G5991" s="37"/>
      <c r="H5991" s="37"/>
      <c r="I5991" s="37"/>
      <c r="J5991" s="37"/>
    </row>
    <row r="5992" spans="1:10" x14ac:dyDescent="0.3">
      <c r="A5992" s="130"/>
      <c r="B5992" s="37"/>
      <c r="C5992" s="37"/>
      <c r="D5992" s="37"/>
      <c r="E5992" s="37"/>
      <c r="F5992" s="37"/>
      <c r="G5992" s="37"/>
      <c r="H5992" s="37"/>
      <c r="I5992" s="37"/>
      <c r="J5992" s="37"/>
    </row>
    <row r="5993" spans="1:10" x14ac:dyDescent="0.3">
      <c r="A5993" s="130"/>
      <c r="B5993" s="37"/>
      <c r="C5993" s="37"/>
      <c r="D5993" s="37"/>
      <c r="E5993" s="37"/>
      <c r="F5993" s="37"/>
      <c r="G5993" s="37"/>
      <c r="H5993" s="37"/>
      <c r="I5993" s="37"/>
      <c r="J5993" s="37"/>
    </row>
    <row r="5994" spans="1:10" x14ac:dyDescent="0.3">
      <c r="A5994" s="130"/>
      <c r="B5994" s="37"/>
      <c r="C5994" s="37"/>
      <c r="D5994" s="37"/>
      <c r="E5994" s="37"/>
      <c r="F5994" s="37"/>
      <c r="G5994" s="37"/>
      <c r="H5994" s="37"/>
      <c r="I5994" s="37"/>
      <c r="J5994" s="37"/>
    </row>
    <row r="5995" spans="1:10" x14ac:dyDescent="0.3">
      <c r="A5995" s="130"/>
      <c r="B5995" s="37"/>
      <c r="C5995" s="37"/>
      <c r="D5995" s="37"/>
      <c r="E5995" s="37"/>
      <c r="F5995" s="37"/>
      <c r="G5995" s="37"/>
      <c r="H5995" s="37"/>
      <c r="I5995" s="37"/>
      <c r="J5995" s="37"/>
    </row>
    <row r="5996" spans="1:10" x14ac:dyDescent="0.3">
      <c r="A5996" s="130"/>
      <c r="B5996" s="37"/>
      <c r="C5996" s="37"/>
      <c r="D5996" s="37"/>
      <c r="E5996" s="37"/>
      <c r="F5996" s="37"/>
      <c r="G5996" s="37"/>
      <c r="H5996" s="37"/>
      <c r="I5996" s="37"/>
      <c r="J5996" s="37"/>
    </row>
    <row r="5997" spans="1:10" x14ac:dyDescent="0.3">
      <c r="A5997" s="130"/>
      <c r="B5997" s="37"/>
      <c r="C5997" s="37"/>
      <c r="D5997" s="37"/>
      <c r="E5997" s="37"/>
      <c r="F5997" s="37"/>
      <c r="G5997" s="37"/>
      <c r="H5997" s="37"/>
      <c r="I5997" s="37"/>
      <c r="J5997" s="37"/>
    </row>
    <row r="5998" spans="1:10" x14ac:dyDescent="0.3">
      <c r="A5998" s="130"/>
      <c r="B5998" s="37"/>
      <c r="C5998" s="37"/>
      <c r="D5998" s="37"/>
      <c r="E5998" s="37"/>
      <c r="F5998" s="37"/>
      <c r="G5998" s="37"/>
      <c r="H5998" s="37"/>
      <c r="I5998" s="37"/>
      <c r="J5998" s="37"/>
    </row>
    <row r="5999" spans="1:10" x14ac:dyDescent="0.3">
      <c r="A5999" s="130"/>
      <c r="B5999" s="37"/>
      <c r="C5999" s="37"/>
      <c r="D5999" s="37"/>
      <c r="E5999" s="37"/>
      <c r="F5999" s="37"/>
      <c r="G5999" s="37"/>
      <c r="H5999" s="37"/>
      <c r="I5999" s="37"/>
      <c r="J5999" s="37"/>
    </row>
    <row r="6000" spans="1:10" x14ac:dyDescent="0.3">
      <c r="A6000" s="130"/>
      <c r="B6000" s="37"/>
      <c r="C6000" s="37"/>
      <c r="D6000" s="37"/>
      <c r="E6000" s="37"/>
      <c r="F6000" s="37"/>
      <c r="G6000" s="37"/>
      <c r="H6000" s="37"/>
      <c r="I6000" s="37"/>
      <c r="J6000" s="37"/>
    </row>
    <row r="6001" spans="1:10" x14ac:dyDescent="0.3">
      <c r="A6001" s="130"/>
      <c r="B6001" s="37"/>
      <c r="C6001" s="37"/>
      <c r="D6001" s="37"/>
      <c r="E6001" s="37"/>
      <c r="F6001" s="37"/>
      <c r="G6001" s="37"/>
      <c r="H6001" s="37"/>
      <c r="I6001" s="37"/>
      <c r="J6001" s="37"/>
    </row>
    <row r="6002" spans="1:10" x14ac:dyDescent="0.3">
      <c r="A6002" s="130"/>
      <c r="B6002" s="37"/>
      <c r="C6002" s="37"/>
      <c r="D6002" s="37"/>
      <c r="E6002" s="37"/>
      <c r="F6002" s="37"/>
      <c r="G6002" s="37"/>
      <c r="H6002" s="37"/>
      <c r="I6002" s="37"/>
      <c r="J6002" s="37"/>
    </row>
    <row r="6003" spans="1:10" x14ac:dyDescent="0.3">
      <c r="A6003" s="130"/>
      <c r="B6003" s="37"/>
      <c r="C6003" s="37"/>
      <c r="D6003" s="37"/>
      <c r="E6003" s="37"/>
      <c r="F6003" s="37"/>
      <c r="G6003" s="37"/>
      <c r="H6003" s="37"/>
      <c r="I6003" s="37"/>
      <c r="J6003" s="37"/>
    </row>
    <row r="6004" spans="1:10" x14ac:dyDescent="0.3">
      <c r="A6004" s="130"/>
      <c r="B6004" s="37"/>
      <c r="C6004" s="37"/>
      <c r="D6004" s="37"/>
      <c r="E6004" s="37"/>
      <c r="F6004" s="37"/>
      <c r="G6004" s="37"/>
      <c r="H6004" s="37"/>
      <c r="I6004" s="37"/>
      <c r="J6004" s="37"/>
    </row>
    <row r="6005" spans="1:10" x14ac:dyDescent="0.3">
      <c r="A6005" s="130"/>
      <c r="B6005" s="37"/>
      <c r="C6005" s="37"/>
      <c r="D6005" s="37"/>
      <c r="E6005" s="37"/>
      <c r="F6005" s="37"/>
      <c r="G6005" s="37"/>
      <c r="H6005" s="37"/>
      <c r="I6005" s="37"/>
      <c r="J6005" s="37"/>
    </row>
    <row r="6006" spans="1:10" x14ac:dyDescent="0.3">
      <c r="A6006" s="130"/>
      <c r="B6006" s="37"/>
      <c r="C6006" s="37"/>
      <c r="D6006" s="37"/>
      <c r="E6006" s="37"/>
      <c r="F6006" s="37"/>
      <c r="G6006" s="37"/>
      <c r="H6006" s="37"/>
      <c r="I6006" s="37"/>
      <c r="J6006" s="37"/>
    </row>
    <row r="6007" spans="1:10" x14ac:dyDescent="0.3">
      <c r="A6007" s="130"/>
      <c r="B6007" s="37"/>
      <c r="C6007" s="37"/>
      <c r="D6007" s="37"/>
      <c r="E6007" s="37"/>
      <c r="F6007" s="37"/>
      <c r="G6007" s="37"/>
      <c r="H6007" s="37"/>
      <c r="I6007" s="37"/>
      <c r="J6007" s="37"/>
    </row>
    <row r="6008" spans="1:10" x14ac:dyDescent="0.3">
      <c r="A6008" s="130"/>
      <c r="B6008" s="37"/>
      <c r="C6008" s="37"/>
      <c r="D6008" s="37"/>
      <c r="E6008" s="37"/>
      <c r="F6008" s="37"/>
      <c r="G6008" s="37"/>
      <c r="H6008" s="37"/>
      <c r="I6008" s="37"/>
      <c r="J6008" s="37"/>
    </row>
    <row r="6009" spans="1:10" x14ac:dyDescent="0.3">
      <c r="A6009" s="130"/>
      <c r="B6009" s="37"/>
      <c r="C6009" s="37"/>
      <c r="D6009" s="37"/>
      <c r="E6009" s="37"/>
      <c r="F6009" s="37"/>
      <c r="G6009" s="37"/>
      <c r="H6009" s="37"/>
      <c r="I6009" s="37"/>
      <c r="J6009" s="37"/>
    </row>
    <row r="6010" spans="1:10" x14ac:dyDescent="0.3">
      <c r="A6010" s="130"/>
      <c r="B6010" s="37"/>
      <c r="C6010" s="37"/>
      <c r="D6010" s="37"/>
      <c r="E6010" s="37"/>
      <c r="F6010" s="37"/>
      <c r="G6010" s="37"/>
      <c r="H6010" s="37"/>
      <c r="I6010" s="37"/>
      <c r="J6010" s="37"/>
    </row>
    <row r="6011" spans="1:10" x14ac:dyDescent="0.3">
      <c r="A6011" s="130"/>
      <c r="B6011" s="37"/>
      <c r="C6011" s="37"/>
      <c r="D6011" s="37"/>
      <c r="E6011" s="37"/>
      <c r="F6011" s="37"/>
      <c r="G6011" s="37"/>
      <c r="H6011" s="37"/>
      <c r="I6011" s="37"/>
      <c r="J6011" s="37"/>
    </row>
    <row r="6012" spans="1:10" x14ac:dyDescent="0.3">
      <c r="A6012" s="130"/>
      <c r="B6012" s="37"/>
      <c r="C6012" s="37"/>
      <c r="D6012" s="37"/>
      <c r="E6012" s="37"/>
      <c r="F6012" s="37"/>
      <c r="G6012" s="37"/>
      <c r="H6012" s="37"/>
      <c r="I6012" s="37"/>
      <c r="J6012" s="37"/>
    </row>
    <row r="6013" spans="1:10" x14ac:dyDescent="0.3">
      <c r="A6013" s="130"/>
      <c r="B6013" s="37"/>
      <c r="C6013" s="37"/>
      <c r="D6013" s="37"/>
      <c r="E6013" s="37"/>
      <c r="F6013" s="37"/>
      <c r="G6013" s="37"/>
      <c r="H6013" s="37"/>
      <c r="I6013" s="37"/>
      <c r="J6013" s="37"/>
    </row>
    <row r="6014" spans="1:10" x14ac:dyDescent="0.3">
      <c r="A6014" s="130"/>
      <c r="B6014" s="37"/>
      <c r="C6014" s="37"/>
      <c r="D6014" s="37"/>
      <c r="E6014" s="37"/>
      <c r="F6014" s="37"/>
      <c r="G6014" s="37"/>
      <c r="H6014" s="37"/>
      <c r="I6014" s="37"/>
      <c r="J6014" s="37"/>
    </row>
    <row r="6015" spans="1:10" x14ac:dyDescent="0.3">
      <c r="A6015" s="130"/>
      <c r="B6015" s="37"/>
      <c r="C6015" s="37"/>
      <c r="D6015" s="37"/>
      <c r="E6015" s="37"/>
      <c r="F6015" s="37"/>
      <c r="G6015" s="37"/>
      <c r="H6015" s="37"/>
      <c r="I6015" s="37"/>
      <c r="J6015" s="37"/>
    </row>
    <row r="6016" spans="1:10" x14ac:dyDescent="0.3">
      <c r="A6016" s="130"/>
      <c r="B6016" s="37"/>
      <c r="C6016" s="37"/>
      <c r="D6016" s="37"/>
      <c r="E6016" s="37"/>
      <c r="F6016" s="37"/>
      <c r="G6016" s="37"/>
      <c r="H6016" s="37"/>
      <c r="I6016" s="37"/>
      <c r="J6016" s="37"/>
    </row>
    <row r="6017" spans="1:10" x14ac:dyDescent="0.3">
      <c r="A6017" s="130"/>
      <c r="B6017" s="37"/>
      <c r="C6017" s="37"/>
      <c r="D6017" s="37"/>
      <c r="E6017" s="37"/>
      <c r="F6017" s="37"/>
      <c r="G6017" s="37"/>
      <c r="H6017" s="37"/>
      <c r="I6017" s="37"/>
      <c r="J6017" s="37"/>
    </row>
    <row r="6018" spans="1:10" x14ac:dyDescent="0.3">
      <c r="A6018" s="130"/>
      <c r="B6018" s="37"/>
      <c r="C6018" s="37"/>
      <c r="D6018" s="37"/>
      <c r="E6018" s="37"/>
      <c r="F6018" s="37"/>
      <c r="G6018" s="37"/>
      <c r="H6018" s="37"/>
      <c r="I6018" s="37"/>
      <c r="J6018" s="37"/>
    </row>
    <row r="6019" spans="1:10" x14ac:dyDescent="0.3">
      <c r="A6019" s="130"/>
      <c r="B6019" s="37"/>
      <c r="C6019" s="37"/>
      <c r="D6019" s="37"/>
      <c r="E6019" s="37"/>
      <c r="F6019" s="37"/>
      <c r="G6019" s="37"/>
      <c r="H6019" s="37"/>
      <c r="I6019" s="37"/>
      <c r="J6019" s="37"/>
    </row>
    <row r="6020" spans="1:10" x14ac:dyDescent="0.3">
      <c r="A6020" s="130"/>
      <c r="B6020" s="37"/>
      <c r="C6020" s="37"/>
      <c r="D6020" s="37"/>
      <c r="E6020" s="37"/>
      <c r="F6020" s="37"/>
      <c r="G6020" s="37"/>
      <c r="H6020" s="37"/>
      <c r="I6020" s="37"/>
      <c r="J6020" s="37"/>
    </row>
    <row r="6021" spans="1:10" x14ac:dyDescent="0.3">
      <c r="A6021" s="130"/>
      <c r="B6021" s="37"/>
      <c r="C6021" s="37"/>
      <c r="D6021" s="37"/>
      <c r="E6021" s="37"/>
      <c r="F6021" s="37"/>
      <c r="G6021" s="37"/>
      <c r="H6021" s="37"/>
      <c r="I6021" s="37"/>
      <c r="J6021" s="37"/>
    </row>
    <row r="6022" spans="1:10" x14ac:dyDescent="0.3">
      <c r="A6022" s="130"/>
      <c r="B6022" s="37"/>
      <c r="C6022" s="37"/>
      <c r="D6022" s="37"/>
      <c r="E6022" s="37"/>
      <c r="F6022" s="37"/>
      <c r="G6022" s="37"/>
      <c r="H6022" s="37"/>
      <c r="I6022" s="37"/>
      <c r="J6022" s="37"/>
    </row>
    <row r="6023" spans="1:10" x14ac:dyDescent="0.3">
      <c r="A6023" s="130"/>
      <c r="B6023" s="37"/>
      <c r="C6023" s="37"/>
      <c r="D6023" s="37"/>
      <c r="E6023" s="37"/>
      <c r="F6023" s="37"/>
      <c r="G6023" s="37"/>
      <c r="H6023" s="37"/>
      <c r="I6023" s="37"/>
      <c r="J6023" s="37"/>
    </row>
    <row r="6024" spans="1:10" x14ac:dyDescent="0.3">
      <c r="A6024" s="130"/>
      <c r="B6024" s="37"/>
      <c r="C6024" s="37"/>
      <c r="D6024" s="37"/>
      <c r="E6024" s="37"/>
      <c r="F6024" s="37"/>
      <c r="G6024" s="37"/>
      <c r="H6024" s="37"/>
      <c r="I6024" s="37"/>
      <c r="J6024" s="37"/>
    </row>
    <row r="6025" spans="1:10" x14ac:dyDescent="0.3">
      <c r="A6025" s="130"/>
      <c r="B6025" s="37"/>
      <c r="C6025" s="37"/>
      <c r="D6025" s="37"/>
      <c r="E6025" s="37"/>
      <c r="F6025" s="37"/>
      <c r="G6025" s="37"/>
      <c r="H6025" s="37"/>
      <c r="I6025" s="37"/>
      <c r="J6025" s="37"/>
    </row>
    <row r="6026" spans="1:10" x14ac:dyDescent="0.3">
      <c r="A6026" s="130"/>
      <c r="B6026" s="37"/>
      <c r="C6026" s="37"/>
      <c r="D6026" s="37"/>
      <c r="E6026" s="37"/>
      <c r="F6026" s="37"/>
      <c r="G6026" s="37"/>
      <c r="H6026" s="37"/>
      <c r="I6026" s="37"/>
      <c r="J6026" s="37"/>
    </row>
    <row r="6027" spans="1:10" x14ac:dyDescent="0.3">
      <c r="A6027" s="130"/>
      <c r="B6027" s="37"/>
      <c r="C6027" s="37"/>
      <c r="D6027" s="37"/>
      <c r="E6027" s="37"/>
      <c r="F6027" s="37"/>
      <c r="G6027" s="37"/>
      <c r="H6027" s="37"/>
      <c r="I6027" s="37"/>
      <c r="J6027" s="37"/>
    </row>
    <row r="6028" spans="1:10" x14ac:dyDescent="0.3">
      <c r="A6028" s="130"/>
      <c r="B6028" s="37"/>
      <c r="C6028" s="37"/>
      <c r="D6028" s="37"/>
      <c r="E6028" s="37"/>
      <c r="F6028" s="37"/>
      <c r="G6028" s="37"/>
      <c r="H6028" s="37"/>
      <c r="I6028" s="37"/>
      <c r="J6028" s="37"/>
    </row>
    <row r="6029" spans="1:10" x14ac:dyDescent="0.3">
      <c r="A6029" s="130"/>
      <c r="B6029" s="37"/>
      <c r="C6029" s="37"/>
      <c r="D6029" s="37"/>
      <c r="E6029" s="37"/>
      <c r="F6029" s="37"/>
      <c r="G6029" s="37"/>
      <c r="H6029" s="37"/>
      <c r="I6029" s="37"/>
      <c r="J6029" s="37"/>
    </row>
    <row r="6030" spans="1:10" x14ac:dyDescent="0.3">
      <c r="A6030" s="130"/>
      <c r="B6030" s="37"/>
      <c r="C6030" s="37"/>
      <c r="D6030" s="37"/>
      <c r="E6030" s="37"/>
      <c r="F6030" s="37"/>
      <c r="G6030" s="37"/>
      <c r="H6030" s="37"/>
      <c r="I6030" s="37"/>
      <c r="J6030" s="37"/>
    </row>
    <row r="6031" spans="1:10" x14ac:dyDescent="0.3">
      <c r="A6031" s="130"/>
      <c r="B6031" s="37"/>
      <c r="C6031" s="37"/>
      <c r="D6031" s="37"/>
      <c r="E6031" s="37"/>
      <c r="F6031" s="37"/>
      <c r="G6031" s="37"/>
      <c r="H6031" s="37"/>
      <c r="I6031" s="37"/>
      <c r="J6031" s="37"/>
    </row>
    <row r="6032" spans="1:10" x14ac:dyDescent="0.3">
      <c r="A6032" s="130"/>
      <c r="B6032" s="37"/>
      <c r="C6032" s="37"/>
      <c r="D6032" s="37"/>
      <c r="E6032" s="37"/>
      <c r="F6032" s="37"/>
      <c r="G6032" s="37"/>
      <c r="H6032" s="37"/>
      <c r="I6032" s="37"/>
      <c r="J6032" s="37"/>
    </row>
    <row r="6033" spans="1:10" x14ac:dyDescent="0.3">
      <c r="A6033" s="130"/>
      <c r="B6033" s="37"/>
      <c r="C6033" s="37"/>
      <c r="D6033" s="37"/>
      <c r="E6033" s="37"/>
      <c r="F6033" s="37"/>
      <c r="G6033" s="37"/>
      <c r="H6033" s="37"/>
      <c r="I6033" s="37"/>
      <c r="J6033" s="37"/>
    </row>
    <row r="6034" spans="1:10" x14ac:dyDescent="0.3">
      <c r="A6034" s="130"/>
      <c r="B6034" s="37"/>
      <c r="C6034" s="37"/>
      <c r="D6034" s="37"/>
      <c r="E6034" s="37"/>
      <c r="F6034" s="37"/>
      <c r="G6034" s="37"/>
      <c r="H6034" s="37"/>
      <c r="I6034" s="37"/>
      <c r="J6034" s="37"/>
    </row>
    <row r="6035" spans="1:10" x14ac:dyDescent="0.3">
      <c r="A6035" s="130"/>
      <c r="B6035" s="37"/>
      <c r="C6035" s="37"/>
      <c r="D6035" s="37"/>
      <c r="E6035" s="37"/>
      <c r="F6035" s="37"/>
      <c r="G6035" s="37"/>
      <c r="H6035" s="37"/>
      <c r="I6035" s="37"/>
      <c r="J6035" s="37"/>
    </row>
    <row r="6036" spans="1:10" x14ac:dyDescent="0.3">
      <c r="A6036" s="130"/>
      <c r="B6036" s="37"/>
      <c r="C6036" s="37"/>
      <c r="D6036" s="37"/>
      <c r="E6036" s="37"/>
      <c r="F6036" s="37"/>
      <c r="G6036" s="37"/>
      <c r="H6036" s="37"/>
      <c r="I6036" s="37"/>
      <c r="J6036" s="37"/>
    </row>
    <row r="6037" spans="1:10" x14ac:dyDescent="0.3">
      <c r="A6037" s="130"/>
      <c r="B6037" s="37"/>
      <c r="C6037" s="37"/>
      <c r="D6037" s="37"/>
      <c r="E6037" s="37"/>
      <c r="F6037" s="37"/>
      <c r="G6037" s="37"/>
      <c r="H6037" s="37"/>
      <c r="I6037" s="37"/>
      <c r="J6037" s="37"/>
    </row>
    <row r="6038" spans="1:10" x14ac:dyDescent="0.3">
      <c r="A6038" s="130"/>
      <c r="B6038" s="37"/>
      <c r="C6038" s="37"/>
      <c r="D6038" s="37"/>
      <c r="E6038" s="37"/>
      <c r="F6038" s="37"/>
      <c r="G6038" s="37"/>
      <c r="H6038" s="37"/>
      <c r="I6038" s="37"/>
      <c r="J6038" s="37"/>
    </row>
    <row r="6039" spans="1:10" x14ac:dyDescent="0.3">
      <c r="A6039" s="130"/>
      <c r="B6039" s="37"/>
      <c r="C6039" s="37"/>
      <c r="D6039" s="37"/>
      <c r="E6039" s="37"/>
      <c r="F6039" s="37"/>
      <c r="G6039" s="37"/>
      <c r="H6039" s="37"/>
      <c r="I6039" s="37"/>
      <c r="J6039" s="37"/>
    </row>
    <row r="6040" spans="1:10" x14ac:dyDescent="0.3">
      <c r="A6040" s="130"/>
      <c r="B6040" s="37"/>
      <c r="C6040" s="37"/>
      <c r="D6040" s="37"/>
      <c r="E6040" s="37"/>
      <c r="F6040" s="37"/>
      <c r="G6040" s="37"/>
      <c r="H6040" s="37"/>
      <c r="I6040" s="37"/>
      <c r="J6040" s="37"/>
    </row>
    <row r="6041" spans="1:10" x14ac:dyDescent="0.3">
      <c r="A6041" s="130"/>
      <c r="B6041" s="37"/>
      <c r="C6041" s="37"/>
      <c r="D6041" s="37"/>
      <c r="E6041" s="37"/>
      <c r="F6041" s="37"/>
      <c r="G6041" s="37"/>
      <c r="H6041" s="37"/>
      <c r="I6041" s="37"/>
      <c r="J6041" s="37"/>
    </row>
    <row r="6042" spans="1:10" x14ac:dyDescent="0.3">
      <c r="A6042" s="130"/>
      <c r="B6042" s="37"/>
      <c r="C6042" s="37"/>
      <c r="D6042" s="37"/>
      <c r="E6042" s="37"/>
      <c r="F6042" s="37"/>
      <c r="G6042" s="37"/>
      <c r="H6042" s="37"/>
      <c r="I6042" s="37"/>
      <c r="J6042" s="37"/>
    </row>
    <row r="6043" spans="1:10" x14ac:dyDescent="0.3">
      <c r="A6043" s="130"/>
      <c r="B6043" s="37"/>
      <c r="C6043" s="37"/>
      <c r="D6043" s="37"/>
      <c r="E6043" s="37"/>
      <c r="F6043" s="37"/>
      <c r="G6043" s="37"/>
      <c r="H6043" s="37"/>
      <c r="I6043" s="37"/>
      <c r="J6043" s="37"/>
    </row>
    <row r="6044" spans="1:10" x14ac:dyDescent="0.3">
      <c r="A6044" s="130"/>
      <c r="B6044" s="37"/>
      <c r="C6044" s="37"/>
      <c r="D6044" s="37"/>
      <c r="E6044" s="37"/>
      <c r="F6044" s="37"/>
      <c r="G6044" s="37"/>
      <c r="H6044" s="37"/>
      <c r="I6044" s="37"/>
      <c r="J6044" s="37"/>
    </row>
    <row r="6045" spans="1:10" x14ac:dyDescent="0.3">
      <c r="A6045" s="130"/>
      <c r="B6045" s="37"/>
      <c r="C6045" s="37"/>
      <c r="D6045" s="37"/>
      <c r="E6045" s="37"/>
      <c r="F6045" s="37"/>
      <c r="G6045" s="37"/>
      <c r="H6045" s="37"/>
      <c r="I6045" s="37"/>
      <c r="J6045" s="37"/>
    </row>
    <row r="6046" spans="1:10" x14ac:dyDescent="0.3">
      <c r="A6046" s="130"/>
      <c r="B6046" s="37"/>
      <c r="C6046" s="37"/>
      <c r="D6046" s="37"/>
      <c r="E6046" s="37"/>
      <c r="F6046" s="37"/>
      <c r="G6046" s="37"/>
      <c r="H6046" s="37"/>
      <c r="I6046" s="37"/>
      <c r="J6046" s="37"/>
    </row>
    <row r="6047" spans="1:10" x14ac:dyDescent="0.3">
      <c r="A6047" s="130"/>
      <c r="B6047" s="37"/>
      <c r="C6047" s="37"/>
      <c r="D6047" s="37"/>
      <c r="E6047" s="37"/>
      <c r="F6047" s="37"/>
      <c r="G6047" s="37"/>
      <c r="H6047" s="37"/>
      <c r="I6047" s="37"/>
      <c r="J6047" s="37"/>
    </row>
    <row r="6048" spans="1:10" x14ac:dyDescent="0.3">
      <c r="A6048" s="130"/>
      <c r="B6048" s="37"/>
      <c r="C6048" s="37"/>
      <c r="D6048" s="37"/>
      <c r="E6048" s="37"/>
      <c r="F6048" s="37"/>
      <c r="G6048" s="37"/>
      <c r="H6048" s="37"/>
      <c r="I6048" s="37"/>
      <c r="J6048" s="37"/>
    </row>
    <row r="6049" spans="1:10" x14ac:dyDescent="0.3">
      <c r="A6049" s="130"/>
      <c r="B6049" s="37"/>
      <c r="C6049" s="37"/>
      <c r="D6049" s="37"/>
      <c r="E6049" s="37"/>
      <c r="F6049" s="37"/>
      <c r="G6049" s="37"/>
      <c r="H6049" s="37"/>
      <c r="I6049" s="37"/>
      <c r="J6049" s="37"/>
    </row>
    <row r="6050" spans="1:10" x14ac:dyDescent="0.3">
      <c r="A6050" s="130"/>
      <c r="B6050" s="37"/>
      <c r="C6050" s="37"/>
      <c r="D6050" s="37"/>
      <c r="E6050" s="37"/>
      <c r="F6050" s="37"/>
      <c r="G6050" s="37"/>
      <c r="H6050" s="37"/>
      <c r="I6050" s="37"/>
      <c r="J6050" s="37"/>
    </row>
    <row r="6051" spans="1:10" x14ac:dyDescent="0.3">
      <c r="A6051" s="130"/>
      <c r="B6051" s="37"/>
      <c r="C6051" s="37"/>
      <c r="D6051" s="37"/>
      <c r="E6051" s="37"/>
      <c r="F6051" s="37"/>
      <c r="G6051" s="37"/>
      <c r="H6051" s="37"/>
      <c r="I6051" s="37"/>
      <c r="J6051" s="37"/>
    </row>
    <row r="6052" spans="1:10" x14ac:dyDescent="0.3">
      <c r="A6052" s="130"/>
      <c r="B6052" s="37"/>
      <c r="C6052" s="37"/>
      <c r="D6052" s="37"/>
      <c r="E6052" s="37"/>
      <c r="F6052" s="37"/>
      <c r="G6052" s="37"/>
      <c r="H6052" s="37"/>
      <c r="I6052" s="37"/>
      <c r="J6052" s="37"/>
    </row>
    <row r="6053" spans="1:10" x14ac:dyDescent="0.3">
      <c r="A6053" s="130"/>
      <c r="B6053" s="37"/>
      <c r="C6053" s="37"/>
      <c r="D6053" s="37"/>
      <c r="E6053" s="37"/>
      <c r="F6053" s="37"/>
      <c r="G6053" s="37"/>
      <c r="H6053" s="37"/>
      <c r="I6053" s="37"/>
      <c r="J6053" s="37"/>
    </row>
    <row r="6054" spans="1:10" x14ac:dyDescent="0.3">
      <c r="A6054" s="130"/>
      <c r="B6054" s="37"/>
      <c r="C6054" s="37"/>
      <c r="D6054" s="37"/>
      <c r="E6054" s="37"/>
      <c r="F6054" s="37"/>
      <c r="G6054" s="37"/>
      <c r="H6054" s="37"/>
      <c r="I6054" s="37"/>
      <c r="J6054" s="37"/>
    </row>
    <row r="6055" spans="1:10" x14ac:dyDescent="0.3">
      <c r="A6055" s="130"/>
      <c r="B6055" s="37"/>
      <c r="C6055" s="37"/>
      <c r="D6055" s="37"/>
      <c r="E6055" s="37"/>
      <c r="F6055" s="37"/>
      <c r="G6055" s="37"/>
      <c r="H6055" s="37"/>
      <c r="I6055" s="37"/>
      <c r="J6055" s="37"/>
    </row>
    <row r="6056" spans="1:10" x14ac:dyDescent="0.3">
      <c r="A6056" s="130"/>
      <c r="B6056" s="37"/>
      <c r="C6056" s="37"/>
      <c r="D6056" s="37"/>
      <c r="E6056" s="37"/>
      <c r="F6056" s="37"/>
      <c r="G6056" s="37"/>
      <c r="H6056" s="37"/>
      <c r="I6056" s="37"/>
      <c r="J6056" s="37"/>
    </row>
    <row r="6057" spans="1:10" x14ac:dyDescent="0.3">
      <c r="A6057" s="130"/>
      <c r="B6057" s="37"/>
      <c r="C6057" s="37"/>
      <c r="D6057" s="37"/>
      <c r="E6057" s="37"/>
      <c r="F6057" s="37"/>
      <c r="G6057" s="37"/>
      <c r="H6057" s="37"/>
      <c r="I6057" s="37"/>
      <c r="J6057" s="37"/>
    </row>
    <row r="6058" spans="1:10" x14ac:dyDescent="0.3">
      <c r="A6058" s="130"/>
      <c r="B6058" s="37"/>
      <c r="C6058" s="37"/>
      <c r="D6058" s="37"/>
      <c r="E6058" s="37"/>
      <c r="F6058" s="37"/>
      <c r="G6058" s="37"/>
      <c r="H6058" s="37"/>
      <c r="I6058" s="37"/>
      <c r="J6058" s="37"/>
    </row>
    <row r="6059" spans="1:10" x14ac:dyDescent="0.3">
      <c r="A6059" s="130"/>
      <c r="B6059" s="37"/>
      <c r="C6059" s="37"/>
      <c r="D6059" s="37"/>
      <c r="E6059" s="37"/>
      <c r="F6059" s="37"/>
      <c r="G6059" s="37"/>
      <c r="H6059" s="37"/>
      <c r="I6059" s="37"/>
      <c r="J6059" s="37"/>
    </row>
    <row r="6060" spans="1:10" x14ac:dyDescent="0.3">
      <c r="A6060" s="130"/>
      <c r="B6060" s="37"/>
      <c r="C6060" s="37"/>
      <c r="D6060" s="37"/>
      <c r="E6060" s="37"/>
      <c r="F6060" s="37"/>
      <c r="G6060" s="37"/>
      <c r="H6060" s="37"/>
      <c r="I6060" s="37"/>
      <c r="J6060" s="37"/>
    </row>
    <row r="6061" spans="1:10" x14ac:dyDescent="0.3">
      <c r="A6061" s="130"/>
      <c r="B6061" s="37"/>
      <c r="C6061" s="37"/>
      <c r="D6061" s="37"/>
      <c r="E6061" s="37"/>
      <c r="F6061" s="37"/>
      <c r="G6061" s="37"/>
      <c r="H6061" s="37"/>
      <c r="I6061" s="37"/>
      <c r="J6061" s="37"/>
    </row>
    <row r="6062" spans="1:10" x14ac:dyDescent="0.3">
      <c r="A6062" s="130"/>
      <c r="B6062" s="37"/>
      <c r="C6062" s="37"/>
      <c r="D6062" s="37"/>
      <c r="E6062" s="37"/>
      <c r="F6062" s="37"/>
      <c r="G6062" s="37"/>
      <c r="H6062" s="37"/>
      <c r="I6062" s="37"/>
      <c r="J6062" s="37"/>
    </row>
    <row r="6063" spans="1:10" x14ac:dyDescent="0.3">
      <c r="A6063" s="130"/>
      <c r="B6063" s="37"/>
      <c r="C6063" s="37"/>
      <c r="D6063" s="37"/>
      <c r="E6063" s="37"/>
      <c r="F6063" s="37"/>
      <c r="G6063" s="37"/>
      <c r="H6063" s="37"/>
      <c r="I6063" s="37"/>
      <c r="J6063" s="37"/>
    </row>
    <row r="6064" spans="1:10" x14ac:dyDescent="0.3">
      <c r="A6064" s="130"/>
      <c r="B6064" s="37"/>
      <c r="C6064" s="37"/>
      <c r="D6064" s="37"/>
      <c r="E6064" s="37"/>
      <c r="F6064" s="37"/>
      <c r="G6064" s="37"/>
      <c r="H6064" s="37"/>
      <c r="I6064" s="37"/>
      <c r="J6064" s="37"/>
    </row>
    <row r="6065" spans="1:10" x14ac:dyDescent="0.3">
      <c r="A6065" s="130"/>
      <c r="B6065" s="37"/>
      <c r="C6065" s="37"/>
      <c r="D6065" s="37"/>
      <c r="E6065" s="37"/>
      <c r="F6065" s="37"/>
      <c r="G6065" s="37"/>
      <c r="H6065" s="37"/>
      <c r="I6065" s="37"/>
      <c r="J6065" s="37"/>
    </row>
    <row r="6066" spans="1:10" x14ac:dyDescent="0.3">
      <c r="A6066" s="130"/>
      <c r="B6066" s="37"/>
      <c r="C6066" s="37"/>
      <c r="D6066" s="37"/>
      <c r="E6066" s="37"/>
      <c r="F6066" s="37"/>
      <c r="G6066" s="37"/>
      <c r="H6066" s="37"/>
      <c r="I6066" s="37"/>
      <c r="J6066" s="37"/>
    </row>
    <row r="6067" spans="1:10" x14ac:dyDescent="0.3">
      <c r="A6067" s="130"/>
      <c r="B6067" s="37"/>
      <c r="C6067" s="37"/>
      <c r="D6067" s="37"/>
      <c r="E6067" s="37"/>
      <c r="F6067" s="37"/>
      <c r="G6067" s="37"/>
      <c r="H6067" s="37"/>
      <c r="I6067" s="37"/>
      <c r="J6067" s="37"/>
    </row>
    <row r="6068" spans="1:10" x14ac:dyDescent="0.3">
      <c r="A6068" s="130"/>
      <c r="B6068" s="37"/>
      <c r="C6068" s="37"/>
      <c r="D6068" s="37"/>
      <c r="E6068" s="37"/>
      <c r="F6068" s="37"/>
      <c r="G6068" s="37"/>
      <c r="H6068" s="37"/>
      <c r="I6068" s="37"/>
      <c r="J6068" s="37"/>
    </row>
    <row r="6069" spans="1:10" x14ac:dyDescent="0.3">
      <c r="A6069" s="130"/>
      <c r="B6069" s="37"/>
      <c r="C6069" s="37"/>
      <c r="D6069" s="37"/>
      <c r="E6069" s="37"/>
      <c r="F6069" s="37"/>
      <c r="G6069" s="37"/>
      <c r="H6069" s="37"/>
      <c r="I6069" s="37"/>
      <c r="J6069" s="37"/>
    </row>
    <row r="6070" spans="1:10" x14ac:dyDescent="0.3">
      <c r="A6070" s="130"/>
      <c r="B6070" s="37"/>
      <c r="C6070" s="37"/>
      <c r="D6070" s="37"/>
      <c r="E6070" s="37"/>
      <c r="F6070" s="37"/>
      <c r="G6070" s="37"/>
      <c r="H6070" s="37"/>
      <c r="I6070" s="37"/>
      <c r="J6070" s="37"/>
    </row>
    <row r="6071" spans="1:10" x14ac:dyDescent="0.3">
      <c r="A6071" s="130"/>
      <c r="B6071" s="37"/>
      <c r="C6071" s="37"/>
      <c r="D6071" s="37"/>
      <c r="E6071" s="37"/>
      <c r="F6071" s="37"/>
      <c r="G6071" s="37"/>
      <c r="H6071" s="37"/>
      <c r="I6071" s="37"/>
      <c r="J6071" s="37"/>
    </row>
    <row r="6072" spans="1:10" x14ac:dyDescent="0.3">
      <c r="A6072" s="130"/>
      <c r="B6072" s="37"/>
      <c r="C6072" s="37"/>
      <c r="D6072" s="37"/>
      <c r="E6072" s="37"/>
      <c r="F6072" s="37"/>
      <c r="G6072" s="37"/>
      <c r="H6072" s="37"/>
      <c r="I6072" s="37"/>
      <c r="J6072" s="37"/>
    </row>
    <row r="6073" spans="1:10" x14ac:dyDescent="0.3">
      <c r="A6073" s="130"/>
      <c r="B6073" s="37"/>
      <c r="C6073" s="37"/>
      <c r="D6073" s="37"/>
      <c r="E6073" s="37"/>
      <c r="F6073" s="37"/>
      <c r="G6073" s="37"/>
      <c r="H6073" s="37"/>
      <c r="I6073" s="37"/>
      <c r="J6073" s="37"/>
    </row>
    <row r="6074" spans="1:10" x14ac:dyDescent="0.3">
      <c r="A6074" s="130"/>
      <c r="B6074" s="37"/>
      <c r="C6074" s="37"/>
      <c r="D6074" s="37"/>
      <c r="E6074" s="37"/>
      <c r="F6074" s="37"/>
      <c r="G6074" s="37"/>
      <c r="H6074" s="37"/>
      <c r="I6074" s="37"/>
      <c r="J6074" s="37"/>
    </row>
    <row r="6075" spans="1:10" x14ac:dyDescent="0.3">
      <c r="A6075" s="130"/>
      <c r="B6075" s="37"/>
      <c r="C6075" s="37"/>
      <c r="D6075" s="37"/>
      <c r="E6075" s="37"/>
      <c r="F6075" s="37"/>
      <c r="G6075" s="37"/>
      <c r="H6075" s="37"/>
      <c r="I6075" s="37"/>
      <c r="J6075" s="37"/>
    </row>
    <row r="6076" spans="1:10" x14ac:dyDescent="0.3">
      <c r="A6076" s="130"/>
      <c r="B6076" s="37"/>
      <c r="C6076" s="37"/>
      <c r="D6076" s="37"/>
      <c r="E6076" s="37"/>
      <c r="F6076" s="37"/>
      <c r="G6076" s="37"/>
      <c r="H6076" s="37"/>
      <c r="I6076" s="37"/>
      <c r="J6076" s="37"/>
    </row>
    <row r="6077" spans="1:10" x14ac:dyDescent="0.3">
      <c r="A6077" s="130"/>
      <c r="B6077" s="37"/>
      <c r="C6077" s="37"/>
      <c r="D6077" s="37"/>
      <c r="E6077" s="37"/>
      <c r="F6077" s="37"/>
      <c r="G6077" s="37"/>
      <c r="H6077" s="37"/>
      <c r="I6077" s="37"/>
      <c r="J6077" s="37"/>
    </row>
    <row r="6078" spans="1:10" x14ac:dyDescent="0.3">
      <c r="A6078" s="130"/>
      <c r="B6078" s="37"/>
      <c r="C6078" s="37"/>
      <c r="D6078" s="37"/>
      <c r="E6078" s="37"/>
      <c r="F6078" s="37"/>
      <c r="G6078" s="37"/>
      <c r="H6078" s="37"/>
      <c r="I6078" s="37"/>
      <c r="J6078" s="37"/>
    </row>
  </sheetData>
  <mergeCells count="2">
    <mergeCell ref="L3:P3"/>
    <mergeCell ref="C2:H2"/>
  </mergeCells>
  <dataValidations count="7">
    <dataValidation allowBlank="1" showErrorMessage="1" prompt="Enter or select the reference number that is associated with the client in the Individuals Identification sheet" sqref="B6 B11:C786" xr:uid="{245BCE1E-FC2E-4683-82E4-21476293FA74}"/>
    <dataValidation type="date" allowBlank="1" showErrorMessage="1" error="This date is invalid. Please write a date in the proper format and between 2024-04-01 and 2025-03-31." promptTitle="Invalid date" prompt="." sqref="C6" xr:uid="{397312FD-D1C6-4C1C-B79D-85DD6FDE1433}">
      <formula1>45383</formula1>
      <formula2>45747</formula2>
    </dataValidation>
    <dataValidation type="list" allowBlank="1" showInputMessage="1" showErrorMessage="1" sqref="F5:F10" xr:uid="{8A7908C8-0FB8-4F2D-A8B9-C098EC06E541}">
      <formula1>Teachings_Support</formula1>
    </dataValidation>
    <dataValidation type="list" allowBlank="1" showInputMessage="1" showErrorMessage="1" sqref="D5:E10" xr:uid="{8A8F83B8-D3CF-4952-B035-41BE898F6B21}">
      <formula1>Throughout</formula1>
    </dataValidation>
    <dataValidation type="list" allowBlank="1" showInputMessage="1" showErrorMessage="1" sqref="H5:J10" xr:uid="{3E7C2B01-8743-477F-A9E9-01ACBC8A8E0B}">
      <formula1>Near_Miss</formula1>
    </dataValidation>
    <dataValidation type="list" allowBlank="1" showInputMessage="1" showErrorMessage="1" sqref="A5:A804" xr:uid="{CC02BB34-6EB3-41FE-86BD-57E3F25784F2}">
      <formula1>Yes</formula1>
    </dataValidation>
    <dataValidation type="list" allowBlank="1" showInputMessage="1" showErrorMessage="1" sqref="G5:G10" xr:uid="{609920FA-8D5D-47E0-8A8C-7F86A83C6105}">
      <formula1>Disclosed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CFF17C3-692C-48C2-9506-73349F32734A}">
            <xm:f>'https://msss365.sharepoint.com/Users/manogr01/Desktop/SAGES-FEMMES-Midwifery/NOUVEAUX/[2- FICHIER DE TRAVAIL - Midwifery stats 2024-2025  - Community - R18V1.xlsm]All Referrals'!#REF!=""</xm:f>
            <x14:dxf>
              <font>
                <b/>
                <i val="0"/>
                <color rgb="FFFF0000"/>
              </font>
            </x14:dxf>
          </x14:cfRule>
          <xm:sqref>B11:C786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tabColor rgb="FFFF0000"/>
  </sheetPr>
  <dimension ref="A1:CC2993"/>
  <sheetViews>
    <sheetView topLeftCell="A4" zoomScaleNormal="100" workbookViewId="0">
      <selection activeCell="P27" sqref="P27"/>
    </sheetView>
  </sheetViews>
  <sheetFormatPr defaultColWidth="9.109375" defaultRowHeight="14.4" x14ac:dyDescent="0.3"/>
  <cols>
    <col min="1" max="1" width="19.6640625" style="2" customWidth="1"/>
    <col min="2" max="20" width="4.6640625" style="2" customWidth="1"/>
    <col min="21" max="26" width="4.6640625" style="93" customWidth="1"/>
    <col min="27" max="65" width="4.6640625" style="2" customWidth="1"/>
    <col min="66" max="66" width="13" style="2" bestFit="1" customWidth="1"/>
    <col min="67" max="67" width="9.109375" style="2"/>
    <col min="70" max="71" width="4.6640625" customWidth="1"/>
    <col min="80" max="16384" width="9.109375" style="2"/>
  </cols>
  <sheetData>
    <row r="1" spans="1:81" ht="21" customHeight="1" x14ac:dyDescent="0.3"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BN1" s="1"/>
    </row>
    <row r="2" spans="1:81" ht="15" customHeight="1" thickBot="1" x14ac:dyDescent="0.35">
      <c r="U2" s="209"/>
      <c r="V2" s="209"/>
      <c r="W2" s="209"/>
      <c r="X2" s="209"/>
      <c r="Y2" s="209"/>
      <c r="Z2" s="209"/>
      <c r="AA2" s="581" t="s">
        <v>665</v>
      </c>
      <c r="AB2" s="581"/>
      <c r="AC2" s="581"/>
      <c r="AD2" s="581"/>
      <c r="AE2" s="581"/>
      <c r="AF2" s="581"/>
      <c r="AG2" s="581"/>
      <c r="AH2" s="581"/>
      <c r="AI2" s="581"/>
      <c r="AJ2" s="581"/>
      <c r="AK2" s="581"/>
      <c r="AL2" s="581"/>
      <c r="AM2" s="581"/>
      <c r="AN2" s="581"/>
      <c r="AO2" s="581"/>
      <c r="AP2" s="581"/>
      <c r="AQ2" s="209"/>
      <c r="AR2" s="209"/>
      <c r="AS2" s="209"/>
      <c r="AT2" s="209"/>
      <c r="AU2" s="209"/>
      <c r="AV2" s="209"/>
      <c r="BN2" s="9"/>
      <c r="BP2" s="15"/>
      <c r="BQ2" s="574" t="s">
        <v>666</v>
      </c>
      <c r="BR2" s="574"/>
      <c r="BS2" s="574"/>
      <c r="BT2" s="574"/>
      <c r="BU2" s="574"/>
      <c r="BV2" s="574"/>
      <c r="BW2" s="574"/>
      <c r="BX2" s="15"/>
      <c r="BY2" s="15"/>
      <c r="BZ2" s="15"/>
      <c r="CA2" s="15"/>
    </row>
    <row r="3" spans="1:81" s="3" customFormat="1" ht="13.5" customHeight="1" thickTop="1" thickBot="1" x14ac:dyDescent="0.35">
      <c r="U3" s="94"/>
      <c r="V3" s="94"/>
      <c r="W3" s="94"/>
      <c r="X3" s="94"/>
      <c r="Y3" s="94"/>
      <c r="Z3" s="9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P3" s="15"/>
      <c r="BX3" s="597" t="s">
        <v>667</v>
      </c>
      <c r="BY3" s="598"/>
      <c r="BZ3" s="598"/>
      <c r="CA3" s="598"/>
      <c r="CB3" s="598"/>
      <c r="CC3" s="599"/>
    </row>
    <row r="4" spans="1:81" s="5" customFormat="1" ht="15" customHeight="1" thickTop="1" thickBot="1" x14ac:dyDescent="0.35">
      <c r="A4" s="594" t="s">
        <v>668</v>
      </c>
      <c r="B4" s="192"/>
      <c r="C4" s="192"/>
      <c r="D4" s="193"/>
      <c r="E4" s="191"/>
      <c r="F4" s="191"/>
      <c r="G4" s="191"/>
      <c r="H4" s="603" t="s">
        <v>669</v>
      </c>
      <c r="I4" s="604"/>
      <c r="J4" s="604"/>
      <c r="K4" s="604"/>
      <c r="L4" s="604"/>
      <c r="M4" s="604"/>
      <c r="N4" s="604"/>
      <c r="O4" s="604"/>
      <c r="P4" s="604"/>
      <c r="Q4" s="604"/>
      <c r="R4" s="604"/>
      <c r="S4" s="604"/>
      <c r="T4" s="604"/>
      <c r="U4" s="604"/>
      <c r="V4" s="604"/>
      <c r="W4" s="604"/>
      <c r="X4" s="604"/>
      <c r="Y4" s="604"/>
      <c r="Z4" s="604"/>
      <c r="AA4" s="604"/>
      <c r="AB4" s="604"/>
      <c r="AC4" s="604"/>
      <c r="AD4" s="604"/>
      <c r="AE4" s="604"/>
      <c r="AF4" s="604"/>
      <c r="AG4" s="604"/>
      <c r="AH4" s="604"/>
      <c r="AI4" s="604"/>
      <c r="AJ4" s="604"/>
      <c r="AK4" s="604"/>
      <c r="AL4" s="604"/>
      <c r="AM4" s="604"/>
      <c r="AN4" s="604"/>
      <c r="AO4" s="604"/>
      <c r="AP4" s="604"/>
      <c r="AQ4" s="604"/>
      <c r="AR4" s="604"/>
      <c r="AS4" s="604"/>
      <c r="AT4" s="604"/>
      <c r="AU4" s="604"/>
      <c r="AV4" s="604"/>
      <c r="AW4" s="604"/>
      <c r="AX4" s="604"/>
      <c r="AY4" s="604"/>
      <c r="AZ4" s="604"/>
      <c r="BA4" s="604"/>
      <c r="BB4" s="604"/>
      <c r="BC4" s="604"/>
      <c r="BD4" s="604"/>
      <c r="BE4" s="604"/>
      <c r="BF4" s="604"/>
      <c r="BG4" s="191"/>
      <c r="BH4" s="191"/>
      <c r="BI4" s="191"/>
      <c r="BJ4" s="247" t="s">
        <v>670</v>
      </c>
      <c r="BK4" s="247"/>
      <c r="BL4" s="247" t="s">
        <v>670</v>
      </c>
      <c r="BM4" s="248" t="s">
        <v>670</v>
      </c>
      <c r="BN4" s="591" t="s">
        <v>671</v>
      </c>
      <c r="BP4" s="15"/>
      <c r="BR4" s="241"/>
      <c r="BS4" s="241"/>
      <c r="BX4" s="600"/>
      <c r="BY4" s="601"/>
      <c r="BZ4" s="601"/>
      <c r="CA4" s="601"/>
      <c r="CB4" s="601"/>
      <c r="CC4" s="602"/>
    </row>
    <row r="5" spans="1:81" s="5" customFormat="1" ht="58.2" customHeight="1" thickBot="1" x14ac:dyDescent="0.5">
      <c r="A5" s="595"/>
      <c r="B5" s="586" t="s">
        <v>672</v>
      </c>
      <c r="C5" s="586"/>
      <c r="D5" s="586"/>
      <c r="E5" s="586"/>
      <c r="F5" s="586"/>
      <c r="G5" s="586"/>
      <c r="H5" s="586"/>
      <c r="I5" s="587"/>
      <c r="J5" s="605" t="s">
        <v>673</v>
      </c>
      <c r="K5" s="606"/>
      <c r="L5" s="606"/>
      <c r="M5" s="606"/>
      <c r="N5" s="606"/>
      <c r="O5" s="606"/>
      <c r="P5" s="606"/>
      <c r="Q5" s="606"/>
      <c r="R5" s="606"/>
      <c r="S5" s="606"/>
      <c r="T5" s="606"/>
      <c r="U5" s="606"/>
      <c r="V5" s="606"/>
      <c r="W5" s="606"/>
      <c r="X5" s="606"/>
      <c r="Y5" s="606"/>
      <c r="Z5" s="607"/>
      <c r="AA5" s="585" t="s">
        <v>674</v>
      </c>
      <c r="AB5" s="586"/>
      <c r="AC5" s="586"/>
      <c r="AD5" s="586"/>
      <c r="AE5" s="586"/>
      <c r="AF5" s="586"/>
      <c r="AG5" s="586"/>
      <c r="AH5" s="586"/>
      <c r="AI5" s="586"/>
      <c r="AJ5" s="586"/>
      <c r="AK5" s="587"/>
      <c r="AL5" s="585" t="s">
        <v>18</v>
      </c>
      <c r="AM5" s="586"/>
      <c r="AN5" s="586"/>
      <c r="AO5" s="587"/>
      <c r="AP5" s="582" t="s">
        <v>675</v>
      </c>
      <c r="AQ5" s="583"/>
      <c r="AR5" s="584"/>
      <c r="AS5" s="585" t="s">
        <v>676</v>
      </c>
      <c r="AT5" s="586"/>
      <c r="AU5" s="586"/>
      <c r="AV5" s="586"/>
      <c r="AW5" s="587"/>
      <c r="AX5" s="588" t="s">
        <v>677</v>
      </c>
      <c r="AY5" s="589"/>
      <c r="AZ5" s="589"/>
      <c r="BA5" s="589"/>
      <c r="BB5" s="589"/>
      <c r="BC5" s="589"/>
      <c r="BD5" s="589"/>
      <c r="BE5" s="590"/>
      <c r="BF5" s="582" t="s">
        <v>678</v>
      </c>
      <c r="BG5" s="583"/>
      <c r="BH5" s="583"/>
      <c r="BI5" s="583"/>
      <c r="BJ5" s="583"/>
      <c r="BK5" s="583"/>
      <c r="BL5" s="583"/>
      <c r="BM5" s="584"/>
      <c r="BN5" s="592"/>
      <c r="BP5" s="15"/>
      <c r="BR5" s="241"/>
      <c r="BS5" s="241"/>
      <c r="BX5" s="15"/>
      <c r="BY5" s="15"/>
      <c r="BZ5" s="15"/>
      <c r="CA5" s="15"/>
    </row>
    <row r="6" spans="1:81" s="1" customFormat="1" ht="142.19999999999999" customHeight="1" x14ac:dyDescent="0.3">
      <c r="A6" s="595"/>
      <c r="B6" s="186" t="s">
        <v>98</v>
      </c>
      <c r="C6" s="184" t="s">
        <v>135</v>
      </c>
      <c r="D6" s="184" t="s">
        <v>192</v>
      </c>
      <c r="E6" s="184" t="s">
        <v>249</v>
      </c>
      <c r="F6" s="184" t="s">
        <v>293</v>
      </c>
      <c r="G6" s="184" t="s">
        <v>328</v>
      </c>
      <c r="H6" s="185" t="s">
        <v>356</v>
      </c>
      <c r="I6" s="391" t="s">
        <v>679</v>
      </c>
      <c r="J6" s="186" t="s">
        <v>99</v>
      </c>
      <c r="K6" s="186" t="s">
        <v>136</v>
      </c>
      <c r="L6" s="186" t="s">
        <v>193</v>
      </c>
      <c r="M6" s="184" t="s">
        <v>250</v>
      </c>
      <c r="N6" s="184" t="s">
        <v>294</v>
      </c>
      <c r="O6" s="153" t="s">
        <v>329</v>
      </c>
      <c r="P6" s="153" t="s">
        <v>357</v>
      </c>
      <c r="Q6" s="153" t="s">
        <v>377</v>
      </c>
      <c r="R6" s="184" t="s">
        <v>393</v>
      </c>
      <c r="S6" s="184" t="s">
        <v>404</v>
      </c>
      <c r="T6" s="184" t="s">
        <v>412</v>
      </c>
      <c r="U6" s="185" t="s">
        <v>420</v>
      </c>
      <c r="V6" s="185" t="s">
        <v>428</v>
      </c>
      <c r="W6" s="185" t="s">
        <v>435</v>
      </c>
      <c r="X6" s="185" t="s">
        <v>441</v>
      </c>
      <c r="Y6" s="185" t="s">
        <v>445</v>
      </c>
      <c r="Z6" s="385" t="s">
        <v>680</v>
      </c>
      <c r="AA6" s="152" t="s">
        <v>100</v>
      </c>
      <c r="AB6" s="153" t="s">
        <v>138</v>
      </c>
      <c r="AC6" s="153" t="s">
        <v>137</v>
      </c>
      <c r="AD6" s="153" t="s">
        <v>251</v>
      </c>
      <c r="AE6" s="153" t="s">
        <v>295</v>
      </c>
      <c r="AF6" s="153" t="s">
        <v>194</v>
      </c>
      <c r="AG6" s="153" t="s">
        <v>358</v>
      </c>
      <c r="AH6" s="153" t="s">
        <v>378</v>
      </c>
      <c r="AI6" s="153" t="s">
        <v>394</v>
      </c>
      <c r="AJ6" s="155" t="s">
        <v>247</v>
      </c>
      <c r="AK6" s="385" t="s">
        <v>681</v>
      </c>
      <c r="AL6" s="157" t="s">
        <v>101</v>
      </c>
      <c r="AM6" s="154" t="s">
        <v>139</v>
      </c>
      <c r="AN6" s="160" t="s">
        <v>195</v>
      </c>
      <c r="AO6" s="385" t="s">
        <v>682</v>
      </c>
      <c r="AP6" s="157" t="s">
        <v>0</v>
      </c>
      <c r="AQ6" s="187" t="s">
        <v>140</v>
      </c>
      <c r="AR6" s="385" t="s">
        <v>683</v>
      </c>
      <c r="AS6" s="188" t="s">
        <v>0</v>
      </c>
      <c r="AT6" s="181" t="s">
        <v>104</v>
      </c>
      <c r="AU6" s="181" t="s">
        <v>196</v>
      </c>
      <c r="AV6" s="181" t="s">
        <v>114</v>
      </c>
      <c r="AW6" s="385" t="s">
        <v>684</v>
      </c>
      <c r="AX6" s="181" t="s">
        <v>102</v>
      </c>
      <c r="AY6" s="181" t="s">
        <v>141</v>
      </c>
      <c r="AZ6" s="181" t="s">
        <v>197</v>
      </c>
      <c r="BA6" s="181" t="s">
        <v>252</v>
      </c>
      <c r="BB6" s="181" t="s">
        <v>296</v>
      </c>
      <c r="BC6" s="181" t="s">
        <v>330</v>
      </c>
      <c r="BD6" s="181" t="s">
        <v>114</v>
      </c>
      <c r="BE6" s="385" t="s">
        <v>685</v>
      </c>
      <c r="BF6" s="189" t="s">
        <v>103</v>
      </c>
      <c r="BG6" s="180" t="s">
        <v>142</v>
      </c>
      <c r="BH6" s="180" t="s">
        <v>198</v>
      </c>
      <c r="BI6" s="180" t="s">
        <v>253</v>
      </c>
      <c r="BJ6" s="180" t="s">
        <v>297</v>
      </c>
      <c r="BK6" s="180" t="s">
        <v>191</v>
      </c>
      <c r="BL6" s="180" t="s">
        <v>114</v>
      </c>
      <c r="BM6" s="385" t="s">
        <v>686</v>
      </c>
      <c r="BN6" s="592"/>
      <c r="BP6" s="15"/>
      <c r="BQ6" s="15"/>
      <c r="BR6" s="300"/>
      <c r="BS6" s="300"/>
      <c r="BT6" s="15"/>
      <c r="BU6" s="15"/>
      <c r="BV6" s="15"/>
      <c r="BW6" s="16"/>
      <c r="BX6" s="15"/>
      <c r="BY6" s="15"/>
      <c r="BZ6" s="15"/>
      <c r="CA6" s="15"/>
    </row>
    <row r="7" spans="1:81" s="1" customFormat="1" ht="16.2" customHeight="1" x14ac:dyDescent="0.3">
      <c r="A7" s="596"/>
      <c r="B7" s="151" t="s">
        <v>687</v>
      </c>
      <c r="C7" s="96" t="s">
        <v>687</v>
      </c>
      <c r="D7" s="96" t="s">
        <v>687</v>
      </c>
      <c r="E7" s="96" t="s">
        <v>687</v>
      </c>
      <c r="F7" s="96" t="s">
        <v>687</v>
      </c>
      <c r="G7" s="96" t="s">
        <v>687</v>
      </c>
      <c r="H7" s="143" t="s">
        <v>687</v>
      </c>
      <c r="I7" s="146" t="s">
        <v>687</v>
      </c>
      <c r="J7" s="92" t="s">
        <v>687</v>
      </c>
      <c r="K7" s="92" t="s">
        <v>687</v>
      </c>
      <c r="L7" s="92" t="s">
        <v>687</v>
      </c>
      <c r="M7" s="92" t="s">
        <v>687</v>
      </c>
      <c r="N7" s="95" t="s">
        <v>687</v>
      </c>
      <c r="O7" s="95" t="s">
        <v>687</v>
      </c>
      <c r="P7" s="95" t="s">
        <v>687</v>
      </c>
      <c r="Q7" s="95" t="s">
        <v>687</v>
      </c>
      <c r="R7" s="95" t="s">
        <v>687</v>
      </c>
      <c r="S7" s="95" t="s">
        <v>687</v>
      </c>
      <c r="T7" s="95" t="s">
        <v>687</v>
      </c>
      <c r="U7" s="95" t="s">
        <v>687</v>
      </c>
      <c r="V7" s="95" t="s">
        <v>687</v>
      </c>
      <c r="W7" s="95" t="s">
        <v>687</v>
      </c>
      <c r="X7" s="95" t="s">
        <v>687</v>
      </c>
      <c r="Y7" s="95" t="s">
        <v>687</v>
      </c>
      <c r="Z7" s="146" t="s">
        <v>687</v>
      </c>
      <c r="AA7" s="151" t="s">
        <v>687</v>
      </c>
      <c r="AB7" s="151" t="s">
        <v>687</v>
      </c>
      <c r="AC7" s="151" t="s">
        <v>687</v>
      </c>
      <c r="AD7" s="151" t="s">
        <v>687</v>
      </c>
      <c r="AE7" s="151" t="s">
        <v>687</v>
      </c>
      <c r="AF7" s="151" t="s">
        <v>687</v>
      </c>
      <c r="AG7" s="151" t="s">
        <v>687</v>
      </c>
      <c r="AH7" s="151" t="s">
        <v>687</v>
      </c>
      <c r="AI7" s="151" t="s">
        <v>687</v>
      </c>
      <c r="AJ7" s="156" t="s">
        <v>687</v>
      </c>
      <c r="AK7" s="161" t="s">
        <v>687</v>
      </c>
      <c r="AL7" s="151" t="s">
        <v>687</v>
      </c>
      <c r="AM7" s="96" t="s">
        <v>687</v>
      </c>
      <c r="AN7" s="143" t="s">
        <v>687</v>
      </c>
      <c r="AO7" s="146" t="s">
        <v>687</v>
      </c>
      <c r="AP7" s="151" t="s">
        <v>687</v>
      </c>
      <c r="AQ7" s="143" t="s">
        <v>687</v>
      </c>
      <c r="AR7" s="146" t="s">
        <v>687</v>
      </c>
      <c r="AS7" s="151" t="s">
        <v>687</v>
      </c>
      <c r="AT7" s="96" t="s">
        <v>687</v>
      </c>
      <c r="AU7" s="143" t="s">
        <v>687</v>
      </c>
      <c r="AV7" s="143" t="s">
        <v>687</v>
      </c>
      <c r="AW7" s="161" t="s">
        <v>687</v>
      </c>
      <c r="AX7" s="151" t="s">
        <v>687</v>
      </c>
      <c r="AY7" s="96" t="s">
        <v>687</v>
      </c>
      <c r="AZ7" s="96" t="s">
        <v>687</v>
      </c>
      <c r="BA7" s="96" t="s">
        <v>687</v>
      </c>
      <c r="BB7" s="96" t="s">
        <v>687</v>
      </c>
      <c r="BC7" s="96" t="s">
        <v>687</v>
      </c>
      <c r="BD7" s="143" t="s">
        <v>687</v>
      </c>
      <c r="BE7" s="161" t="s">
        <v>687</v>
      </c>
      <c r="BF7" s="144" t="s">
        <v>687</v>
      </c>
      <c r="BG7" s="96" t="s">
        <v>687</v>
      </c>
      <c r="BH7" s="96" t="s">
        <v>687</v>
      </c>
      <c r="BI7" s="96" t="s">
        <v>687</v>
      </c>
      <c r="BJ7" s="96" t="s">
        <v>687</v>
      </c>
      <c r="BK7" s="96"/>
      <c r="BL7" s="96" t="s">
        <v>687</v>
      </c>
      <c r="BM7" s="161" t="s">
        <v>687</v>
      </c>
      <c r="BN7" s="593"/>
      <c r="BP7" s="15"/>
      <c r="BQ7" s="15"/>
      <c r="BR7" s="15"/>
      <c r="BS7" s="15"/>
      <c r="BT7" s="15"/>
      <c r="BU7" s="15"/>
      <c r="BV7" s="15"/>
      <c r="BW7" s="16"/>
      <c r="BX7" s="15"/>
      <c r="BY7" s="15"/>
      <c r="BZ7" s="15"/>
      <c r="CA7" s="15"/>
    </row>
    <row r="8" spans="1:81" ht="15" customHeight="1" x14ac:dyDescent="0.35">
      <c r="A8" s="569">
        <v>45748</v>
      </c>
      <c r="B8" s="150">
        <f>SUMPRODUCT((Demographics!$H$7:$H$751=B$6)*(Demographics!$D$7:$D$751&gt;=Lists!$AE2)*(Demographics!$D$7:$D$751&lt;=Lists!$AF2))</f>
        <v>0</v>
      </c>
      <c r="C8" s="162">
        <f>SUMPRODUCT((Demographics!$H$7:$H$751=C$6)*(Demographics!$D$7:$D$751&gt;=Lists!$AE2)*(Demographics!$D$7:$D$751&lt;=Lists!$AF2))</f>
        <v>0</v>
      </c>
      <c r="D8" s="162">
        <f>SUMPRODUCT((Demographics!$H$7:$H$751=D$6)*(Demographics!$D$7:$D$751&gt;=Lists!$AE2)*(Demographics!$D$7:$D$751&lt;=Lists!$AF2))</f>
        <v>0</v>
      </c>
      <c r="E8" s="162">
        <f>SUMPRODUCT((Demographics!$H$7:$H$751=E$6)*(Demographics!$D$7:$D$751&gt;=Lists!$AE2)*(Demographics!$D$7:$D$751&lt;=Lists!$AF2))</f>
        <v>0</v>
      </c>
      <c r="F8" s="162">
        <f>SUMPRODUCT((Demographics!$H$7:$H$751=F$6)*(Demographics!$D$7:$D$751&gt;=Lists!$AE2)*(Demographics!$D$7:$D$751&lt;=Lists!$AF2))</f>
        <v>0</v>
      </c>
      <c r="G8" s="162">
        <f>SUMPRODUCT((Demographics!$H$7:$H$751=G$6)*(Demographics!$D$7:$D$751&gt;=Lists!$AE2)*(Demographics!$D$7:$D$751&lt;=Lists!$AF2))</f>
        <v>0</v>
      </c>
      <c r="H8" s="172">
        <f>SUMPRODUCT((Demographics!$H$7:$H$751=H$6)*(Demographics!$D$7:$D$751&gt;=Lists!$AE2)*(Demographics!$D$7:$D$751&lt;=Lists!$AF2))</f>
        <v>0</v>
      </c>
      <c r="I8" s="145">
        <f>SUM(B8:H8)</f>
        <v>0</v>
      </c>
      <c r="J8" s="158">
        <f>SUMPRODUCT((Demographics!$I$7:$I$751=J$6)*(Demographics!$D$7:$D$751&gt;=Lists!$AE2)*(Demographics!$D$7:$D$751&lt;=Lists!$AF2))</f>
        <v>0</v>
      </c>
      <c r="K8" s="162">
        <f>SUMPRODUCT((Demographics!$I$7:$I$751=K$6)*(Demographics!$D$7:$D$751&gt;=Lists!$AE2)*(Demographics!$D$7:$D$751&lt;=Lists!$AF2))</f>
        <v>0</v>
      </c>
      <c r="L8" s="162">
        <f>SUMPRODUCT((Demographics!$I$7:$I$751=L$6)*(Demographics!$D$7:$D$751&gt;=Lists!$AE2)*(Demographics!$D$7:$D$751&lt;=Lists!$AF2))</f>
        <v>0</v>
      </c>
      <c r="M8" s="162">
        <f>SUMPRODUCT((Demographics!$I$7:$I$751=M$6)*(Demographics!$D$7:$D$751&gt;=Lists!$AE2)*(Demographics!$D$7:$D$751&lt;=Lists!$AF2))</f>
        <v>0</v>
      </c>
      <c r="N8" s="162">
        <f>SUMPRODUCT((Demographics!$I$7:$I$751=N$6)*(Demographics!$D$7:$D$751&gt;=Lists!$AE2)*(Demographics!$D$7:$D$751&lt;=Lists!$AF2))</f>
        <v>0</v>
      </c>
      <c r="O8" s="162">
        <f>SUMPRODUCT((Demographics!$I$7:$I$751=O$6)*(Demographics!$D$7:$D$751&gt;=Lists!$AE2)*(Demographics!$D$7:$D$751&lt;=Lists!$AF2))</f>
        <v>0</v>
      </c>
      <c r="P8" s="162">
        <f>SUMPRODUCT((Demographics!$I$7:$I$751=P$6)*(Demographics!$D$7:$D$751&gt;=Lists!$AE2)*(Demographics!$D$7:$D$751&lt;=Lists!$AF2))</f>
        <v>0</v>
      </c>
      <c r="Q8" s="162">
        <f>SUMPRODUCT((Demographics!$I$7:$I$751=Q$6)*(Demographics!$D$7:$D$751&gt;=Lists!$AE2)*(Demographics!$D$7:$D$751&lt;=Lists!$AF2))</f>
        <v>0</v>
      </c>
      <c r="R8" s="162">
        <f>SUMPRODUCT((Demographics!$I$7:$I$751=R$6)*(Demographics!$D$7:$D$751&gt;=Lists!$AE2)*(Demographics!$D$7:$D$751&lt;=Lists!$AF2))</f>
        <v>0</v>
      </c>
      <c r="S8" s="162">
        <f>SUMPRODUCT((Demographics!$I$7:$I$751=S$6)*(Demographics!$D$7:$D$751&gt;=Lists!$AE2)*(Demographics!$D$7:$D$751&lt;=Lists!$AF2))</f>
        <v>0</v>
      </c>
      <c r="T8" s="162">
        <f>SUMPRODUCT((Demographics!$I$7:$I$751=T$6)*(Demographics!$D$7:$D$751&gt;=Lists!$AE2)*(Demographics!$D$7:$D$751&lt;=Lists!$AF2))</f>
        <v>0</v>
      </c>
      <c r="U8" s="162">
        <f>SUMPRODUCT((Demographics!$I$7:$I$751=U$6)*(Demographics!$D$7:$D$751&gt;=Lists!$AE2)*(Demographics!$D$7:$D$751&lt;=Lists!$AF2))</f>
        <v>0</v>
      </c>
      <c r="V8" s="162">
        <f>SUMPRODUCT((Demographics!$I$7:$I$751=V$6)*(Demographics!$D$7:$D$751&gt;=Lists!$AE2)*(Demographics!$D$7:$D$751&lt;=Lists!$AF2))</f>
        <v>0</v>
      </c>
      <c r="W8" s="162">
        <f>SUMPRODUCT((Demographics!$I$7:$I$751=W$6)*(Demographics!$D$7:$D$751&gt;=Lists!$AE2)*(Demographics!$D$7:$D$751&lt;=Lists!$AF2))</f>
        <v>0</v>
      </c>
      <c r="X8" s="162">
        <f>SUMPRODUCT((Demographics!$I$7:$I$751=X$6)*(Demographics!$D$7:$D$751&gt;=Lists!$AE2)*(Demographics!$D$7:$D$751&lt;=Lists!$AF2))</f>
        <v>0</v>
      </c>
      <c r="Y8" s="163">
        <f>SUMPRODUCT((Demographics!$I$7:$I$751=Y$6)*(Demographics!$D$7:$D$751&gt;=Lists!$AE2)*(Demographics!$D$7:$D$751&lt;=Lists!$AF2))</f>
        <v>0</v>
      </c>
      <c r="Z8" s="145">
        <f>SUM(J8:Y8)</f>
        <v>0</v>
      </c>
      <c r="AA8" s="150">
        <f>SUMPRODUCT((Demographics!$F$7:$F$751=AA$6)*(Demographics!$D$7:$D$751&gt;=Lists!$AE2)*(Demographics!$D$7:$D$751&lt;=Lists!$AF2))</f>
        <v>0</v>
      </c>
      <c r="AB8" s="162">
        <f>SUMPRODUCT((Demographics!$F$7:$F$751=AB$6)*(Demographics!$D$7:$D$751&gt;=Lists!$AE2)*(Demographics!$D$7:$D$751&lt;=Lists!$AF2))</f>
        <v>0</v>
      </c>
      <c r="AC8" s="162">
        <f>SUMPRODUCT((Demographics!$F$7:$F$751=AC$6)*(Demographics!$D$7:$D$751&gt;=Lists!$AE2)*(Demographics!$D$7:$D$751&lt;=Lists!$AF2))</f>
        <v>0</v>
      </c>
      <c r="AD8" s="162">
        <f>SUMPRODUCT((Demographics!$F$7:$F$751=AD$6)*(Demographics!$D$7:$D$751&gt;=Lists!$AE2)*(Demographics!$D$7:$D$751&lt;=Lists!$AF2))</f>
        <v>0</v>
      </c>
      <c r="AE8" s="162">
        <f>SUMPRODUCT((Demographics!$F$7:$F$751=AE$6)*(Demographics!$D$7:$D$751&gt;=Lists!$AE2)*(Demographics!$D$7:$D$751&lt;=Lists!$AF2))</f>
        <v>0</v>
      </c>
      <c r="AF8" s="162">
        <f>SUMPRODUCT((Demographics!$F$7:$F$751=AF$6)*(Demographics!$D$7:$D$751&gt;=Lists!$AE2)*(Demographics!$D$7:$D$751&lt;=Lists!$AF2))</f>
        <v>0</v>
      </c>
      <c r="AG8" s="162">
        <f>SUMPRODUCT((Demographics!$F$7:$F$751=AG$6)*(Demographics!$D$7:$D$751&gt;=Lists!$AE2)*(Demographics!$D$7:$D$751&lt;=Lists!$AF2))</f>
        <v>0</v>
      </c>
      <c r="AH8" s="162">
        <f>SUMPRODUCT((Demographics!$F$7:$F$751=AH$6)*(Demographics!$D$7:$D$751&gt;=Lists!$AE2)*(Demographics!$D$7:$D$751&lt;=Lists!$AF2))</f>
        <v>0</v>
      </c>
      <c r="AI8" s="162">
        <f>SUMPRODUCT((Demographics!$F$7:$F$751=AI$6)*(Demographics!$D$7:$D$751&gt;=Lists!$AE2)*(Demographics!$D$7:$D$751&lt;=Lists!$AF2))</f>
        <v>0</v>
      </c>
      <c r="AJ8" s="172">
        <f>SUMPRODUCT((Demographics!$F$7:$F$751=AJ$6)*(Demographics!$D$7:$D$751&gt;=Lists!$AE2)*(Demographics!$D$7:$D$751&lt;=Lists!$AF2))</f>
        <v>0</v>
      </c>
      <c r="AK8" s="145">
        <f>SUM(AA8:AJ8)</f>
        <v>0</v>
      </c>
      <c r="AL8" s="158">
        <f>SUMPRODUCT((Demographics!$G$7:$G$751=AL$6)*(Demographics!$D$7:$D$751&gt;=Lists!$AE2)*(Demographics!$D$7:$D$751&lt;=Lists!$AF2))</f>
        <v>0</v>
      </c>
      <c r="AM8" s="162">
        <f>SUMPRODUCT((Demographics!$G$7:$G$751=AM$6)*(Demographics!$D$7:$D$751&gt;=Lists!$AE2)*(Demographics!$D$7:$D$751&lt;=Lists!$AF2))</f>
        <v>0</v>
      </c>
      <c r="AN8" s="163">
        <f>SUMPRODUCT((Demographics!$G$7:$G$751=AN$6)*(Demographics!$D$7:$D$751&gt;=Lists!$AE2)*(Demographics!$D$7:$D$751&lt;=Lists!$AF2))</f>
        <v>0</v>
      </c>
      <c r="AO8" s="159">
        <f>SUM(AL8:AN8)</f>
        <v>0</v>
      </c>
      <c r="AP8" s="150">
        <f>SUMPRODUCT((Demographics!$J$7:$J$751=AP$6)*(Demographics!$D$7:$D$751&gt;=Lists!$AE2)*(Demographics!$D$7:$D$751&lt;=Lists!$AF2))</f>
        <v>0</v>
      </c>
      <c r="AQ8" s="172">
        <f>SUMPRODUCT((Demographics!$J$7:$J$751=AQ$6)*(Demographics!$D$7:$D$751&gt;=Lists!$AE2)*(Demographics!$D$7:$D$751&lt;=Lists!$AF2))</f>
        <v>0</v>
      </c>
      <c r="AR8" s="159">
        <f>SUM(AP8:AQ8)</f>
        <v>0</v>
      </c>
      <c r="AS8" s="158">
        <f>SUMPRODUCT((Demographics!$K$7:$K$751=AS$6)*(Demographics!$D$7:$D$751&gt;=Lists!$AE2)*(Demographics!$D$7:$D$751&lt;=Lists!$AF2))</f>
        <v>0</v>
      </c>
      <c r="AT8" s="162">
        <f>SUMPRODUCT((Demographics!$K$7:$K$751=AT$6)*(Demographics!$D$7:$D$751&gt;=Lists!$AE2)*(Demographics!$D$7:$D$751&lt;=Lists!$AF2))</f>
        <v>0</v>
      </c>
      <c r="AU8" s="162">
        <f>SUMPRODUCT((Demographics!$K$7:$K$751=AU$6)*(Demographics!$D$7:$D$751&gt;=Lists!$AE2)*(Demographics!$D$7:$D$751&lt;=Lists!$AF2))</f>
        <v>0</v>
      </c>
      <c r="AV8" s="163">
        <f>SUMPRODUCT((Demographics!$K$7:$K$751=AV$6)*(Demographics!$D$7:$D$751&gt;=Lists!$AE2)*(Demographics!$D$7:$D$751&lt;=Lists!$AF2))</f>
        <v>0</v>
      </c>
      <c r="AW8" s="159">
        <f>SUM(AS8:AV8)</f>
        <v>0</v>
      </c>
      <c r="AX8" s="158">
        <f>SUMPRODUCT((Demographics!$M$7:$M$751=AX$6)*(Demographics!$D$7:$D$751&gt;=Lists!$AE2)*(Demographics!$D$7:$D$751&lt;=Lists!$AF2))</f>
        <v>0</v>
      </c>
      <c r="AY8" s="162">
        <f>SUMPRODUCT((Demographics!$M$7:$M$751=AY$6)*(Demographics!$D$7:$D$751&gt;=Lists!$AE2)*(Demographics!$D$7:$D$751&lt;=Lists!$AF2))</f>
        <v>0</v>
      </c>
      <c r="AZ8" s="162">
        <f>SUMPRODUCT((Demographics!$M$7:$M$751=AZ$6)*(Demographics!$D$7:$D$751&gt;=Lists!$AE2)*(Demographics!$D$7:$D$751&lt;=Lists!$AF2))</f>
        <v>0</v>
      </c>
      <c r="BA8" s="162">
        <f>SUMPRODUCT((Demographics!$M$7:$M$751=BA$6)*(Demographics!$D$7:$D$751&gt;=Lists!$AE2)*(Demographics!$D$7:$D$751&lt;=Lists!$AF2))</f>
        <v>0</v>
      </c>
      <c r="BB8" s="162">
        <f>SUMPRODUCT((Demographics!$M$7:$M$751=BB$6)*(Demographics!$D$7:$D$751&gt;=Lists!$AE2)*(Demographics!$D$7:$D$751&lt;=Lists!$AF2))</f>
        <v>0</v>
      </c>
      <c r="BC8" s="162">
        <f>SUMPRODUCT((Demographics!$M$7:$M$751=BC$6)*(Demographics!$D$7:$D$751&gt;=Lists!$AE2)*(Demographics!$D$7:$D$751&lt;=Lists!$AF2))</f>
        <v>0</v>
      </c>
      <c r="BD8" s="163">
        <f>SUMPRODUCT((Demographics!$M$7:$M$751=BD$6)*(Demographics!$D$7:$D$751&gt;=Lists!$AE2)*(Demographics!$D$7:$D$751&lt;=Lists!$AF2))</f>
        <v>0</v>
      </c>
      <c r="BE8" s="159">
        <f>SUM(AX8:BD8)</f>
        <v>0</v>
      </c>
      <c r="BF8" s="158">
        <f>SUMPRODUCT((Demographics!$N$7:$N$751=BF$6)*(Demographics!$D$7:$D$751&gt;=Lists!$AE2)*(Demographics!$D$7:$D$751&lt;=Lists!$AF2))</f>
        <v>0</v>
      </c>
      <c r="BG8" s="162">
        <f>SUMPRODUCT((Demographics!$N$7:$N$751=BG$6)*(Demographics!$D$7:$D$751&gt;=Lists!$AE2)*(Demographics!$D$7:$D$751&lt;=Lists!$AF2))</f>
        <v>0</v>
      </c>
      <c r="BH8" s="162">
        <f>SUMPRODUCT((Demographics!$N$7:$N$751=BH$6)*(Demographics!$D$7:$D$751&gt;=Lists!$AE2)*(Demographics!$D$7:$D$751&lt;=Lists!$AF2))</f>
        <v>0</v>
      </c>
      <c r="BI8" s="162">
        <f>SUMPRODUCT((Demographics!$N$7:$N$751=BI$6)*(Demographics!$D$7:$D$751&gt;=Lists!$AE2)*(Demographics!$D$7:$D$751&lt;=Lists!$AF2))</f>
        <v>0</v>
      </c>
      <c r="BJ8" s="162">
        <f>SUMPRODUCT((Demographics!$N$7:$N$751=BJ$6)*(Demographics!$D$7:$D$751&gt;=Lists!$AE2)*(Demographics!$D$7:$D$751&lt;=Lists!$AF2))</f>
        <v>0</v>
      </c>
      <c r="BK8" s="163">
        <f>SUMPRODUCT((Demographics!$N$7:$N$751=BK$6)*(Demographics!$D$7:$D$751&gt;=Lists!$AE2)*(Demographics!$D$7:$D$751&lt;=Lists!$AF2))</f>
        <v>0</v>
      </c>
      <c r="BL8" s="163">
        <f>SUMPRODUCT((Demographics!$N$7:$N$751=BL$6)*(Demographics!$D$7:$D$751&gt;=Lists!$AE2)*(Demographics!$D$7:$D$751&lt;=Lists!$AF2))</f>
        <v>0</v>
      </c>
      <c r="BM8" s="159">
        <f>SUM(BF8:BL8)</f>
        <v>0</v>
      </c>
      <c r="BN8" s="534">
        <f>SUM(I8,Z8,AK8,AO8,AR8,AW8,BE8,BM8)</f>
        <v>0</v>
      </c>
      <c r="BP8" s="15"/>
      <c r="BQ8" s="15"/>
      <c r="BR8" s="15"/>
      <c r="BS8" s="15"/>
      <c r="BT8" s="15"/>
      <c r="BU8" s="15"/>
      <c r="BV8" s="15"/>
      <c r="BW8" s="16"/>
      <c r="BX8" s="15"/>
      <c r="BY8" s="15"/>
      <c r="BZ8" s="15"/>
      <c r="CA8" s="15"/>
    </row>
    <row r="9" spans="1:81" ht="15" customHeight="1" x14ac:dyDescent="0.35">
      <c r="A9" s="570">
        <v>45778</v>
      </c>
      <c r="B9" s="175">
        <f>SUMPRODUCT((Demographics!$H$7:$H$751=B$6)*(Demographics!$D$7:$D$751&gt;=Lists!$AE3)*(Demographics!$D$7:$D$751&lt;=Lists!$AF3))</f>
        <v>0</v>
      </c>
      <c r="C9" s="165">
        <f>SUMPRODUCT((Demographics!$H$7:$H$751=C$6)*(Demographics!$D$7:$D$751&gt;=Lists!$AE3)*(Demographics!$D$7:$D$751&lt;=Lists!$AF3))</f>
        <v>0</v>
      </c>
      <c r="D9" s="165">
        <f>SUMPRODUCT((Demographics!$H$7:$H$751=D$6)*(Demographics!$D$7:$D$751&gt;=Lists!$AE3)*(Demographics!$D$7:$D$751&lt;=Lists!$AF3))</f>
        <v>0</v>
      </c>
      <c r="E9" s="165">
        <f>SUMPRODUCT((Demographics!$H$7:$H$751=E$6)*(Demographics!$D$7:$D$751&gt;=Lists!$AE3)*(Demographics!$D$7:$D$751&lt;=Lists!$AF3))</f>
        <v>0</v>
      </c>
      <c r="F9" s="165">
        <f>SUMPRODUCT((Demographics!$H$7:$H$751=F$6)*(Demographics!$D$7:$D$751&gt;=Lists!$AE3)*(Demographics!$D$7:$D$751&lt;=Lists!$AF3))</f>
        <v>0</v>
      </c>
      <c r="G9" s="165">
        <f>SUMPRODUCT((Demographics!$H$7:$H$751=G$6)*(Demographics!$D$7:$D$751&gt;=Lists!$AE3)*(Demographics!$D$7:$D$751&lt;=Lists!$AF3))</f>
        <v>0</v>
      </c>
      <c r="H9" s="173">
        <f>SUMPRODUCT((Demographics!$H$7:$H$751=H$6)*(Demographics!$D$7:$D$751&gt;=Lists!$AE3)*(Demographics!$D$7:$D$751&lt;=Lists!$AF3))</f>
        <v>0</v>
      </c>
      <c r="I9" s="170">
        <f t="shared" ref="I9:I19" si="0">SUM(B9:H9)</f>
        <v>0</v>
      </c>
      <c r="J9" s="164">
        <f>SUMPRODUCT((Demographics!$I$7:$I$751=J$6)*(Demographics!$D$7:$D$751&gt;=Lists!$AE3)*(Demographics!$D$7:$D$751&lt;=Lists!$AF3))</f>
        <v>0</v>
      </c>
      <c r="K9" s="165">
        <f>SUMPRODUCT((Demographics!$I$7:$I$751=K$6)*(Demographics!$D$7:$D$751&gt;=Lists!$AE3)*(Demographics!$D$7:$D$751&lt;=Lists!$AF3))</f>
        <v>0</v>
      </c>
      <c r="L9" s="165">
        <f>SUMPRODUCT((Demographics!$I$7:$I$751=L$6)*(Demographics!$D$7:$D$751&gt;=Lists!$AE3)*(Demographics!$D$7:$D$751&lt;=Lists!$AF3))</f>
        <v>0</v>
      </c>
      <c r="M9" s="165">
        <f>SUMPRODUCT((Demographics!$I$7:$I$751=M$6)*(Demographics!$D$7:$D$751&gt;=Lists!$AE3)*(Demographics!$D$7:$D$751&lt;=Lists!$AF3))</f>
        <v>0</v>
      </c>
      <c r="N9" s="165">
        <f>SUMPRODUCT((Demographics!$I$7:$I$751=N$6)*(Demographics!$D$7:$D$751&gt;=Lists!$AE3)*(Demographics!$D$7:$D$751&lt;=Lists!$AF3))</f>
        <v>0</v>
      </c>
      <c r="O9" s="165">
        <f>SUMPRODUCT((Demographics!$I$7:$I$751=O$6)*(Demographics!$D$7:$D$751&gt;=Lists!$AE3)*(Demographics!$D$7:$D$751&lt;=Lists!$AF3))</f>
        <v>0</v>
      </c>
      <c r="P9" s="165">
        <f>SUMPRODUCT((Demographics!$I$7:$I$751=P$6)*(Demographics!$D$7:$D$751&gt;=Lists!$AE3)*(Demographics!$D$7:$D$751&lt;=Lists!$AF3))</f>
        <v>0</v>
      </c>
      <c r="Q9" s="165">
        <f>SUMPRODUCT((Demographics!$I$7:$I$751=Q$6)*(Demographics!$D$7:$D$751&gt;=Lists!$AE3)*(Demographics!$D$7:$D$751&lt;=Lists!$AF3))</f>
        <v>0</v>
      </c>
      <c r="R9" s="165">
        <f>SUMPRODUCT((Demographics!$I$7:$I$751=R$6)*(Demographics!$D$7:$D$751&gt;=Lists!$AE3)*(Demographics!$D$7:$D$751&lt;=Lists!$AF3))</f>
        <v>0</v>
      </c>
      <c r="S9" s="165">
        <f>SUMPRODUCT((Demographics!$I$7:$I$751=S$6)*(Demographics!$D$7:$D$751&gt;=Lists!$AE3)*(Demographics!$D$7:$D$751&lt;=Lists!$AF3))</f>
        <v>0</v>
      </c>
      <c r="T9" s="165">
        <f>SUMPRODUCT((Demographics!$I$7:$I$751=T$6)*(Demographics!$D$7:$D$751&gt;=Lists!$AE3)*(Demographics!$D$7:$D$751&lt;=Lists!$AF3))</f>
        <v>0</v>
      </c>
      <c r="U9" s="165">
        <f>SUMPRODUCT((Demographics!$I$7:$I$751=U$6)*(Demographics!$D$7:$D$751&gt;=Lists!$AE3)*(Demographics!$D$7:$D$751&lt;=Lists!$AF3))</f>
        <v>0</v>
      </c>
      <c r="V9" s="165">
        <f>SUMPRODUCT((Demographics!$I$7:$I$751=V$6)*(Demographics!$D$7:$D$751&gt;=Lists!$AE3)*(Demographics!$D$7:$D$751&lt;=Lists!$AF3))</f>
        <v>0</v>
      </c>
      <c r="W9" s="165">
        <f>SUMPRODUCT((Demographics!$I$7:$I$751=W$6)*(Demographics!$D$7:$D$751&gt;=Lists!$AE3)*(Demographics!$D$7:$D$751&lt;=Lists!$AF3))</f>
        <v>0</v>
      </c>
      <c r="X9" s="165">
        <f>SUMPRODUCT((Demographics!$I$7:$I$751=X$6)*(Demographics!$D$7:$D$751&gt;=Lists!$AE3)*(Demographics!$D$7:$D$751&lt;=Lists!$AF3))</f>
        <v>0</v>
      </c>
      <c r="Y9" s="166">
        <f>SUMPRODUCT((Demographics!$I$7:$I$751=Y$6)*(Demographics!$D$7:$D$751&gt;=Lists!$AE3)*(Demographics!$D$7:$D$751&lt;=Lists!$AF3))</f>
        <v>0</v>
      </c>
      <c r="Z9" s="145">
        <f t="shared" ref="Z9:Z19" si="1">SUM(J9:Y9)</f>
        <v>0</v>
      </c>
      <c r="AA9" s="175">
        <f>SUMPRODUCT((Demographics!$F$7:$F$751=AA$6)*(Demographics!$D$7:$D$751&gt;=Lists!$AE3)*(Demographics!$D$7:$D$751&lt;=Lists!$AF3))</f>
        <v>0</v>
      </c>
      <c r="AB9" s="165">
        <f>SUMPRODUCT((Demographics!$F$7:$F$751=AB$6)*(Demographics!$D$7:$D$751&gt;=Lists!$AE3)*(Demographics!$D$7:$D$751&lt;=Lists!$AF3))</f>
        <v>0</v>
      </c>
      <c r="AC9" s="165">
        <f>SUMPRODUCT((Demographics!$F$7:$F$751=AC$6)*(Demographics!$D$7:$D$751&gt;=Lists!$AE3)*(Demographics!$D$7:$D$751&lt;=Lists!$AF3))</f>
        <v>0</v>
      </c>
      <c r="AD9" s="165">
        <f>SUMPRODUCT((Demographics!$F$7:$F$751=AD$6)*(Demographics!$D$7:$D$751&gt;=Lists!$AE3)*(Demographics!$D$7:$D$751&lt;=Lists!$AF3))</f>
        <v>0</v>
      </c>
      <c r="AE9" s="165">
        <f>SUMPRODUCT((Demographics!$F$7:$F$751=AE$6)*(Demographics!$D$7:$D$751&gt;=Lists!$AE3)*(Demographics!$D$7:$D$751&lt;=Lists!$AF3))</f>
        <v>0</v>
      </c>
      <c r="AF9" s="165">
        <f>SUMPRODUCT((Demographics!$F$7:$F$751=AF$6)*(Demographics!$D$7:$D$751&gt;=Lists!$AE3)*(Demographics!$D$7:$D$751&lt;=Lists!$AF3))</f>
        <v>0</v>
      </c>
      <c r="AG9" s="165">
        <f>SUMPRODUCT((Demographics!$F$7:$F$751=AG$6)*(Demographics!$D$7:$D$751&gt;=Lists!$AE3)*(Demographics!$D$7:$D$751&lt;=Lists!$AF3))</f>
        <v>0</v>
      </c>
      <c r="AH9" s="165">
        <f>SUMPRODUCT((Demographics!$F$7:$F$751=AH$6)*(Demographics!$D$7:$D$751&gt;=Lists!$AE3)*(Demographics!$D$7:$D$751&lt;=Lists!$AF3))</f>
        <v>0</v>
      </c>
      <c r="AI9" s="165">
        <f>SUMPRODUCT((Demographics!$F$7:$F$751=AI$6)*(Demographics!$D$7:$D$751&gt;=Lists!$AE3)*(Demographics!$D$7:$D$751&lt;=Lists!$AF3))</f>
        <v>0</v>
      </c>
      <c r="AJ9" s="173">
        <f>SUMPRODUCT((Demographics!$F$7:$F$751=AJ$6)*(Demographics!$D$7:$D$751&gt;=Lists!$AE3)*(Demographics!$D$7:$D$751&lt;=Lists!$AF3))</f>
        <v>0</v>
      </c>
      <c r="AK9" s="145">
        <f t="shared" ref="AK9:AK19" si="2">SUM(AA9:AJ9)</f>
        <v>0</v>
      </c>
      <c r="AL9" s="164">
        <f>SUMPRODUCT((Demographics!$G$7:$G$751=AL$6)*(Demographics!$D$7:$D$751&gt;=Lists!$AE3)*(Demographics!$D$7:$D$751&lt;=Lists!$AF3))</f>
        <v>0</v>
      </c>
      <c r="AM9" s="165">
        <f>SUMPRODUCT((Demographics!$G$7:$G$751=AM$6)*(Demographics!$D$7:$D$751&gt;=Lists!$AE3)*(Demographics!$D$7:$D$751&lt;=Lists!$AF3))</f>
        <v>0</v>
      </c>
      <c r="AN9" s="166">
        <f>SUMPRODUCT((Demographics!$G$7:$G$751=AN$6)*(Demographics!$D$7:$D$751&gt;=Lists!$AE3)*(Demographics!$D$7:$D$751&lt;=Lists!$AF3))</f>
        <v>0</v>
      </c>
      <c r="AO9" s="178">
        <f t="shared" ref="AO9:AO19" si="3">SUM(AL9:AN9)</f>
        <v>0</v>
      </c>
      <c r="AP9" s="175">
        <f>SUMPRODUCT((Demographics!$J$7:$J$751=AP$6)*(Demographics!$D$7:$D$751&gt;=Lists!$AE3)*(Demographics!$D$7:$D$751&lt;=Lists!$AF3))</f>
        <v>0</v>
      </c>
      <c r="AQ9" s="173">
        <f>SUMPRODUCT((Demographics!$J$7:$J$751=AQ$6)*(Demographics!$D$7:$D$751&gt;=Lists!$AE3)*(Demographics!$D$7:$D$751&lt;=Lists!$AF3))</f>
        <v>0</v>
      </c>
      <c r="AR9" s="178">
        <f t="shared" ref="AR9:AR19" si="4">SUM(AP9:AQ9)</f>
        <v>0</v>
      </c>
      <c r="AS9" s="164">
        <f>SUMPRODUCT((Demographics!$K$7:$K$751=AS$6)*(Demographics!$D$7:$D$751&gt;=Lists!$AE3)*(Demographics!$D$7:$D$751&lt;=Lists!$AF3))</f>
        <v>0</v>
      </c>
      <c r="AT9" s="165">
        <f>SUMPRODUCT((Demographics!$K$7:$K$751=AT$6)*(Demographics!$D$7:$D$751&gt;=Lists!$AE3)*(Demographics!$D$7:$D$751&lt;=Lists!$AF3))</f>
        <v>0</v>
      </c>
      <c r="AU9" s="165">
        <f>SUMPRODUCT((Demographics!$K$7:$K$751=AU$6)*(Demographics!$D$7:$D$751&gt;=Lists!$AE3)*(Demographics!$D$7:$D$751&lt;=Lists!$AF3))</f>
        <v>0</v>
      </c>
      <c r="AV9" s="166">
        <f>SUMPRODUCT((Demographics!$K$7:$K$751=AV$6)*(Demographics!$D$7:$D$751&gt;=Lists!$AE3)*(Demographics!$D$7:$D$751&lt;=Lists!$AF3))</f>
        <v>0</v>
      </c>
      <c r="AW9" s="159">
        <f t="shared" ref="AW9:AW19" si="5">SUM(AS9:AV9)</f>
        <v>0</v>
      </c>
      <c r="AX9" s="164">
        <f>SUMPRODUCT((Demographics!$M$7:$M$751=AX$6)*(Demographics!$D$7:$D$751&gt;=Lists!$AE3)*(Demographics!$D$7:$D$751&lt;=Lists!$AF3))</f>
        <v>0</v>
      </c>
      <c r="AY9" s="165">
        <f>SUMPRODUCT((Demographics!$M$7:$M$751=AY$6)*(Demographics!$D$7:$D$751&gt;=Lists!$AE3)*(Demographics!$D$7:$D$751&lt;=Lists!$AF3))</f>
        <v>0</v>
      </c>
      <c r="AZ9" s="165">
        <f>SUMPRODUCT((Demographics!$M$7:$M$751=AZ$6)*(Demographics!$D$7:$D$751&gt;=Lists!$AE3)*(Demographics!$D$7:$D$751&lt;=Lists!$AF3))</f>
        <v>0</v>
      </c>
      <c r="BA9" s="165">
        <f>SUMPRODUCT((Demographics!$M$7:$M$751=BA$6)*(Demographics!$D$7:$D$751&gt;=Lists!$AE3)*(Demographics!$D$7:$D$751&lt;=Lists!$AF3))</f>
        <v>0</v>
      </c>
      <c r="BB9" s="165">
        <f>SUMPRODUCT((Demographics!$M$7:$M$751=BB$6)*(Demographics!$D$7:$D$751&gt;=Lists!$AE3)*(Demographics!$D$7:$D$751&lt;=Lists!$AF3))</f>
        <v>0</v>
      </c>
      <c r="BC9" s="165">
        <f>SUMPRODUCT((Demographics!$M$7:$M$751=BC$6)*(Demographics!$D$7:$D$751&gt;=Lists!$AE3)*(Demographics!$D$7:$D$751&lt;=Lists!$AF3))</f>
        <v>0</v>
      </c>
      <c r="BD9" s="166">
        <f>SUMPRODUCT((Demographics!$M$7:$M$751=BD$6)*(Demographics!$D$7:$D$751&gt;=Lists!$AE3)*(Demographics!$D$7:$D$751&lt;=Lists!$AF3))</f>
        <v>0</v>
      </c>
      <c r="BE9" s="178">
        <f t="shared" ref="BE9:BE19" si="6">SUM(AX9:BD9)</f>
        <v>0</v>
      </c>
      <c r="BF9" s="164">
        <f>SUMPRODUCT((Demographics!$N$7:$N$751=BF$6)*(Demographics!$D$7:$D$751&gt;=Lists!$AE3)*(Demographics!$D$7:$D$751&lt;=Lists!$AF3))</f>
        <v>0</v>
      </c>
      <c r="BG9" s="165">
        <f>SUMPRODUCT((Demographics!$N$7:$N$751=BG$6)*(Demographics!$D$7:$D$751&gt;=Lists!$AE3)*(Demographics!$D$7:$D$751&lt;=Lists!$AF3))</f>
        <v>0</v>
      </c>
      <c r="BH9" s="165">
        <f>SUMPRODUCT((Demographics!$N$7:$N$751=BH$6)*(Demographics!$D$7:$D$751&gt;=Lists!$AE3)*(Demographics!$D$7:$D$751&lt;=Lists!$AF3))</f>
        <v>0</v>
      </c>
      <c r="BI9" s="165">
        <f>SUMPRODUCT((Demographics!$N$7:$N$751=BI$6)*(Demographics!$D$7:$D$751&gt;=Lists!$AE3)*(Demographics!$D$7:$D$751&lt;=Lists!$AF3))</f>
        <v>0</v>
      </c>
      <c r="BJ9" s="165">
        <f>SUMPRODUCT((Demographics!$N$7:$N$751=BJ$6)*(Demographics!$D$7:$D$751&gt;=Lists!$AE3)*(Demographics!$D$7:$D$751&lt;=Lists!$AF3))</f>
        <v>0</v>
      </c>
      <c r="BK9" s="166">
        <f>SUMPRODUCT((Demographics!$N$7:$N$751=BK$6)*(Demographics!$D$7:$D$751&gt;=Lists!$AE3)*(Demographics!$D$7:$D$751&lt;=Lists!$AF3))</f>
        <v>0</v>
      </c>
      <c r="BL9" s="166">
        <f>SUMPRODUCT((Demographics!$N$7:$N$751=BL$6)*(Demographics!$D$7:$D$751&gt;=Lists!$AE3)*(Demographics!$D$7:$D$751&lt;=Lists!$AF3))</f>
        <v>0</v>
      </c>
      <c r="BM9" s="159">
        <f t="shared" ref="BM9:BM19" si="7">SUM(BF9:BL9)</f>
        <v>0</v>
      </c>
      <c r="BN9" s="534">
        <f t="shared" ref="BN9:BN19" si="8">SUM(I9,Z9,AK9,AO9,AR9,AW9,BE9,BM9)</f>
        <v>0</v>
      </c>
      <c r="BP9" s="15"/>
      <c r="BQ9" s="15"/>
      <c r="BR9" s="15"/>
      <c r="BS9" s="15"/>
      <c r="BT9" s="15"/>
      <c r="BU9" s="15"/>
      <c r="BV9" s="15"/>
      <c r="BW9" s="16"/>
      <c r="BX9" s="15"/>
      <c r="BY9" s="15"/>
      <c r="BZ9" s="15"/>
      <c r="CA9" s="15"/>
    </row>
    <row r="10" spans="1:81" ht="15" customHeight="1" x14ac:dyDescent="0.35">
      <c r="A10" s="570">
        <v>45809</v>
      </c>
      <c r="B10" s="175">
        <f>SUMPRODUCT((Demographics!$H$7:$H$751=B$6)*(Demographics!$D$7:$D$751&gt;=Lists!$AE4)*(Demographics!$D$7:$D$751&lt;=Lists!$AF4))</f>
        <v>0</v>
      </c>
      <c r="C10" s="165">
        <f>SUMPRODUCT((Demographics!$H$7:$H$751=C$6)*(Demographics!$D$7:$D$751&gt;=Lists!$AE4)*(Demographics!$D$7:$D$751&lt;=Lists!$AF4))</f>
        <v>0</v>
      </c>
      <c r="D10" s="165">
        <f>SUMPRODUCT((Demographics!$H$7:$H$751=D$6)*(Demographics!$D$7:$D$751&gt;=Lists!$AE4)*(Demographics!$D$7:$D$751&lt;=Lists!$AF4))</f>
        <v>0</v>
      </c>
      <c r="E10" s="165">
        <f>SUMPRODUCT((Demographics!$H$7:$H$751=E$6)*(Demographics!$D$7:$D$751&gt;=Lists!$AE4)*(Demographics!$D$7:$D$751&lt;=Lists!$AF4))</f>
        <v>0</v>
      </c>
      <c r="F10" s="165">
        <f>SUMPRODUCT((Demographics!$H$7:$H$751=F$6)*(Demographics!$D$7:$D$751&gt;=Lists!$AE4)*(Demographics!$D$7:$D$751&lt;=Lists!$AF4))</f>
        <v>0</v>
      </c>
      <c r="G10" s="165">
        <f>SUMPRODUCT((Demographics!$H$7:$H$751=G$6)*(Demographics!$D$7:$D$751&gt;=Lists!$AE4)*(Demographics!$D$7:$D$751&lt;=Lists!$AF4))</f>
        <v>0</v>
      </c>
      <c r="H10" s="173">
        <f>SUMPRODUCT((Demographics!$H$7:$H$751=H$6)*(Demographics!$D$7:$D$751&gt;=Lists!$AE4)*(Demographics!$D$7:$D$751&lt;=Lists!$AF4))</f>
        <v>0</v>
      </c>
      <c r="I10" s="170">
        <f t="shared" si="0"/>
        <v>0</v>
      </c>
      <c r="J10" s="164">
        <f>SUMPRODUCT((Demographics!$I$7:$I$751=J$6)*(Demographics!$D$7:$D$751&gt;=Lists!$AE4)*(Demographics!$D$7:$D$751&lt;=Lists!$AF4))</f>
        <v>0</v>
      </c>
      <c r="K10" s="165">
        <f>SUMPRODUCT((Demographics!$I$7:$I$751=K$6)*(Demographics!$D$7:$D$751&gt;=Lists!$AE4)*(Demographics!$D$7:$D$751&lt;=Lists!$AF4))</f>
        <v>0</v>
      </c>
      <c r="L10" s="165">
        <f>SUMPRODUCT((Demographics!$I$7:$I$751=L$6)*(Demographics!$D$7:$D$751&gt;=Lists!$AE4)*(Demographics!$D$7:$D$751&lt;=Lists!$AF4))</f>
        <v>0</v>
      </c>
      <c r="M10" s="165">
        <f>SUMPRODUCT((Demographics!$I$7:$I$751=M$6)*(Demographics!$D$7:$D$751&gt;=Lists!$AE4)*(Demographics!$D$7:$D$751&lt;=Lists!$AF4))</f>
        <v>0</v>
      </c>
      <c r="N10" s="165">
        <f>SUMPRODUCT((Demographics!$I$7:$I$751=N$6)*(Demographics!$D$7:$D$751&gt;=Lists!$AE4)*(Demographics!$D$7:$D$751&lt;=Lists!$AF4))</f>
        <v>0</v>
      </c>
      <c r="O10" s="165">
        <f>SUMPRODUCT((Demographics!$I$7:$I$751=O$6)*(Demographics!$D$7:$D$751&gt;=Lists!$AE4)*(Demographics!$D$7:$D$751&lt;=Lists!$AF4))</f>
        <v>0</v>
      </c>
      <c r="P10" s="165">
        <f>SUMPRODUCT((Demographics!$I$7:$I$751=P$6)*(Demographics!$D$7:$D$751&gt;=Lists!$AE4)*(Demographics!$D$7:$D$751&lt;=Lists!$AF4))</f>
        <v>0</v>
      </c>
      <c r="Q10" s="165">
        <f>SUMPRODUCT((Demographics!$I$7:$I$751=Q$6)*(Demographics!$D$7:$D$751&gt;=Lists!$AE4)*(Demographics!$D$7:$D$751&lt;=Lists!$AF4))</f>
        <v>0</v>
      </c>
      <c r="R10" s="165">
        <f>SUMPRODUCT((Demographics!$I$7:$I$751=R$6)*(Demographics!$D$7:$D$751&gt;=Lists!$AE4)*(Demographics!$D$7:$D$751&lt;=Lists!$AF4))</f>
        <v>0</v>
      </c>
      <c r="S10" s="165">
        <f>SUMPRODUCT((Demographics!$I$7:$I$751=S$6)*(Demographics!$D$7:$D$751&gt;=Lists!$AE4)*(Demographics!$D$7:$D$751&lt;=Lists!$AF4))</f>
        <v>0</v>
      </c>
      <c r="T10" s="165">
        <f>SUMPRODUCT((Demographics!$I$7:$I$751=T$6)*(Demographics!$D$7:$D$751&gt;=Lists!$AE4)*(Demographics!$D$7:$D$751&lt;=Lists!$AF4))</f>
        <v>0</v>
      </c>
      <c r="U10" s="165">
        <f>SUMPRODUCT((Demographics!$I$7:$I$751=U$6)*(Demographics!$D$7:$D$751&gt;=Lists!$AE4)*(Demographics!$D$7:$D$751&lt;=Lists!$AF4))</f>
        <v>0</v>
      </c>
      <c r="V10" s="165">
        <f>SUMPRODUCT((Demographics!$I$7:$I$751=V$6)*(Demographics!$D$7:$D$751&gt;=Lists!$AE4)*(Demographics!$D$7:$D$751&lt;=Lists!$AF4))</f>
        <v>0</v>
      </c>
      <c r="W10" s="165">
        <f>SUMPRODUCT((Demographics!$I$7:$I$751=W$6)*(Demographics!$D$7:$D$751&gt;=Lists!$AE4)*(Demographics!$D$7:$D$751&lt;=Lists!$AF4))</f>
        <v>0</v>
      </c>
      <c r="X10" s="165">
        <f>SUMPRODUCT((Demographics!$I$7:$I$751=X$6)*(Demographics!$D$7:$D$751&gt;=Lists!$AE4)*(Demographics!$D$7:$D$751&lt;=Lists!$AF4))</f>
        <v>0</v>
      </c>
      <c r="Y10" s="166">
        <f>SUMPRODUCT((Demographics!$I$7:$I$751=Y$6)*(Demographics!$D$7:$D$751&gt;=Lists!$AE4)*(Demographics!$D$7:$D$751&lt;=Lists!$AF4))</f>
        <v>0</v>
      </c>
      <c r="Z10" s="145">
        <f t="shared" si="1"/>
        <v>0</v>
      </c>
      <c r="AA10" s="175">
        <f>SUMPRODUCT((Demographics!$F$7:$F$751=AA$6)*(Demographics!$D$7:$D$751&gt;=Lists!$AE4)*(Demographics!$D$7:$D$751&lt;=Lists!$AF4))</f>
        <v>0</v>
      </c>
      <c r="AB10" s="165">
        <f>SUMPRODUCT((Demographics!$F$7:$F$751=AB$6)*(Demographics!$D$7:$D$751&gt;=Lists!$AE4)*(Demographics!$D$7:$D$751&lt;=Lists!$AF4))</f>
        <v>0</v>
      </c>
      <c r="AC10" s="165">
        <f>SUMPRODUCT((Demographics!$F$7:$F$751=AC$6)*(Demographics!$D$7:$D$751&gt;=Lists!$AE4)*(Demographics!$D$7:$D$751&lt;=Lists!$AF4))</f>
        <v>0</v>
      </c>
      <c r="AD10" s="165">
        <f>SUMPRODUCT((Demographics!$F$7:$F$751=AD$6)*(Demographics!$D$7:$D$751&gt;=Lists!$AE4)*(Demographics!$D$7:$D$751&lt;=Lists!$AF4))</f>
        <v>0</v>
      </c>
      <c r="AE10" s="165">
        <f>SUMPRODUCT((Demographics!$F$7:$F$751=AE$6)*(Demographics!$D$7:$D$751&gt;=Lists!$AE4)*(Demographics!$D$7:$D$751&lt;=Lists!$AF4))</f>
        <v>0</v>
      </c>
      <c r="AF10" s="165">
        <f>SUMPRODUCT((Demographics!$F$7:$F$751=AF$6)*(Demographics!$D$7:$D$751&gt;=Lists!$AE4)*(Demographics!$D$7:$D$751&lt;=Lists!$AF4))</f>
        <v>0</v>
      </c>
      <c r="AG10" s="165">
        <f>SUMPRODUCT((Demographics!$F$7:$F$751=AG$6)*(Demographics!$D$7:$D$751&gt;=Lists!$AE4)*(Demographics!$D$7:$D$751&lt;=Lists!$AF4))</f>
        <v>0</v>
      </c>
      <c r="AH10" s="165">
        <f>SUMPRODUCT((Demographics!$F$7:$F$751=AH$6)*(Demographics!$D$7:$D$751&gt;=Lists!$AE4)*(Demographics!$D$7:$D$751&lt;=Lists!$AF4))</f>
        <v>0</v>
      </c>
      <c r="AI10" s="165">
        <f>SUMPRODUCT((Demographics!$F$7:$F$751=AI$6)*(Demographics!$D$7:$D$751&gt;=Lists!$AE4)*(Demographics!$D$7:$D$751&lt;=Lists!$AF4))</f>
        <v>0</v>
      </c>
      <c r="AJ10" s="173">
        <f>SUMPRODUCT((Demographics!$F$7:$F$751=AJ$6)*(Demographics!$D$7:$D$751&gt;=Lists!$AE4)*(Demographics!$D$7:$D$751&lt;=Lists!$AF4))</f>
        <v>0</v>
      </c>
      <c r="AK10" s="145">
        <f t="shared" si="2"/>
        <v>0</v>
      </c>
      <c r="AL10" s="164">
        <f>SUMPRODUCT((Demographics!$G$7:$G$751=AL$6)*(Demographics!$D$7:$D$751&gt;=Lists!$AE4)*(Demographics!$D$7:$D$751&lt;=Lists!$AF4))</f>
        <v>0</v>
      </c>
      <c r="AM10" s="165">
        <f>SUMPRODUCT((Demographics!$G$7:$G$751=AM$6)*(Demographics!$D$7:$D$751&gt;=Lists!$AE4)*(Demographics!$D$7:$D$751&lt;=Lists!$AF4))</f>
        <v>0</v>
      </c>
      <c r="AN10" s="166">
        <f>SUMPRODUCT((Demographics!$G$7:$G$751=AN$6)*(Demographics!$D$7:$D$751&gt;=Lists!$AE4)*(Demographics!$D$7:$D$751&lt;=Lists!$AF4))</f>
        <v>0</v>
      </c>
      <c r="AO10" s="178">
        <f t="shared" si="3"/>
        <v>0</v>
      </c>
      <c r="AP10" s="175">
        <f>SUMPRODUCT((Demographics!$J$7:$J$751=AP$6)*(Demographics!$D$7:$D$751&gt;=Lists!$AE4)*(Demographics!$D$7:$D$751&lt;=Lists!$AF4))</f>
        <v>0</v>
      </c>
      <c r="AQ10" s="173">
        <f>SUMPRODUCT((Demographics!$J$7:$J$751=AQ$6)*(Demographics!$D$7:$D$751&gt;=Lists!$AE4)*(Demographics!$D$7:$D$751&lt;=Lists!$AF4))</f>
        <v>0</v>
      </c>
      <c r="AR10" s="178">
        <f t="shared" si="4"/>
        <v>0</v>
      </c>
      <c r="AS10" s="164">
        <f>SUMPRODUCT((Demographics!$K$7:$K$751=AS$6)*(Demographics!$D$7:$D$751&gt;=Lists!$AE4)*(Demographics!$D$7:$D$751&lt;=Lists!$AF4))</f>
        <v>0</v>
      </c>
      <c r="AT10" s="165">
        <f>SUMPRODUCT((Demographics!$K$7:$K$751=AT$6)*(Demographics!$D$7:$D$751&gt;=Lists!$AE4)*(Demographics!$D$7:$D$751&lt;=Lists!$AF4))</f>
        <v>0</v>
      </c>
      <c r="AU10" s="165">
        <f>SUMPRODUCT((Demographics!$K$7:$K$751=AU$6)*(Demographics!$D$7:$D$751&gt;=Lists!$AE4)*(Demographics!$D$7:$D$751&lt;=Lists!$AF4))</f>
        <v>0</v>
      </c>
      <c r="AV10" s="166">
        <f>SUMPRODUCT((Demographics!$K$7:$K$751=AV$6)*(Demographics!$D$7:$D$751&gt;=Lists!$AE4)*(Demographics!$D$7:$D$751&lt;=Lists!$AF4))</f>
        <v>0</v>
      </c>
      <c r="AW10" s="159">
        <f t="shared" si="5"/>
        <v>0</v>
      </c>
      <c r="AX10" s="164">
        <f>SUMPRODUCT((Demographics!$M$7:$M$751=AX$6)*(Demographics!$D$7:$D$751&gt;=Lists!$AE4)*(Demographics!$D$7:$D$751&lt;=Lists!$AF4))</f>
        <v>0</v>
      </c>
      <c r="AY10" s="165">
        <f>SUMPRODUCT((Demographics!$M$7:$M$751=AY$6)*(Demographics!$D$7:$D$751&gt;=Lists!$AE4)*(Demographics!$D$7:$D$751&lt;=Lists!$AF4))</f>
        <v>0</v>
      </c>
      <c r="AZ10" s="165">
        <f>SUMPRODUCT((Demographics!$M$7:$M$751=AZ$6)*(Demographics!$D$7:$D$751&gt;=Lists!$AE4)*(Demographics!$D$7:$D$751&lt;=Lists!$AF4))</f>
        <v>0</v>
      </c>
      <c r="BA10" s="165">
        <f>SUMPRODUCT((Demographics!$M$7:$M$751=BA$6)*(Demographics!$D$7:$D$751&gt;=Lists!$AE4)*(Demographics!$D$7:$D$751&lt;=Lists!$AF4))</f>
        <v>0</v>
      </c>
      <c r="BB10" s="165">
        <f>SUMPRODUCT((Demographics!$M$7:$M$751=BB$6)*(Demographics!$D$7:$D$751&gt;=Lists!$AE4)*(Demographics!$D$7:$D$751&lt;=Lists!$AF4))</f>
        <v>0</v>
      </c>
      <c r="BC10" s="165">
        <f>SUMPRODUCT((Demographics!$M$7:$M$751=BC$6)*(Demographics!$D$7:$D$751&gt;=Lists!$AE4)*(Demographics!$D$7:$D$751&lt;=Lists!$AF4))</f>
        <v>0</v>
      </c>
      <c r="BD10" s="166">
        <f>SUMPRODUCT((Demographics!$M$7:$M$751=BD$6)*(Demographics!$D$7:$D$751&gt;=Lists!$AE4)*(Demographics!$D$7:$D$751&lt;=Lists!$AF4))</f>
        <v>0</v>
      </c>
      <c r="BE10" s="178">
        <f t="shared" si="6"/>
        <v>0</v>
      </c>
      <c r="BF10" s="164">
        <f>SUMPRODUCT((Demographics!$N$7:$N$751=BF$6)*(Demographics!$D$7:$D$751&gt;=Lists!$AE4)*(Demographics!$D$7:$D$751&lt;=Lists!$AF4))</f>
        <v>0</v>
      </c>
      <c r="BG10" s="165">
        <f>SUMPRODUCT((Demographics!$N$7:$N$751=BG$6)*(Demographics!$D$7:$D$751&gt;=Lists!$AE4)*(Demographics!$D$7:$D$751&lt;=Lists!$AF4))</f>
        <v>0</v>
      </c>
      <c r="BH10" s="165">
        <f>SUMPRODUCT((Demographics!$N$7:$N$751=BH$6)*(Demographics!$D$7:$D$751&gt;=Lists!$AE4)*(Demographics!$D$7:$D$751&lt;=Lists!$AF4))</f>
        <v>0</v>
      </c>
      <c r="BI10" s="165">
        <f>SUMPRODUCT((Demographics!$N$7:$N$751=BI$6)*(Demographics!$D$7:$D$751&gt;=Lists!$AE4)*(Demographics!$D$7:$D$751&lt;=Lists!$AF4))</f>
        <v>0</v>
      </c>
      <c r="BJ10" s="165">
        <f>SUMPRODUCT((Demographics!$N$7:$N$751=BJ$6)*(Demographics!$D$7:$D$751&gt;=Lists!$AE4)*(Demographics!$D$7:$D$751&lt;=Lists!$AF4))</f>
        <v>0</v>
      </c>
      <c r="BK10" s="166">
        <f>SUMPRODUCT((Demographics!$N$7:$N$751=BK$6)*(Demographics!$D$7:$D$751&gt;=Lists!$AE4)*(Demographics!$D$7:$D$751&lt;=Lists!$AF4))</f>
        <v>0</v>
      </c>
      <c r="BL10" s="166">
        <f>SUMPRODUCT((Demographics!$N$7:$N$751=BL$6)*(Demographics!$D$7:$D$751&gt;=Lists!$AE4)*(Demographics!$D$7:$D$751&lt;=Lists!$AF4))</f>
        <v>0</v>
      </c>
      <c r="BM10" s="159">
        <f t="shared" si="7"/>
        <v>0</v>
      </c>
      <c r="BN10" s="534">
        <f t="shared" si="8"/>
        <v>0</v>
      </c>
      <c r="BP10" s="15"/>
      <c r="BQ10" s="15"/>
      <c r="BR10" s="15"/>
      <c r="BS10" s="15"/>
      <c r="BT10" s="15"/>
      <c r="BU10" s="15"/>
      <c r="BV10" s="15"/>
      <c r="BW10" s="16"/>
      <c r="BX10" s="15"/>
      <c r="BY10" s="15"/>
      <c r="BZ10" s="15"/>
      <c r="CA10" s="15"/>
    </row>
    <row r="11" spans="1:81" ht="15" customHeight="1" x14ac:dyDescent="0.35">
      <c r="A11" s="570">
        <v>45839</v>
      </c>
      <c r="B11" s="175">
        <f>SUMPRODUCT((Demographics!$H$7:$H$751=B$6)*(Demographics!$D$7:$D$751&gt;=Lists!$AE5)*(Demographics!$D$7:$D$751&lt;=Lists!$AF5))</f>
        <v>0</v>
      </c>
      <c r="C11" s="165">
        <f>SUMPRODUCT((Demographics!$H$7:$H$751=C$6)*(Demographics!$D$7:$D$751&gt;=Lists!$AE5)*(Demographics!$D$7:$D$751&lt;=Lists!$AF5))</f>
        <v>0</v>
      </c>
      <c r="D11" s="165">
        <f>SUMPRODUCT((Demographics!$H$7:$H$751=D$6)*(Demographics!$D$7:$D$751&gt;=Lists!$AE5)*(Demographics!$D$7:$D$751&lt;=Lists!$AF5))</f>
        <v>0</v>
      </c>
      <c r="E11" s="165">
        <f>SUMPRODUCT((Demographics!$H$7:$H$751=E$6)*(Demographics!$D$7:$D$751&gt;=Lists!$AE5)*(Demographics!$D$7:$D$751&lt;=Lists!$AF5))</f>
        <v>0</v>
      </c>
      <c r="F11" s="165">
        <f>SUMPRODUCT((Demographics!$H$7:$H$751=F$6)*(Demographics!$D$7:$D$751&gt;=Lists!$AE5)*(Demographics!$D$7:$D$751&lt;=Lists!$AF5))</f>
        <v>0</v>
      </c>
      <c r="G11" s="165">
        <f>SUMPRODUCT((Demographics!$H$7:$H$751=G$6)*(Demographics!$D$7:$D$751&gt;=Lists!$AE5)*(Demographics!$D$7:$D$751&lt;=Lists!$AF5))</f>
        <v>0</v>
      </c>
      <c r="H11" s="173">
        <f>SUMPRODUCT((Demographics!$H$7:$H$751=H$6)*(Demographics!$D$7:$D$751&gt;=Lists!$AE5)*(Demographics!$D$7:$D$751&lt;=Lists!$AF5))</f>
        <v>0</v>
      </c>
      <c r="I11" s="170">
        <f t="shared" si="0"/>
        <v>0</v>
      </c>
      <c r="J11" s="164">
        <f>SUMPRODUCT((Demographics!$I$7:$I$751=J$6)*(Demographics!$D$7:$D$751&gt;=Lists!$AE5)*(Demographics!$D$7:$D$751&lt;=Lists!$AF5))</f>
        <v>0</v>
      </c>
      <c r="K11" s="165">
        <f>SUMPRODUCT((Demographics!$I$7:$I$751=K$6)*(Demographics!$D$7:$D$751&gt;=Lists!$AE5)*(Demographics!$D$7:$D$751&lt;=Lists!$AF5))</f>
        <v>0</v>
      </c>
      <c r="L11" s="165">
        <f>SUMPRODUCT((Demographics!$I$7:$I$751=L$6)*(Demographics!$D$7:$D$751&gt;=Lists!$AE5)*(Demographics!$D$7:$D$751&lt;=Lists!$AF5))</f>
        <v>0</v>
      </c>
      <c r="M11" s="165">
        <f>SUMPRODUCT((Demographics!$I$7:$I$751=M$6)*(Demographics!$D$7:$D$751&gt;=Lists!$AE5)*(Demographics!$D$7:$D$751&lt;=Lists!$AF5))</f>
        <v>0</v>
      </c>
      <c r="N11" s="165">
        <f>SUMPRODUCT((Demographics!$I$7:$I$751=N$6)*(Demographics!$D$7:$D$751&gt;=Lists!$AE5)*(Demographics!$D$7:$D$751&lt;=Lists!$AF5))</f>
        <v>0</v>
      </c>
      <c r="O11" s="165">
        <f>SUMPRODUCT((Demographics!$I$7:$I$751=O$6)*(Demographics!$D$7:$D$751&gt;=Lists!$AE5)*(Demographics!$D$7:$D$751&lt;=Lists!$AF5))</f>
        <v>0</v>
      </c>
      <c r="P11" s="165">
        <f>SUMPRODUCT((Demographics!$I$7:$I$751=P$6)*(Demographics!$D$7:$D$751&gt;=Lists!$AE5)*(Demographics!$D$7:$D$751&lt;=Lists!$AF5))</f>
        <v>0</v>
      </c>
      <c r="Q11" s="165">
        <f>SUMPRODUCT((Demographics!$I$7:$I$751=Q$6)*(Demographics!$D$7:$D$751&gt;=Lists!$AE5)*(Demographics!$D$7:$D$751&lt;=Lists!$AF5))</f>
        <v>0</v>
      </c>
      <c r="R11" s="165">
        <f>SUMPRODUCT((Demographics!$I$7:$I$751=R$6)*(Demographics!$D$7:$D$751&gt;=Lists!$AE5)*(Demographics!$D$7:$D$751&lt;=Lists!$AF5))</f>
        <v>0</v>
      </c>
      <c r="S11" s="165">
        <f>SUMPRODUCT((Demographics!$I$7:$I$751=S$6)*(Demographics!$D$7:$D$751&gt;=Lists!$AE5)*(Demographics!$D$7:$D$751&lt;=Lists!$AF5))</f>
        <v>0</v>
      </c>
      <c r="T11" s="165">
        <f>SUMPRODUCT((Demographics!$I$7:$I$751=T$6)*(Demographics!$D$7:$D$751&gt;=Lists!$AE5)*(Demographics!$D$7:$D$751&lt;=Lists!$AF5))</f>
        <v>0</v>
      </c>
      <c r="U11" s="165">
        <f>SUMPRODUCT((Demographics!$I$7:$I$751=U$6)*(Demographics!$D$7:$D$751&gt;=Lists!$AE5)*(Demographics!$D$7:$D$751&lt;=Lists!$AF5))</f>
        <v>0</v>
      </c>
      <c r="V11" s="165">
        <f>SUMPRODUCT((Demographics!$I$7:$I$751=V$6)*(Demographics!$D$7:$D$751&gt;=Lists!$AE5)*(Demographics!$D$7:$D$751&lt;=Lists!$AF5))</f>
        <v>0</v>
      </c>
      <c r="W11" s="165">
        <f>SUMPRODUCT((Demographics!$I$7:$I$751=W$6)*(Demographics!$D$7:$D$751&gt;=Lists!$AE5)*(Demographics!$D$7:$D$751&lt;=Lists!$AF5))</f>
        <v>0</v>
      </c>
      <c r="X11" s="165">
        <f>SUMPRODUCT((Demographics!$I$7:$I$751=X$6)*(Demographics!$D$7:$D$751&gt;=Lists!$AE5)*(Demographics!$D$7:$D$751&lt;=Lists!$AF5))</f>
        <v>0</v>
      </c>
      <c r="Y11" s="166">
        <f>SUMPRODUCT((Demographics!$I$7:$I$751=Y$6)*(Demographics!$D$7:$D$751&gt;=Lists!$AE5)*(Demographics!$D$7:$D$751&lt;=Lists!$AF5))</f>
        <v>0</v>
      </c>
      <c r="Z11" s="145">
        <f t="shared" si="1"/>
        <v>0</v>
      </c>
      <c r="AA11" s="175">
        <f>SUMPRODUCT((Demographics!$F$7:$F$751=AA$6)*(Demographics!$D$7:$D$751&gt;=Lists!$AE5)*(Demographics!$D$7:$D$751&lt;=Lists!$AF5))</f>
        <v>0</v>
      </c>
      <c r="AB11" s="165">
        <f>SUMPRODUCT((Demographics!$F$7:$F$751=AB$6)*(Demographics!$D$7:$D$751&gt;=Lists!$AE5)*(Demographics!$D$7:$D$751&lt;=Lists!$AF5))</f>
        <v>0</v>
      </c>
      <c r="AC11" s="165">
        <f>SUMPRODUCT((Demographics!$F$7:$F$751=AC$6)*(Demographics!$D$7:$D$751&gt;=Lists!$AE5)*(Demographics!$D$7:$D$751&lt;=Lists!$AF5))</f>
        <v>0</v>
      </c>
      <c r="AD11" s="165">
        <f>SUMPRODUCT((Demographics!$F$7:$F$751=AD$6)*(Demographics!$D$7:$D$751&gt;=Lists!$AE5)*(Demographics!$D$7:$D$751&lt;=Lists!$AF5))</f>
        <v>0</v>
      </c>
      <c r="AE11" s="165">
        <f>SUMPRODUCT((Demographics!$F$7:$F$751=AE$6)*(Demographics!$D$7:$D$751&gt;=Lists!$AE5)*(Demographics!$D$7:$D$751&lt;=Lists!$AF5))</f>
        <v>0</v>
      </c>
      <c r="AF11" s="165">
        <f>SUMPRODUCT((Demographics!$F$7:$F$751=AF$6)*(Demographics!$D$7:$D$751&gt;=Lists!$AE5)*(Demographics!$D$7:$D$751&lt;=Lists!$AF5))</f>
        <v>0</v>
      </c>
      <c r="AG11" s="165">
        <f>SUMPRODUCT((Demographics!$F$7:$F$751=AG$6)*(Demographics!$D$7:$D$751&gt;=Lists!$AE5)*(Demographics!$D$7:$D$751&lt;=Lists!$AF5))</f>
        <v>0</v>
      </c>
      <c r="AH11" s="165">
        <f>SUMPRODUCT((Demographics!$F$7:$F$751=AH$6)*(Demographics!$D$7:$D$751&gt;=Lists!$AE5)*(Demographics!$D$7:$D$751&lt;=Lists!$AF5))</f>
        <v>0</v>
      </c>
      <c r="AI11" s="165">
        <f>SUMPRODUCT((Demographics!$F$7:$F$751=AI$6)*(Demographics!$D$7:$D$751&gt;=Lists!$AE5)*(Demographics!$D$7:$D$751&lt;=Lists!$AF5))</f>
        <v>0</v>
      </c>
      <c r="AJ11" s="173">
        <f>SUMPRODUCT((Demographics!$F$7:$F$751=AJ$6)*(Demographics!$D$7:$D$751&gt;=Lists!$AE5)*(Demographics!$D$7:$D$751&lt;=Lists!$AF5))</f>
        <v>0</v>
      </c>
      <c r="AK11" s="145">
        <f t="shared" si="2"/>
        <v>0</v>
      </c>
      <c r="AL11" s="164">
        <f>SUMPRODUCT((Demographics!$G$7:$G$751=AL$6)*(Demographics!$D$7:$D$751&gt;=Lists!$AE5)*(Demographics!$D$7:$D$751&lt;=Lists!$AF5))</f>
        <v>0</v>
      </c>
      <c r="AM11" s="165">
        <f>SUMPRODUCT((Demographics!$G$7:$G$751=AM$6)*(Demographics!$D$7:$D$751&gt;=Lists!$AE5)*(Demographics!$D$7:$D$751&lt;=Lists!$AF5))</f>
        <v>0</v>
      </c>
      <c r="AN11" s="166">
        <f>SUMPRODUCT((Demographics!$G$7:$G$751=AN$6)*(Demographics!$D$7:$D$751&gt;=Lists!$AE5)*(Demographics!$D$7:$D$751&lt;=Lists!$AF5))</f>
        <v>0</v>
      </c>
      <c r="AO11" s="178">
        <f t="shared" si="3"/>
        <v>0</v>
      </c>
      <c r="AP11" s="175">
        <f>SUMPRODUCT((Demographics!$J$7:$J$751=AP$6)*(Demographics!$D$7:$D$751&gt;=Lists!$AE5)*(Demographics!$D$7:$D$751&lt;=Lists!$AF5))</f>
        <v>0</v>
      </c>
      <c r="AQ11" s="173">
        <f>SUMPRODUCT((Demographics!$J$7:$J$751=AQ$6)*(Demographics!$D$7:$D$751&gt;=Lists!$AE5)*(Demographics!$D$7:$D$751&lt;=Lists!$AF5))</f>
        <v>0</v>
      </c>
      <c r="AR11" s="178">
        <f t="shared" si="4"/>
        <v>0</v>
      </c>
      <c r="AS11" s="164">
        <f>SUMPRODUCT((Demographics!$K$7:$K$751=AS$6)*(Demographics!$D$7:$D$751&gt;=Lists!$AE5)*(Demographics!$D$7:$D$751&lt;=Lists!$AF5))</f>
        <v>0</v>
      </c>
      <c r="AT11" s="165">
        <f>SUMPRODUCT((Demographics!$K$7:$K$751=AT$6)*(Demographics!$D$7:$D$751&gt;=Lists!$AE5)*(Demographics!$D$7:$D$751&lt;=Lists!$AF5))</f>
        <v>0</v>
      </c>
      <c r="AU11" s="165">
        <f>SUMPRODUCT((Demographics!$K$7:$K$751=AU$6)*(Demographics!$D$7:$D$751&gt;=Lists!$AE5)*(Demographics!$D$7:$D$751&lt;=Lists!$AF5))</f>
        <v>0</v>
      </c>
      <c r="AV11" s="166">
        <f>SUMPRODUCT((Demographics!$K$7:$K$751=AV$6)*(Demographics!$D$7:$D$751&gt;=Lists!$AE5)*(Demographics!$D$7:$D$751&lt;=Lists!$AF5))</f>
        <v>0</v>
      </c>
      <c r="AW11" s="159">
        <f t="shared" si="5"/>
        <v>0</v>
      </c>
      <c r="AX11" s="164">
        <f>SUMPRODUCT((Demographics!$M$7:$M$751=AX$6)*(Demographics!$D$7:$D$751&gt;=Lists!$AE5)*(Demographics!$D$7:$D$751&lt;=Lists!$AF5))</f>
        <v>0</v>
      </c>
      <c r="AY11" s="165">
        <f>SUMPRODUCT((Demographics!$M$7:$M$751=AY$6)*(Demographics!$D$7:$D$751&gt;=Lists!$AE5)*(Demographics!$D$7:$D$751&lt;=Lists!$AF5))</f>
        <v>0</v>
      </c>
      <c r="AZ11" s="165">
        <f>SUMPRODUCT((Demographics!$M$7:$M$751=AZ$6)*(Demographics!$D$7:$D$751&gt;=Lists!$AE5)*(Demographics!$D$7:$D$751&lt;=Lists!$AF5))</f>
        <v>0</v>
      </c>
      <c r="BA11" s="165">
        <f>SUMPRODUCT((Demographics!$M$7:$M$751=BA$6)*(Demographics!$D$7:$D$751&gt;=Lists!$AE5)*(Demographics!$D$7:$D$751&lt;=Lists!$AF5))</f>
        <v>0</v>
      </c>
      <c r="BB11" s="165">
        <f>SUMPRODUCT((Demographics!$M$7:$M$751=BB$6)*(Demographics!$D$7:$D$751&gt;=Lists!$AE5)*(Demographics!$D$7:$D$751&lt;=Lists!$AF5))</f>
        <v>0</v>
      </c>
      <c r="BC11" s="165">
        <f>SUMPRODUCT((Demographics!$M$7:$M$751=BC$6)*(Demographics!$D$7:$D$751&gt;=Lists!$AE5)*(Demographics!$D$7:$D$751&lt;=Lists!$AF5))</f>
        <v>0</v>
      </c>
      <c r="BD11" s="166">
        <f>SUMPRODUCT((Demographics!$M$7:$M$751=BD$6)*(Demographics!$D$7:$D$751&gt;=Lists!$AE5)*(Demographics!$D$7:$D$751&lt;=Lists!$AF5))</f>
        <v>0</v>
      </c>
      <c r="BE11" s="178">
        <f t="shared" si="6"/>
        <v>0</v>
      </c>
      <c r="BF11" s="164">
        <f>SUMPRODUCT((Demographics!$N$7:$N$751=BF$6)*(Demographics!$D$7:$D$751&gt;=Lists!$AE5)*(Demographics!$D$7:$D$751&lt;=Lists!$AF5))</f>
        <v>0</v>
      </c>
      <c r="BG11" s="165">
        <f>SUMPRODUCT((Demographics!$N$7:$N$751=BG$6)*(Demographics!$D$7:$D$751&gt;=Lists!$AE5)*(Demographics!$D$7:$D$751&lt;=Lists!$AF5))</f>
        <v>0</v>
      </c>
      <c r="BH11" s="165">
        <f>SUMPRODUCT((Demographics!$N$7:$N$751=BH$6)*(Demographics!$D$7:$D$751&gt;=Lists!$AE5)*(Demographics!$D$7:$D$751&lt;=Lists!$AF5))</f>
        <v>0</v>
      </c>
      <c r="BI11" s="165">
        <f>SUMPRODUCT((Demographics!$N$7:$N$751=BI$6)*(Demographics!$D$7:$D$751&gt;=Lists!$AE5)*(Demographics!$D$7:$D$751&lt;=Lists!$AF5))</f>
        <v>0</v>
      </c>
      <c r="BJ11" s="165">
        <f>SUMPRODUCT((Demographics!$N$7:$N$751=BJ$6)*(Demographics!$D$7:$D$751&gt;=Lists!$AE5)*(Demographics!$D$7:$D$751&lt;=Lists!$AF5))</f>
        <v>0</v>
      </c>
      <c r="BK11" s="166">
        <f>SUMPRODUCT((Demographics!$N$7:$N$751=BK$6)*(Demographics!$D$7:$D$751&gt;=Lists!$AE5)*(Demographics!$D$7:$D$751&lt;=Lists!$AF5))</f>
        <v>0</v>
      </c>
      <c r="BL11" s="166">
        <f>SUMPRODUCT((Demographics!$N$7:$N$751=BL$6)*(Demographics!$D$7:$D$751&gt;=Lists!$AE5)*(Demographics!$D$7:$D$751&lt;=Lists!$AF5))</f>
        <v>0</v>
      </c>
      <c r="BM11" s="159">
        <f t="shared" si="7"/>
        <v>0</v>
      </c>
      <c r="BN11" s="534">
        <f t="shared" si="8"/>
        <v>0</v>
      </c>
      <c r="BP11" s="15"/>
      <c r="BQ11" s="15"/>
      <c r="BR11" s="15"/>
      <c r="BS11" s="15"/>
      <c r="BT11" s="15"/>
      <c r="BU11" s="15"/>
      <c r="BV11" s="15"/>
      <c r="BW11" s="16"/>
      <c r="BX11" s="15"/>
      <c r="BY11" s="15"/>
      <c r="BZ11" s="15"/>
      <c r="CA11" s="15"/>
    </row>
    <row r="12" spans="1:81" ht="15" customHeight="1" x14ac:dyDescent="0.35">
      <c r="A12" s="570">
        <v>45870</v>
      </c>
      <c r="B12" s="175">
        <f>SUMPRODUCT((Demographics!$H$7:$H$751=B$6)*(Demographics!$D$7:$D$751&gt;=Lists!$AE6)*(Demographics!$D$7:$D$751&lt;=Lists!$AF6))</f>
        <v>0</v>
      </c>
      <c r="C12" s="165">
        <f>SUMPRODUCT((Demographics!$H$7:$H$751=C$6)*(Demographics!$D$7:$D$751&gt;=Lists!$AE6)*(Demographics!$D$7:$D$751&lt;=Lists!$AF6))</f>
        <v>0</v>
      </c>
      <c r="D12" s="165">
        <f>SUMPRODUCT((Demographics!$H$7:$H$751=D$6)*(Demographics!$D$7:$D$751&gt;=Lists!$AE6)*(Demographics!$D$7:$D$751&lt;=Lists!$AF6))</f>
        <v>0</v>
      </c>
      <c r="E12" s="165">
        <f>SUMPRODUCT((Demographics!$H$7:$H$751=E$6)*(Demographics!$D$7:$D$751&gt;=Lists!$AE6)*(Demographics!$D$7:$D$751&lt;=Lists!$AF6))</f>
        <v>0</v>
      </c>
      <c r="F12" s="165">
        <f>SUMPRODUCT((Demographics!$H$7:$H$751=F$6)*(Demographics!$D$7:$D$751&gt;=Lists!$AE6)*(Demographics!$D$7:$D$751&lt;=Lists!$AF6))</f>
        <v>0</v>
      </c>
      <c r="G12" s="165">
        <f>SUMPRODUCT((Demographics!$H$7:$H$751=G$6)*(Demographics!$D$7:$D$751&gt;=Lists!$AE6)*(Demographics!$D$7:$D$751&lt;=Lists!$AF6))</f>
        <v>0</v>
      </c>
      <c r="H12" s="173">
        <f>SUMPRODUCT((Demographics!$H$7:$H$751=H$6)*(Demographics!$D$7:$D$751&gt;=Lists!$AE6)*(Demographics!$D$7:$D$751&lt;=Lists!$AF6))</f>
        <v>0</v>
      </c>
      <c r="I12" s="170">
        <f t="shared" si="0"/>
        <v>0</v>
      </c>
      <c r="J12" s="164">
        <f>SUMPRODUCT((Demographics!$I$7:$I$751=J$6)*(Demographics!$D$7:$D$751&gt;=Lists!$AE6)*(Demographics!$D$7:$D$751&lt;=Lists!$AF6))</f>
        <v>0</v>
      </c>
      <c r="K12" s="165">
        <f>SUMPRODUCT((Demographics!$I$7:$I$751=K$6)*(Demographics!$D$7:$D$751&gt;=Lists!$AE6)*(Demographics!$D$7:$D$751&lt;=Lists!$AF6))</f>
        <v>0</v>
      </c>
      <c r="L12" s="165">
        <f>SUMPRODUCT((Demographics!$I$7:$I$751=L$6)*(Demographics!$D$7:$D$751&gt;=Lists!$AE6)*(Demographics!$D$7:$D$751&lt;=Lists!$AF6))</f>
        <v>0</v>
      </c>
      <c r="M12" s="165">
        <f>SUMPRODUCT((Demographics!$I$7:$I$751=M$6)*(Demographics!$D$7:$D$751&gt;=Lists!$AE6)*(Demographics!$D$7:$D$751&lt;=Lists!$AF6))</f>
        <v>0</v>
      </c>
      <c r="N12" s="165">
        <f>SUMPRODUCT((Demographics!$I$7:$I$751=N$6)*(Demographics!$D$7:$D$751&gt;=Lists!$AE6)*(Demographics!$D$7:$D$751&lt;=Lists!$AF6))</f>
        <v>0</v>
      </c>
      <c r="O12" s="165">
        <f>SUMPRODUCT((Demographics!$I$7:$I$751=O$6)*(Demographics!$D$7:$D$751&gt;=Lists!$AE6)*(Demographics!$D$7:$D$751&lt;=Lists!$AF6))</f>
        <v>0</v>
      </c>
      <c r="P12" s="165">
        <f>SUMPRODUCT((Demographics!$I$7:$I$751=P$6)*(Demographics!$D$7:$D$751&gt;=Lists!$AE6)*(Demographics!$D$7:$D$751&lt;=Lists!$AF6))</f>
        <v>0</v>
      </c>
      <c r="Q12" s="165">
        <f>SUMPRODUCT((Demographics!$I$7:$I$751=Q$6)*(Demographics!$D$7:$D$751&gt;=Lists!$AE6)*(Demographics!$D$7:$D$751&lt;=Lists!$AF6))</f>
        <v>0</v>
      </c>
      <c r="R12" s="165">
        <f>SUMPRODUCT((Demographics!$I$7:$I$751=R$6)*(Demographics!$D$7:$D$751&gt;=Lists!$AE6)*(Demographics!$D$7:$D$751&lt;=Lists!$AF6))</f>
        <v>0</v>
      </c>
      <c r="S12" s="165">
        <f>SUMPRODUCT((Demographics!$I$7:$I$751=S$6)*(Demographics!$D$7:$D$751&gt;=Lists!$AE6)*(Demographics!$D$7:$D$751&lt;=Lists!$AF6))</f>
        <v>0</v>
      </c>
      <c r="T12" s="165">
        <f>SUMPRODUCT((Demographics!$I$7:$I$751=T$6)*(Demographics!$D$7:$D$751&gt;=Lists!$AE6)*(Demographics!$D$7:$D$751&lt;=Lists!$AF6))</f>
        <v>0</v>
      </c>
      <c r="U12" s="165">
        <f>SUMPRODUCT((Demographics!$I$7:$I$751=U$6)*(Demographics!$D$7:$D$751&gt;=Lists!$AE6)*(Demographics!$D$7:$D$751&lt;=Lists!$AF6))</f>
        <v>0</v>
      </c>
      <c r="V12" s="165">
        <f>SUMPRODUCT((Demographics!$I$7:$I$751=V$6)*(Demographics!$D$7:$D$751&gt;=Lists!$AE6)*(Demographics!$D$7:$D$751&lt;=Lists!$AF6))</f>
        <v>0</v>
      </c>
      <c r="W12" s="165">
        <f>SUMPRODUCT((Demographics!$I$7:$I$751=W$6)*(Demographics!$D$7:$D$751&gt;=Lists!$AE6)*(Demographics!$D$7:$D$751&lt;=Lists!$AF6))</f>
        <v>0</v>
      </c>
      <c r="X12" s="165">
        <f>SUMPRODUCT((Demographics!$I$7:$I$751=X$6)*(Demographics!$D$7:$D$751&gt;=Lists!$AE6)*(Demographics!$D$7:$D$751&lt;=Lists!$AF6))</f>
        <v>0</v>
      </c>
      <c r="Y12" s="166">
        <f>SUMPRODUCT((Demographics!$I$7:$I$751=Y$6)*(Demographics!$D$7:$D$751&gt;=Lists!$AE6)*(Demographics!$D$7:$D$751&lt;=Lists!$AF6))</f>
        <v>0</v>
      </c>
      <c r="Z12" s="145">
        <f t="shared" si="1"/>
        <v>0</v>
      </c>
      <c r="AA12" s="175">
        <f>SUMPRODUCT((Demographics!$F$7:$F$751=AA$6)*(Demographics!$D$7:$D$751&gt;=Lists!$AE6)*(Demographics!$D$7:$D$751&lt;=Lists!$AF6))</f>
        <v>0</v>
      </c>
      <c r="AB12" s="165">
        <f>SUMPRODUCT((Demographics!$F$7:$F$751=AB$6)*(Demographics!$D$7:$D$751&gt;=Lists!$AE6)*(Demographics!$D$7:$D$751&lt;=Lists!$AF6))</f>
        <v>0</v>
      </c>
      <c r="AC12" s="165">
        <f>SUMPRODUCT((Demographics!$F$7:$F$751=AC$6)*(Demographics!$D$7:$D$751&gt;=Lists!$AE6)*(Demographics!$D$7:$D$751&lt;=Lists!$AF6))</f>
        <v>0</v>
      </c>
      <c r="AD12" s="165">
        <f>SUMPRODUCT((Demographics!$F$7:$F$751=AD$6)*(Demographics!$D$7:$D$751&gt;=Lists!$AE6)*(Demographics!$D$7:$D$751&lt;=Lists!$AF6))</f>
        <v>0</v>
      </c>
      <c r="AE12" s="165">
        <f>SUMPRODUCT((Demographics!$F$7:$F$751=AE$6)*(Demographics!$D$7:$D$751&gt;=Lists!$AE6)*(Demographics!$D$7:$D$751&lt;=Lists!$AF6))</f>
        <v>0</v>
      </c>
      <c r="AF12" s="165">
        <f>SUMPRODUCT((Demographics!$F$7:$F$751=AF$6)*(Demographics!$D$7:$D$751&gt;=Lists!$AE6)*(Demographics!$D$7:$D$751&lt;=Lists!$AF6))</f>
        <v>0</v>
      </c>
      <c r="AG12" s="165">
        <f>SUMPRODUCT((Demographics!$F$7:$F$751=AG$6)*(Demographics!$D$7:$D$751&gt;=Lists!$AE6)*(Demographics!$D$7:$D$751&lt;=Lists!$AF6))</f>
        <v>0</v>
      </c>
      <c r="AH12" s="165">
        <f>SUMPRODUCT((Demographics!$F$7:$F$751=AH$6)*(Demographics!$D$7:$D$751&gt;=Lists!$AE6)*(Demographics!$D$7:$D$751&lt;=Lists!$AF6))</f>
        <v>0</v>
      </c>
      <c r="AI12" s="165">
        <f>SUMPRODUCT((Demographics!$F$7:$F$751=AI$6)*(Demographics!$D$7:$D$751&gt;=Lists!$AE6)*(Demographics!$D$7:$D$751&lt;=Lists!$AF6))</f>
        <v>0</v>
      </c>
      <c r="AJ12" s="173">
        <f>SUMPRODUCT((Demographics!$F$7:$F$751=AJ$6)*(Demographics!$D$7:$D$751&gt;=Lists!$AE6)*(Demographics!$D$7:$D$751&lt;=Lists!$AF6))</f>
        <v>0</v>
      </c>
      <c r="AK12" s="145">
        <f t="shared" si="2"/>
        <v>0</v>
      </c>
      <c r="AL12" s="164">
        <f>SUMPRODUCT((Demographics!$G$7:$G$751=AL$6)*(Demographics!$D$7:$D$751&gt;=Lists!$AE6)*(Demographics!$D$7:$D$751&lt;=Lists!$AF6))</f>
        <v>0</v>
      </c>
      <c r="AM12" s="165">
        <f>SUMPRODUCT((Demographics!$G$7:$G$751=AM$6)*(Demographics!$D$7:$D$751&gt;=Lists!$AE6)*(Demographics!$D$7:$D$751&lt;=Lists!$AF6))</f>
        <v>0</v>
      </c>
      <c r="AN12" s="166">
        <f>SUMPRODUCT((Demographics!$G$7:$G$751=AN$6)*(Demographics!$D$7:$D$751&gt;=Lists!$AE6)*(Demographics!$D$7:$D$751&lt;=Lists!$AF6))</f>
        <v>0</v>
      </c>
      <c r="AO12" s="178">
        <f t="shared" si="3"/>
        <v>0</v>
      </c>
      <c r="AP12" s="175">
        <f>SUMPRODUCT((Demographics!$J$7:$J$751=AP$6)*(Demographics!$D$7:$D$751&gt;=Lists!$AE6)*(Demographics!$D$7:$D$751&lt;=Lists!$AF6))</f>
        <v>0</v>
      </c>
      <c r="AQ12" s="173">
        <f>SUMPRODUCT((Demographics!$J$7:$J$751=AQ$6)*(Demographics!$D$7:$D$751&gt;=Lists!$AE6)*(Demographics!$D$7:$D$751&lt;=Lists!$AF6))</f>
        <v>0</v>
      </c>
      <c r="AR12" s="178">
        <f t="shared" si="4"/>
        <v>0</v>
      </c>
      <c r="AS12" s="164">
        <f>SUMPRODUCT((Demographics!$K$7:$K$751=AS$6)*(Demographics!$D$7:$D$751&gt;=Lists!$AE6)*(Demographics!$D$7:$D$751&lt;=Lists!$AF6))</f>
        <v>0</v>
      </c>
      <c r="AT12" s="165">
        <f>SUMPRODUCT((Demographics!$K$7:$K$751=AT$6)*(Demographics!$D$7:$D$751&gt;=Lists!$AE6)*(Demographics!$D$7:$D$751&lt;=Lists!$AF6))</f>
        <v>0</v>
      </c>
      <c r="AU12" s="165">
        <f>SUMPRODUCT((Demographics!$K$7:$K$751=AU$6)*(Demographics!$D$7:$D$751&gt;=Lists!$AE6)*(Demographics!$D$7:$D$751&lt;=Lists!$AF6))</f>
        <v>0</v>
      </c>
      <c r="AV12" s="166">
        <f>SUMPRODUCT((Demographics!$K$7:$K$751=AV$6)*(Demographics!$D$7:$D$751&gt;=Lists!$AE6)*(Demographics!$D$7:$D$751&lt;=Lists!$AF6))</f>
        <v>0</v>
      </c>
      <c r="AW12" s="159">
        <f t="shared" si="5"/>
        <v>0</v>
      </c>
      <c r="AX12" s="164">
        <f>SUMPRODUCT((Demographics!$M$7:$M$751=AX$6)*(Demographics!$D$7:$D$751&gt;=Lists!$AE6)*(Demographics!$D$7:$D$751&lt;=Lists!$AF6))</f>
        <v>0</v>
      </c>
      <c r="AY12" s="165">
        <f>SUMPRODUCT((Demographics!$M$7:$M$751=AY$6)*(Demographics!$D$7:$D$751&gt;=Lists!$AE6)*(Demographics!$D$7:$D$751&lt;=Lists!$AF6))</f>
        <v>0</v>
      </c>
      <c r="AZ12" s="165">
        <f>SUMPRODUCT((Demographics!$M$7:$M$751=AZ$6)*(Demographics!$D$7:$D$751&gt;=Lists!$AE6)*(Demographics!$D$7:$D$751&lt;=Lists!$AF6))</f>
        <v>0</v>
      </c>
      <c r="BA12" s="165">
        <f>SUMPRODUCT((Demographics!$M$7:$M$751=BA$6)*(Demographics!$D$7:$D$751&gt;=Lists!$AE6)*(Demographics!$D$7:$D$751&lt;=Lists!$AF6))</f>
        <v>0</v>
      </c>
      <c r="BB12" s="165">
        <f>SUMPRODUCT((Demographics!$M$7:$M$751=BB$6)*(Demographics!$D$7:$D$751&gt;=Lists!$AE6)*(Demographics!$D$7:$D$751&lt;=Lists!$AF6))</f>
        <v>0</v>
      </c>
      <c r="BC12" s="165">
        <f>SUMPRODUCT((Demographics!$M$7:$M$751=BC$6)*(Demographics!$D$7:$D$751&gt;=Lists!$AE6)*(Demographics!$D$7:$D$751&lt;=Lists!$AF6))</f>
        <v>0</v>
      </c>
      <c r="BD12" s="166">
        <f>SUMPRODUCT((Demographics!$M$7:$M$751=BD$6)*(Demographics!$D$7:$D$751&gt;=Lists!$AE6)*(Demographics!$D$7:$D$751&lt;=Lists!$AF6))</f>
        <v>0</v>
      </c>
      <c r="BE12" s="178">
        <f t="shared" si="6"/>
        <v>0</v>
      </c>
      <c r="BF12" s="164">
        <f>SUMPRODUCT((Demographics!$N$7:$N$751=BF$6)*(Demographics!$D$7:$D$751&gt;=Lists!$AE6)*(Demographics!$D$7:$D$751&lt;=Lists!$AF6))</f>
        <v>0</v>
      </c>
      <c r="BG12" s="165">
        <f>SUMPRODUCT((Demographics!$N$7:$N$751=BG$6)*(Demographics!$D$7:$D$751&gt;=Lists!$AE6)*(Demographics!$D$7:$D$751&lt;=Lists!$AF6))</f>
        <v>0</v>
      </c>
      <c r="BH12" s="165">
        <f>SUMPRODUCT((Demographics!$N$7:$N$751=BH$6)*(Demographics!$D$7:$D$751&gt;=Lists!$AE6)*(Demographics!$D$7:$D$751&lt;=Lists!$AF6))</f>
        <v>0</v>
      </c>
      <c r="BI12" s="165">
        <f>SUMPRODUCT((Demographics!$N$7:$N$751=BI$6)*(Demographics!$D$7:$D$751&gt;=Lists!$AE6)*(Demographics!$D$7:$D$751&lt;=Lists!$AF6))</f>
        <v>0</v>
      </c>
      <c r="BJ12" s="165">
        <f>SUMPRODUCT((Demographics!$N$7:$N$751=BJ$6)*(Demographics!$D$7:$D$751&gt;=Lists!$AE6)*(Demographics!$D$7:$D$751&lt;=Lists!$AF6))</f>
        <v>0</v>
      </c>
      <c r="BK12" s="166">
        <f>SUMPRODUCT((Demographics!$N$7:$N$751=BK$6)*(Demographics!$D$7:$D$751&gt;=Lists!$AE6)*(Demographics!$D$7:$D$751&lt;=Lists!$AF6))</f>
        <v>0</v>
      </c>
      <c r="BL12" s="166">
        <f>SUMPRODUCT((Demographics!$N$7:$N$751=BL$6)*(Demographics!$D$7:$D$751&gt;=Lists!$AE6)*(Demographics!$D$7:$D$751&lt;=Lists!$AF6))</f>
        <v>0</v>
      </c>
      <c r="BM12" s="159">
        <f t="shared" si="7"/>
        <v>0</v>
      </c>
      <c r="BN12" s="534">
        <f t="shared" si="8"/>
        <v>0</v>
      </c>
      <c r="BP12" s="15"/>
      <c r="BQ12" s="15"/>
      <c r="BR12" s="15"/>
      <c r="BS12" s="15"/>
      <c r="BT12" s="15"/>
      <c r="BU12" s="15"/>
      <c r="BV12" s="15"/>
      <c r="BW12" s="16"/>
      <c r="BX12" s="15"/>
      <c r="BY12" s="15"/>
      <c r="BZ12" s="15"/>
      <c r="CA12" s="15"/>
    </row>
    <row r="13" spans="1:81" ht="15" customHeight="1" x14ac:dyDescent="0.35">
      <c r="A13" s="570">
        <v>45901</v>
      </c>
      <c r="B13" s="175">
        <f>SUMPRODUCT((Demographics!$H$7:$H$751=B$6)*(Demographics!$D$7:$D$751&gt;=Lists!$AE7)*(Demographics!$D$7:$D$751&lt;=Lists!$AF7))</f>
        <v>0</v>
      </c>
      <c r="C13" s="165">
        <f>SUMPRODUCT((Demographics!$H$7:$H$751=C$6)*(Demographics!$D$7:$D$751&gt;=Lists!$AE7)*(Demographics!$D$7:$D$751&lt;=Lists!$AF7))</f>
        <v>0</v>
      </c>
      <c r="D13" s="165">
        <f>SUMPRODUCT((Demographics!$H$7:$H$751=D$6)*(Demographics!$D$7:$D$751&gt;=Lists!$AE7)*(Demographics!$D$7:$D$751&lt;=Lists!$AF7))</f>
        <v>0</v>
      </c>
      <c r="E13" s="165">
        <f>SUMPRODUCT((Demographics!$H$7:$H$751=E$6)*(Demographics!$D$7:$D$751&gt;=Lists!$AE7)*(Demographics!$D$7:$D$751&lt;=Lists!$AF7))</f>
        <v>0</v>
      </c>
      <c r="F13" s="165">
        <f>SUMPRODUCT((Demographics!$H$7:$H$751=F$6)*(Demographics!$D$7:$D$751&gt;=Lists!$AE7)*(Demographics!$D$7:$D$751&lt;=Lists!$AF7))</f>
        <v>0</v>
      </c>
      <c r="G13" s="165">
        <f>SUMPRODUCT((Demographics!$H$7:$H$751=G$6)*(Demographics!$D$7:$D$751&gt;=Lists!$AE7)*(Demographics!$D$7:$D$751&lt;=Lists!$AF7))</f>
        <v>0</v>
      </c>
      <c r="H13" s="173">
        <f>SUMPRODUCT((Demographics!$H$7:$H$751=H$6)*(Demographics!$D$7:$D$751&gt;=Lists!$AE7)*(Demographics!$D$7:$D$751&lt;=Lists!$AF7))</f>
        <v>0</v>
      </c>
      <c r="I13" s="170">
        <f t="shared" si="0"/>
        <v>0</v>
      </c>
      <c r="J13" s="164">
        <f>SUMPRODUCT((Demographics!$I$7:$I$751=J$6)*(Demographics!$D$7:$D$751&gt;=Lists!$AE7)*(Demographics!$D$7:$D$751&lt;=Lists!$AF7))</f>
        <v>0</v>
      </c>
      <c r="K13" s="165">
        <f>SUMPRODUCT((Demographics!$I$7:$I$751=K$6)*(Demographics!$D$7:$D$751&gt;=Lists!$AE7)*(Demographics!$D$7:$D$751&lt;=Lists!$AF7))</f>
        <v>0</v>
      </c>
      <c r="L13" s="165">
        <f>SUMPRODUCT((Demographics!$I$7:$I$751=L$6)*(Demographics!$D$7:$D$751&gt;=Lists!$AE7)*(Demographics!$D$7:$D$751&lt;=Lists!$AF7))</f>
        <v>0</v>
      </c>
      <c r="M13" s="165">
        <f>SUMPRODUCT((Demographics!$I$7:$I$751=M$6)*(Demographics!$D$7:$D$751&gt;=Lists!$AE7)*(Demographics!$D$7:$D$751&lt;=Lists!$AF7))</f>
        <v>0</v>
      </c>
      <c r="N13" s="165">
        <f>SUMPRODUCT((Demographics!$I$7:$I$751=N$6)*(Demographics!$D$7:$D$751&gt;=Lists!$AE7)*(Demographics!$D$7:$D$751&lt;=Lists!$AF7))</f>
        <v>0</v>
      </c>
      <c r="O13" s="165">
        <f>SUMPRODUCT((Demographics!$I$7:$I$751=O$6)*(Demographics!$D$7:$D$751&gt;=Lists!$AE7)*(Demographics!$D$7:$D$751&lt;=Lists!$AF7))</f>
        <v>0</v>
      </c>
      <c r="P13" s="165">
        <f>SUMPRODUCT((Demographics!$I$7:$I$751=P$6)*(Demographics!$D$7:$D$751&gt;=Lists!$AE7)*(Demographics!$D$7:$D$751&lt;=Lists!$AF7))</f>
        <v>0</v>
      </c>
      <c r="Q13" s="165">
        <f>SUMPRODUCT((Demographics!$I$7:$I$751=Q$6)*(Demographics!$D$7:$D$751&gt;=Lists!$AE7)*(Demographics!$D$7:$D$751&lt;=Lists!$AF7))</f>
        <v>0</v>
      </c>
      <c r="R13" s="165">
        <f>SUMPRODUCT((Demographics!$I$7:$I$751=R$6)*(Demographics!$D$7:$D$751&gt;=Lists!$AE7)*(Demographics!$D$7:$D$751&lt;=Lists!$AF7))</f>
        <v>0</v>
      </c>
      <c r="S13" s="165">
        <f>SUMPRODUCT((Demographics!$I$7:$I$751=S$6)*(Demographics!$D$7:$D$751&gt;=Lists!$AE7)*(Demographics!$D$7:$D$751&lt;=Lists!$AF7))</f>
        <v>0</v>
      </c>
      <c r="T13" s="165">
        <f>SUMPRODUCT((Demographics!$I$7:$I$751=T$6)*(Demographics!$D$7:$D$751&gt;=Lists!$AE7)*(Demographics!$D$7:$D$751&lt;=Lists!$AF7))</f>
        <v>0</v>
      </c>
      <c r="U13" s="165">
        <f>SUMPRODUCT((Demographics!$I$7:$I$751=U$6)*(Demographics!$D$7:$D$751&gt;=Lists!$AE7)*(Demographics!$D$7:$D$751&lt;=Lists!$AF7))</f>
        <v>0</v>
      </c>
      <c r="V13" s="165">
        <f>SUMPRODUCT((Demographics!$I$7:$I$751=V$6)*(Demographics!$D$7:$D$751&gt;=Lists!$AE7)*(Demographics!$D$7:$D$751&lt;=Lists!$AF7))</f>
        <v>0</v>
      </c>
      <c r="W13" s="165">
        <f>SUMPRODUCT((Demographics!$I$7:$I$751=W$6)*(Demographics!$D$7:$D$751&gt;=Lists!$AE7)*(Demographics!$D$7:$D$751&lt;=Lists!$AF7))</f>
        <v>0</v>
      </c>
      <c r="X13" s="165">
        <f>SUMPRODUCT((Demographics!$I$7:$I$751=X$6)*(Demographics!$D$7:$D$751&gt;=Lists!$AE7)*(Demographics!$D$7:$D$751&lt;=Lists!$AF7))</f>
        <v>0</v>
      </c>
      <c r="Y13" s="166">
        <f>SUMPRODUCT((Demographics!$I$7:$I$751=Y$6)*(Demographics!$D$7:$D$751&gt;=Lists!$AE7)*(Demographics!$D$7:$D$751&lt;=Lists!$AF7))</f>
        <v>0</v>
      </c>
      <c r="Z13" s="145">
        <f t="shared" si="1"/>
        <v>0</v>
      </c>
      <c r="AA13" s="175">
        <f>SUMPRODUCT((Demographics!$F$7:$F$751=AA$6)*(Demographics!$D$7:$D$751&gt;=Lists!$AE7)*(Demographics!$D$7:$D$751&lt;=Lists!$AF7))</f>
        <v>0</v>
      </c>
      <c r="AB13" s="165">
        <f>SUMPRODUCT((Demographics!$F$7:$F$751=AB$6)*(Demographics!$D$7:$D$751&gt;=Lists!$AE7)*(Demographics!$D$7:$D$751&lt;=Lists!$AF7))</f>
        <v>0</v>
      </c>
      <c r="AC13" s="165">
        <f>SUMPRODUCT((Demographics!$F$7:$F$751=AC$6)*(Demographics!$D$7:$D$751&gt;=Lists!$AE7)*(Demographics!$D$7:$D$751&lt;=Lists!$AF7))</f>
        <v>0</v>
      </c>
      <c r="AD13" s="165">
        <f>SUMPRODUCT((Demographics!$F$7:$F$751=AD$6)*(Demographics!$D$7:$D$751&gt;=Lists!$AE7)*(Demographics!$D$7:$D$751&lt;=Lists!$AF7))</f>
        <v>0</v>
      </c>
      <c r="AE13" s="165">
        <f>SUMPRODUCT((Demographics!$F$7:$F$751=AE$6)*(Demographics!$D$7:$D$751&gt;=Lists!$AE7)*(Demographics!$D$7:$D$751&lt;=Lists!$AF7))</f>
        <v>0</v>
      </c>
      <c r="AF13" s="165">
        <f>SUMPRODUCT((Demographics!$F$7:$F$751=AF$6)*(Demographics!$D$7:$D$751&gt;=Lists!$AE7)*(Demographics!$D$7:$D$751&lt;=Lists!$AF7))</f>
        <v>0</v>
      </c>
      <c r="AG13" s="165">
        <f>SUMPRODUCT((Demographics!$F$7:$F$751=AG$6)*(Demographics!$D$7:$D$751&gt;=Lists!$AE7)*(Demographics!$D$7:$D$751&lt;=Lists!$AF7))</f>
        <v>0</v>
      </c>
      <c r="AH13" s="165">
        <f>SUMPRODUCT((Demographics!$F$7:$F$751=AH$6)*(Demographics!$D$7:$D$751&gt;=Lists!$AE7)*(Demographics!$D$7:$D$751&lt;=Lists!$AF7))</f>
        <v>0</v>
      </c>
      <c r="AI13" s="165">
        <f>SUMPRODUCT((Demographics!$F$7:$F$751=AI$6)*(Demographics!$D$7:$D$751&gt;=Lists!$AE7)*(Demographics!$D$7:$D$751&lt;=Lists!$AF7))</f>
        <v>0</v>
      </c>
      <c r="AJ13" s="173">
        <f>SUMPRODUCT((Demographics!$F$7:$F$751=AJ$6)*(Demographics!$D$7:$D$751&gt;=Lists!$AE7)*(Demographics!$D$7:$D$751&lt;=Lists!$AF7))</f>
        <v>0</v>
      </c>
      <c r="AK13" s="145">
        <f t="shared" si="2"/>
        <v>0</v>
      </c>
      <c r="AL13" s="164">
        <f>SUMPRODUCT((Demographics!$G$7:$G$751=AL$6)*(Demographics!$D$7:$D$751&gt;=Lists!$AE7)*(Demographics!$D$7:$D$751&lt;=Lists!$AF7))</f>
        <v>0</v>
      </c>
      <c r="AM13" s="165">
        <f>SUMPRODUCT((Demographics!$G$7:$G$751=AM$6)*(Demographics!$D$7:$D$751&gt;=Lists!$AE7)*(Demographics!$D$7:$D$751&lt;=Lists!$AF7))</f>
        <v>0</v>
      </c>
      <c r="AN13" s="166">
        <f>SUMPRODUCT((Demographics!$G$7:$G$751=AN$6)*(Demographics!$D$7:$D$751&gt;=Lists!$AE7)*(Demographics!$D$7:$D$751&lt;=Lists!$AF7))</f>
        <v>0</v>
      </c>
      <c r="AO13" s="178">
        <f t="shared" si="3"/>
        <v>0</v>
      </c>
      <c r="AP13" s="175">
        <f>SUMPRODUCT((Demographics!$J$7:$J$751=AP$6)*(Demographics!$D$7:$D$751&gt;=Lists!$AE7)*(Demographics!$D$7:$D$751&lt;=Lists!$AF7))</f>
        <v>0</v>
      </c>
      <c r="AQ13" s="173">
        <f>SUMPRODUCT((Demographics!$J$7:$J$751=AQ$6)*(Demographics!$D$7:$D$751&gt;=Lists!$AE7)*(Demographics!$D$7:$D$751&lt;=Lists!$AF7))</f>
        <v>0</v>
      </c>
      <c r="AR13" s="178">
        <f t="shared" si="4"/>
        <v>0</v>
      </c>
      <c r="AS13" s="164">
        <f>SUMPRODUCT((Demographics!$K$7:$K$751=AS$6)*(Demographics!$D$7:$D$751&gt;=Lists!$AE7)*(Demographics!$D$7:$D$751&lt;=Lists!$AF7))</f>
        <v>0</v>
      </c>
      <c r="AT13" s="165">
        <f>SUMPRODUCT((Demographics!$K$7:$K$751=AT$6)*(Demographics!$D$7:$D$751&gt;=Lists!$AE7)*(Demographics!$D$7:$D$751&lt;=Lists!$AF7))</f>
        <v>0</v>
      </c>
      <c r="AU13" s="165">
        <f>SUMPRODUCT((Demographics!$K$7:$K$751=AU$6)*(Demographics!$D$7:$D$751&gt;=Lists!$AE7)*(Demographics!$D$7:$D$751&lt;=Lists!$AF7))</f>
        <v>0</v>
      </c>
      <c r="AV13" s="166">
        <f>SUMPRODUCT((Demographics!$K$7:$K$751=AV$6)*(Demographics!$D$7:$D$751&gt;=Lists!$AE7)*(Demographics!$D$7:$D$751&lt;=Lists!$AF7))</f>
        <v>0</v>
      </c>
      <c r="AW13" s="159">
        <f t="shared" si="5"/>
        <v>0</v>
      </c>
      <c r="AX13" s="164">
        <f>SUMPRODUCT((Demographics!$M$7:$M$751=AX$6)*(Demographics!$D$7:$D$751&gt;=Lists!$AE7)*(Demographics!$D$7:$D$751&lt;=Lists!$AF7))</f>
        <v>0</v>
      </c>
      <c r="AY13" s="165">
        <f>SUMPRODUCT((Demographics!$M$7:$M$751=AY$6)*(Demographics!$D$7:$D$751&gt;=Lists!$AE7)*(Demographics!$D$7:$D$751&lt;=Lists!$AF7))</f>
        <v>0</v>
      </c>
      <c r="AZ13" s="165">
        <f>SUMPRODUCT((Demographics!$M$7:$M$751=AZ$6)*(Demographics!$D$7:$D$751&gt;=Lists!$AE7)*(Demographics!$D$7:$D$751&lt;=Lists!$AF7))</f>
        <v>0</v>
      </c>
      <c r="BA13" s="165">
        <f>SUMPRODUCT((Demographics!$M$7:$M$751=BA$6)*(Demographics!$D$7:$D$751&gt;=Lists!$AE7)*(Demographics!$D$7:$D$751&lt;=Lists!$AF7))</f>
        <v>0</v>
      </c>
      <c r="BB13" s="165">
        <f>SUMPRODUCT((Demographics!$M$7:$M$751=BB$6)*(Demographics!$D$7:$D$751&gt;=Lists!$AE7)*(Demographics!$D$7:$D$751&lt;=Lists!$AF7))</f>
        <v>0</v>
      </c>
      <c r="BC13" s="165">
        <f>SUMPRODUCT((Demographics!$M$7:$M$751=BC$6)*(Demographics!$D$7:$D$751&gt;=Lists!$AE7)*(Demographics!$D$7:$D$751&lt;=Lists!$AF7))</f>
        <v>0</v>
      </c>
      <c r="BD13" s="166">
        <f>SUMPRODUCT((Demographics!$M$7:$M$751=BD$6)*(Demographics!$D$7:$D$751&gt;=Lists!$AE7)*(Demographics!$D$7:$D$751&lt;=Lists!$AF7))</f>
        <v>0</v>
      </c>
      <c r="BE13" s="178">
        <f t="shared" si="6"/>
        <v>0</v>
      </c>
      <c r="BF13" s="164">
        <f>SUMPRODUCT((Demographics!$N$7:$N$751=BF$6)*(Demographics!$D$7:$D$751&gt;=Lists!$AE7)*(Demographics!$D$7:$D$751&lt;=Lists!$AF7))</f>
        <v>0</v>
      </c>
      <c r="BG13" s="165">
        <f>SUMPRODUCT((Demographics!$N$7:$N$751=BG$6)*(Demographics!$D$7:$D$751&gt;=Lists!$AE7)*(Demographics!$D$7:$D$751&lt;=Lists!$AF7))</f>
        <v>0</v>
      </c>
      <c r="BH13" s="165">
        <f>SUMPRODUCT((Demographics!$N$7:$N$751=BH$6)*(Demographics!$D$7:$D$751&gt;=Lists!$AE7)*(Demographics!$D$7:$D$751&lt;=Lists!$AF7))</f>
        <v>0</v>
      </c>
      <c r="BI13" s="165">
        <f>SUMPRODUCT((Demographics!$N$7:$N$751=BI$6)*(Demographics!$D$7:$D$751&gt;=Lists!$AE7)*(Demographics!$D$7:$D$751&lt;=Lists!$AF7))</f>
        <v>0</v>
      </c>
      <c r="BJ13" s="165">
        <f>SUMPRODUCT((Demographics!$N$7:$N$751=BJ$6)*(Demographics!$D$7:$D$751&gt;=Lists!$AE7)*(Demographics!$D$7:$D$751&lt;=Lists!$AF7))</f>
        <v>0</v>
      </c>
      <c r="BK13" s="166">
        <f>SUMPRODUCT((Demographics!$N$7:$N$751=BK$6)*(Demographics!$D$7:$D$751&gt;=Lists!$AE7)*(Demographics!$D$7:$D$751&lt;=Lists!$AF7))</f>
        <v>0</v>
      </c>
      <c r="BL13" s="166">
        <f>SUMPRODUCT((Demographics!$N$7:$N$751=BL$6)*(Demographics!$D$7:$D$751&gt;=Lists!$AE7)*(Demographics!$D$7:$D$751&lt;=Lists!$AF7))</f>
        <v>0</v>
      </c>
      <c r="BM13" s="159">
        <f t="shared" si="7"/>
        <v>0</v>
      </c>
      <c r="BN13" s="534">
        <f t="shared" si="8"/>
        <v>0</v>
      </c>
      <c r="BP13" s="15"/>
      <c r="BQ13" s="15"/>
      <c r="BR13" s="15"/>
      <c r="BS13" s="15"/>
      <c r="BT13" s="15"/>
      <c r="BU13" s="15"/>
      <c r="BV13" s="15"/>
      <c r="BW13" s="16"/>
      <c r="BX13" s="15"/>
      <c r="BY13" s="15"/>
      <c r="BZ13" s="15"/>
      <c r="CA13" s="15"/>
    </row>
    <row r="14" spans="1:81" ht="15" customHeight="1" x14ac:dyDescent="0.35">
      <c r="A14" s="570">
        <v>45931</v>
      </c>
      <c r="B14" s="175">
        <f>SUMPRODUCT((Demographics!$H$7:$H$751=B$6)*(Demographics!$D$7:$D$751&gt;=Lists!$AE8)*(Demographics!$D$7:$D$751&lt;=Lists!$AF8))</f>
        <v>0</v>
      </c>
      <c r="C14" s="165">
        <f>SUMPRODUCT((Demographics!$H$7:$H$751=C$6)*(Demographics!$D$7:$D$751&gt;=Lists!$AE8)*(Demographics!$D$7:$D$751&lt;=Lists!$AF8))</f>
        <v>0</v>
      </c>
      <c r="D14" s="165">
        <f>SUMPRODUCT((Demographics!$H$7:$H$751=D$6)*(Demographics!$D$7:$D$751&gt;=Lists!$AE8)*(Demographics!$D$7:$D$751&lt;=Lists!$AF8))</f>
        <v>0</v>
      </c>
      <c r="E14" s="165">
        <f>SUMPRODUCT((Demographics!$H$7:$H$751=E$6)*(Demographics!$D$7:$D$751&gt;=Lists!$AE8)*(Demographics!$D$7:$D$751&lt;=Lists!$AF8))</f>
        <v>0</v>
      </c>
      <c r="F14" s="165">
        <f>SUMPRODUCT((Demographics!$H$7:$H$751=F$6)*(Demographics!$D$7:$D$751&gt;=Lists!$AE8)*(Demographics!$D$7:$D$751&lt;=Lists!$AF8))</f>
        <v>0</v>
      </c>
      <c r="G14" s="165">
        <f>SUMPRODUCT((Demographics!$H$7:$H$751=G$6)*(Demographics!$D$7:$D$751&gt;=Lists!$AE8)*(Demographics!$D$7:$D$751&lt;=Lists!$AF8))</f>
        <v>0</v>
      </c>
      <c r="H14" s="173">
        <f>SUMPRODUCT((Demographics!$H$7:$H$751=H$6)*(Demographics!$D$7:$D$751&gt;=Lists!$AE8)*(Demographics!$D$7:$D$751&lt;=Lists!$AF8))</f>
        <v>0</v>
      </c>
      <c r="I14" s="170">
        <f t="shared" si="0"/>
        <v>0</v>
      </c>
      <c r="J14" s="164">
        <f>SUMPRODUCT((Demographics!$I$7:$I$751=J$6)*(Demographics!$D$7:$D$751&gt;=Lists!$AE8)*(Demographics!$D$7:$D$751&lt;=Lists!$AF8))</f>
        <v>0</v>
      </c>
      <c r="K14" s="165">
        <f>SUMPRODUCT((Demographics!$I$7:$I$751=K$6)*(Demographics!$D$7:$D$751&gt;=Lists!$AE8)*(Demographics!$D$7:$D$751&lt;=Lists!$AF8))</f>
        <v>0</v>
      </c>
      <c r="L14" s="165">
        <f>SUMPRODUCT((Demographics!$I$7:$I$751=L$6)*(Demographics!$D$7:$D$751&gt;=Lists!$AE8)*(Demographics!$D$7:$D$751&lt;=Lists!$AF8))</f>
        <v>0</v>
      </c>
      <c r="M14" s="165">
        <f>SUMPRODUCT((Demographics!$I$7:$I$751=M$6)*(Demographics!$D$7:$D$751&gt;=Lists!$AE8)*(Demographics!$D$7:$D$751&lt;=Lists!$AF8))</f>
        <v>0</v>
      </c>
      <c r="N14" s="165">
        <f>SUMPRODUCT((Demographics!$I$7:$I$751=N$6)*(Demographics!$D$7:$D$751&gt;=Lists!$AE8)*(Demographics!$D$7:$D$751&lt;=Lists!$AF8))</f>
        <v>0</v>
      </c>
      <c r="O14" s="165">
        <f>SUMPRODUCT((Demographics!$I$7:$I$751=O$6)*(Demographics!$D$7:$D$751&gt;=Lists!$AE8)*(Demographics!$D$7:$D$751&lt;=Lists!$AF8))</f>
        <v>0</v>
      </c>
      <c r="P14" s="165">
        <f>SUMPRODUCT((Demographics!$I$7:$I$751=P$6)*(Demographics!$D$7:$D$751&gt;=Lists!$AE8)*(Demographics!$D$7:$D$751&lt;=Lists!$AF8))</f>
        <v>0</v>
      </c>
      <c r="Q14" s="165">
        <f>SUMPRODUCT((Demographics!$I$7:$I$751=Q$6)*(Demographics!$D$7:$D$751&gt;=Lists!$AE8)*(Demographics!$D$7:$D$751&lt;=Lists!$AF8))</f>
        <v>0</v>
      </c>
      <c r="R14" s="165">
        <f>SUMPRODUCT((Demographics!$I$7:$I$751=R$6)*(Demographics!$D$7:$D$751&gt;=Lists!$AE8)*(Demographics!$D$7:$D$751&lt;=Lists!$AF8))</f>
        <v>0</v>
      </c>
      <c r="S14" s="165">
        <f>SUMPRODUCT((Demographics!$I$7:$I$751=S$6)*(Demographics!$D$7:$D$751&gt;=Lists!$AE8)*(Demographics!$D$7:$D$751&lt;=Lists!$AF8))</f>
        <v>0</v>
      </c>
      <c r="T14" s="165">
        <f>SUMPRODUCT((Demographics!$I$7:$I$751=T$6)*(Demographics!$D$7:$D$751&gt;=Lists!$AE8)*(Demographics!$D$7:$D$751&lt;=Lists!$AF8))</f>
        <v>0</v>
      </c>
      <c r="U14" s="165">
        <f>SUMPRODUCT((Demographics!$I$7:$I$751=U$6)*(Demographics!$D$7:$D$751&gt;=Lists!$AE8)*(Demographics!$D$7:$D$751&lt;=Lists!$AF8))</f>
        <v>0</v>
      </c>
      <c r="V14" s="165">
        <f>SUMPRODUCT((Demographics!$I$7:$I$751=V$6)*(Demographics!$D$7:$D$751&gt;=Lists!$AE8)*(Demographics!$D$7:$D$751&lt;=Lists!$AF8))</f>
        <v>0</v>
      </c>
      <c r="W14" s="165">
        <f>SUMPRODUCT((Demographics!$I$7:$I$751=W$6)*(Demographics!$D$7:$D$751&gt;=Lists!$AE8)*(Demographics!$D$7:$D$751&lt;=Lists!$AF8))</f>
        <v>0</v>
      </c>
      <c r="X14" s="165">
        <f>SUMPRODUCT((Demographics!$I$7:$I$751=X$6)*(Demographics!$D$7:$D$751&gt;=Lists!$AE8)*(Demographics!$D$7:$D$751&lt;=Lists!$AF8))</f>
        <v>0</v>
      </c>
      <c r="Y14" s="166">
        <f>SUMPRODUCT((Demographics!$I$7:$I$751=Y$6)*(Demographics!$D$7:$D$751&gt;=Lists!$AE8)*(Demographics!$D$7:$D$751&lt;=Lists!$AF8))</f>
        <v>0</v>
      </c>
      <c r="Z14" s="145">
        <f t="shared" si="1"/>
        <v>0</v>
      </c>
      <c r="AA14" s="175">
        <f>SUMPRODUCT((Demographics!$F$7:$F$751=AA$6)*(Demographics!$D$7:$D$751&gt;=Lists!$AE8)*(Demographics!$D$7:$D$751&lt;=Lists!$AF8))</f>
        <v>0</v>
      </c>
      <c r="AB14" s="165">
        <f>SUMPRODUCT((Demographics!$F$7:$F$751=AB$6)*(Demographics!$D$7:$D$751&gt;=Lists!$AE8)*(Demographics!$D$7:$D$751&lt;=Lists!$AF8))</f>
        <v>0</v>
      </c>
      <c r="AC14" s="165">
        <f>SUMPRODUCT((Demographics!$F$7:$F$751=AC$6)*(Demographics!$D$7:$D$751&gt;=Lists!$AE8)*(Demographics!$D$7:$D$751&lt;=Lists!$AF8))</f>
        <v>0</v>
      </c>
      <c r="AD14" s="165">
        <f>SUMPRODUCT((Demographics!$F$7:$F$751=AD$6)*(Demographics!$D$7:$D$751&gt;=Lists!$AE8)*(Demographics!$D$7:$D$751&lt;=Lists!$AF8))</f>
        <v>0</v>
      </c>
      <c r="AE14" s="165">
        <f>SUMPRODUCT((Demographics!$F$7:$F$751=AE$6)*(Demographics!$D$7:$D$751&gt;=Lists!$AE8)*(Demographics!$D$7:$D$751&lt;=Lists!$AF8))</f>
        <v>0</v>
      </c>
      <c r="AF14" s="165">
        <f>SUMPRODUCT((Demographics!$F$7:$F$751=AF$6)*(Demographics!$D$7:$D$751&gt;=Lists!$AE8)*(Demographics!$D$7:$D$751&lt;=Lists!$AF8))</f>
        <v>0</v>
      </c>
      <c r="AG14" s="165">
        <f>SUMPRODUCT((Demographics!$F$7:$F$751=AG$6)*(Demographics!$D$7:$D$751&gt;=Lists!$AE8)*(Demographics!$D$7:$D$751&lt;=Lists!$AF8))</f>
        <v>0</v>
      </c>
      <c r="AH14" s="165">
        <f>SUMPRODUCT((Demographics!$F$7:$F$751=AH$6)*(Demographics!$D$7:$D$751&gt;=Lists!$AE8)*(Demographics!$D$7:$D$751&lt;=Lists!$AF8))</f>
        <v>0</v>
      </c>
      <c r="AI14" s="165">
        <f>SUMPRODUCT((Demographics!$F$7:$F$751=AI$6)*(Demographics!$D$7:$D$751&gt;=Lists!$AE8)*(Demographics!$D$7:$D$751&lt;=Lists!$AF8))</f>
        <v>0</v>
      </c>
      <c r="AJ14" s="173">
        <f>SUMPRODUCT((Demographics!$F$7:$F$751=AJ$6)*(Demographics!$D$7:$D$751&gt;=Lists!$AE8)*(Demographics!$D$7:$D$751&lt;=Lists!$AF8))</f>
        <v>0</v>
      </c>
      <c r="AK14" s="145">
        <f t="shared" si="2"/>
        <v>0</v>
      </c>
      <c r="AL14" s="164">
        <f>SUMPRODUCT((Demographics!$G$7:$G$751=AL$6)*(Demographics!$D$7:$D$751&gt;=Lists!$AE8)*(Demographics!$D$7:$D$751&lt;=Lists!$AF8))</f>
        <v>0</v>
      </c>
      <c r="AM14" s="165">
        <f>SUMPRODUCT((Demographics!$G$7:$G$751=AM$6)*(Demographics!$D$7:$D$751&gt;=Lists!$AE8)*(Demographics!$D$7:$D$751&lt;=Lists!$AF8))</f>
        <v>0</v>
      </c>
      <c r="AN14" s="166">
        <f>SUMPRODUCT((Demographics!$G$7:$G$751=AN$6)*(Demographics!$D$7:$D$751&gt;=Lists!$AE8)*(Demographics!$D$7:$D$751&lt;=Lists!$AF8))</f>
        <v>0</v>
      </c>
      <c r="AO14" s="178">
        <f t="shared" si="3"/>
        <v>0</v>
      </c>
      <c r="AP14" s="175">
        <f>SUMPRODUCT((Demographics!$J$7:$J$751=AP$6)*(Demographics!$D$7:$D$751&gt;=Lists!$AE8)*(Demographics!$D$7:$D$751&lt;=Lists!$AF8))</f>
        <v>0</v>
      </c>
      <c r="AQ14" s="173">
        <f>SUMPRODUCT((Demographics!$J$7:$J$751=AQ$6)*(Demographics!$D$7:$D$751&gt;=Lists!$AE8)*(Demographics!$D$7:$D$751&lt;=Lists!$AF8))</f>
        <v>0</v>
      </c>
      <c r="AR14" s="178">
        <f t="shared" si="4"/>
        <v>0</v>
      </c>
      <c r="AS14" s="164">
        <f>SUMPRODUCT((Demographics!$K$7:$K$751=AS$6)*(Demographics!$D$7:$D$751&gt;=Lists!$AE8)*(Demographics!$D$7:$D$751&lt;=Lists!$AF8))</f>
        <v>0</v>
      </c>
      <c r="AT14" s="165">
        <f>SUMPRODUCT((Demographics!$K$7:$K$751=AT$6)*(Demographics!$D$7:$D$751&gt;=Lists!$AE8)*(Demographics!$D$7:$D$751&lt;=Lists!$AF8))</f>
        <v>0</v>
      </c>
      <c r="AU14" s="165">
        <f>SUMPRODUCT((Demographics!$K$7:$K$751=AU$6)*(Demographics!$D$7:$D$751&gt;=Lists!$AE8)*(Demographics!$D$7:$D$751&lt;=Lists!$AF8))</f>
        <v>0</v>
      </c>
      <c r="AV14" s="166">
        <f>SUMPRODUCT((Demographics!$K$7:$K$751=AV$6)*(Demographics!$D$7:$D$751&gt;=Lists!$AE8)*(Demographics!$D$7:$D$751&lt;=Lists!$AF8))</f>
        <v>0</v>
      </c>
      <c r="AW14" s="159">
        <f t="shared" si="5"/>
        <v>0</v>
      </c>
      <c r="AX14" s="164">
        <f>SUMPRODUCT((Demographics!$M$7:$M$751=AX$6)*(Demographics!$D$7:$D$751&gt;=Lists!$AE8)*(Demographics!$D$7:$D$751&lt;=Lists!$AF8))</f>
        <v>0</v>
      </c>
      <c r="AY14" s="165">
        <f>SUMPRODUCT((Demographics!$M$7:$M$751=AY$6)*(Demographics!$D$7:$D$751&gt;=Lists!$AE8)*(Demographics!$D$7:$D$751&lt;=Lists!$AF8))</f>
        <v>0</v>
      </c>
      <c r="AZ14" s="165">
        <f>SUMPRODUCT((Demographics!$M$7:$M$751=AZ$6)*(Demographics!$D$7:$D$751&gt;=Lists!$AE8)*(Demographics!$D$7:$D$751&lt;=Lists!$AF8))</f>
        <v>0</v>
      </c>
      <c r="BA14" s="165">
        <f>SUMPRODUCT((Demographics!$M$7:$M$751=BA$6)*(Demographics!$D$7:$D$751&gt;=Lists!$AE8)*(Demographics!$D$7:$D$751&lt;=Lists!$AF8))</f>
        <v>0</v>
      </c>
      <c r="BB14" s="165">
        <f>SUMPRODUCT((Demographics!$M$7:$M$751=BB$6)*(Demographics!$D$7:$D$751&gt;=Lists!$AE8)*(Demographics!$D$7:$D$751&lt;=Lists!$AF8))</f>
        <v>0</v>
      </c>
      <c r="BC14" s="165">
        <f>SUMPRODUCT((Demographics!$M$7:$M$751=BC$6)*(Demographics!$D$7:$D$751&gt;=Lists!$AE8)*(Demographics!$D$7:$D$751&lt;=Lists!$AF8))</f>
        <v>0</v>
      </c>
      <c r="BD14" s="166">
        <f>SUMPRODUCT((Demographics!$M$7:$M$751=BD$6)*(Demographics!$D$7:$D$751&gt;=Lists!$AE8)*(Demographics!$D$7:$D$751&lt;=Lists!$AF8))</f>
        <v>0</v>
      </c>
      <c r="BE14" s="178">
        <f t="shared" si="6"/>
        <v>0</v>
      </c>
      <c r="BF14" s="164">
        <f>SUMPRODUCT((Demographics!$N$7:$N$751=BF$6)*(Demographics!$D$7:$D$751&gt;=Lists!$AE8)*(Demographics!$D$7:$D$751&lt;=Lists!$AF8))</f>
        <v>0</v>
      </c>
      <c r="BG14" s="165">
        <f>SUMPRODUCT((Demographics!$N$7:$N$751=BG$6)*(Demographics!$D$7:$D$751&gt;=Lists!$AE8)*(Demographics!$D$7:$D$751&lt;=Lists!$AF8))</f>
        <v>0</v>
      </c>
      <c r="BH14" s="165">
        <f>SUMPRODUCT((Demographics!$N$7:$N$751=BH$6)*(Demographics!$D$7:$D$751&gt;=Lists!$AE8)*(Demographics!$D$7:$D$751&lt;=Lists!$AF8))</f>
        <v>0</v>
      </c>
      <c r="BI14" s="165">
        <f>SUMPRODUCT((Demographics!$N$7:$N$751=BI$6)*(Demographics!$D$7:$D$751&gt;=Lists!$AE8)*(Demographics!$D$7:$D$751&lt;=Lists!$AF8))</f>
        <v>0</v>
      </c>
      <c r="BJ14" s="165">
        <f>SUMPRODUCT((Demographics!$N$7:$N$751=BJ$6)*(Demographics!$D$7:$D$751&gt;=Lists!$AE8)*(Demographics!$D$7:$D$751&lt;=Lists!$AF8))</f>
        <v>0</v>
      </c>
      <c r="BK14" s="166">
        <f>SUMPRODUCT((Demographics!$N$7:$N$751=BK$6)*(Demographics!$D$7:$D$751&gt;=Lists!$AE8)*(Demographics!$D$7:$D$751&lt;=Lists!$AF8))</f>
        <v>0</v>
      </c>
      <c r="BL14" s="166">
        <f>SUMPRODUCT((Demographics!$N$7:$N$751=BL$6)*(Demographics!$D$7:$D$751&gt;=Lists!$AE8)*(Demographics!$D$7:$D$751&lt;=Lists!$AF8))</f>
        <v>0</v>
      </c>
      <c r="BM14" s="159">
        <f t="shared" si="7"/>
        <v>0</v>
      </c>
      <c r="BN14" s="534">
        <f t="shared" si="8"/>
        <v>0</v>
      </c>
      <c r="BP14" s="15"/>
      <c r="BQ14" s="15"/>
      <c r="BR14" s="15"/>
      <c r="BS14" s="15"/>
      <c r="BT14" s="15"/>
      <c r="BU14" s="15"/>
      <c r="BV14" s="15"/>
      <c r="BW14" s="16"/>
      <c r="BX14" s="15"/>
      <c r="BY14" s="15"/>
      <c r="BZ14" s="15"/>
      <c r="CA14" s="15"/>
    </row>
    <row r="15" spans="1:81" ht="15" customHeight="1" x14ac:dyDescent="0.35">
      <c r="A15" s="570">
        <v>45962</v>
      </c>
      <c r="B15" s="175">
        <f>SUMPRODUCT((Demographics!$H$7:$H$751=B$6)*(Demographics!$D$7:$D$751&gt;=Lists!$AE9)*(Demographics!$D$7:$D$751&lt;=Lists!$AF9))</f>
        <v>0</v>
      </c>
      <c r="C15" s="165">
        <f>SUMPRODUCT((Demographics!$H$7:$H$751=C$6)*(Demographics!$D$7:$D$751&gt;=Lists!$AE9)*(Demographics!$D$7:$D$751&lt;=Lists!$AF9))</f>
        <v>0</v>
      </c>
      <c r="D15" s="165">
        <f>SUMPRODUCT((Demographics!$H$7:$H$751=D$6)*(Demographics!$D$7:$D$751&gt;=Lists!$AE9)*(Demographics!$D$7:$D$751&lt;=Lists!$AF9))</f>
        <v>0</v>
      </c>
      <c r="E15" s="165">
        <f>SUMPRODUCT((Demographics!$H$7:$H$751=E$6)*(Demographics!$D$7:$D$751&gt;=Lists!$AE9)*(Demographics!$D$7:$D$751&lt;=Lists!$AF9))</f>
        <v>0</v>
      </c>
      <c r="F15" s="165">
        <f>SUMPRODUCT((Demographics!$H$7:$H$751=F$6)*(Demographics!$D$7:$D$751&gt;=Lists!$AE9)*(Demographics!$D$7:$D$751&lt;=Lists!$AF9))</f>
        <v>0</v>
      </c>
      <c r="G15" s="165">
        <f>SUMPRODUCT((Demographics!$H$7:$H$751=G$6)*(Demographics!$D$7:$D$751&gt;=Lists!$AE9)*(Demographics!$D$7:$D$751&lt;=Lists!$AF9))</f>
        <v>0</v>
      </c>
      <c r="H15" s="173">
        <f>SUMPRODUCT((Demographics!$H$7:$H$751=H$6)*(Demographics!$D$7:$D$751&gt;=Lists!$AE9)*(Demographics!$D$7:$D$751&lt;=Lists!$AF9))</f>
        <v>0</v>
      </c>
      <c r="I15" s="170">
        <f t="shared" si="0"/>
        <v>0</v>
      </c>
      <c r="J15" s="164">
        <f>SUMPRODUCT((Demographics!$I$7:$I$751=J$6)*(Demographics!$D$7:$D$751&gt;=Lists!$AE9)*(Demographics!$D$7:$D$751&lt;=Lists!$AF9))</f>
        <v>0</v>
      </c>
      <c r="K15" s="165">
        <f>SUMPRODUCT((Demographics!$I$7:$I$751=K$6)*(Demographics!$D$7:$D$751&gt;=Lists!$AE9)*(Demographics!$D$7:$D$751&lt;=Lists!$AF9))</f>
        <v>0</v>
      </c>
      <c r="L15" s="165">
        <f>SUMPRODUCT((Demographics!$I$7:$I$751=L$6)*(Demographics!$D$7:$D$751&gt;=Lists!$AE9)*(Demographics!$D$7:$D$751&lt;=Lists!$AF9))</f>
        <v>0</v>
      </c>
      <c r="M15" s="165">
        <f>SUMPRODUCT((Demographics!$I$7:$I$751=M$6)*(Demographics!$D$7:$D$751&gt;=Lists!$AE9)*(Demographics!$D$7:$D$751&lt;=Lists!$AF9))</f>
        <v>0</v>
      </c>
      <c r="N15" s="165">
        <f>SUMPRODUCT((Demographics!$I$7:$I$751=N$6)*(Demographics!$D$7:$D$751&gt;=Lists!$AE9)*(Demographics!$D$7:$D$751&lt;=Lists!$AF9))</f>
        <v>0</v>
      </c>
      <c r="O15" s="165">
        <f>SUMPRODUCT((Demographics!$I$7:$I$751=O$6)*(Demographics!$D$7:$D$751&gt;=Lists!$AE9)*(Demographics!$D$7:$D$751&lt;=Lists!$AF9))</f>
        <v>0</v>
      </c>
      <c r="P15" s="165">
        <f>SUMPRODUCT((Demographics!$I$7:$I$751=P$6)*(Demographics!$D$7:$D$751&gt;=Lists!$AE9)*(Demographics!$D$7:$D$751&lt;=Lists!$AF9))</f>
        <v>0</v>
      </c>
      <c r="Q15" s="165">
        <f>SUMPRODUCT((Demographics!$I$7:$I$751=Q$6)*(Demographics!$D$7:$D$751&gt;=Lists!$AE9)*(Demographics!$D$7:$D$751&lt;=Lists!$AF9))</f>
        <v>0</v>
      </c>
      <c r="R15" s="165">
        <f>SUMPRODUCT((Demographics!$I$7:$I$751=R$6)*(Demographics!$D$7:$D$751&gt;=Lists!$AE9)*(Demographics!$D$7:$D$751&lt;=Lists!$AF9))</f>
        <v>0</v>
      </c>
      <c r="S15" s="165">
        <f>SUMPRODUCT((Demographics!$I$7:$I$751=S$6)*(Demographics!$D$7:$D$751&gt;=Lists!$AE9)*(Demographics!$D$7:$D$751&lt;=Lists!$AF9))</f>
        <v>0</v>
      </c>
      <c r="T15" s="165">
        <f>SUMPRODUCT((Demographics!$I$7:$I$751=T$6)*(Demographics!$D$7:$D$751&gt;=Lists!$AE9)*(Demographics!$D$7:$D$751&lt;=Lists!$AF9))</f>
        <v>0</v>
      </c>
      <c r="U15" s="165">
        <f>SUMPRODUCT((Demographics!$I$7:$I$751=U$6)*(Demographics!$D$7:$D$751&gt;=Lists!$AE9)*(Demographics!$D$7:$D$751&lt;=Lists!$AF9))</f>
        <v>0</v>
      </c>
      <c r="V15" s="165">
        <f>SUMPRODUCT((Demographics!$I$7:$I$751=V$6)*(Demographics!$D$7:$D$751&gt;=Lists!$AE9)*(Demographics!$D$7:$D$751&lt;=Lists!$AF9))</f>
        <v>0</v>
      </c>
      <c r="W15" s="165">
        <f>SUMPRODUCT((Demographics!$I$7:$I$751=W$6)*(Demographics!$D$7:$D$751&gt;=Lists!$AE9)*(Demographics!$D$7:$D$751&lt;=Lists!$AF9))</f>
        <v>0</v>
      </c>
      <c r="X15" s="165">
        <f>SUMPRODUCT((Demographics!$I$7:$I$751=X$6)*(Demographics!$D$7:$D$751&gt;=Lists!$AE9)*(Demographics!$D$7:$D$751&lt;=Lists!$AF9))</f>
        <v>0</v>
      </c>
      <c r="Y15" s="166">
        <f>SUMPRODUCT((Demographics!$I$7:$I$751=Y$6)*(Demographics!$D$7:$D$751&gt;=Lists!$AE9)*(Demographics!$D$7:$D$751&lt;=Lists!$AF9))</f>
        <v>0</v>
      </c>
      <c r="Z15" s="145">
        <f t="shared" si="1"/>
        <v>0</v>
      </c>
      <c r="AA15" s="175">
        <f>SUMPRODUCT((Demographics!$F$7:$F$751=AA$6)*(Demographics!$D$7:$D$751&gt;=Lists!$AE9)*(Demographics!$D$7:$D$751&lt;=Lists!$AF9))</f>
        <v>0</v>
      </c>
      <c r="AB15" s="165">
        <f>SUMPRODUCT((Demographics!$F$7:$F$751=AB$6)*(Demographics!$D$7:$D$751&gt;=Lists!$AE9)*(Demographics!$D$7:$D$751&lt;=Lists!$AF9))</f>
        <v>0</v>
      </c>
      <c r="AC15" s="165">
        <f>SUMPRODUCT((Demographics!$F$7:$F$751=AC$6)*(Demographics!$D$7:$D$751&gt;=Lists!$AE9)*(Demographics!$D$7:$D$751&lt;=Lists!$AF9))</f>
        <v>0</v>
      </c>
      <c r="AD15" s="165">
        <f>SUMPRODUCT((Demographics!$F$7:$F$751=AD$6)*(Demographics!$D$7:$D$751&gt;=Lists!$AE9)*(Demographics!$D$7:$D$751&lt;=Lists!$AF9))</f>
        <v>0</v>
      </c>
      <c r="AE15" s="165">
        <f>SUMPRODUCT((Demographics!$F$7:$F$751=AE$6)*(Demographics!$D$7:$D$751&gt;=Lists!$AE9)*(Demographics!$D$7:$D$751&lt;=Lists!$AF9))</f>
        <v>0</v>
      </c>
      <c r="AF15" s="165">
        <f>SUMPRODUCT((Demographics!$F$7:$F$751=AF$6)*(Demographics!$D$7:$D$751&gt;=Lists!$AE9)*(Demographics!$D$7:$D$751&lt;=Lists!$AF9))</f>
        <v>0</v>
      </c>
      <c r="AG15" s="165">
        <f>SUMPRODUCT((Demographics!$F$7:$F$751=AG$6)*(Demographics!$D$7:$D$751&gt;=Lists!$AE9)*(Demographics!$D$7:$D$751&lt;=Lists!$AF9))</f>
        <v>0</v>
      </c>
      <c r="AH15" s="165">
        <f>SUMPRODUCT((Demographics!$F$7:$F$751=AH$6)*(Demographics!$D$7:$D$751&gt;=Lists!$AE9)*(Demographics!$D$7:$D$751&lt;=Lists!$AF9))</f>
        <v>0</v>
      </c>
      <c r="AI15" s="165">
        <f>SUMPRODUCT((Demographics!$F$7:$F$751=AI$6)*(Demographics!$D$7:$D$751&gt;=Lists!$AE9)*(Demographics!$D$7:$D$751&lt;=Lists!$AF9))</f>
        <v>0</v>
      </c>
      <c r="AJ15" s="173">
        <f>SUMPRODUCT((Demographics!$F$7:$F$751=AJ$6)*(Demographics!$D$7:$D$751&gt;=Lists!$AE9)*(Demographics!$D$7:$D$751&lt;=Lists!$AF9))</f>
        <v>0</v>
      </c>
      <c r="AK15" s="145">
        <f t="shared" si="2"/>
        <v>0</v>
      </c>
      <c r="AL15" s="164">
        <f>SUMPRODUCT((Demographics!$G$7:$G$751=AL$6)*(Demographics!$D$7:$D$751&gt;=Lists!$AE9)*(Demographics!$D$7:$D$751&lt;=Lists!$AF9))</f>
        <v>0</v>
      </c>
      <c r="AM15" s="165">
        <f>SUMPRODUCT((Demographics!$G$7:$G$751=AM$6)*(Demographics!$D$7:$D$751&gt;=Lists!$AE9)*(Demographics!$D$7:$D$751&lt;=Lists!$AF9))</f>
        <v>0</v>
      </c>
      <c r="AN15" s="166">
        <f>SUMPRODUCT((Demographics!$G$7:$G$751=AN$6)*(Demographics!$D$7:$D$751&gt;=Lists!$AE9)*(Demographics!$D$7:$D$751&lt;=Lists!$AF9))</f>
        <v>0</v>
      </c>
      <c r="AO15" s="178">
        <f t="shared" si="3"/>
        <v>0</v>
      </c>
      <c r="AP15" s="175">
        <f>SUMPRODUCT((Demographics!$J$7:$J$751=AP$6)*(Demographics!$D$7:$D$751&gt;=Lists!$AE9)*(Demographics!$D$7:$D$751&lt;=Lists!$AF9))</f>
        <v>0</v>
      </c>
      <c r="AQ15" s="173">
        <f>SUMPRODUCT((Demographics!$J$7:$J$751=AQ$6)*(Demographics!$D$7:$D$751&gt;=Lists!$AE9)*(Demographics!$D$7:$D$751&lt;=Lists!$AF9))</f>
        <v>0</v>
      </c>
      <c r="AR15" s="178">
        <f t="shared" si="4"/>
        <v>0</v>
      </c>
      <c r="AS15" s="164">
        <f>SUMPRODUCT((Demographics!$K$7:$K$751=AS$6)*(Demographics!$D$7:$D$751&gt;=Lists!$AE9)*(Demographics!$D$7:$D$751&lt;=Lists!$AF9))</f>
        <v>0</v>
      </c>
      <c r="AT15" s="165">
        <f>SUMPRODUCT((Demographics!$K$7:$K$751=AT$6)*(Demographics!$D$7:$D$751&gt;=Lists!$AE9)*(Demographics!$D$7:$D$751&lt;=Lists!$AF9))</f>
        <v>0</v>
      </c>
      <c r="AU15" s="165">
        <f>SUMPRODUCT((Demographics!$K$7:$K$751=AU$6)*(Demographics!$D$7:$D$751&gt;=Lists!$AE9)*(Demographics!$D$7:$D$751&lt;=Lists!$AF9))</f>
        <v>0</v>
      </c>
      <c r="AV15" s="166">
        <f>SUMPRODUCT((Demographics!$K$7:$K$751=AV$6)*(Demographics!$D$7:$D$751&gt;=Lists!$AE9)*(Demographics!$D$7:$D$751&lt;=Lists!$AF9))</f>
        <v>0</v>
      </c>
      <c r="AW15" s="159">
        <f t="shared" si="5"/>
        <v>0</v>
      </c>
      <c r="AX15" s="164">
        <f>SUMPRODUCT((Demographics!$M$7:$M$751=AX$6)*(Demographics!$D$7:$D$751&gt;=Lists!$AE9)*(Demographics!$D$7:$D$751&lt;=Lists!$AF9))</f>
        <v>0</v>
      </c>
      <c r="AY15" s="165">
        <f>SUMPRODUCT((Demographics!$M$7:$M$751=AY$6)*(Demographics!$D$7:$D$751&gt;=Lists!$AE9)*(Demographics!$D$7:$D$751&lt;=Lists!$AF9))</f>
        <v>0</v>
      </c>
      <c r="AZ15" s="165">
        <f>SUMPRODUCT((Demographics!$M$7:$M$751=AZ$6)*(Demographics!$D$7:$D$751&gt;=Lists!$AE9)*(Demographics!$D$7:$D$751&lt;=Lists!$AF9))</f>
        <v>0</v>
      </c>
      <c r="BA15" s="165">
        <f>SUMPRODUCT((Demographics!$M$7:$M$751=BA$6)*(Demographics!$D$7:$D$751&gt;=Lists!$AE9)*(Demographics!$D$7:$D$751&lt;=Lists!$AF9))</f>
        <v>0</v>
      </c>
      <c r="BB15" s="165">
        <f>SUMPRODUCT((Demographics!$M$7:$M$751=BB$6)*(Demographics!$D$7:$D$751&gt;=Lists!$AE9)*(Demographics!$D$7:$D$751&lt;=Lists!$AF9))</f>
        <v>0</v>
      </c>
      <c r="BC15" s="165">
        <f>SUMPRODUCT((Demographics!$M$7:$M$751=BC$6)*(Demographics!$D$7:$D$751&gt;=Lists!$AE9)*(Demographics!$D$7:$D$751&lt;=Lists!$AF9))</f>
        <v>0</v>
      </c>
      <c r="BD15" s="166">
        <f>SUMPRODUCT((Demographics!$M$7:$M$751=BD$6)*(Demographics!$D$7:$D$751&gt;=Lists!$AE9)*(Demographics!$D$7:$D$751&lt;=Lists!$AF9))</f>
        <v>0</v>
      </c>
      <c r="BE15" s="178">
        <f t="shared" si="6"/>
        <v>0</v>
      </c>
      <c r="BF15" s="164">
        <f>SUMPRODUCT((Demographics!$N$7:$N$751=BF$6)*(Demographics!$D$7:$D$751&gt;=Lists!$AE9)*(Demographics!$D$7:$D$751&lt;=Lists!$AF9))</f>
        <v>0</v>
      </c>
      <c r="BG15" s="165">
        <f>SUMPRODUCT((Demographics!$N$7:$N$751=BG$6)*(Demographics!$D$7:$D$751&gt;=Lists!$AE9)*(Demographics!$D$7:$D$751&lt;=Lists!$AF9))</f>
        <v>0</v>
      </c>
      <c r="BH15" s="165">
        <f>SUMPRODUCT((Demographics!$N$7:$N$751=BH$6)*(Demographics!$D$7:$D$751&gt;=Lists!$AE9)*(Demographics!$D$7:$D$751&lt;=Lists!$AF9))</f>
        <v>0</v>
      </c>
      <c r="BI15" s="165">
        <f>SUMPRODUCT((Demographics!$N$7:$N$751=BI$6)*(Demographics!$D$7:$D$751&gt;=Lists!$AE9)*(Demographics!$D$7:$D$751&lt;=Lists!$AF9))</f>
        <v>0</v>
      </c>
      <c r="BJ15" s="165">
        <f>SUMPRODUCT((Demographics!$N$7:$N$751=BJ$6)*(Demographics!$D$7:$D$751&gt;=Lists!$AE9)*(Demographics!$D$7:$D$751&lt;=Lists!$AF9))</f>
        <v>0</v>
      </c>
      <c r="BK15" s="166">
        <f>SUMPRODUCT((Demographics!$N$7:$N$751=BK$6)*(Demographics!$D$7:$D$751&gt;=Lists!$AE9)*(Demographics!$D$7:$D$751&lt;=Lists!$AF9))</f>
        <v>0</v>
      </c>
      <c r="BL15" s="166">
        <f>SUMPRODUCT((Demographics!$N$7:$N$751=BL$6)*(Demographics!$D$7:$D$751&gt;=Lists!$AE9)*(Demographics!$D$7:$D$751&lt;=Lists!$AF9))</f>
        <v>0</v>
      </c>
      <c r="BM15" s="159">
        <f t="shared" si="7"/>
        <v>0</v>
      </c>
      <c r="BN15" s="534">
        <f t="shared" si="8"/>
        <v>0</v>
      </c>
      <c r="BP15" s="15"/>
      <c r="BQ15" s="15"/>
      <c r="BR15" s="15"/>
      <c r="BS15" s="15"/>
      <c r="BT15" s="15"/>
      <c r="BU15" s="15"/>
      <c r="BV15" s="15"/>
      <c r="BW15" s="16"/>
      <c r="BX15" s="15"/>
      <c r="BY15" s="15"/>
      <c r="BZ15" s="15"/>
      <c r="CA15" s="15"/>
    </row>
    <row r="16" spans="1:81" ht="15" customHeight="1" x14ac:dyDescent="0.35">
      <c r="A16" s="570">
        <v>45992</v>
      </c>
      <c r="B16" s="175">
        <f>SUMPRODUCT((Demographics!$H$7:$H$751=B$6)*(Demographics!$D$7:$D$751&gt;=Lists!$AE10)*(Demographics!$D$7:$D$751&lt;=Lists!$AF10))</f>
        <v>0</v>
      </c>
      <c r="C16" s="165">
        <f>SUMPRODUCT((Demographics!$H$7:$H$751=C$6)*(Demographics!$D$7:$D$751&gt;=Lists!$AE10)*(Demographics!$D$7:$D$751&lt;=Lists!$AF10))</f>
        <v>0</v>
      </c>
      <c r="D16" s="165">
        <f>SUMPRODUCT((Demographics!$H$7:$H$751=D$6)*(Demographics!$D$7:$D$751&gt;=Lists!$AE10)*(Demographics!$D$7:$D$751&lt;=Lists!$AF10))</f>
        <v>0</v>
      </c>
      <c r="E16" s="165">
        <f>SUMPRODUCT((Demographics!$H$7:$H$751=E$6)*(Demographics!$D$7:$D$751&gt;=Lists!$AE10)*(Demographics!$D$7:$D$751&lt;=Lists!$AF10))</f>
        <v>0</v>
      </c>
      <c r="F16" s="165">
        <f>SUMPRODUCT((Demographics!$H$7:$H$751=F$6)*(Demographics!$D$7:$D$751&gt;=Lists!$AE10)*(Demographics!$D$7:$D$751&lt;=Lists!$AF10))</f>
        <v>0</v>
      </c>
      <c r="G16" s="165">
        <f>SUMPRODUCT((Demographics!$H$7:$H$751=G$6)*(Demographics!$D$7:$D$751&gt;=Lists!$AE10)*(Demographics!$D$7:$D$751&lt;=Lists!$AF10))</f>
        <v>0</v>
      </c>
      <c r="H16" s="173">
        <f>SUMPRODUCT((Demographics!$H$7:$H$751=H$6)*(Demographics!$D$7:$D$751&gt;=Lists!$AE10)*(Demographics!$D$7:$D$751&lt;=Lists!$AF10))</f>
        <v>0</v>
      </c>
      <c r="I16" s="170">
        <f t="shared" si="0"/>
        <v>0</v>
      </c>
      <c r="J16" s="164">
        <f>SUMPRODUCT((Demographics!$I$7:$I$751=J$6)*(Demographics!$D$7:$D$751&gt;=Lists!$AE10)*(Demographics!$D$7:$D$751&lt;=Lists!$AF10))</f>
        <v>0</v>
      </c>
      <c r="K16" s="165">
        <f>SUMPRODUCT((Demographics!$I$7:$I$751=K$6)*(Demographics!$D$7:$D$751&gt;=Lists!$AE10)*(Demographics!$D$7:$D$751&lt;=Lists!$AF10))</f>
        <v>0</v>
      </c>
      <c r="L16" s="165">
        <f>SUMPRODUCT((Demographics!$I$7:$I$751=L$6)*(Demographics!$D$7:$D$751&gt;=Lists!$AE10)*(Demographics!$D$7:$D$751&lt;=Lists!$AF10))</f>
        <v>0</v>
      </c>
      <c r="M16" s="165">
        <f>SUMPRODUCT((Demographics!$I$7:$I$751=M$6)*(Demographics!$D$7:$D$751&gt;=Lists!$AE10)*(Demographics!$D$7:$D$751&lt;=Lists!$AF10))</f>
        <v>0</v>
      </c>
      <c r="N16" s="165">
        <f>SUMPRODUCT((Demographics!$I$7:$I$751=N$6)*(Demographics!$D$7:$D$751&gt;=Lists!$AE10)*(Demographics!$D$7:$D$751&lt;=Lists!$AF10))</f>
        <v>0</v>
      </c>
      <c r="O16" s="165">
        <f>SUMPRODUCT((Demographics!$I$7:$I$751=O$6)*(Demographics!$D$7:$D$751&gt;=Lists!$AE10)*(Demographics!$D$7:$D$751&lt;=Lists!$AF10))</f>
        <v>0</v>
      </c>
      <c r="P16" s="165">
        <f>SUMPRODUCT((Demographics!$I$7:$I$751=P$6)*(Demographics!$D$7:$D$751&gt;=Lists!$AE10)*(Demographics!$D$7:$D$751&lt;=Lists!$AF10))</f>
        <v>0</v>
      </c>
      <c r="Q16" s="165">
        <f>SUMPRODUCT((Demographics!$I$7:$I$751=Q$6)*(Demographics!$D$7:$D$751&gt;=Lists!$AE10)*(Demographics!$D$7:$D$751&lt;=Lists!$AF10))</f>
        <v>0</v>
      </c>
      <c r="R16" s="165">
        <f>SUMPRODUCT((Demographics!$I$7:$I$751=R$6)*(Demographics!$D$7:$D$751&gt;=Lists!$AE10)*(Demographics!$D$7:$D$751&lt;=Lists!$AF10))</f>
        <v>0</v>
      </c>
      <c r="S16" s="165">
        <f>SUMPRODUCT((Demographics!$I$7:$I$751=S$6)*(Demographics!$D$7:$D$751&gt;=Lists!$AE10)*(Demographics!$D$7:$D$751&lt;=Lists!$AF10))</f>
        <v>0</v>
      </c>
      <c r="T16" s="165">
        <f>SUMPRODUCT((Demographics!$I$7:$I$751=T$6)*(Demographics!$D$7:$D$751&gt;=Lists!$AE10)*(Demographics!$D$7:$D$751&lt;=Lists!$AF10))</f>
        <v>0</v>
      </c>
      <c r="U16" s="165">
        <f>SUMPRODUCT((Demographics!$I$7:$I$751=U$6)*(Demographics!$D$7:$D$751&gt;=Lists!$AE10)*(Demographics!$D$7:$D$751&lt;=Lists!$AF10))</f>
        <v>0</v>
      </c>
      <c r="V16" s="165">
        <f>SUMPRODUCT((Demographics!$I$7:$I$751=V$6)*(Demographics!$D$7:$D$751&gt;=Lists!$AE10)*(Demographics!$D$7:$D$751&lt;=Lists!$AF10))</f>
        <v>0</v>
      </c>
      <c r="W16" s="165">
        <f>SUMPRODUCT((Demographics!$I$7:$I$751=W$6)*(Demographics!$D$7:$D$751&gt;=Lists!$AE10)*(Demographics!$D$7:$D$751&lt;=Lists!$AF10))</f>
        <v>0</v>
      </c>
      <c r="X16" s="165">
        <f>SUMPRODUCT((Demographics!$I$7:$I$751=X$6)*(Demographics!$D$7:$D$751&gt;=Lists!$AE10)*(Demographics!$D$7:$D$751&lt;=Lists!$AF10))</f>
        <v>0</v>
      </c>
      <c r="Y16" s="166">
        <f>SUMPRODUCT((Demographics!$I$7:$I$751=Y$6)*(Demographics!$D$7:$D$751&gt;=Lists!$AE10)*(Demographics!$D$7:$D$751&lt;=Lists!$AF10))</f>
        <v>0</v>
      </c>
      <c r="Z16" s="145">
        <f t="shared" si="1"/>
        <v>0</v>
      </c>
      <c r="AA16" s="175">
        <f>SUMPRODUCT((Demographics!$F$7:$F$751=AA$6)*(Demographics!$D$7:$D$751&gt;=Lists!$AE10)*(Demographics!$D$7:$D$751&lt;=Lists!$AF10))</f>
        <v>0</v>
      </c>
      <c r="AB16" s="165">
        <f>SUMPRODUCT((Demographics!$F$7:$F$751=AB$6)*(Demographics!$D$7:$D$751&gt;=Lists!$AE10)*(Demographics!$D$7:$D$751&lt;=Lists!$AF10))</f>
        <v>0</v>
      </c>
      <c r="AC16" s="165">
        <f>SUMPRODUCT((Demographics!$F$7:$F$751=AC$6)*(Demographics!$D$7:$D$751&gt;=Lists!$AE10)*(Demographics!$D$7:$D$751&lt;=Lists!$AF10))</f>
        <v>0</v>
      </c>
      <c r="AD16" s="165">
        <f>SUMPRODUCT((Demographics!$F$7:$F$751=AD$6)*(Demographics!$D$7:$D$751&gt;=Lists!$AE10)*(Demographics!$D$7:$D$751&lt;=Lists!$AF10))</f>
        <v>0</v>
      </c>
      <c r="AE16" s="165">
        <f>SUMPRODUCT((Demographics!$F$7:$F$751=AE$6)*(Demographics!$D$7:$D$751&gt;=Lists!$AE10)*(Demographics!$D$7:$D$751&lt;=Lists!$AF10))</f>
        <v>0</v>
      </c>
      <c r="AF16" s="165">
        <f>SUMPRODUCT((Demographics!$F$7:$F$751=AF$6)*(Demographics!$D$7:$D$751&gt;=Lists!$AE10)*(Demographics!$D$7:$D$751&lt;=Lists!$AF10))</f>
        <v>0</v>
      </c>
      <c r="AG16" s="165">
        <f>SUMPRODUCT((Demographics!$F$7:$F$751=AG$6)*(Demographics!$D$7:$D$751&gt;=Lists!$AE10)*(Demographics!$D$7:$D$751&lt;=Lists!$AF10))</f>
        <v>0</v>
      </c>
      <c r="AH16" s="165">
        <f>SUMPRODUCT((Demographics!$F$7:$F$751=AH$6)*(Demographics!$D$7:$D$751&gt;=Lists!$AE10)*(Demographics!$D$7:$D$751&lt;=Lists!$AF10))</f>
        <v>0</v>
      </c>
      <c r="AI16" s="165">
        <f>SUMPRODUCT((Demographics!$F$7:$F$751=AI$6)*(Demographics!$D$7:$D$751&gt;=Lists!$AE10)*(Demographics!$D$7:$D$751&lt;=Lists!$AF10))</f>
        <v>0</v>
      </c>
      <c r="AJ16" s="173">
        <f>SUMPRODUCT((Demographics!$F$7:$F$751=AJ$6)*(Demographics!$D$7:$D$751&gt;=Lists!$AE10)*(Demographics!$D$7:$D$751&lt;=Lists!$AF10))</f>
        <v>0</v>
      </c>
      <c r="AK16" s="145">
        <f t="shared" si="2"/>
        <v>0</v>
      </c>
      <c r="AL16" s="164">
        <f>SUMPRODUCT((Demographics!$G$7:$G$751=AL$6)*(Demographics!$D$7:$D$751&gt;=Lists!$AE10)*(Demographics!$D$7:$D$751&lt;=Lists!$AF10))</f>
        <v>0</v>
      </c>
      <c r="AM16" s="165">
        <f>SUMPRODUCT((Demographics!$G$7:$G$751=AM$6)*(Demographics!$D$7:$D$751&gt;=Lists!$AE10)*(Demographics!$D$7:$D$751&lt;=Lists!$AF10))</f>
        <v>0</v>
      </c>
      <c r="AN16" s="166">
        <f>SUMPRODUCT((Demographics!$G$7:$G$751=AN$6)*(Demographics!$D$7:$D$751&gt;=Lists!$AE10)*(Demographics!$D$7:$D$751&lt;=Lists!$AF10))</f>
        <v>0</v>
      </c>
      <c r="AO16" s="178">
        <f t="shared" si="3"/>
        <v>0</v>
      </c>
      <c r="AP16" s="175">
        <f>SUMPRODUCT((Demographics!$J$7:$J$751=AP$6)*(Demographics!$D$7:$D$751&gt;=Lists!$AE10)*(Demographics!$D$7:$D$751&lt;=Lists!$AF10))</f>
        <v>0</v>
      </c>
      <c r="AQ16" s="173">
        <f>SUMPRODUCT((Demographics!$J$7:$J$751=AQ$6)*(Demographics!$D$7:$D$751&gt;=Lists!$AE10)*(Demographics!$D$7:$D$751&lt;=Lists!$AF10))</f>
        <v>0</v>
      </c>
      <c r="AR16" s="178">
        <f t="shared" si="4"/>
        <v>0</v>
      </c>
      <c r="AS16" s="164">
        <f>SUMPRODUCT((Demographics!$K$7:$K$751=AS$6)*(Demographics!$D$7:$D$751&gt;=Lists!$AE10)*(Demographics!$D$7:$D$751&lt;=Lists!$AF10))</f>
        <v>0</v>
      </c>
      <c r="AT16" s="165">
        <f>SUMPRODUCT((Demographics!$K$7:$K$751=AT$6)*(Demographics!$D$7:$D$751&gt;=Lists!$AE10)*(Demographics!$D$7:$D$751&lt;=Lists!$AF10))</f>
        <v>0</v>
      </c>
      <c r="AU16" s="165">
        <f>SUMPRODUCT((Demographics!$K$7:$K$751=AU$6)*(Demographics!$D$7:$D$751&gt;=Lists!$AE10)*(Demographics!$D$7:$D$751&lt;=Lists!$AF10))</f>
        <v>0</v>
      </c>
      <c r="AV16" s="166">
        <f>SUMPRODUCT((Demographics!$K$7:$K$751=AV$6)*(Demographics!$D$7:$D$751&gt;=Lists!$AE10)*(Demographics!$D$7:$D$751&lt;=Lists!$AF10))</f>
        <v>0</v>
      </c>
      <c r="AW16" s="159">
        <f t="shared" si="5"/>
        <v>0</v>
      </c>
      <c r="AX16" s="164">
        <f>SUMPRODUCT((Demographics!$M$7:$M$751=AX$6)*(Demographics!$D$7:$D$751&gt;=Lists!$AE10)*(Demographics!$D$7:$D$751&lt;=Lists!$AF10))</f>
        <v>0</v>
      </c>
      <c r="AY16" s="165">
        <f>SUMPRODUCT((Demographics!$M$7:$M$751=AY$6)*(Demographics!$D$7:$D$751&gt;=Lists!$AE10)*(Demographics!$D$7:$D$751&lt;=Lists!$AF10))</f>
        <v>0</v>
      </c>
      <c r="AZ16" s="165">
        <f>SUMPRODUCT((Demographics!$M$7:$M$751=AZ$6)*(Demographics!$D$7:$D$751&gt;=Lists!$AE10)*(Demographics!$D$7:$D$751&lt;=Lists!$AF10))</f>
        <v>0</v>
      </c>
      <c r="BA16" s="165">
        <f>SUMPRODUCT((Demographics!$M$7:$M$751=BA$6)*(Demographics!$D$7:$D$751&gt;=Lists!$AE10)*(Demographics!$D$7:$D$751&lt;=Lists!$AF10))</f>
        <v>0</v>
      </c>
      <c r="BB16" s="165">
        <f>SUMPRODUCT((Demographics!$M$7:$M$751=BB$6)*(Demographics!$D$7:$D$751&gt;=Lists!$AE10)*(Demographics!$D$7:$D$751&lt;=Lists!$AF10))</f>
        <v>0</v>
      </c>
      <c r="BC16" s="165">
        <f>SUMPRODUCT((Demographics!$M$7:$M$751=BC$6)*(Demographics!$D$7:$D$751&gt;=Lists!$AE10)*(Demographics!$D$7:$D$751&lt;=Lists!$AF10))</f>
        <v>0</v>
      </c>
      <c r="BD16" s="166">
        <f>SUMPRODUCT((Demographics!$M$7:$M$751=BD$6)*(Demographics!$D$7:$D$751&gt;=Lists!$AE10)*(Demographics!$D$7:$D$751&lt;=Lists!$AF10))</f>
        <v>0</v>
      </c>
      <c r="BE16" s="178">
        <f t="shared" si="6"/>
        <v>0</v>
      </c>
      <c r="BF16" s="164">
        <f>SUMPRODUCT((Demographics!$N$7:$N$751=BF$6)*(Demographics!$D$7:$D$751&gt;=Lists!$AE10)*(Demographics!$D$7:$D$751&lt;=Lists!$AF10))</f>
        <v>0</v>
      </c>
      <c r="BG16" s="165">
        <f>SUMPRODUCT((Demographics!$N$7:$N$751=BG$6)*(Demographics!$D$7:$D$751&gt;=Lists!$AE10)*(Demographics!$D$7:$D$751&lt;=Lists!$AF10))</f>
        <v>0</v>
      </c>
      <c r="BH16" s="165">
        <f>SUMPRODUCT((Demographics!$N$7:$N$751=BH$6)*(Demographics!$D$7:$D$751&gt;=Lists!$AE10)*(Demographics!$D$7:$D$751&lt;=Lists!$AF10))</f>
        <v>0</v>
      </c>
      <c r="BI16" s="165">
        <f>SUMPRODUCT((Demographics!$N$7:$N$751=BI$6)*(Demographics!$D$7:$D$751&gt;=Lists!$AE10)*(Demographics!$D$7:$D$751&lt;=Lists!$AF10))</f>
        <v>0</v>
      </c>
      <c r="BJ16" s="165">
        <f>SUMPRODUCT((Demographics!$N$7:$N$751=BJ$6)*(Demographics!$D$7:$D$751&gt;=Lists!$AE10)*(Demographics!$D$7:$D$751&lt;=Lists!$AF10))</f>
        <v>0</v>
      </c>
      <c r="BK16" s="166">
        <f>SUMPRODUCT((Demographics!$N$7:$N$751=BK$6)*(Demographics!$D$7:$D$751&gt;=Lists!$AE10)*(Demographics!$D$7:$D$751&lt;=Lists!$AF10))</f>
        <v>0</v>
      </c>
      <c r="BL16" s="166">
        <f>SUMPRODUCT((Demographics!$N$7:$N$751=BL$6)*(Demographics!$D$7:$D$751&gt;=Lists!$AE10)*(Demographics!$D$7:$D$751&lt;=Lists!$AF10))</f>
        <v>0</v>
      </c>
      <c r="BM16" s="159">
        <f t="shared" si="7"/>
        <v>0</v>
      </c>
      <c r="BN16" s="534">
        <f t="shared" si="8"/>
        <v>0</v>
      </c>
      <c r="BP16" s="15"/>
      <c r="BQ16" s="15"/>
      <c r="BR16" s="15"/>
      <c r="BS16" s="15"/>
      <c r="BT16" s="15"/>
      <c r="BU16" s="15"/>
      <c r="BV16" s="15"/>
      <c r="BW16" s="16"/>
      <c r="BX16" s="15"/>
      <c r="BY16" s="15"/>
      <c r="BZ16" s="15"/>
      <c r="CA16" s="15"/>
    </row>
    <row r="17" spans="1:79" ht="15" customHeight="1" x14ac:dyDescent="0.35">
      <c r="A17" s="570">
        <v>46023</v>
      </c>
      <c r="B17" s="175">
        <f>SUMPRODUCT((Demographics!$H$7:$H$751=B$6)*(Demographics!$D$7:$D$751&gt;=Lists!$AE11)*(Demographics!$D$7:$D$751&lt;=Lists!$AF11))</f>
        <v>0</v>
      </c>
      <c r="C17" s="165">
        <f>SUMPRODUCT((Demographics!$H$7:$H$751=C$6)*(Demographics!$D$7:$D$751&gt;=Lists!$AE11)*(Demographics!$D$7:$D$751&lt;=Lists!$AF11))</f>
        <v>0</v>
      </c>
      <c r="D17" s="165">
        <f>SUMPRODUCT((Demographics!$H$7:$H$751=D$6)*(Demographics!$D$7:$D$751&gt;=Lists!$AE11)*(Demographics!$D$7:$D$751&lt;=Lists!$AF11))</f>
        <v>0</v>
      </c>
      <c r="E17" s="165">
        <f>SUMPRODUCT((Demographics!$H$7:$H$751=E$6)*(Demographics!$D$7:$D$751&gt;=Lists!$AE11)*(Demographics!$D$7:$D$751&lt;=Lists!$AF11))</f>
        <v>0</v>
      </c>
      <c r="F17" s="165">
        <f>SUMPRODUCT((Demographics!$H$7:$H$751=F$6)*(Demographics!$D$7:$D$751&gt;=Lists!$AE11)*(Demographics!$D$7:$D$751&lt;=Lists!$AF11))</f>
        <v>0</v>
      </c>
      <c r="G17" s="165">
        <f>SUMPRODUCT((Demographics!$H$7:$H$751=G$6)*(Demographics!$D$7:$D$751&gt;=Lists!$AE11)*(Demographics!$D$7:$D$751&lt;=Lists!$AF11))</f>
        <v>0</v>
      </c>
      <c r="H17" s="173">
        <f>SUMPRODUCT((Demographics!$H$7:$H$751=H$6)*(Demographics!$D$7:$D$751&gt;=Lists!$AE11)*(Demographics!$D$7:$D$751&lt;=Lists!$AF11))</f>
        <v>0</v>
      </c>
      <c r="I17" s="170">
        <f t="shared" si="0"/>
        <v>0</v>
      </c>
      <c r="J17" s="164">
        <f>SUMPRODUCT((Demographics!$I$7:$I$751=J$6)*(Demographics!$D$7:$D$751&gt;=Lists!$AE11)*(Demographics!$D$7:$D$751&lt;=Lists!$AF11))</f>
        <v>0</v>
      </c>
      <c r="K17" s="165">
        <f>SUMPRODUCT((Demographics!$I$7:$I$751=K$6)*(Demographics!$D$7:$D$751&gt;=Lists!$AE11)*(Demographics!$D$7:$D$751&lt;=Lists!$AF11))</f>
        <v>0</v>
      </c>
      <c r="L17" s="165">
        <f>SUMPRODUCT((Demographics!$I$7:$I$751=L$6)*(Demographics!$D$7:$D$751&gt;=Lists!$AE11)*(Demographics!$D$7:$D$751&lt;=Lists!$AF11))</f>
        <v>0</v>
      </c>
      <c r="M17" s="165">
        <f>SUMPRODUCT((Demographics!$I$7:$I$751=M$6)*(Demographics!$D$7:$D$751&gt;=Lists!$AE11)*(Demographics!$D$7:$D$751&lt;=Lists!$AF11))</f>
        <v>0</v>
      </c>
      <c r="N17" s="165">
        <f>SUMPRODUCT((Demographics!$I$7:$I$751=N$6)*(Demographics!$D$7:$D$751&gt;=Lists!$AE11)*(Demographics!$D$7:$D$751&lt;=Lists!$AF11))</f>
        <v>0</v>
      </c>
      <c r="O17" s="165">
        <f>SUMPRODUCT((Demographics!$I$7:$I$751=O$6)*(Demographics!$D$7:$D$751&gt;=Lists!$AE11)*(Demographics!$D$7:$D$751&lt;=Lists!$AF11))</f>
        <v>0</v>
      </c>
      <c r="P17" s="165">
        <f>SUMPRODUCT((Demographics!$I$7:$I$751=P$6)*(Demographics!$D$7:$D$751&gt;=Lists!$AE11)*(Demographics!$D$7:$D$751&lt;=Lists!$AF11))</f>
        <v>0</v>
      </c>
      <c r="Q17" s="165">
        <f>SUMPRODUCT((Demographics!$I$7:$I$751=Q$6)*(Demographics!$D$7:$D$751&gt;=Lists!$AE11)*(Demographics!$D$7:$D$751&lt;=Lists!$AF11))</f>
        <v>0</v>
      </c>
      <c r="R17" s="165">
        <f>SUMPRODUCT((Demographics!$I$7:$I$751=R$6)*(Demographics!$D$7:$D$751&gt;=Lists!$AE11)*(Demographics!$D$7:$D$751&lt;=Lists!$AF11))</f>
        <v>0</v>
      </c>
      <c r="S17" s="165">
        <f>SUMPRODUCT((Demographics!$I$7:$I$751=S$6)*(Demographics!$D$7:$D$751&gt;=Lists!$AE11)*(Demographics!$D$7:$D$751&lt;=Lists!$AF11))</f>
        <v>0</v>
      </c>
      <c r="T17" s="165">
        <f>SUMPRODUCT((Demographics!$I$7:$I$751=T$6)*(Demographics!$D$7:$D$751&gt;=Lists!$AE11)*(Demographics!$D$7:$D$751&lt;=Lists!$AF11))</f>
        <v>0</v>
      </c>
      <c r="U17" s="165">
        <f>SUMPRODUCT((Demographics!$I$7:$I$751=U$6)*(Demographics!$D$7:$D$751&gt;=Lists!$AE11)*(Demographics!$D$7:$D$751&lt;=Lists!$AF11))</f>
        <v>0</v>
      </c>
      <c r="V17" s="165">
        <f>SUMPRODUCT((Demographics!$I$7:$I$751=V$6)*(Demographics!$D$7:$D$751&gt;=Lists!$AE11)*(Demographics!$D$7:$D$751&lt;=Lists!$AF11))</f>
        <v>0</v>
      </c>
      <c r="W17" s="165">
        <f>SUMPRODUCT((Demographics!$I$7:$I$751=W$6)*(Demographics!$D$7:$D$751&gt;=Lists!$AE11)*(Demographics!$D$7:$D$751&lt;=Lists!$AF11))</f>
        <v>0</v>
      </c>
      <c r="X17" s="165">
        <f>SUMPRODUCT((Demographics!$I$7:$I$751=X$6)*(Demographics!$D$7:$D$751&gt;=Lists!$AE11)*(Demographics!$D$7:$D$751&lt;=Lists!$AF11))</f>
        <v>0</v>
      </c>
      <c r="Y17" s="166">
        <f>SUMPRODUCT((Demographics!$I$7:$I$751=Y$6)*(Demographics!$D$7:$D$751&gt;=Lists!$AE11)*(Demographics!$D$7:$D$751&lt;=Lists!$AF11))</f>
        <v>0</v>
      </c>
      <c r="Z17" s="145">
        <f t="shared" si="1"/>
        <v>0</v>
      </c>
      <c r="AA17" s="175">
        <f>SUMPRODUCT((Demographics!$F$7:$F$751=AA$6)*(Demographics!$D$7:$D$751&gt;=Lists!$AE11)*(Demographics!$D$7:$D$751&lt;=Lists!$AF11))</f>
        <v>0</v>
      </c>
      <c r="AB17" s="165">
        <f>SUMPRODUCT((Demographics!$F$7:$F$751=AB$6)*(Demographics!$D$7:$D$751&gt;=Lists!$AE11)*(Demographics!$D$7:$D$751&lt;=Lists!$AF11))</f>
        <v>0</v>
      </c>
      <c r="AC17" s="165">
        <f>SUMPRODUCT((Demographics!$F$7:$F$751=AC$6)*(Demographics!$D$7:$D$751&gt;=Lists!$AE11)*(Demographics!$D$7:$D$751&lt;=Lists!$AF11))</f>
        <v>0</v>
      </c>
      <c r="AD17" s="165">
        <f>SUMPRODUCT((Demographics!$F$7:$F$751=AD$6)*(Demographics!$D$7:$D$751&gt;=Lists!$AE11)*(Demographics!$D$7:$D$751&lt;=Lists!$AF11))</f>
        <v>0</v>
      </c>
      <c r="AE17" s="165">
        <f>SUMPRODUCT((Demographics!$F$7:$F$751=AE$6)*(Demographics!$D$7:$D$751&gt;=Lists!$AE11)*(Demographics!$D$7:$D$751&lt;=Lists!$AF11))</f>
        <v>0</v>
      </c>
      <c r="AF17" s="165">
        <f>SUMPRODUCT((Demographics!$F$7:$F$751=AF$6)*(Demographics!$D$7:$D$751&gt;=Lists!$AE11)*(Demographics!$D$7:$D$751&lt;=Lists!$AF11))</f>
        <v>0</v>
      </c>
      <c r="AG17" s="165">
        <f>SUMPRODUCT((Demographics!$F$7:$F$751=AG$6)*(Demographics!$D$7:$D$751&gt;=Lists!$AE11)*(Demographics!$D$7:$D$751&lt;=Lists!$AF11))</f>
        <v>0</v>
      </c>
      <c r="AH17" s="165">
        <f>SUMPRODUCT((Demographics!$F$7:$F$751=AH$6)*(Demographics!$D$7:$D$751&gt;=Lists!$AE11)*(Demographics!$D$7:$D$751&lt;=Lists!$AF11))</f>
        <v>0</v>
      </c>
      <c r="AI17" s="165">
        <f>SUMPRODUCT((Demographics!$F$7:$F$751=AI$6)*(Demographics!$D$7:$D$751&gt;=Lists!$AE11)*(Demographics!$D$7:$D$751&lt;=Lists!$AF11))</f>
        <v>0</v>
      </c>
      <c r="AJ17" s="173">
        <f>SUMPRODUCT((Demographics!$F$7:$F$751=AJ$6)*(Demographics!$D$7:$D$751&gt;=Lists!$AE11)*(Demographics!$D$7:$D$751&lt;=Lists!$AF11))</f>
        <v>0</v>
      </c>
      <c r="AK17" s="145">
        <f t="shared" si="2"/>
        <v>0</v>
      </c>
      <c r="AL17" s="164">
        <f>SUMPRODUCT((Demographics!$G$7:$G$751=AL$6)*(Demographics!$D$7:$D$751&gt;=Lists!$AE11)*(Demographics!$D$7:$D$751&lt;=Lists!$AF11))</f>
        <v>0</v>
      </c>
      <c r="AM17" s="165">
        <f>SUMPRODUCT((Demographics!$G$7:$G$751=AM$6)*(Demographics!$D$7:$D$751&gt;=Lists!$AE11)*(Demographics!$D$7:$D$751&lt;=Lists!$AF11))</f>
        <v>0</v>
      </c>
      <c r="AN17" s="166">
        <f>SUMPRODUCT((Demographics!$G$7:$G$751=AN$6)*(Demographics!$D$7:$D$751&gt;=Lists!$AE11)*(Demographics!$D$7:$D$751&lt;=Lists!$AF11))</f>
        <v>0</v>
      </c>
      <c r="AO17" s="178">
        <f t="shared" si="3"/>
        <v>0</v>
      </c>
      <c r="AP17" s="175">
        <f>SUMPRODUCT((Demographics!$J$7:$J$751=AP$6)*(Demographics!$D$7:$D$751&gt;=Lists!$AE11)*(Demographics!$D$7:$D$751&lt;=Lists!$AF11))</f>
        <v>0</v>
      </c>
      <c r="AQ17" s="173">
        <f>SUMPRODUCT((Demographics!$J$7:$J$751=AQ$6)*(Demographics!$D$7:$D$751&gt;=Lists!$AE11)*(Demographics!$D$7:$D$751&lt;=Lists!$AF11))</f>
        <v>0</v>
      </c>
      <c r="AR17" s="178">
        <f t="shared" si="4"/>
        <v>0</v>
      </c>
      <c r="AS17" s="164">
        <f>SUMPRODUCT((Demographics!$K$7:$K$751=AS$6)*(Demographics!$D$7:$D$751&gt;=Lists!$AE11)*(Demographics!$D$7:$D$751&lt;=Lists!$AF11))</f>
        <v>0</v>
      </c>
      <c r="AT17" s="165">
        <f>SUMPRODUCT((Demographics!$K$7:$K$751=AT$6)*(Demographics!$D$7:$D$751&gt;=Lists!$AE11)*(Demographics!$D$7:$D$751&lt;=Lists!$AF11))</f>
        <v>0</v>
      </c>
      <c r="AU17" s="165">
        <f>SUMPRODUCT((Demographics!$K$7:$K$751=AU$6)*(Demographics!$D$7:$D$751&gt;=Lists!$AE11)*(Demographics!$D$7:$D$751&lt;=Lists!$AF11))</f>
        <v>0</v>
      </c>
      <c r="AV17" s="166">
        <f>SUMPRODUCT((Demographics!$K$7:$K$751=AV$6)*(Demographics!$D$7:$D$751&gt;=Lists!$AE11)*(Demographics!$D$7:$D$751&lt;=Lists!$AF11))</f>
        <v>0</v>
      </c>
      <c r="AW17" s="159">
        <f t="shared" si="5"/>
        <v>0</v>
      </c>
      <c r="AX17" s="164">
        <f>SUMPRODUCT((Demographics!$M$7:$M$751=AX$6)*(Demographics!$D$7:$D$751&gt;=Lists!$AE11)*(Demographics!$D$7:$D$751&lt;=Lists!$AF11))</f>
        <v>0</v>
      </c>
      <c r="AY17" s="165">
        <f>SUMPRODUCT((Demographics!$M$7:$M$751=AY$6)*(Demographics!$D$7:$D$751&gt;=Lists!$AE11)*(Demographics!$D$7:$D$751&lt;=Lists!$AF11))</f>
        <v>0</v>
      </c>
      <c r="AZ17" s="165">
        <f>SUMPRODUCT((Demographics!$M$7:$M$751=AZ$6)*(Demographics!$D$7:$D$751&gt;=Lists!$AE11)*(Demographics!$D$7:$D$751&lt;=Lists!$AF11))</f>
        <v>0</v>
      </c>
      <c r="BA17" s="165">
        <f>SUMPRODUCT((Demographics!$M$7:$M$751=BA$6)*(Demographics!$D$7:$D$751&gt;=Lists!$AE11)*(Demographics!$D$7:$D$751&lt;=Lists!$AF11))</f>
        <v>0</v>
      </c>
      <c r="BB17" s="165">
        <f>SUMPRODUCT((Demographics!$M$7:$M$751=BB$6)*(Demographics!$D$7:$D$751&gt;=Lists!$AE11)*(Demographics!$D$7:$D$751&lt;=Lists!$AF11))</f>
        <v>0</v>
      </c>
      <c r="BC17" s="165">
        <f>SUMPRODUCT((Demographics!$M$7:$M$751=BC$6)*(Demographics!$D$7:$D$751&gt;=Lists!$AE11)*(Demographics!$D$7:$D$751&lt;=Lists!$AF11))</f>
        <v>0</v>
      </c>
      <c r="BD17" s="166">
        <f>SUMPRODUCT((Demographics!$M$7:$M$751=BD$6)*(Demographics!$D$7:$D$751&gt;=Lists!$AE11)*(Demographics!$D$7:$D$751&lt;=Lists!$AF11))</f>
        <v>0</v>
      </c>
      <c r="BE17" s="178">
        <f t="shared" si="6"/>
        <v>0</v>
      </c>
      <c r="BF17" s="164">
        <f>SUMPRODUCT((Demographics!$N$7:$N$751=BF$6)*(Demographics!$D$7:$D$751&gt;=Lists!$AE11)*(Demographics!$D$7:$D$751&lt;=Lists!$AF11))</f>
        <v>0</v>
      </c>
      <c r="BG17" s="165">
        <f>SUMPRODUCT((Demographics!$N$7:$N$751=BG$6)*(Demographics!$D$7:$D$751&gt;=Lists!$AE11)*(Demographics!$D$7:$D$751&lt;=Lists!$AF11))</f>
        <v>0</v>
      </c>
      <c r="BH17" s="165">
        <f>SUMPRODUCT((Demographics!$N$7:$N$751=BH$6)*(Demographics!$D$7:$D$751&gt;=Lists!$AE11)*(Demographics!$D$7:$D$751&lt;=Lists!$AF11))</f>
        <v>0</v>
      </c>
      <c r="BI17" s="165">
        <f>SUMPRODUCT((Demographics!$N$7:$N$751=BI$6)*(Demographics!$D$7:$D$751&gt;=Lists!$AE11)*(Demographics!$D$7:$D$751&lt;=Lists!$AF11))</f>
        <v>0</v>
      </c>
      <c r="BJ17" s="165">
        <f>SUMPRODUCT((Demographics!$N$7:$N$751=BJ$6)*(Demographics!$D$7:$D$751&gt;=Lists!$AE11)*(Demographics!$D$7:$D$751&lt;=Lists!$AF11))</f>
        <v>0</v>
      </c>
      <c r="BK17" s="166">
        <f>SUMPRODUCT((Demographics!$N$7:$N$751=BK$6)*(Demographics!$D$7:$D$751&gt;=Lists!$AE11)*(Demographics!$D$7:$D$751&lt;=Lists!$AF11))</f>
        <v>0</v>
      </c>
      <c r="BL17" s="166">
        <f>SUMPRODUCT((Demographics!$N$7:$N$751=BL$6)*(Demographics!$D$7:$D$751&gt;=Lists!$AE11)*(Demographics!$D$7:$D$751&lt;=Lists!$AF11))</f>
        <v>0</v>
      </c>
      <c r="BM17" s="159">
        <f t="shared" si="7"/>
        <v>0</v>
      </c>
      <c r="BN17" s="534">
        <f t="shared" si="8"/>
        <v>0</v>
      </c>
      <c r="BP17" s="15"/>
      <c r="BQ17" s="15"/>
      <c r="BR17" s="15"/>
      <c r="BS17" s="15"/>
      <c r="BT17" s="15"/>
      <c r="BU17" s="15"/>
      <c r="BV17" s="15"/>
      <c r="BW17" s="16"/>
      <c r="BX17" s="15"/>
      <c r="BY17" s="15"/>
      <c r="BZ17" s="15"/>
      <c r="CA17" s="15"/>
    </row>
    <row r="18" spans="1:79" ht="15" customHeight="1" x14ac:dyDescent="0.35">
      <c r="A18" s="570">
        <v>46054</v>
      </c>
      <c r="B18" s="175">
        <f>SUMPRODUCT((Demographics!$H$7:$H$751=B$6)*(Demographics!$D$7:$D$751&gt;=Lists!$AE12)*(Demographics!$D$7:$D$751&lt;=Lists!$AF12))</f>
        <v>0</v>
      </c>
      <c r="C18" s="165">
        <f>SUMPRODUCT((Demographics!$H$7:$H$751=C$6)*(Demographics!$D$7:$D$751&gt;=Lists!$AE12)*(Demographics!$D$7:$D$751&lt;=Lists!$AF12))</f>
        <v>0</v>
      </c>
      <c r="D18" s="165">
        <f>SUMPRODUCT((Demographics!$H$7:$H$751=D$6)*(Demographics!$D$7:$D$751&gt;=Lists!$AE12)*(Demographics!$D$7:$D$751&lt;=Lists!$AF12))</f>
        <v>0</v>
      </c>
      <c r="E18" s="165">
        <f>SUMPRODUCT((Demographics!$H$7:$H$751=E$6)*(Demographics!$D$7:$D$751&gt;=Lists!$AE12)*(Demographics!$D$7:$D$751&lt;=Lists!$AF12))</f>
        <v>0</v>
      </c>
      <c r="F18" s="165">
        <f>SUMPRODUCT((Demographics!$H$7:$H$751=F$6)*(Demographics!$D$7:$D$751&gt;=Lists!$AE12)*(Demographics!$D$7:$D$751&lt;=Lists!$AF12))</f>
        <v>0</v>
      </c>
      <c r="G18" s="165">
        <f>SUMPRODUCT((Demographics!$H$7:$H$751=G$6)*(Demographics!$D$7:$D$751&gt;=Lists!$AE12)*(Demographics!$D$7:$D$751&lt;=Lists!$AF12))</f>
        <v>0</v>
      </c>
      <c r="H18" s="173">
        <f>SUMPRODUCT((Demographics!$H$7:$H$751=H$6)*(Demographics!$D$7:$D$751&gt;=Lists!$AE12)*(Demographics!$D$7:$D$751&lt;=Lists!$AF12))</f>
        <v>0</v>
      </c>
      <c r="I18" s="170">
        <f t="shared" si="0"/>
        <v>0</v>
      </c>
      <c r="J18" s="164">
        <f>SUMPRODUCT((Demographics!$I$7:$I$751=J$6)*(Demographics!$D$7:$D$751&gt;=Lists!$AE12)*(Demographics!$D$7:$D$751&lt;=Lists!$AF12))</f>
        <v>0</v>
      </c>
      <c r="K18" s="165">
        <f>SUMPRODUCT((Demographics!$I$7:$I$751=K$6)*(Demographics!$D$7:$D$751&gt;=Lists!$AE12)*(Demographics!$D$7:$D$751&lt;=Lists!$AF12))</f>
        <v>0</v>
      </c>
      <c r="L18" s="165">
        <f>SUMPRODUCT((Demographics!$I$7:$I$751=L$6)*(Demographics!$D$7:$D$751&gt;=Lists!$AE12)*(Demographics!$D$7:$D$751&lt;=Lists!$AF12))</f>
        <v>0</v>
      </c>
      <c r="M18" s="165">
        <f>SUMPRODUCT((Demographics!$I$7:$I$751=M$6)*(Demographics!$D$7:$D$751&gt;=Lists!$AE12)*(Demographics!$D$7:$D$751&lt;=Lists!$AF12))</f>
        <v>0</v>
      </c>
      <c r="N18" s="165">
        <f>SUMPRODUCT((Demographics!$I$7:$I$751=N$6)*(Demographics!$D$7:$D$751&gt;=Lists!$AE12)*(Demographics!$D$7:$D$751&lt;=Lists!$AF12))</f>
        <v>0</v>
      </c>
      <c r="O18" s="165">
        <f>SUMPRODUCT((Demographics!$I$7:$I$751=O$6)*(Demographics!$D$7:$D$751&gt;=Lists!$AE12)*(Demographics!$D$7:$D$751&lt;=Lists!$AF12))</f>
        <v>0</v>
      </c>
      <c r="P18" s="165">
        <f>SUMPRODUCT((Demographics!$I$7:$I$751=P$6)*(Demographics!$D$7:$D$751&gt;=Lists!$AE12)*(Demographics!$D$7:$D$751&lt;=Lists!$AF12))</f>
        <v>0</v>
      </c>
      <c r="Q18" s="165">
        <f>SUMPRODUCT((Demographics!$I$7:$I$751=Q$6)*(Demographics!$D$7:$D$751&gt;=Lists!$AE12)*(Demographics!$D$7:$D$751&lt;=Lists!$AF12))</f>
        <v>0</v>
      </c>
      <c r="R18" s="165">
        <f>SUMPRODUCT((Demographics!$I$7:$I$751=R$6)*(Demographics!$D$7:$D$751&gt;=Lists!$AE12)*(Demographics!$D$7:$D$751&lt;=Lists!$AF12))</f>
        <v>0</v>
      </c>
      <c r="S18" s="165">
        <f>SUMPRODUCT((Demographics!$I$7:$I$751=S$6)*(Demographics!$D$7:$D$751&gt;=Lists!$AE12)*(Demographics!$D$7:$D$751&lt;=Lists!$AF12))</f>
        <v>0</v>
      </c>
      <c r="T18" s="165">
        <f>SUMPRODUCT((Demographics!$I$7:$I$751=T$6)*(Demographics!$D$7:$D$751&gt;=Lists!$AE12)*(Demographics!$D$7:$D$751&lt;=Lists!$AF12))</f>
        <v>0</v>
      </c>
      <c r="U18" s="165">
        <f>SUMPRODUCT((Demographics!$I$7:$I$751=U$6)*(Demographics!$D$7:$D$751&gt;=Lists!$AE12)*(Demographics!$D$7:$D$751&lt;=Lists!$AF12))</f>
        <v>0</v>
      </c>
      <c r="V18" s="165">
        <f>SUMPRODUCT((Demographics!$I$7:$I$751=V$6)*(Demographics!$D$7:$D$751&gt;=Lists!$AE12)*(Demographics!$D$7:$D$751&lt;=Lists!$AF12))</f>
        <v>0</v>
      </c>
      <c r="W18" s="165">
        <f>SUMPRODUCT((Demographics!$I$7:$I$751=W$6)*(Demographics!$D$7:$D$751&gt;=Lists!$AE12)*(Demographics!$D$7:$D$751&lt;=Lists!$AF12))</f>
        <v>0</v>
      </c>
      <c r="X18" s="165">
        <f>SUMPRODUCT((Demographics!$I$7:$I$751=X$6)*(Demographics!$D$7:$D$751&gt;=Lists!$AE12)*(Demographics!$D$7:$D$751&lt;=Lists!$AF12))</f>
        <v>0</v>
      </c>
      <c r="Y18" s="166">
        <f>SUMPRODUCT((Demographics!$I$7:$I$751=Y$6)*(Demographics!$D$7:$D$751&gt;=Lists!$AE12)*(Demographics!$D$7:$D$751&lt;=Lists!$AF12))</f>
        <v>0</v>
      </c>
      <c r="Z18" s="145">
        <f t="shared" si="1"/>
        <v>0</v>
      </c>
      <c r="AA18" s="175">
        <f>SUMPRODUCT((Demographics!$F$7:$F$751=AA$6)*(Demographics!$D$7:$D$751&gt;=Lists!$AE12)*(Demographics!$D$7:$D$751&lt;=Lists!$AF12))</f>
        <v>0</v>
      </c>
      <c r="AB18" s="165">
        <f>SUMPRODUCT((Demographics!$F$7:$F$751=AB$6)*(Demographics!$D$7:$D$751&gt;=Lists!$AE12)*(Demographics!$D$7:$D$751&lt;=Lists!$AF12))</f>
        <v>0</v>
      </c>
      <c r="AC18" s="165">
        <f>SUMPRODUCT((Demographics!$F$7:$F$751=AC$6)*(Demographics!$D$7:$D$751&gt;=Lists!$AE12)*(Demographics!$D$7:$D$751&lt;=Lists!$AF12))</f>
        <v>0</v>
      </c>
      <c r="AD18" s="165">
        <f>SUMPRODUCT((Demographics!$F$7:$F$751=AD$6)*(Demographics!$D$7:$D$751&gt;=Lists!$AE12)*(Demographics!$D$7:$D$751&lt;=Lists!$AF12))</f>
        <v>0</v>
      </c>
      <c r="AE18" s="165">
        <f>SUMPRODUCT((Demographics!$F$7:$F$751=AE$6)*(Demographics!$D$7:$D$751&gt;=Lists!$AE12)*(Demographics!$D$7:$D$751&lt;=Lists!$AF12))</f>
        <v>0</v>
      </c>
      <c r="AF18" s="165">
        <f>SUMPRODUCT((Demographics!$F$7:$F$751=AF$6)*(Demographics!$D$7:$D$751&gt;=Lists!$AE12)*(Demographics!$D$7:$D$751&lt;=Lists!$AF12))</f>
        <v>0</v>
      </c>
      <c r="AG18" s="165">
        <f>SUMPRODUCT((Demographics!$F$7:$F$751=AG$6)*(Demographics!$D$7:$D$751&gt;=Lists!$AE12)*(Demographics!$D$7:$D$751&lt;=Lists!$AF12))</f>
        <v>0</v>
      </c>
      <c r="AH18" s="165">
        <f>SUMPRODUCT((Demographics!$F$7:$F$751=AH$6)*(Demographics!$D$7:$D$751&gt;=Lists!$AE12)*(Demographics!$D$7:$D$751&lt;=Lists!$AF12))</f>
        <v>0</v>
      </c>
      <c r="AI18" s="165">
        <f>SUMPRODUCT((Demographics!$F$7:$F$751=AI$6)*(Demographics!$D$7:$D$751&gt;=Lists!$AE12)*(Demographics!$D$7:$D$751&lt;=Lists!$AF12))</f>
        <v>0</v>
      </c>
      <c r="AJ18" s="173">
        <f>SUMPRODUCT((Demographics!$F$7:$F$751=AJ$6)*(Demographics!$D$7:$D$751&gt;=Lists!$AE12)*(Demographics!$D$7:$D$751&lt;=Lists!$AF12))</f>
        <v>0</v>
      </c>
      <c r="AK18" s="145">
        <f t="shared" si="2"/>
        <v>0</v>
      </c>
      <c r="AL18" s="164">
        <f>SUMPRODUCT((Demographics!$G$7:$G$751=AL$6)*(Demographics!$D$7:$D$751&gt;=Lists!$AE12)*(Demographics!$D$7:$D$751&lt;=Lists!$AF12))</f>
        <v>0</v>
      </c>
      <c r="AM18" s="165">
        <f>SUMPRODUCT((Demographics!$G$7:$G$751=AM$6)*(Demographics!$D$7:$D$751&gt;=Lists!$AE12)*(Demographics!$D$7:$D$751&lt;=Lists!$AF12))</f>
        <v>0</v>
      </c>
      <c r="AN18" s="166">
        <f>SUMPRODUCT((Demographics!$G$7:$G$751=AN$6)*(Demographics!$D$7:$D$751&gt;=Lists!$AE12)*(Demographics!$D$7:$D$751&lt;=Lists!$AF12))</f>
        <v>0</v>
      </c>
      <c r="AO18" s="178">
        <f t="shared" si="3"/>
        <v>0</v>
      </c>
      <c r="AP18" s="175">
        <f>SUMPRODUCT((Demographics!$J$7:$J$751=AP$6)*(Demographics!$D$7:$D$751&gt;=Lists!$AE12)*(Demographics!$D$7:$D$751&lt;=Lists!$AF12))</f>
        <v>0</v>
      </c>
      <c r="AQ18" s="173">
        <f>SUMPRODUCT((Demographics!$J$7:$J$751=AQ$6)*(Demographics!$D$7:$D$751&gt;=Lists!$AE12)*(Demographics!$D$7:$D$751&lt;=Lists!$AF12))</f>
        <v>0</v>
      </c>
      <c r="AR18" s="178">
        <f t="shared" si="4"/>
        <v>0</v>
      </c>
      <c r="AS18" s="164">
        <f>SUMPRODUCT((Demographics!$K$7:$K$751=AS$6)*(Demographics!$D$7:$D$751&gt;=Lists!$AE12)*(Demographics!$D$7:$D$751&lt;=Lists!$AF12))</f>
        <v>0</v>
      </c>
      <c r="AT18" s="165">
        <f>SUMPRODUCT((Demographics!$K$7:$K$751=AT$6)*(Demographics!$D$7:$D$751&gt;=Lists!$AE12)*(Demographics!$D$7:$D$751&lt;=Lists!$AF12))</f>
        <v>0</v>
      </c>
      <c r="AU18" s="165">
        <f>SUMPRODUCT((Demographics!$K$7:$K$751=AU$6)*(Demographics!$D$7:$D$751&gt;=Lists!$AE12)*(Demographics!$D$7:$D$751&lt;=Lists!$AF12))</f>
        <v>0</v>
      </c>
      <c r="AV18" s="166">
        <f>SUMPRODUCT((Demographics!$K$7:$K$751=AV$6)*(Demographics!$D$7:$D$751&gt;=Lists!$AE12)*(Demographics!$D$7:$D$751&lt;=Lists!$AF12))</f>
        <v>0</v>
      </c>
      <c r="AW18" s="159">
        <f t="shared" si="5"/>
        <v>0</v>
      </c>
      <c r="AX18" s="164">
        <f>SUMPRODUCT((Demographics!$M$7:$M$751=AX$6)*(Demographics!$D$7:$D$751&gt;=Lists!$AE12)*(Demographics!$D$7:$D$751&lt;=Lists!$AF12))</f>
        <v>0</v>
      </c>
      <c r="AY18" s="165">
        <f>SUMPRODUCT((Demographics!$M$7:$M$751=AY$6)*(Demographics!$D$7:$D$751&gt;=Lists!$AE12)*(Demographics!$D$7:$D$751&lt;=Lists!$AF12))</f>
        <v>0</v>
      </c>
      <c r="AZ18" s="165">
        <f>SUMPRODUCT((Demographics!$M$7:$M$751=AZ$6)*(Demographics!$D$7:$D$751&gt;=Lists!$AE12)*(Demographics!$D$7:$D$751&lt;=Lists!$AF12))</f>
        <v>0</v>
      </c>
      <c r="BA18" s="165">
        <f>SUMPRODUCT((Demographics!$M$7:$M$751=BA$6)*(Demographics!$D$7:$D$751&gt;=Lists!$AE12)*(Demographics!$D$7:$D$751&lt;=Lists!$AF12))</f>
        <v>0</v>
      </c>
      <c r="BB18" s="165">
        <f>SUMPRODUCT((Demographics!$M$7:$M$751=BB$6)*(Demographics!$D$7:$D$751&gt;=Lists!$AE12)*(Demographics!$D$7:$D$751&lt;=Lists!$AF12))</f>
        <v>0</v>
      </c>
      <c r="BC18" s="165">
        <f>SUMPRODUCT((Demographics!$M$7:$M$751=BC$6)*(Demographics!$D$7:$D$751&gt;=Lists!$AE12)*(Demographics!$D$7:$D$751&lt;=Lists!$AF12))</f>
        <v>0</v>
      </c>
      <c r="BD18" s="166">
        <f>SUMPRODUCT((Demographics!$M$7:$M$751=BD$6)*(Demographics!$D$7:$D$751&gt;=Lists!$AE12)*(Demographics!$D$7:$D$751&lt;=Lists!$AF12))</f>
        <v>0</v>
      </c>
      <c r="BE18" s="178">
        <f t="shared" si="6"/>
        <v>0</v>
      </c>
      <c r="BF18" s="164">
        <f>SUMPRODUCT((Demographics!$N$7:$N$751=BF$6)*(Demographics!$D$7:$D$751&gt;=Lists!$AE12)*(Demographics!$D$7:$D$751&lt;=Lists!$AF12))</f>
        <v>0</v>
      </c>
      <c r="BG18" s="165">
        <f>SUMPRODUCT((Demographics!$N$7:$N$751=BG$6)*(Demographics!$D$7:$D$751&gt;=Lists!$AE12)*(Demographics!$D$7:$D$751&lt;=Lists!$AF12))</f>
        <v>0</v>
      </c>
      <c r="BH18" s="165">
        <f>SUMPRODUCT((Demographics!$N$7:$N$751=BH$6)*(Demographics!$D$7:$D$751&gt;=Lists!$AE12)*(Demographics!$D$7:$D$751&lt;=Lists!$AF12))</f>
        <v>0</v>
      </c>
      <c r="BI18" s="165">
        <f>SUMPRODUCT((Demographics!$N$7:$N$751=BI$6)*(Demographics!$D$7:$D$751&gt;=Lists!$AE12)*(Demographics!$D$7:$D$751&lt;=Lists!$AF12))</f>
        <v>0</v>
      </c>
      <c r="BJ18" s="165">
        <f>SUMPRODUCT((Demographics!$N$7:$N$751=BJ$6)*(Demographics!$D$7:$D$751&gt;=Lists!$AE12)*(Demographics!$D$7:$D$751&lt;=Lists!$AF12))</f>
        <v>0</v>
      </c>
      <c r="BK18" s="166">
        <f>SUMPRODUCT((Demographics!$N$7:$N$751=BK$6)*(Demographics!$D$7:$D$751&gt;=Lists!$AE12)*(Demographics!$D$7:$D$751&lt;=Lists!$AF12))</f>
        <v>0</v>
      </c>
      <c r="BL18" s="166">
        <f>SUMPRODUCT((Demographics!$N$7:$N$751=BL$6)*(Demographics!$D$7:$D$751&gt;=Lists!$AE12)*(Demographics!$D$7:$D$751&lt;=Lists!$AF12))</f>
        <v>0</v>
      </c>
      <c r="BM18" s="159">
        <f t="shared" si="7"/>
        <v>0</v>
      </c>
      <c r="BN18" s="534">
        <f t="shared" si="8"/>
        <v>0</v>
      </c>
      <c r="BP18" s="15"/>
      <c r="BQ18" s="15"/>
      <c r="BR18" s="15"/>
      <c r="BS18" s="15"/>
      <c r="BT18" s="15"/>
      <c r="BU18" s="15"/>
      <c r="BV18" s="15"/>
      <c r="BW18" s="16"/>
      <c r="BX18" s="15"/>
      <c r="BY18" s="15"/>
      <c r="BZ18" s="15"/>
      <c r="CA18" s="15"/>
    </row>
    <row r="19" spans="1:79" ht="15" customHeight="1" thickBot="1" x14ac:dyDescent="0.4">
      <c r="A19" s="571">
        <v>46082</v>
      </c>
      <c r="B19" s="176">
        <f>SUMPRODUCT((Demographics!$H$7:$H$751=B$6)*(Demographics!$D$7:$D$751&gt;=Lists!$AE13)*(Demographics!$D$7:$D$751&lt;=Lists!$AF13))</f>
        <v>0</v>
      </c>
      <c r="C19" s="168">
        <f>SUMPRODUCT((Demographics!$H$7:$H$751=C$6)*(Demographics!$D$7:$D$751&gt;=Lists!$AE13)*(Demographics!$D$7:$D$751&lt;=Lists!$AF13))</f>
        <v>0</v>
      </c>
      <c r="D19" s="168">
        <f>SUMPRODUCT((Demographics!$H$7:$H$751=D$6)*(Demographics!$D$7:$D$751&gt;=Lists!$AE13)*(Demographics!$D$7:$D$751&lt;=Lists!$AF13))</f>
        <v>0</v>
      </c>
      <c r="E19" s="168">
        <f>SUMPRODUCT((Demographics!$H$7:$H$751=E$6)*(Demographics!$D$7:$D$751&gt;=Lists!$AE13)*(Demographics!$D$7:$D$751&lt;=Lists!$AF13))</f>
        <v>0</v>
      </c>
      <c r="F19" s="168">
        <f>SUMPRODUCT((Demographics!$H$7:$H$751=F$6)*(Demographics!$D$7:$D$751&gt;=Lists!$AE13)*(Demographics!$D$7:$D$751&lt;=Lists!$AF13))</f>
        <v>0</v>
      </c>
      <c r="G19" s="168">
        <f>SUMPRODUCT((Demographics!$H$7:$H$751=G$6)*(Demographics!$D$7:$D$751&gt;=Lists!$AE13)*(Demographics!$D$7:$D$751&lt;=Lists!$AF13))</f>
        <v>0</v>
      </c>
      <c r="H19" s="174">
        <f>SUMPRODUCT((Demographics!$H$7:$H$751=H$6)*(Demographics!$D$7:$D$751&gt;=Lists!$AE13)*(Demographics!$D$7:$D$751&lt;=Lists!$AF13))</f>
        <v>0</v>
      </c>
      <c r="I19" s="177">
        <f t="shared" si="0"/>
        <v>0</v>
      </c>
      <c r="J19" s="167">
        <f>SUMPRODUCT((Demographics!$I$7:$I$751=J$6)*(Demographics!$D$7:$D$751&gt;=Lists!$AE13)*(Demographics!$D$7:$D$751&lt;=Lists!$AF13))</f>
        <v>0</v>
      </c>
      <c r="K19" s="168">
        <f>SUMPRODUCT((Demographics!$I$7:$I$751=K$6)*(Demographics!$D$7:$D$751&gt;=Lists!$AE13)*(Demographics!$D$7:$D$751&lt;=Lists!$AF13))</f>
        <v>0</v>
      </c>
      <c r="L19" s="168">
        <f>SUMPRODUCT((Demographics!$I$7:$I$751=L$6)*(Demographics!$D$7:$D$751&gt;=Lists!$AE13)*(Demographics!$D$7:$D$751&lt;=Lists!$AF13))</f>
        <v>0</v>
      </c>
      <c r="M19" s="168">
        <f>SUMPRODUCT((Demographics!$I$7:$I$751=M$6)*(Demographics!$D$7:$D$751&gt;=Lists!$AE13)*(Demographics!$D$7:$D$751&lt;=Lists!$AF13))</f>
        <v>0</v>
      </c>
      <c r="N19" s="168">
        <f>SUMPRODUCT((Demographics!$I$7:$I$751=N$6)*(Demographics!$D$7:$D$751&gt;=Lists!$AE13)*(Demographics!$D$7:$D$751&lt;=Lists!$AF13))</f>
        <v>0</v>
      </c>
      <c r="O19" s="168">
        <f>SUMPRODUCT((Demographics!$I$7:$I$751=O$6)*(Demographics!$D$7:$D$751&gt;=Lists!$AE13)*(Demographics!$D$7:$D$751&lt;=Lists!$AF13))</f>
        <v>0</v>
      </c>
      <c r="P19" s="168">
        <f>SUMPRODUCT((Demographics!$I$7:$I$751=P$6)*(Demographics!$D$7:$D$751&gt;=Lists!$AE13)*(Demographics!$D$7:$D$751&lt;=Lists!$AF13))</f>
        <v>0</v>
      </c>
      <c r="Q19" s="168">
        <f>SUMPRODUCT((Demographics!$I$7:$I$751=Q$6)*(Demographics!$D$7:$D$751&gt;=Lists!$AE13)*(Demographics!$D$7:$D$751&lt;=Lists!$AF13))</f>
        <v>0</v>
      </c>
      <c r="R19" s="168">
        <f>SUMPRODUCT((Demographics!$I$7:$I$751=R$6)*(Demographics!$D$7:$D$751&gt;=Lists!$AE13)*(Demographics!$D$7:$D$751&lt;=Lists!$AF13))</f>
        <v>0</v>
      </c>
      <c r="S19" s="168">
        <f>SUMPRODUCT((Demographics!$I$7:$I$751=S$6)*(Demographics!$D$7:$D$751&gt;=Lists!$AE13)*(Demographics!$D$7:$D$751&lt;=Lists!$AF13))</f>
        <v>0</v>
      </c>
      <c r="T19" s="168">
        <f>SUMPRODUCT((Demographics!$I$7:$I$751=T$6)*(Demographics!$D$7:$D$751&gt;=Lists!$AE13)*(Demographics!$D$7:$D$751&lt;=Lists!$AF13))</f>
        <v>0</v>
      </c>
      <c r="U19" s="168">
        <f>SUMPRODUCT((Demographics!$I$7:$I$751=U$6)*(Demographics!$D$7:$D$751&gt;=Lists!$AE13)*(Demographics!$D$7:$D$751&lt;=Lists!$AF13))</f>
        <v>0</v>
      </c>
      <c r="V19" s="168">
        <f>SUMPRODUCT((Demographics!$I$7:$I$751=V$6)*(Demographics!$D$7:$D$751&gt;=Lists!$AE13)*(Demographics!$D$7:$D$751&lt;=Lists!$AF13))</f>
        <v>0</v>
      </c>
      <c r="W19" s="168">
        <f>SUMPRODUCT((Demographics!$I$7:$I$751=W$6)*(Demographics!$D$7:$D$751&gt;=Lists!$AE13)*(Demographics!$D$7:$D$751&lt;=Lists!$AF13))</f>
        <v>0</v>
      </c>
      <c r="X19" s="168">
        <f>SUMPRODUCT((Demographics!$I$7:$I$751=X$6)*(Demographics!$D$7:$D$751&gt;=Lists!$AE13)*(Demographics!$D$7:$D$751&lt;=Lists!$AF13))</f>
        <v>0</v>
      </c>
      <c r="Y19" s="169">
        <f>SUMPRODUCT((Demographics!$I$7:$I$751=Y$6)*(Demographics!$D$7:$D$751&gt;=Lists!$AE13)*(Demographics!$D$7:$D$751&lt;=Lists!$AF13))</f>
        <v>0</v>
      </c>
      <c r="Z19" s="145">
        <f t="shared" si="1"/>
        <v>0</v>
      </c>
      <c r="AA19" s="176">
        <f>SUMPRODUCT((Demographics!$F$7:$F$751=AA$6)*(Demographics!$D$7:$D$751&gt;=Lists!$AE13)*(Demographics!$D$7:$D$751&lt;=Lists!$AF13))</f>
        <v>0</v>
      </c>
      <c r="AB19" s="168">
        <f>SUMPRODUCT((Demographics!$F$7:$F$751=AB$6)*(Demographics!$D$7:$D$751&gt;=Lists!$AE13)*(Demographics!$D$7:$D$751&lt;=Lists!$AF13))</f>
        <v>0</v>
      </c>
      <c r="AC19" s="168">
        <f>SUMPRODUCT((Demographics!$F$7:$F$751=AC$6)*(Demographics!$D$7:$D$751&gt;=Lists!$AE13)*(Demographics!$D$7:$D$751&lt;=Lists!$AF13))</f>
        <v>0</v>
      </c>
      <c r="AD19" s="168">
        <f>SUMPRODUCT((Demographics!$F$7:$F$751=AD$6)*(Demographics!$D$7:$D$751&gt;=Lists!$AE13)*(Demographics!$D$7:$D$751&lt;=Lists!$AF13))</f>
        <v>0</v>
      </c>
      <c r="AE19" s="168">
        <f>SUMPRODUCT((Demographics!$F$7:$F$751=AE$6)*(Demographics!$D$7:$D$751&gt;=Lists!$AE13)*(Demographics!$D$7:$D$751&lt;=Lists!$AF13))</f>
        <v>0</v>
      </c>
      <c r="AF19" s="168">
        <f>SUMPRODUCT((Demographics!$F$7:$F$751=AF$6)*(Demographics!$D$7:$D$751&gt;=Lists!$AE13)*(Demographics!$D$7:$D$751&lt;=Lists!$AF13))</f>
        <v>0</v>
      </c>
      <c r="AG19" s="168">
        <f>SUMPRODUCT((Demographics!$F$7:$F$751=AG$6)*(Demographics!$D$7:$D$751&gt;=Lists!$AE13)*(Demographics!$D$7:$D$751&lt;=Lists!$AF13))</f>
        <v>0</v>
      </c>
      <c r="AH19" s="168">
        <f>SUMPRODUCT((Demographics!$F$7:$F$751=AH$6)*(Demographics!$D$7:$D$751&gt;=Lists!$AE13)*(Demographics!$D$7:$D$751&lt;=Lists!$AF13))</f>
        <v>0</v>
      </c>
      <c r="AI19" s="168">
        <f>SUMPRODUCT((Demographics!$F$7:$F$751=AI$6)*(Demographics!$D$7:$D$751&gt;=Lists!$AE13)*(Demographics!$D$7:$D$751&lt;=Lists!$AF13))</f>
        <v>0</v>
      </c>
      <c r="AJ19" s="174">
        <f>SUMPRODUCT((Demographics!$F$7:$F$751=AJ$6)*(Demographics!$D$7:$D$751&gt;=Lists!$AE13)*(Demographics!$D$7:$D$751&lt;=Lists!$AF13))</f>
        <v>0</v>
      </c>
      <c r="AK19" s="145">
        <f t="shared" si="2"/>
        <v>0</v>
      </c>
      <c r="AL19" s="167">
        <f>SUMPRODUCT((Demographics!$G$7:$G$751=AL$6)*(Demographics!$D$7:$D$751&gt;=Lists!$AE13)*(Demographics!$D$7:$D$751&lt;=Lists!$AF13))</f>
        <v>0</v>
      </c>
      <c r="AM19" s="168">
        <f>SUMPRODUCT((Demographics!$G$7:$G$751=AM$6)*(Demographics!$D$7:$D$751&gt;=Lists!$AE13)*(Demographics!$D$7:$D$751&lt;=Lists!$AF13))</f>
        <v>0</v>
      </c>
      <c r="AN19" s="169">
        <f>SUMPRODUCT((Demographics!$G$7:$G$751=AN$6)*(Demographics!$D$7:$D$751&gt;=Lists!$AE13)*(Demographics!$D$7:$D$751&lt;=Lists!$AF13))</f>
        <v>0</v>
      </c>
      <c r="AO19" s="178">
        <f t="shared" si="3"/>
        <v>0</v>
      </c>
      <c r="AP19" s="176">
        <f>SUMPRODUCT((Demographics!$J$7:$J$751=AP$6)*(Demographics!$D$7:$D$751&gt;=Lists!$AE13)*(Demographics!$D$7:$D$751&lt;=Lists!$AF13))</f>
        <v>0</v>
      </c>
      <c r="AQ19" s="174">
        <f>SUMPRODUCT((Demographics!$J$7:$J$751=AQ$6)*(Demographics!$D$7:$D$751&gt;=Lists!$AE13)*(Demographics!$D$7:$D$751&lt;=Lists!$AF13))</f>
        <v>0</v>
      </c>
      <c r="AR19" s="178">
        <f t="shared" si="4"/>
        <v>0</v>
      </c>
      <c r="AS19" s="167">
        <f>SUMPRODUCT((Demographics!$K$7:$K$751=AS$6)*(Demographics!$D$7:$D$751&gt;=Lists!$AE13)*(Demographics!$D$7:$D$751&lt;=Lists!$AF13))</f>
        <v>0</v>
      </c>
      <c r="AT19" s="168">
        <f>SUMPRODUCT((Demographics!$K$7:$K$751=AT$6)*(Demographics!$D$7:$D$751&gt;=Lists!$AE13)*(Demographics!$D$7:$D$751&lt;=Lists!$AF13))</f>
        <v>0</v>
      </c>
      <c r="AU19" s="168">
        <f>SUMPRODUCT((Demographics!$K$7:$K$751=AU$6)*(Demographics!$D$7:$D$751&gt;=Lists!$AE13)*(Demographics!$D$7:$D$751&lt;=Lists!$AF13))</f>
        <v>0</v>
      </c>
      <c r="AV19" s="169">
        <f>SUMPRODUCT((Demographics!$K$7:$K$751=AV$6)*(Demographics!$D$7:$D$751&gt;=Lists!$AE13)*(Demographics!$D$7:$D$751&lt;=Lists!$AF13))</f>
        <v>0</v>
      </c>
      <c r="AW19" s="159">
        <f t="shared" si="5"/>
        <v>0</v>
      </c>
      <c r="AX19" s="167">
        <f>SUMPRODUCT((Demographics!$M$7:$M$751=AX$6)*(Demographics!$D$7:$D$751&gt;=Lists!$AE13)*(Demographics!$D$7:$D$751&lt;=Lists!$AF13))</f>
        <v>0</v>
      </c>
      <c r="AY19" s="168">
        <f>SUMPRODUCT((Demographics!$M$7:$M$751=AY$6)*(Demographics!$D$7:$D$751&gt;=Lists!$AE13)*(Demographics!$D$7:$D$751&lt;=Lists!$AF13))</f>
        <v>0</v>
      </c>
      <c r="AZ19" s="168">
        <f>SUMPRODUCT((Demographics!$M$7:$M$751=AZ$6)*(Demographics!$D$7:$D$751&gt;=Lists!$AE13)*(Demographics!$D$7:$D$751&lt;=Lists!$AF13))</f>
        <v>0</v>
      </c>
      <c r="BA19" s="168">
        <f>SUMPRODUCT((Demographics!$M$7:$M$751=BA$6)*(Demographics!$D$7:$D$751&gt;=Lists!$AE13)*(Demographics!$D$7:$D$751&lt;=Lists!$AF13))</f>
        <v>0</v>
      </c>
      <c r="BB19" s="168">
        <f>SUMPRODUCT((Demographics!$M$7:$M$751=BB$6)*(Demographics!$D$7:$D$751&gt;=Lists!$AE13)*(Demographics!$D$7:$D$751&lt;=Lists!$AF13))</f>
        <v>0</v>
      </c>
      <c r="BC19" s="168">
        <f>SUMPRODUCT((Demographics!$M$7:$M$751=BC$6)*(Demographics!$D$7:$D$751&gt;=Lists!$AE13)*(Demographics!$D$7:$D$751&lt;=Lists!$AF13))</f>
        <v>0</v>
      </c>
      <c r="BD19" s="169">
        <f>SUMPRODUCT((Demographics!$M$7:$M$751=BD$6)*(Demographics!$D$7:$D$751&gt;=Lists!$AE13)*(Demographics!$D$7:$D$751&lt;=Lists!$AF13))</f>
        <v>0</v>
      </c>
      <c r="BE19" s="182">
        <f t="shared" si="6"/>
        <v>0</v>
      </c>
      <c r="BF19" s="167">
        <f>SUMPRODUCT((Demographics!$N$7:$N$751=BF$6)*(Demographics!$D$7:$D$751&gt;=Lists!$AE13)*(Demographics!$D$7:$D$751&lt;=Lists!$AF13))</f>
        <v>0</v>
      </c>
      <c r="BG19" s="168">
        <f>SUMPRODUCT((Demographics!$N$7:$N$751=BG$6)*(Demographics!$D$7:$D$751&gt;=Lists!$AE13)*(Demographics!$D$7:$D$751&lt;=Lists!$AF13))</f>
        <v>0</v>
      </c>
      <c r="BH19" s="168">
        <f>SUMPRODUCT((Demographics!$N$7:$N$751=BH$6)*(Demographics!$D$7:$D$751&gt;=Lists!$AE13)*(Demographics!$D$7:$D$751&lt;=Lists!$AF13))</f>
        <v>0</v>
      </c>
      <c r="BI19" s="168">
        <f>SUMPRODUCT((Demographics!$N$7:$N$751=BI$6)*(Demographics!$D$7:$D$751&gt;=Lists!$AE13)*(Demographics!$D$7:$D$751&lt;=Lists!$AF13))</f>
        <v>0</v>
      </c>
      <c r="BJ19" s="168">
        <f>SUMPRODUCT((Demographics!$N$7:$N$751=BJ$6)*(Demographics!$D$7:$D$751&gt;=Lists!$AE13)*(Demographics!$D$7:$D$751&lt;=Lists!$AF13))</f>
        <v>0</v>
      </c>
      <c r="BK19" s="169">
        <f>SUMPRODUCT((Demographics!$N$7:$N$751=BK$6)*(Demographics!$D$7:$D$751&gt;=Lists!$AE13)*(Demographics!$D$7:$D$751&lt;=Lists!$AF13))</f>
        <v>0</v>
      </c>
      <c r="BL19" s="169">
        <f>SUMPRODUCT((Demographics!$N$7:$N$751=BL$6)*(Demographics!$D$7:$D$751&gt;=Lists!$AE13)*(Demographics!$D$7:$D$751&lt;=Lists!$AF13))</f>
        <v>0</v>
      </c>
      <c r="BM19" s="159">
        <f t="shared" si="7"/>
        <v>0</v>
      </c>
      <c r="BN19" s="534">
        <f t="shared" si="8"/>
        <v>0</v>
      </c>
      <c r="BP19" s="15"/>
      <c r="BQ19" s="15"/>
      <c r="BR19" s="15"/>
      <c r="BS19" s="15"/>
      <c r="BT19" s="15"/>
      <c r="BU19" s="15"/>
      <c r="BV19" s="15"/>
      <c r="BW19" s="16"/>
      <c r="BX19" s="15"/>
      <c r="BY19" s="15"/>
      <c r="BZ19" s="15"/>
      <c r="CA19" s="15"/>
    </row>
    <row r="20" spans="1:79" ht="15" customHeight="1" thickTop="1" thickBot="1" x14ac:dyDescent="0.4">
      <c r="A20" s="194" t="s">
        <v>688</v>
      </c>
      <c r="B20" s="148">
        <f t="shared" ref="B20:I20" si="9">SUM(B8:B19)</f>
        <v>0</v>
      </c>
      <c r="C20" s="148">
        <f t="shared" si="9"/>
        <v>0</v>
      </c>
      <c r="D20" s="148">
        <f t="shared" si="9"/>
        <v>0</v>
      </c>
      <c r="E20" s="148">
        <f t="shared" si="9"/>
        <v>0</v>
      </c>
      <c r="F20" s="148">
        <f t="shared" si="9"/>
        <v>0</v>
      </c>
      <c r="G20" s="148">
        <f t="shared" si="9"/>
        <v>0</v>
      </c>
      <c r="H20" s="149">
        <f t="shared" si="9"/>
        <v>0</v>
      </c>
      <c r="I20" s="147">
        <f t="shared" si="9"/>
        <v>0</v>
      </c>
      <c r="J20" s="148">
        <f>SUM(J8:J19)</f>
        <v>0</v>
      </c>
      <c r="K20" s="148">
        <f t="shared" ref="K20:Y20" si="10">SUM(K8:K19)</f>
        <v>0</v>
      </c>
      <c r="L20" s="148">
        <f t="shared" si="10"/>
        <v>0</v>
      </c>
      <c r="M20" s="148">
        <f t="shared" si="10"/>
        <v>0</v>
      </c>
      <c r="N20" s="148">
        <f t="shared" si="10"/>
        <v>0</v>
      </c>
      <c r="O20" s="148">
        <f t="shared" si="10"/>
        <v>0</v>
      </c>
      <c r="P20" s="148">
        <f t="shared" si="10"/>
        <v>0</v>
      </c>
      <c r="Q20" s="148">
        <f t="shared" si="10"/>
        <v>0</v>
      </c>
      <c r="R20" s="221">
        <f t="shared" si="10"/>
        <v>0</v>
      </c>
      <c r="S20" s="277">
        <f t="shared" si="10"/>
        <v>0</v>
      </c>
      <c r="T20" s="559">
        <f t="shared" si="10"/>
        <v>0</v>
      </c>
      <c r="U20" s="559">
        <f t="shared" si="10"/>
        <v>0</v>
      </c>
      <c r="V20" s="429">
        <f t="shared" si="10"/>
        <v>0</v>
      </c>
      <c r="W20" s="429">
        <f t="shared" si="10"/>
        <v>0</v>
      </c>
      <c r="X20" s="429">
        <f t="shared" si="10"/>
        <v>0</v>
      </c>
      <c r="Y20" s="430">
        <f t="shared" si="10"/>
        <v>0</v>
      </c>
      <c r="Z20" s="147">
        <f t="shared" ref="Z20" si="11">SUM(Z8:Z19)</f>
        <v>0</v>
      </c>
      <c r="AA20" s="220">
        <f t="shared" ref="AA20" si="12">SUM(AA8:AA19)</f>
        <v>0</v>
      </c>
      <c r="AB20" s="221">
        <f t="shared" ref="AB20" si="13">SUM(AB8:AB19)</f>
        <v>0</v>
      </c>
      <c r="AC20" s="221">
        <f t="shared" ref="AC20" si="14">SUM(AC8:AC19)</f>
        <v>0</v>
      </c>
      <c r="AD20" s="221">
        <f t="shared" ref="AD20" si="15">SUM(AD8:AD19)</f>
        <v>0</v>
      </c>
      <c r="AE20" s="221">
        <f t="shared" ref="AE20" si="16">SUM(AE8:AE19)</f>
        <v>0</v>
      </c>
      <c r="AF20" s="221">
        <f t="shared" ref="AF20" si="17">SUM(AF8:AF19)</f>
        <v>0</v>
      </c>
      <c r="AG20" s="221">
        <f t="shared" ref="AG20" si="18">SUM(AG8:AG19)</f>
        <v>0</v>
      </c>
      <c r="AH20" s="221">
        <f t="shared" ref="AH20" si="19">SUM(AH8:AH19)</f>
        <v>0</v>
      </c>
      <c r="AI20" s="221">
        <f t="shared" ref="AI20" si="20">SUM(AI8:AI19)</f>
        <v>0</v>
      </c>
      <c r="AJ20" s="222">
        <f t="shared" ref="AJ20" si="21">SUM(AJ8:AJ19)</f>
        <v>0</v>
      </c>
      <c r="AK20" s="147">
        <f t="shared" ref="AK20" si="22">SUM(AK8:AK19)</f>
        <v>0</v>
      </c>
      <c r="AL20" s="148">
        <f t="shared" ref="AL20" si="23">SUM(AL8:AL19)</f>
        <v>0</v>
      </c>
      <c r="AM20" s="148">
        <f t="shared" ref="AM20" si="24">SUM(AM8:AM19)</f>
        <v>0</v>
      </c>
      <c r="AN20" s="149">
        <f t="shared" ref="AN20" si="25">SUM(AN8:AN19)</f>
        <v>0</v>
      </c>
      <c r="AO20" s="147">
        <f t="shared" ref="AO20" si="26">SUM(AO8:AO19)</f>
        <v>0</v>
      </c>
      <c r="AP20" s="148">
        <f t="shared" ref="AP20" si="27">SUM(AP8:AP19)</f>
        <v>0</v>
      </c>
      <c r="AQ20" s="149">
        <f t="shared" ref="AQ20" si="28">SUM(AQ8:AQ19)</f>
        <v>0</v>
      </c>
      <c r="AR20" s="147">
        <f t="shared" ref="AR20" si="29">SUM(AR8:AR19)</f>
        <v>0</v>
      </c>
      <c r="AS20" s="220">
        <f t="shared" ref="AS20" si="30">SUM(AS8:AS19)</f>
        <v>0</v>
      </c>
      <c r="AT20" s="221">
        <f t="shared" ref="AT20" si="31">SUM(AT8:AT19)</f>
        <v>0</v>
      </c>
      <c r="AU20" s="221">
        <f t="shared" ref="AU20" si="32">SUM(AU8:AU19)</f>
        <v>0</v>
      </c>
      <c r="AV20" s="222">
        <f t="shared" ref="AV20" si="33">SUM(AV8:AV19)</f>
        <v>0</v>
      </c>
      <c r="AW20" s="147">
        <f t="shared" ref="AW20" si="34">SUM(AW8:AW19)</f>
        <v>0</v>
      </c>
      <c r="AX20" s="220">
        <f t="shared" ref="AX20" si="35">SUM(AX8:AX19)</f>
        <v>0</v>
      </c>
      <c r="AY20" s="221">
        <f t="shared" ref="AY20" si="36">SUM(AY8:AY19)</f>
        <v>0</v>
      </c>
      <c r="AZ20" s="221">
        <f t="shared" ref="AZ20" si="37">SUM(AZ8:AZ19)</f>
        <v>0</v>
      </c>
      <c r="BA20" s="221">
        <f t="shared" ref="BA20" si="38">SUM(BA8:BA19)</f>
        <v>0</v>
      </c>
      <c r="BB20" s="221">
        <f t="shared" ref="BB20" si="39">SUM(BB8:BB19)</f>
        <v>0</v>
      </c>
      <c r="BC20" s="221">
        <f t="shared" ref="BC20" si="40">SUM(BC8:BC19)</f>
        <v>0</v>
      </c>
      <c r="BD20" s="222">
        <f t="shared" ref="BD20:BE20" si="41">SUM(BD8:BD19)</f>
        <v>0</v>
      </c>
      <c r="BE20" s="147">
        <f t="shared" si="41"/>
        <v>0</v>
      </c>
      <c r="BF20" s="220">
        <f t="shared" ref="BF20" si="42">SUM(BF8:BF19)</f>
        <v>0</v>
      </c>
      <c r="BG20" s="221">
        <f t="shared" ref="BG20" si="43">SUM(BG8:BG19)</f>
        <v>0</v>
      </c>
      <c r="BH20" s="221">
        <f t="shared" ref="BH20" si="44">SUM(BH8:BH19)</f>
        <v>0</v>
      </c>
      <c r="BI20" s="221">
        <f t="shared" ref="BI20" si="45">SUM(BI8:BI19)</f>
        <v>0</v>
      </c>
      <c r="BJ20" s="221">
        <f t="shared" ref="BJ20:BK20" si="46">SUM(BJ8:BJ19)</f>
        <v>0</v>
      </c>
      <c r="BK20" s="221">
        <f t="shared" si="46"/>
        <v>0</v>
      </c>
      <c r="BL20" s="222">
        <f t="shared" ref="BL20:BM20" si="47">SUM(BL8:BL19)</f>
        <v>0</v>
      </c>
      <c r="BM20" s="147">
        <f t="shared" si="47"/>
        <v>0</v>
      </c>
      <c r="BN20" s="562">
        <f t="shared" ref="BN20" si="48">SUM(BN8:BN19)</f>
        <v>0</v>
      </c>
      <c r="BO20" s="26"/>
      <c r="BP20" s="27"/>
      <c r="BQ20" s="15"/>
      <c r="BR20" s="15"/>
      <c r="BS20" s="15"/>
      <c r="BT20" s="15"/>
      <c r="BU20" s="15"/>
      <c r="BV20" s="15"/>
      <c r="BW20" s="16"/>
      <c r="BX20" s="15"/>
      <c r="BY20" s="15"/>
      <c r="BZ20" s="15"/>
      <c r="CA20" s="15"/>
    </row>
    <row r="21" spans="1:79" ht="15" customHeight="1" x14ac:dyDescent="0.3">
      <c r="A21" s="190"/>
      <c r="BP21" s="15"/>
      <c r="BQ21" s="15"/>
      <c r="BR21" s="15"/>
      <c r="BS21" s="15"/>
      <c r="BT21" s="15"/>
      <c r="BU21" s="15"/>
      <c r="BV21" s="15"/>
      <c r="BW21" s="16"/>
      <c r="BX21" s="15"/>
      <c r="BY21" s="15"/>
      <c r="BZ21" s="15"/>
      <c r="CA21" s="15"/>
    </row>
    <row r="22" spans="1:79" ht="15" customHeight="1" x14ac:dyDescent="0.3">
      <c r="A22" s="32"/>
      <c r="B22" s="32"/>
      <c r="C22" s="32"/>
      <c r="D22" s="32"/>
      <c r="E22" s="32"/>
      <c r="F22" s="32"/>
      <c r="G22" s="32"/>
      <c r="H22" s="32"/>
      <c r="I22" s="32"/>
      <c r="BP22" s="15"/>
      <c r="BQ22" s="15"/>
      <c r="BR22" s="15"/>
      <c r="BS22" s="15"/>
      <c r="BT22" s="15"/>
      <c r="BU22" s="15"/>
      <c r="BV22" s="15"/>
      <c r="BW22" s="16"/>
      <c r="BX22" s="15"/>
      <c r="BY22" s="15"/>
      <c r="BZ22" s="15"/>
      <c r="CA22" s="15"/>
    </row>
    <row r="23" spans="1:79" ht="15" customHeight="1" x14ac:dyDescent="0.3">
      <c r="A23" s="32"/>
      <c r="B23" s="32"/>
      <c r="C23" s="32"/>
      <c r="D23" s="32"/>
      <c r="E23" s="32"/>
      <c r="F23" s="32"/>
      <c r="G23" s="32"/>
      <c r="H23" s="32"/>
      <c r="I23" s="32"/>
      <c r="BP23" s="15"/>
      <c r="BQ23" s="15"/>
      <c r="BR23" s="15"/>
      <c r="BS23" s="15"/>
      <c r="BT23" s="15"/>
      <c r="BU23" s="15"/>
      <c r="BV23" s="15"/>
      <c r="BW23" s="16"/>
      <c r="BX23" s="15"/>
      <c r="BY23" s="15"/>
      <c r="BZ23" s="15"/>
      <c r="CA23" s="15"/>
    </row>
    <row r="24" spans="1:79" ht="15" customHeight="1" x14ac:dyDescent="0.3">
      <c r="A24" s="32"/>
      <c r="B24" s="32"/>
      <c r="C24" s="32"/>
      <c r="D24" s="32"/>
      <c r="E24" s="32"/>
      <c r="F24" s="32"/>
      <c r="G24" s="32"/>
      <c r="H24" s="32"/>
      <c r="I24" s="32"/>
      <c r="BP24" s="15"/>
      <c r="BQ24" s="15"/>
      <c r="BR24" s="15"/>
      <c r="BS24" s="15"/>
      <c r="BT24" s="15"/>
      <c r="BU24" s="15"/>
      <c r="BV24" s="15"/>
      <c r="BW24" s="16"/>
      <c r="BX24" s="15"/>
      <c r="BY24" s="15"/>
      <c r="BZ24" s="15"/>
      <c r="CA24" s="15"/>
    </row>
    <row r="25" spans="1:79" ht="15" customHeight="1" x14ac:dyDescent="0.3">
      <c r="BP25" s="15"/>
      <c r="BQ25" s="15"/>
      <c r="BR25" s="15"/>
      <c r="BS25" s="15"/>
      <c r="BT25" s="15"/>
      <c r="BU25" s="15"/>
      <c r="BV25" s="15"/>
      <c r="BW25" s="16"/>
      <c r="BX25" s="15"/>
      <c r="BY25" s="15"/>
      <c r="BZ25" s="15"/>
      <c r="CA25" s="15"/>
    </row>
    <row r="26" spans="1:79" ht="15" customHeight="1" x14ac:dyDescent="0.3">
      <c r="BP26" s="15"/>
      <c r="BQ26" s="15"/>
      <c r="BR26" s="15"/>
      <c r="BS26" s="15"/>
      <c r="BT26" s="15"/>
      <c r="BU26" s="15"/>
      <c r="BV26" s="15"/>
      <c r="BW26" s="16"/>
      <c r="BX26" s="15"/>
      <c r="BY26" s="15"/>
      <c r="BZ26" s="15"/>
      <c r="CA26" s="15"/>
    </row>
    <row r="27" spans="1:79" ht="15" customHeight="1" x14ac:dyDescent="0.3">
      <c r="BP27" s="15"/>
      <c r="BQ27" s="15"/>
      <c r="BR27" s="15"/>
      <c r="BS27" s="15"/>
      <c r="BT27" s="15"/>
      <c r="BU27" s="15"/>
      <c r="BV27" s="15"/>
      <c r="BW27" s="16"/>
      <c r="BX27" s="15"/>
      <c r="BY27" s="15"/>
      <c r="BZ27" s="15"/>
      <c r="CA27" s="15"/>
    </row>
    <row r="28" spans="1:79" ht="15" customHeight="1" x14ac:dyDescent="0.3">
      <c r="BC28" s="223"/>
      <c r="BP28" s="15"/>
      <c r="BQ28" s="15"/>
      <c r="BR28" s="15"/>
      <c r="BS28" s="15"/>
      <c r="BT28" s="15"/>
      <c r="BU28" s="15"/>
      <c r="BV28" s="15"/>
      <c r="BW28" s="16"/>
      <c r="BX28" s="15"/>
      <c r="BY28" s="15"/>
      <c r="BZ28" s="15"/>
      <c r="CA28" s="15"/>
    </row>
    <row r="29" spans="1:79" ht="15" customHeight="1" x14ac:dyDescent="0.3">
      <c r="BP29" s="15"/>
      <c r="BQ29" s="15"/>
      <c r="BR29" s="15"/>
      <c r="BS29" s="15"/>
      <c r="BT29" s="15"/>
      <c r="BU29" s="15"/>
      <c r="BV29" s="15"/>
      <c r="BW29" s="16"/>
      <c r="BX29" s="15"/>
      <c r="BY29" s="15"/>
      <c r="BZ29" s="15"/>
      <c r="CA29" s="15"/>
    </row>
    <row r="30" spans="1:79" ht="15" customHeight="1" x14ac:dyDescent="0.3">
      <c r="BP30" s="15"/>
      <c r="BQ30" s="15"/>
      <c r="BR30" s="15"/>
      <c r="BS30" s="15"/>
      <c r="BT30" s="15"/>
      <c r="BU30" s="15"/>
      <c r="BV30" s="15"/>
      <c r="BW30" s="16"/>
      <c r="BX30" s="15"/>
      <c r="BY30" s="15"/>
      <c r="BZ30" s="15"/>
      <c r="CA30" s="15"/>
    </row>
    <row r="31" spans="1:79" ht="15" customHeight="1" x14ac:dyDescent="0.3">
      <c r="BP31" s="15"/>
      <c r="BQ31" s="15"/>
      <c r="BR31" s="15"/>
      <c r="BS31" s="15"/>
      <c r="BT31" s="15"/>
      <c r="BU31" s="15"/>
      <c r="BV31" s="15"/>
      <c r="BW31" s="16"/>
      <c r="BX31" s="15"/>
      <c r="BY31" s="15"/>
      <c r="BZ31" s="15"/>
      <c r="CA31" s="15"/>
    </row>
    <row r="32" spans="1:79" ht="15" customHeight="1" x14ac:dyDescent="0.3">
      <c r="BP32" s="15"/>
      <c r="BQ32" s="15"/>
      <c r="BR32" s="15"/>
      <c r="BS32" s="15"/>
      <c r="BT32" s="15"/>
      <c r="BU32" s="15"/>
      <c r="BV32" s="15"/>
      <c r="BW32" s="16"/>
      <c r="BX32" s="15"/>
      <c r="BY32" s="15"/>
      <c r="BZ32" s="15"/>
      <c r="CA32" s="15"/>
    </row>
    <row r="33" spans="68:79" ht="15" customHeight="1" x14ac:dyDescent="0.3">
      <c r="BP33" s="15"/>
      <c r="BQ33" s="15"/>
      <c r="BR33" s="15"/>
      <c r="BS33" s="15"/>
      <c r="BT33" s="15"/>
      <c r="BU33" s="15"/>
      <c r="BV33" s="15"/>
      <c r="BW33" s="16"/>
      <c r="BX33" s="15"/>
      <c r="BY33" s="15"/>
      <c r="BZ33" s="15"/>
      <c r="CA33" s="15"/>
    </row>
    <row r="34" spans="68:79" ht="15" customHeight="1" x14ac:dyDescent="0.3">
      <c r="BP34" s="15"/>
      <c r="BQ34" s="15"/>
      <c r="BR34" s="15"/>
      <c r="BS34" s="15"/>
      <c r="BT34" s="15"/>
      <c r="BU34" s="15"/>
      <c r="BV34" s="15"/>
      <c r="BW34" s="16"/>
      <c r="BX34" s="15"/>
      <c r="BY34" s="15"/>
      <c r="BZ34" s="15"/>
      <c r="CA34" s="15"/>
    </row>
    <row r="35" spans="68:79" ht="15" customHeight="1" x14ac:dyDescent="0.3">
      <c r="BP35" s="15"/>
      <c r="BQ35" s="15"/>
      <c r="BR35" s="15"/>
      <c r="BS35" s="15"/>
      <c r="BT35" s="15"/>
      <c r="BU35" s="15"/>
      <c r="BV35" s="15"/>
      <c r="BW35" s="16"/>
      <c r="BX35" s="15"/>
      <c r="BY35" s="15"/>
      <c r="BZ35" s="15"/>
      <c r="CA35" s="15"/>
    </row>
    <row r="36" spans="68:79" ht="15" customHeight="1" x14ac:dyDescent="0.3">
      <c r="BP36" s="15"/>
      <c r="BQ36" s="15"/>
      <c r="BR36" s="15"/>
      <c r="BS36" s="15"/>
      <c r="BT36" s="15"/>
      <c r="BU36" s="15"/>
      <c r="BV36" s="15"/>
      <c r="BW36" s="16"/>
      <c r="BX36" s="15"/>
      <c r="BY36" s="15"/>
      <c r="BZ36" s="15"/>
      <c r="CA36" s="15"/>
    </row>
    <row r="37" spans="68:79" ht="15" customHeight="1" x14ac:dyDescent="0.3">
      <c r="BP37" s="15"/>
      <c r="BQ37" s="15"/>
      <c r="BR37" s="15"/>
      <c r="BS37" s="15"/>
      <c r="BT37" s="15"/>
      <c r="BU37" s="15"/>
      <c r="BV37" s="15"/>
      <c r="BW37" s="16"/>
      <c r="BX37" s="15"/>
      <c r="BY37" s="15"/>
      <c r="BZ37" s="15"/>
      <c r="CA37" s="15"/>
    </row>
    <row r="38" spans="68:79" ht="15" customHeight="1" x14ac:dyDescent="0.3">
      <c r="BP38" s="15"/>
      <c r="BQ38" s="15"/>
      <c r="BR38" s="15"/>
      <c r="BS38" s="15"/>
      <c r="BT38" s="15"/>
      <c r="BU38" s="15"/>
      <c r="BV38" s="15"/>
      <c r="BW38" s="16"/>
      <c r="BX38" s="15"/>
      <c r="BY38" s="15"/>
      <c r="BZ38" s="15"/>
      <c r="CA38" s="15"/>
    </row>
    <row r="39" spans="68:79" ht="15" customHeight="1" x14ac:dyDescent="0.3">
      <c r="BP39" s="15"/>
      <c r="BQ39" s="15"/>
      <c r="BR39" s="15"/>
      <c r="BS39" s="15"/>
      <c r="BT39" s="15"/>
      <c r="BU39" s="15"/>
      <c r="BV39" s="15"/>
      <c r="BW39" s="16"/>
      <c r="BX39" s="15"/>
      <c r="BY39" s="15"/>
      <c r="BZ39" s="15"/>
      <c r="CA39" s="15"/>
    </row>
    <row r="40" spans="68:79" ht="15" customHeight="1" x14ac:dyDescent="0.3">
      <c r="BP40" s="15"/>
      <c r="BQ40" s="15"/>
      <c r="BR40" s="15"/>
      <c r="BS40" s="15"/>
      <c r="BT40" s="15"/>
      <c r="BU40" s="15"/>
      <c r="BV40" s="15"/>
      <c r="BW40" s="16"/>
      <c r="BX40" s="15"/>
      <c r="BY40" s="15"/>
      <c r="BZ40" s="15"/>
      <c r="CA40" s="15"/>
    </row>
    <row r="41" spans="68:79" ht="15" customHeight="1" x14ac:dyDescent="0.3">
      <c r="BP41" s="15"/>
      <c r="BQ41" s="15"/>
      <c r="BR41" s="15"/>
      <c r="BS41" s="15"/>
      <c r="BT41" s="15"/>
      <c r="BU41" s="15"/>
      <c r="BV41" s="15"/>
      <c r="BW41" s="16"/>
      <c r="BX41" s="15"/>
      <c r="BY41" s="15"/>
      <c r="BZ41" s="15"/>
      <c r="CA41" s="15"/>
    </row>
    <row r="42" spans="68:79" ht="15" customHeight="1" x14ac:dyDescent="0.3">
      <c r="BP42" s="15"/>
      <c r="BQ42" s="15"/>
      <c r="BR42" s="15"/>
      <c r="BS42" s="15"/>
      <c r="BT42" s="15"/>
      <c r="BU42" s="15"/>
      <c r="BV42" s="15"/>
      <c r="BW42" s="16"/>
      <c r="BX42" s="15"/>
      <c r="BY42" s="15"/>
      <c r="BZ42" s="15"/>
      <c r="CA42" s="15"/>
    </row>
    <row r="43" spans="68:79" ht="15" customHeight="1" x14ac:dyDescent="0.3">
      <c r="BP43" s="15"/>
      <c r="BQ43" s="15"/>
      <c r="BR43" s="15"/>
      <c r="BS43" s="15"/>
      <c r="BT43" s="15"/>
      <c r="BU43" s="15"/>
      <c r="BV43" s="15"/>
      <c r="BW43" s="16"/>
      <c r="BX43" s="15"/>
      <c r="BY43" s="15"/>
      <c r="BZ43" s="15"/>
      <c r="CA43" s="15"/>
    </row>
    <row r="44" spans="68:79" ht="15" customHeight="1" x14ac:dyDescent="0.3">
      <c r="BP44" s="15"/>
      <c r="BQ44" s="15"/>
      <c r="BR44" s="15"/>
      <c r="BS44" s="15"/>
      <c r="BT44" s="15"/>
      <c r="BU44" s="15"/>
      <c r="BV44" s="15"/>
      <c r="BW44" s="16"/>
      <c r="BX44" s="15"/>
      <c r="BY44" s="15"/>
      <c r="BZ44" s="15"/>
      <c r="CA44" s="15"/>
    </row>
    <row r="45" spans="68:79" ht="15" customHeight="1" x14ac:dyDescent="0.3">
      <c r="BP45" s="15"/>
      <c r="BQ45" s="15"/>
      <c r="BR45" s="15"/>
      <c r="BS45" s="15"/>
      <c r="BT45" s="15"/>
      <c r="BU45" s="15"/>
      <c r="BV45" s="15"/>
      <c r="BW45" s="16"/>
      <c r="BX45" s="15"/>
      <c r="BY45" s="15"/>
      <c r="BZ45" s="15"/>
      <c r="CA45" s="15"/>
    </row>
    <row r="46" spans="68:79" ht="15" customHeight="1" x14ac:dyDescent="0.3">
      <c r="BP46" s="15"/>
      <c r="BQ46" s="15"/>
      <c r="BR46" s="15"/>
      <c r="BS46" s="15"/>
      <c r="BT46" s="15"/>
      <c r="BU46" s="15"/>
      <c r="BV46" s="15"/>
      <c r="BW46" s="16"/>
      <c r="BX46" s="15"/>
      <c r="BY46" s="15"/>
      <c r="BZ46" s="15"/>
      <c r="CA46" s="15"/>
    </row>
    <row r="47" spans="68:79" ht="15" customHeight="1" x14ac:dyDescent="0.3">
      <c r="BP47" s="15"/>
      <c r="BQ47" s="15"/>
      <c r="BR47" s="15"/>
      <c r="BS47" s="15"/>
      <c r="BT47" s="15"/>
      <c r="BU47" s="15"/>
      <c r="BV47" s="15"/>
      <c r="BW47" s="16"/>
      <c r="BX47" s="15"/>
      <c r="BY47" s="15"/>
      <c r="BZ47" s="15"/>
      <c r="CA47" s="15"/>
    </row>
    <row r="48" spans="68:79" ht="15" customHeight="1" x14ac:dyDescent="0.3">
      <c r="BP48" s="15"/>
      <c r="BQ48" s="15"/>
      <c r="BR48" s="15"/>
      <c r="BS48" s="15"/>
      <c r="BT48" s="15"/>
      <c r="BU48" s="15"/>
      <c r="BV48" s="15"/>
      <c r="BW48" s="16"/>
      <c r="BX48" s="15"/>
      <c r="BY48" s="15"/>
      <c r="BZ48" s="15"/>
      <c r="CA48" s="15"/>
    </row>
    <row r="49" spans="68:79" ht="15" customHeight="1" x14ac:dyDescent="0.3">
      <c r="BP49" s="15"/>
      <c r="BQ49" s="15"/>
      <c r="BR49" s="15"/>
      <c r="BS49" s="15"/>
      <c r="BT49" s="15"/>
      <c r="BU49" s="15"/>
      <c r="BV49" s="15"/>
      <c r="BW49" s="16"/>
      <c r="BX49" s="15"/>
      <c r="BY49" s="15"/>
      <c r="BZ49" s="15"/>
      <c r="CA49" s="15"/>
    </row>
    <row r="50" spans="68:79" ht="15" customHeight="1" x14ac:dyDescent="0.3">
      <c r="BP50" s="15"/>
      <c r="BQ50" s="15"/>
      <c r="BR50" s="15"/>
      <c r="BS50" s="15"/>
      <c r="BT50" s="15"/>
      <c r="BU50" s="15"/>
      <c r="BV50" s="15"/>
      <c r="BW50" s="16"/>
      <c r="BX50" s="15"/>
      <c r="BY50" s="15"/>
      <c r="BZ50" s="15"/>
      <c r="CA50" s="15"/>
    </row>
    <row r="51" spans="68:79" ht="15" customHeight="1" x14ac:dyDescent="0.3">
      <c r="BP51" s="15"/>
      <c r="BQ51" s="15"/>
      <c r="BR51" s="15"/>
      <c r="BS51" s="15"/>
      <c r="BT51" s="15"/>
      <c r="BU51" s="15"/>
      <c r="BV51" s="15"/>
      <c r="BW51" s="16"/>
      <c r="BX51" s="15"/>
      <c r="BY51" s="15"/>
      <c r="BZ51" s="15"/>
      <c r="CA51" s="15"/>
    </row>
    <row r="52" spans="68:79" ht="15" customHeight="1" x14ac:dyDescent="0.3">
      <c r="BP52" s="15"/>
      <c r="BQ52" s="15"/>
      <c r="BR52" s="15"/>
      <c r="BS52" s="15"/>
      <c r="BT52" s="15"/>
      <c r="BU52" s="15"/>
      <c r="BV52" s="15"/>
      <c r="BW52" s="16"/>
      <c r="BX52" s="15"/>
      <c r="BY52" s="15"/>
      <c r="BZ52" s="15"/>
      <c r="CA52" s="15"/>
    </row>
    <row r="53" spans="68:79" ht="15" customHeight="1" x14ac:dyDescent="0.3">
      <c r="BP53" s="15"/>
      <c r="BQ53" s="15"/>
      <c r="BR53" s="15"/>
      <c r="BS53" s="15"/>
      <c r="BT53" s="15"/>
      <c r="BU53" s="15"/>
      <c r="BV53" s="15"/>
      <c r="BW53" s="16"/>
      <c r="BX53" s="15"/>
      <c r="BY53" s="15"/>
      <c r="BZ53" s="15"/>
      <c r="CA53" s="15"/>
    </row>
    <row r="54" spans="68:79" ht="15" customHeight="1" x14ac:dyDescent="0.3">
      <c r="BP54" s="15"/>
      <c r="BQ54" s="15"/>
      <c r="BR54" s="15"/>
      <c r="BS54" s="15"/>
      <c r="BT54" s="15"/>
      <c r="BU54" s="15"/>
      <c r="BV54" s="15"/>
      <c r="BW54" s="16"/>
      <c r="BX54" s="15"/>
      <c r="BY54" s="15"/>
      <c r="BZ54" s="15"/>
      <c r="CA54" s="15"/>
    </row>
    <row r="55" spans="68:79" ht="15" customHeight="1" x14ac:dyDescent="0.3">
      <c r="BP55" s="15"/>
      <c r="BQ55" s="15"/>
      <c r="BR55" s="15"/>
      <c r="BS55" s="15"/>
      <c r="BT55" s="15"/>
      <c r="BU55" s="15"/>
      <c r="BV55" s="15"/>
      <c r="BW55" s="16"/>
      <c r="BX55" s="15"/>
      <c r="BY55" s="15"/>
      <c r="BZ55" s="15"/>
      <c r="CA55" s="15"/>
    </row>
    <row r="56" spans="68:79" ht="15" customHeight="1" x14ac:dyDescent="0.3">
      <c r="BP56" s="15"/>
      <c r="BQ56" s="15"/>
      <c r="BR56" s="15"/>
      <c r="BS56" s="15"/>
      <c r="BT56" s="15"/>
      <c r="BU56" s="15"/>
      <c r="BV56" s="15"/>
      <c r="BW56" s="16"/>
      <c r="BX56" s="15"/>
      <c r="BY56" s="15"/>
      <c r="BZ56" s="15"/>
      <c r="CA56" s="15"/>
    </row>
    <row r="57" spans="68:79" ht="15" customHeight="1" x14ac:dyDescent="0.3">
      <c r="BP57" s="15"/>
      <c r="BQ57" s="15"/>
      <c r="BR57" s="15"/>
      <c r="BS57" s="15"/>
      <c r="BT57" s="15"/>
      <c r="BU57" s="15"/>
      <c r="BV57" s="15"/>
      <c r="BW57" s="16"/>
      <c r="BX57" s="15"/>
      <c r="BY57" s="15"/>
      <c r="BZ57" s="15"/>
      <c r="CA57" s="15"/>
    </row>
    <row r="58" spans="68:79" ht="15" customHeight="1" x14ac:dyDescent="0.3">
      <c r="BP58" s="15"/>
      <c r="BQ58" s="15"/>
      <c r="BR58" s="15"/>
      <c r="BS58" s="15"/>
      <c r="BT58" s="15"/>
      <c r="BU58" s="15"/>
      <c r="BV58" s="15"/>
      <c r="BW58" s="16"/>
      <c r="BX58" s="15"/>
      <c r="BY58" s="15"/>
      <c r="BZ58" s="15"/>
      <c r="CA58" s="15"/>
    </row>
    <row r="59" spans="68:79" ht="15" customHeight="1" x14ac:dyDescent="0.3">
      <c r="BP59" s="15"/>
      <c r="BQ59" s="15"/>
      <c r="BR59" s="15"/>
      <c r="BS59" s="15"/>
      <c r="BT59" s="15"/>
      <c r="BU59" s="15"/>
      <c r="BV59" s="15"/>
      <c r="BW59" s="16"/>
      <c r="BX59" s="15"/>
      <c r="BY59" s="15"/>
      <c r="BZ59" s="15"/>
      <c r="CA59" s="15"/>
    </row>
    <row r="60" spans="68:79" ht="15" customHeight="1" x14ac:dyDescent="0.3">
      <c r="BP60" s="15"/>
      <c r="BQ60" s="15"/>
      <c r="BR60" s="15"/>
      <c r="BS60" s="15"/>
      <c r="BT60" s="15"/>
      <c r="BU60" s="15"/>
      <c r="BV60" s="15"/>
      <c r="BW60" s="16"/>
      <c r="BX60" s="15"/>
      <c r="BY60" s="15"/>
      <c r="BZ60" s="15"/>
      <c r="CA60" s="15"/>
    </row>
    <row r="61" spans="68:79" ht="15" customHeight="1" x14ac:dyDescent="0.3">
      <c r="BP61" s="15"/>
      <c r="BQ61" s="15"/>
      <c r="BR61" s="15"/>
      <c r="BS61" s="15"/>
      <c r="BT61" s="15"/>
      <c r="BU61" s="15"/>
      <c r="BV61" s="15"/>
      <c r="BW61" s="16"/>
      <c r="BX61" s="15"/>
      <c r="BY61" s="15"/>
      <c r="BZ61" s="15"/>
      <c r="CA61" s="15"/>
    </row>
    <row r="62" spans="68:79" ht="15" customHeight="1" x14ac:dyDescent="0.3">
      <c r="BP62" s="15"/>
      <c r="BQ62" s="15"/>
      <c r="BR62" s="15"/>
      <c r="BS62" s="15"/>
      <c r="BT62" s="15"/>
      <c r="BU62" s="15"/>
      <c r="BV62" s="15"/>
      <c r="BW62" s="16"/>
      <c r="BX62" s="15"/>
      <c r="BY62" s="15"/>
      <c r="BZ62" s="15"/>
      <c r="CA62" s="15"/>
    </row>
    <row r="63" spans="68:79" ht="15" customHeight="1" x14ac:dyDescent="0.3">
      <c r="BP63" s="15"/>
      <c r="BQ63" s="15"/>
      <c r="BR63" s="15"/>
      <c r="BS63" s="15"/>
      <c r="BT63" s="15"/>
      <c r="BU63" s="15"/>
      <c r="BV63" s="15"/>
      <c r="BW63" s="16"/>
      <c r="BX63" s="15"/>
      <c r="BY63" s="15"/>
      <c r="BZ63" s="15"/>
      <c r="CA63" s="15"/>
    </row>
    <row r="64" spans="68:79" ht="15" customHeight="1" x14ac:dyDescent="0.3">
      <c r="BP64" s="15"/>
      <c r="BQ64" s="15"/>
      <c r="BR64" s="15"/>
      <c r="BS64" s="15"/>
      <c r="BT64" s="15"/>
      <c r="BU64" s="15"/>
      <c r="BV64" s="15"/>
      <c r="BW64" s="16"/>
      <c r="BX64" s="15"/>
      <c r="BY64" s="15"/>
      <c r="BZ64" s="15"/>
      <c r="CA64" s="15"/>
    </row>
    <row r="65" spans="68:79" ht="15" customHeight="1" x14ac:dyDescent="0.3">
      <c r="BP65" s="15"/>
      <c r="BQ65" s="15"/>
      <c r="BR65" s="15"/>
      <c r="BS65" s="15"/>
      <c r="BT65" s="15"/>
      <c r="BU65" s="15"/>
      <c r="BV65" s="15"/>
      <c r="BW65" s="16"/>
      <c r="BX65" s="15"/>
      <c r="BY65" s="15"/>
      <c r="BZ65" s="15"/>
      <c r="CA65" s="15"/>
    </row>
    <row r="66" spans="68:79" ht="15" customHeight="1" x14ac:dyDescent="0.3">
      <c r="BP66" s="15"/>
      <c r="BQ66" s="15"/>
      <c r="BR66" s="15"/>
      <c r="BS66" s="15"/>
      <c r="BT66" s="15"/>
      <c r="BU66" s="15"/>
      <c r="BV66" s="15"/>
      <c r="BW66" s="16"/>
      <c r="BX66" s="15"/>
      <c r="BY66" s="15"/>
      <c r="BZ66" s="15"/>
      <c r="CA66" s="15"/>
    </row>
    <row r="67" spans="68:79" ht="15" customHeight="1" x14ac:dyDescent="0.3">
      <c r="BP67" s="15"/>
      <c r="BQ67" s="15"/>
      <c r="BR67" s="15"/>
      <c r="BS67" s="15"/>
      <c r="BT67" s="15"/>
      <c r="BU67" s="15"/>
      <c r="BV67" s="15"/>
      <c r="BW67" s="16"/>
      <c r="BX67" s="15"/>
      <c r="BY67" s="15"/>
      <c r="BZ67" s="15"/>
      <c r="CA67" s="15"/>
    </row>
    <row r="68" spans="68:79" ht="15" customHeight="1" x14ac:dyDescent="0.3">
      <c r="BP68" s="15"/>
      <c r="BQ68" s="15"/>
      <c r="BR68" s="15"/>
      <c r="BS68" s="15"/>
      <c r="BT68" s="15"/>
      <c r="BU68" s="15"/>
      <c r="BV68" s="15"/>
      <c r="BW68" s="16"/>
      <c r="BX68" s="15"/>
      <c r="BY68" s="15"/>
      <c r="BZ68" s="15"/>
      <c r="CA68" s="15"/>
    </row>
    <row r="69" spans="68:79" ht="15" customHeight="1" x14ac:dyDescent="0.3">
      <c r="BP69" s="15"/>
      <c r="BQ69" s="15"/>
      <c r="BR69" s="15"/>
      <c r="BS69" s="15"/>
      <c r="BT69" s="15"/>
      <c r="BU69" s="15"/>
      <c r="BV69" s="15"/>
      <c r="BW69" s="16"/>
      <c r="BX69" s="15"/>
      <c r="BY69" s="15"/>
      <c r="BZ69" s="15"/>
      <c r="CA69" s="15"/>
    </row>
    <row r="70" spans="68:79" ht="15" customHeight="1" x14ac:dyDescent="0.3">
      <c r="BP70" s="15"/>
      <c r="BQ70" s="15"/>
      <c r="BR70" s="15"/>
      <c r="BS70" s="15"/>
      <c r="BT70" s="15"/>
      <c r="BU70" s="15"/>
      <c r="BV70" s="15"/>
      <c r="BW70" s="16"/>
      <c r="BX70" s="15"/>
      <c r="BY70" s="15"/>
      <c r="BZ70" s="15"/>
      <c r="CA70" s="15"/>
    </row>
    <row r="71" spans="68:79" ht="15" customHeight="1" x14ac:dyDescent="0.3">
      <c r="BP71" s="15"/>
      <c r="BQ71" s="15"/>
      <c r="BR71" s="15"/>
      <c r="BS71" s="15"/>
      <c r="BT71" s="15"/>
      <c r="BU71" s="15"/>
      <c r="BV71" s="15"/>
      <c r="BW71" s="16"/>
      <c r="BX71" s="15"/>
      <c r="BY71" s="15"/>
      <c r="BZ71" s="15"/>
      <c r="CA71" s="15"/>
    </row>
    <row r="72" spans="68:79" ht="15" customHeight="1" x14ac:dyDescent="0.3">
      <c r="BP72" s="15"/>
      <c r="BQ72" s="15"/>
      <c r="BR72" s="15"/>
      <c r="BS72" s="15"/>
      <c r="BT72" s="15"/>
      <c r="BU72" s="15"/>
      <c r="BV72" s="15"/>
      <c r="BW72" s="16"/>
      <c r="BX72" s="15"/>
      <c r="BY72" s="15"/>
      <c r="BZ72" s="15"/>
      <c r="CA72" s="15"/>
    </row>
    <row r="73" spans="68:79" ht="15" customHeight="1" x14ac:dyDescent="0.3">
      <c r="BP73" s="15"/>
      <c r="BQ73" s="15"/>
      <c r="BR73" s="15"/>
      <c r="BS73" s="15"/>
      <c r="BT73" s="15"/>
      <c r="BU73" s="15"/>
      <c r="BV73" s="15"/>
      <c r="BW73" s="16"/>
      <c r="BX73" s="15"/>
      <c r="BY73" s="15"/>
      <c r="BZ73" s="15"/>
      <c r="CA73" s="15"/>
    </row>
    <row r="74" spans="68:79" ht="15" customHeight="1" x14ac:dyDescent="0.3">
      <c r="BP74" s="15"/>
      <c r="BQ74" s="15"/>
      <c r="BR74" s="15"/>
      <c r="BS74" s="15"/>
      <c r="BT74" s="15"/>
      <c r="BU74" s="15"/>
      <c r="BV74" s="15"/>
      <c r="BW74" s="16"/>
      <c r="BX74" s="15"/>
      <c r="BY74" s="15"/>
      <c r="BZ74" s="15"/>
      <c r="CA74" s="15"/>
    </row>
    <row r="75" spans="68:79" ht="15" customHeight="1" x14ac:dyDescent="0.3">
      <c r="BP75" s="15"/>
      <c r="BQ75" s="15"/>
      <c r="BR75" s="15"/>
      <c r="BS75" s="15"/>
      <c r="BT75" s="15"/>
      <c r="BU75" s="15"/>
      <c r="BV75" s="15"/>
      <c r="BW75" s="16"/>
      <c r="BX75" s="15"/>
      <c r="BY75" s="15"/>
      <c r="BZ75" s="15"/>
      <c r="CA75" s="15"/>
    </row>
    <row r="76" spans="68:79" ht="15" customHeight="1" x14ac:dyDescent="0.3">
      <c r="BP76" s="15"/>
      <c r="BQ76" s="15"/>
      <c r="BR76" s="15"/>
      <c r="BS76" s="15"/>
      <c r="BT76" s="15"/>
      <c r="BU76" s="15"/>
      <c r="BV76" s="15"/>
      <c r="BW76" s="16"/>
      <c r="BX76" s="15"/>
      <c r="BY76" s="15"/>
      <c r="BZ76" s="15"/>
      <c r="CA76" s="15"/>
    </row>
    <row r="77" spans="68:79" ht="15" customHeight="1" x14ac:dyDescent="0.3">
      <c r="BP77" s="15"/>
      <c r="BQ77" s="15"/>
      <c r="BR77" s="15"/>
      <c r="BS77" s="15"/>
      <c r="BT77" s="15"/>
      <c r="BU77" s="15"/>
      <c r="BV77" s="15"/>
      <c r="BW77" s="16"/>
      <c r="BX77" s="15"/>
      <c r="BY77" s="15"/>
      <c r="BZ77" s="15"/>
      <c r="CA77" s="15"/>
    </row>
    <row r="78" spans="68:79" ht="15" customHeight="1" x14ac:dyDescent="0.3">
      <c r="BP78" s="15"/>
      <c r="BQ78" s="15"/>
      <c r="BR78" s="15"/>
      <c r="BS78" s="15"/>
      <c r="BT78" s="15"/>
      <c r="BU78" s="15"/>
      <c r="BV78" s="15"/>
      <c r="BW78" s="16"/>
      <c r="BX78" s="15"/>
      <c r="BY78" s="15"/>
      <c r="BZ78" s="15"/>
      <c r="CA78" s="15"/>
    </row>
    <row r="79" spans="68:79" ht="15" customHeight="1" x14ac:dyDescent="0.3">
      <c r="BP79" s="15"/>
      <c r="BQ79" s="15"/>
      <c r="BR79" s="15"/>
      <c r="BS79" s="15"/>
      <c r="BT79" s="15"/>
      <c r="BU79" s="15"/>
      <c r="BV79" s="15"/>
      <c r="BW79" s="16"/>
      <c r="BX79" s="15"/>
      <c r="BY79" s="15"/>
      <c r="BZ79" s="15"/>
      <c r="CA79" s="15"/>
    </row>
    <row r="80" spans="68:79" ht="15" customHeight="1" x14ac:dyDescent="0.3">
      <c r="BP80" s="15"/>
      <c r="BQ80" s="15"/>
      <c r="BR80" s="15"/>
      <c r="BS80" s="15"/>
      <c r="BT80" s="15"/>
      <c r="BU80" s="15"/>
      <c r="BV80" s="15"/>
      <c r="BW80" s="16"/>
      <c r="BX80" s="15"/>
      <c r="BY80" s="15"/>
      <c r="BZ80" s="15"/>
      <c r="CA80" s="15"/>
    </row>
    <row r="81" spans="68:79" ht="15" customHeight="1" x14ac:dyDescent="0.3">
      <c r="BP81" s="15"/>
      <c r="BQ81" s="15"/>
      <c r="BR81" s="15"/>
      <c r="BS81" s="15"/>
      <c r="BT81" s="15"/>
      <c r="BU81" s="15"/>
      <c r="BV81" s="15"/>
      <c r="BW81" s="16"/>
      <c r="BX81" s="15"/>
      <c r="BY81" s="15"/>
      <c r="BZ81" s="15"/>
      <c r="CA81" s="15"/>
    </row>
    <row r="82" spans="68:79" ht="15" customHeight="1" x14ac:dyDescent="0.3">
      <c r="BP82" s="15"/>
      <c r="BQ82" s="15"/>
      <c r="BR82" s="15"/>
      <c r="BS82" s="15"/>
      <c r="BT82" s="15"/>
      <c r="BU82" s="15"/>
      <c r="BV82" s="15"/>
      <c r="BW82" s="16"/>
      <c r="BX82" s="15"/>
      <c r="BY82" s="15"/>
      <c r="BZ82" s="15"/>
      <c r="CA82" s="15"/>
    </row>
    <row r="83" spans="68:79" ht="15" customHeight="1" x14ac:dyDescent="0.3">
      <c r="BP83" s="15"/>
      <c r="BQ83" s="15"/>
      <c r="BR83" s="15"/>
      <c r="BS83" s="15"/>
      <c r="BT83" s="15"/>
      <c r="BU83" s="15"/>
      <c r="BV83" s="15"/>
      <c r="BW83" s="16"/>
      <c r="BX83" s="15"/>
      <c r="BY83" s="15"/>
      <c r="BZ83" s="15"/>
      <c r="CA83" s="15"/>
    </row>
    <row r="84" spans="68:79" ht="15" customHeight="1" x14ac:dyDescent="0.3">
      <c r="BP84" s="15"/>
      <c r="BQ84" s="15"/>
      <c r="BR84" s="15"/>
      <c r="BS84" s="15"/>
      <c r="BT84" s="15"/>
      <c r="BU84" s="15"/>
      <c r="BV84" s="15"/>
      <c r="BW84" s="16"/>
      <c r="BX84" s="15"/>
      <c r="BY84" s="15"/>
      <c r="BZ84" s="15"/>
      <c r="CA84" s="15"/>
    </row>
    <row r="85" spans="68:79" ht="15" customHeight="1" x14ac:dyDescent="0.3">
      <c r="BP85" s="15"/>
      <c r="BQ85" s="15"/>
      <c r="BR85" s="15"/>
      <c r="BS85" s="15"/>
      <c r="BT85" s="15"/>
      <c r="BU85" s="15"/>
      <c r="BV85" s="15"/>
      <c r="BW85" s="16"/>
      <c r="BX85" s="15"/>
      <c r="BY85" s="15"/>
      <c r="BZ85" s="15"/>
      <c r="CA85" s="15"/>
    </row>
    <row r="86" spans="68:79" ht="15" customHeight="1" x14ac:dyDescent="0.3">
      <c r="BP86" s="15"/>
      <c r="BQ86" s="15"/>
      <c r="BR86" s="15"/>
      <c r="BS86" s="15"/>
      <c r="BT86" s="15"/>
      <c r="BU86" s="15"/>
      <c r="BV86" s="15"/>
      <c r="BW86" s="16"/>
      <c r="BX86" s="15"/>
      <c r="BY86" s="15"/>
      <c r="BZ86" s="15"/>
      <c r="CA86" s="15"/>
    </row>
    <row r="87" spans="68:79" ht="15" customHeight="1" x14ac:dyDescent="0.3">
      <c r="BP87" s="15"/>
      <c r="BQ87" s="15"/>
      <c r="BR87" s="15"/>
      <c r="BS87" s="15"/>
      <c r="BT87" s="15"/>
      <c r="BU87" s="15"/>
      <c r="BV87" s="15"/>
      <c r="BW87" s="16"/>
      <c r="BX87" s="15"/>
      <c r="BY87" s="15"/>
      <c r="BZ87" s="15"/>
      <c r="CA87" s="15"/>
    </row>
    <row r="88" spans="68:79" ht="15" customHeight="1" x14ac:dyDescent="0.3">
      <c r="BP88" s="15"/>
      <c r="BQ88" s="15"/>
      <c r="BR88" s="15"/>
      <c r="BS88" s="15"/>
      <c r="BT88" s="15"/>
      <c r="BU88" s="15"/>
      <c r="BV88" s="15"/>
      <c r="BW88" s="16"/>
      <c r="BX88" s="15"/>
      <c r="BY88" s="15"/>
      <c r="BZ88" s="15"/>
      <c r="CA88" s="15"/>
    </row>
    <row r="89" spans="68:79" ht="15" customHeight="1" x14ac:dyDescent="0.3">
      <c r="BP89" s="15"/>
      <c r="BQ89" s="15"/>
      <c r="BR89" s="15"/>
      <c r="BS89" s="15"/>
      <c r="BT89" s="15"/>
      <c r="BU89" s="15"/>
      <c r="BV89" s="15"/>
      <c r="BW89" s="16"/>
      <c r="BX89" s="15"/>
      <c r="BY89" s="15"/>
      <c r="BZ89" s="15"/>
      <c r="CA89" s="15"/>
    </row>
    <row r="90" spans="68:79" ht="15" customHeight="1" x14ac:dyDescent="0.3">
      <c r="BP90" s="15"/>
      <c r="BQ90" s="15"/>
      <c r="BR90" s="15"/>
      <c r="BS90" s="15"/>
      <c r="BT90" s="15"/>
      <c r="BU90" s="15"/>
      <c r="BV90" s="15"/>
      <c r="BW90" s="16"/>
      <c r="BX90" s="15"/>
      <c r="BY90" s="15"/>
      <c r="BZ90" s="15"/>
      <c r="CA90" s="15"/>
    </row>
    <row r="91" spans="68:79" ht="15" customHeight="1" x14ac:dyDescent="0.3">
      <c r="BP91" s="15"/>
      <c r="BQ91" s="15"/>
      <c r="BR91" s="15"/>
      <c r="BS91" s="15"/>
      <c r="BT91" s="15"/>
      <c r="BU91" s="15"/>
      <c r="BV91" s="15"/>
      <c r="BW91" s="16"/>
      <c r="BX91" s="15"/>
      <c r="BY91" s="15"/>
      <c r="BZ91" s="15"/>
      <c r="CA91" s="15"/>
    </row>
    <row r="92" spans="68:79" ht="15" customHeight="1" x14ac:dyDescent="0.3">
      <c r="BP92" s="15"/>
      <c r="BQ92" s="15"/>
      <c r="BR92" s="15"/>
      <c r="BS92" s="15"/>
      <c r="BT92" s="15"/>
      <c r="BU92" s="15"/>
      <c r="BV92" s="15"/>
      <c r="BW92" s="16"/>
      <c r="BX92" s="15"/>
      <c r="BY92" s="15"/>
      <c r="BZ92" s="15"/>
      <c r="CA92" s="15"/>
    </row>
    <row r="93" spans="68:79" ht="15" customHeight="1" x14ac:dyDescent="0.3">
      <c r="BP93" s="15"/>
      <c r="BQ93" s="15"/>
      <c r="BR93" s="15"/>
      <c r="BS93" s="15"/>
      <c r="BT93" s="15"/>
      <c r="BU93" s="15"/>
      <c r="BV93" s="15"/>
      <c r="BW93" s="16"/>
      <c r="BX93" s="15"/>
      <c r="BY93" s="15"/>
      <c r="BZ93" s="15"/>
      <c r="CA93" s="15"/>
    </row>
    <row r="94" spans="68:79" ht="15" customHeight="1" x14ac:dyDescent="0.3">
      <c r="BP94" s="15"/>
      <c r="BQ94" s="15"/>
      <c r="BR94" s="15"/>
      <c r="BS94" s="15"/>
      <c r="BT94" s="15"/>
      <c r="BU94" s="15"/>
      <c r="BV94" s="15"/>
      <c r="BW94" s="16"/>
      <c r="BX94" s="15"/>
      <c r="BY94" s="15"/>
      <c r="BZ94" s="15"/>
      <c r="CA94" s="15"/>
    </row>
    <row r="95" spans="68:79" ht="15" customHeight="1" x14ac:dyDescent="0.3">
      <c r="BP95" s="15"/>
      <c r="BQ95" s="15"/>
      <c r="BR95" s="15"/>
      <c r="BS95" s="15"/>
      <c r="BT95" s="15"/>
      <c r="BU95" s="15"/>
      <c r="BV95" s="15"/>
      <c r="BW95" s="16"/>
      <c r="BX95" s="15"/>
      <c r="BY95" s="15"/>
      <c r="BZ95" s="15"/>
      <c r="CA95" s="15"/>
    </row>
    <row r="96" spans="68:79" ht="15" customHeight="1" x14ac:dyDescent="0.3">
      <c r="BP96" s="15"/>
      <c r="BQ96" s="15"/>
      <c r="BR96" s="15"/>
      <c r="BS96" s="15"/>
      <c r="BT96" s="15"/>
      <c r="BU96" s="15"/>
      <c r="BV96" s="15"/>
      <c r="BW96" s="16"/>
      <c r="BX96" s="15"/>
      <c r="BY96" s="15"/>
      <c r="BZ96" s="15"/>
      <c r="CA96" s="15"/>
    </row>
    <row r="97" spans="68:79" ht="15" customHeight="1" x14ac:dyDescent="0.3">
      <c r="BP97" s="15"/>
      <c r="BQ97" s="15"/>
      <c r="BR97" s="15"/>
      <c r="BS97" s="15"/>
      <c r="BT97" s="15"/>
      <c r="BU97" s="15"/>
      <c r="BV97" s="15"/>
      <c r="BW97" s="16"/>
      <c r="BX97" s="15"/>
      <c r="BY97" s="15"/>
      <c r="BZ97" s="15"/>
      <c r="CA97" s="15"/>
    </row>
    <row r="98" spans="68:79" ht="15" customHeight="1" x14ac:dyDescent="0.3">
      <c r="BP98" s="15"/>
      <c r="BQ98" s="15"/>
      <c r="BR98" s="15"/>
      <c r="BS98" s="15"/>
      <c r="BT98" s="15"/>
      <c r="BU98" s="15"/>
      <c r="BV98" s="15"/>
      <c r="BW98" s="16"/>
      <c r="BX98" s="15"/>
      <c r="BY98" s="15"/>
      <c r="BZ98" s="15"/>
      <c r="CA98" s="15"/>
    </row>
    <row r="99" spans="68:79" ht="15" customHeight="1" x14ac:dyDescent="0.3">
      <c r="BP99" s="15"/>
      <c r="BQ99" s="15"/>
      <c r="BR99" s="15"/>
      <c r="BS99" s="15"/>
      <c r="BT99" s="15"/>
      <c r="BU99" s="15"/>
      <c r="BV99" s="15"/>
      <c r="BW99" s="16"/>
      <c r="BX99" s="15"/>
      <c r="BY99" s="15"/>
      <c r="BZ99" s="15"/>
      <c r="CA99" s="15"/>
    </row>
    <row r="100" spans="68:79" ht="15" customHeight="1" x14ac:dyDescent="0.3">
      <c r="BP100" s="15"/>
      <c r="BQ100" s="15"/>
      <c r="BR100" s="15"/>
      <c r="BS100" s="15"/>
      <c r="BT100" s="15"/>
      <c r="BU100" s="15"/>
      <c r="BV100" s="15"/>
      <c r="BW100" s="16"/>
      <c r="BX100" s="15"/>
      <c r="BY100" s="15"/>
      <c r="BZ100" s="15"/>
      <c r="CA100" s="15"/>
    </row>
    <row r="101" spans="68:79" ht="15" customHeight="1" x14ac:dyDescent="0.3">
      <c r="BP101" s="15"/>
      <c r="BQ101" s="15"/>
      <c r="BR101" s="15"/>
      <c r="BS101" s="15"/>
      <c r="BT101" s="15"/>
      <c r="BU101" s="15"/>
      <c r="BV101" s="15"/>
      <c r="BW101" s="16"/>
      <c r="BX101" s="15"/>
      <c r="BY101" s="15"/>
      <c r="BZ101" s="15"/>
      <c r="CA101" s="15"/>
    </row>
    <row r="102" spans="68:79" ht="15" customHeight="1" x14ac:dyDescent="0.3">
      <c r="BP102" s="15"/>
      <c r="BQ102" s="15"/>
      <c r="BR102" s="15"/>
      <c r="BS102" s="15"/>
      <c r="BT102" s="15"/>
      <c r="BU102" s="15"/>
      <c r="BV102" s="15"/>
      <c r="BW102" s="16"/>
      <c r="BX102" s="15"/>
      <c r="BY102" s="15"/>
      <c r="BZ102" s="15"/>
      <c r="CA102" s="15"/>
    </row>
    <row r="103" spans="68:79" ht="15" customHeight="1" x14ac:dyDescent="0.3">
      <c r="BP103" s="15"/>
      <c r="BQ103" s="15"/>
      <c r="BR103" s="15"/>
      <c r="BS103" s="15"/>
      <c r="BT103" s="15"/>
      <c r="BU103" s="15"/>
      <c r="BV103" s="15"/>
      <c r="BW103" s="16"/>
      <c r="BX103" s="15"/>
      <c r="BY103" s="15"/>
      <c r="BZ103" s="15"/>
      <c r="CA103" s="15"/>
    </row>
    <row r="104" spans="68:79" ht="15" customHeight="1" x14ac:dyDescent="0.3">
      <c r="BP104" s="15"/>
      <c r="BQ104" s="15"/>
      <c r="BR104" s="15"/>
      <c r="BS104" s="15"/>
      <c r="BT104" s="15"/>
      <c r="BU104" s="15"/>
      <c r="BV104" s="15"/>
      <c r="BW104" s="16"/>
      <c r="BX104" s="15"/>
      <c r="BY104" s="15"/>
      <c r="BZ104" s="15"/>
      <c r="CA104" s="15"/>
    </row>
    <row r="105" spans="68:79" ht="15" customHeight="1" x14ac:dyDescent="0.3">
      <c r="BP105" s="15"/>
      <c r="BQ105" s="15"/>
      <c r="BR105" s="15"/>
      <c r="BS105" s="15"/>
      <c r="BT105" s="15"/>
      <c r="BU105" s="15"/>
      <c r="BV105" s="15"/>
      <c r="BW105" s="16"/>
      <c r="BX105" s="15"/>
      <c r="BY105" s="15"/>
      <c r="BZ105" s="15"/>
      <c r="CA105" s="15"/>
    </row>
    <row r="106" spans="68:79" ht="15" customHeight="1" x14ac:dyDescent="0.3">
      <c r="BP106" s="15"/>
      <c r="BQ106" s="15"/>
      <c r="BR106" s="15"/>
      <c r="BS106" s="15"/>
      <c r="BT106" s="15"/>
      <c r="BU106" s="15"/>
      <c r="BV106" s="15"/>
      <c r="BW106" s="16"/>
      <c r="BX106" s="15"/>
      <c r="BY106" s="15"/>
      <c r="BZ106" s="15"/>
      <c r="CA106" s="15"/>
    </row>
    <row r="107" spans="68:79" ht="15" customHeight="1" x14ac:dyDescent="0.3">
      <c r="BP107" s="15"/>
      <c r="BQ107" s="15"/>
      <c r="BR107" s="15"/>
      <c r="BS107" s="15"/>
      <c r="BT107" s="15"/>
      <c r="BU107" s="15"/>
      <c r="BV107" s="15"/>
      <c r="BW107" s="16"/>
      <c r="BX107" s="15"/>
      <c r="BY107" s="15"/>
      <c r="BZ107" s="15"/>
      <c r="CA107" s="15"/>
    </row>
    <row r="108" spans="68:79" ht="15" customHeight="1" x14ac:dyDescent="0.3">
      <c r="BP108" s="15"/>
      <c r="BQ108" s="15"/>
      <c r="BR108" s="15"/>
      <c r="BS108" s="15"/>
      <c r="BT108" s="15"/>
      <c r="BU108" s="15"/>
      <c r="BV108" s="15"/>
      <c r="BW108" s="16"/>
      <c r="BX108" s="15"/>
      <c r="BY108" s="15"/>
      <c r="BZ108" s="15"/>
      <c r="CA108" s="15"/>
    </row>
    <row r="109" spans="68:79" ht="15" customHeight="1" x14ac:dyDescent="0.3">
      <c r="BP109" s="15"/>
      <c r="BQ109" s="15"/>
      <c r="BR109" s="15"/>
      <c r="BS109" s="15"/>
      <c r="BT109" s="15"/>
      <c r="BU109" s="15"/>
      <c r="BV109" s="15"/>
      <c r="BW109" s="16"/>
      <c r="BX109" s="15"/>
      <c r="BY109" s="15"/>
      <c r="BZ109" s="15"/>
      <c r="CA109" s="15"/>
    </row>
    <row r="110" spans="68:79" ht="15" customHeight="1" x14ac:dyDescent="0.3">
      <c r="BP110" s="15"/>
      <c r="BQ110" s="15"/>
      <c r="BR110" s="15"/>
      <c r="BS110" s="15"/>
      <c r="BT110" s="15"/>
      <c r="BU110" s="15"/>
      <c r="BV110" s="15"/>
      <c r="BW110" s="16"/>
      <c r="BX110" s="15"/>
      <c r="BY110" s="15"/>
      <c r="BZ110" s="15"/>
      <c r="CA110" s="15"/>
    </row>
    <row r="111" spans="68:79" ht="15" customHeight="1" x14ac:dyDescent="0.3">
      <c r="BP111" s="15"/>
      <c r="BQ111" s="15"/>
      <c r="BR111" s="15"/>
      <c r="BS111" s="15"/>
      <c r="BT111" s="15"/>
      <c r="BU111" s="15"/>
      <c r="BV111" s="15"/>
      <c r="BW111" s="16"/>
      <c r="BX111" s="15"/>
      <c r="BY111" s="15"/>
      <c r="BZ111" s="15"/>
      <c r="CA111" s="15"/>
    </row>
    <row r="112" spans="68:79" ht="15" customHeight="1" x14ac:dyDescent="0.3">
      <c r="BP112" s="15"/>
      <c r="BQ112" s="15"/>
      <c r="BR112" s="15"/>
      <c r="BS112" s="15"/>
      <c r="BT112" s="15"/>
      <c r="BU112" s="15"/>
      <c r="BV112" s="15"/>
      <c r="BW112" s="16"/>
      <c r="BX112" s="15"/>
      <c r="BY112" s="15"/>
      <c r="BZ112" s="15"/>
      <c r="CA112" s="15"/>
    </row>
    <row r="113" spans="68:79" ht="15" customHeight="1" x14ac:dyDescent="0.3">
      <c r="BP113" s="15"/>
      <c r="BQ113" s="15"/>
      <c r="BR113" s="15"/>
      <c r="BS113" s="15"/>
      <c r="BT113" s="15"/>
      <c r="BU113" s="15"/>
      <c r="BV113" s="15"/>
      <c r="BW113" s="16"/>
      <c r="BX113" s="15"/>
      <c r="BY113" s="15"/>
      <c r="BZ113" s="15"/>
      <c r="CA113" s="15"/>
    </row>
    <row r="114" spans="68:79" ht="15" customHeight="1" x14ac:dyDescent="0.3">
      <c r="BP114" s="15"/>
      <c r="BQ114" s="15"/>
      <c r="BR114" s="15"/>
      <c r="BS114" s="15"/>
      <c r="BT114" s="15"/>
      <c r="BU114" s="15"/>
      <c r="BV114" s="15"/>
      <c r="BW114" s="16"/>
      <c r="BX114" s="15"/>
      <c r="BY114" s="15"/>
      <c r="BZ114" s="15"/>
      <c r="CA114" s="15"/>
    </row>
    <row r="115" spans="68:79" ht="15" customHeight="1" x14ac:dyDescent="0.3">
      <c r="BP115" s="15"/>
      <c r="BQ115" s="15"/>
      <c r="BR115" s="15"/>
      <c r="BS115" s="15"/>
      <c r="BT115" s="15"/>
      <c r="BU115" s="15"/>
      <c r="BV115" s="15"/>
      <c r="BW115" s="16"/>
      <c r="BX115" s="15"/>
      <c r="BY115" s="15"/>
      <c r="BZ115" s="15"/>
      <c r="CA115" s="15"/>
    </row>
    <row r="116" spans="68:79" ht="15" customHeight="1" x14ac:dyDescent="0.3">
      <c r="BP116" s="15"/>
      <c r="BQ116" s="15"/>
      <c r="BR116" s="15"/>
      <c r="BS116" s="15"/>
      <c r="BT116" s="15"/>
      <c r="BU116" s="15"/>
      <c r="BV116" s="15"/>
      <c r="BW116" s="16"/>
      <c r="BX116" s="15"/>
      <c r="BY116" s="15"/>
      <c r="BZ116" s="15"/>
      <c r="CA116" s="15"/>
    </row>
    <row r="117" spans="68:79" ht="15" customHeight="1" x14ac:dyDescent="0.3">
      <c r="BP117" s="15"/>
      <c r="BQ117" s="15"/>
      <c r="BR117" s="15"/>
      <c r="BS117" s="15"/>
      <c r="BT117" s="15"/>
      <c r="BU117" s="15"/>
      <c r="BV117" s="15"/>
      <c r="BW117" s="16"/>
      <c r="BX117" s="15"/>
      <c r="BY117" s="15"/>
      <c r="BZ117" s="15"/>
      <c r="CA117" s="15"/>
    </row>
    <row r="118" spans="68:79" ht="15" customHeight="1" x14ac:dyDescent="0.3">
      <c r="BP118" s="15"/>
      <c r="BQ118" s="15"/>
      <c r="BR118" s="15"/>
      <c r="BS118" s="15"/>
      <c r="BT118" s="15"/>
      <c r="BU118" s="15"/>
      <c r="BV118" s="15"/>
      <c r="BW118" s="16"/>
      <c r="BX118" s="15"/>
      <c r="BY118" s="15"/>
      <c r="BZ118" s="15"/>
      <c r="CA118" s="15"/>
    </row>
    <row r="119" spans="68:79" ht="15" customHeight="1" x14ac:dyDescent="0.3">
      <c r="BP119" s="15"/>
      <c r="BQ119" s="15"/>
      <c r="BR119" s="15"/>
      <c r="BS119" s="15"/>
      <c r="BT119" s="15"/>
      <c r="BU119" s="15"/>
      <c r="BV119" s="15"/>
      <c r="BW119" s="16"/>
      <c r="BX119" s="15"/>
      <c r="BY119" s="15"/>
      <c r="BZ119" s="15"/>
      <c r="CA119" s="15"/>
    </row>
    <row r="120" spans="68:79" ht="15" customHeight="1" x14ac:dyDescent="0.3">
      <c r="BP120" s="15"/>
      <c r="BQ120" s="15"/>
      <c r="BR120" s="15"/>
      <c r="BS120" s="15"/>
      <c r="BT120" s="15"/>
      <c r="BU120" s="15"/>
      <c r="BV120" s="15"/>
      <c r="BW120" s="16"/>
      <c r="BX120" s="15"/>
      <c r="BY120" s="15"/>
      <c r="BZ120" s="15"/>
      <c r="CA120" s="15"/>
    </row>
    <row r="121" spans="68:79" ht="15" customHeight="1" x14ac:dyDescent="0.3">
      <c r="BP121" s="15"/>
      <c r="BQ121" s="15"/>
      <c r="BR121" s="15"/>
      <c r="BS121" s="15"/>
      <c r="BT121" s="15"/>
      <c r="BU121" s="15"/>
      <c r="BV121" s="15"/>
      <c r="BW121" s="16"/>
      <c r="BX121" s="15"/>
      <c r="BY121" s="15"/>
      <c r="BZ121" s="15"/>
      <c r="CA121" s="15"/>
    </row>
    <row r="122" spans="68:79" ht="15" customHeight="1" x14ac:dyDescent="0.3">
      <c r="BP122" s="15"/>
      <c r="BQ122" s="15"/>
      <c r="BR122" s="15"/>
      <c r="BS122" s="15"/>
      <c r="BT122" s="15"/>
      <c r="BU122" s="15"/>
      <c r="BV122" s="15"/>
      <c r="BW122" s="16"/>
      <c r="BX122" s="15"/>
      <c r="BY122" s="15"/>
      <c r="BZ122" s="15"/>
      <c r="CA122" s="15"/>
    </row>
    <row r="123" spans="68:79" ht="15" customHeight="1" x14ac:dyDescent="0.3">
      <c r="BP123" s="15"/>
      <c r="BQ123" s="15"/>
      <c r="BR123" s="15"/>
      <c r="BS123" s="15"/>
      <c r="BT123" s="15"/>
      <c r="BU123" s="15"/>
      <c r="BV123" s="15"/>
      <c r="BW123" s="16"/>
      <c r="BX123" s="15"/>
      <c r="BY123" s="15"/>
      <c r="BZ123" s="15"/>
      <c r="CA123" s="15"/>
    </row>
    <row r="124" spans="68:79" ht="15" customHeight="1" x14ac:dyDescent="0.3">
      <c r="BP124" s="15"/>
      <c r="BQ124" s="15"/>
      <c r="BR124" s="15"/>
      <c r="BS124" s="15"/>
      <c r="BT124" s="15"/>
      <c r="BU124" s="15"/>
      <c r="BV124" s="15"/>
      <c r="BW124" s="16"/>
      <c r="BX124" s="15"/>
      <c r="BY124" s="15"/>
      <c r="BZ124" s="15"/>
      <c r="CA124" s="15"/>
    </row>
    <row r="125" spans="68:79" ht="15" customHeight="1" x14ac:dyDescent="0.3">
      <c r="BP125" s="15"/>
      <c r="BQ125" s="15"/>
      <c r="BR125" s="15"/>
      <c r="BS125" s="15"/>
      <c r="BT125" s="15"/>
      <c r="BU125" s="15"/>
      <c r="BV125" s="15"/>
      <c r="BW125" s="16"/>
      <c r="BX125" s="15"/>
      <c r="BY125" s="15"/>
      <c r="BZ125" s="15"/>
      <c r="CA125" s="15"/>
    </row>
    <row r="126" spans="68:79" ht="15" customHeight="1" x14ac:dyDescent="0.3">
      <c r="BP126" s="15"/>
      <c r="BQ126" s="15"/>
      <c r="BR126" s="15"/>
      <c r="BS126" s="15"/>
      <c r="BT126" s="15"/>
      <c r="BU126" s="15"/>
      <c r="BV126" s="15"/>
      <c r="BW126" s="16"/>
      <c r="BX126" s="15"/>
      <c r="BY126" s="15"/>
      <c r="BZ126" s="15"/>
      <c r="CA126" s="15"/>
    </row>
    <row r="127" spans="68:79" ht="15" customHeight="1" x14ac:dyDescent="0.3">
      <c r="BP127" s="15"/>
      <c r="BQ127" s="15"/>
      <c r="BR127" s="15"/>
      <c r="BS127" s="15"/>
      <c r="BT127" s="15"/>
      <c r="BU127" s="15"/>
      <c r="BV127" s="15"/>
      <c r="BW127" s="16"/>
      <c r="BX127" s="15"/>
      <c r="BY127" s="15"/>
      <c r="BZ127" s="15"/>
      <c r="CA127" s="15"/>
    </row>
    <row r="128" spans="68:79" ht="15" customHeight="1" x14ac:dyDescent="0.3">
      <c r="BP128" s="15"/>
      <c r="BQ128" s="15"/>
      <c r="BR128" s="15"/>
      <c r="BS128" s="15"/>
      <c r="BT128" s="15"/>
      <c r="BU128" s="15"/>
      <c r="BV128" s="15"/>
      <c r="BW128" s="16"/>
      <c r="BX128" s="15"/>
      <c r="BY128" s="15"/>
      <c r="BZ128" s="15"/>
      <c r="CA128" s="15"/>
    </row>
    <row r="129" spans="68:79" ht="15" customHeight="1" x14ac:dyDescent="0.3">
      <c r="BP129" s="15"/>
      <c r="BQ129" s="15"/>
      <c r="BR129" s="15"/>
      <c r="BS129" s="15"/>
      <c r="BT129" s="15"/>
      <c r="BU129" s="15"/>
      <c r="BV129" s="15"/>
      <c r="BW129" s="16"/>
      <c r="BX129" s="15"/>
      <c r="BY129" s="15"/>
      <c r="BZ129" s="15"/>
      <c r="CA129" s="15"/>
    </row>
    <row r="130" spans="68:79" ht="15" customHeight="1" x14ac:dyDescent="0.3">
      <c r="BP130" s="15"/>
      <c r="BQ130" s="15"/>
      <c r="BR130" s="15"/>
      <c r="BS130" s="15"/>
      <c r="BT130" s="15"/>
      <c r="BU130" s="15"/>
      <c r="BV130" s="15"/>
      <c r="BW130" s="16"/>
      <c r="BX130" s="15"/>
      <c r="BY130" s="15"/>
      <c r="BZ130" s="15"/>
      <c r="CA130" s="15"/>
    </row>
    <row r="131" spans="68:79" ht="15" customHeight="1" x14ac:dyDescent="0.3">
      <c r="BP131" s="15"/>
      <c r="BQ131" s="15"/>
      <c r="BR131" s="15"/>
      <c r="BS131" s="15"/>
      <c r="BT131" s="15"/>
      <c r="BU131" s="15"/>
      <c r="BV131" s="15"/>
      <c r="BW131" s="16"/>
      <c r="BX131" s="15"/>
      <c r="BY131" s="15"/>
      <c r="BZ131" s="15"/>
      <c r="CA131" s="15"/>
    </row>
    <row r="132" spans="68:79" ht="15" customHeight="1" x14ac:dyDescent="0.3">
      <c r="BP132" s="15"/>
      <c r="BQ132" s="15"/>
      <c r="BR132" s="15"/>
      <c r="BS132" s="15"/>
      <c r="BT132" s="15"/>
      <c r="BU132" s="15"/>
      <c r="BV132" s="15"/>
      <c r="BW132" s="16"/>
      <c r="BX132" s="15"/>
      <c r="BY132" s="15"/>
      <c r="BZ132" s="15"/>
      <c r="CA132" s="15"/>
    </row>
    <row r="133" spans="68:79" ht="15" customHeight="1" x14ac:dyDescent="0.3">
      <c r="BP133" s="15"/>
      <c r="BQ133" s="15"/>
      <c r="BR133" s="15"/>
      <c r="BS133" s="15"/>
      <c r="BT133" s="15"/>
      <c r="BU133" s="15"/>
      <c r="BV133" s="15"/>
      <c r="BW133" s="16"/>
      <c r="BX133" s="15"/>
      <c r="BY133" s="15"/>
      <c r="BZ133" s="15"/>
      <c r="CA133" s="15"/>
    </row>
    <row r="134" spans="68:79" ht="15" customHeight="1" x14ac:dyDescent="0.3">
      <c r="BP134" s="15"/>
      <c r="BQ134" s="15"/>
      <c r="BR134" s="15"/>
      <c r="BS134" s="15"/>
      <c r="BT134" s="15"/>
      <c r="BU134" s="15"/>
      <c r="BV134" s="15"/>
      <c r="BW134" s="16"/>
      <c r="BX134" s="15"/>
      <c r="BY134" s="15"/>
      <c r="BZ134" s="15"/>
      <c r="CA134" s="15"/>
    </row>
    <row r="135" spans="68:79" ht="15" customHeight="1" x14ac:dyDescent="0.3">
      <c r="BP135" s="15"/>
      <c r="BQ135" s="15"/>
      <c r="BR135" s="15"/>
      <c r="BS135" s="15"/>
      <c r="BT135" s="15"/>
      <c r="BU135" s="15"/>
      <c r="BV135" s="15"/>
      <c r="BW135" s="16"/>
      <c r="BX135" s="15"/>
      <c r="BY135" s="15"/>
      <c r="BZ135" s="15"/>
      <c r="CA135" s="15"/>
    </row>
    <row r="136" spans="68:79" ht="15" customHeight="1" x14ac:dyDescent="0.3">
      <c r="BP136" s="15"/>
      <c r="BQ136" s="15"/>
      <c r="BR136" s="15"/>
      <c r="BS136" s="15"/>
      <c r="BT136" s="15"/>
      <c r="BU136" s="15"/>
      <c r="BV136" s="15"/>
      <c r="BW136" s="16"/>
      <c r="BX136" s="15"/>
      <c r="BY136" s="15"/>
      <c r="BZ136" s="15"/>
      <c r="CA136" s="15"/>
    </row>
    <row r="137" spans="68:79" ht="15" customHeight="1" x14ac:dyDescent="0.3">
      <c r="BP137" s="15"/>
      <c r="BQ137" s="15"/>
      <c r="BR137" s="15"/>
      <c r="BS137" s="15"/>
      <c r="BT137" s="15"/>
      <c r="BU137" s="15"/>
      <c r="BV137" s="15"/>
      <c r="BW137" s="16"/>
      <c r="BX137" s="15"/>
      <c r="BY137" s="15"/>
      <c r="BZ137" s="15"/>
      <c r="CA137" s="15"/>
    </row>
    <row r="138" spans="68:79" ht="15" customHeight="1" x14ac:dyDescent="0.3">
      <c r="BP138" s="15"/>
      <c r="BQ138" s="15"/>
      <c r="BR138" s="15"/>
      <c r="BS138" s="15"/>
      <c r="BT138" s="15"/>
      <c r="BU138" s="15"/>
      <c r="BV138" s="15"/>
      <c r="BW138" s="16"/>
      <c r="BX138" s="15"/>
      <c r="BY138" s="15"/>
      <c r="BZ138" s="15"/>
      <c r="CA138" s="15"/>
    </row>
    <row r="139" spans="68:79" ht="15" customHeight="1" x14ac:dyDescent="0.3">
      <c r="BP139" s="15"/>
      <c r="BQ139" s="15"/>
      <c r="BR139" s="15"/>
      <c r="BS139" s="15"/>
      <c r="BT139" s="15"/>
      <c r="BU139" s="15"/>
      <c r="BV139" s="15"/>
      <c r="BW139" s="16"/>
      <c r="BX139" s="15"/>
      <c r="BY139" s="15"/>
      <c r="BZ139" s="15"/>
      <c r="CA139" s="15"/>
    </row>
    <row r="140" spans="68:79" ht="15" customHeight="1" x14ac:dyDescent="0.3">
      <c r="BP140" s="15"/>
      <c r="BQ140" s="15"/>
      <c r="BR140" s="15"/>
      <c r="BS140" s="15"/>
      <c r="BT140" s="15"/>
      <c r="BU140" s="15"/>
      <c r="BV140" s="15"/>
      <c r="BW140" s="16"/>
      <c r="BX140" s="15"/>
      <c r="BY140" s="15"/>
      <c r="BZ140" s="15"/>
      <c r="CA140" s="15"/>
    </row>
    <row r="141" spans="68:79" ht="15" customHeight="1" x14ac:dyDescent="0.3">
      <c r="BP141" s="15"/>
      <c r="BQ141" s="15"/>
      <c r="BR141" s="15"/>
      <c r="BS141" s="15"/>
      <c r="BT141" s="15"/>
      <c r="BU141" s="15"/>
      <c r="BV141" s="15"/>
      <c r="BW141" s="16"/>
      <c r="BX141" s="15"/>
      <c r="BY141" s="15"/>
      <c r="BZ141" s="15"/>
      <c r="CA141" s="15"/>
    </row>
    <row r="142" spans="68:79" ht="15" customHeight="1" x14ac:dyDescent="0.3">
      <c r="BP142" s="15"/>
      <c r="BQ142" s="15"/>
      <c r="BR142" s="15"/>
      <c r="BS142" s="15"/>
      <c r="BT142" s="15"/>
      <c r="BU142" s="15"/>
      <c r="BV142" s="15"/>
      <c r="BW142" s="16"/>
      <c r="BX142" s="15"/>
      <c r="BY142" s="15"/>
      <c r="BZ142" s="15"/>
      <c r="CA142" s="15"/>
    </row>
    <row r="143" spans="68:79" ht="15" customHeight="1" x14ac:dyDescent="0.3">
      <c r="BP143" s="15"/>
      <c r="BQ143" s="15"/>
      <c r="BR143" s="15"/>
      <c r="BS143" s="15"/>
      <c r="BT143" s="15"/>
      <c r="BU143" s="15"/>
      <c r="BV143" s="15"/>
      <c r="BW143" s="16"/>
      <c r="BX143" s="15"/>
      <c r="BY143" s="15"/>
      <c r="BZ143" s="15"/>
      <c r="CA143" s="15"/>
    </row>
    <row r="144" spans="68:79" ht="15" customHeight="1" x14ac:dyDescent="0.3">
      <c r="BP144" s="15"/>
      <c r="BQ144" s="15"/>
      <c r="BR144" s="15"/>
      <c r="BS144" s="15"/>
      <c r="BT144" s="15"/>
      <c r="BU144" s="15"/>
      <c r="BV144" s="15"/>
      <c r="BW144" s="16"/>
      <c r="BX144" s="15"/>
      <c r="BY144" s="15"/>
      <c r="BZ144" s="15"/>
      <c r="CA144" s="15"/>
    </row>
    <row r="145" spans="68:79" ht="15" customHeight="1" x14ac:dyDescent="0.3">
      <c r="BP145" s="15"/>
      <c r="BQ145" s="15"/>
      <c r="BR145" s="15"/>
      <c r="BS145" s="15"/>
      <c r="BT145" s="15"/>
      <c r="BU145" s="15"/>
      <c r="BV145" s="15"/>
      <c r="BW145" s="16"/>
      <c r="BX145" s="15"/>
      <c r="BY145" s="15"/>
      <c r="BZ145" s="15"/>
      <c r="CA145" s="15"/>
    </row>
    <row r="146" spans="68:79" ht="15" customHeight="1" x14ac:dyDescent="0.3">
      <c r="BP146" s="15"/>
      <c r="BQ146" s="15"/>
      <c r="BR146" s="15"/>
      <c r="BS146" s="15"/>
      <c r="BT146" s="15"/>
      <c r="BU146" s="15"/>
      <c r="BV146" s="15"/>
      <c r="BW146" s="16"/>
      <c r="BX146" s="15"/>
      <c r="BY146" s="15"/>
      <c r="BZ146" s="15"/>
      <c r="CA146" s="15"/>
    </row>
    <row r="147" spans="68:79" ht="15" customHeight="1" x14ac:dyDescent="0.3">
      <c r="BP147" s="15"/>
      <c r="BQ147" s="15"/>
      <c r="BR147" s="15"/>
      <c r="BS147" s="15"/>
      <c r="BT147" s="15"/>
      <c r="BU147" s="15"/>
      <c r="BV147" s="15"/>
      <c r="BW147" s="16"/>
      <c r="BX147" s="15"/>
      <c r="BY147" s="15"/>
      <c r="BZ147" s="15"/>
      <c r="CA147" s="15"/>
    </row>
    <row r="148" spans="68:79" ht="15" customHeight="1" x14ac:dyDescent="0.3">
      <c r="BP148" s="15"/>
      <c r="BQ148" s="15"/>
      <c r="BR148" s="15"/>
      <c r="BS148" s="15"/>
      <c r="BT148" s="15"/>
      <c r="BU148" s="15"/>
      <c r="BV148" s="15"/>
      <c r="BW148" s="16"/>
      <c r="BX148" s="15"/>
      <c r="BY148" s="15"/>
      <c r="BZ148" s="15"/>
      <c r="CA148" s="15"/>
    </row>
    <row r="149" spans="68:79" ht="15" customHeight="1" x14ac:dyDescent="0.3">
      <c r="BP149" s="15"/>
      <c r="BQ149" s="15"/>
      <c r="BR149" s="15"/>
      <c r="BS149" s="15"/>
      <c r="BT149" s="15"/>
      <c r="BU149" s="15"/>
      <c r="BV149" s="15"/>
      <c r="BW149" s="16"/>
      <c r="BX149" s="15"/>
      <c r="BY149" s="15"/>
      <c r="BZ149" s="15"/>
      <c r="CA149" s="15"/>
    </row>
    <row r="150" spans="68:79" ht="15" customHeight="1" x14ac:dyDescent="0.3">
      <c r="BP150" s="15"/>
      <c r="BQ150" s="15"/>
      <c r="BR150" s="15"/>
      <c r="BS150" s="15"/>
      <c r="BT150" s="15"/>
      <c r="BU150" s="15"/>
      <c r="BV150" s="15"/>
      <c r="BW150" s="16"/>
      <c r="BX150" s="15"/>
      <c r="BY150" s="15"/>
      <c r="BZ150" s="15"/>
      <c r="CA150" s="15"/>
    </row>
    <row r="151" spans="68:79" ht="15" customHeight="1" x14ac:dyDescent="0.3">
      <c r="BP151" s="15"/>
      <c r="BQ151" s="15"/>
      <c r="BR151" s="15"/>
      <c r="BS151" s="15"/>
      <c r="BT151" s="15"/>
      <c r="BU151" s="15"/>
      <c r="BV151" s="15"/>
      <c r="BW151" s="16"/>
      <c r="BX151" s="15"/>
      <c r="BY151" s="15"/>
      <c r="BZ151" s="15"/>
      <c r="CA151" s="15"/>
    </row>
    <row r="152" spans="68:79" ht="15" customHeight="1" x14ac:dyDescent="0.3">
      <c r="BP152" s="15"/>
      <c r="BQ152" s="15"/>
      <c r="BR152" s="15"/>
      <c r="BS152" s="15"/>
      <c r="BT152" s="15"/>
      <c r="BU152" s="15"/>
      <c r="BV152" s="15"/>
      <c r="BW152" s="16"/>
      <c r="BX152" s="15"/>
      <c r="BY152" s="15"/>
      <c r="BZ152" s="15"/>
      <c r="CA152" s="15"/>
    </row>
    <row r="153" spans="68:79" ht="15" customHeight="1" x14ac:dyDescent="0.3">
      <c r="BP153" s="15"/>
      <c r="BQ153" s="15"/>
      <c r="BR153" s="15"/>
      <c r="BS153" s="15"/>
      <c r="BT153" s="15"/>
      <c r="BU153" s="15"/>
      <c r="BV153" s="15"/>
      <c r="BW153" s="16"/>
      <c r="BX153" s="15"/>
      <c r="BY153" s="15"/>
      <c r="BZ153" s="15"/>
      <c r="CA153" s="15"/>
    </row>
    <row r="154" spans="68:79" ht="15" customHeight="1" x14ac:dyDescent="0.3">
      <c r="BP154" s="15"/>
      <c r="BQ154" s="15"/>
      <c r="BR154" s="15"/>
      <c r="BS154" s="15"/>
      <c r="BT154" s="15"/>
      <c r="BU154" s="15"/>
      <c r="BV154" s="15"/>
      <c r="BW154" s="16"/>
      <c r="BX154" s="15"/>
      <c r="BY154" s="15"/>
      <c r="BZ154" s="15"/>
      <c r="CA154" s="15"/>
    </row>
    <row r="155" spans="68:79" ht="15" customHeight="1" x14ac:dyDescent="0.3">
      <c r="BP155" s="15"/>
      <c r="BQ155" s="15"/>
      <c r="BR155" s="15"/>
      <c r="BS155" s="15"/>
      <c r="BT155" s="15"/>
      <c r="BU155" s="15"/>
      <c r="BV155" s="15"/>
      <c r="BW155" s="16"/>
      <c r="BX155" s="15"/>
      <c r="BY155" s="15"/>
      <c r="BZ155" s="15"/>
      <c r="CA155" s="15"/>
    </row>
    <row r="156" spans="68:79" ht="15" customHeight="1" x14ac:dyDescent="0.3">
      <c r="BP156" s="15"/>
      <c r="BQ156" s="15"/>
      <c r="BR156" s="15"/>
      <c r="BS156" s="15"/>
      <c r="BT156" s="15"/>
      <c r="BU156" s="15"/>
      <c r="BV156" s="15"/>
      <c r="BW156" s="16"/>
      <c r="BX156" s="15"/>
      <c r="BY156" s="15"/>
      <c r="BZ156" s="15"/>
      <c r="CA156" s="15"/>
    </row>
    <row r="157" spans="68:79" ht="15" customHeight="1" x14ac:dyDescent="0.3">
      <c r="BP157" s="15"/>
      <c r="BQ157" s="15"/>
      <c r="BR157" s="15"/>
      <c r="BS157" s="15"/>
      <c r="BT157" s="15"/>
      <c r="BU157" s="15"/>
      <c r="BV157" s="15"/>
      <c r="BW157" s="16"/>
      <c r="BX157" s="15"/>
      <c r="BY157" s="15"/>
      <c r="BZ157" s="15"/>
      <c r="CA157" s="15"/>
    </row>
    <row r="158" spans="68:79" ht="15" customHeight="1" x14ac:dyDescent="0.3">
      <c r="BP158" s="15"/>
      <c r="BQ158" s="15"/>
      <c r="BR158" s="15"/>
      <c r="BS158" s="15"/>
      <c r="BT158" s="15"/>
      <c r="BU158" s="15"/>
      <c r="BV158" s="15"/>
      <c r="BW158" s="16"/>
      <c r="BX158" s="15"/>
      <c r="BY158" s="15"/>
      <c r="BZ158" s="15"/>
      <c r="CA158" s="15"/>
    </row>
    <row r="159" spans="68:79" ht="15" customHeight="1" x14ac:dyDescent="0.3">
      <c r="BP159" s="15"/>
      <c r="BQ159" s="15"/>
      <c r="BR159" s="15"/>
      <c r="BS159" s="15"/>
      <c r="BT159" s="15"/>
      <c r="BU159" s="15"/>
      <c r="BV159" s="15"/>
      <c r="BW159" s="16"/>
      <c r="BX159" s="15"/>
      <c r="BY159" s="15"/>
      <c r="BZ159" s="15"/>
      <c r="CA159" s="15"/>
    </row>
    <row r="160" spans="68:79" ht="15" customHeight="1" x14ac:dyDescent="0.3">
      <c r="BP160" s="15"/>
      <c r="BQ160" s="15"/>
      <c r="BR160" s="15"/>
      <c r="BS160" s="15"/>
      <c r="BT160" s="15"/>
      <c r="BU160" s="15"/>
      <c r="BV160" s="15"/>
      <c r="BW160" s="16"/>
      <c r="BX160" s="15"/>
      <c r="BY160" s="15"/>
      <c r="BZ160" s="15"/>
      <c r="CA160" s="15"/>
    </row>
    <row r="161" spans="68:79" ht="15" customHeight="1" x14ac:dyDescent="0.3">
      <c r="BP161" s="15"/>
      <c r="BQ161" s="15"/>
      <c r="BR161" s="15"/>
      <c r="BS161" s="15"/>
      <c r="BT161" s="15"/>
      <c r="BU161" s="15"/>
      <c r="BV161" s="15"/>
      <c r="BW161" s="16"/>
      <c r="BX161" s="15"/>
      <c r="BY161" s="15"/>
      <c r="BZ161" s="15"/>
      <c r="CA161" s="15"/>
    </row>
    <row r="162" spans="68:79" ht="15" customHeight="1" x14ac:dyDescent="0.3">
      <c r="BP162" s="15"/>
      <c r="BQ162" s="15"/>
      <c r="BR162" s="15"/>
      <c r="BS162" s="15"/>
      <c r="BT162" s="15"/>
      <c r="BU162" s="15"/>
      <c r="BV162" s="15"/>
      <c r="BW162" s="16"/>
      <c r="BX162" s="15"/>
      <c r="BY162" s="15"/>
      <c r="BZ162" s="15"/>
      <c r="CA162" s="15"/>
    </row>
    <row r="163" spans="68:79" ht="15" customHeight="1" x14ac:dyDescent="0.3">
      <c r="BP163" s="15"/>
      <c r="BQ163" s="15"/>
      <c r="BR163" s="15"/>
      <c r="BS163" s="15"/>
      <c r="BT163" s="15"/>
      <c r="BU163" s="15"/>
      <c r="BV163" s="15"/>
      <c r="BW163" s="16"/>
      <c r="BX163" s="15"/>
      <c r="BY163" s="15"/>
      <c r="BZ163" s="15"/>
      <c r="CA163" s="15"/>
    </row>
    <row r="164" spans="68:79" ht="15" customHeight="1" x14ac:dyDescent="0.3">
      <c r="BP164" s="15"/>
      <c r="BQ164" s="15"/>
      <c r="BR164" s="15"/>
      <c r="BS164" s="15"/>
      <c r="BT164" s="15"/>
      <c r="BU164" s="15"/>
      <c r="BV164" s="15"/>
      <c r="BW164" s="16"/>
      <c r="BX164" s="15"/>
      <c r="BY164" s="15"/>
      <c r="BZ164" s="15"/>
      <c r="CA164" s="15"/>
    </row>
    <row r="165" spans="68:79" ht="15" customHeight="1" x14ac:dyDescent="0.3">
      <c r="BP165" s="15"/>
      <c r="BQ165" s="15"/>
      <c r="BR165" s="15"/>
      <c r="BS165" s="15"/>
      <c r="BT165" s="15"/>
      <c r="BU165" s="15"/>
      <c r="BV165" s="15"/>
      <c r="BW165" s="16"/>
      <c r="BX165" s="15"/>
      <c r="BY165" s="15"/>
      <c r="BZ165" s="15"/>
      <c r="CA165" s="15"/>
    </row>
    <row r="166" spans="68:79" ht="15" customHeight="1" x14ac:dyDescent="0.3">
      <c r="BP166" s="15"/>
      <c r="BQ166" s="15"/>
      <c r="BR166" s="15"/>
      <c r="BS166" s="15"/>
      <c r="BT166" s="15"/>
      <c r="BU166" s="15"/>
      <c r="BV166" s="15"/>
      <c r="BW166" s="16"/>
      <c r="BX166" s="15"/>
      <c r="BY166" s="15"/>
      <c r="BZ166" s="15"/>
      <c r="CA166" s="15"/>
    </row>
    <row r="167" spans="68:79" ht="15" customHeight="1" x14ac:dyDescent="0.3">
      <c r="BP167" s="15"/>
      <c r="BQ167" s="15"/>
      <c r="BR167" s="15"/>
      <c r="BS167" s="15"/>
      <c r="BT167" s="15"/>
      <c r="BU167" s="15"/>
      <c r="BV167" s="15"/>
      <c r="BW167" s="16"/>
      <c r="BX167" s="15"/>
      <c r="BY167" s="15"/>
      <c r="BZ167" s="15"/>
      <c r="CA167" s="15"/>
    </row>
    <row r="168" spans="68:79" ht="15" customHeight="1" x14ac:dyDescent="0.3">
      <c r="BP168" s="15"/>
      <c r="BQ168" s="15"/>
      <c r="BR168" s="15"/>
      <c r="BS168" s="15"/>
      <c r="BT168" s="15"/>
      <c r="BU168" s="15"/>
      <c r="BV168" s="15"/>
      <c r="BW168" s="16"/>
      <c r="BX168" s="15"/>
      <c r="BY168" s="15"/>
      <c r="BZ168" s="15"/>
      <c r="CA168" s="15"/>
    </row>
    <row r="169" spans="68:79" ht="15" customHeight="1" x14ac:dyDescent="0.3">
      <c r="BP169" s="15"/>
      <c r="BQ169" s="15"/>
      <c r="BR169" s="15"/>
      <c r="BS169" s="15"/>
      <c r="BT169" s="15"/>
      <c r="BU169" s="15"/>
      <c r="BV169" s="15"/>
      <c r="BW169" s="16"/>
      <c r="BX169" s="15"/>
      <c r="BY169" s="15"/>
      <c r="BZ169" s="15"/>
      <c r="CA169" s="15"/>
    </row>
    <row r="170" spans="68:79" ht="15" customHeight="1" x14ac:dyDescent="0.3">
      <c r="BP170" s="15"/>
      <c r="BQ170" s="15"/>
      <c r="BR170" s="15"/>
      <c r="BS170" s="15"/>
      <c r="BT170" s="15"/>
      <c r="BU170" s="15"/>
      <c r="BV170" s="15"/>
      <c r="BW170" s="16"/>
      <c r="BX170" s="15"/>
      <c r="BY170" s="15"/>
      <c r="BZ170" s="15"/>
      <c r="CA170" s="15"/>
    </row>
    <row r="171" spans="68:79" ht="15" customHeight="1" x14ac:dyDescent="0.3">
      <c r="BP171" s="15"/>
      <c r="BQ171" s="15"/>
      <c r="BR171" s="15"/>
      <c r="BS171" s="15"/>
      <c r="BT171" s="15"/>
      <c r="BU171" s="15"/>
      <c r="BV171" s="15"/>
      <c r="BW171" s="16"/>
      <c r="BX171" s="15"/>
      <c r="BY171" s="15"/>
      <c r="BZ171" s="15"/>
      <c r="CA171" s="15"/>
    </row>
    <row r="172" spans="68:79" ht="15" customHeight="1" x14ac:dyDescent="0.3">
      <c r="BP172" s="15"/>
      <c r="BQ172" s="15"/>
      <c r="BR172" s="15"/>
      <c r="BS172" s="15"/>
      <c r="BT172" s="15"/>
      <c r="BU172" s="15"/>
      <c r="BV172" s="15"/>
      <c r="BW172" s="16"/>
      <c r="BX172" s="15"/>
      <c r="BY172" s="15"/>
      <c r="BZ172" s="15"/>
      <c r="CA172" s="15"/>
    </row>
    <row r="173" spans="68:79" ht="15" customHeight="1" x14ac:dyDescent="0.3">
      <c r="BP173" s="15"/>
      <c r="BQ173" s="15"/>
      <c r="BR173" s="15"/>
      <c r="BS173" s="15"/>
      <c r="BT173" s="15"/>
      <c r="BU173" s="15"/>
      <c r="BV173" s="15"/>
      <c r="BW173" s="16"/>
      <c r="BX173" s="15"/>
      <c r="BY173" s="15"/>
      <c r="BZ173" s="15"/>
      <c r="CA173" s="15"/>
    </row>
    <row r="174" spans="68:79" ht="15" customHeight="1" x14ac:dyDescent="0.3">
      <c r="BP174" s="15"/>
      <c r="BQ174" s="15"/>
      <c r="BR174" s="15"/>
      <c r="BS174" s="15"/>
      <c r="BT174" s="15"/>
      <c r="BU174" s="15"/>
      <c r="BV174" s="15"/>
      <c r="BW174" s="16"/>
      <c r="BX174" s="15"/>
      <c r="BY174" s="15"/>
      <c r="BZ174" s="15"/>
      <c r="CA174" s="15"/>
    </row>
    <row r="175" spans="68:79" ht="15" customHeight="1" x14ac:dyDescent="0.3">
      <c r="BP175" s="15"/>
      <c r="BQ175" s="15"/>
      <c r="BR175" s="15"/>
      <c r="BS175" s="15"/>
      <c r="BT175" s="15"/>
      <c r="BU175" s="15"/>
      <c r="BV175" s="15"/>
      <c r="BW175" s="16"/>
      <c r="BX175" s="15"/>
      <c r="BY175" s="15"/>
      <c r="BZ175" s="15"/>
      <c r="CA175" s="15"/>
    </row>
    <row r="176" spans="68:79" ht="15" customHeight="1" x14ac:dyDescent="0.3">
      <c r="BP176" s="15"/>
      <c r="BQ176" s="15"/>
      <c r="BR176" s="15"/>
      <c r="BS176" s="15"/>
      <c r="BT176" s="15"/>
      <c r="BU176" s="15"/>
      <c r="BV176" s="15"/>
      <c r="BW176" s="16"/>
      <c r="BX176" s="15"/>
      <c r="BY176" s="15"/>
      <c r="BZ176" s="15"/>
      <c r="CA176" s="15"/>
    </row>
    <row r="177" spans="68:79" ht="15" customHeight="1" x14ac:dyDescent="0.3">
      <c r="BP177" s="15"/>
      <c r="BQ177" s="15"/>
      <c r="BR177" s="15"/>
      <c r="BS177" s="15"/>
      <c r="BT177" s="15"/>
      <c r="BU177" s="15"/>
      <c r="BV177" s="15"/>
      <c r="BW177" s="16"/>
      <c r="BX177" s="15"/>
      <c r="BY177" s="15"/>
      <c r="BZ177" s="15"/>
      <c r="CA177" s="15"/>
    </row>
    <row r="178" spans="68:79" ht="15" customHeight="1" x14ac:dyDescent="0.3">
      <c r="BP178" s="15"/>
      <c r="BQ178" s="15"/>
      <c r="BR178" s="15"/>
      <c r="BS178" s="15"/>
      <c r="BT178" s="15"/>
      <c r="BU178" s="15"/>
      <c r="BV178" s="15"/>
      <c r="BW178" s="16"/>
      <c r="BX178" s="15"/>
      <c r="BY178" s="15"/>
      <c r="BZ178" s="15"/>
      <c r="CA178" s="15"/>
    </row>
    <row r="179" spans="68:79" ht="15" customHeight="1" x14ac:dyDescent="0.3">
      <c r="BP179" s="15"/>
      <c r="BQ179" s="15"/>
      <c r="BR179" s="15"/>
      <c r="BS179" s="15"/>
      <c r="BT179" s="15"/>
      <c r="BU179" s="15"/>
      <c r="BV179" s="15"/>
      <c r="BW179" s="16"/>
      <c r="BX179" s="15"/>
      <c r="BY179" s="15"/>
      <c r="BZ179" s="15"/>
      <c r="CA179" s="15"/>
    </row>
    <row r="180" spans="68:79" ht="15" customHeight="1" x14ac:dyDescent="0.3">
      <c r="BP180" s="15"/>
      <c r="BQ180" s="15"/>
      <c r="BR180" s="15"/>
      <c r="BS180" s="15"/>
      <c r="BT180" s="15"/>
      <c r="BU180" s="15"/>
      <c r="BV180" s="15"/>
      <c r="BW180" s="16"/>
      <c r="BX180" s="15"/>
      <c r="BY180" s="15"/>
      <c r="BZ180" s="15"/>
      <c r="CA180" s="15"/>
    </row>
    <row r="181" spans="68:79" ht="15" customHeight="1" x14ac:dyDescent="0.3">
      <c r="BP181" s="15"/>
      <c r="BQ181" s="15"/>
      <c r="BR181" s="15"/>
      <c r="BS181" s="15"/>
      <c r="BT181" s="15"/>
      <c r="BU181" s="15"/>
      <c r="BV181" s="15"/>
      <c r="BW181" s="16"/>
      <c r="BX181" s="15"/>
      <c r="BY181" s="15"/>
      <c r="BZ181" s="15"/>
      <c r="CA181" s="15"/>
    </row>
    <row r="182" spans="68:79" ht="15" customHeight="1" x14ac:dyDescent="0.3">
      <c r="BP182" s="15"/>
      <c r="BQ182" s="15"/>
      <c r="BR182" s="15"/>
      <c r="BS182" s="15"/>
      <c r="BT182" s="15"/>
      <c r="BU182" s="15"/>
      <c r="BV182" s="15"/>
      <c r="BW182" s="16"/>
      <c r="BX182" s="15"/>
      <c r="BY182" s="15"/>
      <c r="BZ182" s="15"/>
      <c r="CA182" s="15"/>
    </row>
    <row r="183" spans="68:79" ht="15" customHeight="1" x14ac:dyDescent="0.3">
      <c r="BP183" s="15"/>
      <c r="BQ183" s="15"/>
      <c r="BR183" s="15"/>
      <c r="BS183" s="15"/>
      <c r="BT183" s="15"/>
      <c r="BU183" s="15"/>
      <c r="BV183" s="15"/>
      <c r="BW183" s="16"/>
      <c r="BX183" s="15"/>
      <c r="BY183" s="15"/>
      <c r="BZ183" s="15"/>
      <c r="CA183" s="15"/>
    </row>
    <row r="184" spans="68:79" ht="15" customHeight="1" x14ac:dyDescent="0.3">
      <c r="BP184" s="15"/>
      <c r="BQ184" s="15"/>
      <c r="BR184" s="15"/>
      <c r="BS184" s="15"/>
      <c r="BT184" s="15"/>
      <c r="BU184" s="15"/>
      <c r="BV184" s="15"/>
      <c r="BW184" s="16"/>
      <c r="BX184" s="15"/>
      <c r="BY184" s="15"/>
      <c r="BZ184" s="15"/>
      <c r="CA184" s="15"/>
    </row>
    <row r="185" spans="68:79" ht="15" customHeight="1" x14ac:dyDescent="0.3">
      <c r="BP185" s="15"/>
      <c r="BQ185" s="15"/>
      <c r="BR185" s="15"/>
      <c r="BS185" s="15"/>
      <c r="BT185" s="15"/>
      <c r="BU185" s="15"/>
      <c r="BV185" s="15"/>
      <c r="BW185" s="16"/>
      <c r="BX185" s="15"/>
      <c r="BY185" s="15"/>
      <c r="BZ185" s="15"/>
      <c r="CA185" s="15"/>
    </row>
    <row r="186" spans="68:79" ht="15" customHeight="1" x14ac:dyDescent="0.3">
      <c r="BP186" s="15"/>
      <c r="BQ186" s="15"/>
      <c r="BR186" s="15"/>
      <c r="BS186" s="15"/>
      <c r="BT186" s="15"/>
      <c r="BU186" s="15"/>
      <c r="BV186" s="15"/>
      <c r="BW186" s="16"/>
      <c r="BX186" s="15"/>
      <c r="BY186" s="15"/>
      <c r="BZ186" s="15"/>
      <c r="CA186" s="15"/>
    </row>
    <row r="187" spans="68:79" ht="15" customHeight="1" x14ac:dyDescent="0.3">
      <c r="BP187" s="15"/>
      <c r="BQ187" s="15"/>
      <c r="BR187" s="15"/>
      <c r="BS187" s="15"/>
      <c r="BT187" s="15"/>
      <c r="BU187" s="15"/>
      <c r="BV187" s="15"/>
      <c r="BW187" s="16"/>
      <c r="BX187" s="15"/>
      <c r="BY187" s="15"/>
      <c r="BZ187" s="15"/>
      <c r="CA187" s="15"/>
    </row>
    <row r="188" spans="68:79" ht="15" customHeight="1" x14ac:dyDescent="0.3">
      <c r="BP188" s="15"/>
      <c r="BQ188" s="15"/>
      <c r="BR188" s="15"/>
      <c r="BS188" s="15"/>
      <c r="BT188" s="15"/>
      <c r="BU188" s="15"/>
      <c r="BV188" s="15"/>
      <c r="BW188" s="16"/>
      <c r="BX188" s="15"/>
      <c r="BY188" s="15"/>
      <c r="BZ188" s="15"/>
      <c r="CA188" s="15"/>
    </row>
    <row r="189" spans="68:79" ht="15" customHeight="1" x14ac:dyDescent="0.3">
      <c r="BP189" s="15"/>
      <c r="BQ189" s="15"/>
      <c r="BR189" s="15"/>
      <c r="BS189" s="15"/>
      <c r="BT189" s="15"/>
      <c r="BU189" s="15"/>
      <c r="BV189" s="15"/>
      <c r="BW189" s="16"/>
      <c r="BX189" s="15"/>
      <c r="BY189" s="15"/>
      <c r="BZ189" s="15"/>
      <c r="CA189" s="15"/>
    </row>
    <row r="190" spans="68:79" ht="15" customHeight="1" x14ac:dyDescent="0.3">
      <c r="BP190" s="15"/>
      <c r="BQ190" s="15"/>
      <c r="BR190" s="15"/>
      <c r="BS190" s="15"/>
      <c r="BT190" s="15"/>
      <c r="BU190" s="15"/>
      <c r="BV190" s="15"/>
      <c r="BW190" s="16"/>
      <c r="BX190" s="15"/>
      <c r="BY190" s="15"/>
      <c r="BZ190" s="15"/>
      <c r="CA190" s="15"/>
    </row>
    <row r="191" spans="68:79" ht="15" customHeight="1" x14ac:dyDescent="0.3">
      <c r="BP191" s="15"/>
      <c r="BQ191" s="15"/>
      <c r="BR191" s="15"/>
      <c r="BS191" s="15"/>
      <c r="BT191" s="15"/>
      <c r="BU191" s="15"/>
      <c r="BV191" s="15"/>
      <c r="BW191" s="16"/>
      <c r="BX191" s="15"/>
      <c r="BY191" s="15"/>
      <c r="BZ191" s="15"/>
      <c r="CA191" s="15"/>
    </row>
    <row r="192" spans="68:79" ht="15" customHeight="1" x14ac:dyDescent="0.3">
      <c r="BP192" s="15"/>
      <c r="BQ192" s="15"/>
      <c r="BR192" s="15"/>
      <c r="BS192" s="15"/>
      <c r="BT192" s="15"/>
      <c r="BU192" s="15"/>
      <c r="BV192" s="15"/>
      <c r="BW192" s="16"/>
      <c r="BX192" s="15"/>
      <c r="BY192" s="15"/>
      <c r="BZ192" s="15"/>
      <c r="CA192" s="15"/>
    </row>
    <row r="193" spans="68:79" ht="15" customHeight="1" x14ac:dyDescent="0.3">
      <c r="BP193" s="15"/>
      <c r="BQ193" s="15"/>
      <c r="BR193" s="15"/>
      <c r="BS193" s="15"/>
      <c r="BT193" s="15"/>
      <c r="BU193" s="15"/>
      <c r="BV193" s="15"/>
      <c r="BW193" s="16"/>
      <c r="BX193" s="15"/>
      <c r="BY193" s="15"/>
      <c r="BZ193" s="15"/>
      <c r="CA193" s="15"/>
    </row>
    <row r="194" spans="68:79" ht="15" customHeight="1" x14ac:dyDescent="0.3"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</row>
    <row r="195" spans="68:79" ht="15" customHeight="1" x14ac:dyDescent="0.3"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</row>
    <row r="196" spans="68:79" ht="15" customHeight="1" x14ac:dyDescent="0.3"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</row>
    <row r="197" spans="68:79" ht="15" customHeight="1" x14ac:dyDescent="0.3"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</row>
    <row r="198" spans="68:79" ht="15" customHeight="1" x14ac:dyDescent="0.3"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</row>
    <row r="199" spans="68:79" ht="15" customHeight="1" x14ac:dyDescent="0.3"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</row>
    <row r="200" spans="68:79" ht="15" customHeight="1" x14ac:dyDescent="0.3"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</row>
    <row r="201" spans="68:79" ht="15" customHeight="1" x14ac:dyDescent="0.3"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</row>
    <row r="202" spans="68:79" ht="15" customHeight="1" x14ac:dyDescent="0.3"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</row>
    <row r="203" spans="68:79" ht="15" customHeight="1" x14ac:dyDescent="0.3"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</row>
    <row r="204" spans="68:79" ht="15" customHeight="1" x14ac:dyDescent="0.3"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</row>
    <row r="205" spans="68:79" ht="15" customHeight="1" x14ac:dyDescent="0.3"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</row>
    <row r="206" spans="68:79" ht="15" customHeight="1" x14ac:dyDescent="0.3"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</row>
    <row r="207" spans="68:79" ht="15" customHeight="1" x14ac:dyDescent="0.3"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</row>
    <row r="208" spans="68:79" ht="15" customHeight="1" x14ac:dyDescent="0.3"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</row>
    <row r="209" spans="68:79" ht="15" customHeight="1" x14ac:dyDescent="0.3"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</row>
    <row r="210" spans="68:79" ht="15" customHeight="1" x14ac:dyDescent="0.3"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</row>
    <row r="211" spans="68:79" ht="15" customHeight="1" x14ac:dyDescent="0.3"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</row>
    <row r="212" spans="68:79" ht="15" customHeight="1" x14ac:dyDescent="0.3"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</row>
    <row r="213" spans="68:79" ht="15" customHeight="1" x14ac:dyDescent="0.3"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</row>
    <row r="214" spans="68:79" ht="15" customHeight="1" x14ac:dyDescent="0.3"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</row>
    <row r="215" spans="68:79" ht="15" customHeight="1" x14ac:dyDescent="0.3"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</row>
    <row r="216" spans="68:79" ht="15" customHeight="1" x14ac:dyDescent="0.3"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</row>
    <row r="217" spans="68:79" ht="15" customHeight="1" x14ac:dyDescent="0.3"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</row>
    <row r="218" spans="68:79" ht="15" customHeight="1" x14ac:dyDescent="0.3"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</row>
    <row r="219" spans="68:79" ht="15" customHeight="1" x14ac:dyDescent="0.3"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</row>
    <row r="220" spans="68:79" ht="15" customHeight="1" x14ac:dyDescent="0.3"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</row>
    <row r="221" spans="68:79" ht="15" customHeight="1" x14ac:dyDescent="0.3"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</row>
    <row r="222" spans="68:79" ht="15" customHeight="1" x14ac:dyDescent="0.3"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</row>
    <row r="223" spans="68:79" ht="15" customHeight="1" x14ac:dyDescent="0.3"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</row>
    <row r="224" spans="68:79" ht="15" customHeight="1" x14ac:dyDescent="0.3"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</row>
    <row r="225" spans="68:79" ht="15" customHeight="1" x14ac:dyDescent="0.3"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</row>
    <row r="226" spans="68:79" ht="15" customHeight="1" x14ac:dyDescent="0.3"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</row>
    <row r="227" spans="68:79" ht="15" customHeight="1" x14ac:dyDescent="0.3"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</row>
    <row r="228" spans="68:79" ht="15" customHeight="1" x14ac:dyDescent="0.3"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</row>
    <row r="229" spans="68:79" ht="15" customHeight="1" x14ac:dyDescent="0.3"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</row>
    <row r="230" spans="68:79" ht="15" customHeight="1" x14ac:dyDescent="0.3"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</row>
    <row r="231" spans="68:79" ht="15" customHeight="1" x14ac:dyDescent="0.3"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</row>
    <row r="232" spans="68:79" ht="15" customHeight="1" x14ac:dyDescent="0.3"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</row>
    <row r="233" spans="68:79" ht="15" customHeight="1" x14ac:dyDescent="0.3"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</row>
    <row r="234" spans="68:79" ht="15" customHeight="1" x14ac:dyDescent="0.3"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</row>
    <row r="235" spans="68:79" ht="15" customHeight="1" x14ac:dyDescent="0.3"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</row>
    <row r="236" spans="68:79" ht="15" customHeight="1" x14ac:dyDescent="0.3"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</row>
    <row r="237" spans="68:79" ht="15" customHeight="1" x14ac:dyDescent="0.3"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</row>
    <row r="238" spans="68:79" ht="15" customHeight="1" x14ac:dyDescent="0.3"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</row>
    <row r="239" spans="68:79" ht="15" customHeight="1" x14ac:dyDescent="0.3"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</row>
    <row r="240" spans="68:79" ht="15" customHeight="1" x14ac:dyDescent="0.3"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</row>
    <row r="241" spans="68:79" ht="15" customHeight="1" x14ac:dyDescent="0.3"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</row>
    <row r="242" spans="68:79" ht="15" customHeight="1" x14ac:dyDescent="0.3"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</row>
    <row r="243" spans="68:79" ht="15" customHeight="1" x14ac:dyDescent="0.3"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</row>
    <row r="244" spans="68:79" ht="15" customHeight="1" x14ac:dyDescent="0.3"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</row>
    <row r="245" spans="68:79" ht="15" customHeight="1" x14ac:dyDescent="0.3"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</row>
    <row r="246" spans="68:79" ht="15" customHeight="1" x14ac:dyDescent="0.3"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</row>
    <row r="247" spans="68:79" ht="15" customHeight="1" x14ac:dyDescent="0.3"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</row>
    <row r="248" spans="68:79" ht="15" customHeight="1" x14ac:dyDescent="0.3"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</row>
    <row r="249" spans="68:79" ht="15" customHeight="1" x14ac:dyDescent="0.3"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</row>
    <row r="250" spans="68:79" ht="15" customHeight="1" x14ac:dyDescent="0.3"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</row>
    <row r="251" spans="68:79" ht="15" customHeight="1" x14ac:dyDescent="0.3"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</row>
    <row r="252" spans="68:79" ht="15" customHeight="1" x14ac:dyDescent="0.3"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</row>
    <row r="253" spans="68:79" ht="15" customHeight="1" x14ac:dyDescent="0.3"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</row>
    <row r="254" spans="68:79" ht="15" customHeight="1" x14ac:dyDescent="0.3"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</row>
    <row r="255" spans="68:79" ht="15" customHeight="1" x14ac:dyDescent="0.3"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</row>
    <row r="256" spans="68:79" ht="15" customHeight="1" x14ac:dyDescent="0.3"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</row>
    <row r="257" spans="68:79" ht="15" customHeight="1" x14ac:dyDescent="0.3"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</row>
    <row r="258" spans="68:79" ht="15" customHeight="1" x14ac:dyDescent="0.3"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</row>
    <row r="259" spans="68:79" ht="15" customHeight="1" x14ac:dyDescent="0.3"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</row>
    <row r="260" spans="68:79" ht="15" customHeight="1" x14ac:dyDescent="0.3"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</row>
    <row r="261" spans="68:79" ht="15" customHeight="1" x14ac:dyDescent="0.3"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</row>
    <row r="262" spans="68:79" ht="15" customHeight="1" x14ac:dyDescent="0.3"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</row>
    <row r="263" spans="68:79" ht="15" customHeight="1" x14ac:dyDescent="0.3"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</row>
    <row r="264" spans="68:79" ht="15" customHeight="1" x14ac:dyDescent="0.3"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</row>
    <row r="265" spans="68:79" ht="15" customHeight="1" x14ac:dyDescent="0.3"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</row>
    <row r="266" spans="68:79" ht="15" customHeight="1" x14ac:dyDescent="0.3"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</row>
    <row r="267" spans="68:79" ht="15" customHeight="1" x14ac:dyDescent="0.3"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</row>
    <row r="268" spans="68:79" ht="15" customHeight="1" x14ac:dyDescent="0.3"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</row>
    <row r="269" spans="68:79" ht="15" customHeight="1" x14ac:dyDescent="0.3"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</row>
    <row r="270" spans="68:79" ht="15" customHeight="1" x14ac:dyDescent="0.3"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</row>
    <row r="271" spans="68:79" ht="15" customHeight="1" x14ac:dyDescent="0.3"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</row>
    <row r="272" spans="68:79" ht="15" customHeight="1" x14ac:dyDescent="0.3"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</row>
    <row r="273" spans="68:79" ht="15" customHeight="1" x14ac:dyDescent="0.3"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</row>
    <row r="274" spans="68:79" ht="15" customHeight="1" x14ac:dyDescent="0.3"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</row>
    <row r="275" spans="68:79" ht="15" customHeight="1" x14ac:dyDescent="0.3"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</row>
    <row r="276" spans="68:79" ht="15" customHeight="1" x14ac:dyDescent="0.3"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</row>
    <row r="277" spans="68:79" ht="15" customHeight="1" x14ac:dyDescent="0.3"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</row>
    <row r="278" spans="68:79" ht="15" customHeight="1" x14ac:dyDescent="0.3"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</row>
    <row r="279" spans="68:79" ht="15" customHeight="1" x14ac:dyDescent="0.3"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</row>
    <row r="280" spans="68:79" ht="15" customHeight="1" x14ac:dyDescent="0.3"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</row>
    <row r="281" spans="68:79" ht="15" customHeight="1" x14ac:dyDescent="0.3"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</row>
    <row r="282" spans="68:79" ht="15" customHeight="1" x14ac:dyDescent="0.3"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</row>
    <row r="283" spans="68:79" ht="15" customHeight="1" x14ac:dyDescent="0.3"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</row>
    <row r="284" spans="68:79" ht="15" customHeight="1" x14ac:dyDescent="0.3"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</row>
    <row r="285" spans="68:79" ht="15" customHeight="1" x14ac:dyDescent="0.3"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</row>
    <row r="286" spans="68:79" ht="15" customHeight="1" x14ac:dyDescent="0.3"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</row>
    <row r="287" spans="68:79" ht="15" customHeight="1" x14ac:dyDescent="0.3"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</row>
    <row r="288" spans="68:79" ht="15" customHeight="1" x14ac:dyDescent="0.3"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</row>
    <row r="289" spans="68:79" ht="15" customHeight="1" x14ac:dyDescent="0.3"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</row>
    <row r="290" spans="68:79" ht="15" customHeight="1" x14ac:dyDescent="0.3"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</row>
    <row r="291" spans="68:79" ht="15" customHeight="1" x14ac:dyDescent="0.3"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</row>
    <row r="292" spans="68:79" ht="15" customHeight="1" x14ac:dyDescent="0.3"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</row>
    <row r="293" spans="68:79" ht="15" customHeight="1" x14ac:dyDescent="0.3"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</row>
    <row r="294" spans="68:79" ht="15" customHeight="1" x14ac:dyDescent="0.3"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</row>
    <row r="295" spans="68:79" ht="15" customHeight="1" x14ac:dyDescent="0.3"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</row>
    <row r="296" spans="68:79" ht="15" customHeight="1" x14ac:dyDescent="0.3"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</row>
    <row r="297" spans="68:79" ht="15" customHeight="1" x14ac:dyDescent="0.3"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</row>
    <row r="298" spans="68:79" ht="15" customHeight="1" x14ac:dyDescent="0.3"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</row>
    <row r="299" spans="68:79" ht="15" customHeight="1" x14ac:dyDescent="0.3"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</row>
    <row r="300" spans="68:79" ht="15" customHeight="1" x14ac:dyDescent="0.3"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</row>
    <row r="301" spans="68:79" ht="15" customHeight="1" x14ac:dyDescent="0.3"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</row>
    <row r="302" spans="68:79" ht="15" customHeight="1" x14ac:dyDescent="0.3"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</row>
    <row r="303" spans="68:79" ht="15" customHeight="1" x14ac:dyDescent="0.3"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</row>
    <row r="304" spans="68:79" ht="15" customHeight="1" x14ac:dyDescent="0.3"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</row>
    <row r="305" spans="68:79" ht="15" customHeight="1" x14ac:dyDescent="0.3"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</row>
    <row r="306" spans="68:79" ht="15" customHeight="1" x14ac:dyDescent="0.3"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</row>
    <row r="307" spans="68:79" ht="15" customHeight="1" x14ac:dyDescent="0.3"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</row>
    <row r="308" spans="68:79" ht="15" customHeight="1" x14ac:dyDescent="0.3"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</row>
    <row r="309" spans="68:79" ht="15" customHeight="1" x14ac:dyDescent="0.3"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</row>
    <row r="310" spans="68:79" ht="15" customHeight="1" x14ac:dyDescent="0.3"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</row>
    <row r="311" spans="68:79" ht="15" customHeight="1" x14ac:dyDescent="0.3"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</row>
    <row r="312" spans="68:79" ht="15" customHeight="1" x14ac:dyDescent="0.3"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</row>
    <row r="313" spans="68:79" ht="15" customHeight="1" x14ac:dyDescent="0.3"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</row>
    <row r="314" spans="68:79" ht="15" customHeight="1" x14ac:dyDescent="0.3"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</row>
    <row r="315" spans="68:79" ht="15" customHeight="1" x14ac:dyDescent="0.3"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</row>
    <row r="316" spans="68:79" ht="15" customHeight="1" x14ac:dyDescent="0.3"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</row>
    <row r="317" spans="68:79" ht="15" customHeight="1" x14ac:dyDescent="0.3"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</row>
    <row r="318" spans="68:79" ht="15" customHeight="1" x14ac:dyDescent="0.3"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</row>
    <row r="319" spans="68:79" ht="15" customHeight="1" x14ac:dyDescent="0.3"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</row>
    <row r="320" spans="68:79" ht="15" customHeight="1" x14ac:dyDescent="0.3"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</row>
    <row r="321" spans="68:79" ht="15" customHeight="1" x14ac:dyDescent="0.3"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</row>
    <row r="322" spans="68:79" ht="15" customHeight="1" x14ac:dyDescent="0.3"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</row>
    <row r="323" spans="68:79" ht="15" customHeight="1" x14ac:dyDescent="0.3"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</row>
    <row r="324" spans="68:79" ht="15" customHeight="1" x14ac:dyDescent="0.3"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</row>
    <row r="325" spans="68:79" ht="15" customHeight="1" x14ac:dyDescent="0.3"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</row>
    <row r="326" spans="68:79" ht="15" customHeight="1" x14ac:dyDescent="0.3"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</row>
    <row r="327" spans="68:79" ht="15" customHeight="1" x14ac:dyDescent="0.3"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</row>
    <row r="328" spans="68:79" ht="15" customHeight="1" x14ac:dyDescent="0.3"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</row>
    <row r="329" spans="68:79" ht="15" customHeight="1" x14ac:dyDescent="0.3"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</row>
    <row r="330" spans="68:79" ht="15" customHeight="1" x14ac:dyDescent="0.3"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</row>
    <row r="331" spans="68:79" ht="15" customHeight="1" x14ac:dyDescent="0.3"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</row>
    <row r="332" spans="68:79" ht="15" customHeight="1" x14ac:dyDescent="0.3"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</row>
    <row r="333" spans="68:79" ht="15" customHeight="1" x14ac:dyDescent="0.3"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</row>
    <row r="334" spans="68:79" ht="15" customHeight="1" x14ac:dyDescent="0.3"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</row>
    <row r="335" spans="68:79" ht="15" customHeight="1" x14ac:dyDescent="0.3"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</row>
    <row r="336" spans="68:79" ht="15" customHeight="1" x14ac:dyDescent="0.3"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</row>
    <row r="337" spans="68:79" ht="15" customHeight="1" x14ac:dyDescent="0.3"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</row>
    <row r="338" spans="68:79" ht="15" customHeight="1" x14ac:dyDescent="0.3"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</row>
    <row r="339" spans="68:79" ht="15" customHeight="1" x14ac:dyDescent="0.3"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</row>
    <row r="340" spans="68:79" ht="15" customHeight="1" x14ac:dyDescent="0.3"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</row>
    <row r="341" spans="68:79" ht="15" customHeight="1" x14ac:dyDescent="0.3"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</row>
    <row r="342" spans="68:79" ht="15" customHeight="1" x14ac:dyDescent="0.3"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</row>
    <row r="343" spans="68:79" ht="15" customHeight="1" x14ac:dyDescent="0.3"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</row>
    <row r="344" spans="68:79" ht="15" customHeight="1" x14ac:dyDescent="0.3"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</row>
    <row r="345" spans="68:79" ht="15" customHeight="1" x14ac:dyDescent="0.3"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</row>
    <row r="346" spans="68:79" ht="15" customHeight="1" x14ac:dyDescent="0.3"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</row>
    <row r="347" spans="68:79" ht="15" customHeight="1" x14ac:dyDescent="0.3"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</row>
    <row r="348" spans="68:79" ht="15" customHeight="1" x14ac:dyDescent="0.3"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</row>
    <row r="349" spans="68:79" ht="15" customHeight="1" x14ac:dyDescent="0.3"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</row>
    <row r="350" spans="68:79" ht="15" customHeight="1" x14ac:dyDescent="0.3"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</row>
    <row r="351" spans="68:79" ht="15" customHeight="1" x14ac:dyDescent="0.3"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</row>
    <row r="352" spans="68:79" ht="15" customHeight="1" x14ac:dyDescent="0.3"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</row>
    <row r="353" spans="68:79" ht="15" customHeight="1" x14ac:dyDescent="0.3"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</row>
    <row r="354" spans="68:79" ht="15" customHeight="1" x14ac:dyDescent="0.3"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</row>
    <row r="355" spans="68:79" ht="15" customHeight="1" x14ac:dyDescent="0.3"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</row>
    <row r="356" spans="68:79" ht="15" customHeight="1" x14ac:dyDescent="0.3"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</row>
    <row r="357" spans="68:79" ht="15" customHeight="1" x14ac:dyDescent="0.3"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</row>
    <row r="358" spans="68:79" ht="15" customHeight="1" x14ac:dyDescent="0.3"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</row>
    <row r="359" spans="68:79" ht="15" customHeight="1" x14ac:dyDescent="0.3"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</row>
    <row r="360" spans="68:79" ht="15" customHeight="1" x14ac:dyDescent="0.3">
      <c r="BP360" s="15"/>
      <c r="BQ360" s="15"/>
      <c r="BR360" s="15"/>
      <c r="BS360" s="15"/>
      <c r="BT360" s="15"/>
      <c r="BU360" s="15"/>
      <c r="BV360" s="15"/>
      <c r="BW360" s="15"/>
      <c r="BX360" s="15"/>
      <c r="BY360" s="15"/>
      <c r="BZ360" s="15"/>
      <c r="CA360" s="15"/>
    </row>
    <row r="361" spans="68:79" ht="15" customHeight="1" x14ac:dyDescent="0.3">
      <c r="BP361" s="15"/>
      <c r="BQ361" s="15"/>
      <c r="BR361" s="15"/>
      <c r="BS361" s="15"/>
      <c r="BT361" s="15"/>
      <c r="BU361" s="15"/>
      <c r="BV361" s="15"/>
      <c r="BW361" s="15"/>
      <c r="BX361" s="15"/>
      <c r="BY361" s="15"/>
      <c r="BZ361" s="15"/>
      <c r="CA361" s="15"/>
    </row>
    <row r="362" spans="68:79" ht="15" customHeight="1" x14ac:dyDescent="0.3">
      <c r="BP362" s="15"/>
      <c r="BQ362" s="15"/>
      <c r="BR362" s="15"/>
      <c r="BS362" s="15"/>
      <c r="BT362" s="15"/>
      <c r="BU362" s="15"/>
      <c r="BV362" s="15"/>
      <c r="BW362" s="15"/>
      <c r="BX362" s="15"/>
      <c r="BY362" s="15"/>
      <c r="BZ362" s="15"/>
      <c r="CA362" s="15"/>
    </row>
    <row r="363" spans="68:79" ht="15" customHeight="1" x14ac:dyDescent="0.3">
      <c r="BP363" s="15"/>
      <c r="BQ363" s="15"/>
      <c r="BR363" s="15"/>
      <c r="BS363" s="15"/>
      <c r="BT363" s="15"/>
      <c r="BU363" s="15"/>
      <c r="BV363" s="15"/>
      <c r="BW363" s="15"/>
      <c r="BX363" s="15"/>
      <c r="BY363" s="15"/>
      <c r="BZ363" s="15"/>
      <c r="CA363" s="15"/>
    </row>
    <row r="364" spans="68:79" ht="15" customHeight="1" x14ac:dyDescent="0.3">
      <c r="BP364" s="15"/>
      <c r="BQ364" s="15"/>
      <c r="BR364" s="15"/>
      <c r="BS364" s="15"/>
      <c r="BT364" s="15"/>
      <c r="BU364" s="15"/>
      <c r="BV364" s="15"/>
      <c r="BW364" s="15"/>
      <c r="BX364" s="15"/>
      <c r="BY364" s="15"/>
      <c r="BZ364" s="15"/>
      <c r="CA364" s="15"/>
    </row>
    <row r="365" spans="68:79" ht="15" customHeight="1" x14ac:dyDescent="0.3">
      <c r="BP365" s="15"/>
      <c r="BQ365" s="15"/>
      <c r="BR365" s="15"/>
      <c r="BS365" s="15"/>
      <c r="BT365" s="15"/>
      <c r="BU365" s="15"/>
      <c r="BV365" s="15"/>
      <c r="BW365" s="15"/>
      <c r="BX365" s="15"/>
      <c r="BY365" s="15"/>
      <c r="BZ365" s="15"/>
      <c r="CA365" s="15"/>
    </row>
    <row r="366" spans="68:79" ht="15" customHeight="1" x14ac:dyDescent="0.3">
      <c r="BP366" s="15"/>
      <c r="BQ366" s="15"/>
      <c r="BR366" s="15"/>
      <c r="BS366" s="15"/>
      <c r="BT366" s="15"/>
      <c r="BU366" s="15"/>
      <c r="BV366" s="15"/>
      <c r="BW366" s="15"/>
      <c r="BX366" s="15"/>
      <c r="BY366" s="15"/>
      <c r="BZ366" s="15"/>
      <c r="CA366" s="15"/>
    </row>
    <row r="367" spans="68:79" ht="15" customHeight="1" x14ac:dyDescent="0.3">
      <c r="BP367" s="15"/>
      <c r="BQ367" s="15"/>
      <c r="BR367" s="15"/>
      <c r="BS367" s="15"/>
      <c r="BT367" s="15"/>
      <c r="BU367" s="15"/>
      <c r="BV367" s="15"/>
      <c r="BW367" s="15"/>
      <c r="BX367" s="15"/>
      <c r="BY367" s="15"/>
      <c r="BZ367" s="15"/>
      <c r="CA367" s="15"/>
    </row>
    <row r="368" spans="68:79" ht="15" customHeight="1" x14ac:dyDescent="0.3">
      <c r="BP368" s="15"/>
      <c r="BQ368" s="15"/>
      <c r="BR368" s="15"/>
      <c r="BS368" s="15"/>
      <c r="BT368" s="15"/>
      <c r="BU368" s="15"/>
      <c r="BV368" s="15"/>
      <c r="BW368" s="15"/>
      <c r="BX368" s="15"/>
      <c r="BY368" s="15"/>
      <c r="BZ368" s="15"/>
      <c r="CA368" s="15"/>
    </row>
    <row r="369" spans="68:79" ht="15" customHeight="1" x14ac:dyDescent="0.3">
      <c r="BP369" s="15"/>
      <c r="BQ369" s="15"/>
      <c r="BR369" s="15"/>
      <c r="BS369" s="15"/>
      <c r="BT369" s="15"/>
      <c r="BU369" s="15"/>
      <c r="BV369" s="15"/>
      <c r="BW369" s="15"/>
      <c r="BX369" s="15"/>
      <c r="BY369" s="15"/>
      <c r="BZ369" s="15"/>
      <c r="CA369" s="15"/>
    </row>
    <row r="370" spans="68:79" ht="15" customHeight="1" x14ac:dyDescent="0.3">
      <c r="BP370" s="15"/>
      <c r="BQ370" s="15"/>
      <c r="BR370" s="15"/>
      <c r="BS370" s="15"/>
      <c r="BT370" s="15"/>
      <c r="BU370" s="15"/>
      <c r="BV370" s="15"/>
      <c r="BW370" s="15"/>
      <c r="BX370" s="15"/>
      <c r="BY370" s="15"/>
      <c r="BZ370" s="15"/>
      <c r="CA370" s="15"/>
    </row>
    <row r="371" spans="68:79" ht="15" customHeight="1" x14ac:dyDescent="0.3">
      <c r="BP371" s="15"/>
      <c r="BQ371" s="15"/>
      <c r="BR371" s="15"/>
      <c r="BS371" s="15"/>
      <c r="BT371" s="15"/>
      <c r="BU371" s="15"/>
      <c r="BV371" s="15"/>
      <c r="BW371" s="15"/>
      <c r="BX371" s="15"/>
      <c r="BY371" s="15"/>
      <c r="BZ371" s="15"/>
      <c r="CA371" s="15"/>
    </row>
    <row r="372" spans="68:79" ht="15" customHeight="1" x14ac:dyDescent="0.3">
      <c r="BP372" s="15"/>
      <c r="BQ372" s="15"/>
      <c r="BR372" s="15"/>
      <c r="BS372" s="15"/>
      <c r="BT372" s="15"/>
      <c r="BU372" s="15"/>
      <c r="BV372" s="15"/>
      <c r="BW372" s="15"/>
      <c r="BX372" s="15"/>
      <c r="BY372" s="15"/>
      <c r="BZ372" s="15"/>
      <c r="CA372" s="15"/>
    </row>
    <row r="373" spans="68:79" ht="15" customHeight="1" x14ac:dyDescent="0.3">
      <c r="BP373" s="15"/>
      <c r="BQ373" s="15"/>
      <c r="BR373" s="15"/>
      <c r="BS373" s="15"/>
      <c r="BT373" s="15"/>
      <c r="BU373" s="15"/>
      <c r="BV373" s="15"/>
      <c r="BW373" s="15"/>
      <c r="BX373" s="15"/>
      <c r="BY373" s="15"/>
      <c r="BZ373" s="15"/>
      <c r="CA373" s="15"/>
    </row>
    <row r="374" spans="68:79" ht="15" customHeight="1" x14ac:dyDescent="0.3"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</row>
    <row r="375" spans="68:79" ht="15" customHeight="1" x14ac:dyDescent="0.3">
      <c r="BP375" s="15"/>
      <c r="BQ375" s="15"/>
      <c r="BR375" s="15"/>
      <c r="BS375" s="15"/>
      <c r="BT375" s="15"/>
      <c r="BU375" s="15"/>
      <c r="BV375" s="15"/>
      <c r="BW375" s="15"/>
      <c r="BX375" s="15"/>
      <c r="BY375" s="15"/>
      <c r="BZ375" s="15"/>
      <c r="CA375" s="15"/>
    </row>
    <row r="376" spans="68:79" ht="15" customHeight="1" x14ac:dyDescent="0.3">
      <c r="BP376" s="15"/>
      <c r="BQ376" s="15"/>
      <c r="BR376" s="15"/>
      <c r="BS376" s="15"/>
      <c r="BT376" s="15"/>
      <c r="BU376" s="15"/>
      <c r="BV376" s="15"/>
      <c r="BW376" s="15"/>
      <c r="BX376" s="15"/>
      <c r="BY376" s="15"/>
      <c r="BZ376" s="15"/>
      <c r="CA376" s="15"/>
    </row>
    <row r="377" spans="68:79" ht="15" customHeight="1" x14ac:dyDescent="0.3">
      <c r="BP377" s="15"/>
      <c r="BQ377" s="15"/>
      <c r="BR377" s="15"/>
      <c r="BS377" s="15"/>
      <c r="BT377" s="15"/>
      <c r="BU377" s="15"/>
      <c r="BV377" s="15"/>
      <c r="BW377" s="15"/>
      <c r="BX377" s="15"/>
      <c r="BY377" s="15"/>
      <c r="BZ377" s="15"/>
      <c r="CA377" s="15"/>
    </row>
    <row r="378" spans="68:79" ht="15" customHeight="1" x14ac:dyDescent="0.3">
      <c r="BP378" s="15"/>
      <c r="BQ378" s="15"/>
      <c r="BR378" s="15"/>
      <c r="BS378" s="15"/>
      <c r="BT378" s="15"/>
      <c r="BU378" s="15"/>
      <c r="BV378" s="15"/>
      <c r="BW378" s="15"/>
      <c r="BX378" s="15"/>
      <c r="BY378" s="15"/>
      <c r="BZ378" s="15"/>
      <c r="CA378" s="15"/>
    </row>
    <row r="379" spans="68:79" ht="15" customHeight="1" x14ac:dyDescent="0.3">
      <c r="BP379" s="15"/>
      <c r="BQ379" s="15"/>
      <c r="BR379" s="15"/>
      <c r="BS379" s="15"/>
      <c r="BT379" s="15"/>
      <c r="BU379" s="15"/>
      <c r="BV379" s="15"/>
      <c r="BW379" s="15"/>
      <c r="BX379" s="15"/>
      <c r="BY379" s="15"/>
      <c r="BZ379" s="15"/>
      <c r="CA379" s="15"/>
    </row>
    <row r="380" spans="68:79" ht="15" customHeight="1" x14ac:dyDescent="0.3">
      <c r="BP380" s="15"/>
      <c r="BQ380" s="15"/>
      <c r="BR380" s="15"/>
      <c r="BS380" s="15"/>
      <c r="BT380" s="15"/>
      <c r="BU380" s="15"/>
      <c r="BV380" s="15"/>
      <c r="BW380" s="15"/>
      <c r="BX380" s="15"/>
      <c r="BY380" s="15"/>
      <c r="BZ380" s="15"/>
      <c r="CA380" s="15"/>
    </row>
    <row r="381" spans="68:79" ht="15" customHeight="1" x14ac:dyDescent="0.3"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5"/>
      <c r="CA381" s="15"/>
    </row>
    <row r="382" spans="68:79" ht="15" customHeight="1" x14ac:dyDescent="0.3">
      <c r="BP382" s="15"/>
      <c r="BQ382" s="15"/>
      <c r="BR382" s="15"/>
      <c r="BS382" s="15"/>
      <c r="BT382" s="15"/>
      <c r="BU382" s="15"/>
      <c r="BV382" s="15"/>
      <c r="BW382" s="15"/>
      <c r="BX382" s="15"/>
      <c r="BY382" s="15"/>
      <c r="BZ382" s="15"/>
      <c r="CA382" s="15"/>
    </row>
    <row r="383" spans="68:79" ht="15" customHeight="1" x14ac:dyDescent="0.3">
      <c r="BP383" s="15"/>
      <c r="BQ383" s="15"/>
      <c r="BR383" s="15"/>
      <c r="BS383" s="15"/>
      <c r="BT383" s="15"/>
      <c r="BU383" s="15"/>
      <c r="BV383" s="15"/>
      <c r="BW383" s="15"/>
      <c r="BX383" s="15"/>
      <c r="BY383" s="15"/>
      <c r="BZ383" s="15"/>
      <c r="CA383" s="15"/>
    </row>
    <row r="384" spans="68:79" ht="15" customHeight="1" x14ac:dyDescent="0.3">
      <c r="BP384" s="15"/>
      <c r="BQ384" s="15"/>
      <c r="BR384" s="15"/>
      <c r="BS384" s="15"/>
      <c r="BT384" s="15"/>
      <c r="BU384" s="15"/>
      <c r="BV384" s="15"/>
      <c r="BW384" s="15"/>
      <c r="BX384" s="15"/>
      <c r="BY384" s="15"/>
      <c r="BZ384" s="15"/>
      <c r="CA384" s="15"/>
    </row>
    <row r="385" spans="68:79" ht="15" customHeight="1" x14ac:dyDescent="0.3">
      <c r="BP385" s="15"/>
      <c r="BQ385" s="15"/>
      <c r="BR385" s="15"/>
      <c r="BS385" s="15"/>
      <c r="BT385" s="15"/>
      <c r="BU385" s="15"/>
      <c r="BV385" s="15"/>
      <c r="BW385" s="15"/>
      <c r="BX385" s="15"/>
      <c r="BY385" s="15"/>
      <c r="BZ385" s="15"/>
      <c r="CA385" s="15"/>
    </row>
    <row r="386" spans="68:79" ht="15" customHeight="1" x14ac:dyDescent="0.3">
      <c r="BP386" s="15"/>
      <c r="BQ386" s="15"/>
      <c r="BR386" s="15"/>
      <c r="BS386" s="15"/>
      <c r="BT386" s="15"/>
      <c r="BU386" s="15"/>
      <c r="BV386" s="15"/>
      <c r="BW386" s="15"/>
      <c r="BX386" s="15"/>
      <c r="BY386" s="15"/>
      <c r="BZ386" s="15"/>
      <c r="CA386" s="15"/>
    </row>
    <row r="387" spans="68:79" ht="15" customHeight="1" x14ac:dyDescent="0.3"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</row>
    <row r="388" spans="68:79" ht="15" customHeight="1" x14ac:dyDescent="0.3">
      <c r="BP388" s="15"/>
      <c r="BQ388" s="15"/>
      <c r="BR388" s="15"/>
      <c r="BS388" s="15"/>
      <c r="BT388" s="15"/>
      <c r="BU388" s="15"/>
      <c r="BV388" s="15"/>
      <c r="BW388" s="15"/>
      <c r="BX388" s="15"/>
      <c r="BY388" s="15"/>
      <c r="BZ388" s="15"/>
      <c r="CA388" s="15"/>
    </row>
    <row r="389" spans="68:79" ht="15" customHeight="1" x14ac:dyDescent="0.3"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</row>
    <row r="390" spans="68:79" ht="15" customHeight="1" x14ac:dyDescent="0.3">
      <c r="BP390" s="15"/>
      <c r="BQ390" s="15"/>
      <c r="BR390" s="15"/>
      <c r="BS390" s="15"/>
      <c r="BT390" s="15"/>
      <c r="BU390" s="15"/>
      <c r="BV390" s="15"/>
      <c r="BW390" s="15"/>
      <c r="BX390" s="15"/>
      <c r="BY390" s="15"/>
      <c r="BZ390" s="15"/>
      <c r="CA390" s="15"/>
    </row>
    <row r="391" spans="68:79" ht="15" customHeight="1" x14ac:dyDescent="0.3">
      <c r="BP391" s="15"/>
      <c r="BQ391" s="15"/>
      <c r="BR391" s="15"/>
      <c r="BS391" s="15"/>
      <c r="BT391" s="15"/>
      <c r="BU391" s="15"/>
      <c r="BV391" s="15"/>
      <c r="BW391" s="15"/>
      <c r="BX391" s="15"/>
      <c r="BY391" s="15"/>
      <c r="BZ391" s="15"/>
      <c r="CA391" s="15"/>
    </row>
    <row r="392" spans="68:79" ht="15" customHeight="1" x14ac:dyDescent="0.3"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</row>
    <row r="393" spans="68:79" ht="15" customHeight="1" x14ac:dyDescent="0.3">
      <c r="BP393" s="15"/>
      <c r="BQ393" s="15"/>
      <c r="BR393" s="15"/>
      <c r="BS393" s="15"/>
      <c r="BT393" s="15"/>
      <c r="BU393" s="15"/>
      <c r="BV393" s="15"/>
      <c r="BW393" s="15"/>
      <c r="BX393" s="15"/>
      <c r="BY393" s="15"/>
      <c r="BZ393" s="15"/>
      <c r="CA393" s="15"/>
    </row>
    <row r="394" spans="68:79" ht="15" customHeight="1" x14ac:dyDescent="0.3">
      <c r="BP394" s="15"/>
      <c r="BQ394" s="15"/>
      <c r="BR394" s="15"/>
      <c r="BS394" s="15"/>
      <c r="BT394" s="15"/>
      <c r="BU394" s="15"/>
      <c r="BV394" s="15"/>
      <c r="BW394" s="15"/>
      <c r="BX394" s="15"/>
      <c r="BY394" s="15"/>
      <c r="BZ394" s="15"/>
      <c r="CA394" s="15"/>
    </row>
    <row r="395" spans="68:79" ht="15" customHeight="1" x14ac:dyDescent="0.3">
      <c r="BP395" s="15"/>
      <c r="BQ395" s="15"/>
      <c r="BR395" s="15"/>
      <c r="BS395" s="15"/>
      <c r="BT395" s="15"/>
      <c r="BU395" s="15"/>
      <c r="BV395" s="15"/>
      <c r="BW395" s="15"/>
      <c r="BX395" s="15"/>
      <c r="BY395" s="15"/>
      <c r="BZ395" s="15"/>
      <c r="CA395" s="15"/>
    </row>
    <row r="396" spans="68:79" ht="15" customHeight="1" x14ac:dyDescent="0.3"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</row>
    <row r="397" spans="68:79" ht="15" customHeight="1" x14ac:dyDescent="0.3">
      <c r="BP397" s="15"/>
      <c r="BQ397" s="15"/>
      <c r="BR397" s="15"/>
      <c r="BS397" s="15"/>
      <c r="BT397" s="15"/>
      <c r="BU397" s="15"/>
      <c r="BV397" s="15"/>
      <c r="BW397" s="15"/>
      <c r="BX397" s="15"/>
      <c r="BY397" s="15"/>
      <c r="BZ397" s="15"/>
      <c r="CA397" s="15"/>
    </row>
    <row r="398" spans="68:79" ht="15" customHeight="1" x14ac:dyDescent="0.3">
      <c r="BP398" s="15"/>
      <c r="BQ398" s="15"/>
      <c r="BR398" s="15"/>
      <c r="BS398" s="15"/>
      <c r="BT398" s="15"/>
      <c r="BU398" s="15"/>
      <c r="BV398" s="15"/>
      <c r="BW398" s="15"/>
      <c r="BX398" s="15"/>
      <c r="BY398" s="15"/>
      <c r="BZ398" s="15"/>
      <c r="CA398" s="15"/>
    </row>
    <row r="399" spans="68:79" ht="15" customHeight="1" x14ac:dyDescent="0.3"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</row>
    <row r="400" spans="68:79" ht="15" customHeight="1" x14ac:dyDescent="0.3"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</row>
    <row r="401" spans="68:79" ht="15" customHeight="1" x14ac:dyDescent="0.3">
      <c r="BP401" s="15"/>
      <c r="BQ401" s="15"/>
      <c r="BR401" s="15"/>
      <c r="BS401" s="15"/>
      <c r="BT401" s="15"/>
      <c r="BU401" s="15"/>
      <c r="BV401" s="15"/>
      <c r="BW401" s="15"/>
      <c r="BX401" s="15"/>
      <c r="BY401" s="15"/>
      <c r="BZ401" s="15"/>
      <c r="CA401" s="15"/>
    </row>
    <row r="402" spans="68:79" ht="15" customHeight="1" x14ac:dyDescent="0.3">
      <c r="BP402" s="15"/>
      <c r="BQ402" s="15"/>
      <c r="BR402" s="15"/>
      <c r="BS402" s="15"/>
      <c r="BT402" s="15"/>
      <c r="BU402" s="15"/>
      <c r="BV402" s="15"/>
      <c r="BW402" s="15"/>
      <c r="BX402" s="15"/>
      <c r="BY402" s="15"/>
      <c r="BZ402" s="15"/>
      <c r="CA402" s="15"/>
    </row>
    <row r="403" spans="68:79" ht="15" customHeight="1" x14ac:dyDescent="0.3">
      <c r="BP403" s="15"/>
      <c r="BQ403" s="15"/>
      <c r="BR403" s="15"/>
      <c r="BS403" s="15"/>
      <c r="BT403" s="15"/>
      <c r="BU403" s="15"/>
      <c r="BV403" s="15"/>
      <c r="BW403" s="15"/>
      <c r="BX403" s="15"/>
      <c r="BY403" s="15"/>
      <c r="BZ403" s="15"/>
      <c r="CA403" s="15"/>
    </row>
    <row r="404" spans="68:79" ht="15" customHeight="1" x14ac:dyDescent="0.3">
      <c r="BP404" s="15"/>
      <c r="BQ404" s="15"/>
      <c r="BR404" s="15"/>
      <c r="BS404" s="15"/>
      <c r="BT404" s="15"/>
      <c r="BU404" s="15"/>
      <c r="BV404" s="15"/>
      <c r="BW404" s="15"/>
      <c r="BX404" s="15"/>
      <c r="BY404" s="15"/>
      <c r="BZ404" s="15"/>
      <c r="CA404" s="15"/>
    </row>
    <row r="405" spans="68:79" ht="15" customHeight="1" x14ac:dyDescent="0.3">
      <c r="BP405" s="15"/>
      <c r="BQ405" s="15"/>
      <c r="BR405" s="15"/>
      <c r="BS405" s="15"/>
      <c r="BT405" s="15"/>
      <c r="BU405" s="15"/>
      <c r="BV405" s="15"/>
      <c r="BW405" s="15"/>
      <c r="BX405" s="15"/>
      <c r="BY405" s="15"/>
      <c r="BZ405" s="15"/>
      <c r="CA405" s="15"/>
    </row>
    <row r="406" spans="68:79" ht="15" customHeight="1" x14ac:dyDescent="0.3">
      <c r="BP406" s="15"/>
      <c r="BQ406" s="15"/>
      <c r="BR406" s="15"/>
      <c r="BS406" s="15"/>
      <c r="BT406" s="15"/>
      <c r="BU406" s="15"/>
      <c r="BV406" s="15"/>
      <c r="BW406" s="15"/>
      <c r="BX406" s="15"/>
      <c r="BY406" s="15"/>
      <c r="BZ406" s="15"/>
      <c r="CA406" s="15"/>
    </row>
    <row r="407" spans="68:79" ht="15" customHeight="1" x14ac:dyDescent="0.3">
      <c r="BP407" s="15"/>
      <c r="BQ407" s="15"/>
      <c r="BR407" s="15"/>
      <c r="BS407" s="15"/>
      <c r="BT407" s="15"/>
      <c r="BU407" s="15"/>
      <c r="BV407" s="15"/>
      <c r="BW407" s="15"/>
      <c r="BX407" s="15"/>
      <c r="BY407" s="15"/>
      <c r="BZ407" s="15"/>
      <c r="CA407" s="15"/>
    </row>
    <row r="408" spans="68:79" ht="15" customHeight="1" x14ac:dyDescent="0.3">
      <c r="BP408" s="15"/>
      <c r="BQ408" s="15"/>
      <c r="BR408" s="15"/>
      <c r="BS408" s="15"/>
      <c r="BT408" s="15"/>
      <c r="BU408" s="15"/>
      <c r="BV408" s="15"/>
      <c r="BW408" s="15"/>
      <c r="BX408" s="15"/>
      <c r="BY408" s="15"/>
      <c r="BZ408" s="15"/>
      <c r="CA408" s="15"/>
    </row>
    <row r="409" spans="68:79" ht="15" customHeight="1" x14ac:dyDescent="0.3">
      <c r="BP409" s="15"/>
      <c r="BQ409" s="15"/>
      <c r="BR409" s="15"/>
      <c r="BS409" s="15"/>
      <c r="BT409" s="15"/>
      <c r="BU409" s="15"/>
      <c r="BV409" s="15"/>
      <c r="BW409" s="15"/>
      <c r="BX409" s="15"/>
      <c r="BY409" s="15"/>
      <c r="BZ409" s="15"/>
      <c r="CA409" s="15"/>
    </row>
    <row r="410" spans="68:79" ht="15" customHeight="1" x14ac:dyDescent="0.3"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</row>
    <row r="411" spans="68:79" ht="15" customHeight="1" x14ac:dyDescent="0.3"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</row>
    <row r="412" spans="68:79" ht="15" customHeight="1" x14ac:dyDescent="0.3"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</row>
    <row r="413" spans="68:79" ht="15" customHeight="1" x14ac:dyDescent="0.3"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</row>
    <row r="414" spans="68:79" ht="15" customHeight="1" x14ac:dyDescent="0.3"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</row>
    <row r="415" spans="68:79" ht="15" customHeight="1" x14ac:dyDescent="0.3">
      <c r="BP415" s="15"/>
      <c r="BQ415" s="15"/>
      <c r="BR415" s="15"/>
      <c r="BS415" s="15"/>
      <c r="BT415" s="15"/>
      <c r="BU415" s="15"/>
      <c r="BV415" s="15"/>
      <c r="BW415" s="15"/>
      <c r="BX415" s="15"/>
      <c r="BY415" s="15"/>
      <c r="BZ415" s="15"/>
      <c r="CA415" s="15"/>
    </row>
    <row r="416" spans="68:79" ht="15" customHeight="1" x14ac:dyDescent="0.3">
      <c r="BP416" s="15"/>
      <c r="BQ416" s="15"/>
      <c r="BR416" s="15"/>
      <c r="BS416" s="15"/>
      <c r="BT416" s="15"/>
      <c r="BU416" s="15"/>
      <c r="BV416" s="15"/>
      <c r="BW416" s="15"/>
      <c r="BX416" s="15"/>
      <c r="BY416" s="15"/>
      <c r="BZ416" s="15"/>
      <c r="CA416" s="15"/>
    </row>
    <row r="417" spans="68:79" ht="15" customHeight="1" x14ac:dyDescent="0.3">
      <c r="BP417" s="15"/>
      <c r="BQ417" s="15"/>
      <c r="BR417" s="15"/>
      <c r="BS417" s="15"/>
      <c r="BT417" s="15"/>
      <c r="BU417" s="15"/>
      <c r="BV417" s="15"/>
      <c r="BW417" s="15"/>
      <c r="BX417" s="15"/>
      <c r="BY417" s="15"/>
      <c r="BZ417" s="15"/>
      <c r="CA417" s="15"/>
    </row>
    <row r="418" spans="68:79" ht="15" customHeight="1" x14ac:dyDescent="0.3">
      <c r="BP418" s="15"/>
      <c r="BQ418" s="15"/>
      <c r="BR418" s="15"/>
      <c r="BS418" s="15"/>
      <c r="BT418" s="15"/>
      <c r="BU418" s="15"/>
      <c r="BV418" s="15"/>
      <c r="BW418" s="15"/>
      <c r="BX418" s="15"/>
      <c r="BY418" s="15"/>
      <c r="BZ418" s="15"/>
      <c r="CA418" s="15"/>
    </row>
    <row r="419" spans="68:79" ht="15" customHeight="1" x14ac:dyDescent="0.3">
      <c r="BP419" s="15"/>
      <c r="BQ419" s="15"/>
      <c r="BR419" s="15"/>
      <c r="BS419" s="15"/>
      <c r="BT419" s="15"/>
      <c r="BU419" s="15"/>
      <c r="BV419" s="15"/>
      <c r="BW419" s="15"/>
      <c r="BX419" s="15"/>
      <c r="BY419" s="15"/>
      <c r="BZ419" s="15"/>
      <c r="CA419" s="15"/>
    </row>
    <row r="420" spans="68:79" ht="15" customHeight="1" x14ac:dyDescent="0.3">
      <c r="BP420" s="15"/>
      <c r="BQ420" s="15"/>
      <c r="BR420" s="15"/>
      <c r="BS420" s="15"/>
      <c r="BT420" s="15"/>
      <c r="BU420" s="15"/>
      <c r="BV420" s="15"/>
      <c r="BW420" s="15"/>
      <c r="BX420" s="15"/>
      <c r="BY420" s="15"/>
      <c r="BZ420" s="15"/>
      <c r="CA420" s="15"/>
    </row>
    <row r="421" spans="68:79" ht="15" customHeight="1" x14ac:dyDescent="0.3">
      <c r="BP421" s="15"/>
      <c r="BQ421" s="15"/>
      <c r="BR421" s="15"/>
      <c r="BS421" s="15"/>
      <c r="BT421" s="15"/>
      <c r="BU421" s="15"/>
      <c r="BV421" s="15"/>
      <c r="BW421" s="15"/>
      <c r="BX421" s="15"/>
      <c r="BY421" s="15"/>
      <c r="BZ421" s="15"/>
      <c r="CA421" s="15"/>
    </row>
    <row r="422" spans="68:79" ht="15" customHeight="1" x14ac:dyDescent="0.3">
      <c r="BP422" s="15"/>
      <c r="BQ422" s="15"/>
      <c r="BR422" s="15"/>
      <c r="BS422" s="15"/>
      <c r="BT422" s="15"/>
      <c r="BU422" s="15"/>
      <c r="BV422" s="15"/>
      <c r="BW422" s="15"/>
      <c r="BX422" s="15"/>
      <c r="BY422" s="15"/>
      <c r="BZ422" s="15"/>
      <c r="CA422" s="15"/>
    </row>
    <row r="423" spans="68:79" ht="15" customHeight="1" x14ac:dyDescent="0.3">
      <c r="BP423" s="15"/>
      <c r="BQ423" s="15"/>
      <c r="BR423" s="15"/>
      <c r="BS423" s="15"/>
      <c r="BT423" s="15"/>
      <c r="BU423" s="15"/>
      <c r="BV423" s="15"/>
      <c r="BW423" s="15"/>
      <c r="BX423" s="15"/>
      <c r="BY423" s="15"/>
      <c r="BZ423" s="15"/>
      <c r="CA423" s="15"/>
    </row>
    <row r="424" spans="68:79" ht="15" customHeight="1" x14ac:dyDescent="0.3">
      <c r="BP424" s="15"/>
      <c r="BQ424" s="15"/>
      <c r="BR424" s="15"/>
      <c r="BS424" s="15"/>
      <c r="BT424" s="15"/>
      <c r="BU424" s="15"/>
      <c r="BV424" s="15"/>
      <c r="BW424" s="15"/>
      <c r="BX424" s="15"/>
      <c r="BY424" s="15"/>
      <c r="BZ424" s="15"/>
      <c r="CA424" s="15"/>
    </row>
    <row r="425" spans="68:79" ht="15" customHeight="1" x14ac:dyDescent="0.3">
      <c r="BP425" s="15"/>
      <c r="BQ425" s="15"/>
      <c r="BR425" s="15"/>
      <c r="BS425" s="15"/>
      <c r="BT425" s="15"/>
      <c r="BU425" s="15"/>
      <c r="BV425" s="15"/>
      <c r="BW425" s="15"/>
      <c r="BX425" s="15"/>
      <c r="BY425" s="15"/>
      <c r="BZ425" s="15"/>
      <c r="CA425" s="15"/>
    </row>
    <row r="426" spans="68:79" ht="15" customHeight="1" x14ac:dyDescent="0.3">
      <c r="BP426" s="15"/>
      <c r="BQ426" s="15"/>
      <c r="BR426" s="15"/>
      <c r="BS426" s="15"/>
      <c r="BT426" s="15"/>
      <c r="BU426" s="15"/>
      <c r="BV426" s="15"/>
      <c r="BW426" s="15"/>
      <c r="BX426" s="15"/>
      <c r="BY426" s="15"/>
      <c r="BZ426" s="15"/>
      <c r="CA426" s="15"/>
    </row>
    <row r="427" spans="68:79" ht="15" customHeight="1" x14ac:dyDescent="0.3">
      <c r="BP427" s="15"/>
      <c r="BQ427" s="15"/>
      <c r="BR427" s="15"/>
      <c r="BS427" s="15"/>
      <c r="BT427" s="15"/>
      <c r="BU427" s="15"/>
      <c r="BV427" s="15"/>
      <c r="BW427" s="15"/>
      <c r="BX427" s="15"/>
      <c r="BY427" s="15"/>
      <c r="BZ427" s="15"/>
      <c r="CA427" s="15"/>
    </row>
    <row r="428" spans="68:79" ht="15" customHeight="1" x14ac:dyDescent="0.3">
      <c r="BP428" s="15"/>
      <c r="BQ428" s="15"/>
      <c r="BR428" s="15"/>
      <c r="BS428" s="15"/>
      <c r="BT428" s="15"/>
      <c r="BU428" s="15"/>
      <c r="BV428" s="15"/>
      <c r="BW428" s="15"/>
      <c r="BX428" s="15"/>
      <c r="BY428" s="15"/>
      <c r="BZ428" s="15"/>
      <c r="CA428" s="15"/>
    </row>
    <row r="429" spans="68:79" ht="15" customHeight="1" x14ac:dyDescent="0.3">
      <c r="BP429" s="15"/>
      <c r="BQ429" s="15"/>
      <c r="BR429" s="15"/>
      <c r="BS429" s="15"/>
      <c r="BT429" s="15"/>
      <c r="BU429" s="15"/>
      <c r="BV429" s="15"/>
      <c r="BW429" s="15"/>
      <c r="BX429" s="15"/>
      <c r="BY429" s="15"/>
      <c r="BZ429" s="15"/>
      <c r="CA429" s="15"/>
    </row>
    <row r="430" spans="68:79" ht="15" customHeight="1" x14ac:dyDescent="0.3">
      <c r="BP430" s="15"/>
      <c r="BQ430" s="15"/>
      <c r="BR430" s="15"/>
      <c r="BS430" s="15"/>
      <c r="BT430" s="15"/>
      <c r="BU430" s="15"/>
      <c r="BV430" s="15"/>
      <c r="BW430" s="15"/>
      <c r="BX430" s="15"/>
      <c r="BY430" s="15"/>
      <c r="BZ430" s="15"/>
      <c r="CA430" s="15"/>
    </row>
    <row r="431" spans="68:79" ht="15" customHeight="1" x14ac:dyDescent="0.3">
      <c r="BP431" s="15"/>
      <c r="BQ431" s="15"/>
      <c r="BR431" s="15"/>
      <c r="BS431" s="15"/>
      <c r="BT431" s="15"/>
      <c r="BU431" s="15"/>
      <c r="BV431" s="15"/>
      <c r="BW431" s="15"/>
      <c r="BX431" s="15"/>
      <c r="BY431" s="15"/>
      <c r="BZ431" s="15"/>
      <c r="CA431" s="15"/>
    </row>
    <row r="432" spans="68:79" ht="15" customHeight="1" x14ac:dyDescent="0.3">
      <c r="BP432" s="15"/>
      <c r="BQ432" s="15"/>
      <c r="BR432" s="15"/>
      <c r="BS432" s="15"/>
      <c r="BT432" s="15"/>
      <c r="BU432" s="15"/>
      <c r="BV432" s="15"/>
      <c r="BW432" s="15"/>
      <c r="BX432" s="15"/>
      <c r="BY432" s="15"/>
      <c r="BZ432" s="15"/>
      <c r="CA432" s="15"/>
    </row>
    <row r="433" spans="68:79" ht="15" customHeight="1" x14ac:dyDescent="0.3">
      <c r="BP433" s="15"/>
      <c r="BQ433" s="15"/>
      <c r="BR433" s="15"/>
      <c r="BS433" s="15"/>
      <c r="BT433" s="15"/>
      <c r="BU433" s="15"/>
      <c r="BV433" s="15"/>
      <c r="BW433" s="15"/>
      <c r="BX433" s="15"/>
      <c r="BY433" s="15"/>
      <c r="BZ433" s="15"/>
      <c r="CA433" s="15"/>
    </row>
    <row r="434" spans="68:79" ht="15" customHeight="1" x14ac:dyDescent="0.3">
      <c r="BP434" s="15"/>
      <c r="BQ434" s="15"/>
      <c r="BR434" s="15"/>
      <c r="BS434" s="15"/>
      <c r="BT434" s="15"/>
      <c r="BU434" s="15"/>
      <c r="BV434" s="15"/>
      <c r="BW434" s="15"/>
      <c r="BX434" s="15"/>
      <c r="BY434" s="15"/>
      <c r="BZ434" s="15"/>
      <c r="CA434" s="15"/>
    </row>
    <row r="435" spans="68:79" ht="15" customHeight="1" x14ac:dyDescent="0.3">
      <c r="BP435" s="15"/>
      <c r="BQ435" s="15"/>
      <c r="BR435" s="15"/>
      <c r="BS435" s="15"/>
      <c r="BT435" s="15"/>
      <c r="BU435" s="15"/>
      <c r="BV435" s="15"/>
      <c r="BW435" s="15"/>
      <c r="BX435" s="15"/>
      <c r="BY435" s="15"/>
      <c r="BZ435" s="15"/>
      <c r="CA435" s="15"/>
    </row>
    <row r="436" spans="68:79" ht="15" customHeight="1" x14ac:dyDescent="0.3">
      <c r="BP436" s="15"/>
      <c r="BQ436" s="15"/>
      <c r="BR436" s="15"/>
      <c r="BS436" s="15"/>
      <c r="BT436" s="15"/>
      <c r="BU436" s="15"/>
      <c r="BV436" s="15"/>
      <c r="BW436" s="15"/>
      <c r="BX436" s="15"/>
      <c r="BY436" s="15"/>
      <c r="BZ436" s="15"/>
      <c r="CA436" s="15"/>
    </row>
    <row r="437" spans="68:79" ht="15" customHeight="1" x14ac:dyDescent="0.3">
      <c r="BP437" s="15"/>
      <c r="BQ437" s="15"/>
      <c r="BR437" s="15"/>
      <c r="BS437" s="15"/>
      <c r="BT437" s="15"/>
      <c r="BU437" s="15"/>
      <c r="BV437" s="15"/>
      <c r="BW437" s="15"/>
      <c r="BX437" s="15"/>
      <c r="BY437" s="15"/>
      <c r="BZ437" s="15"/>
      <c r="CA437" s="15"/>
    </row>
    <row r="438" spans="68:79" ht="15" customHeight="1" x14ac:dyDescent="0.3">
      <c r="BP438" s="15"/>
      <c r="BQ438" s="15"/>
      <c r="BR438" s="15"/>
      <c r="BS438" s="15"/>
      <c r="BT438" s="15"/>
      <c r="BU438" s="15"/>
      <c r="BV438" s="15"/>
      <c r="BW438" s="15"/>
      <c r="BX438" s="15"/>
      <c r="BY438" s="15"/>
      <c r="BZ438" s="15"/>
      <c r="CA438" s="15"/>
    </row>
    <row r="439" spans="68:79" ht="15" customHeight="1" x14ac:dyDescent="0.3">
      <c r="BP439" s="15"/>
      <c r="BQ439" s="15"/>
      <c r="BR439" s="15"/>
      <c r="BS439" s="15"/>
      <c r="BT439" s="15"/>
      <c r="BU439" s="15"/>
      <c r="BV439" s="15"/>
      <c r="BW439" s="15"/>
      <c r="BX439" s="15"/>
      <c r="BY439" s="15"/>
      <c r="BZ439" s="15"/>
      <c r="CA439" s="15"/>
    </row>
    <row r="440" spans="68:79" ht="15" customHeight="1" x14ac:dyDescent="0.3">
      <c r="BP440" s="15"/>
      <c r="BQ440" s="15"/>
      <c r="BR440" s="15"/>
      <c r="BS440" s="15"/>
      <c r="BT440" s="15"/>
      <c r="BU440" s="15"/>
      <c r="BV440" s="15"/>
      <c r="BW440" s="15"/>
      <c r="BX440" s="15"/>
      <c r="BY440" s="15"/>
      <c r="BZ440" s="15"/>
      <c r="CA440" s="15"/>
    </row>
    <row r="441" spans="68:79" ht="15" customHeight="1" x14ac:dyDescent="0.3"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</row>
    <row r="442" spans="68:79" ht="15" customHeight="1" x14ac:dyDescent="0.3"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</row>
    <row r="443" spans="68:79" ht="15" customHeight="1" x14ac:dyDescent="0.3"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</row>
    <row r="444" spans="68:79" ht="15" customHeight="1" x14ac:dyDescent="0.3"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</row>
    <row r="445" spans="68:79" ht="15" customHeight="1" x14ac:dyDescent="0.3"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</row>
    <row r="446" spans="68:79" ht="15" customHeight="1" x14ac:dyDescent="0.3">
      <c r="BP446" s="15"/>
      <c r="BQ446" s="15"/>
      <c r="BR446" s="15"/>
      <c r="BS446" s="15"/>
      <c r="BT446" s="15"/>
      <c r="BU446" s="15"/>
      <c r="BV446" s="15"/>
      <c r="BW446" s="15"/>
      <c r="BX446" s="15"/>
      <c r="BY446" s="15"/>
      <c r="BZ446" s="15"/>
      <c r="CA446" s="15"/>
    </row>
    <row r="447" spans="68:79" ht="15" customHeight="1" x14ac:dyDescent="0.3"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</row>
    <row r="448" spans="68:79" ht="15" customHeight="1" x14ac:dyDescent="0.3">
      <c r="BP448" s="15"/>
      <c r="BQ448" s="15"/>
      <c r="BR448" s="15"/>
      <c r="BS448" s="15"/>
      <c r="BT448" s="15"/>
      <c r="BU448" s="15"/>
      <c r="BV448" s="15"/>
      <c r="BW448" s="15"/>
      <c r="BX448" s="15"/>
      <c r="BY448" s="15"/>
      <c r="BZ448" s="15"/>
      <c r="CA448" s="15"/>
    </row>
    <row r="449" spans="68:79" ht="15" customHeight="1" x14ac:dyDescent="0.3">
      <c r="BP449" s="15"/>
      <c r="BQ449" s="15"/>
      <c r="BR449" s="15"/>
      <c r="BS449" s="15"/>
      <c r="BT449" s="15"/>
      <c r="BU449" s="15"/>
      <c r="BV449" s="15"/>
      <c r="BW449" s="15"/>
      <c r="BX449" s="15"/>
      <c r="BY449" s="15"/>
      <c r="BZ449" s="15"/>
      <c r="CA449" s="15"/>
    </row>
    <row r="450" spans="68:79" ht="15" customHeight="1" x14ac:dyDescent="0.3">
      <c r="BP450" s="15"/>
      <c r="BQ450" s="15"/>
      <c r="BR450" s="15"/>
      <c r="BS450" s="15"/>
      <c r="BT450" s="15"/>
      <c r="BU450" s="15"/>
      <c r="BV450" s="15"/>
      <c r="BW450" s="15"/>
      <c r="BX450" s="15"/>
      <c r="BY450" s="15"/>
      <c r="BZ450" s="15"/>
      <c r="CA450" s="15"/>
    </row>
    <row r="451" spans="68:79" ht="15" customHeight="1" x14ac:dyDescent="0.3">
      <c r="BP451" s="15"/>
      <c r="BQ451" s="15"/>
      <c r="BR451" s="15"/>
      <c r="BS451" s="15"/>
      <c r="BT451" s="15"/>
      <c r="BU451" s="15"/>
      <c r="BV451" s="15"/>
      <c r="BW451" s="15"/>
      <c r="BX451" s="15"/>
      <c r="BY451" s="15"/>
      <c r="BZ451" s="15"/>
      <c r="CA451" s="15"/>
    </row>
    <row r="452" spans="68:79" ht="15" customHeight="1" x14ac:dyDescent="0.3">
      <c r="BP452" s="15"/>
      <c r="BQ452" s="15"/>
      <c r="BR452" s="15"/>
      <c r="BS452" s="15"/>
      <c r="BT452" s="15"/>
      <c r="BU452" s="15"/>
      <c r="BV452" s="15"/>
      <c r="BW452" s="15"/>
      <c r="BX452" s="15"/>
      <c r="BY452" s="15"/>
      <c r="BZ452" s="15"/>
      <c r="CA452" s="15"/>
    </row>
    <row r="453" spans="68:79" ht="15" customHeight="1" x14ac:dyDescent="0.3">
      <c r="BP453" s="15"/>
      <c r="BQ453" s="15"/>
      <c r="BR453" s="15"/>
      <c r="BS453" s="15"/>
      <c r="BT453" s="15"/>
      <c r="BU453" s="15"/>
      <c r="BV453" s="15"/>
      <c r="BW453" s="15"/>
      <c r="BX453" s="15"/>
      <c r="BY453" s="15"/>
      <c r="BZ453" s="15"/>
      <c r="CA453" s="15"/>
    </row>
    <row r="454" spans="68:79" ht="15" customHeight="1" x14ac:dyDescent="0.3">
      <c r="BP454" s="15"/>
      <c r="BQ454" s="15"/>
      <c r="BR454" s="15"/>
      <c r="BS454" s="15"/>
      <c r="BT454" s="15"/>
      <c r="BU454" s="15"/>
      <c r="BV454" s="15"/>
      <c r="BW454" s="15"/>
      <c r="BX454" s="15"/>
      <c r="BY454" s="15"/>
      <c r="BZ454" s="15"/>
      <c r="CA454" s="15"/>
    </row>
    <row r="455" spans="68:79" ht="15" customHeight="1" x14ac:dyDescent="0.3">
      <c r="BP455" s="15"/>
      <c r="BQ455" s="15"/>
      <c r="BR455" s="15"/>
      <c r="BS455" s="15"/>
      <c r="BT455" s="15"/>
      <c r="BU455" s="15"/>
      <c r="BV455" s="15"/>
      <c r="BW455" s="15"/>
      <c r="BX455" s="15"/>
      <c r="BY455" s="15"/>
      <c r="BZ455" s="15"/>
      <c r="CA455" s="15"/>
    </row>
    <row r="456" spans="68:79" ht="15" customHeight="1" x14ac:dyDescent="0.3">
      <c r="BP456" s="15"/>
      <c r="BQ456" s="15"/>
      <c r="BR456" s="15"/>
      <c r="BS456" s="15"/>
      <c r="BT456" s="15"/>
      <c r="BU456" s="15"/>
      <c r="BV456" s="15"/>
      <c r="BW456" s="15"/>
      <c r="BX456" s="15"/>
      <c r="BY456" s="15"/>
      <c r="BZ456" s="15"/>
      <c r="CA456" s="15"/>
    </row>
    <row r="457" spans="68:79" ht="15" customHeight="1" x14ac:dyDescent="0.3">
      <c r="BP457" s="15"/>
      <c r="BQ457" s="15"/>
      <c r="BR457" s="15"/>
      <c r="BS457" s="15"/>
      <c r="BT457" s="15"/>
      <c r="BU457" s="15"/>
      <c r="BV457" s="15"/>
      <c r="BW457" s="15"/>
      <c r="BX457" s="15"/>
      <c r="BY457" s="15"/>
      <c r="BZ457" s="15"/>
      <c r="CA457" s="15"/>
    </row>
    <row r="458" spans="68:79" ht="15" customHeight="1" x14ac:dyDescent="0.3">
      <c r="BP458" s="15"/>
      <c r="BQ458" s="15"/>
      <c r="BR458" s="15"/>
      <c r="BS458" s="15"/>
      <c r="BT458" s="15"/>
      <c r="BU458" s="15"/>
      <c r="BV458" s="15"/>
      <c r="BW458" s="15"/>
      <c r="BX458" s="15"/>
      <c r="BY458" s="15"/>
      <c r="BZ458" s="15"/>
      <c r="CA458" s="15"/>
    </row>
    <row r="459" spans="68:79" ht="15" customHeight="1" x14ac:dyDescent="0.3">
      <c r="BP459" s="15"/>
      <c r="BQ459" s="15"/>
      <c r="BR459" s="15"/>
      <c r="BS459" s="15"/>
      <c r="BT459" s="15"/>
      <c r="BU459" s="15"/>
      <c r="BV459" s="15"/>
      <c r="BW459" s="15"/>
      <c r="BX459" s="15"/>
      <c r="BY459" s="15"/>
      <c r="BZ459" s="15"/>
      <c r="CA459" s="15"/>
    </row>
    <row r="460" spans="68:79" ht="15" customHeight="1" x14ac:dyDescent="0.3">
      <c r="BP460" s="15"/>
      <c r="BQ460" s="15"/>
      <c r="BR460" s="15"/>
      <c r="BS460" s="15"/>
      <c r="BT460" s="15"/>
      <c r="BU460" s="15"/>
      <c r="BV460" s="15"/>
      <c r="BW460" s="15"/>
      <c r="BX460" s="15"/>
      <c r="BY460" s="15"/>
      <c r="BZ460" s="15"/>
      <c r="CA460" s="15"/>
    </row>
    <row r="461" spans="68:79" ht="15" customHeight="1" x14ac:dyDescent="0.3">
      <c r="BP461" s="15"/>
      <c r="BQ461" s="15"/>
      <c r="BR461" s="15"/>
      <c r="BS461" s="15"/>
      <c r="BT461" s="15"/>
      <c r="BU461" s="15"/>
      <c r="BV461" s="15"/>
      <c r="BW461" s="15"/>
      <c r="BX461" s="15"/>
      <c r="BY461" s="15"/>
      <c r="BZ461" s="15"/>
      <c r="CA461" s="15"/>
    </row>
    <row r="462" spans="68:79" ht="15" customHeight="1" x14ac:dyDescent="0.3">
      <c r="BP462" s="15"/>
      <c r="BQ462" s="15"/>
      <c r="BR462" s="15"/>
      <c r="BS462" s="15"/>
      <c r="BT462" s="15"/>
      <c r="BU462" s="15"/>
      <c r="BV462" s="15"/>
      <c r="BW462" s="15"/>
      <c r="BX462" s="15"/>
      <c r="BY462" s="15"/>
      <c r="BZ462" s="15"/>
      <c r="CA462" s="15"/>
    </row>
    <row r="463" spans="68:79" ht="15" customHeight="1" x14ac:dyDescent="0.3">
      <c r="BP463" s="15"/>
      <c r="BQ463" s="15"/>
      <c r="BR463" s="15"/>
      <c r="BS463" s="15"/>
      <c r="BT463" s="15"/>
      <c r="BU463" s="15"/>
      <c r="BV463" s="15"/>
      <c r="BW463" s="15"/>
      <c r="BX463" s="15"/>
      <c r="BY463" s="15"/>
      <c r="BZ463" s="15"/>
      <c r="CA463" s="15"/>
    </row>
    <row r="464" spans="68:79" ht="15" customHeight="1" x14ac:dyDescent="0.3">
      <c r="BP464" s="15"/>
      <c r="BQ464" s="15"/>
      <c r="BR464" s="15"/>
      <c r="BS464" s="15"/>
      <c r="BT464" s="15"/>
      <c r="BU464" s="15"/>
      <c r="BV464" s="15"/>
      <c r="BW464" s="15"/>
      <c r="BX464" s="15"/>
      <c r="BY464" s="15"/>
      <c r="BZ464" s="15"/>
      <c r="CA464" s="15"/>
    </row>
    <row r="465" spans="68:79" ht="15" customHeight="1" x14ac:dyDescent="0.3">
      <c r="BP465" s="15"/>
      <c r="BQ465" s="15"/>
      <c r="BR465" s="15"/>
      <c r="BS465" s="15"/>
      <c r="BT465" s="15"/>
      <c r="BU465" s="15"/>
      <c r="BV465" s="15"/>
      <c r="BW465" s="15"/>
      <c r="BX465" s="15"/>
      <c r="BY465" s="15"/>
      <c r="BZ465" s="15"/>
      <c r="CA465" s="15"/>
    </row>
    <row r="466" spans="68:79" ht="15" customHeight="1" x14ac:dyDescent="0.3">
      <c r="BP466" s="15"/>
      <c r="BQ466" s="15"/>
      <c r="BR466" s="15"/>
      <c r="BS466" s="15"/>
      <c r="BT466" s="15"/>
      <c r="BU466" s="15"/>
      <c r="BV466" s="15"/>
      <c r="BW466" s="15"/>
      <c r="BX466" s="15"/>
      <c r="BY466" s="15"/>
      <c r="BZ466" s="15"/>
      <c r="CA466" s="15"/>
    </row>
    <row r="467" spans="68:79" ht="15" customHeight="1" x14ac:dyDescent="0.3">
      <c r="BP467" s="15"/>
      <c r="BQ467" s="15"/>
      <c r="BR467" s="15"/>
      <c r="BS467" s="15"/>
      <c r="BT467" s="15"/>
      <c r="BU467" s="15"/>
      <c r="BV467" s="15"/>
      <c r="BW467" s="15"/>
      <c r="BX467" s="15"/>
      <c r="BY467" s="15"/>
      <c r="BZ467" s="15"/>
      <c r="CA467" s="15"/>
    </row>
    <row r="468" spans="68:79" ht="15" customHeight="1" x14ac:dyDescent="0.3">
      <c r="BP468" s="15"/>
      <c r="BQ468" s="15"/>
      <c r="BR468" s="15"/>
      <c r="BS468" s="15"/>
      <c r="BT468" s="15"/>
      <c r="BU468" s="15"/>
      <c r="BV468" s="15"/>
      <c r="BW468" s="15"/>
      <c r="BX468" s="15"/>
      <c r="BY468" s="15"/>
      <c r="BZ468" s="15"/>
      <c r="CA468" s="15"/>
    </row>
    <row r="469" spans="68:79" ht="15" customHeight="1" x14ac:dyDescent="0.3"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</row>
    <row r="470" spans="68:79" ht="15" customHeight="1" x14ac:dyDescent="0.3"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</row>
    <row r="471" spans="68:79" ht="15" customHeight="1" x14ac:dyDescent="0.3"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5"/>
      <c r="CA471" s="15"/>
    </row>
    <row r="472" spans="68:79" ht="15" customHeight="1" x14ac:dyDescent="0.3">
      <c r="BP472" s="15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</row>
    <row r="473" spans="68:79" ht="15" customHeight="1" x14ac:dyDescent="0.3"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</row>
    <row r="474" spans="68:79" ht="15" customHeight="1" x14ac:dyDescent="0.3"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</row>
    <row r="475" spans="68:79" ht="15" customHeight="1" x14ac:dyDescent="0.3">
      <c r="BP475" s="15"/>
      <c r="BQ475" s="15"/>
      <c r="BR475" s="15"/>
      <c r="BS475" s="15"/>
      <c r="BT475" s="15"/>
      <c r="BU475" s="15"/>
      <c r="BV475" s="15"/>
      <c r="BW475" s="15"/>
      <c r="BX475" s="15"/>
      <c r="BY475" s="15"/>
      <c r="BZ475" s="15"/>
      <c r="CA475" s="15"/>
    </row>
    <row r="476" spans="68:79" ht="15" customHeight="1" x14ac:dyDescent="0.3"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</row>
    <row r="477" spans="68:79" ht="15" customHeight="1" x14ac:dyDescent="0.3"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</row>
    <row r="478" spans="68:79" ht="15" customHeight="1" x14ac:dyDescent="0.3">
      <c r="BP478" s="15"/>
      <c r="BQ478" s="15"/>
      <c r="BR478" s="15"/>
      <c r="BS478" s="15"/>
      <c r="BT478" s="15"/>
      <c r="BU478" s="15"/>
      <c r="BV478" s="15"/>
      <c r="BW478" s="15"/>
      <c r="BX478" s="15"/>
      <c r="BY478" s="15"/>
      <c r="BZ478" s="15"/>
      <c r="CA478" s="15"/>
    </row>
    <row r="479" spans="68:79" ht="15" customHeight="1" x14ac:dyDescent="0.3">
      <c r="BP479" s="15"/>
      <c r="BQ479" s="15"/>
      <c r="BR479" s="15"/>
      <c r="BS479" s="15"/>
      <c r="BT479" s="15"/>
      <c r="BU479" s="15"/>
      <c r="BV479" s="15"/>
      <c r="BW479" s="15"/>
      <c r="BX479" s="15"/>
      <c r="BY479" s="15"/>
      <c r="BZ479" s="15"/>
      <c r="CA479" s="15"/>
    </row>
    <row r="480" spans="68:79" ht="15" customHeight="1" x14ac:dyDescent="0.3">
      <c r="BP480" s="15"/>
      <c r="BQ480" s="15"/>
      <c r="BR480" s="15"/>
      <c r="BS480" s="15"/>
      <c r="BT480" s="15"/>
      <c r="BU480" s="15"/>
      <c r="BV480" s="15"/>
      <c r="BW480" s="15"/>
      <c r="BX480" s="15"/>
      <c r="BY480" s="15"/>
      <c r="BZ480" s="15"/>
      <c r="CA480" s="15"/>
    </row>
    <row r="481" spans="68:79" ht="15" customHeight="1" x14ac:dyDescent="0.3">
      <c r="BP481" s="15"/>
      <c r="BQ481" s="15"/>
      <c r="BR481" s="15"/>
      <c r="BS481" s="15"/>
      <c r="BT481" s="15"/>
      <c r="BU481" s="15"/>
      <c r="BV481" s="15"/>
      <c r="BW481" s="15"/>
      <c r="BX481" s="15"/>
      <c r="BY481" s="15"/>
      <c r="BZ481" s="15"/>
      <c r="CA481" s="15"/>
    </row>
    <row r="482" spans="68:79" ht="15" customHeight="1" x14ac:dyDescent="0.3">
      <c r="BP482" s="15"/>
      <c r="BQ482" s="15"/>
      <c r="BR482" s="15"/>
      <c r="BS482" s="15"/>
      <c r="BT482" s="15"/>
      <c r="BU482" s="15"/>
      <c r="BV482" s="15"/>
      <c r="BW482" s="15"/>
      <c r="BX482" s="15"/>
      <c r="BY482" s="15"/>
      <c r="BZ482" s="15"/>
      <c r="CA482" s="15"/>
    </row>
    <row r="483" spans="68:79" ht="15" customHeight="1" x14ac:dyDescent="0.3">
      <c r="BP483" s="15"/>
      <c r="BQ483" s="15"/>
      <c r="BR483" s="15"/>
      <c r="BS483" s="15"/>
      <c r="BT483" s="15"/>
      <c r="BU483" s="15"/>
      <c r="BV483" s="15"/>
      <c r="BW483" s="15"/>
      <c r="BX483" s="15"/>
      <c r="BY483" s="15"/>
      <c r="BZ483" s="15"/>
      <c r="CA483" s="15"/>
    </row>
    <row r="484" spans="68:79" ht="15" customHeight="1" x14ac:dyDescent="0.3">
      <c r="BP484" s="15"/>
      <c r="BQ484" s="15"/>
      <c r="BR484" s="15"/>
      <c r="BS484" s="15"/>
      <c r="BT484" s="15"/>
      <c r="BU484" s="15"/>
      <c r="BV484" s="15"/>
      <c r="BW484" s="15"/>
      <c r="BX484" s="15"/>
      <c r="BY484" s="15"/>
      <c r="BZ484" s="15"/>
      <c r="CA484" s="15"/>
    </row>
    <row r="485" spans="68:79" ht="15" customHeight="1" x14ac:dyDescent="0.3">
      <c r="BP485" s="15"/>
      <c r="BQ485" s="15"/>
      <c r="BR485" s="15"/>
      <c r="BS485" s="15"/>
      <c r="BT485" s="15"/>
      <c r="BU485" s="15"/>
      <c r="BV485" s="15"/>
      <c r="BW485" s="15"/>
      <c r="BX485" s="15"/>
      <c r="BY485" s="15"/>
      <c r="BZ485" s="15"/>
      <c r="CA485" s="15"/>
    </row>
    <row r="486" spans="68:79" ht="15" customHeight="1" x14ac:dyDescent="0.3">
      <c r="BP486" s="15"/>
      <c r="BQ486" s="15"/>
      <c r="BR486" s="15"/>
      <c r="BS486" s="15"/>
      <c r="BT486" s="15"/>
      <c r="BU486" s="15"/>
      <c r="BV486" s="15"/>
      <c r="BW486" s="15"/>
      <c r="BX486" s="15"/>
      <c r="BY486" s="15"/>
      <c r="BZ486" s="15"/>
      <c r="CA486" s="15"/>
    </row>
    <row r="487" spans="68:79" ht="15" customHeight="1" x14ac:dyDescent="0.3">
      <c r="BP487" s="15"/>
      <c r="BQ487" s="15"/>
      <c r="BR487" s="15"/>
      <c r="BS487" s="15"/>
      <c r="BT487" s="15"/>
      <c r="BU487" s="15"/>
      <c r="BV487" s="15"/>
      <c r="BW487" s="15"/>
      <c r="BX487" s="15"/>
      <c r="BY487" s="15"/>
      <c r="BZ487" s="15"/>
      <c r="CA487" s="15"/>
    </row>
    <row r="488" spans="68:79" ht="15" customHeight="1" x14ac:dyDescent="0.3"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</row>
    <row r="489" spans="68:79" ht="15" customHeight="1" x14ac:dyDescent="0.3">
      <c r="BP489" s="15"/>
      <c r="BQ489" s="15"/>
      <c r="BR489" s="15"/>
      <c r="BS489" s="15"/>
      <c r="BT489" s="15"/>
      <c r="BU489" s="15"/>
      <c r="BV489" s="15"/>
      <c r="BW489" s="15"/>
      <c r="BX489" s="15"/>
      <c r="BY489" s="15"/>
      <c r="BZ489" s="15"/>
      <c r="CA489" s="15"/>
    </row>
    <row r="490" spans="68:79" ht="15" customHeight="1" x14ac:dyDescent="0.3">
      <c r="BP490" s="15"/>
      <c r="BQ490" s="15"/>
      <c r="BR490" s="15"/>
      <c r="BS490" s="15"/>
      <c r="BT490" s="15"/>
      <c r="BU490" s="15"/>
      <c r="BV490" s="15"/>
      <c r="BW490" s="15"/>
      <c r="BX490" s="15"/>
      <c r="BY490" s="15"/>
      <c r="BZ490" s="15"/>
      <c r="CA490" s="15"/>
    </row>
    <row r="491" spans="68:79" ht="15" customHeight="1" x14ac:dyDescent="0.3">
      <c r="BP491" s="15"/>
      <c r="BQ491" s="15"/>
      <c r="BR491" s="15"/>
      <c r="BS491" s="15"/>
      <c r="BT491" s="15"/>
      <c r="BU491" s="15"/>
      <c r="BV491" s="15"/>
      <c r="BW491" s="15"/>
      <c r="BX491" s="15"/>
      <c r="BY491" s="15"/>
      <c r="BZ491" s="15"/>
      <c r="CA491" s="15"/>
    </row>
    <row r="492" spans="68:79" ht="15" customHeight="1" x14ac:dyDescent="0.3">
      <c r="BP492" s="15"/>
      <c r="BQ492" s="15"/>
      <c r="BR492" s="15"/>
      <c r="BS492" s="15"/>
      <c r="BT492" s="15"/>
      <c r="BU492" s="15"/>
      <c r="BV492" s="15"/>
      <c r="BW492" s="15"/>
      <c r="BX492" s="15"/>
      <c r="BY492" s="15"/>
      <c r="BZ492" s="15"/>
      <c r="CA492" s="15"/>
    </row>
    <row r="493" spans="68:79" ht="15" customHeight="1" x14ac:dyDescent="0.3">
      <c r="BP493" s="15"/>
      <c r="BQ493" s="15"/>
      <c r="BR493" s="15"/>
      <c r="BS493" s="15"/>
      <c r="BT493" s="15"/>
      <c r="BU493" s="15"/>
      <c r="BV493" s="15"/>
      <c r="BW493" s="15"/>
      <c r="BX493" s="15"/>
      <c r="BY493" s="15"/>
      <c r="BZ493" s="15"/>
      <c r="CA493" s="15"/>
    </row>
    <row r="494" spans="68:79" ht="15" customHeight="1" x14ac:dyDescent="0.3">
      <c r="BP494" s="15"/>
      <c r="BQ494" s="15"/>
      <c r="BR494" s="15"/>
      <c r="BS494" s="15"/>
      <c r="BT494" s="15"/>
      <c r="BU494" s="15"/>
      <c r="BV494" s="15"/>
      <c r="BW494" s="15"/>
      <c r="BX494" s="15"/>
      <c r="BY494" s="15"/>
      <c r="BZ494" s="15"/>
      <c r="CA494" s="15"/>
    </row>
    <row r="495" spans="68:79" ht="15" customHeight="1" x14ac:dyDescent="0.3">
      <c r="BP495" s="15"/>
      <c r="BQ495" s="15"/>
      <c r="BR495" s="15"/>
      <c r="BS495" s="15"/>
      <c r="BT495" s="15"/>
      <c r="BU495" s="15"/>
      <c r="BV495" s="15"/>
      <c r="BW495" s="15"/>
      <c r="BX495" s="15"/>
      <c r="BY495" s="15"/>
      <c r="BZ495" s="15"/>
      <c r="CA495" s="15"/>
    </row>
    <row r="496" spans="68:79" ht="15" customHeight="1" x14ac:dyDescent="0.3">
      <c r="BP496" s="15"/>
      <c r="BQ496" s="15"/>
      <c r="BR496" s="15"/>
      <c r="BS496" s="15"/>
      <c r="BT496" s="15"/>
      <c r="BU496" s="15"/>
      <c r="BV496" s="15"/>
      <c r="BW496" s="15"/>
      <c r="BX496" s="15"/>
      <c r="BY496" s="15"/>
      <c r="BZ496" s="15"/>
      <c r="CA496" s="15"/>
    </row>
    <row r="497" spans="68:79" ht="15" customHeight="1" x14ac:dyDescent="0.3">
      <c r="BP497" s="15"/>
      <c r="BQ497" s="15"/>
      <c r="BR497" s="15"/>
      <c r="BS497" s="15"/>
      <c r="BT497" s="15"/>
      <c r="BU497" s="15"/>
      <c r="BV497" s="15"/>
      <c r="BW497" s="15"/>
      <c r="BX497" s="15"/>
      <c r="BY497" s="15"/>
      <c r="BZ497" s="15"/>
      <c r="CA497" s="15"/>
    </row>
    <row r="498" spans="68:79" ht="15" customHeight="1" x14ac:dyDescent="0.3">
      <c r="BP498" s="15"/>
      <c r="BQ498" s="15"/>
      <c r="BR498" s="15"/>
      <c r="BS498" s="15"/>
      <c r="BT498" s="15"/>
      <c r="BU498" s="15"/>
      <c r="BV498" s="15"/>
      <c r="BW498" s="15"/>
      <c r="BX498" s="15"/>
      <c r="BY498" s="15"/>
      <c r="BZ498" s="15"/>
      <c r="CA498" s="15"/>
    </row>
    <row r="499" spans="68:79" ht="15" customHeight="1" x14ac:dyDescent="0.3">
      <c r="BP499" s="15"/>
      <c r="BQ499" s="15"/>
      <c r="BR499" s="15"/>
      <c r="BS499" s="15"/>
      <c r="BT499" s="15"/>
      <c r="BU499" s="15"/>
      <c r="BV499" s="15"/>
      <c r="BW499" s="15"/>
      <c r="BX499" s="15"/>
      <c r="BY499" s="15"/>
      <c r="BZ499" s="15"/>
      <c r="CA499" s="15"/>
    </row>
    <row r="500" spans="68:79" ht="15" customHeight="1" x14ac:dyDescent="0.3">
      <c r="BP500" s="15"/>
      <c r="BQ500" s="15"/>
      <c r="BR500" s="15"/>
      <c r="BS500" s="15"/>
      <c r="BT500" s="15"/>
      <c r="BU500" s="15"/>
      <c r="BV500" s="15"/>
      <c r="BW500" s="15"/>
      <c r="BX500" s="15"/>
      <c r="BY500" s="15"/>
      <c r="BZ500" s="15"/>
      <c r="CA500" s="15"/>
    </row>
    <row r="501" spans="68:79" ht="15" customHeight="1" x14ac:dyDescent="0.3">
      <c r="BP501" s="15"/>
      <c r="BQ501" s="15"/>
      <c r="BR501" s="15"/>
      <c r="BS501" s="15"/>
      <c r="BT501" s="15"/>
      <c r="BU501" s="15"/>
      <c r="BV501" s="15"/>
      <c r="BW501" s="15"/>
      <c r="BX501" s="15"/>
      <c r="BY501" s="15"/>
      <c r="BZ501" s="15"/>
      <c r="CA501" s="15"/>
    </row>
    <row r="502" spans="68:79" ht="15" customHeight="1" x14ac:dyDescent="0.3">
      <c r="BP502" s="15"/>
      <c r="BQ502" s="15"/>
      <c r="BR502" s="15"/>
      <c r="BS502" s="15"/>
      <c r="BT502" s="15"/>
      <c r="BU502" s="15"/>
      <c r="BV502" s="15"/>
      <c r="BW502" s="15"/>
      <c r="BX502" s="15"/>
      <c r="BY502" s="15"/>
      <c r="BZ502" s="15"/>
      <c r="CA502" s="15"/>
    </row>
    <row r="503" spans="68:79" ht="15" customHeight="1" x14ac:dyDescent="0.3">
      <c r="BP503" s="15"/>
      <c r="BQ503" s="15"/>
      <c r="BR503" s="15"/>
      <c r="BS503" s="15"/>
      <c r="BT503" s="15"/>
      <c r="BU503" s="15"/>
      <c r="BV503" s="15"/>
      <c r="BW503" s="15"/>
      <c r="BX503" s="15"/>
      <c r="BY503" s="15"/>
      <c r="BZ503" s="15"/>
      <c r="CA503" s="15"/>
    </row>
    <row r="504" spans="68:79" ht="15" customHeight="1" x14ac:dyDescent="0.3">
      <c r="BP504" s="15"/>
      <c r="BQ504" s="15"/>
      <c r="BR504" s="15"/>
      <c r="BS504" s="15"/>
      <c r="BT504" s="15"/>
      <c r="BU504" s="15"/>
      <c r="BV504" s="15"/>
      <c r="BW504" s="15"/>
      <c r="BX504" s="15"/>
      <c r="BY504" s="15"/>
      <c r="BZ504" s="15"/>
      <c r="CA504" s="15"/>
    </row>
    <row r="505" spans="68:79" ht="15" customHeight="1" x14ac:dyDescent="0.3">
      <c r="BP505" s="15"/>
      <c r="BQ505" s="15"/>
      <c r="BR505" s="15"/>
      <c r="BS505" s="15"/>
      <c r="BT505" s="15"/>
      <c r="BU505" s="15"/>
      <c r="BV505" s="15"/>
      <c r="BW505" s="15"/>
      <c r="BX505" s="15"/>
      <c r="BY505" s="15"/>
      <c r="BZ505" s="15"/>
      <c r="CA505" s="15"/>
    </row>
    <row r="506" spans="68:79" ht="15" customHeight="1" x14ac:dyDescent="0.3">
      <c r="BP506" s="15"/>
      <c r="BQ506" s="15"/>
      <c r="BR506" s="15"/>
      <c r="BS506" s="15"/>
      <c r="BT506" s="15"/>
      <c r="BU506" s="15"/>
      <c r="BV506" s="15"/>
      <c r="BW506" s="15"/>
      <c r="BX506" s="15"/>
      <c r="BY506" s="15"/>
      <c r="BZ506" s="15"/>
      <c r="CA506" s="15"/>
    </row>
    <row r="507" spans="68:79" ht="15" customHeight="1" x14ac:dyDescent="0.3">
      <c r="BP507" s="15"/>
      <c r="BQ507" s="15"/>
      <c r="BR507" s="15"/>
      <c r="BS507" s="15"/>
      <c r="BT507" s="15"/>
      <c r="BU507" s="15"/>
      <c r="BV507" s="15"/>
      <c r="BW507" s="15"/>
      <c r="BX507" s="15"/>
      <c r="BY507" s="15"/>
      <c r="BZ507" s="15"/>
      <c r="CA507" s="15"/>
    </row>
    <row r="508" spans="68:79" ht="15" customHeight="1" x14ac:dyDescent="0.3">
      <c r="BP508" s="15"/>
      <c r="BQ508" s="15"/>
      <c r="BR508" s="15"/>
      <c r="BS508" s="15"/>
      <c r="BT508" s="15"/>
      <c r="BU508" s="15"/>
      <c r="BV508" s="15"/>
      <c r="BW508" s="15"/>
      <c r="BX508" s="15"/>
      <c r="BY508" s="15"/>
      <c r="BZ508" s="15"/>
      <c r="CA508" s="15"/>
    </row>
    <row r="509" spans="68:79" ht="15" customHeight="1" x14ac:dyDescent="0.3">
      <c r="BP509" s="15"/>
      <c r="BQ509" s="15"/>
      <c r="BR509" s="15"/>
      <c r="BS509" s="15"/>
      <c r="BT509" s="15"/>
      <c r="BU509" s="15"/>
      <c r="BV509" s="15"/>
      <c r="BW509" s="15"/>
      <c r="BX509" s="15"/>
      <c r="BY509" s="15"/>
      <c r="BZ509" s="15"/>
      <c r="CA509" s="15"/>
    </row>
    <row r="510" spans="68:79" ht="15" customHeight="1" x14ac:dyDescent="0.3">
      <c r="BP510" s="15"/>
      <c r="BQ510" s="15"/>
      <c r="BR510" s="15"/>
      <c r="BS510" s="15"/>
      <c r="BT510" s="15"/>
      <c r="BU510" s="15"/>
      <c r="BV510" s="15"/>
      <c r="BW510" s="15"/>
      <c r="BX510" s="15"/>
      <c r="BY510" s="15"/>
      <c r="BZ510" s="15"/>
      <c r="CA510" s="15"/>
    </row>
    <row r="511" spans="68:79" ht="15" customHeight="1" x14ac:dyDescent="0.3">
      <c r="BP511" s="15"/>
      <c r="BQ511" s="15"/>
      <c r="BR511" s="15"/>
      <c r="BS511" s="15"/>
      <c r="BT511" s="15"/>
      <c r="BU511" s="15"/>
      <c r="BV511" s="15"/>
      <c r="BW511" s="15"/>
      <c r="BX511" s="15"/>
      <c r="BY511" s="15"/>
      <c r="BZ511" s="15"/>
      <c r="CA511" s="15"/>
    </row>
    <row r="512" spans="68:79" ht="15" customHeight="1" x14ac:dyDescent="0.3">
      <c r="BP512" s="15"/>
      <c r="BQ512" s="15"/>
      <c r="BR512" s="15"/>
      <c r="BS512" s="15"/>
      <c r="BT512" s="15"/>
      <c r="BU512" s="15"/>
      <c r="BV512" s="15"/>
      <c r="BW512" s="15"/>
      <c r="BX512" s="15"/>
      <c r="BY512" s="15"/>
      <c r="BZ512" s="15"/>
      <c r="CA512" s="15"/>
    </row>
    <row r="513" spans="68:79" ht="15" customHeight="1" x14ac:dyDescent="0.3">
      <c r="BP513" s="15"/>
      <c r="BQ513" s="15"/>
      <c r="BR513" s="15"/>
      <c r="BS513" s="15"/>
      <c r="BT513" s="15"/>
      <c r="BU513" s="15"/>
      <c r="BV513" s="15"/>
      <c r="BW513" s="15"/>
      <c r="BX513" s="15"/>
      <c r="BY513" s="15"/>
      <c r="BZ513" s="15"/>
      <c r="CA513" s="15"/>
    </row>
    <row r="514" spans="68:79" ht="15" customHeight="1" x14ac:dyDescent="0.3">
      <c r="BP514" s="15"/>
      <c r="BQ514" s="15"/>
      <c r="BR514" s="15"/>
      <c r="BS514" s="15"/>
      <c r="BT514" s="15"/>
      <c r="BU514" s="15"/>
      <c r="BV514" s="15"/>
      <c r="BW514" s="15"/>
      <c r="BX514" s="15"/>
      <c r="BY514" s="15"/>
      <c r="BZ514" s="15"/>
      <c r="CA514" s="15"/>
    </row>
    <row r="515" spans="68:79" ht="15" customHeight="1" x14ac:dyDescent="0.3">
      <c r="BP515" s="15"/>
      <c r="BQ515" s="15"/>
      <c r="BR515" s="15"/>
      <c r="BS515" s="15"/>
      <c r="BT515" s="15"/>
      <c r="BU515" s="15"/>
      <c r="BV515" s="15"/>
      <c r="BW515" s="15"/>
      <c r="BX515" s="15"/>
      <c r="BY515" s="15"/>
      <c r="BZ515" s="15"/>
      <c r="CA515" s="15"/>
    </row>
    <row r="516" spans="68:79" ht="15" customHeight="1" x14ac:dyDescent="0.3">
      <c r="BP516" s="15"/>
      <c r="BQ516" s="15"/>
      <c r="BR516" s="15"/>
      <c r="BS516" s="15"/>
      <c r="BT516" s="15"/>
      <c r="BU516" s="15"/>
      <c r="BV516" s="15"/>
      <c r="BW516" s="15"/>
      <c r="BX516" s="15"/>
      <c r="BY516" s="15"/>
      <c r="BZ516" s="15"/>
      <c r="CA516" s="15"/>
    </row>
    <row r="517" spans="68:79" ht="15" customHeight="1" x14ac:dyDescent="0.3"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</row>
    <row r="518" spans="68:79" ht="15" customHeight="1" x14ac:dyDescent="0.3">
      <c r="BP518" s="15"/>
      <c r="BQ518" s="15"/>
      <c r="BR518" s="15"/>
      <c r="BS518" s="15"/>
      <c r="BT518" s="15"/>
      <c r="BU518" s="15"/>
      <c r="BV518" s="15"/>
      <c r="BW518" s="15"/>
      <c r="BX518" s="15"/>
      <c r="BY518" s="15"/>
      <c r="BZ518" s="15"/>
      <c r="CA518" s="15"/>
    </row>
    <row r="519" spans="68:79" ht="15" customHeight="1" x14ac:dyDescent="0.3">
      <c r="BP519" s="15"/>
      <c r="BQ519" s="15"/>
      <c r="BR519" s="15"/>
      <c r="BS519" s="15"/>
      <c r="BT519" s="15"/>
      <c r="BU519" s="15"/>
      <c r="BV519" s="15"/>
      <c r="BW519" s="15"/>
      <c r="BX519" s="15"/>
      <c r="BY519" s="15"/>
      <c r="BZ519" s="15"/>
      <c r="CA519" s="15"/>
    </row>
    <row r="520" spans="68:79" ht="15" customHeight="1" x14ac:dyDescent="0.3">
      <c r="BP520" s="15"/>
      <c r="BQ520" s="15"/>
      <c r="BR520" s="15"/>
      <c r="BS520" s="15"/>
      <c r="BT520" s="15"/>
      <c r="BU520" s="15"/>
      <c r="BV520" s="15"/>
      <c r="BW520" s="15"/>
      <c r="BX520" s="15"/>
      <c r="BY520" s="15"/>
      <c r="BZ520" s="15"/>
      <c r="CA520" s="15"/>
    </row>
    <row r="521" spans="68:79" ht="15" customHeight="1" x14ac:dyDescent="0.3">
      <c r="BP521" s="15"/>
      <c r="BQ521" s="15"/>
      <c r="BR521" s="15"/>
      <c r="BS521" s="15"/>
      <c r="BT521" s="15"/>
      <c r="BU521" s="15"/>
      <c r="BV521" s="15"/>
      <c r="BW521" s="15"/>
      <c r="BX521" s="15"/>
      <c r="BY521" s="15"/>
      <c r="BZ521" s="15"/>
      <c r="CA521" s="15"/>
    </row>
    <row r="522" spans="68:79" ht="15" customHeight="1" x14ac:dyDescent="0.3">
      <c r="BP522" s="15"/>
      <c r="BQ522" s="15"/>
      <c r="BR522" s="15"/>
      <c r="BS522" s="15"/>
      <c r="BT522" s="15"/>
      <c r="BU522" s="15"/>
      <c r="BV522" s="15"/>
      <c r="BW522" s="15"/>
      <c r="BX522" s="15"/>
      <c r="BY522" s="15"/>
      <c r="BZ522" s="15"/>
      <c r="CA522" s="15"/>
    </row>
    <row r="523" spans="68:79" ht="15" customHeight="1" x14ac:dyDescent="0.3">
      <c r="BP523" s="15"/>
      <c r="BQ523" s="15"/>
      <c r="BR523" s="15"/>
      <c r="BS523" s="15"/>
      <c r="BT523" s="15"/>
      <c r="BU523" s="15"/>
      <c r="BV523" s="15"/>
      <c r="BW523" s="15"/>
      <c r="BX523" s="15"/>
      <c r="BY523" s="15"/>
      <c r="BZ523" s="15"/>
      <c r="CA523" s="15"/>
    </row>
    <row r="524" spans="68:79" ht="15" customHeight="1" x14ac:dyDescent="0.3">
      <c r="BP524" s="15"/>
      <c r="BQ524" s="15"/>
      <c r="BR524" s="15"/>
      <c r="BS524" s="15"/>
      <c r="BT524" s="15"/>
      <c r="BU524" s="15"/>
      <c r="BV524" s="15"/>
      <c r="BW524" s="15"/>
      <c r="BX524" s="15"/>
      <c r="BY524" s="15"/>
      <c r="BZ524" s="15"/>
      <c r="CA524" s="15"/>
    </row>
    <row r="525" spans="68:79" ht="15" customHeight="1" x14ac:dyDescent="0.3">
      <c r="BP525" s="15"/>
      <c r="BQ525" s="15"/>
      <c r="BR525" s="15"/>
      <c r="BS525" s="15"/>
      <c r="BT525" s="15"/>
      <c r="BU525" s="15"/>
      <c r="BV525" s="15"/>
      <c r="BW525" s="15"/>
      <c r="BX525" s="15"/>
      <c r="BY525" s="15"/>
      <c r="BZ525" s="15"/>
      <c r="CA525" s="15"/>
    </row>
    <row r="526" spans="68:79" ht="15" customHeight="1" x14ac:dyDescent="0.3">
      <c r="BP526" s="15"/>
      <c r="BQ526" s="15"/>
      <c r="BR526" s="15"/>
      <c r="BS526" s="15"/>
      <c r="BT526" s="15"/>
      <c r="BU526" s="15"/>
      <c r="BV526" s="15"/>
      <c r="BW526" s="15"/>
      <c r="BX526" s="15"/>
      <c r="BY526" s="15"/>
      <c r="BZ526" s="15"/>
      <c r="CA526" s="15"/>
    </row>
    <row r="527" spans="68:79" ht="15" customHeight="1" x14ac:dyDescent="0.3">
      <c r="BP527" s="15"/>
      <c r="BQ527" s="15"/>
      <c r="BR527" s="15"/>
      <c r="BS527" s="15"/>
      <c r="BT527" s="15"/>
      <c r="BU527" s="15"/>
      <c r="BV527" s="15"/>
      <c r="BW527" s="15"/>
      <c r="BX527" s="15"/>
      <c r="BY527" s="15"/>
      <c r="BZ527" s="15"/>
      <c r="CA527" s="15"/>
    </row>
    <row r="528" spans="68:79" ht="15" customHeight="1" x14ac:dyDescent="0.3">
      <c r="BP528" s="15"/>
      <c r="BQ528" s="15"/>
      <c r="BR528" s="15"/>
      <c r="BS528" s="15"/>
      <c r="BT528" s="15"/>
      <c r="BU528" s="15"/>
      <c r="BV528" s="15"/>
      <c r="BW528" s="15"/>
      <c r="BX528" s="15"/>
      <c r="BY528" s="15"/>
      <c r="BZ528" s="15"/>
      <c r="CA528" s="15"/>
    </row>
    <row r="529" spans="68:79" ht="15" customHeight="1" x14ac:dyDescent="0.3">
      <c r="BP529" s="15"/>
      <c r="BQ529" s="15"/>
      <c r="BR529" s="15"/>
      <c r="BS529" s="15"/>
      <c r="BT529" s="15"/>
      <c r="BU529" s="15"/>
      <c r="BV529" s="15"/>
      <c r="BW529" s="15"/>
      <c r="BX529" s="15"/>
      <c r="BY529" s="15"/>
      <c r="BZ529" s="15"/>
      <c r="CA529" s="15"/>
    </row>
    <row r="530" spans="68:79" ht="15" customHeight="1" x14ac:dyDescent="0.3">
      <c r="BP530" s="15"/>
      <c r="BQ530" s="15"/>
      <c r="BR530" s="15"/>
      <c r="BS530" s="15"/>
      <c r="BT530" s="15"/>
      <c r="BU530" s="15"/>
      <c r="BV530" s="15"/>
      <c r="BW530" s="15"/>
      <c r="BX530" s="15"/>
      <c r="BY530" s="15"/>
      <c r="BZ530" s="15"/>
      <c r="CA530" s="15"/>
    </row>
    <row r="531" spans="68:79" ht="15" customHeight="1" x14ac:dyDescent="0.3">
      <c r="BP531" s="15"/>
      <c r="BQ531" s="15"/>
      <c r="BR531" s="15"/>
      <c r="BS531" s="15"/>
      <c r="BT531" s="15"/>
      <c r="BU531" s="15"/>
      <c r="BV531" s="15"/>
      <c r="BW531" s="15"/>
      <c r="BX531" s="15"/>
      <c r="BY531" s="15"/>
      <c r="BZ531" s="15"/>
      <c r="CA531" s="15"/>
    </row>
    <row r="532" spans="68:79" ht="15" customHeight="1" x14ac:dyDescent="0.3">
      <c r="BP532" s="15"/>
      <c r="BQ532" s="15"/>
      <c r="BR532" s="15"/>
      <c r="BS532" s="15"/>
      <c r="BT532" s="15"/>
      <c r="BU532" s="15"/>
      <c r="BV532" s="15"/>
      <c r="BW532" s="15"/>
      <c r="BX532" s="15"/>
      <c r="BY532" s="15"/>
      <c r="BZ532" s="15"/>
      <c r="CA532" s="15"/>
    </row>
    <row r="533" spans="68:79" ht="15" customHeight="1" x14ac:dyDescent="0.3">
      <c r="BP533" s="15"/>
      <c r="BQ533" s="15"/>
      <c r="BR533" s="15"/>
      <c r="BS533" s="15"/>
      <c r="BT533" s="15"/>
      <c r="BU533" s="15"/>
      <c r="BV533" s="15"/>
      <c r="BW533" s="15"/>
      <c r="BX533" s="15"/>
      <c r="BY533" s="15"/>
      <c r="BZ533" s="15"/>
      <c r="CA533" s="15"/>
    </row>
    <row r="534" spans="68:79" ht="15" customHeight="1" x14ac:dyDescent="0.3">
      <c r="BP534" s="15"/>
      <c r="BQ534" s="15"/>
      <c r="BR534" s="15"/>
      <c r="BS534" s="15"/>
      <c r="BT534" s="15"/>
      <c r="BU534" s="15"/>
      <c r="BV534" s="15"/>
      <c r="BW534" s="15"/>
      <c r="BX534" s="15"/>
      <c r="BY534" s="15"/>
      <c r="BZ534" s="15"/>
      <c r="CA534" s="15"/>
    </row>
    <row r="535" spans="68:79" ht="15" customHeight="1" x14ac:dyDescent="0.3"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</row>
    <row r="536" spans="68:79" ht="15" customHeight="1" x14ac:dyDescent="0.3"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</row>
    <row r="537" spans="68:79" ht="15" customHeight="1" x14ac:dyDescent="0.3">
      <c r="BP537" s="15"/>
      <c r="BQ537" s="15"/>
      <c r="BR537" s="15"/>
      <c r="BS537" s="15"/>
      <c r="BT537" s="15"/>
      <c r="BU537" s="15"/>
      <c r="BV537" s="15"/>
      <c r="BW537" s="15"/>
      <c r="BX537" s="15"/>
      <c r="BY537" s="15"/>
      <c r="BZ537" s="15"/>
      <c r="CA537" s="15"/>
    </row>
    <row r="538" spans="68:79" ht="15" customHeight="1" x14ac:dyDescent="0.3">
      <c r="BP538" s="15"/>
      <c r="BQ538" s="15"/>
      <c r="BR538" s="15"/>
      <c r="BS538" s="15"/>
      <c r="BT538" s="15"/>
      <c r="BU538" s="15"/>
      <c r="BV538" s="15"/>
      <c r="BW538" s="15"/>
      <c r="BX538" s="15"/>
      <c r="BY538" s="15"/>
      <c r="BZ538" s="15"/>
      <c r="CA538" s="15"/>
    </row>
    <row r="539" spans="68:79" ht="15" customHeight="1" x14ac:dyDescent="0.3">
      <c r="BP539" s="15"/>
      <c r="BQ539" s="15"/>
      <c r="BR539" s="15"/>
      <c r="BS539" s="15"/>
      <c r="BT539" s="15"/>
      <c r="BU539" s="15"/>
      <c r="BV539" s="15"/>
      <c r="BW539" s="15"/>
      <c r="BX539" s="15"/>
      <c r="BY539" s="15"/>
      <c r="BZ539" s="15"/>
      <c r="CA539" s="15"/>
    </row>
    <row r="540" spans="68:79" ht="15" customHeight="1" x14ac:dyDescent="0.3">
      <c r="BP540" s="15"/>
      <c r="BQ540" s="15"/>
      <c r="BR540" s="15"/>
      <c r="BS540" s="15"/>
      <c r="BT540" s="15"/>
      <c r="BU540" s="15"/>
      <c r="BV540" s="15"/>
      <c r="BW540" s="15"/>
      <c r="BX540" s="15"/>
      <c r="BY540" s="15"/>
      <c r="BZ540" s="15"/>
      <c r="CA540" s="15"/>
    </row>
    <row r="541" spans="68:79" ht="15" customHeight="1" x14ac:dyDescent="0.3">
      <c r="BP541" s="15"/>
      <c r="BQ541" s="15"/>
      <c r="BR541" s="15"/>
      <c r="BS541" s="15"/>
      <c r="BT541" s="15"/>
      <c r="BU541" s="15"/>
      <c r="BV541" s="15"/>
      <c r="BW541" s="15"/>
      <c r="BX541" s="15"/>
      <c r="BY541" s="15"/>
      <c r="BZ541" s="15"/>
      <c r="CA541" s="15"/>
    </row>
    <row r="542" spans="68:79" ht="15" customHeight="1" x14ac:dyDescent="0.3">
      <c r="BP542" s="15"/>
      <c r="BQ542" s="15"/>
      <c r="BR542" s="15"/>
      <c r="BS542" s="15"/>
      <c r="BT542" s="15"/>
      <c r="BU542" s="15"/>
      <c r="BV542" s="15"/>
      <c r="BW542" s="15"/>
      <c r="BX542" s="15"/>
      <c r="BY542" s="15"/>
      <c r="BZ542" s="15"/>
      <c r="CA542" s="15"/>
    </row>
    <row r="543" spans="68:79" ht="15" customHeight="1" x14ac:dyDescent="0.3">
      <c r="BP543" s="15"/>
      <c r="BQ543" s="15"/>
      <c r="BR543" s="15"/>
      <c r="BS543" s="15"/>
      <c r="BT543" s="15"/>
      <c r="BU543" s="15"/>
      <c r="BV543" s="15"/>
      <c r="BW543" s="15"/>
      <c r="BX543" s="15"/>
      <c r="BY543" s="15"/>
      <c r="BZ543" s="15"/>
      <c r="CA543" s="15"/>
    </row>
    <row r="544" spans="68:79" ht="15" customHeight="1" x14ac:dyDescent="0.3"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</row>
    <row r="545" spans="68:79" ht="15" customHeight="1" x14ac:dyDescent="0.3">
      <c r="BP545" s="15"/>
      <c r="BQ545" s="15"/>
      <c r="BR545" s="15"/>
      <c r="BS545" s="15"/>
      <c r="BT545" s="15"/>
      <c r="BU545" s="15"/>
      <c r="BV545" s="15"/>
      <c r="BW545" s="15"/>
      <c r="BX545" s="15"/>
      <c r="BY545" s="15"/>
      <c r="BZ545" s="15"/>
      <c r="CA545" s="15"/>
    </row>
    <row r="546" spans="68:79" ht="15" customHeight="1" x14ac:dyDescent="0.3">
      <c r="BP546" s="15"/>
      <c r="BQ546" s="15"/>
      <c r="BR546" s="15"/>
      <c r="BS546" s="15"/>
      <c r="BT546" s="15"/>
      <c r="BU546" s="15"/>
      <c r="BV546" s="15"/>
      <c r="BW546" s="15"/>
      <c r="BX546" s="15"/>
      <c r="BY546" s="15"/>
      <c r="BZ546" s="15"/>
      <c r="CA546" s="15"/>
    </row>
    <row r="547" spans="68:79" ht="15" customHeight="1" x14ac:dyDescent="0.3">
      <c r="BP547" s="15"/>
      <c r="BQ547" s="15"/>
      <c r="BR547" s="15"/>
      <c r="BS547" s="15"/>
      <c r="BT547" s="15"/>
      <c r="BU547" s="15"/>
      <c r="BV547" s="15"/>
      <c r="BW547" s="15"/>
      <c r="BX547" s="15"/>
      <c r="BY547" s="15"/>
      <c r="BZ547" s="15"/>
      <c r="CA547" s="15"/>
    </row>
    <row r="548" spans="68:79" ht="15" customHeight="1" x14ac:dyDescent="0.3">
      <c r="BP548" s="15"/>
      <c r="BQ548" s="15"/>
      <c r="BR548" s="15"/>
      <c r="BS548" s="15"/>
      <c r="BT548" s="15"/>
      <c r="BU548" s="15"/>
      <c r="BV548" s="15"/>
      <c r="BW548" s="15"/>
      <c r="BX548" s="15"/>
      <c r="BY548" s="15"/>
      <c r="BZ548" s="15"/>
      <c r="CA548" s="15"/>
    </row>
    <row r="549" spans="68:79" ht="15" customHeight="1" x14ac:dyDescent="0.3">
      <c r="BP549" s="15"/>
      <c r="BQ549" s="15"/>
      <c r="BR549" s="15"/>
      <c r="BS549" s="15"/>
      <c r="BT549" s="15"/>
      <c r="BU549" s="15"/>
      <c r="BV549" s="15"/>
      <c r="BW549" s="15"/>
      <c r="BX549" s="15"/>
      <c r="BY549" s="15"/>
      <c r="BZ549" s="15"/>
      <c r="CA549" s="15"/>
    </row>
    <row r="550" spans="68:79" ht="15" customHeight="1" x14ac:dyDescent="0.3">
      <c r="BP550" s="15"/>
      <c r="BQ550" s="15"/>
      <c r="BR550" s="15"/>
      <c r="BS550" s="15"/>
      <c r="BT550" s="15"/>
      <c r="BU550" s="15"/>
      <c r="BV550" s="15"/>
      <c r="BW550" s="15"/>
      <c r="BX550" s="15"/>
      <c r="BY550" s="15"/>
      <c r="BZ550" s="15"/>
      <c r="CA550" s="15"/>
    </row>
    <row r="551" spans="68:79" ht="15" customHeight="1" x14ac:dyDescent="0.3">
      <c r="BP551" s="15"/>
      <c r="BQ551" s="15"/>
      <c r="BR551" s="15"/>
      <c r="BS551" s="15"/>
      <c r="BT551" s="15"/>
      <c r="BU551" s="15"/>
      <c r="BV551" s="15"/>
      <c r="BW551" s="15"/>
      <c r="BX551" s="15"/>
      <c r="BY551" s="15"/>
      <c r="BZ551" s="15"/>
      <c r="CA551" s="15"/>
    </row>
    <row r="552" spans="68:79" ht="15" customHeight="1" x14ac:dyDescent="0.3">
      <c r="BP552" s="15"/>
      <c r="BQ552" s="15"/>
      <c r="BR552" s="15"/>
      <c r="BS552" s="15"/>
      <c r="BT552" s="15"/>
      <c r="BU552" s="15"/>
      <c r="BV552" s="15"/>
      <c r="BW552" s="15"/>
      <c r="BX552" s="15"/>
      <c r="BY552" s="15"/>
      <c r="BZ552" s="15"/>
      <c r="CA552" s="15"/>
    </row>
    <row r="553" spans="68:79" ht="15" customHeight="1" x14ac:dyDescent="0.3">
      <c r="BP553" s="15"/>
      <c r="BQ553" s="15"/>
      <c r="BR553" s="15"/>
      <c r="BS553" s="15"/>
      <c r="BT553" s="15"/>
      <c r="BU553" s="15"/>
      <c r="BV553" s="15"/>
      <c r="BW553" s="15"/>
      <c r="BX553" s="15"/>
      <c r="BY553" s="15"/>
      <c r="BZ553" s="15"/>
      <c r="CA553" s="15"/>
    </row>
    <row r="554" spans="68:79" ht="15" customHeight="1" x14ac:dyDescent="0.3">
      <c r="BP554" s="15"/>
      <c r="BQ554" s="15"/>
      <c r="BR554" s="15"/>
      <c r="BS554" s="15"/>
      <c r="BT554" s="15"/>
      <c r="BU554" s="15"/>
      <c r="BV554" s="15"/>
      <c r="BW554" s="15"/>
      <c r="BX554" s="15"/>
      <c r="BY554" s="15"/>
      <c r="BZ554" s="15"/>
      <c r="CA554" s="15"/>
    </row>
    <row r="555" spans="68:79" ht="15" customHeight="1" x14ac:dyDescent="0.3">
      <c r="BP555" s="15"/>
      <c r="BQ555" s="15"/>
      <c r="BR555" s="15"/>
      <c r="BS555" s="15"/>
      <c r="BT555" s="15"/>
      <c r="BU555" s="15"/>
      <c r="BV555" s="15"/>
      <c r="BW555" s="15"/>
      <c r="BX555" s="15"/>
      <c r="BY555" s="15"/>
      <c r="BZ555" s="15"/>
      <c r="CA555" s="15"/>
    </row>
    <row r="556" spans="68:79" ht="15" customHeight="1" x14ac:dyDescent="0.3">
      <c r="BP556" s="15"/>
      <c r="BQ556" s="15"/>
      <c r="BR556" s="15"/>
      <c r="BS556" s="15"/>
      <c r="BT556" s="15"/>
      <c r="BU556" s="15"/>
      <c r="BV556" s="15"/>
      <c r="BW556" s="15"/>
      <c r="BX556" s="15"/>
      <c r="BY556" s="15"/>
      <c r="BZ556" s="15"/>
      <c r="CA556" s="15"/>
    </row>
    <row r="557" spans="68:79" ht="15" customHeight="1" x14ac:dyDescent="0.3">
      <c r="BP557" s="15"/>
      <c r="BQ557" s="15"/>
      <c r="BR557" s="15"/>
      <c r="BS557" s="15"/>
      <c r="BT557" s="15"/>
      <c r="BU557" s="15"/>
      <c r="BV557" s="15"/>
      <c r="BW557" s="15"/>
      <c r="BX557" s="15"/>
      <c r="BY557" s="15"/>
      <c r="BZ557" s="15"/>
      <c r="CA557" s="15"/>
    </row>
    <row r="558" spans="68:79" ht="15" customHeight="1" x14ac:dyDescent="0.3">
      <c r="BP558" s="15"/>
      <c r="BQ558" s="15"/>
      <c r="BR558" s="15"/>
      <c r="BS558" s="15"/>
      <c r="BT558" s="15"/>
      <c r="BU558" s="15"/>
      <c r="BV558" s="15"/>
      <c r="BW558" s="15"/>
      <c r="BX558" s="15"/>
      <c r="BY558" s="15"/>
      <c r="BZ558" s="15"/>
      <c r="CA558" s="15"/>
    </row>
    <row r="559" spans="68:79" ht="15" customHeight="1" x14ac:dyDescent="0.3">
      <c r="BP559" s="15"/>
      <c r="BQ559" s="15"/>
      <c r="BR559" s="15"/>
      <c r="BS559" s="15"/>
      <c r="BT559" s="15"/>
      <c r="BU559" s="15"/>
      <c r="BV559" s="15"/>
      <c r="BW559" s="15"/>
      <c r="BX559" s="15"/>
      <c r="BY559" s="15"/>
      <c r="BZ559" s="15"/>
      <c r="CA559" s="15"/>
    </row>
    <row r="560" spans="68:79" ht="15" customHeight="1" x14ac:dyDescent="0.3">
      <c r="BP560" s="15"/>
      <c r="BQ560" s="15"/>
      <c r="BR560" s="15"/>
      <c r="BS560" s="15"/>
      <c r="BT560" s="15"/>
      <c r="BU560" s="15"/>
      <c r="BV560" s="15"/>
      <c r="BW560" s="15"/>
      <c r="BX560" s="15"/>
      <c r="BY560" s="15"/>
      <c r="BZ560" s="15"/>
      <c r="CA560" s="15"/>
    </row>
    <row r="561" spans="68:79" ht="15" customHeight="1" x14ac:dyDescent="0.3">
      <c r="BP561" s="15"/>
      <c r="BQ561" s="15"/>
      <c r="BR561" s="15"/>
      <c r="BS561" s="15"/>
      <c r="BT561" s="15"/>
      <c r="BU561" s="15"/>
      <c r="BV561" s="15"/>
      <c r="BW561" s="15"/>
      <c r="BX561" s="15"/>
      <c r="BY561" s="15"/>
      <c r="BZ561" s="15"/>
      <c r="CA561" s="15"/>
    </row>
    <row r="562" spans="68:79" ht="15" customHeight="1" x14ac:dyDescent="0.3">
      <c r="BP562" s="15"/>
      <c r="BQ562" s="15"/>
      <c r="BR562" s="15"/>
      <c r="BS562" s="15"/>
      <c r="BT562" s="15"/>
      <c r="BU562" s="15"/>
      <c r="BV562" s="15"/>
      <c r="BW562" s="15"/>
      <c r="BX562" s="15"/>
      <c r="BY562" s="15"/>
      <c r="BZ562" s="15"/>
      <c r="CA562" s="15"/>
    </row>
    <row r="563" spans="68:79" ht="15" customHeight="1" x14ac:dyDescent="0.3">
      <c r="BP563" s="15"/>
      <c r="BQ563" s="15"/>
      <c r="BR563" s="15"/>
      <c r="BS563" s="15"/>
      <c r="BT563" s="15"/>
      <c r="BU563" s="15"/>
      <c r="BV563" s="15"/>
      <c r="BW563" s="15"/>
      <c r="BX563" s="15"/>
      <c r="BY563" s="15"/>
      <c r="BZ563" s="15"/>
      <c r="CA563" s="15"/>
    </row>
    <row r="564" spans="68:79" ht="15" customHeight="1" x14ac:dyDescent="0.3">
      <c r="BP564" s="15"/>
      <c r="BQ564" s="15"/>
      <c r="BR564" s="15"/>
      <c r="BS564" s="15"/>
      <c r="BT564" s="15"/>
      <c r="BU564" s="15"/>
      <c r="BV564" s="15"/>
      <c r="BW564" s="15"/>
      <c r="BX564" s="15"/>
      <c r="BY564" s="15"/>
      <c r="BZ564" s="15"/>
      <c r="CA564" s="15"/>
    </row>
    <row r="565" spans="68:79" ht="15" customHeight="1" x14ac:dyDescent="0.3"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</row>
    <row r="566" spans="68:79" ht="15" customHeight="1" x14ac:dyDescent="0.3">
      <c r="BP566" s="15"/>
      <c r="BQ566" s="15"/>
      <c r="BR566" s="15"/>
      <c r="BS566" s="15"/>
      <c r="BT566" s="15"/>
      <c r="BU566" s="15"/>
      <c r="BV566" s="15"/>
      <c r="BW566" s="15"/>
      <c r="BX566" s="15"/>
      <c r="BY566" s="15"/>
      <c r="BZ566" s="15"/>
      <c r="CA566" s="15"/>
    </row>
    <row r="567" spans="68:79" ht="15" customHeight="1" x14ac:dyDescent="0.3">
      <c r="BP567" s="15"/>
      <c r="BQ567" s="15"/>
      <c r="BR567" s="15"/>
      <c r="BS567" s="15"/>
      <c r="BT567" s="15"/>
      <c r="BU567" s="15"/>
      <c r="BV567" s="15"/>
      <c r="BW567" s="15"/>
      <c r="BX567" s="15"/>
      <c r="BY567" s="15"/>
      <c r="BZ567" s="15"/>
      <c r="CA567" s="15"/>
    </row>
    <row r="568" spans="68:79" ht="15" customHeight="1" x14ac:dyDescent="0.3">
      <c r="BP568" s="15"/>
      <c r="BQ568" s="15"/>
      <c r="BR568" s="15"/>
      <c r="BS568" s="15"/>
      <c r="BT568" s="15"/>
      <c r="BU568" s="15"/>
      <c r="BV568" s="15"/>
      <c r="BW568" s="15"/>
      <c r="BX568" s="15"/>
      <c r="BY568" s="15"/>
      <c r="BZ568" s="15"/>
      <c r="CA568" s="15"/>
    </row>
    <row r="569" spans="68:79" ht="15" customHeight="1" x14ac:dyDescent="0.3">
      <c r="BP569" s="15"/>
      <c r="BQ569" s="15"/>
      <c r="BR569" s="15"/>
      <c r="BS569" s="15"/>
      <c r="BT569" s="15"/>
      <c r="BU569" s="15"/>
      <c r="BV569" s="15"/>
      <c r="BW569" s="15"/>
      <c r="BX569" s="15"/>
      <c r="BY569" s="15"/>
      <c r="BZ569" s="15"/>
      <c r="CA569" s="15"/>
    </row>
    <row r="570" spans="68:79" ht="15" customHeight="1" x14ac:dyDescent="0.3">
      <c r="BP570" s="15"/>
      <c r="BQ570" s="15"/>
      <c r="BR570" s="15"/>
      <c r="BS570" s="15"/>
      <c r="BT570" s="15"/>
      <c r="BU570" s="15"/>
      <c r="BV570" s="15"/>
      <c r="BW570" s="15"/>
      <c r="BX570" s="15"/>
      <c r="BY570" s="15"/>
      <c r="BZ570" s="15"/>
      <c r="CA570" s="15"/>
    </row>
    <row r="571" spans="68:79" ht="15" customHeight="1" x14ac:dyDescent="0.3">
      <c r="BP571" s="15"/>
      <c r="BQ571" s="15"/>
      <c r="BR571" s="15"/>
      <c r="BS571" s="15"/>
      <c r="BT571" s="15"/>
      <c r="BU571" s="15"/>
      <c r="BV571" s="15"/>
      <c r="BW571" s="15"/>
      <c r="BX571" s="15"/>
      <c r="BY571" s="15"/>
      <c r="BZ571" s="15"/>
      <c r="CA571" s="15"/>
    </row>
    <row r="572" spans="68:79" ht="15" customHeight="1" x14ac:dyDescent="0.3">
      <c r="BP572" s="15"/>
      <c r="BQ572" s="15"/>
      <c r="BR572" s="15"/>
      <c r="BS572" s="15"/>
      <c r="BT572" s="15"/>
      <c r="BU572" s="15"/>
      <c r="BV572" s="15"/>
      <c r="BW572" s="15"/>
      <c r="BX572" s="15"/>
      <c r="BY572" s="15"/>
      <c r="BZ572" s="15"/>
      <c r="CA572" s="15"/>
    </row>
    <row r="573" spans="68:79" ht="15" customHeight="1" x14ac:dyDescent="0.3"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</row>
    <row r="574" spans="68:79" ht="15" customHeight="1" x14ac:dyDescent="0.3">
      <c r="BP574" s="15"/>
      <c r="BQ574" s="15"/>
      <c r="BR574" s="15"/>
      <c r="BS574" s="15"/>
      <c r="BT574" s="15"/>
      <c r="BU574" s="15"/>
      <c r="BV574" s="15"/>
      <c r="BW574" s="15"/>
      <c r="BX574" s="15"/>
      <c r="BY574" s="15"/>
      <c r="BZ574" s="15"/>
      <c r="CA574" s="15"/>
    </row>
    <row r="575" spans="68:79" ht="15" customHeight="1" x14ac:dyDescent="0.3"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</row>
    <row r="576" spans="68:79" ht="15" customHeight="1" x14ac:dyDescent="0.3"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</row>
    <row r="577" spans="68:79" ht="15" customHeight="1" x14ac:dyDescent="0.3">
      <c r="BP577" s="15"/>
      <c r="BQ577" s="15"/>
      <c r="BR577" s="15"/>
      <c r="BS577" s="15"/>
      <c r="BT577" s="15"/>
      <c r="BU577" s="15"/>
      <c r="BV577" s="15"/>
      <c r="BW577" s="15"/>
      <c r="BX577" s="15"/>
      <c r="BY577" s="15"/>
      <c r="BZ577" s="15"/>
      <c r="CA577" s="15"/>
    </row>
    <row r="578" spans="68:79" ht="15" customHeight="1" x14ac:dyDescent="0.3">
      <c r="BP578" s="15"/>
      <c r="BQ578" s="15"/>
      <c r="BR578" s="15"/>
      <c r="BS578" s="15"/>
      <c r="BT578" s="15"/>
      <c r="BU578" s="15"/>
      <c r="BV578" s="15"/>
      <c r="BW578" s="15"/>
      <c r="BX578" s="15"/>
      <c r="BY578" s="15"/>
      <c r="BZ578" s="15"/>
      <c r="CA578" s="15"/>
    </row>
    <row r="579" spans="68:79" ht="15" customHeight="1" x14ac:dyDescent="0.3">
      <c r="BP579" s="15"/>
      <c r="BQ579" s="15"/>
      <c r="BR579" s="15"/>
      <c r="BS579" s="15"/>
      <c r="BT579" s="15"/>
      <c r="BU579" s="15"/>
      <c r="BV579" s="15"/>
      <c r="BW579" s="15"/>
      <c r="BX579" s="15"/>
      <c r="BY579" s="15"/>
      <c r="BZ579" s="15"/>
      <c r="CA579" s="15"/>
    </row>
    <row r="580" spans="68:79" ht="15" customHeight="1" x14ac:dyDescent="0.3">
      <c r="BP580" s="15"/>
      <c r="BQ580" s="15"/>
      <c r="BR580" s="15"/>
      <c r="BS580" s="15"/>
      <c r="BT580" s="15"/>
      <c r="BU580" s="15"/>
      <c r="BV580" s="15"/>
      <c r="BW580" s="15"/>
      <c r="BX580" s="15"/>
      <c r="BY580" s="15"/>
      <c r="BZ580" s="15"/>
      <c r="CA580" s="15"/>
    </row>
    <row r="581" spans="68:79" ht="15" customHeight="1" x14ac:dyDescent="0.3">
      <c r="BP581" s="15"/>
      <c r="BQ581" s="15"/>
      <c r="BR581" s="15"/>
      <c r="BS581" s="15"/>
      <c r="BT581" s="15"/>
      <c r="BU581" s="15"/>
      <c r="BV581" s="15"/>
      <c r="BW581" s="15"/>
      <c r="BX581" s="15"/>
      <c r="BY581" s="15"/>
      <c r="BZ581" s="15"/>
      <c r="CA581" s="15"/>
    </row>
    <row r="582" spans="68:79" ht="15" customHeight="1" x14ac:dyDescent="0.3">
      <c r="BP582" s="15"/>
      <c r="BQ582" s="15"/>
      <c r="BR582" s="15"/>
      <c r="BS582" s="15"/>
      <c r="BT582" s="15"/>
      <c r="BU582" s="15"/>
      <c r="BV582" s="15"/>
      <c r="BW582" s="15"/>
      <c r="BX582" s="15"/>
      <c r="BY582" s="15"/>
      <c r="BZ582" s="15"/>
      <c r="CA582" s="15"/>
    </row>
    <row r="583" spans="68:79" ht="15" customHeight="1" x14ac:dyDescent="0.3">
      <c r="BP583" s="15"/>
      <c r="BQ583" s="15"/>
      <c r="BR583" s="15"/>
      <c r="BS583" s="15"/>
      <c r="BT583" s="15"/>
      <c r="BU583" s="15"/>
      <c r="BV583" s="15"/>
      <c r="BW583" s="15"/>
      <c r="BX583" s="15"/>
      <c r="BY583" s="15"/>
      <c r="BZ583" s="15"/>
      <c r="CA583" s="15"/>
    </row>
    <row r="584" spans="68:79" ht="15" customHeight="1" x14ac:dyDescent="0.3">
      <c r="BP584" s="15"/>
      <c r="BQ584" s="15"/>
      <c r="BR584" s="15"/>
      <c r="BS584" s="15"/>
      <c r="BT584" s="15"/>
      <c r="BU584" s="15"/>
      <c r="BV584" s="15"/>
      <c r="BW584" s="15"/>
      <c r="BX584" s="15"/>
      <c r="BY584" s="15"/>
      <c r="BZ584" s="15"/>
      <c r="CA584" s="15"/>
    </row>
    <row r="585" spans="68:79" ht="15" customHeight="1" x14ac:dyDescent="0.3">
      <c r="BP585" s="15"/>
      <c r="BQ585" s="15"/>
      <c r="BR585" s="15"/>
      <c r="BS585" s="15"/>
      <c r="BT585" s="15"/>
      <c r="BU585" s="15"/>
      <c r="BV585" s="15"/>
      <c r="BW585" s="15"/>
      <c r="BX585" s="15"/>
      <c r="BY585" s="15"/>
      <c r="BZ585" s="15"/>
      <c r="CA585" s="15"/>
    </row>
    <row r="586" spans="68:79" ht="15" customHeight="1" x14ac:dyDescent="0.3">
      <c r="BP586" s="15"/>
      <c r="BQ586" s="15"/>
      <c r="BR586" s="15"/>
      <c r="BS586" s="15"/>
      <c r="BT586" s="15"/>
      <c r="BU586" s="15"/>
      <c r="BV586" s="15"/>
      <c r="BW586" s="15"/>
      <c r="BX586" s="15"/>
      <c r="BY586" s="15"/>
      <c r="BZ586" s="15"/>
      <c r="CA586" s="15"/>
    </row>
    <row r="587" spans="68:79" ht="15" customHeight="1" x14ac:dyDescent="0.3">
      <c r="BP587" s="15"/>
      <c r="BQ587" s="15"/>
      <c r="BR587" s="15"/>
      <c r="BS587" s="15"/>
      <c r="BT587" s="15"/>
      <c r="BU587" s="15"/>
      <c r="BV587" s="15"/>
      <c r="BW587" s="15"/>
      <c r="BX587" s="15"/>
      <c r="BY587" s="15"/>
      <c r="BZ587" s="15"/>
      <c r="CA587" s="15"/>
    </row>
    <row r="588" spans="68:79" ht="15" customHeight="1" x14ac:dyDescent="0.3">
      <c r="BP588" s="15"/>
      <c r="BQ588" s="15"/>
      <c r="BR588" s="15"/>
      <c r="BS588" s="15"/>
      <c r="BT588" s="15"/>
      <c r="BU588" s="15"/>
      <c r="BV588" s="15"/>
      <c r="BW588" s="15"/>
      <c r="BX588" s="15"/>
      <c r="BY588" s="15"/>
      <c r="BZ588" s="15"/>
      <c r="CA588" s="15"/>
    </row>
    <row r="589" spans="68:79" ht="15" customHeight="1" x14ac:dyDescent="0.3">
      <c r="BP589" s="15"/>
      <c r="BQ589" s="15"/>
      <c r="BR589" s="15"/>
      <c r="BS589" s="15"/>
      <c r="BT589" s="15"/>
      <c r="BU589" s="15"/>
      <c r="BV589" s="15"/>
      <c r="BW589" s="15"/>
      <c r="BX589" s="15"/>
      <c r="BY589" s="15"/>
      <c r="BZ589" s="15"/>
      <c r="CA589" s="15"/>
    </row>
    <row r="590" spans="68:79" ht="15" customHeight="1" x14ac:dyDescent="0.3">
      <c r="BP590" s="15"/>
      <c r="BQ590" s="15"/>
      <c r="BR590" s="15"/>
      <c r="BS590" s="15"/>
      <c r="BT590" s="15"/>
      <c r="BU590" s="15"/>
      <c r="BV590" s="15"/>
      <c r="BW590" s="15"/>
      <c r="BX590" s="15"/>
      <c r="BY590" s="15"/>
      <c r="BZ590" s="15"/>
      <c r="CA590" s="15"/>
    </row>
    <row r="591" spans="68:79" ht="15" customHeight="1" x14ac:dyDescent="0.3">
      <c r="BP591" s="15"/>
      <c r="BQ591" s="15"/>
      <c r="BR591" s="15"/>
      <c r="BS591" s="15"/>
      <c r="BT591" s="15"/>
      <c r="BU591" s="15"/>
      <c r="BV591" s="15"/>
      <c r="BW591" s="15"/>
      <c r="BX591" s="15"/>
      <c r="BY591" s="15"/>
      <c r="BZ591" s="15"/>
      <c r="CA591" s="15"/>
    </row>
    <row r="592" spans="68:79" ht="15" customHeight="1" x14ac:dyDescent="0.3">
      <c r="BP592" s="15"/>
      <c r="BQ592" s="15"/>
      <c r="BR592" s="15"/>
      <c r="BS592" s="15"/>
      <c r="BT592" s="15"/>
      <c r="BU592" s="15"/>
      <c r="BV592" s="15"/>
      <c r="BW592" s="15"/>
      <c r="BX592" s="15"/>
      <c r="BY592" s="15"/>
      <c r="BZ592" s="15"/>
      <c r="CA592" s="15"/>
    </row>
    <row r="593" spans="68:79" ht="15" customHeight="1" x14ac:dyDescent="0.3">
      <c r="BP593" s="15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</row>
    <row r="594" spans="68:79" ht="15" customHeight="1" x14ac:dyDescent="0.3">
      <c r="BP594" s="15"/>
      <c r="BQ594" s="15"/>
      <c r="BR594" s="15"/>
      <c r="BS594" s="15"/>
      <c r="BT594" s="15"/>
      <c r="BU594" s="15"/>
      <c r="BV594" s="15"/>
      <c r="BW594" s="15"/>
      <c r="BX594" s="15"/>
      <c r="BY594" s="15"/>
      <c r="BZ594" s="15"/>
      <c r="CA594" s="15"/>
    </row>
    <row r="595" spans="68:79" ht="15" customHeight="1" x14ac:dyDescent="0.3">
      <c r="BP595" s="15"/>
      <c r="BQ595" s="15"/>
      <c r="BR595" s="15"/>
      <c r="BS595" s="15"/>
      <c r="BT595" s="15"/>
      <c r="BU595" s="15"/>
      <c r="BV595" s="15"/>
      <c r="BW595" s="15"/>
      <c r="BX595" s="15"/>
      <c r="BY595" s="15"/>
      <c r="BZ595" s="15"/>
      <c r="CA595" s="15"/>
    </row>
    <row r="596" spans="68:79" ht="15" customHeight="1" x14ac:dyDescent="0.3">
      <c r="BP596" s="15"/>
      <c r="BQ596" s="15"/>
      <c r="BR596" s="15"/>
      <c r="BS596" s="15"/>
      <c r="BT596" s="15"/>
      <c r="BU596" s="15"/>
      <c r="BV596" s="15"/>
      <c r="BW596" s="15"/>
      <c r="BX596" s="15"/>
      <c r="BY596" s="15"/>
      <c r="BZ596" s="15"/>
      <c r="CA596" s="15"/>
    </row>
    <row r="597" spans="68:79" ht="15" customHeight="1" x14ac:dyDescent="0.3">
      <c r="BP597" s="15"/>
      <c r="BQ597" s="15"/>
      <c r="BR597" s="15"/>
      <c r="BS597" s="15"/>
      <c r="BT597" s="15"/>
      <c r="BU597" s="15"/>
      <c r="BV597" s="15"/>
      <c r="BW597" s="15"/>
      <c r="BX597" s="15"/>
      <c r="BY597" s="15"/>
      <c r="BZ597" s="15"/>
      <c r="CA597" s="15"/>
    </row>
    <row r="598" spans="68:79" ht="15" customHeight="1" x14ac:dyDescent="0.3">
      <c r="BP598" s="15"/>
      <c r="BQ598" s="15"/>
      <c r="BR598" s="15"/>
      <c r="BS598" s="15"/>
      <c r="BT598" s="15"/>
      <c r="BU598" s="15"/>
      <c r="BV598" s="15"/>
      <c r="BW598" s="15"/>
      <c r="BX598" s="15"/>
      <c r="BY598" s="15"/>
      <c r="BZ598" s="15"/>
      <c r="CA598" s="15"/>
    </row>
    <row r="599" spans="68:79" ht="15" customHeight="1" x14ac:dyDescent="0.3">
      <c r="BP599" s="15"/>
      <c r="BQ599" s="15"/>
      <c r="BR599" s="15"/>
      <c r="BS599" s="15"/>
      <c r="BT599" s="15"/>
      <c r="BU599" s="15"/>
      <c r="BV599" s="15"/>
      <c r="BW599" s="15"/>
      <c r="BX599" s="15"/>
      <c r="BY599" s="15"/>
      <c r="BZ599" s="15"/>
      <c r="CA599" s="15"/>
    </row>
    <row r="600" spans="68:79" ht="15" customHeight="1" x14ac:dyDescent="0.3">
      <c r="BP600" s="15"/>
      <c r="BQ600" s="15"/>
      <c r="BR600" s="15"/>
      <c r="BS600" s="15"/>
      <c r="BT600" s="15"/>
      <c r="BU600" s="15"/>
      <c r="BV600" s="15"/>
      <c r="BW600" s="15"/>
      <c r="BX600" s="15"/>
      <c r="BY600" s="15"/>
      <c r="BZ600" s="15"/>
      <c r="CA600" s="15"/>
    </row>
    <row r="601" spans="68:79" ht="15" customHeight="1" x14ac:dyDescent="0.3">
      <c r="BP601" s="15"/>
      <c r="BQ601" s="15"/>
      <c r="BR601" s="15"/>
      <c r="BS601" s="15"/>
      <c r="BT601" s="15"/>
      <c r="BU601" s="15"/>
      <c r="BV601" s="15"/>
      <c r="BW601" s="15"/>
      <c r="BX601" s="15"/>
      <c r="BY601" s="15"/>
      <c r="BZ601" s="15"/>
      <c r="CA601" s="15"/>
    </row>
    <row r="602" spans="68:79" ht="15" customHeight="1" x14ac:dyDescent="0.3">
      <c r="BP602" s="15"/>
      <c r="BQ602" s="15"/>
      <c r="BR602" s="15"/>
      <c r="BS602" s="15"/>
      <c r="BT602" s="15"/>
      <c r="BU602" s="15"/>
      <c r="BV602" s="15"/>
      <c r="BW602" s="15"/>
      <c r="BX602" s="15"/>
      <c r="BY602" s="15"/>
      <c r="BZ602" s="15"/>
      <c r="CA602" s="15"/>
    </row>
    <row r="603" spans="68:79" ht="15" customHeight="1" x14ac:dyDescent="0.3"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5"/>
      <c r="CA603" s="15"/>
    </row>
    <row r="604" spans="68:79" ht="15" customHeight="1" x14ac:dyDescent="0.3">
      <c r="BP604" s="15"/>
      <c r="BQ604" s="15"/>
      <c r="BR604" s="15"/>
      <c r="BS604" s="15"/>
      <c r="BT604" s="15"/>
      <c r="BU604" s="15"/>
      <c r="BV604" s="15"/>
      <c r="BW604" s="15"/>
      <c r="BX604" s="15"/>
      <c r="BY604" s="15"/>
      <c r="BZ604" s="15"/>
      <c r="CA604" s="15"/>
    </row>
    <row r="605" spans="68:79" ht="15" customHeight="1" x14ac:dyDescent="0.3">
      <c r="BP605" s="15"/>
      <c r="BQ605" s="15"/>
      <c r="BR605" s="15"/>
      <c r="BS605" s="15"/>
      <c r="BT605" s="15"/>
      <c r="BU605" s="15"/>
      <c r="BV605" s="15"/>
      <c r="BW605" s="15"/>
      <c r="BX605" s="15"/>
      <c r="BY605" s="15"/>
      <c r="BZ605" s="15"/>
      <c r="CA605" s="15"/>
    </row>
    <row r="606" spans="68:79" ht="15" customHeight="1" x14ac:dyDescent="0.3">
      <c r="BP606" s="15"/>
      <c r="BQ606" s="15"/>
      <c r="BR606" s="15"/>
      <c r="BS606" s="15"/>
      <c r="BT606" s="15"/>
      <c r="BU606" s="15"/>
      <c r="BV606" s="15"/>
      <c r="BW606" s="15"/>
      <c r="BX606" s="15"/>
      <c r="BY606" s="15"/>
      <c r="BZ606" s="15"/>
      <c r="CA606" s="15"/>
    </row>
    <row r="607" spans="68:79" ht="15" customHeight="1" x14ac:dyDescent="0.3">
      <c r="BP607" s="15"/>
      <c r="BQ607" s="15"/>
      <c r="BR607" s="15"/>
      <c r="BS607" s="15"/>
      <c r="BT607" s="15"/>
      <c r="BU607" s="15"/>
      <c r="BV607" s="15"/>
      <c r="BW607" s="15"/>
      <c r="BX607" s="15"/>
      <c r="BY607" s="15"/>
      <c r="BZ607" s="15"/>
      <c r="CA607" s="15"/>
    </row>
    <row r="608" spans="68:79" ht="15" customHeight="1" x14ac:dyDescent="0.3">
      <c r="BP608" s="15"/>
      <c r="BQ608" s="15"/>
      <c r="BR608" s="15"/>
      <c r="BS608" s="15"/>
      <c r="BT608" s="15"/>
      <c r="BU608" s="15"/>
      <c r="BV608" s="15"/>
      <c r="BW608" s="15"/>
      <c r="BX608" s="15"/>
      <c r="BY608" s="15"/>
      <c r="BZ608" s="15"/>
      <c r="CA608" s="15"/>
    </row>
    <row r="609" spans="68:79" ht="15" customHeight="1" x14ac:dyDescent="0.3">
      <c r="BP609" s="15"/>
      <c r="BQ609" s="15"/>
      <c r="BR609" s="15"/>
      <c r="BS609" s="15"/>
      <c r="BT609" s="15"/>
      <c r="BU609" s="15"/>
      <c r="BV609" s="15"/>
      <c r="BW609" s="15"/>
      <c r="BX609" s="15"/>
      <c r="BY609" s="15"/>
      <c r="BZ609" s="15"/>
      <c r="CA609" s="15"/>
    </row>
    <row r="610" spans="68:79" ht="15" customHeight="1" x14ac:dyDescent="0.3">
      <c r="BP610" s="15"/>
      <c r="BQ610" s="15"/>
      <c r="BR610" s="15"/>
      <c r="BS610" s="15"/>
      <c r="BT610" s="15"/>
      <c r="BU610" s="15"/>
      <c r="BV610" s="15"/>
      <c r="BW610" s="15"/>
      <c r="BX610" s="15"/>
      <c r="BY610" s="15"/>
      <c r="BZ610" s="15"/>
      <c r="CA610" s="15"/>
    </row>
    <row r="611" spans="68:79" ht="15" customHeight="1" x14ac:dyDescent="0.3">
      <c r="BP611" s="15"/>
      <c r="BQ611" s="15"/>
      <c r="BR611" s="15"/>
      <c r="BS611" s="15"/>
      <c r="BT611" s="15"/>
      <c r="BU611" s="15"/>
      <c r="BV611" s="15"/>
      <c r="BW611" s="15"/>
      <c r="BX611" s="15"/>
      <c r="BY611" s="15"/>
      <c r="BZ611" s="15"/>
      <c r="CA611" s="15"/>
    </row>
    <row r="612" spans="68:79" ht="15" customHeight="1" x14ac:dyDescent="0.3">
      <c r="BP612" s="15"/>
      <c r="BQ612" s="15"/>
      <c r="BR612" s="15"/>
      <c r="BS612" s="15"/>
      <c r="BT612" s="15"/>
      <c r="BU612" s="15"/>
      <c r="BV612" s="15"/>
      <c r="BW612" s="15"/>
      <c r="BX612" s="15"/>
      <c r="BY612" s="15"/>
      <c r="BZ612" s="15"/>
      <c r="CA612" s="15"/>
    </row>
    <row r="613" spans="68:79" ht="15" customHeight="1" x14ac:dyDescent="0.3">
      <c r="BP613" s="15"/>
      <c r="BQ613" s="15"/>
      <c r="BR613" s="15"/>
      <c r="BS613" s="15"/>
      <c r="BT613" s="15"/>
      <c r="BU613" s="15"/>
      <c r="BV613" s="15"/>
      <c r="BW613" s="15"/>
      <c r="BX613" s="15"/>
      <c r="BY613" s="15"/>
      <c r="BZ613" s="15"/>
      <c r="CA613" s="15"/>
    </row>
    <row r="614" spans="68:79" ht="15" customHeight="1" x14ac:dyDescent="0.3">
      <c r="BP614" s="15"/>
      <c r="BQ614" s="15"/>
      <c r="BR614" s="15"/>
      <c r="BS614" s="15"/>
      <c r="BT614" s="15"/>
      <c r="BU614" s="15"/>
      <c r="BV614" s="15"/>
      <c r="BW614" s="15"/>
      <c r="BX614" s="15"/>
      <c r="BY614" s="15"/>
      <c r="BZ614" s="15"/>
      <c r="CA614" s="15"/>
    </row>
    <row r="615" spans="68:79" ht="15" customHeight="1" x14ac:dyDescent="0.3">
      <c r="BP615" s="15"/>
      <c r="BQ615" s="15"/>
      <c r="BR615" s="15"/>
      <c r="BS615" s="15"/>
      <c r="BT615" s="15"/>
      <c r="BU615" s="15"/>
      <c r="BV615" s="15"/>
      <c r="BW615" s="15"/>
      <c r="BX615" s="15"/>
      <c r="BY615" s="15"/>
      <c r="BZ615" s="15"/>
      <c r="CA615" s="15"/>
    </row>
    <row r="616" spans="68:79" ht="15" customHeight="1" x14ac:dyDescent="0.3">
      <c r="BP616" s="15"/>
      <c r="BQ616" s="15"/>
      <c r="BR616" s="15"/>
      <c r="BS616" s="15"/>
      <c r="BT616" s="15"/>
      <c r="BU616" s="15"/>
      <c r="BV616" s="15"/>
      <c r="BW616" s="15"/>
      <c r="BX616" s="15"/>
      <c r="BY616" s="15"/>
      <c r="BZ616" s="15"/>
      <c r="CA616" s="15"/>
    </row>
    <row r="617" spans="68:79" ht="15" customHeight="1" x14ac:dyDescent="0.3">
      <c r="BP617" s="15"/>
      <c r="BQ617" s="15"/>
      <c r="BR617" s="15"/>
      <c r="BS617" s="15"/>
      <c r="BT617" s="15"/>
      <c r="BU617" s="15"/>
      <c r="BV617" s="15"/>
      <c r="BW617" s="15"/>
      <c r="BX617" s="15"/>
      <c r="BY617" s="15"/>
      <c r="BZ617" s="15"/>
      <c r="CA617" s="15"/>
    </row>
    <row r="618" spans="68:79" ht="15" customHeight="1" x14ac:dyDescent="0.3">
      <c r="BP618" s="15"/>
      <c r="BQ618" s="15"/>
      <c r="BR618" s="15"/>
      <c r="BS618" s="15"/>
      <c r="BT618" s="15"/>
      <c r="BU618" s="15"/>
      <c r="BV618" s="15"/>
      <c r="BW618" s="15"/>
      <c r="BX618" s="15"/>
      <c r="BY618" s="15"/>
      <c r="BZ618" s="15"/>
      <c r="CA618" s="15"/>
    </row>
    <row r="619" spans="68:79" ht="15" customHeight="1" x14ac:dyDescent="0.3">
      <c r="BP619" s="15"/>
      <c r="BQ619" s="15"/>
      <c r="BR619" s="15"/>
      <c r="BS619" s="15"/>
      <c r="BT619" s="15"/>
      <c r="BU619" s="15"/>
      <c r="BV619" s="15"/>
      <c r="BW619" s="15"/>
      <c r="BX619" s="15"/>
      <c r="BY619" s="15"/>
      <c r="BZ619" s="15"/>
      <c r="CA619" s="15"/>
    </row>
    <row r="620" spans="68:79" ht="15" customHeight="1" x14ac:dyDescent="0.3">
      <c r="BP620" s="15"/>
      <c r="BQ620" s="15"/>
      <c r="BR620" s="15"/>
      <c r="BS620" s="15"/>
      <c r="BT620" s="15"/>
      <c r="BU620" s="15"/>
      <c r="BV620" s="15"/>
      <c r="BW620" s="15"/>
      <c r="BX620" s="15"/>
      <c r="BY620" s="15"/>
      <c r="BZ620" s="15"/>
      <c r="CA620" s="15"/>
    </row>
    <row r="621" spans="68:79" ht="15" customHeight="1" x14ac:dyDescent="0.3">
      <c r="BP621" s="15"/>
      <c r="BQ621" s="15"/>
      <c r="BR621" s="15"/>
      <c r="BS621" s="15"/>
      <c r="BT621" s="15"/>
      <c r="BU621" s="15"/>
      <c r="BV621" s="15"/>
      <c r="BW621" s="15"/>
      <c r="BX621" s="15"/>
      <c r="BY621" s="15"/>
      <c r="BZ621" s="15"/>
      <c r="CA621" s="15"/>
    </row>
    <row r="622" spans="68:79" ht="15" customHeight="1" x14ac:dyDescent="0.3">
      <c r="BP622" s="15"/>
      <c r="BQ622" s="15"/>
      <c r="BR622" s="15"/>
      <c r="BS622" s="15"/>
      <c r="BT622" s="15"/>
      <c r="BU622" s="15"/>
      <c r="BV622" s="15"/>
      <c r="BW622" s="15"/>
      <c r="BX622" s="15"/>
      <c r="BY622" s="15"/>
      <c r="BZ622" s="15"/>
      <c r="CA622" s="15"/>
    </row>
    <row r="623" spans="68:79" ht="15" customHeight="1" x14ac:dyDescent="0.3">
      <c r="BP623" s="15"/>
      <c r="BQ623" s="15"/>
      <c r="BR623" s="15"/>
      <c r="BS623" s="15"/>
      <c r="BT623" s="15"/>
      <c r="BU623" s="15"/>
      <c r="BV623" s="15"/>
      <c r="BW623" s="15"/>
      <c r="BX623" s="15"/>
      <c r="BY623" s="15"/>
      <c r="BZ623" s="15"/>
      <c r="CA623" s="15"/>
    </row>
    <row r="624" spans="68:79" ht="15" customHeight="1" x14ac:dyDescent="0.3">
      <c r="BP624" s="15"/>
      <c r="BQ624" s="15"/>
      <c r="BR624" s="15"/>
      <c r="BS624" s="15"/>
      <c r="BT624" s="15"/>
      <c r="BU624" s="15"/>
      <c r="BV624" s="15"/>
      <c r="BW624" s="15"/>
      <c r="BX624" s="15"/>
      <c r="BY624" s="15"/>
      <c r="BZ624" s="15"/>
      <c r="CA624" s="15"/>
    </row>
    <row r="625" spans="68:79" ht="15" customHeight="1" x14ac:dyDescent="0.3">
      <c r="BP625" s="15"/>
      <c r="BQ625" s="15"/>
      <c r="BR625" s="15"/>
      <c r="BS625" s="15"/>
      <c r="BT625" s="15"/>
      <c r="BU625" s="15"/>
      <c r="BV625" s="15"/>
      <c r="BW625" s="15"/>
      <c r="BX625" s="15"/>
      <c r="BY625" s="15"/>
      <c r="BZ625" s="15"/>
      <c r="CA625" s="15"/>
    </row>
    <row r="626" spans="68:79" ht="15" customHeight="1" x14ac:dyDescent="0.3">
      <c r="BP626" s="15"/>
      <c r="BQ626" s="15"/>
      <c r="BR626" s="15"/>
      <c r="BS626" s="15"/>
      <c r="BT626" s="15"/>
      <c r="BU626" s="15"/>
      <c r="BV626" s="15"/>
      <c r="BW626" s="15"/>
      <c r="BX626" s="15"/>
      <c r="BY626" s="15"/>
      <c r="BZ626" s="15"/>
      <c r="CA626" s="15"/>
    </row>
    <row r="627" spans="68:79" ht="15" customHeight="1" x14ac:dyDescent="0.3">
      <c r="BP627" s="15"/>
      <c r="BQ627" s="15"/>
      <c r="BR627" s="15"/>
      <c r="BS627" s="15"/>
      <c r="BT627" s="15"/>
      <c r="BU627" s="15"/>
      <c r="BV627" s="15"/>
      <c r="BW627" s="15"/>
      <c r="BX627" s="15"/>
      <c r="BY627" s="15"/>
      <c r="BZ627" s="15"/>
      <c r="CA627" s="15"/>
    </row>
    <row r="628" spans="68:79" ht="15" customHeight="1" x14ac:dyDescent="0.3">
      <c r="BP628" s="15"/>
      <c r="BQ628" s="15"/>
      <c r="BR628" s="15"/>
      <c r="BS628" s="15"/>
      <c r="BT628" s="15"/>
      <c r="BU628" s="15"/>
      <c r="BV628" s="15"/>
      <c r="BW628" s="15"/>
      <c r="BX628" s="15"/>
      <c r="BY628" s="15"/>
      <c r="BZ628" s="15"/>
      <c r="CA628" s="15"/>
    </row>
    <row r="629" spans="68:79" ht="15" customHeight="1" x14ac:dyDescent="0.3">
      <c r="BP629" s="15"/>
      <c r="BQ629" s="15"/>
      <c r="BR629" s="15"/>
      <c r="BS629" s="15"/>
      <c r="BT629" s="15"/>
      <c r="BU629" s="15"/>
      <c r="BV629" s="15"/>
      <c r="BW629" s="15"/>
      <c r="BX629" s="15"/>
      <c r="BY629" s="15"/>
      <c r="BZ629" s="15"/>
      <c r="CA629" s="15"/>
    </row>
    <row r="630" spans="68:79" ht="15" customHeight="1" x14ac:dyDescent="0.3">
      <c r="BP630" s="15"/>
      <c r="BQ630" s="15"/>
      <c r="BR630" s="15"/>
      <c r="BS630" s="15"/>
      <c r="BT630" s="15"/>
      <c r="BU630" s="15"/>
      <c r="BV630" s="15"/>
      <c r="BW630" s="15"/>
      <c r="BX630" s="15"/>
      <c r="BY630" s="15"/>
      <c r="BZ630" s="15"/>
      <c r="CA630" s="15"/>
    </row>
    <row r="631" spans="68:79" ht="15" customHeight="1" x14ac:dyDescent="0.3">
      <c r="BP631" s="15"/>
      <c r="BQ631" s="15"/>
      <c r="BR631" s="15"/>
      <c r="BS631" s="15"/>
      <c r="BT631" s="15"/>
      <c r="BU631" s="15"/>
      <c r="BV631" s="15"/>
      <c r="BW631" s="15"/>
      <c r="BX631" s="15"/>
      <c r="BY631" s="15"/>
      <c r="BZ631" s="15"/>
      <c r="CA631" s="15"/>
    </row>
    <row r="632" spans="68:79" ht="15" customHeight="1" x14ac:dyDescent="0.3">
      <c r="BP632" s="15"/>
      <c r="BQ632" s="15"/>
      <c r="BR632" s="15"/>
      <c r="BS632" s="15"/>
      <c r="BT632" s="15"/>
      <c r="BU632" s="15"/>
      <c r="BV632" s="15"/>
      <c r="BW632" s="15"/>
      <c r="BX632" s="15"/>
      <c r="BY632" s="15"/>
      <c r="BZ632" s="15"/>
      <c r="CA632" s="15"/>
    </row>
    <row r="633" spans="68:79" ht="15" customHeight="1" x14ac:dyDescent="0.3">
      <c r="BP633" s="15"/>
      <c r="BQ633" s="15"/>
      <c r="BR633" s="15"/>
      <c r="BS633" s="15"/>
      <c r="BT633" s="15"/>
      <c r="BU633" s="15"/>
      <c r="BV633" s="15"/>
      <c r="BW633" s="15"/>
      <c r="BX633" s="15"/>
      <c r="BY633" s="15"/>
      <c r="BZ633" s="15"/>
      <c r="CA633" s="15"/>
    </row>
    <row r="634" spans="68:79" ht="15" customHeight="1" x14ac:dyDescent="0.3">
      <c r="BP634" s="15"/>
      <c r="BQ634" s="15"/>
      <c r="BR634" s="15"/>
      <c r="BS634" s="15"/>
      <c r="BT634" s="15"/>
      <c r="BU634" s="15"/>
      <c r="BV634" s="15"/>
      <c r="BW634" s="15"/>
      <c r="BX634" s="15"/>
      <c r="BY634" s="15"/>
      <c r="BZ634" s="15"/>
      <c r="CA634" s="15"/>
    </row>
    <row r="635" spans="68:79" ht="15" customHeight="1" x14ac:dyDescent="0.3">
      <c r="BP635" s="15"/>
      <c r="BQ635" s="15"/>
      <c r="BR635" s="15"/>
      <c r="BS635" s="15"/>
      <c r="BT635" s="15"/>
      <c r="BU635" s="15"/>
      <c r="BV635" s="15"/>
      <c r="BW635" s="15"/>
      <c r="BX635" s="15"/>
      <c r="BY635" s="15"/>
      <c r="BZ635" s="15"/>
      <c r="CA635" s="15"/>
    </row>
    <row r="636" spans="68:79" ht="15" customHeight="1" x14ac:dyDescent="0.3">
      <c r="BP636" s="15"/>
      <c r="BQ636" s="15"/>
      <c r="BR636" s="15"/>
      <c r="BS636" s="15"/>
      <c r="BT636" s="15"/>
      <c r="BU636" s="15"/>
      <c r="BV636" s="15"/>
      <c r="BW636" s="15"/>
      <c r="BX636" s="15"/>
      <c r="BY636" s="15"/>
      <c r="BZ636" s="15"/>
      <c r="CA636" s="15"/>
    </row>
    <row r="637" spans="68:79" ht="15" customHeight="1" x14ac:dyDescent="0.3">
      <c r="BP637" s="15"/>
      <c r="BQ637" s="15"/>
      <c r="BR637" s="15"/>
      <c r="BS637" s="15"/>
      <c r="BT637" s="15"/>
      <c r="BU637" s="15"/>
      <c r="BV637" s="15"/>
      <c r="BW637" s="15"/>
      <c r="BX637" s="15"/>
      <c r="BY637" s="15"/>
      <c r="BZ637" s="15"/>
      <c r="CA637" s="15"/>
    </row>
    <row r="638" spans="68:79" ht="15" customHeight="1" x14ac:dyDescent="0.3">
      <c r="BP638" s="15"/>
      <c r="BQ638" s="15"/>
      <c r="BR638" s="15"/>
      <c r="BS638" s="15"/>
      <c r="BT638" s="15"/>
      <c r="BU638" s="15"/>
      <c r="BV638" s="15"/>
      <c r="BW638" s="15"/>
      <c r="BX638" s="15"/>
      <c r="BY638" s="15"/>
      <c r="BZ638" s="15"/>
      <c r="CA638" s="15"/>
    </row>
    <row r="639" spans="68:79" ht="15" customHeight="1" x14ac:dyDescent="0.3"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</row>
    <row r="640" spans="68:79" ht="15" customHeight="1" x14ac:dyDescent="0.3">
      <c r="BP640" s="15"/>
      <c r="BQ640" s="15"/>
      <c r="BR640" s="15"/>
      <c r="BS640" s="15"/>
      <c r="BT640" s="15"/>
      <c r="BU640" s="15"/>
      <c r="BV640" s="15"/>
      <c r="BW640" s="15"/>
      <c r="BX640" s="15"/>
      <c r="BY640" s="15"/>
      <c r="BZ640" s="15"/>
      <c r="CA640" s="15"/>
    </row>
    <row r="641" spans="68:79" ht="15" customHeight="1" x14ac:dyDescent="0.3">
      <c r="BP641" s="15"/>
      <c r="BQ641" s="15"/>
      <c r="BR641" s="15"/>
      <c r="BS641" s="15"/>
      <c r="BT641" s="15"/>
      <c r="BU641" s="15"/>
      <c r="BV641" s="15"/>
      <c r="BW641" s="15"/>
      <c r="BX641" s="15"/>
      <c r="BY641" s="15"/>
      <c r="BZ641" s="15"/>
      <c r="CA641" s="15"/>
    </row>
    <row r="642" spans="68:79" ht="15" customHeight="1" x14ac:dyDescent="0.3">
      <c r="BP642" s="15"/>
      <c r="BQ642" s="15"/>
      <c r="BR642" s="15"/>
      <c r="BS642" s="15"/>
      <c r="BT642" s="15"/>
      <c r="BU642" s="15"/>
      <c r="BV642" s="15"/>
      <c r="BW642" s="15"/>
      <c r="BX642" s="15"/>
      <c r="BY642" s="15"/>
      <c r="BZ642" s="15"/>
      <c r="CA642" s="15"/>
    </row>
    <row r="643" spans="68:79" ht="15" customHeight="1" x14ac:dyDescent="0.3">
      <c r="BP643" s="15"/>
      <c r="BQ643" s="15"/>
      <c r="BR643" s="15"/>
      <c r="BS643" s="15"/>
      <c r="BT643" s="15"/>
      <c r="BU643" s="15"/>
      <c r="BV643" s="15"/>
      <c r="BW643" s="15"/>
      <c r="BX643" s="15"/>
      <c r="BY643" s="15"/>
      <c r="BZ643" s="15"/>
      <c r="CA643" s="15"/>
    </row>
    <row r="644" spans="68:79" ht="15" customHeight="1" x14ac:dyDescent="0.3">
      <c r="BP644" s="15"/>
      <c r="BQ644" s="15"/>
      <c r="BR644" s="15"/>
      <c r="BS644" s="15"/>
      <c r="BT644" s="15"/>
      <c r="BU644" s="15"/>
      <c r="BV644" s="15"/>
      <c r="BW644" s="15"/>
      <c r="BX644" s="15"/>
      <c r="BY644" s="15"/>
      <c r="BZ644" s="15"/>
      <c r="CA644" s="15"/>
    </row>
    <row r="645" spans="68:79" ht="15" customHeight="1" x14ac:dyDescent="0.3">
      <c r="BP645" s="15"/>
      <c r="BQ645" s="15"/>
      <c r="BR645" s="15"/>
      <c r="BS645" s="15"/>
      <c r="BT645" s="15"/>
      <c r="BU645" s="15"/>
      <c r="BV645" s="15"/>
      <c r="BW645" s="15"/>
      <c r="BX645" s="15"/>
      <c r="BY645" s="15"/>
      <c r="BZ645" s="15"/>
      <c r="CA645" s="15"/>
    </row>
    <row r="646" spans="68:79" ht="15" customHeight="1" x14ac:dyDescent="0.3">
      <c r="BP646" s="15"/>
      <c r="BQ646" s="15"/>
      <c r="BR646" s="15"/>
      <c r="BS646" s="15"/>
      <c r="BT646" s="15"/>
      <c r="BU646" s="15"/>
      <c r="BV646" s="15"/>
      <c r="BW646" s="15"/>
      <c r="BX646" s="15"/>
      <c r="BY646" s="15"/>
      <c r="BZ646" s="15"/>
      <c r="CA646" s="15"/>
    </row>
    <row r="647" spans="68:79" ht="15" customHeight="1" x14ac:dyDescent="0.3">
      <c r="BP647" s="15"/>
      <c r="BQ647" s="15"/>
      <c r="BR647" s="15"/>
      <c r="BS647" s="15"/>
      <c r="BT647" s="15"/>
      <c r="BU647" s="15"/>
      <c r="BV647" s="15"/>
      <c r="BW647" s="15"/>
      <c r="BX647" s="15"/>
      <c r="BY647" s="15"/>
      <c r="BZ647" s="15"/>
      <c r="CA647" s="15"/>
    </row>
    <row r="648" spans="68:79" ht="15" customHeight="1" x14ac:dyDescent="0.3">
      <c r="BP648" s="15"/>
      <c r="BQ648" s="15"/>
      <c r="BR648" s="15"/>
      <c r="BS648" s="15"/>
      <c r="BT648" s="15"/>
      <c r="BU648" s="15"/>
      <c r="BV648" s="15"/>
      <c r="BW648" s="15"/>
      <c r="BX648" s="15"/>
      <c r="BY648" s="15"/>
      <c r="BZ648" s="15"/>
      <c r="CA648" s="15"/>
    </row>
    <row r="649" spans="68:79" ht="15" customHeight="1" x14ac:dyDescent="0.3">
      <c r="BP649" s="15"/>
      <c r="BQ649" s="15"/>
      <c r="BR649" s="15"/>
      <c r="BS649" s="15"/>
      <c r="BT649" s="15"/>
      <c r="BU649" s="15"/>
      <c r="BV649" s="15"/>
      <c r="BW649" s="15"/>
      <c r="BX649" s="15"/>
      <c r="BY649" s="15"/>
      <c r="BZ649" s="15"/>
      <c r="CA649" s="15"/>
    </row>
    <row r="650" spans="68:79" ht="15" customHeight="1" x14ac:dyDescent="0.3">
      <c r="BP650" s="15"/>
      <c r="BQ650" s="15"/>
      <c r="BR650" s="15"/>
      <c r="BS650" s="15"/>
      <c r="BT650" s="15"/>
      <c r="BU650" s="15"/>
      <c r="BV650" s="15"/>
      <c r="BW650" s="15"/>
      <c r="BX650" s="15"/>
      <c r="BY650" s="15"/>
      <c r="BZ650" s="15"/>
      <c r="CA650" s="15"/>
    </row>
    <row r="651" spans="68:79" ht="15" customHeight="1" x14ac:dyDescent="0.3">
      <c r="BP651" s="15"/>
      <c r="BQ651" s="15"/>
      <c r="BR651" s="15"/>
      <c r="BS651" s="15"/>
      <c r="BT651" s="15"/>
      <c r="BU651" s="15"/>
      <c r="BV651" s="15"/>
      <c r="BW651" s="15"/>
      <c r="BX651" s="15"/>
      <c r="BY651" s="15"/>
      <c r="BZ651" s="15"/>
      <c r="CA651" s="15"/>
    </row>
    <row r="652" spans="68:79" ht="15" customHeight="1" x14ac:dyDescent="0.3">
      <c r="BP652" s="15"/>
      <c r="BQ652" s="15"/>
      <c r="BR652" s="15"/>
      <c r="BS652" s="15"/>
      <c r="BT652" s="15"/>
      <c r="BU652" s="15"/>
      <c r="BV652" s="15"/>
      <c r="BW652" s="15"/>
      <c r="BX652" s="15"/>
      <c r="BY652" s="15"/>
      <c r="BZ652" s="15"/>
      <c r="CA652" s="15"/>
    </row>
    <row r="653" spans="68:79" ht="15" customHeight="1" x14ac:dyDescent="0.3">
      <c r="BP653" s="15"/>
      <c r="BQ653" s="15"/>
      <c r="BR653" s="15"/>
      <c r="BS653" s="15"/>
      <c r="BT653" s="15"/>
      <c r="BU653" s="15"/>
      <c r="BV653" s="15"/>
      <c r="BW653" s="15"/>
      <c r="BX653" s="15"/>
      <c r="BY653" s="15"/>
      <c r="BZ653" s="15"/>
      <c r="CA653" s="15"/>
    </row>
    <row r="654" spans="68:79" ht="15" customHeight="1" x14ac:dyDescent="0.3">
      <c r="BP654" s="15"/>
      <c r="BQ654" s="15"/>
      <c r="BR654" s="15"/>
      <c r="BS654" s="15"/>
      <c r="BT654" s="15"/>
      <c r="BU654" s="15"/>
      <c r="BV654" s="15"/>
      <c r="BW654" s="15"/>
      <c r="BX654" s="15"/>
      <c r="BY654" s="15"/>
      <c r="BZ654" s="15"/>
      <c r="CA654" s="15"/>
    </row>
    <row r="655" spans="68:79" ht="15" customHeight="1" x14ac:dyDescent="0.3">
      <c r="BP655" s="15"/>
      <c r="BQ655" s="15"/>
      <c r="BR655" s="15"/>
      <c r="BS655" s="15"/>
      <c r="BT655" s="15"/>
      <c r="BU655" s="15"/>
      <c r="BV655" s="15"/>
      <c r="BW655" s="15"/>
      <c r="BX655" s="15"/>
      <c r="BY655" s="15"/>
      <c r="BZ655" s="15"/>
      <c r="CA655" s="15"/>
    </row>
    <row r="656" spans="68:79" ht="15" customHeight="1" x14ac:dyDescent="0.3">
      <c r="BP656" s="15"/>
      <c r="BQ656" s="15"/>
      <c r="BR656" s="15"/>
      <c r="BS656" s="15"/>
      <c r="BT656" s="15"/>
      <c r="BU656" s="15"/>
      <c r="BV656" s="15"/>
      <c r="BW656" s="15"/>
      <c r="BX656" s="15"/>
      <c r="BY656" s="15"/>
      <c r="BZ656" s="15"/>
      <c r="CA656" s="15"/>
    </row>
    <row r="657" spans="68:79" ht="15" customHeight="1" x14ac:dyDescent="0.3">
      <c r="BP657" s="15"/>
      <c r="BQ657" s="15"/>
      <c r="BR657" s="15"/>
      <c r="BS657" s="15"/>
      <c r="BT657" s="15"/>
      <c r="BU657" s="15"/>
      <c r="BV657" s="15"/>
      <c r="BW657" s="15"/>
      <c r="BX657" s="15"/>
      <c r="BY657" s="15"/>
      <c r="BZ657" s="15"/>
      <c r="CA657" s="15"/>
    </row>
    <row r="658" spans="68:79" ht="15" customHeight="1" x14ac:dyDescent="0.3">
      <c r="BP658" s="15"/>
      <c r="BQ658" s="15"/>
      <c r="BR658" s="15"/>
      <c r="BS658" s="15"/>
      <c r="BT658" s="15"/>
      <c r="BU658" s="15"/>
      <c r="BV658" s="15"/>
      <c r="BW658" s="15"/>
      <c r="BX658" s="15"/>
      <c r="BY658" s="15"/>
      <c r="BZ658" s="15"/>
      <c r="CA658" s="15"/>
    </row>
    <row r="659" spans="68:79" ht="15" customHeight="1" x14ac:dyDescent="0.3">
      <c r="BP659" s="15"/>
      <c r="BQ659" s="15"/>
      <c r="BR659" s="15"/>
      <c r="BS659" s="15"/>
      <c r="BT659" s="15"/>
      <c r="BU659" s="15"/>
      <c r="BV659" s="15"/>
      <c r="BW659" s="15"/>
      <c r="BX659" s="15"/>
      <c r="BY659" s="15"/>
      <c r="BZ659" s="15"/>
      <c r="CA659" s="15"/>
    </row>
    <row r="660" spans="68:79" ht="15" customHeight="1" x14ac:dyDescent="0.3">
      <c r="BP660" s="15"/>
      <c r="BQ660" s="15"/>
      <c r="BR660" s="15"/>
      <c r="BS660" s="15"/>
      <c r="BT660" s="15"/>
      <c r="BU660" s="15"/>
      <c r="BV660" s="15"/>
      <c r="BW660" s="15"/>
      <c r="BX660" s="15"/>
      <c r="BY660" s="15"/>
      <c r="BZ660" s="15"/>
      <c r="CA660" s="15"/>
    </row>
    <row r="661" spans="68:79" ht="15" customHeight="1" x14ac:dyDescent="0.3"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</row>
    <row r="662" spans="68:79" ht="15" customHeight="1" x14ac:dyDescent="0.3"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</row>
    <row r="663" spans="68:79" ht="15" customHeight="1" x14ac:dyDescent="0.3">
      <c r="BP663" s="15"/>
      <c r="BQ663" s="15"/>
      <c r="BR663" s="15"/>
      <c r="BS663" s="15"/>
      <c r="BT663" s="15"/>
      <c r="BU663" s="15"/>
      <c r="BV663" s="15"/>
      <c r="BW663" s="15"/>
      <c r="BX663" s="15"/>
      <c r="BY663" s="15"/>
      <c r="BZ663" s="15"/>
      <c r="CA663" s="15"/>
    </row>
    <row r="664" spans="68:79" ht="15" customHeight="1" x14ac:dyDescent="0.3">
      <c r="BP664" s="15"/>
      <c r="BQ664" s="15"/>
      <c r="BR664" s="15"/>
      <c r="BS664" s="15"/>
      <c r="BT664" s="15"/>
      <c r="BU664" s="15"/>
      <c r="BV664" s="15"/>
      <c r="BW664" s="15"/>
      <c r="BX664" s="15"/>
      <c r="BY664" s="15"/>
      <c r="BZ664" s="15"/>
      <c r="CA664" s="15"/>
    </row>
    <row r="665" spans="68:79" ht="15" customHeight="1" x14ac:dyDescent="0.3">
      <c r="BP665" s="15"/>
      <c r="BQ665" s="15"/>
      <c r="BR665" s="15"/>
      <c r="BS665" s="15"/>
      <c r="BT665" s="15"/>
      <c r="BU665" s="15"/>
      <c r="BV665" s="15"/>
      <c r="BW665" s="15"/>
      <c r="BX665" s="15"/>
      <c r="BY665" s="15"/>
      <c r="BZ665" s="15"/>
      <c r="CA665" s="15"/>
    </row>
    <row r="666" spans="68:79" ht="15" customHeight="1" x14ac:dyDescent="0.3">
      <c r="BP666" s="15"/>
      <c r="BQ666" s="15"/>
      <c r="BR666" s="15"/>
      <c r="BS666" s="15"/>
      <c r="BT666" s="15"/>
      <c r="BU666" s="15"/>
      <c r="BV666" s="15"/>
      <c r="BW666" s="15"/>
      <c r="BX666" s="15"/>
      <c r="BY666" s="15"/>
      <c r="BZ666" s="15"/>
      <c r="CA666" s="15"/>
    </row>
    <row r="667" spans="68:79" ht="15" customHeight="1" x14ac:dyDescent="0.3">
      <c r="BP667" s="15"/>
      <c r="BQ667" s="15"/>
      <c r="BR667" s="15"/>
      <c r="BS667" s="15"/>
      <c r="BT667" s="15"/>
      <c r="BU667" s="15"/>
      <c r="BV667" s="15"/>
      <c r="BW667" s="15"/>
      <c r="BX667" s="15"/>
      <c r="BY667" s="15"/>
      <c r="BZ667" s="15"/>
      <c r="CA667" s="15"/>
    </row>
    <row r="668" spans="68:79" ht="15" customHeight="1" x14ac:dyDescent="0.3">
      <c r="BP668" s="15"/>
      <c r="BQ668" s="15"/>
      <c r="BR668" s="15"/>
      <c r="BS668" s="15"/>
      <c r="BT668" s="15"/>
      <c r="BU668" s="15"/>
      <c r="BV668" s="15"/>
      <c r="BW668" s="15"/>
      <c r="BX668" s="15"/>
      <c r="BY668" s="15"/>
      <c r="BZ668" s="15"/>
      <c r="CA668" s="15"/>
    </row>
    <row r="669" spans="68:79" ht="15" customHeight="1" x14ac:dyDescent="0.3">
      <c r="BP669" s="15"/>
      <c r="BQ669" s="15"/>
      <c r="BR669" s="15"/>
      <c r="BS669" s="15"/>
      <c r="BT669" s="15"/>
      <c r="BU669" s="15"/>
      <c r="BV669" s="15"/>
      <c r="BW669" s="15"/>
      <c r="BX669" s="15"/>
      <c r="BY669" s="15"/>
      <c r="BZ669" s="15"/>
      <c r="CA669" s="15"/>
    </row>
    <row r="670" spans="68:79" ht="15" customHeight="1" x14ac:dyDescent="0.3">
      <c r="BP670" s="15"/>
      <c r="BQ670" s="15"/>
      <c r="BR670" s="15"/>
      <c r="BS670" s="15"/>
      <c r="BT670" s="15"/>
      <c r="BU670" s="15"/>
      <c r="BV670" s="15"/>
      <c r="BW670" s="15"/>
      <c r="BX670" s="15"/>
      <c r="BY670" s="15"/>
      <c r="BZ670" s="15"/>
      <c r="CA670" s="15"/>
    </row>
    <row r="671" spans="68:79" ht="15" customHeight="1" x14ac:dyDescent="0.3">
      <c r="BP671" s="15"/>
      <c r="BQ671" s="15"/>
      <c r="BR671" s="15"/>
      <c r="BS671" s="15"/>
      <c r="BT671" s="15"/>
      <c r="BU671" s="15"/>
      <c r="BV671" s="15"/>
      <c r="BW671" s="15"/>
      <c r="BX671" s="15"/>
      <c r="BY671" s="15"/>
      <c r="BZ671" s="15"/>
      <c r="CA671" s="15"/>
    </row>
    <row r="672" spans="68:79" ht="15" customHeight="1" x14ac:dyDescent="0.3">
      <c r="BP672" s="15"/>
      <c r="BQ672" s="15"/>
      <c r="BR672" s="15"/>
      <c r="BS672" s="15"/>
      <c r="BT672" s="15"/>
      <c r="BU672" s="15"/>
      <c r="BV672" s="15"/>
      <c r="BW672" s="15"/>
      <c r="BX672" s="15"/>
      <c r="BY672" s="15"/>
      <c r="BZ672" s="15"/>
      <c r="CA672" s="15"/>
    </row>
    <row r="673" spans="68:79" ht="15" customHeight="1" x14ac:dyDescent="0.3">
      <c r="BP673" s="15"/>
      <c r="BQ673" s="15"/>
      <c r="BR673" s="15"/>
      <c r="BS673" s="15"/>
      <c r="BT673" s="15"/>
      <c r="BU673" s="15"/>
      <c r="BV673" s="15"/>
      <c r="BW673" s="15"/>
      <c r="BX673" s="15"/>
      <c r="BY673" s="15"/>
      <c r="BZ673" s="15"/>
      <c r="CA673" s="15"/>
    </row>
    <row r="674" spans="68:79" ht="15" customHeight="1" x14ac:dyDescent="0.3">
      <c r="BP674" s="15"/>
      <c r="BQ674" s="15"/>
      <c r="BR674" s="15"/>
      <c r="BS674" s="15"/>
      <c r="BT674" s="15"/>
      <c r="BU674" s="15"/>
      <c r="BV674" s="15"/>
      <c r="BW674" s="15"/>
      <c r="BX674" s="15"/>
      <c r="BY674" s="15"/>
      <c r="BZ674" s="15"/>
      <c r="CA674" s="15"/>
    </row>
    <row r="675" spans="68:79" ht="15" customHeight="1" x14ac:dyDescent="0.3">
      <c r="BP675" s="15"/>
      <c r="BQ675" s="15"/>
      <c r="BR675" s="15"/>
      <c r="BS675" s="15"/>
      <c r="BT675" s="15"/>
      <c r="BU675" s="15"/>
      <c r="BV675" s="15"/>
      <c r="BW675" s="15"/>
      <c r="BX675" s="15"/>
      <c r="BY675" s="15"/>
      <c r="BZ675" s="15"/>
      <c r="CA675" s="15"/>
    </row>
    <row r="676" spans="68:79" ht="15" customHeight="1" x14ac:dyDescent="0.3">
      <c r="BP676" s="15"/>
      <c r="BQ676" s="15"/>
      <c r="BR676" s="15"/>
      <c r="BS676" s="15"/>
      <c r="BT676" s="15"/>
      <c r="BU676" s="15"/>
      <c r="BV676" s="15"/>
      <c r="BW676" s="15"/>
      <c r="BX676" s="15"/>
      <c r="BY676" s="15"/>
      <c r="BZ676" s="15"/>
      <c r="CA676" s="15"/>
    </row>
    <row r="677" spans="68:79" ht="15" customHeight="1" x14ac:dyDescent="0.3">
      <c r="BP677" s="15"/>
      <c r="BQ677" s="15"/>
      <c r="BR677" s="15"/>
      <c r="BS677" s="15"/>
      <c r="BT677" s="15"/>
      <c r="BU677" s="15"/>
      <c r="BV677" s="15"/>
      <c r="BW677" s="15"/>
      <c r="BX677" s="15"/>
      <c r="BY677" s="15"/>
      <c r="BZ677" s="15"/>
      <c r="CA677" s="15"/>
    </row>
    <row r="678" spans="68:79" ht="15" customHeight="1" x14ac:dyDescent="0.3">
      <c r="BP678" s="15"/>
      <c r="BQ678" s="15"/>
      <c r="BR678" s="15"/>
      <c r="BS678" s="15"/>
      <c r="BT678" s="15"/>
      <c r="BU678" s="15"/>
      <c r="BV678" s="15"/>
      <c r="BW678" s="15"/>
      <c r="BX678" s="15"/>
      <c r="BY678" s="15"/>
      <c r="BZ678" s="15"/>
      <c r="CA678" s="15"/>
    </row>
    <row r="679" spans="68:79" ht="15" customHeight="1" x14ac:dyDescent="0.3">
      <c r="BP679" s="15"/>
      <c r="BQ679" s="15"/>
      <c r="BR679" s="15"/>
      <c r="BS679" s="15"/>
      <c r="BT679" s="15"/>
      <c r="BU679" s="15"/>
      <c r="BV679" s="15"/>
      <c r="BW679" s="15"/>
      <c r="BX679" s="15"/>
      <c r="BY679" s="15"/>
      <c r="BZ679" s="15"/>
      <c r="CA679" s="15"/>
    </row>
    <row r="680" spans="68:79" ht="15" customHeight="1" x14ac:dyDescent="0.3">
      <c r="BP680" s="15"/>
      <c r="BQ680" s="15"/>
      <c r="BR680" s="15"/>
      <c r="BS680" s="15"/>
      <c r="BT680" s="15"/>
      <c r="BU680" s="15"/>
      <c r="BV680" s="15"/>
      <c r="BW680" s="15"/>
      <c r="BX680" s="15"/>
      <c r="BY680" s="15"/>
      <c r="BZ680" s="15"/>
      <c r="CA680" s="15"/>
    </row>
    <row r="681" spans="68:79" ht="15" customHeight="1" x14ac:dyDescent="0.3">
      <c r="BP681" s="15"/>
      <c r="BQ681" s="15"/>
      <c r="BR681" s="15"/>
      <c r="BS681" s="15"/>
      <c r="BT681" s="15"/>
      <c r="BU681" s="15"/>
      <c r="BV681" s="15"/>
      <c r="BW681" s="15"/>
      <c r="BX681" s="15"/>
      <c r="BY681" s="15"/>
      <c r="BZ681" s="15"/>
      <c r="CA681" s="15"/>
    </row>
    <row r="682" spans="68:79" ht="15" customHeight="1" x14ac:dyDescent="0.3">
      <c r="BP682" s="15"/>
      <c r="BQ682" s="15"/>
      <c r="BR682" s="15"/>
      <c r="BS682" s="15"/>
      <c r="BT682" s="15"/>
      <c r="BU682" s="15"/>
      <c r="BV682" s="15"/>
      <c r="BW682" s="15"/>
      <c r="BX682" s="15"/>
      <c r="BY682" s="15"/>
      <c r="BZ682" s="15"/>
      <c r="CA682" s="15"/>
    </row>
    <row r="683" spans="68:79" ht="15" customHeight="1" x14ac:dyDescent="0.3">
      <c r="BP683" s="15"/>
      <c r="BQ683" s="15"/>
      <c r="BR683" s="15"/>
      <c r="BS683" s="15"/>
      <c r="BT683" s="15"/>
      <c r="BU683" s="15"/>
      <c r="BV683" s="15"/>
      <c r="BW683" s="15"/>
      <c r="BX683" s="15"/>
      <c r="BY683" s="15"/>
      <c r="BZ683" s="15"/>
      <c r="CA683" s="15"/>
    </row>
    <row r="684" spans="68:79" ht="15" customHeight="1" x14ac:dyDescent="0.3">
      <c r="BP684" s="15"/>
      <c r="BQ684" s="15"/>
      <c r="BR684" s="15"/>
      <c r="BS684" s="15"/>
      <c r="BT684" s="15"/>
      <c r="BU684" s="15"/>
      <c r="BV684" s="15"/>
      <c r="BW684" s="15"/>
      <c r="BX684" s="15"/>
      <c r="BY684" s="15"/>
      <c r="BZ684" s="15"/>
      <c r="CA684" s="15"/>
    </row>
    <row r="685" spans="68:79" ht="15" customHeight="1" x14ac:dyDescent="0.3">
      <c r="BP685" s="15"/>
      <c r="BQ685" s="15"/>
      <c r="BR685" s="15"/>
      <c r="BS685" s="15"/>
      <c r="BT685" s="15"/>
      <c r="BU685" s="15"/>
      <c r="BV685" s="15"/>
      <c r="BW685" s="15"/>
      <c r="BX685" s="15"/>
      <c r="BY685" s="15"/>
      <c r="BZ685" s="15"/>
      <c r="CA685" s="15"/>
    </row>
    <row r="686" spans="68:79" ht="15" customHeight="1" x14ac:dyDescent="0.3">
      <c r="BP686" s="15"/>
      <c r="BQ686" s="15"/>
      <c r="BR686" s="15"/>
      <c r="BS686" s="15"/>
      <c r="BT686" s="15"/>
      <c r="BU686" s="15"/>
      <c r="BV686" s="15"/>
      <c r="BW686" s="15"/>
      <c r="BX686" s="15"/>
      <c r="BY686" s="15"/>
      <c r="BZ686" s="15"/>
      <c r="CA686" s="15"/>
    </row>
    <row r="687" spans="68:79" ht="15" customHeight="1" x14ac:dyDescent="0.3">
      <c r="BP687" s="15"/>
      <c r="BQ687" s="15"/>
      <c r="BR687" s="15"/>
      <c r="BS687" s="15"/>
      <c r="BT687" s="15"/>
      <c r="BU687" s="15"/>
      <c r="BV687" s="15"/>
      <c r="BW687" s="15"/>
      <c r="BX687" s="15"/>
      <c r="BY687" s="15"/>
      <c r="BZ687" s="15"/>
      <c r="CA687" s="15"/>
    </row>
    <row r="688" spans="68:79" ht="15" customHeight="1" x14ac:dyDescent="0.3">
      <c r="BP688" s="15"/>
      <c r="BQ688" s="15"/>
      <c r="BR688" s="15"/>
      <c r="BS688" s="15"/>
      <c r="BT688" s="15"/>
      <c r="BU688" s="15"/>
      <c r="BV688" s="15"/>
      <c r="BW688" s="15"/>
      <c r="BX688" s="15"/>
      <c r="BY688" s="15"/>
      <c r="BZ688" s="15"/>
      <c r="CA688" s="15"/>
    </row>
    <row r="689" spans="68:79" ht="15" customHeight="1" x14ac:dyDescent="0.3">
      <c r="BP689" s="15"/>
      <c r="BQ689" s="15"/>
      <c r="BR689" s="15"/>
      <c r="BS689" s="15"/>
      <c r="BT689" s="15"/>
      <c r="BU689" s="15"/>
      <c r="BV689" s="15"/>
      <c r="BW689" s="15"/>
      <c r="BX689" s="15"/>
      <c r="BY689" s="15"/>
      <c r="BZ689" s="15"/>
      <c r="CA689" s="15"/>
    </row>
    <row r="690" spans="68:79" ht="15" customHeight="1" x14ac:dyDescent="0.3">
      <c r="BP690" s="15"/>
      <c r="BQ690" s="15"/>
      <c r="BR690" s="15"/>
      <c r="BS690" s="15"/>
      <c r="BT690" s="15"/>
      <c r="BU690" s="15"/>
      <c r="BV690" s="15"/>
      <c r="BW690" s="15"/>
      <c r="BX690" s="15"/>
      <c r="BY690" s="15"/>
      <c r="BZ690" s="15"/>
      <c r="CA690" s="15"/>
    </row>
    <row r="691" spans="68:79" ht="15" customHeight="1" x14ac:dyDescent="0.3"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/>
      <c r="CA691" s="15"/>
    </row>
    <row r="692" spans="68:79" ht="15" customHeight="1" x14ac:dyDescent="0.3">
      <c r="BP692" s="15"/>
      <c r="BQ692" s="15"/>
      <c r="BR692" s="15"/>
      <c r="BS692" s="15"/>
      <c r="BT692" s="15"/>
      <c r="BU692" s="15"/>
      <c r="BV692" s="15"/>
      <c r="BW692" s="15"/>
      <c r="BX692" s="15"/>
      <c r="BY692" s="15"/>
      <c r="BZ692" s="15"/>
      <c r="CA692" s="15"/>
    </row>
    <row r="693" spans="68:79" ht="15" customHeight="1" x14ac:dyDescent="0.3">
      <c r="BP693" s="15"/>
      <c r="BQ693" s="15"/>
      <c r="BR693" s="15"/>
      <c r="BS693" s="15"/>
      <c r="BT693" s="15"/>
      <c r="BU693" s="15"/>
      <c r="BV693" s="15"/>
      <c r="BW693" s="15"/>
      <c r="BX693" s="15"/>
      <c r="BY693" s="15"/>
      <c r="BZ693" s="15"/>
      <c r="CA693" s="15"/>
    </row>
    <row r="694" spans="68:79" ht="15" customHeight="1" x14ac:dyDescent="0.3">
      <c r="BP694" s="15"/>
      <c r="BQ694" s="15"/>
      <c r="BR694" s="15"/>
      <c r="BS694" s="15"/>
      <c r="BT694" s="15"/>
      <c r="BU694" s="15"/>
      <c r="BV694" s="15"/>
      <c r="BW694" s="15"/>
      <c r="BX694" s="15"/>
      <c r="BY694" s="15"/>
      <c r="BZ694" s="15"/>
      <c r="CA694" s="15"/>
    </row>
    <row r="695" spans="68:79" ht="15" customHeight="1" x14ac:dyDescent="0.3">
      <c r="BP695" s="15"/>
      <c r="BQ695" s="15"/>
      <c r="BR695" s="15"/>
      <c r="BS695" s="15"/>
      <c r="BT695" s="15"/>
      <c r="BU695" s="15"/>
      <c r="BV695" s="15"/>
      <c r="BW695" s="15"/>
      <c r="BX695" s="15"/>
      <c r="BY695" s="15"/>
      <c r="BZ695" s="15"/>
      <c r="CA695" s="15"/>
    </row>
    <row r="696" spans="68:79" ht="15" customHeight="1" x14ac:dyDescent="0.3">
      <c r="BP696" s="15"/>
      <c r="BQ696" s="15"/>
      <c r="BR696" s="15"/>
      <c r="BS696" s="15"/>
      <c r="BT696" s="15"/>
      <c r="BU696" s="15"/>
      <c r="BV696" s="15"/>
      <c r="BW696" s="15"/>
      <c r="BX696" s="15"/>
      <c r="BY696" s="15"/>
      <c r="BZ696" s="15"/>
      <c r="CA696" s="15"/>
    </row>
    <row r="697" spans="68:79" ht="15" customHeight="1" x14ac:dyDescent="0.3">
      <c r="BP697" s="15"/>
      <c r="BQ697" s="15"/>
      <c r="BR697" s="15"/>
      <c r="BS697" s="15"/>
      <c r="BT697" s="15"/>
      <c r="BU697" s="15"/>
      <c r="BV697" s="15"/>
      <c r="BW697" s="15"/>
      <c r="BX697" s="15"/>
      <c r="BY697" s="15"/>
      <c r="BZ697" s="15"/>
      <c r="CA697" s="15"/>
    </row>
    <row r="698" spans="68:79" ht="15" customHeight="1" x14ac:dyDescent="0.3">
      <c r="BP698" s="15"/>
      <c r="BQ698" s="15"/>
      <c r="BR698" s="15"/>
      <c r="BS698" s="15"/>
      <c r="BT698" s="15"/>
      <c r="BU698" s="15"/>
      <c r="BV698" s="15"/>
      <c r="BW698" s="15"/>
      <c r="BX698" s="15"/>
      <c r="BY698" s="15"/>
      <c r="BZ698" s="15"/>
      <c r="CA698" s="15"/>
    </row>
    <row r="699" spans="68:79" ht="15" customHeight="1" x14ac:dyDescent="0.3">
      <c r="BP699" s="15"/>
      <c r="BQ699" s="15"/>
      <c r="BR699" s="15"/>
      <c r="BS699" s="15"/>
      <c r="BT699" s="15"/>
      <c r="BU699" s="15"/>
      <c r="BV699" s="15"/>
      <c r="BW699" s="15"/>
      <c r="BX699" s="15"/>
      <c r="BY699" s="15"/>
      <c r="BZ699" s="15"/>
      <c r="CA699" s="15"/>
    </row>
    <row r="700" spans="68:79" ht="15" customHeight="1" x14ac:dyDescent="0.3">
      <c r="BP700" s="15"/>
      <c r="BQ700" s="15"/>
      <c r="BR700" s="15"/>
      <c r="BS700" s="15"/>
      <c r="BT700" s="15"/>
      <c r="BU700" s="15"/>
      <c r="BV700" s="15"/>
      <c r="BW700" s="15"/>
      <c r="BX700" s="15"/>
      <c r="BY700" s="15"/>
      <c r="BZ700" s="15"/>
      <c r="CA700" s="15"/>
    </row>
    <row r="701" spans="68:79" ht="15" customHeight="1" x14ac:dyDescent="0.3">
      <c r="BP701" s="15"/>
      <c r="BQ701" s="15"/>
      <c r="BR701" s="15"/>
      <c r="BS701" s="15"/>
      <c r="BT701" s="15"/>
      <c r="BU701" s="15"/>
      <c r="BV701" s="15"/>
      <c r="BW701" s="15"/>
      <c r="BX701" s="15"/>
      <c r="BY701" s="15"/>
      <c r="BZ701" s="15"/>
      <c r="CA701" s="15"/>
    </row>
    <row r="702" spans="68:79" ht="15" customHeight="1" x14ac:dyDescent="0.3">
      <c r="BP702" s="15"/>
      <c r="BQ702" s="15"/>
      <c r="BR702" s="15"/>
      <c r="BS702" s="15"/>
      <c r="BT702" s="15"/>
      <c r="BU702" s="15"/>
      <c r="BV702" s="15"/>
      <c r="BW702" s="15"/>
      <c r="BX702" s="15"/>
      <c r="BY702" s="15"/>
      <c r="BZ702" s="15"/>
      <c r="CA702" s="15"/>
    </row>
    <row r="703" spans="68:79" ht="15" customHeight="1" x14ac:dyDescent="0.3">
      <c r="BP703" s="15"/>
      <c r="BQ703" s="15"/>
      <c r="BR703" s="15"/>
      <c r="BS703" s="15"/>
      <c r="BT703" s="15"/>
      <c r="BU703" s="15"/>
      <c r="BV703" s="15"/>
      <c r="BW703" s="15"/>
      <c r="BX703" s="15"/>
      <c r="BY703" s="15"/>
      <c r="BZ703" s="15"/>
      <c r="CA703" s="15"/>
    </row>
    <row r="704" spans="68:79" ht="15" customHeight="1" x14ac:dyDescent="0.3">
      <c r="BP704" s="15"/>
      <c r="BQ704" s="15"/>
      <c r="BR704" s="15"/>
      <c r="BS704" s="15"/>
      <c r="BT704" s="15"/>
      <c r="BU704" s="15"/>
      <c r="BV704" s="15"/>
      <c r="BW704" s="15"/>
      <c r="BX704" s="15"/>
      <c r="BY704" s="15"/>
      <c r="BZ704" s="15"/>
      <c r="CA704" s="15"/>
    </row>
    <row r="705" spans="68:79" ht="15" customHeight="1" x14ac:dyDescent="0.3">
      <c r="BP705" s="15"/>
      <c r="BQ705" s="15"/>
      <c r="BR705" s="15"/>
      <c r="BS705" s="15"/>
      <c r="BT705" s="15"/>
      <c r="BU705" s="15"/>
      <c r="BV705" s="15"/>
      <c r="BW705" s="15"/>
      <c r="BX705" s="15"/>
      <c r="BY705" s="15"/>
      <c r="BZ705" s="15"/>
      <c r="CA705" s="15"/>
    </row>
    <row r="706" spans="68:79" ht="15" customHeight="1" x14ac:dyDescent="0.3">
      <c r="BP706" s="15"/>
      <c r="BQ706" s="15"/>
      <c r="BR706" s="15"/>
      <c r="BS706" s="15"/>
      <c r="BT706" s="15"/>
      <c r="BU706" s="15"/>
      <c r="BV706" s="15"/>
      <c r="BW706" s="15"/>
      <c r="BX706" s="15"/>
      <c r="BY706" s="15"/>
      <c r="BZ706" s="15"/>
      <c r="CA706" s="15"/>
    </row>
    <row r="707" spans="68:79" ht="15" customHeight="1" x14ac:dyDescent="0.3">
      <c r="BP707" s="15"/>
      <c r="BQ707" s="15"/>
      <c r="BR707" s="15"/>
      <c r="BS707" s="15"/>
      <c r="BT707" s="15"/>
      <c r="BU707" s="15"/>
      <c r="BV707" s="15"/>
      <c r="BW707" s="15"/>
      <c r="BX707" s="15"/>
      <c r="BY707" s="15"/>
      <c r="BZ707" s="15"/>
      <c r="CA707" s="15"/>
    </row>
    <row r="708" spans="68:79" ht="15" customHeight="1" x14ac:dyDescent="0.3">
      <c r="BP708" s="15"/>
      <c r="BQ708" s="15"/>
      <c r="BR708" s="15"/>
      <c r="BS708" s="15"/>
      <c r="BT708" s="15"/>
      <c r="BU708" s="15"/>
      <c r="BV708" s="15"/>
      <c r="BW708" s="15"/>
      <c r="BX708" s="15"/>
      <c r="BY708" s="15"/>
      <c r="BZ708" s="15"/>
      <c r="CA708" s="15"/>
    </row>
    <row r="709" spans="68:79" ht="15" customHeight="1" x14ac:dyDescent="0.3">
      <c r="BP709" s="15"/>
      <c r="BQ709" s="15"/>
      <c r="BR709" s="15"/>
      <c r="BS709" s="15"/>
      <c r="BT709" s="15"/>
      <c r="BU709" s="15"/>
      <c r="BV709" s="15"/>
      <c r="BW709" s="15"/>
      <c r="BX709" s="15"/>
      <c r="BY709" s="15"/>
      <c r="BZ709" s="15"/>
      <c r="CA709" s="15"/>
    </row>
    <row r="710" spans="68:79" ht="15" customHeight="1" x14ac:dyDescent="0.3">
      <c r="BP710" s="15"/>
      <c r="BQ710" s="15"/>
      <c r="BR710" s="15"/>
      <c r="BS710" s="15"/>
      <c r="BT710" s="15"/>
      <c r="BU710" s="15"/>
      <c r="BV710" s="15"/>
      <c r="BW710" s="15"/>
      <c r="BX710" s="15"/>
      <c r="BY710" s="15"/>
      <c r="BZ710" s="15"/>
      <c r="CA710" s="15"/>
    </row>
    <row r="711" spans="68:79" ht="15" customHeight="1" x14ac:dyDescent="0.3">
      <c r="BP711" s="15"/>
      <c r="BQ711" s="15"/>
      <c r="BR711" s="15"/>
      <c r="BS711" s="15"/>
      <c r="BT711" s="15"/>
      <c r="BU711" s="15"/>
      <c r="BV711" s="15"/>
      <c r="BW711" s="15"/>
      <c r="BX711" s="15"/>
      <c r="BY711" s="15"/>
      <c r="BZ711" s="15"/>
      <c r="CA711" s="15"/>
    </row>
    <row r="712" spans="68:79" ht="15" customHeight="1" x14ac:dyDescent="0.3">
      <c r="BP712" s="15"/>
      <c r="BQ712" s="15"/>
      <c r="BR712" s="15"/>
      <c r="BS712" s="15"/>
      <c r="BT712" s="15"/>
      <c r="BU712" s="15"/>
      <c r="BV712" s="15"/>
      <c r="BW712" s="15"/>
      <c r="BX712" s="15"/>
      <c r="BY712" s="15"/>
      <c r="BZ712" s="15"/>
      <c r="CA712" s="15"/>
    </row>
    <row r="713" spans="68:79" ht="15" customHeight="1" x14ac:dyDescent="0.3">
      <c r="BP713" s="15"/>
      <c r="BQ713" s="15"/>
      <c r="BR713" s="15"/>
      <c r="BS713" s="15"/>
      <c r="BT713" s="15"/>
      <c r="BU713" s="15"/>
      <c r="BV713" s="15"/>
      <c r="BW713" s="15"/>
      <c r="BX713" s="15"/>
      <c r="BY713" s="15"/>
      <c r="BZ713" s="15"/>
      <c r="CA713" s="15"/>
    </row>
    <row r="714" spans="68:79" ht="15" customHeight="1" x14ac:dyDescent="0.3">
      <c r="BP714" s="15"/>
      <c r="BQ714" s="15"/>
      <c r="BR714" s="15"/>
      <c r="BS714" s="15"/>
      <c r="BT714" s="15"/>
      <c r="BU714" s="15"/>
      <c r="BV714" s="15"/>
      <c r="BW714" s="15"/>
      <c r="BX714" s="15"/>
      <c r="BY714" s="15"/>
      <c r="BZ714" s="15"/>
      <c r="CA714" s="15"/>
    </row>
    <row r="715" spans="68:79" ht="15" customHeight="1" x14ac:dyDescent="0.3">
      <c r="BP715" s="15"/>
      <c r="BQ715" s="15"/>
      <c r="BR715" s="15"/>
      <c r="BS715" s="15"/>
      <c r="BT715" s="15"/>
      <c r="BU715" s="15"/>
      <c r="BV715" s="15"/>
      <c r="BW715" s="15"/>
      <c r="BX715" s="15"/>
      <c r="BY715" s="15"/>
      <c r="BZ715" s="15"/>
      <c r="CA715" s="15"/>
    </row>
    <row r="716" spans="68:79" ht="15" customHeight="1" x14ac:dyDescent="0.3">
      <c r="BP716" s="15"/>
      <c r="BQ716" s="15"/>
      <c r="BR716" s="15"/>
      <c r="BS716" s="15"/>
      <c r="BT716" s="15"/>
      <c r="BU716" s="15"/>
      <c r="BV716" s="15"/>
      <c r="BW716" s="15"/>
      <c r="BX716" s="15"/>
      <c r="BY716" s="15"/>
      <c r="BZ716" s="15"/>
      <c r="CA716" s="15"/>
    </row>
    <row r="717" spans="68:79" ht="15" customHeight="1" x14ac:dyDescent="0.3">
      <c r="BP717" s="15"/>
      <c r="BQ717" s="15"/>
      <c r="BR717" s="15"/>
      <c r="BS717" s="15"/>
      <c r="BT717" s="15"/>
      <c r="BU717" s="15"/>
      <c r="BV717" s="15"/>
      <c r="BW717" s="15"/>
      <c r="BX717" s="15"/>
      <c r="BY717" s="15"/>
      <c r="BZ717" s="15"/>
      <c r="CA717" s="15"/>
    </row>
    <row r="718" spans="68:79" ht="15" customHeight="1" x14ac:dyDescent="0.3">
      <c r="BP718" s="15"/>
      <c r="BQ718" s="15"/>
      <c r="BR718" s="15"/>
      <c r="BS718" s="15"/>
      <c r="BT718" s="15"/>
      <c r="BU718" s="15"/>
      <c r="BV718" s="15"/>
      <c r="BW718" s="15"/>
      <c r="BX718" s="15"/>
      <c r="BY718" s="15"/>
      <c r="BZ718" s="15"/>
      <c r="CA718" s="15"/>
    </row>
    <row r="719" spans="68:79" ht="15" customHeight="1" x14ac:dyDescent="0.3">
      <c r="BP719" s="15"/>
      <c r="BQ719" s="15"/>
      <c r="BR719" s="15"/>
      <c r="BS719" s="15"/>
      <c r="BT719" s="15"/>
      <c r="BU719" s="15"/>
      <c r="BV719" s="15"/>
      <c r="BW719" s="15"/>
      <c r="BX719" s="15"/>
      <c r="BY719" s="15"/>
      <c r="BZ719" s="15"/>
      <c r="CA719" s="15"/>
    </row>
    <row r="720" spans="68:79" ht="15" customHeight="1" x14ac:dyDescent="0.3">
      <c r="BP720" s="15"/>
      <c r="BQ720" s="15"/>
      <c r="BR720" s="15"/>
      <c r="BS720" s="15"/>
      <c r="BT720" s="15"/>
      <c r="BU720" s="15"/>
      <c r="BV720" s="15"/>
      <c r="BW720" s="15"/>
      <c r="BX720" s="15"/>
      <c r="BY720" s="15"/>
      <c r="BZ720" s="15"/>
      <c r="CA720" s="15"/>
    </row>
    <row r="721" spans="68:79" ht="15" customHeight="1" x14ac:dyDescent="0.3">
      <c r="BP721" s="15"/>
      <c r="BQ721" s="15"/>
      <c r="BR721" s="15"/>
      <c r="BS721" s="15"/>
      <c r="BT721" s="15"/>
      <c r="BU721" s="15"/>
      <c r="BV721" s="15"/>
      <c r="BW721" s="15"/>
      <c r="BX721" s="15"/>
      <c r="BY721" s="15"/>
      <c r="BZ721" s="15"/>
      <c r="CA721" s="15"/>
    </row>
    <row r="722" spans="68:79" ht="15" customHeight="1" x14ac:dyDescent="0.3">
      <c r="BP722" s="15"/>
      <c r="BQ722" s="15"/>
      <c r="BR722" s="15"/>
      <c r="BS722" s="15"/>
      <c r="BT722" s="15"/>
      <c r="BU722" s="15"/>
      <c r="BV722" s="15"/>
      <c r="BW722" s="15"/>
      <c r="BX722" s="15"/>
      <c r="BY722" s="15"/>
      <c r="BZ722" s="15"/>
      <c r="CA722" s="15"/>
    </row>
    <row r="723" spans="68:79" ht="15" customHeight="1" x14ac:dyDescent="0.3">
      <c r="BP723" s="15"/>
      <c r="BQ723" s="15"/>
      <c r="BR723" s="15"/>
      <c r="BS723" s="15"/>
      <c r="BT723" s="15"/>
      <c r="BU723" s="15"/>
      <c r="BV723" s="15"/>
      <c r="BW723" s="15"/>
      <c r="BX723" s="15"/>
      <c r="BY723" s="15"/>
      <c r="BZ723" s="15"/>
      <c r="CA723" s="15"/>
    </row>
    <row r="724" spans="68:79" ht="15" customHeight="1" x14ac:dyDescent="0.3">
      <c r="BP724" s="15"/>
      <c r="BQ724" s="15"/>
      <c r="BR724" s="15"/>
      <c r="BS724" s="15"/>
      <c r="BT724" s="15"/>
      <c r="BU724" s="15"/>
      <c r="BV724" s="15"/>
      <c r="BW724" s="15"/>
      <c r="BX724" s="15"/>
      <c r="BY724" s="15"/>
      <c r="BZ724" s="15"/>
      <c r="CA724" s="15"/>
    </row>
    <row r="725" spans="68:79" ht="15" customHeight="1" x14ac:dyDescent="0.3">
      <c r="BP725" s="15"/>
      <c r="BQ725" s="15"/>
      <c r="BR725" s="15"/>
      <c r="BS725" s="15"/>
      <c r="BT725" s="15"/>
      <c r="BU725" s="15"/>
      <c r="BV725" s="15"/>
      <c r="BW725" s="15"/>
      <c r="BX725" s="15"/>
      <c r="BY725" s="15"/>
      <c r="BZ725" s="15"/>
      <c r="CA725" s="15"/>
    </row>
    <row r="726" spans="68:79" ht="15" customHeight="1" x14ac:dyDescent="0.3">
      <c r="BP726" s="15"/>
      <c r="BQ726" s="15"/>
      <c r="BR726" s="15"/>
      <c r="BS726" s="15"/>
      <c r="BT726" s="15"/>
      <c r="BU726" s="15"/>
      <c r="BV726" s="15"/>
      <c r="BW726" s="15"/>
      <c r="BX726" s="15"/>
      <c r="BY726" s="15"/>
      <c r="BZ726" s="15"/>
      <c r="CA726" s="15"/>
    </row>
    <row r="727" spans="68:79" ht="15" customHeight="1" x14ac:dyDescent="0.3">
      <c r="BP727" s="15"/>
      <c r="BQ727" s="15"/>
      <c r="BR727" s="15"/>
      <c r="BS727" s="15"/>
      <c r="BT727" s="15"/>
      <c r="BU727" s="15"/>
      <c r="BV727" s="15"/>
      <c r="BW727" s="15"/>
      <c r="BX727" s="15"/>
      <c r="BY727" s="15"/>
      <c r="BZ727" s="15"/>
      <c r="CA727" s="15"/>
    </row>
    <row r="728" spans="68:79" ht="15" customHeight="1" x14ac:dyDescent="0.3">
      <c r="BP728" s="15"/>
      <c r="BQ728" s="15"/>
      <c r="BR728" s="15"/>
      <c r="BS728" s="15"/>
      <c r="BT728" s="15"/>
      <c r="BU728" s="15"/>
      <c r="BV728" s="15"/>
      <c r="BW728" s="15"/>
      <c r="BX728" s="15"/>
      <c r="BY728" s="15"/>
      <c r="BZ728" s="15"/>
      <c r="CA728" s="15"/>
    </row>
    <row r="729" spans="68:79" ht="15" customHeight="1" x14ac:dyDescent="0.3">
      <c r="BP729" s="15"/>
      <c r="BQ729" s="15"/>
      <c r="BR729" s="15"/>
      <c r="BS729" s="15"/>
      <c r="BT729" s="15"/>
      <c r="BU729" s="15"/>
      <c r="BV729" s="15"/>
      <c r="BW729" s="15"/>
      <c r="BX729" s="15"/>
      <c r="BY729" s="15"/>
      <c r="BZ729" s="15"/>
      <c r="CA729" s="15"/>
    </row>
    <row r="730" spans="68:79" ht="15" customHeight="1" x14ac:dyDescent="0.3">
      <c r="BP730" s="15"/>
      <c r="BQ730" s="15"/>
      <c r="BR730" s="15"/>
      <c r="BS730" s="15"/>
      <c r="BT730" s="15"/>
      <c r="BU730" s="15"/>
      <c r="BV730" s="15"/>
      <c r="BW730" s="15"/>
      <c r="BX730" s="15"/>
      <c r="BY730" s="15"/>
      <c r="BZ730" s="15"/>
      <c r="CA730" s="15"/>
    </row>
    <row r="731" spans="68:79" ht="15" customHeight="1" x14ac:dyDescent="0.3">
      <c r="BP731" s="15"/>
      <c r="BQ731" s="15"/>
      <c r="BR731" s="15"/>
      <c r="BS731" s="15"/>
      <c r="BT731" s="15"/>
      <c r="BU731" s="15"/>
      <c r="BV731" s="15"/>
      <c r="BW731" s="15"/>
      <c r="BX731" s="15"/>
      <c r="BY731" s="15"/>
      <c r="BZ731" s="15"/>
      <c r="CA731" s="15"/>
    </row>
    <row r="732" spans="68:79" ht="15" customHeight="1" x14ac:dyDescent="0.3">
      <c r="BP732" s="15"/>
      <c r="BQ732" s="15"/>
      <c r="BR732" s="15"/>
      <c r="BS732" s="15"/>
      <c r="BT732" s="15"/>
      <c r="BU732" s="15"/>
      <c r="BV732" s="15"/>
      <c r="BW732" s="15"/>
      <c r="BX732" s="15"/>
      <c r="BY732" s="15"/>
      <c r="BZ732" s="15"/>
      <c r="CA732" s="15"/>
    </row>
    <row r="733" spans="68:79" ht="15" customHeight="1" x14ac:dyDescent="0.3">
      <c r="BP733" s="15"/>
      <c r="BQ733" s="15"/>
      <c r="BR733" s="15"/>
      <c r="BS733" s="15"/>
      <c r="BT733" s="15"/>
      <c r="BU733" s="15"/>
      <c r="BV733" s="15"/>
      <c r="BW733" s="15"/>
      <c r="BX733" s="15"/>
      <c r="BY733" s="15"/>
      <c r="BZ733" s="15"/>
      <c r="CA733" s="15"/>
    </row>
    <row r="734" spans="68:79" ht="15" customHeight="1" x14ac:dyDescent="0.3">
      <c r="BP734" s="15"/>
      <c r="BQ734" s="15"/>
      <c r="BR734" s="15"/>
      <c r="BS734" s="15"/>
      <c r="BT734" s="15"/>
      <c r="BU734" s="15"/>
      <c r="BV734" s="15"/>
      <c r="BW734" s="15"/>
      <c r="BX734" s="15"/>
      <c r="BY734" s="15"/>
      <c r="BZ734" s="15"/>
      <c r="CA734" s="15"/>
    </row>
    <row r="735" spans="68:79" ht="15" customHeight="1" x14ac:dyDescent="0.3">
      <c r="BP735" s="15"/>
      <c r="BQ735" s="15"/>
      <c r="BR735" s="15"/>
      <c r="BS735" s="15"/>
      <c r="BT735" s="15"/>
      <c r="BU735" s="15"/>
      <c r="BV735" s="15"/>
      <c r="BW735" s="15"/>
      <c r="BX735" s="15"/>
      <c r="BY735" s="15"/>
      <c r="BZ735" s="15"/>
      <c r="CA735" s="15"/>
    </row>
    <row r="736" spans="68:79" ht="15" customHeight="1" x14ac:dyDescent="0.3">
      <c r="BP736" s="15"/>
      <c r="BQ736" s="15"/>
      <c r="BR736" s="15"/>
      <c r="BS736" s="15"/>
      <c r="BT736" s="15"/>
      <c r="BU736" s="15"/>
      <c r="BV736" s="15"/>
      <c r="BW736" s="15"/>
      <c r="BX736" s="15"/>
      <c r="BY736" s="15"/>
      <c r="BZ736" s="15"/>
      <c r="CA736" s="15"/>
    </row>
    <row r="737" spans="68:79" ht="15" customHeight="1" x14ac:dyDescent="0.3">
      <c r="BP737" s="15"/>
      <c r="BQ737" s="15"/>
      <c r="BR737" s="15"/>
      <c r="BS737" s="15"/>
      <c r="BT737" s="15"/>
      <c r="BU737" s="15"/>
      <c r="BV737" s="15"/>
      <c r="BW737" s="15"/>
      <c r="BX737" s="15"/>
      <c r="BY737" s="15"/>
      <c r="BZ737" s="15"/>
      <c r="CA737" s="15"/>
    </row>
    <row r="738" spans="68:79" ht="15" customHeight="1" x14ac:dyDescent="0.3">
      <c r="BP738" s="15"/>
      <c r="BQ738" s="15"/>
      <c r="BR738" s="15"/>
      <c r="BS738" s="15"/>
      <c r="BT738" s="15"/>
      <c r="BU738" s="15"/>
      <c r="BV738" s="15"/>
      <c r="BW738" s="15"/>
      <c r="BX738" s="15"/>
      <c r="BY738" s="15"/>
      <c r="BZ738" s="15"/>
      <c r="CA738" s="15"/>
    </row>
    <row r="739" spans="68:79" ht="15" customHeight="1" x14ac:dyDescent="0.3">
      <c r="BP739" s="15"/>
      <c r="BQ739" s="15"/>
      <c r="BR739" s="15"/>
      <c r="BS739" s="15"/>
      <c r="BT739" s="15"/>
      <c r="BU739" s="15"/>
      <c r="BV739" s="15"/>
      <c r="BW739" s="15"/>
      <c r="BX739" s="15"/>
      <c r="BY739" s="15"/>
      <c r="BZ739" s="15"/>
      <c r="CA739" s="15"/>
    </row>
    <row r="740" spans="68:79" ht="15" customHeight="1" x14ac:dyDescent="0.3">
      <c r="BP740" s="15"/>
      <c r="BQ740" s="15"/>
      <c r="BR740" s="15"/>
      <c r="BS740" s="15"/>
      <c r="BT740" s="15"/>
      <c r="BU740" s="15"/>
      <c r="BV740" s="15"/>
      <c r="BW740" s="15"/>
      <c r="BX740" s="15"/>
      <c r="BY740" s="15"/>
      <c r="BZ740" s="15"/>
      <c r="CA740" s="15"/>
    </row>
    <row r="741" spans="68:79" ht="15" customHeight="1" x14ac:dyDescent="0.3">
      <c r="BP741" s="15"/>
      <c r="BQ741" s="15"/>
      <c r="BR741" s="15"/>
      <c r="BS741" s="15"/>
      <c r="BT741" s="15"/>
      <c r="BU741" s="15"/>
      <c r="BV741" s="15"/>
      <c r="BW741" s="15"/>
      <c r="BX741" s="15"/>
      <c r="BY741" s="15"/>
      <c r="BZ741" s="15"/>
      <c r="CA741" s="15"/>
    </row>
    <row r="742" spans="68:79" ht="15" customHeight="1" x14ac:dyDescent="0.3">
      <c r="BP742" s="15"/>
      <c r="BQ742" s="15"/>
      <c r="BR742" s="15"/>
      <c r="BS742" s="15"/>
      <c r="BT742" s="15"/>
      <c r="BU742" s="15"/>
      <c r="BV742" s="15"/>
      <c r="BW742" s="15"/>
      <c r="BX742" s="15"/>
      <c r="BY742" s="15"/>
      <c r="BZ742" s="15"/>
      <c r="CA742" s="15"/>
    </row>
    <row r="743" spans="68:79" ht="15" customHeight="1" x14ac:dyDescent="0.3">
      <c r="BP743" s="15"/>
      <c r="BQ743" s="15"/>
      <c r="BR743" s="15"/>
      <c r="BS743" s="15"/>
      <c r="BT743" s="15"/>
      <c r="BU743" s="15"/>
      <c r="BV743" s="15"/>
      <c r="BW743" s="15"/>
      <c r="BX743" s="15"/>
      <c r="BY743" s="15"/>
      <c r="BZ743" s="15"/>
      <c r="CA743" s="15"/>
    </row>
    <row r="744" spans="68:79" ht="15" customHeight="1" x14ac:dyDescent="0.3">
      <c r="BP744" s="15"/>
      <c r="BQ744" s="15"/>
      <c r="BR744" s="15"/>
      <c r="BS744" s="15"/>
      <c r="BT744" s="15"/>
      <c r="BU744" s="15"/>
      <c r="BV744" s="15"/>
      <c r="BW744" s="15"/>
      <c r="BX744" s="15"/>
      <c r="BY744" s="15"/>
      <c r="BZ744" s="15"/>
      <c r="CA744" s="15"/>
    </row>
    <row r="745" spans="68:79" ht="15" customHeight="1" x14ac:dyDescent="0.3">
      <c r="BP745" s="15"/>
      <c r="BQ745" s="15"/>
      <c r="BR745" s="15"/>
      <c r="BS745" s="15"/>
      <c r="BT745" s="15"/>
      <c r="BU745" s="15"/>
      <c r="BV745" s="15"/>
      <c r="BW745" s="15"/>
      <c r="BX745" s="15"/>
      <c r="BY745" s="15"/>
      <c r="BZ745" s="15"/>
      <c r="CA745" s="15"/>
    </row>
    <row r="746" spans="68:79" ht="15" customHeight="1" x14ac:dyDescent="0.3">
      <c r="BP746" s="15"/>
      <c r="BQ746" s="15"/>
      <c r="BR746" s="15"/>
      <c r="BS746" s="15"/>
      <c r="BT746" s="15"/>
      <c r="BU746" s="15"/>
      <c r="BV746" s="15"/>
      <c r="BW746" s="15"/>
      <c r="BX746" s="15"/>
      <c r="BY746" s="15"/>
      <c r="BZ746" s="15"/>
      <c r="CA746" s="15"/>
    </row>
    <row r="747" spans="68:79" ht="15" customHeight="1" x14ac:dyDescent="0.3">
      <c r="BP747" s="15"/>
      <c r="BQ747" s="15"/>
      <c r="BR747" s="15"/>
      <c r="BS747" s="15"/>
      <c r="BT747" s="15"/>
      <c r="BU747" s="15"/>
      <c r="BV747" s="15"/>
      <c r="BW747" s="15"/>
      <c r="BX747" s="15"/>
      <c r="BY747" s="15"/>
      <c r="BZ747" s="15"/>
      <c r="CA747" s="15"/>
    </row>
    <row r="748" spans="68:79" ht="15" customHeight="1" x14ac:dyDescent="0.3">
      <c r="BP748" s="15"/>
      <c r="BQ748" s="15"/>
      <c r="BR748" s="15"/>
      <c r="BS748" s="15"/>
      <c r="BT748" s="15"/>
      <c r="BU748" s="15"/>
      <c r="BV748" s="15"/>
      <c r="BW748" s="15"/>
      <c r="BX748" s="15"/>
      <c r="BY748" s="15"/>
      <c r="BZ748" s="15"/>
      <c r="CA748" s="15"/>
    </row>
    <row r="749" spans="68:79" ht="15" customHeight="1" x14ac:dyDescent="0.3">
      <c r="BP749" s="15"/>
      <c r="BQ749" s="15"/>
      <c r="BR749" s="15"/>
      <c r="BS749" s="15"/>
      <c r="BT749" s="15"/>
      <c r="BU749" s="15"/>
      <c r="BV749" s="15"/>
      <c r="BW749" s="15"/>
      <c r="BX749" s="15"/>
      <c r="BY749" s="15"/>
      <c r="BZ749" s="15"/>
      <c r="CA749" s="15"/>
    </row>
    <row r="750" spans="68:79" ht="15" customHeight="1" x14ac:dyDescent="0.3">
      <c r="BP750" s="15"/>
      <c r="BQ750" s="15"/>
      <c r="BR750" s="15"/>
      <c r="BS750" s="15"/>
      <c r="BT750" s="15"/>
      <c r="BU750" s="15"/>
      <c r="BV750" s="15"/>
      <c r="BW750" s="15"/>
      <c r="BX750" s="15"/>
      <c r="BY750" s="15"/>
      <c r="BZ750" s="15"/>
      <c r="CA750" s="15"/>
    </row>
    <row r="751" spans="68:79" ht="15" customHeight="1" x14ac:dyDescent="0.3">
      <c r="BP751" s="15"/>
      <c r="BQ751" s="15"/>
      <c r="BR751" s="15"/>
      <c r="BS751" s="15"/>
      <c r="BT751" s="15"/>
      <c r="BU751" s="15"/>
      <c r="BV751" s="15"/>
      <c r="BW751" s="15"/>
      <c r="BX751" s="15"/>
      <c r="BY751" s="15"/>
      <c r="BZ751" s="15"/>
      <c r="CA751" s="15"/>
    </row>
    <row r="752" spans="68:79" ht="15" customHeight="1" x14ac:dyDescent="0.3">
      <c r="BP752" s="15"/>
      <c r="BQ752" s="15"/>
      <c r="BR752" s="15"/>
      <c r="BS752" s="15"/>
      <c r="BT752" s="15"/>
      <c r="BU752" s="15"/>
      <c r="BV752" s="15"/>
      <c r="BW752" s="15"/>
      <c r="BX752" s="15"/>
      <c r="BY752" s="15"/>
      <c r="BZ752" s="15"/>
      <c r="CA752" s="15"/>
    </row>
    <row r="753" spans="68:79" ht="15" customHeight="1" x14ac:dyDescent="0.3">
      <c r="BP753" s="15"/>
      <c r="BQ753" s="15"/>
      <c r="BR753" s="15"/>
      <c r="BS753" s="15"/>
      <c r="BT753" s="15"/>
      <c r="BU753" s="15"/>
      <c r="BV753" s="15"/>
      <c r="BW753" s="15"/>
      <c r="BX753" s="15"/>
      <c r="BY753" s="15"/>
      <c r="BZ753" s="15"/>
      <c r="CA753" s="15"/>
    </row>
    <row r="754" spans="68:79" ht="15" customHeight="1" x14ac:dyDescent="0.3">
      <c r="BP754" s="15"/>
      <c r="BQ754" s="15"/>
      <c r="BR754" s="15"/>
      <c r="BS754" s="15"/>
      <c r="BT754" s="15"/>
      <c r="BU754" s="15"/>
      <c r="BV754" s="15"/>
      <c r="BW754" s="15"/>
      <c r="BX754" s="15"/>
      <c r="BY754" s="15"/>
      <c r="BZ754" s="15"/>
      <c r="CA754" s="15"/>
    </row>
    <row r="755" spans="68:79" ht="15" customHeight="1" x14ac:dyDescent="0.3">
      <c r="BP755" s="15"/>
      <c r="BQ755" s="15"/>
      <c r="BR755" s="15"/>
      <c r="BS755" s="15"/>
      <c r="BT755" s="15"/>
      <c r="BU755" s="15"/>
      <c r="BV755" s="15"/>
      <c r="BW755" s="15"/>
      <c r="BX755" s="15"/>
      <c r="BY755" s="15"/>
      <c r="BZ755" s="15"/>
      <c r="CA755" s="15"/>
    </row>
    <row r="756" spans="68:79" ht="15" customHeight="1" x14ac:dyDescent="0.3">
      <c r="BP756" s="15"/>
      <c r="BQ756" s="15"/>
      <c r="BR756" s="15"/>
      <c r="BS756" s="15"/>
      <c r="BT756" s="15"/>
      <c r="BU756" s="15"/>
      <c r="BV756" s="15"/>
      <c r="BW756" s="15"/>
      <c r="BX756" s="15"/>
      <c r="BY756" s="15"/>
      <c r="BZ756" s="15"/>
      <c r="CA756" s="15"/>
    </row>
    <row r="757" spans="68:79" ht="15" customHeight="1" x14ac:dyDescent="0.3">
      <c r="BP757" s="15"/>
      <c r="BQ757" s="15"/>
      <c r="BR757" s="15"/>
      <c r="BS757" s="15"/>
      <c r="BT757" s="15"/>
      <c r="BU757" s="15"/>
      <c r="BV757" s="15"/>
      <c r="BW757" s="15"/>
      <c r="BX757" s="15"/>
      <c r="BY757" s="15"/>
      <c r="BZ757" s="15"/>
      <c r="CA757" s="15"/>
    </row>
    <row r="758" spans="68:79" ht="15" customHeight="1" x14ac:dyDescent="0.3">
      <c r="BP758" s="15"/>
      <c r="BQ758" s="15"/>
      <c r="BR758" s="15"/>
      <c r="BS758" s="15"/>
      <c r="BT758" s="15"/>
      <c r="BU758" s="15"/>
      <c r="BV758" s="15"/>
      <c r="BW758" s="15"/>
      <c r="BX758" s="15"/>
      <c r="BY758" s="15"/>
      <c r="BZ758" s="15"/>
      <c r="CA758" s="15"/>
    </row>
    <row r="759" spans="68:79" ht="15" customHeight="1" x14ac:dyDescent="0.3">
      <c r="BP759" s="15"/>
      <c r="BQ759" s="15"/>
      <c r="BR759" s="15"/>
      <c r="BS759" s="15"/>
      <c r="BT759" s="15"/>
      <c r="BU759" s="15"/>
      <c r="BV759" s="15"/>
      <c r="BW759" s="15"/>
      <c r="BX759" s="15"/>
      <c r="BY759" s="15"/>
      <c r="BZ759" s="15"/>
      <c r="CA759" s="15"/>
    </row>
    <row r="760" spans="68:79" ht="15" customHeight="1" x14ac:dyDescent="0.3">
      <c r="BP760" s="15"/>
      <c r="BQ760" s="15"/>
      <c r="BR760" s="15"/>
      <c r="BS760" s="15"/>
      <c r="BT760" s="15"/>
      <c r="BU760" s="15"/>
      <c r="BV760" s="15"/>
      <c r="BW760" s="15"/>
      <c r="BX760" s="15"/>
      <c r="BY760" s="15"/>
      <c r="BZ760" s="15"/>
      <c r="CA760" s="15"/>
    </row>
    <row r="761" spans="68:79" ht="15" customHeight="1" x14ac:dyDescent="0.3">
      <c r="BP761" s="15"/>
      <c r="BQ761" s="15"/>
      <c r="BR761" s="15"/>
      <c r="BS761" s="15"/>
      <c r="BT761" s="15"/>
      <c r="BU761" s="15"/>
      <c r="BV761" s="15"/>
      <c r="BW761" s="15"/>
      <c r="BX761" s="15"/>
      <c r="BY761" s="15"/>
      <c r="BZ761" s="15"/>
      <c r="CA761" s="15"/>
    </row>
    <row r="762" spans="68:79" ht="15" customHeight="1" x14ac:dyDescent="0.3">
      <c r="BP762" s="15"/>
      <c r="BQ762" s="15"/>
      <c r="BR762" s="15"/>
      <c r="BS762" s="15"/>
      <c r="BT762" s="15"/>
      <c r="BU762" s="15"/>
      <c r="BV762" s="15"/>
      <c r="BW762" s="15"/>
      <c r="BX762" s="15"/>
      <c r="BY762" s="15"/>
      <c r="BZ762" s="15"/>
      <c r="CA762" s="15"/>
    </row>
    <row r="763" spans="68:79" ht="15" customHeight="1" x14ac:dyDescent="0.3">
      <c r="BP763" s="15"/>
      <c r="BQ763" s="15"/>
      <c r="BR763" s="15"/>
      <c r="BS763" s="15"/>
      <c r="BT763" s="15"/>
      <c r="BU763" s="15"/>
      <c r="BV763" s="15"/>
      <c r="BW763" s="15"/>
      <c r="BX763" s="15"/>
      <c r="BY763" s="15"/>
      <c r="BZ763" s="15"/>
      <c r="CA763" s="15"/>
    </row>
    <row r="764" spans="68:79" ht="15" customHeight="1" x14ac:dyDescent="0.3">
      <c r="BP764" s="15"/>
      <c r="BQ764" s="15"/>
      <c r="BR764" s="15"/>
      <c r="BS764" s="15"/>
      <c r="BT764" s="15"/>
      <c r="BU764" s="15"/>
      <c r="BV764" s="15"/>
      <c r="BW764" s="15"/>
      <c r="BX764" s="15"/>
      <c r="BY764" s="15"/>
      <c r="BZ764" s="15"/>
      <c r="CA764" s="15"/>
    </row>
    <row r="765" spans="68:79" ht="15" customHeight="1" x14ac:dyDescent="0.3">
      <c r="BP765" s="15"/>
      <c r="BQ765" s="15"/>
      <c r="BR765" s="15"/>
      <c r="BS765" s="15"/>
      <c r="BT765" s="15"/>
      <c r="BU765" s="15"/>
      <c r="BV765" s="15"/>
      <c r="BW765" s="15"/>
      <c r="BX765" s="15"/>
      <c r="BY765" s="15"/>
      <c r="BZ765" s="15"/>
      <c r="CA765" s="15"/>
    </row>
    <row r="766" spans="68:79" ht="15" customHeight="1" x14ac:dyDescent="0.3">
      <c r="BP766" s="15"/>
      <c r="BQ766" s="15"/>
      <c r="BR766" s="15"/>
      <c r="BS766" s="15"/>
      <c r="BT766" s="15"/>
      <c r="BU766" s="15"/>
      <c r="BV766" s="15"/>
      <c r="BW766" s="15"/>
      <c r="BX766" s="15"/>
      <c r="BY766" s="15"/>
      <c r="BZ766" s="15"/>
      <c r="CA766" s="15"/>
    </row>
    <row r="767" spans="68:79" ht="15" customHeight="1" x14ac:dyDescent="0.3">
      <c r="BP767" s="15"/>
      <c r="BQ767" s="15"/>
      <c r="BR767" s="15"/>
      <c r="BS767" s="15"/>
      <c r="BT767" s="15"/>
      <c r="BU767" s="15"/>
      <c r="BV767" s="15"/>
      <c r="BW767" s="15"/>
      <c r="BX767" s="15"/>
      <c r="BY767" s="15"/>
      <c r="BZ767" s="15"/>
      <c r="CA767" s="15"/>
    </row>
    <row r="768" spans="68:79" ht="15" customHeight="1" x14ac:dyDescent="0.3">
      <c r="BP768" s="15"/>
      <c r="BQ768" s="15"/>
      <c r="BR768" s="15"/>
      <c r="BS768" s="15"/>
      <c r="BT768" s="15"/>
      <c r="BU768" s="15"/>
      <c r="BV768" s="15"/>
      <c r="BW768" s="15"/>
      <c r="BX768" s="15"/>
      <c r="BY768" s="15"/>
      <c r="BZ768" s="15"/>
      <c r="CA768" s="15"/>
    </row>
    <row r="769" spans="68:79" ht="15" customHeight="1" x14ac:dyDescent="0.3">
      <c r="BP769" s="15"/>
      <c r="BQ769" s="15"/>
      <c r="BR769" s="15"/>
      <c r="BS769" s="15"/>
      <c r="BT769" s="15"/>
      <c r="BU769" s="15"/>
      <c r="BV769" s="15"/>
      <c r="BW769" s="15"/>
      <c r="BX769" s="15"/>
      <c r="BY769" s="15"/>
      <c r="BZ769" s="15"/>
      <c r="CA769" s="15"/>
    </row>
    <row r="770" spans="68:79" ht="15" customHeight="1" x14ac:dyDescent="0.3">
      <c r="BP770" s="15"/>
      <c r="BQ770" s="15"/>
      <c r="BR770" s="15"/>
      <c r="BS770" s="15"/>
      <c r="BT770" s="15"/>
      <c r="BU770" s="15"/>
      <c r="BV770" s="15"/>
      <c r="BW770" s="15"/>
      <c r="BX770" s="15"/>
      <c r="BY770" s="15"/>
      <c r="BZ770" s="15"/>
      <c r="CA770" s="15"/>
    </row>
    <row r="771" spans="68:79" ht="15" customHeight="1" x14ac:dyDescent="0.3">
      <c r="BP771" s="15"/>
      <c r="BQ771" s="15"/>
      <c r="BR771" s="15"/>
      <c r="BS771" s="15"/>
      <c r="BT771" s="15"/>
      <c r="BU771" s="15"/>
      <c r="BV771" s="15"/>
      <c r="BW771" s="15"/>
      <c r="BX771" s="15"/>
      <c r="BY771" s="15"/>
      <c r="BZ771" s="15"/>
      <c r="CA771" s="15"/>
    </row>
    <row r="772" spans="68:79" ht="15" customHeight="1" x14ac:dyDescent="0.3">
      <c r="BP772" s="15"/>
      <c r="BQ772" s="15"/>
      <c r="BR772" s="15"/>
      <c r="BS772" s="15"/>
      <c r="BT772" s="15"/>
      <c r="BU772" s="15"/>
      <c r="BV772" s="15"/>
      <c r="BW772" s="15"/>
      <c r="BX772" s="15"/>
      <c r="BY772" s="15"/>
      <c r="BZ772" s="15"/>
      <c r="CA772" s="15"/>
    </row>
    <row r="773" spans="68:79" ht="15" customHeight="1" x14ac:dyDescent="0.3">
      <c r="BP773" s="15"/>
      <c r="BQ773" s="15"/>
      <c r="BR773" s="15"/>
      <c r="BS773" s="15"/>
      <c r="BT773" s="15"/>
      <c r="BU773" s="15"/>
      <c r="BV773" s="15"/>
      <c r="BW773" s="15"/>
      <c r="BX773" s="15"/>
      <c r="BY773" s="15"/>
      <c r="BZ773" s="15"/>
      <c r="CA773" s="15"/>
    </row>
    <row r="774" spans="68:79" ht="15" customHeight="1" x14ac:dyDescent="0.3">
      <c r="BP774" s="15"/>
      <c r="BQ774" s="15"/>
      <c r="BR774" s="15"/>
      <c r="BS774" s="15"/>
      <c r="BT774" s="15"/>
      <c r="BU774" s="15"/>
      <c r="BV774" s="15"/>
      <c r="BW774" s="15"/>
      <c r="BX774" s="15"/>
      <c r="BY774" s="15"/>
      <c r="BZ774" s="15"/>
      <c r="CA774" s="15"/>
    </row>
    <row r="775" spans="68:79" ht="15" customHeight="1" x14ac:dyDescent="0.3">
      <c r="BP775" s="15"/>
      <c r="BQ775" s="15"/>
      <c r="BR775" s="15"/>
      <c r="BS775" s="15"/>
      <c r="BT775" s="15"/>
      <c r="BU775" s="15"/>
      <c r="BV775" s="15"/>
      <c r="BW775" s="15"/>
      <c r="BX775" s="15"/>
      <c r="BY775" s="15"/>
      <c r="BZ775" s="15"/>
      <c r="CA775" s="15"/>
    </row>
    <row r="776" spans="68:79" ht="15" customHeight="1" x14ac:dyDescent="0.3">
      <c r="BP776" s="15"/>
      <c r="BQ776" s="15"/>
      <c r="BR776" s="15"/>
      <c r="BS776" s="15"/>
      <c r="BT776" s="15"/>
      <c r="BU776" s="15"/>
      <c r="BV776" s="15"/>
      <c r="BW776" s="15"/>
      <c r="BX776" s="15"/>
      <c r="BY776" s="15"/>
      <c r="BZ776" s="15"/>
      <c r="CA776" s="15"/>
    </row>
    <row r="777" spans="68:79" ht="15" customHeight="1" x14ac:dyDescent="0.3">
      <c r="BP777" s="15"/>
      <c r="BQ777" s="15"/>
      <c r="BR777" s="15"/>
      <c r="BS777" s="15"/>
      <c r="BT777" s="15"/>
      <c r="BU777" s="15"/>
      <c r="BV777" s="15"/>
      <c r="BW777" s="15"/>
      <c r="BX777" s="15"/>
      <c r="BY777" s="15"/>
      <c r="BZ777" s="15"/>
      <c r="CA777" s="15"/>
    </row>
    <row r="778" spans="68:79" ht="15" customHeight="1" x14ac:dyDescent="0.3">
      <c r="BP778" s="15"/>
      <c r="BQ778" s="15"/>
      <c r="BR778" s="15"/>
      <c r="BS778" s="15"/>
      <c r="BT778" s="15"/>
      <c r="BU778" s="15"/>
      <c r="BV778" s="15"/>
      <c r="BW778" s="15"/>
      <c r="BX778" s="15"/>
      <c r="BY778" s="15"/>
      <c r="BZ778" s="15"/>
      <c r="CA778" s="15"/>
    </row>
    <row r="779" spans="68:79" ht="15" customHeight="1" x14ac:dyDescent="0.3">
      <c r="BP779" s="15"/>
      <c r="BQ779" s="15"/>
      <c r="BR779" s="15"/>
      <c r="BS779" s="15"/>
      <c r="BT779" s="15"/>
      <c r="BU779" s="15"/>
      <c r="BV779" s="15"/>
      <c r="BW779" s="15"/>
      <c r="BX779" s="15"/>
      <c r="BY779" s="15"/>
      <c r="BZ779" s="15"/>
      <c r="CA779" s="15"/>
    </row>
    <row r="780" spans="68:79" ht="15" customHeight="1" x14ac:dyDescent="0.3">
      <c r="BP780" s="15"/>
      <c r="BQ780" s="15"/>
      <c r="BR780" s="15"/>
      <c r="BS780" s="15"/>
      <c r="BT780" s="15"/>
      <c r="BU780" s="15"/>
      <c r="BV780" s="15"/>
      <c r="BW780" s="15"/>
      <c r="BX780" s="15"/>
      <c r="BY780" s="15"/>
      <c r="BZ780" s="15"/>
      <c r="CA780" s="15"/>
    </row>
    <row r="781" spans="68:79" ht="15" customHeight="1" x14ac:dyDescent="0.3">
      <c r="BP781" s="15"/>
      <c r="BQ781" s="15"/>
      <c r="BR781" s="15"/>
      <c r="BS781" s="15"/>
      <c r="BT781" s="15"/>
      <c r="BU781" s="15"/>
      <c r="BV781" s="15"/>
      <c r="BW781" s="15"/>
      <c r="BX781" s="15"/>
      <c r="BY781" s="15"/>
      <c r="BZ781" s="15"/>
      <c r="CA781" s="15"/>
    </row>
    <row r="782" spans="68:79" ht="15" customHeight="1" x14ac:dyDescent="0.3">
      <c r="BP782" s="15"/>
      <c r="BQ782" s="15"/>
      <c r="BR782" s="15"/>
      <c r="BS782" s="15"/>
      <c r="BT782" s="15"/>
      <c r="BU782" s="15"/>
      <c r="BV782" s="15"/>
      <c r="BW782" s="15"/>
      <c r="BX782" s="15"/>
      <c r="BY782" s="15"/>
      <c r="BZ782" s="15"/>
      <c r="CA782" s="15"/>
    </row>
    <row r="783" spans="68:79" ht="15" customHeight="1" x14ac:dyDescent="0.3">
      <c r="BP783" s="15"/>
      <c r="BQ783" s="15"/>
      <c r="BR783" s="15"/>
      <c r="BS783" s="15"/>
      <c r="BT783" s="15"/>
      <c r="BU783" s="15"/>
      <c r="BV783" s="15"/>
      <c r="BW783" s="15"/>
      <c r="BX783" s="15"/>
      <c r="BY783" s="15"/>
      <c r="BZ783" s="15"/>
      <c r="CA783" s="15"/>
    </row>
    <row r="784" spans="68:79" ht="15" customHeight="1" x14ac:dyDescent="0.3">
      <c r="BP784" s="15"/>
      <c r="BQ784" s="15"/>
      <c r="BR784" s="15"/>
      <c r="BS784" s="15"/>
      <c r="BT784" s="15"/>
      <c r="BU784" s="15"/>
      <c r="BV784" s="15"/>
      <c r="BW784" s="15"/>
      <c r="BX784" s="15"/>
      <c r="BY784" s="15"/>
      <c r="BZ784" s="15"/>
      <c r="CA784" s="15"/>
    </row>
    <row r="785" spans="68:79" ht="15" customHeight="1" x14ac:dyDescent="0.3">
      <c r="BP785" s="15"/>
      <c r="BQ785" s="15"/>
      <c r="BR785" s="15"/>
      <c r="BS785" s="15"/>
      <c r="BT785" s="15"/>
      <c r="BU785" s="15"/>
      <c r="BV785" s="15"/>
      <c r="BW785" s="15"/>
      <c r="BX785" s="15"/>
      <c r="BY785" s="15"/>
      <c r="BZ785" s="15"/>
      <c r="CA785" s="15"/>
    </row>
    <row r="786" spans="68:79" ht="15" customHeight="1" x14ac:dyDescent="0.3">
      <c r="BP786" s="15"/>
      <c r="BQ786" s="15"/>
      <c r="BR786" s="15"/>
      <c r="BS786" s="15"/>
      <c r="BT786" s="15"/>
      <c r="BU786" s="15"/>
      <c r="BV786" s="15"/>
      <c r="BW786" s="15"/>
      <c r="BX786" s="15"/>
      <c r="BY786" s="15"/>
      <c r="BZ786" s="15"/>
      <c r="CA786" s="15"/>
    </row>
    <row r="787" spans="68:79" ht="15" customHeight="1" x14ac:dyDescent="0.3">
      <c r="BP787" s="15"/>
      <c r="BQ787" s="15"/>
      <c r="BR787" s="15"/>
      <c r="BS787" s="15"/>
      <c r="BT787" s="15"/>
      <c r="BU787" s="15"/>
      <c r="BV787" s="15"/>
      <c r="BW787" s="15"/>
      <c r="BX787" s="15"/>
      <c r="BY787" s="15"/>
      <c r="BZ787" s="15"/>
      <c r="CA787" s="15"/>
    </row>
    <row r="788" spans="68:79" ht="15" customHeight="1" x14ac:dyDescent="0.3">
      <c r="BP788" s="15"/>
      <c r="BQ788" s="15"/>
      <c r="BR788" s="15"/>
      <c r="BS788" s="15"/>
      <c r="BT788" s="15"/>
      <c r="BU788" s="15"/>
      <c r="BV788" s="15"/>
      <c r="BW788" s="15"/>
      <c r="BX788" s="15"/>
      <c r="BY788" s="15"/>
      <c r="BZ788" s="15"/>
      <c r="CA788" s="15"/>
    </row>
    <row r="789" spans="68:79" ht="15" customHeight="1" x14ac:dyDescent="0.3">
      <c r="BP789" s="15"/>
      <c r="BQ789" s="15"/>
      <c r="BR789" s="15"/>
      <c r="BS789" s="15"/>
      <c r="BT789" s="15"/>
      <c r="BU789" s="15"/>
      <c r="BV789" s="15"/>
      <c r="BW789" s="15"/>
      <c r="BX789" s="15"/>
      <c r="BY789" s="15"/>
      <c r="BZ789" s="15"/>
      <c r="CA789" s="15"/>
    </row>
    <row r="790" spans="68:79" ht="15" customHeight="1" x14ac:dyDescent="0.3">
      <c r="BP790" s="15"/>
      <c r="BQ790" s="15"/>
      <c r="BR790" s="15"/>
      <c r="BS790" s="15"/>
      <c r="BT790" s="15"/>
      <c r="BU790" s="15"/>
      <c r="BV790" s="15"/>
      <c r="BW790" s="15"/>
      <c r="BX790" s="15"/>
      <c r="BY790" s="15"/>
      <c r="BZ790" s="15"/>
      <c r="CA790" s="15"/>
    </row>
    <row r="791" spans="68:79" ht="15" customHeight="1" x14ac:dyDescent="0.3">
      <c r="BP791" s="15"/>
      <c r="BQ791" s="15"/>
      <c r="BR791" s="15"/>
      <c r="BS791" s="15"/>
      <c r="BT791" s="15"/>
      <c r="BU791" s="15"/>
      <c r="BV791" s="15"/>
      <c r="BW791" s="15"/>
      <c r="BX791" s="15"/>
      <c r="BY791" s="15"/>
      <c r="BZ791" s="15"/>
      <c r="CA791" s="15"/>
    </row>
    <row r="792" spans="68:79" ht="15" customHeight="1" x14ac:dyDescent="0.3">
      <c r="BP792" s="15"/>
      <c r="BQ792" s="15"/>
      <c r="BR792" s="15"/>
      <c r="BS792" s="15"/>
      <c r="BT792" s="15"/>
      <c r="BU792" s="15"/>
      <c r="BV792" s="15"/>
      <c r="BW792" s="15"/>
      <c r="BX792" s="15"/>
      <c r="BY792" s="15"/>
      <c r="BZ792" s="15"/>
      <c r="CA792" s="15"/>
    </row>
    <row r="793" spans="68:79" ht="15" customHeight="1" x14ac:dyDescent="0.3">
      <c r="BP793" s="15"/>
      <c r="BQ793" s="15"/>
      <c r="BR793" s="15"/>
      <c r="BS793" s="15"/>
      <c r="BT793" s="15"/>
      <c r="BU793" s="15"/>
      <c r="BV793" s="15"/>
      <c r="BW793" s="15"/>
      <c r="BX793" s="15"/>
      <c r="BY793" s="15"/>
      <c r="BZ793" s="15"/>
      <c r="CA793" s="15"/>
    </row>
    <row r="794" spans="68:79" ht="15" customHeight="1" x14ac:dyDescent="0.3">
      <c r="BP794" s="15"/>
      <c r="BQ794" s="15"/>
      <c r="BR794" s="15"/>
      <c r="BS794" s="15"/>
      <c r="BT794" s="15"/>
      <c r="BU794" s="15"/>
      <c r="BV794" s="15"/>
      <c r="BW794" s="15"/>
      <c r="BX794" s="15"/>
      <c r="BY794" s="15"/>
      <c r="BZ794" s="15"/>
      <c r="CA794" s="15"/>
    </row>
    <row r="795" spans="68:79" ht="15" customHeight="1" x14ac:dyDescent="0.3">
      <c r="BP795" s="15"/>
      <c r="BQ795" s="15"/>
      <c r="BR795" s="15"/>
      <c r="BS795" s="15"/>
      <c r="BT795" s="15"/>
      <c r="BU795" s="15"/>
      <c r="BV795" s="15"/>
      <c r="BW795" s="15"/>
      <c r="BX795" s="15"/>
      <c r="BY795" s="15"/>
      <c r="BZ795" s="15"/>
      <c r="CA795" s="15"/>
    </row>
    <row r="796" spans="68:79" ht="15" customHeight="1" x14ac:dyDescent="0.3">
      <c r="BP796" s="15"/>
      <c r="BQ796" s="15"/>
      <c r="BR796" s="15"/>
      <c r="BS796" s="15"/>
      <c r="BT796" s="15"/>
      <c r="BU796" s="15"/>
      <c r="BV796" s="15"/>
      <c r="BW796" s="15"/>
      <c r="BX796" s="15"/>
      <c r="BY796" s="15"/>
      <c r="BZ796" s="15"/>
      <c r="CA796" s="15"/>
    </row>
    <row r="797" spans="68:79" ht="15" customHeight="1" x14ac:dyDescent="0.3">
      <c r="BP797" s="15"/>
      <c r="BQ797" s="15"/>
      <c r="BR797" s="15"/>
      <c r="BS797" s="15"/>
      <c r="BT797" s="15"/>
      <c r="BU797" s="15"/>
      <c r="BV797" s="15"/>
      <c r="BW797" s="15"/>
      <c r="BX797" s="15"/>
      <c r="BY797" s="15"/>
      <c r="BZ797" s="15"/>
      <c r="CA797" s="15"/>
    </row>
    <row r="798" spans="68:79" ht="15" customHeight="1" x14ac:dyDescent="0.3">
      <c r="BP798" s="15"/>
      <c r="BQ798" s="15"/>
      <c r="BR798" s="15"/>
      <c r="BS798" s="15"/>
      <c r="BT798" s="15"/>
      <c r="BU798" s="15"/>
      <c r="BV798" s="15"/>
      <c r="BW798" s="15"/>
      <c r="BX798" s="15"/>
      <c r="BY798" s="15"/>
      <c r="BZ798" s="15"/>
      <c r="CA798" s="15"/>
    </row>
    <row r="799" spans="68:79" ht="15" customHeight="1" x14ac:dyDescent="0.3">
      <c r="BP799" s="15"/>
      <c r="BQ799" s="15"/>
      <c r="BR799" s="15"/>
      <c r="BS799" s="15"/>
      <c r="BT799" s="15"/>
      <c r="BU799" s="15"/>
      <c r="BV799" s="15"/>
      <c r="BW799" s="15"/>
      <c r="BX799" s="15"/>
      <c r="BY799" s="15"/>
      <c r="BZ799" s="15"/>
      <c r="CA799" s="15"/>
    </row>
    <row r="800" spans="68:79" ht="15" customHeight="1" x14ac:dyDescent="0.3">
      <c r="BP800" s="15"/>
      <c r="BQ800" s="15"/>
      <c r="BR800" s="15"/>
      <c r="BS800" s="15"/>
      <c r="BT800" s="15"/>
      <c r="BU800" s="15"/>
      <c r="BV800" s="15"/>
      <c r="BW800" s="15"/>
      <c r="BX800" s="15"/>
      <c r="BY800" s="15"/>
      <c r="BZ800" s="15"/>
      <c r="CA800" s="15"/>
    </row>
    <row r="801" spans="68:79" ht="15" customHeight="1" x14ac:dyDescent="0.3">
      <c r="BP801" s="15"/>
      <c r="BQ801" s="15"/>
      <c r="BR801" s="15"/>
      <c r="BS801" s="15"/>
      <c r="BT801" s="15"/>
      <c r="BU801" s="15"/>
      <c r="BV801" s="15"/>
      <c r="BW801" s="15"/>
      <c r="BX801" s="15"/>
      <c r="BY801" s="15"/>
      <c r="BZ801" s="15"/>
      <c r="CA801" s="15"/>
    </row>
    <row r="802" spans="68:79" ht="15" customHeight="1" x14ac:dyDescent="0.3">
      <c r="BP802" s="15"/>
      <c r="BQ802" s="15"/>
      <c r="BR802" s="15"/>
      <c r="BS802" s="15"/>
      <c r="BT802" s="15"/>
      <c r="BU802" s="15"/>
      <c r="BV802" s="15"/>
      <c r="BW802" s="15"/>
      <c r="BX802" s="15"/>
      <c r="BY802" s="15"/>
      <c r="BZ802" s="15"/>
      <c r="CA802" s="15"/>
    </row>
    <row r="803" spans="68:79" ht="15" customHeight="1" x14ac:dyDescent="0.3">
      <c r="BP803" s="15"/>
      <c r="BQ803" s="15"/>
      <c r="BR803" s="15"/>
      <c r="BS803" s="15"/>
      <c r="BT803" s="15"/>
      <c r="BU803" s="15"/>
      <c r="BV803" s="15"/>
      <c r="BW803" s="15"/>
      <c r="BX803" s="15"/>
      <c r="BY803" s="15"/>
      <c r="BZ803" s="15"/>
      <c r="CA803" s="15"/>
    </row>
    <row r="804" spans="68:79" ht="15" customHeight="1" x14ac:dyDescent="0.3">
      <c r="BP804" s="15"/>
      <c r="BQ804" s="15"/>
      <c r="BR804" s="15"/>
      <c r="BS804" s="15"/>
      <c r="BT804" s="15"/>
      <c r="BU804" s="15"/>
      <c r="BV804" s="15"/>
      <c r="BW804" s="15"/>
      <c r="BX804" s="15"/>
      <c r="BY804" s="15"/>
      <c r="BZ804" s="15"/>
      <c r="CA804" s="15"/>
    </row>
    <row r="805" spans="68:79" ht="15" customHeight="1" x14ac:dyDescent="0.3">
      <c r="BP805" s="15"/>
      <c r="BQ805" s="15"/>
      <c r="BR805" s="15"/>
      <c r="BS805" s="15"/>
      <c r="BT805" s="15"/>
      <c r="BU805" s="15"/>
      <c r="BV805" s="15"/>
      <c r="BW805" s="15"/>
      <c r="BX805" s="15"/>
      <c r="BY805" s="15"/>
      <c r="BZ805" s="15"/>
      <c r="CA805" s="15"/>
    </row>
    <row r="806" spans="68:79" ht="15" customHeight="1" x14ac:dyDescent="0.3">
      <c r="BP806" s="15"/>
      <c r="BQ806" s="15"/>
      <c r="BR806" s="15"/>
      <c r="BS806" s="15"/>
      <c r="BT806" s="15"/>
      <c r="BU806" s="15"/>
      <c r="BV806" s="15"/>
      <c r="BW806" s="15"/>
      <c r="BX806" s="15"/>
      <c r="BY806" s="15"/>
      <c r="BZ806" s="15"/>
      <c r="CA806" s="15"/>
    </row>
    <row r="807" spans="68:79" ht="15" customHeight="1" x14ac:dyDescent="0.3">
      <c r="BP807" s="15"/>
      <c r="BQ807" s="15"/>
      <c r="BR807" s="15"/>
      <c r="BS807" s="15"/>
      <c r="BT807" s="15"/>
      <c r="BU807" s="15"/>
      <c r="BV807" s="15"/>
      <c r="BW807" s="15"/>
      <c r="BX807" s="15"/>
      <c r="BY807" s="15"/>
      <c r="BZ807" s="15"/>
      <c r="CA807" s="15"/>
    </row>
    <row r="808" spans="68:79" ht="15" customHeight="1" x14ac:dyDescent="0.3">
      <c r="BP808" s="15"/>
      <c r="BQ808" s="15"/>
      <c r="BR808" s="15"/>
      <c r="BS808" s="15"/>
      <c r="BT808" s="15"/>
      <c r="BU808" s="15"/>
      <c r="BV808" s="15"/>
      <c r="BW808" s="15"/>
      <c r="BX808" s="15"/>
      <c r="BY808" s="15"/>
      <c r="BZ808" s="15"/>
      <c r="CA808" s="15"/>
    </row>
    <row r="809" spans="68:79" ht="15" customHeight="1" x14ac:dyDescent="0.3">
      <c r="BP809" s="15"/>
      <c r="BQ809" s="15"/>
      <c r="BR809" s="15"/>
      <c r="BS809" s="15"/>
      <c r="BT809" s="15"/>
      <c r="BU809" s="15"/>
      <c r="BV809" s="15"/>
      <c r="BW809" s="15"/>
      <c r="BX809" s="15"/>
      <c r="BY809" s="15"/>
      <c r="BZ809" s="15"/>
      <c r="CA809" s="15"/>
    </row>
    <row r="810" spans="68:79" ht="15" customHeight="1" x14ac:dyDescent="0.3">
      <c r="BP810" s="15"/>
      <c r="BQ810" s="15"/>
      <c r="BR810" s="15"/>
      <c r="BS810" s="15"/>
      <c r="BT810" s="15"/>
      <c r="BU810" s="15"/>
      <c r="BV810" s="15"/>
      <c r="BW810" s="15"/>
      <c r="BX810" s="15"/>
      <c r="BY810" s="15"/>
      <c r="BZ810" s="15"/>
      <c r="CA810" s="15"/>
    </row>
    <row r="811" spans="68:79" ht="15" customHeight="1" x14ac:dyDescent="0.3">
      <c r="BP811" s="15"/>
      <c r="BQ811" s="15"/>
      <c r="BR811" s="15"/>
      <c r="BS811" s="15"/>
      <c r="BT811" s="15"/>
      <c r="BU811" s="15"/>
      <c r="BV811" s="15"/>
      <c r="BW811" s="15"/>
      <c r="BX811" s="15"/>
      <c r="BY811" s="15"/>
      <c r="BZ811" s="15"/>
      <c r="CA811" s="15"/>
    </row>
    <row r="812" spans="68:79" ht="15" customHeight="1" x14ac:dyDescent="0.3">
      <c r="BP812" s="15"/>
      <c r="BQ812" s="15"/>
      <c r="BR812" s="15"/>
      <c r="BS812" s="15"/>
      <c r="BT812" s="15"/>
      <c r="BU812" s="15"/>
      <c r="BV812" s="15"/>
      <c r="BW812" s="15"/>
      <c r="BX812" s="15"/>
      <c r="BY812" s="15"/>
      <c r="BZ812" s="15"/>
      <c r="CA812" s="15"/>
    </row>
    <row r="813" spans="68:79" ht="15" customHeight="1" x14ac:dyDescent="0.3">
      <c r="BP813" s="15"/>
      <c r="BQ813" s="15"/>
      <c r="BR813" s="15"/>
      <c r="BS813" s="15"/>
      <c r="BT813" s="15"/>
      <c r="BU813" s="15"/>
      <c r="BV813" s="15"/>
      <c r="BW813" s="15"/>
      <c r="BX813" s="15"/>
      <c r="BY813" s="15"/>
      <c r="BZ813" s="15"/>
      <c r="CA813" s="15"/>
    </row>
    <row r="814" spans="68:79" ht="15" customHeight="1" x14ac:dyDescent="0.3">
      <c r="BP814" s="15"/>
      <c r="BQ814" s="15"/>
      <c r="BR814" s="15"/>
      <c r="BS814" s="15"/>
      <c r="BT814" s="15"/>
      <c r="BU814" s="15"/>
      <c r="BV814" s="15"/>
      <c r="BW814" s="15"/>
      <c r="BX814" s="15"/>
      <c r="BY814" s="15"/>
      <c r="BZ814" s="15"/>
      <c r="CA814" s="15"/>
    </row>
    <row r="815" spans="68:79" ht="15" customHeight="1" x14ac:dyDescent="0.3">
      <c r="BP815" s="15"/>
      <c r="BQ815" s="15"/>
      <c r="BR815" s="15"/>
      <c r="BS815" s="15"/>
      <c r="BT815" s="15"/>
      <c r="BU815" s="15"/>
      <c r="BV815" s="15"/>
      <c r="BW815" s="15"/>
      <c r="BX815" s="15"/>
      <c r="BY815" s="15"/>
      <c r="BZ815" s="15"/>
      <c r="CA815" s="15"/>
    </row>
    <row r="816" spans="68:79" ht="15" customHeight="1" x14ac:dyDescent="0.3">
      <c r="BP816" s="15"/>
      <c r="BQ816" s="15"/>
      <c r="BR816" s="15"/>
      <c r="BS816" s="15"/>
      <c r="BT816" s="15"/>
      <c r="BU816" s="15"/>
      <c r="BV816" s="15"/>
      <c r="BW816" s="15"/>
      <c r="BX816" s="15"/>
      <c r="BY816" s="15"/>
      <c r="BZ816" s="15"/>
      <c r="CA816" s="15"/>
    </row>
    <row r="817" spans="68:79" ht="15" customHeight="1" x14ac:dyDescent="0.3">
      <c r="BP817" s="15"/>
      <c r="BQ817" s="15"/>
      <c r="BR817" s="15"/>
      <c r="BS817" s="15"/>
      <c r="BT817" s="15"/>
      <c r="BU817" s="15"/>
      <c r="BV817" s="15"/>
      <c r="BW817" s="15"/>
      <c r="BX817" s="15"/>
      <c r="BY817" s="15"/>
      <c r="BZ817" s="15"/>
      <c r="CA817" s="15"/>
    </row>
    <row r="818" spans="68:79" ht="15" customHeight="1" x14ac:dyDescent="0.3">
      <c r="BP818" s="15"/>
      <c r="BQ818" s="15"/>
      <c r="BR818" s="15"/>
      <c r="BS818" s="15"/>
      <c r="BT818" s="15"/>
      <c r="BU818" s="15"/>
      <c r="BV818" s="15"/>
      <c r="BW818" s="15"/>
      <c r="BX818" s="15"/>
      <c r="BY818" s="15"/>
      <c r="BZ818" s="15"/>
      <c r="CA818" s="15"/>
    </row>
    <row r="819" spans="68:79" ht="15" customHeight="1" x14ac:dyDescent="0.3">
      <c r="BP819" s="15"/>
      <c r="BQ819" s="15"/>
      <c r="BR819" s="15"/>
      <c r="BS819" s="15"/>
      <c r="BT819" s="15"/>
      <c r="BU819" s="15"/>
      <c r="BV819" s="15"/>
      <c r="BW819" s="15"/>
      <c r="BX819" s="15"/>
      <c r="BY819" s="15"/>
      <c r="BZ819" s="15"/>
      <c r="CA819" s="15"/>
    </row>
    <row r="820" spans="68:79" ht="15" customHeight="1" x14ac:dyDescent="0.3">
      <c r="BP820" s="15"/>
      <c r="BQ820" s="15"/>
      <c r="BR820" s="15"/>
      <c r="BS820" s="15"/>
      <c r="BT820" s="15"/>
      <c r="BU820" s="15"/>
      <c r="BV820" s="15"/>
      <c r="BW820" s="15"/>
      <c r="BX820" s="15"/>
      <c r="BY820" s="15"/>
      <c r="BZ820" s="15"/>
      <c r="CA820" s="15"/>
    </row>
    <row r="821" spans="68:79" ht="15" customHeight="1" x14ac:dyDescent="0.3">
      <c r="BP821" s="15"/>
      <c r="BQ821" s="15"/>
      <c r="BR821" s="15"/>
      <c r="BS821" s="15"/>
      <c r="BT821" s="15"/>
      <c r="BU821" s="15"/>
      <c r="BV821" s="15"/>
      <c r="BW821" s="15"/>
      <c r="BX821" s="15"/>
      <c r="BY821" s="15"/>
      <c r="BZ821" s="15"/>
      <c r="CA821" s="15"/>
    </row>
    <row r="822" spans="68:79" ht="15" customHeight="1" x14ac:dyDescent="0.3">
      <c r="BP822" s="15"/>
      <c r="BQ822" s="15"/>
      <c r="BR822" s="15"/>
      <c r="BS822" s="15"/>
      <c r="BT822" s="15"/>
      <c r="BU822" s="15"/>
      <c r="BV822" s="15"/>
      <c r="BW822" s="15"/>
      <c r="BX822" s="15"/>
      <c r="BY822" s="15"/>
      <c r="BZ822" s="15"/>
      <c r="CA822" s="15"/>
    </row>
    <row r="823" spans="68:79" ht="15" customHeight="1" x14ac:dyDescent="0.3">
      <c r="BP823" s="15"/>
      <c r="BQ823" s="15"/>
      <c r="BR823" s="15"/>
      <c r="BS823" s="15"/>
      <c r="BT823" s="15"/>
      <c r="BU823" s="15"/>
      <c r="BV823" s="15"/>
      <c r="BW823" s="15"/>
      <c r="BX823" s="15"/>
      <c r="BY823" s="15"/>
      <c r="BZ823" s="15"/>
      <c r="CA823" s="15"/>
    </row>
    <row r="824" spans="68:79" ht="15" customHeight="1" x14ac:dyDescent="0.3">
      <c r="BP824" s="15"/>
      <c r="BQ824" s="15"/>
      <c r="BR824" s="15"/>
      <c r="BS824" s="15"/>
      <c r="BT824" s="15"/>
      <c r="BU824" s="15"/>
      <c r="BV824" s="15"/>
      <c r="BW824" s="15"/>
      <c r="BX824" s="15"/>
      <c r="BY824" s="15"/>
      <c r="BZ824" s="15"/>
      <c r="CA824" s="15"/>
    </row>
    <row r="825" spans="68:79" ht="15" customHeight="1" x14ac:dyDescent="0.3">
      <c r="BP825" s="15"/>
      <c r="BQ825" s="15"/>
      <c r="BR825" s="15"/>
      <c r="BS825" s="15"/>
      <c r="BT825" s="15"/>
      <c r="BU825" s="15"/>
      <c r="BV825" s="15"/>
      <c r="BW825" s="15"/>
      <c r="BX825" s="15"/>
      <c r="BY825" s="15"/>
      <c r="BZ825" s="15"/>
      <c r="CA825" s="15"/>
    </row>
    <row r="826" spans="68:79" ht="15" customHeight="1" x14ac:dyDescent="0.3">
      <c r="BP826" s="15"/>
      <c r="BQ826" s="15"/>
      <c r="BR826" s="15"/>
      <c r="BS826" s="15"/>
      <c r="BT826" s="15"/>
      <c r="BU826" s="15"/>
      <c r="BV826" s="15"/>
      <c r="BW826" s="15"/>
      <c r="BX826" s="15"/>
      <c r="BY826" s="15"/>
      <c r="BZ826" s="15"/>
      <c r="CA826" s="15"/>
    </row>
    <row r="827" spans="68:79" ht="15" customHeight="1" x14ac:dyDescent="0.3">
      <c r="BP827" s="15"/>
      <c r="BQ827" s="15"/>
      <c r="BR827" s="15"/>
      <c r="BS827" s="15"/>
      <c r="BT827" s="15"/>
      <c r="BU827" s="15"/>
      <c r="BV827" s="15"/>
      <c r="BW827" s="15"/>
      <c r="BX827" s="15"/>
      <c r="BY827" s="15"/>
      <c r="BZ827" s="15"/>
      <c r="CA827" s="15"/>
    </row>
    <row r="828" spans="68:79" ht="15" customHeight="1" x14ac:dyDescent="0.3">
      <c r="BP828" s="15"/>
      <c r="BQ828" s="15"/>
      <c r="BR828" s="15"/>
      <c r="BS828" s="15"/>
      <c r="BT828" s="15"/>
      <c r="BU828" s="15"/>
      <c r="BV828" s="15"/>
      <c r="BW828" s="15"/>
      <c r="BX828" s="15"/>
      <c r="BY828" s="15"/>
      <c r="BZ828" s="15"/>
      <c r="CA828" s="15"/>
    </row>
    <row r="829" spans="68:79" ht="15" customHeight="1" x14ac:dyDescent="0.3">
      <c r="BP829" s="15"/>
      <c r="BQ829" s="15"/>
      <c r="BR829" s="15"/>
      <c r="BS829" s="15"/>
      <c r="BT829" s="15"/>
      <c r="BU829" s="15"/>
      <c r="BV829" s="15"/>
      <c r="BW829" s="15"/>
      <c r="BX829" s="15"/>
      <c r="BY829" s="15"/>
      <c r="BZ829" s="15"/>
      <c r="CA829" s="15"/>
    </row>
    <row r="830" spans="68:79" ht="15" customHeight="1" x14ac:dyDescent="0.3">
      <c r="BP830" s="15"/>
      <c r="BQ830" s="15"/>
      <c r="BR830" s="15"/>
      <c r="BS830" s="15"/>
      <c r="BT830" s="15"/>
      <c r="BU830" s="15"/>
      <c r="BV830" s="15"/>
      <c r="BW830" s="15"/>
      <c r="BX830" s="15"/>
      <c r="BY830" s="15"/>
      <c r="BZ830" s="15"/>
      <c r="CA830" s="15"/>
    </row>
    <row r="831" spans="68:79" ht="15" customHeight="1" x14ac:dyDescent="0.3">
      <c r="BP831" s="15"/>
      <c r="BQ831" s="15"/>
      <c r="BR831" s="15"/>
      <c r="BS831" s="15"/>
      <c r="BT831" s="15"/>
      <c r="BU831" s="15"/>
      <c r="BV831" s="15"/>
      <c r="BW831" s="15"/>
      <c r="BX831" s="15"/>
      <c r="BY831" s="15"/>
      <c r="BZ831" s="15"/>
      <c r="CA831" s="15"/>
    </row>
    <row r="832" spans="68:79" ht="15" customHeight="1" x14ac:dyDescent="0.3">
      <c r="BP832" s="15"/>
      <c r="BQ832" s="15"/>
      <c r="BR832" s="15"/>
      <c r="BS832" s="15"/>
      <c r="BT832" s="15"/>
      <c r="BU832" s="15"/>
      <c r="BV832" s="15"/>
      <c r="BW832" s="15"/>
      <c r="BX832" s="15"/>
      <c r="BY832" s="15"/>
      <c r="BZ832" s="15"/>
      <c r="CA832" s="15"/>
    </row>
    <row r="833" spans="68:79" ht="15" customHeight="1" x14ac:dyDescent="0.3">
      <c r="BP833" s="15"/>
      <c r="BQ833" s="15"/>
      <c r="BR833" s="15"/>
      <c r="BS833" s="15"/>
      <c r="BT833" s="15"/>
      <c r="BU833" s="15"/>
      <c r="BV833" s="15"/>
      <c r="BW833" s="15"/>
      <c r="BX833" s="15"/>
      <c r="BY833" s="15"/>
      <c r="BZ833" s="15"/>
      <c r="CA833" s="15"/>
    </row>
    <row r="834" spans="68:79" ht="15" customHeight="1" x14ac:dyDescent="0.3">
      <c r="BP834" s="15"/>
      <c r="BQ834" s="15"/>
      <c r="BR834" s="15"/>
      <c r="BS834" s="15"/>
      <c r="BT834" s="15"/>
      <c r="BU834" s="15"/>
      <c r="BV834" s="15"/>
      <c r="BW834" s="15"/>
      <c r="BX834" s="15"/>
      <c r="BY834" s="15"/>
      <c r="BZ834" s="15"/>
      <c r="CA834" s="15"/>
    </row>
    <row r="835" spans="68:79" ht="15" customHeight="1" x14ac:dyDescent="0.3">
      <c r="BP835" s="15"/>
      <c r="BQ835" s="15"/>
      <c r="BR835" s="15"/>
      <c r="BS835" s="15"/>
      <c r="BT835" s="15"/>
      <c r="BU835" s="15"/>
      <c r="BV835" s="15"/>
      <c r="BW835" s="15"/>
      <c r="BX835" s="15"/>
      <c r="BY835" s="15"/>
      <c r="BZ835" s="15"/>
      <c r="CA835" s="15"/>
    </row>
    <row r="836" spans="68:79" ht="15" customHeight="1" x14ac:dyDescent="0.3">
      <c r="BP836" s="15"/>
      <c r="BQ836" s="15"/>
      <c r="BR836" s="15"/>
      <c r="BS836" s="15"/>
      <c r="BT836" s="15"/>
      <c r="BU836" s="15"/>
      <c r="BV836" s="15"/>
      <c r="BW836" s="15"/>
      <c r="BX836" s="15"/>
      <c r="BY836" s="15"/>
      <c r="BZ836" s="15"/>
      <c r="CA836" s="15"/>
    </row>
    <row r="837" spans="68:79" ht="15" customHeight="1" x14ac:dyDescent="0.3">
      <c r="BP837" s="15"/>
      <c r="BQ837" s="15"/>
      <c r="BR837" s="15"/>
      <c r="BS837" s="15"/>
      <c r="BT837" s="15"/>
      <c r="BU837" s="15"/>
      <c r="BV837" s="15"/>
      <c r="BW837" s="15"/>
      <c r="BX837" s="15"/>
      <c r="BY837" s="15"/>
      <c r="BZ837" s="15"/>
      <c r="CA837" s="15"/>
    </row>
    <row r="838" spans="68:79" ht="15" customHeight="1" x14ac:dyDescent="0.3">
      <c r="BP838" s="15"/>
      <c r="BQ838" s="15"/>
      <c r="BR838" s="15"/>
      <c r="BS838" s="15"/>
      <c r="BT838" s="15"/>
      <c r="BU838" s="15"/>
      <c r="BV838" s="15"/>
      <c r="BW838" s="15"/>
      <c r="BX838" s="15"/>
      <c r="BY838" s="15"/>
      <c r="BZ838" s="15"/>
      <c r="CA838" s="15"/>
    </row>
    <row r="839" spans="68:79" ht="15" customHeight="1" x14ac:dyDescent="0.3">
      <c r="BP839" s="15"/>
      <c r="BQ839" s="15"/>
      <c r="BR839" s="15"/>
      <c r="BS839" s="15"/>
      <c r="BT839" s="15"/>
      <c r="BU839" s="15"/>
      <c r="BV839" s="15"/>
      <c r="BW839" s="15"/>
      <c r="BX839" s="15"/>
      <c r="BY839" s="15"/>
      <c r="BZ839" s="15"/>
      <c r="CA839" s="15"/>
    </row>
    <row r="840" spans="68:79" ht="15" customHeight="1" x14ac:dyDescent="0.3">
      <c r="BP840" s="15"/>
      <c r="BQ840" s="15"/>
      <c r="BR840" s="15"/>
      <c r="BS840" s="15"/>
      <c r="BT840" s="15"/>
      <c r="BU840" s="15"/>
      <c r="BV840" s="15"/>
      <c r="BW840" s="15"/>
      <c r="BX840" s="15"/>
      <c r="BY840" s="15"/>
      <c r="BZ840" s="15"/>
      <c r="CA840" s="15"/>
    </row>
    <row r="841" spans="68:79" ht="15" customHeight="1" x14ac:dyDescent="0.3">
      <c r="BP841" s="15"/>
      <c r="BQ841" s="15"/>
      <c r="BR841" s="15"/>
      <c r="BS841" s="15"/>
      <c r="BT841" s="15"/>
      <c r="BU841" s="15"/>
      <c r="BV841" s="15"/>
      <c r="BW841" s="15"/>
      <c r="BX841" s="15"/>
      <c r="BY841" s="15"/>
      <c r="BZ841" s="15"/>
      <c r="CA841" s="15"/>
    </row>
    <row r="842" spans="68:79" ht="15" customHeight="1" x14ac:dyDescent="0.3">
      <c r="BP842" s="15"/>
      <c r="BQ842" s="15"/>
      <c r="BR842" s="15"/>
      <c r="BS842" s="15"/>
      <c r="BT842" s="15"/>
      <c r="BU842" s="15"/>
      <c r="BV842" s="15"/>
      <c r="BW842" s="15"/>
      <c r="BX842" s="15"/>
      <c r="BY842" s="15"/>
      <c r="BZ842" s="15"/>
      <c r="CA842" s="15"/>
    </row>
    <row r="843" spans="68:79" ht="15" customHeight="1" x14ac:dyDescent="0.3">
      <c r="BP843" s="15"/>
      <c r="BQ843" s="15"/>
      <c r="BR843" s="15"/>
      <c r="BS843" s="15"/>
      <c r="BT843" s="15"/>
      <c r="BU843" s="15"/>
      <c r="BV843" s="15"/>
      <c r="BW843" s="15"/>
      <c r="BX843" s="15"/>
      <c r="BY843" s="15"/>
      <c r="BZ843" s="15"/>
      <c r="CA843" s="15"/>
    </row>
    <row r="844" spans="68:79" ht="15" customHeight="1" x14ac:dyDescent="0.3">
      <c r="BP844" s="15"/>
      <c r="BQ844" s="15"/>
      <c r="BR844" s="15"/>
      <c r="BS844" s="15"/>
      <c r="BT844" s="15"/>
      <c r="BU844" s="15"/>
      <c r="BV844" s="15"/>
      <c r="BW844" s="15"/>
      <c r="BX844" s="15"/>
      <c r="BY844" s="15"/>
      <c r="BZ844" s="15"/>
      <c r="CA844" s="15"/>
    </row>
    <row r="845" spans="68:79" ht="15" customHeight="1" x14ac:dyDescent="0.3">
      <c r="BP845" s="15"/>
      <c r="BQ845" s="15"/>
      <c r="BR845" s="15"/>
      <c r="BS845" s="15"/>
      <c r="BT845" s="15"/>
      <c r="BU845" s="15"/>
      <c r="BV845" s="15"/>
      <c r="BW845" s="15"/>
      <c r="BX845" s="15"/>
      <c r="BY845" s="15"/>
      <c r="BZ845" s="15"/>
      <c r="CA845" s="15"/>
    </row>
    <row r="846" spans="68:79" ht="15" customHeight="1" x14ac:dyDescent="0.3">
      <c r="BP846" s="15"/>
      <c r="BQ846" s="15"/>
      <c r="BR846" s="15"/>
      <c r="BS846" s="15"/>
      <c r="BT846" s="15"/>
      <c r="BU846" s="15"/>
      <c r="BV846" s="15"/>
      <c r="BW846" s="15"/>
      <c r="BX846" s="15"/>
      <c r="BY846" s="15"/>
      <c r="BZ846" s="15"/>
      <c r="CA846" s="15"/>
    </row>
    <row r="847" spans="68:79" ht="15" customHeight="1" x14ac:dyDescent="0.3">
      <c r="BP847" s="15"/>
      <c r="BQ847" s="15"/>
      <c r="BR847" s="15"/>
      <c r="BS847" s="15"/>
      <c r="BT847" s="15"/>
      <c r="BU847" s="15"/>
      <c r="BV847" s="15"/>
      <c r="BW847" s="15"/>
      <c r="BX847" s="15"/>
      <c r="BY847" s="15"/>
      <c r="BZ847" s="15"/>
      <c r="CA847" s="15"/>
    </row>
    <row r="848" spans="68:79" ht="15" customHeight="1" x14ac:dyDescent="0.3">
      <c r="BP848" s="15"/>
      <c r="BQ848" s="15"/>
      <c r="BR848" s="15"/>
      <c r="BS848" s="15"/>
      <c r="BT848" s="15"/>
      <c r="BU848" s="15"/>
      <c r="BV848" s="15"/>
      <c r="BW848" s="15"/>
      <c r="BX848" s="15"/>
      <c r="BY848" s="15"/>
      <c r="BZ848" s="15"/>
      <c r="CA848" s="15"/>
    </row>
    <row r="849" spans="68:79" ht="15" customHeight="1" x14ac:dyDescent="0.3">
      <c r="BP849" s="15"/>
      <c r="BQ849" s="15"/>
      <c r="BR849" s="15"/>
      <c r="BS849" s="15"/>
      <c r="BT849" s="15"/>
      <c r="BU849" s="15"/>
      <c r="BV849" s="15"/>
      <c r="BW849" s="15"/>
      <c r="BX849" s="15"/>
      <c r="BY849" s="15"/>
      <c r="BZ849" s="15"/>
      <c r="CA849" s="15"/>
    </row>
    <row r="850" spans="68:79" ht="15" customHeight="1" x14ac:dyDescent="0.3">
      <c r="BP850" s="15"/>
      <c r="BQ850" s="15"/>
      <c r="BR850" s="15"/>
      <c r="BS850" s="15"/>
      <c r="BT850" s="15"/>
      <c r="BU850" s="15"/>
      <c r="BV850" s="15"/>
      <c r="BW850" s="15"/>
      <c r="BX850" s="15"/>
      <c r="BY850" s="15"/>
      <c r="BZ850" s="15"/>
      <c r="CA850" s="15"/>
    </row>
    <row r="851" spans="68:79" ht="15" customHeight="1" x14ac:dyDescent="0.3">
      <c r="BP851" s="15"/>
      <c r="BQ851" s="15"/>
      <c r="BR851" s="15"/>
      <c r="BS851" s="15"/>
      <c r="BT851" s="15"/>
      <c r="BU851" s="15"/>
      <c r="BV851" s="15"/>
      <c r="BW851" s="15"/>
      <c r="BX851" s="15"/>
      <c r="BY851" s="15"/>
      <c r="BZ851" s="15"/>
      <c r="CA851" s="15"/>
    </row>
    <row r="852" spans="68:79" ht="15" customHeight="1" x14ac:dyDescent="0.3">
      <c r="BP852" s="15"/>
      <c r="BQ852" s="15"/>
      <c r="BR852" s="15"/>
      <c r="BS852" s="15"/>
      <c r="BT852" s="15"/>
      <c r="BU852" s="15"/>
      <c r="BV852" s="15"/>
      <c r="BW852" s="15"/>
      <c r="BX852" s="15"/>
      <c r="BY852" s="15"/>
      <c r="BZ852" s="15"/>
      <c r="CA852" s="15"/>
    </row>
    <row r="853" spans="68:79" ht="15" customHeight="1" x14ac:dyDescent="0.3">
      <c r="BP853" s="15"/>
      <c r="BQ853" s="15"/>
      <c r="BR853" s="15"/>
      <c r="BS853" s="15"/>
      <c r="BT853" s="15"/>
      <c r="BU853" s="15"/>
      <c r="BV853" s="15"/>
      <c r="BW853" s="15"/>
      <c r="BX853" s="15"/>
      <c r="BY853" s="15"/>
      <c r="BZ853" s="15"/>
      <c r="CA853" s="15"/>
    </row>
    <row r="854" spans="68:79" ht="15" customHeight="1" x14ac:dyDescent="0.3">
      <c r="BP854" s="15"/>
      <c r="BQ854" s="15"/>
      <c r="BR854" s="15"/>
      <c r="BS854" s="15"/>
      <c r="BT854" s="15"/>
      <c r="BU854" s="15"/>
      <c r="BV854" s="15"/>
      <c r="BW854" s="15"/>
      <c r="BX854" s="15"/>
      <c r="BY854" s="15"/>
      <c r="BZ854" s="15"/>
      <c r="CA854" s="15"/>
    </row>
    <row r="855" spans="68:79" ht="15" customHeight="1" x14ac:dyDescent="0.3">
      <c r="BP855" s="15"/>
      <c r="BQ855" s="15"/>
      <c r="BR855" s="15"/>
      <c r="BS855" s="15"/>
      <c r="BT855" s="15"/>
      <c r="BU855" s="15"/>
      <c r="BV855" s="15"/>
      <c r="BW855" s="15"/>
      <c r="BX855" s="15"/>
      <c r="BY855" s="15"/>
      <c r="BZ855" s="15"/>
      <c r="CA855" s="15"/>
    </row>
    <row r="856" spans="68:79" ht="15" customHeight="1" x14ac:dyDescent="0.3">
      <c r="BP856" s="15"/>
      <c r="BQ856" s="15"/>
      <c r="BR856" s="15"/>
      <c r="BS856" s="15"/>
      <c r="BT856" s="15"/>
      <c r="BU856" s="15"/>
      <c r="BV856" s="15"/>
      <c r="BW856" s="15"/>
      <c r="BX856" s="15"/>
      <c r="BY856" s="15"/>
      <c r="BZ856" s="15"/>
      <c r="CA856" s="15"/>
    </row>
    <row r="857" spans="68:79" ht="15" customHeight="1" x14ac:dyDescent="0.3">
      <c r="BP857" s="15"/>
      <c r="BQ857" s="15"/>
      <c r="BR857" s="15"/>
      <c r="BS857" s="15"/>
      <c r="BT857" s="15"/>
      <c r="BU857" s="15"/>
      <c r="BV857" s="15"/>
      <c r="BW857" s="15"/>
      <c r="BX857" s="15"/>
      <c r="BY857" s="15"/>
      <c r="BZ857" s="15"/>
      <c r="CA857" s="15"/>
    </row>
    <row r="858" spans="68:79" ht="15" customHeight="1" x14ac:dyDescent="0.3">
      <c r="BP858" s="15"/>
      <c r="BQ858" s="15"/>
      <c r="BR858" s="15"/>
      <c r="BS858" s="15"/>
      <c r="BT858" s="15"/>
      <c r="BU858" s="15"/>
      <c r="BV858" s="15"/>
      <c r="BW858" s="15"/>
      <c r="BX858" s="15"/>
      <c r="BY858" s="15"/>
      <c r="BZ858" s="15"/>
      <c r="CA858" s="15"/>
    </row>
    <row r="859" spans="68:79" ht="15" customHeight="1" x14ac:dyDescent="0.3">
      <c r="BP859" s="15"/>
      <c r="BQ859" s="15"/>
      <c r="BR859" s="15"/>
      <c r="BS859" s="15"/>
      <c r="BT859" s="15"/>
      <c r="BU859" s="15"/>
      <c r="BV859" s="15"/>
      <c r="BW859" s="15"/>
      <c r="BX859" s="15"/>
      <c r="BY859" s="15"/>
      <c r="BZ859" s="15"/>
      <c r="CA859" s="15"/>
    </row>
    <row r="860" spans="68:79" ht="15" customHeight="1" x14ac:dyDescent="0.3">
      <c r="BP860" s="15"/>
      <c r="BQ860" s="15"/>
      <c r="BR860" s="15"/>
      <c r="BS860" s="15"/>
      <c r="BT860" s="15"/>
      <c r="BU860" s="15"/>
      <c r="BV860" s="15"/>
      <c r="BW860" s="15"/>
      <c r="BX860" s="15"/>
      <c r="BY860" s="15"/>
      <c r="BZ860" s="15"/>
      <c r="CA860" s="15"/>
    </row>
    <row r="861" spans="68:79" ht="15" customHeight="1" x14ac:dyDescent="0.3">
      <c r="BP861" s="15"/>
      <c r="BQ861" s="15"/>
      <c r="BR861" s="15"/>
      <c r="BS861" s="15"/>
      <c r="BT861" s="15"/>
      <c r="BU861" s="15"/>
      <c r="BV861" s="15"/>
      <c r="BW861" s="15"/>
      <c r="BX861" s="15"/>
      <c r="BY861" s="15"/>
      <c r="BZ861" s="15"/>
      <c r="CA861" s="15"/>
    </row>
    <row r="862" spans="68:79" ht="15" customHeight="1" x14ac:dyDescent="0.3">
      <c r="BP862" s="15"/>
      <c r="BQ862" s="15"/>
      <c r="BR862" s="15"/>
      <c r="BS862" s="15"/>
      <c r="BT862" s="15"/>
      <c r="BU862" s="15"/>
      <c r="BV862" s="15"/>
      <c r="BW862" s="15"/>
      <c r="BX862" s="15"/>
      <c r="BY862" s="15"/>
      <c r="BZ862" s="15"/>
      <c r="CA862" s="15"/>
    </row>
    <row r="863" spans="68:79" ht="15" customHeight="1" x14ac:dyDescent="0.3">
      <c r="BP863" s="15"/>
      <c r="BQ863" s="15"/>
      <c r="BR863" s="15"/>
      <c r="BS863" s="15"/>
      <c r="BT863" s="15"/>
      <c r="BU863" s="15"/>
      <c r="BV863" s="15"/>
      <c r="BW863" s="15"/>
      <c r="BX863" s="15"/>
      <c r="BY863" s="15"/>
      <c r="BZ863" s="15"/>
      <c r="CA863" s="15"/>
    </row>
    <row r="864" spans="68:79" ht="15" customHeight="1" x14ac:dyDescent="0.3">
      <c r="BP864" s="15"/>
      <c r="BQ864" s="15"/>
      <c r="BR864" s="15"/>
      <c r="BS864" s="15"/>
      <c r="BT864" s="15"/>
      <c r="BU864" s="15"/>
      <c r="BV864" s="15"/>
      <c r="BW864" s="15"/>
      <c r="BX864" s="15"/>
      <c r="BY864" s="15"/>
      <c r="BZ864" s="15"/>
      <c r="CA864" s="15"/>
    </row>
    <row r="865" spans="68:79" ht="15" customHeight="1" x14ac:dyDescent="0.3">
      <c r="BP865" s="15"/>
      <c r="BQ865" s="15"/>
      <c r="BR865" s="15"/>
      <c r="BS865" s="15"/>
      <c r="BT865" s="15"/>
      <c r="BU865" s="15"/>
      <c r="BV865" s="15"/>
      <c r="BW865" s="15"/>
      <c r="BX865" s="15"/>
      <c r="BY865" s="15"/>
      <c r="BZ865" s="15"/>
      <c r="CA865" s="15"/>
    </row>
    <row r="866" spans="68:79" ht="15" customHeight="1" x14ac:dyDescent="0.3">
      <c r="BP866" s="15"/>
      <c r="BQ866" s="15"/>
      <c r="BR866" s="15"/>
      <c r="BS866" s="15"/>
      <c r="BT866" s="15"/>
      <c r="BU866" s="15"/>
      <c r="BV866" s="15"/>
      <c r="BW866" s="15"/>
      <c r="BX866" s="15"/>
      <c r="BY866" s="15"/>
      <c r="BZ866" s="15"/>
      <c r="CA866" s="15"/>
    </row>
    <row r="867" spans="68:79" ht="15" customHeight="1" x14ac:dyDescent="0.3">
      <c r="BP867" s="15"/>
      <c r="BQ867" s="15"/>
      <c r="BR867" s="15"/>
      <c r="BS867" s="15"/>
      <c r="BT867" s="15"/>
      <c r="BU867" s="15"/>
      <c r="BV867" s="15"/>
      <c r="BW867" s="15"/>
      <c r="BX867" s="15"/>
      <c r="BY867" s="15"/>
      <c r="BZ867" s="15"/>
      <c r="CA867" s="15"/>
    </row>
    <row r="868" spans="68:79" ht="15" customHeight="1" x14ac:dyDescent="0.3">
      <c r="BP868" s="15"/>
      <c r="BQ868" s="15"/>
      <c r="BR868" s="15"/>
      <c r="BS868" s="15"/>
      <c r="BT868" s="15"/>
      <c r="BU868" s="15"/>
      <c r="BV868" s="15"/>
      <c r="BW868" s="15"/>
      <c r="BX868" s="15"/>
      <c r="BY868" s="15"/>
      <c r="BZ868" s="15"/>
      <c r="CA868" s="15"/>
    </row>
    <row r="869" spans="68:79" ht="15" customHeight="1" x14ac:dyDescent="0.3">
      <c r="BP869" s="15"/>
      <c r="BQ869" s="15"/>
      <c r="BR869" s="15"/>
      <c r="BS869" s="15"/>
      <c r="BT869" s="15"/>
      <c r="BU869" s="15"/>
      <c r="BV869" s="15"/>
      <c r="BW869" s="15"/>
      <c r="BX869" s="15"/>
      <c r="BY869" s="15"/>
      <c r="BZ869" s="15"/>
      <c r="CA869" s="15"/>
    </row>
    <row r="870" spans="68:79" ht="15" customHeight="1" x14ac:dyDescent="0.3">
      <c r="BP870" s="15"/>
      <c r="BQ870" s="15"/>
      <c r="BR870" s="15"/>
      <c r="BS870" s="15"/>
      <c r="BT870" s="15"/>
      <c r="BU870" s="15"/>
      <c r="BV870" s="15"/>
      <c r="BW870" s="15"/>
      <c r="BX870" s="15"/>
      <c r="BY870" s="15"/>
      <c r="BZ870" s="15"/>
      <c r="CA870" s="15"/>
    </row>
    <row r="871" spans="68:79" ht="15" customHeight="1" x14ac:dyDescent="0.3">
      <c r="BP871" s="15"/>
      <c r="BQ871" s="15"/>
      <c r="BR871" s="15"/>
      <c r="BS871" s="15"/>
      <c r="BT871" s="15"/>
      <c r="BU871" s="15"/>
      <c r="BV871" s="15"/>
      <c r="BW871" s="15"/>
      <c r="BX871" s="15"/>
      <c r="BY871" s="15"/>
      <c r="BZ871" s="15"/>
      <c r="CA871" s="15"/>
    </row>
    <row r="872" spans="68:79" ht="15" customHeight="1" x14ac:dyDescent="0.3">
      <c r="BP872" s="15"/>
      <c r="BQ872" s="15"/>
      <c r="BR872" s="15"/>
      <c r="BS872" s="15"/>
      <c r="BT872" s="15"/>
      <c r="BU872" s="15"/>
      <c r="BV872" s="15"/>
      <c r="BW872" s="15"/>
      <c r="BX872" s="15"/>
      <c r="BY872" s="15"/>
      <c r="BZ872" s="15"/>
      <c r="CA872" s="15"/>
    </row>
    <row r="873" spans="68:79" ht="15" customHeight="1" x14ac:dyDescent="0.3">
      <c r="BP873" s="15"/>
      <c r="BQ873" s="15"/>
      <c r="BR873" s="15"/>
      <c r="BS873" s="15"/>
      <c r="BT873" s="15"/>
      <c r="BU873" s="15"/>
      <c r="BV873" s="15"/>
      <c r="BW873" s="15"/>
      <c r="BX873" s="15"/>
      <c r="BY873" s="15"/>
      <c r="BZ873" s="15"/>
      <c r="CA873" s="15"/>
    </row>
    <row r="874" spans="68:79" ht="15" customHeight="1" x14ac:dyDescent="0.3">
      <c r="BP874" s="15"/>
      <c r="BQ874" s="15"/>
      <c r="BR874" s="15"/>
      <c r="BS874" s="15"/>
      <c r="BT874" s="15"/>
      <c r="BU874" s="15"/>
      <c r="BV874" s="15"/>
      <c r="BW874" s="15"/>
      <c r="BX874" s="15"/>
      <c r="BY874" s="15"/>
      <c r="BZ874" s="15"/>
      <c r="CA874" s="15"/>
    </row>
    <row r="875" spans="68:79" ht="15" customHeight="1" x14ac:dyDescent="0.3">
      <c r="BP875" s="15"/>
      <c r="BQ875" s="15"/>
      <c r="BR875" s="15"/>
      <c r="BS875" s="15"/>
      <c r="BT875" s="15"/>
      <c r="BU875" s="15"/>
      <c r="BV875" s="15"/>
      <c r="BW875" s="15"/>
      <c r="BX875" s="15"/>
      <c r="BY875" s="15"/>
      <c r="BZ875" s="15"/>
      <c r="CA875" s="15"/>
    </row>
    <row r="876" spans="68:79" ht="15" customHeight="1" x14ac:dyDescent="0.3">
      <c r="BP876" s="15"/>
      <c r="BQ876" s="15"/>
      <c r="BR876" s="15"/>
      <c r="BS876" s="15"/>
      <c r="BT876" s="15"/>
      <c r="BU876" s="15"/>
      <c r="BV876" s="15"/>
      <c r="BW876" s="15"/>
      <c r="BX876" s="15"/>
      <c r="BY876" s="15"/>
      <c r="BZ876" s="15"/>
      <c r="CA876" s="15"/>
    </row>
    <row r="877" spans="68:79" ht="15" customHeight="1" x14ac:dyDescent="0.3">
      <c r="BP877" s="15"/>
      <c r="BQ877" s="15"/>
      <c r="BR877" s="15"/>
      <c r="BS877" s="15"/>
      <c r="BT877" s="15"/>
      <c r="BU877" s="15"/>
      <c r="BV877" s="15"/>
      <c r="BW877" s="15"/>
      <c r="BX877" s="15"/>
      <c r="BY877" s="15"/>
      <c r="BZ877" s="15"/>
      <c r="CA877" s="15"/>
    </row>
    <row r="878" spans="68:79" ht="15" customHeight="1" x14ac:dyDescent="0.3">
      <c r="BP878" s="15"/>
      <c r="BQ878" s="15"/>
      <c r="BR878" s="15"/>
      <c r="BS878" s="15"/>
      <c r="BT878" s="15"/>
      <c r="BU878" s="15"/>
      <c r="BV878" s="15"/>
      <c r="BW878" s="15"/>
      <c r="BX878" s="15"/>
      <c r="BY878" s="15"/>
      <c r="BZ878" s="15"/>
      <c r="CA878" s="15"/>
    </row>
    <row r="879" spans="68:79" ht="15" customHeight="1" x14ac:dyDescent="0.3">
      <c r="BP879" s="15"/>
      <c r="BQ879" s="15"/>
      <c r="BR879" s="15"/>
      <c r="BS879" s="15"/>
      <c r="BT879" s="15"/>
      <c r="BU879" s="15"/>
      <c r="BV879" s="15"/>
      <c r="BW879" s="15"/>
      <c r="BX879" s="15"/>
      <c r="BY879" s="15"/>
      <c r="BZ879" s="15"/>
      <c r="CA879" s="15"/>
    </row>
    <row r="880" spans="68:79" ht="15" customHeight="1" x14ac:dyDescent="0.3">
      <c r="BP880" s="15"/>
      <c r="BQ880" s="15"/>
      <c r="BR880" s="15"/>
      <c r="BS880" s="15"/>
      <c r="BT880" s="15"/>
      <c r="BU880" s="15"/>
      <c r="BV880" s="15"/>
      <c r="BW880" s="15"/>
      <c r="BX880" s="15"/>
      <c r="BY880" s="15"/>
      <c r="BZ880" s="15"/>
      <c r="CA880" s="15"/>
    </row>
    <row r="881" spans="68:79" ht="15" customHeight="1" x14ac:dyDescent="0.3">
      <c r="BP881" s="15"/>
      <c r="BQ881" s="15"/>
      <c r="BR881" s="15"/>
      <c r="BS881" s="15"/>
      <c r="BT881" s="15"/>
      <c r="BU881" s="15"/>
      <c r="BV881" s="15"/>
      <c r="BW881" s="15"/>
      <c r="BX881" s="15"/>
      <c r="BY881" s="15"/>
      <c r="BZ881" s="15"/>
      <c r="CA881" s="15"/>
    </row>
    <row r="882" spans="68:79" ht="15" customHeight="1" x14ac:dyDescent="0.3">
      <c r="BP882" s="15"/>
      <c r="BQ882" s="15"/>
      <c r="BR882" s="15"/>
      <c r="BS882" s="15"/>
      <c r="BT882" s="15"/>
      <c r="BU882" s="15"/>
      <c r="BV882" s="15"/>
      <c r="BW882" s="15"/>
      <c r="BX882" s="15"/>
      <c r="BY882" s="15"/>
      <c r="BZ882" s="15"/>
      <c r="CA882" s="15"/>
    </row>
    <row r="883" spans="68:79" ht="15" customHeight="1" x14ac:dyDescent="0.3">
      <c r="BP883" s="15"/>
      <c r="BQ883" s="15"/>
      <c r="BR883" s="15"/>
      <c r="BS883" s="15"/>
      <c r="BT883" s="15"/>
      <c r="BU883" s="15"/>
      <c r="BV883" s="15"/>
      <c r="BW883" s="15"/>
      <c r="BX883" s="15"/>
      <c r="BY883" s="15"/>
      <c r="BZ883" s="15"/>
      <c r="CA883" s="15"/>
    </row>
    <row r="884" spans="68:79" ht="15" customHeight="1" x14ac:dyDescent="0.3">
      <c r="BP884" s="15"/>
      <c r="BQ884" s="15"/>
      <c r="BR884" s="15"/>
      <c r="BS884" s="15"/>
      <c r="BT884" s="15"/>
      <c r="BU884" s="15"/>
      <c r="BV884" s="15"/>
      <c r="BW884" s="15"/>
      <c r="BX884" s="15"/>
      <c r="BY884" s="15"/>
      <c r="BZ884" s="15"/>
      <c r="CA884" s="15"/>
    </row>
    <row r="885" spans="68:79" ht="15" customHeight="1" x14ac:dyDescent="0.3">
      <c r="BP885" s="15"/>
      <c r="BQ885" s="15"/>
      <c r="BR885" s="15"/>
      <c r="BS885" s="15"/>
      <c r="BT885" s="15"/>
      <c r="BU885" s="15"/>
      <c r="BV885" s="15"/>
      <c r="BW885" s="15"/>
      <c r="BX885" s="15"/>
      <c r="BY885" s="15"/>
      <c r="BZ885" s="15"/>
      <c r="CA885" s="15"/>
    </row>
    <row r="886" spans="68:79" ht="15" customHeight="1" x14ac:dyDescent="0.3">
      <c r="BP886" s="15"/>
      <c r="BQ886" s="15"/>
      <c r="BR886" s="15"/>
      <c r="BS886" s="15"/>
      <c r="BT886" s="15"/>
      <c r="BU886" s="15"/>
      <c r="BV886" s="15"/>
      <c r="BW886" s="15"/>
      <c r="BX886" s="15"/>
      <c r="BY886" s="15"/>
      <c r="BZ886" s="15"/>
      <c r="CA886" s="15"/>
    </row>
    <row r="887" spans="68:79" ht="15" customHeight="1" x14ac:dyDescent="0.3">
      <c r="BP887" s="15"/>
      <c r="BQ887" s="15"/>
      <c r="BR887" s="15"/>
      <c r="BS887" s="15"/>
      <c r="BT887" s="15"/>
      <c r="BU887" s="15"/>
      <c r="BV887" s="15"/>
      <c r="BW887" s="15"/>
      <c r="BX887" s="15"/>
      <c r="BY887" s="15"/>
      <c r="BZ887" s="15"/>
      <c r="CA887" s="15"/>
    </row>
    <row r="888" spans="68:79" ht="15" customHeight="1" x14ac:dyDescent="0.3">
      <c r="BP888" s="15"/>
      <c r="BQ888" s="15"/>
      <c r="BR888" s="15"/>
      <c r="BS888" s="15"/>
      <c r="BT888" s="15"/>
      <c r="BU888" s="15"/>
      <c r="BV888" s="15"/>
      <c r="BW888" s="15"/>
      <c r="BX888" s="15"/>
      <c r="BY888" s="15"/>
      <c r="BZ888" s="15"/>
      <c r="CA888" s="15"/>
    </row>
    <row r="889" spans="68:79" ht="15" customHeight="1" x14ac:dyDescent="0.3">
      <c r="BP889" s="15"/>
      <c r="BQ889" s="15"/>
      <c r="BR889" s="15"/>
      <c r="BS889" s="15"/>
      <c r="BT889" s="15"/>
      <c r="BU889" s="15"/>
      <c r="BV889" s="15"/>
      <c r="BW889" s="15"/>
      <c r="BX889" s="15"/>
      <c r="BY889" s="15"/>
      <c r="BZ889" s="15"/>
      <c r="CA889" s="15"/>
    </row>
    <row r="890" spans="68:79" ht="15" customHeight="1" x14ac:dyDescent="0.3">
      <c r="BP890" s="15"/>
      <c r="BQ890" s="15"/>
      <c r="BR890" s="15"/>
      <c r="BS890" s="15"/>
      <c r="BT890" s="15"/>
      <c r="BU890" s="15"/>
      <c r="BV890" s="15"/>
      <c r="BW890" s="15"/>
      <c r="BX890" s="15"/>
      <c r="BY890" s="15"/>
      <c r="BZ890" s="15"/>
      <c r="CA890" s="15"/>
    </row>
    <row r="891" spans="68:79" ht="15" customHeight="1" x14ac:dyDescent="0.3">
      <c r="BP891" s="15"/>
      <c r="BQ891" s="15"/>
      <c r="BR891" s="15"/>
      <c r="BS891" s="15"/>
      <c r="BT891" s="15"/>
      <c r="BU891" s="15"/>
      <c r="BV891" s="15"/>
      <c r="BW891" s="15"/>
      <c r="BX891" s="15"/>
      <c r="BY891" s="15"/>
      <c r="BZ891" s="15"/>
      <c r="CA891" s="15"/>
    </row>
    <row r="892" spans="68:79" ht="15" customHeight="1" x14ac:dyDescent="0.3">
      <c r="BP892" s="15"/>
      <c r="BQ892" s="15"/>
      <c r="BR892" s="15"/>
      <c r="BS892" s="15"/>
      <c r="BT892" s="15"/>
      <c r="BU892" s="15"/>
      <c r="BV892" s="15"/>
      <c r="BW892" s="15"/>
      <c r="BX892" s="15"/>
      <c r="BY892" s="15"/>
      <c r="BZ892" s="15"/>
      <c r="CA892" s="15"/>
    </row>
    <row r="893" spans="68:79" ht="15" customHeight="1" x14ac:dyDescent="0.3">
      <c r="BP893" s="15"/>
      <c r="BQ893" s="15"/>
      <c r="BR893" s="15"/>
      <c r="BS893" s="15"/>
      <c r="BT893" s="15"/>
      <c r="BU893" s="15"/>
      <c r="BV893" s="15"/>
      <c r="BW893" s="15"/>
      <c r="BX893" s="15"/>
      <c r="BY893" s="15"/>
      <c r="BZ893" s="15"/>
      <c r="CA893" s="15"/>
    </row>
    <row r="894" spans="68:79" ht="15" customHeight="1" x14ac:dyDescent="0.3">
      <c r="BP894" s="15"/>
      <c r="BQ894" s="15"/>
      <c r="BR894" s="15"/>
      <c r="BS894" s="15"/>
      <c r="BT894" s="15"/>
      <c r="BU894" s="15"/>
      <c r="BV894" s="15"/>
      <c r="BW894" s="15"/>
      <c r="BX894" s="15"/>
      <c r="BY894" s="15"/>
      <c r="BZ894" s="15"/>
      <c r="CA894" s="15"/>
    </row>
    <row r="895" spans="68:79" ht="15" customHeight="1" x14ac:dyDescent="0.3">
      <c r="BP895" s="15"/>
      <c r="BQ895" s="15"/>
      <c r="BR895" s="15"/>
      <c r="BS895" s="15"/>
      <c r="BT895" s="15"/>
      <c r="BU895" s="15"/>
      <c r="BV895" s="15"/>
      <c r="BW895" s="15"/>
      <c r="BX895" s="15"/>
      <c r="BY895" s="15"/>
      <c r="BZ895" s="15"/>
      <c r="CA895" s="15"/>
    </row>
    <row r="896" spans="68:79" ht="15" customHeight="1" x14ac:dyDescent="0.3">
      <c r="BP896" s="15"/>
      <c r="BQ896" s="15"/>
      <c r="BR896" s="15"/>
      <c r="BS896" s="15"/>
      <c r="BT896" s="15"/>
      <c r="BU896" s="15"/>
      <c r="BV896" s="15"/>
      <c r="BW896" s="15"/>
      <c r="BX896" s="15"/>
      <c r="BY896" s="15"/>
      <c r="BZ896" s="15"/>
      <c r="CA896" s="15"/>
    </row>
    <row r="897" spans="68:79" ht="15" customHeight="1" x14ac:dyDescent="0.3">
      <c r="BP897" s="15"/>
      <c r="BQ897" s="15"/>
      <c r="BR897" s="15"/>
      <c r="BS897" s="15"/>
      <c r="BT897" s="15"/>
      <c r="BU897" s="15"/>
      <c r="BV897" s="15"/>
      <c r="BW897" s="15"/>
      <c r="BX897" s="15"/>
      <c r="BY897" s="15"/>
      <c r="BZ897" s="15"/>
      <c r="CA897" s="15"/>
    </row>
    <row r="898" spans="68:79" ht="15" customHeight="1" x14ac:dyDescent="0.3">
      <c r="BP898" s="15"/>
      <c r="BQ898" s="15"/>
      <c r="BR898" s="15"/>
      <c r="BS898" s="15"/>
      <c r="BT898" s="15"/>
      <c r="BU898" s="15"/>
      <c r="BV898" s="15"/>
      <c r="BW898" s="15"/>
      <c r="BX898" s="15"/>
      <c r="BY898" s="15"/>
      <c r="BZ898" s="15"/>
      <c r="CA898" s="15"/>
    </row>
    <row r="899" spans="68:79" ht="15" customHeight="1" x14ac:dyDescent="0.3">
      <c r="BP899" s="15"/>
      <c r="BQ899" s="15"/>
      <c r="BR899" s="15"/>
      <c r="BS899" s="15"/>
      <c r="BT899" s="15"/>
      <c r="BU899" s="15"/>
      <c r="BV899" s="15"/>
      <c r="BW899" s="15"/>
      <c r="BX899" s="15"/>
      <c r="BY899" s="15"/>
      <c r="BZ899" s="15"/>
      <c r="CA899" s="15"/>
    </row>
    <row r="900" spans="68:79" ht="15" customHeight="1" x14ac:dyDescent="0.3">
      <c r="BP900" s="15"/>
      <c r="BQ900" s="15"/>
      <c r="BR900" s="15"/>
      <c r="BS900" s="15"/>
      <c r="BT900" s="15"/>
      <c r="BU900" s="15"/>
      <c r="BV900" s="15"/>
      <c r="BW900" s="15"/>
      <c r="BX900" s="15"/>
      <c r="BY900" s="15"/>
      <c r="BZ900" s="15"/>
      <c r="CA900" s="15"/>
    </row>
    <row r="901" spans="68:79" ht="15" customHeight="1" x14ac:dyDescent="0.3">
      <c r="BP901" s="15"/>
      <c r="BQ901" s="15"/>
      <c r="BR901" s="15"/>
      <c r="BS901" s="15"/>
      <c r="BT901" s="15"/>
      <c r="BU901" s="15"/>
      <c r="BV901" s="15"/>
      <c r="BW901" s="15"/>
      <c r="BX901" s="15"/>
      <c r="BY901" s="15"/>
      <c r="BZ901" s="15"/>
      <c r="CA901" s="15"/>
    </row>
    <row r="902" spans="68:79" ht="15" customHeight="1" x14ac:dyDescent="0.3">
      <c r="BP902" s="15"/>
      <c r="BQ902" s="15"/>
      <c r="BR902" s="15"/>
      <c r="BS902" s="15"/>
      <c r="BT902" s="15"/>
      <c r="BU902" s="15"/>
      <c r="BV902" s="15"/>
      <c r="BW902" s="15"/>
      <c r="BX902" s="15"/>
      <c r="BY902" s="15"/>
      <c r="BZ902" s="15"/>
      <c r="CA902" s="15"/>
    </row>
    <row r="903" spans="68:79" ht="15" customHeight="1" x14ac:dyDescent="0.3">
      <c r="BP903" s="15"/>
      <c r="BQ903" s="15"/>
      <c r="BR903" s="15"/>
      <c r="BS903" s="15"/>
      <c r="BT903" s="15"/>
      <c r="BU903" s="15"/>
      <c r="BV903" s="15"/>
      <c r="BW903" s="15"/>
      <c r="BX903" s="15"/>
      <c r="BY903" s="15"/>
      <c r="BZ903" s="15"/>
      <c r="CA903" s="15"/>
    </row>
    <row r="904" spans="68:79" ht="15" customHeight="1" x14ac:dyDescent="0.3">
      <c r="BP904" s="15"/>
      <c r="BQ904" s="15"/>
      <c r="BR904" s="15"/>
      <c r="BS904" s="15"/>
      <c r="BT904" s="15"/>
      <c r="BU904" s="15"/>
      <c r="BV904" s="15"/>
      <c r="BW904" s="15"/>
      <c r="BX904" s="15"/>
      <c r="BY904" s="15"/>
      <c r="BZ904" s="15"/>
      <c r="CA904" s="15"/>
    </row>
    <row r="905" spans="68:79" ht="15" customHeight="1" x14ac:dyDescent="0.3">
      <c r="BP905" s="15"/>
      <c r="BQ905" s="15"/>
      <c r="BR905" s="15"/>
      <c r="BS905" s="15"/>
      <c r="BT905" s="15"/>
      <c r="BU905" s="15"/>
      <c r="BV905" s="15"/>
      <c r="BW905" s="15"/>
      <c r="BX905" s="15"/>
      <c r="BY905" s="15"/>
      <c r="BZ905" s="15"/>
      <c r="CA905" s="15"/>
    </row>
    <row r="906" spans="68:79" ht="15" customHeight="1" x14ac:dyDescent="0.3">
      <c r="BP906" s="15"/>
      <c r="BQ906" s="15"/>
      <c r="BR906" s="15"/>
      <c r="BS906" s="15"/>
      <c r="BT906" s="15"/>
      <c r="BU906" s="15"/>
      <c r="BV906" s="15"/>
      <c r="BW906" s="15"/>
      <c r="BX906" s="15"/>
      <c r="BY906" s="15"/>
      <c r="BZ906" s="15"/>
      <c r="CA906" s="15"/>
    </row>
    <row r="907" spans="68:79" ht="15" customHeight="1" x14ac:dyDescent="0.3">
      <c r="BP907" s="15"/>
      <c r="BQ907" s="15"/>
      <c r="BR907" s="15"/>
      <c r="BS907" s="15"/>
      <c r="BT907" s="15"/>
      <c r="BU907" s="15"/>
      <c r="BV907" s="15"/>
      <c r="BW907" s="15"/>
      <c r="BX907" s="15"/>
      <c r="BY907" s="15"/>
      <c r="BZ907" s="15"/>
      <c r="CA907" s="15"/>
    </row>
    <row r="908" spans="68:79" ht="15" customHeight="1" x14ac:dyDescent="0.3">
      <c r="BP908" s="15"/>
      <c r="BQ908" s="15"/>
      <c r="BR908" s="15"/>
      <c r="BS908" s="15"/>
      <c r="BT908" s="15"/>
      <c r="BU908" s="15"/>
      <c r="BV908" s="15"/>
      <c r="BW908" s="15"/>
      <c r="BX908" s="15"/>
      <c r="BY908" s="15"/>
      <c r="BZ908" s="15"/>
      <c r="CA908" s="15"/>
    </row>
    <row r="909" spans="68:79" ht="15" customHeight="1" x14ac:dyDescent="0.3">
      <c r="BP909" s="15"/>
      <c r="BQ909" s="15"/>
      <c r="BR909" s="15"/>
      <c r="BS909" s="15"/>
      <c r="BT909" s="15"/>
      <c r="BU909" s="15"/>
      <c r="BV909" s="15"/>
      <c r="BW909" s="15"/>
      <c r="BX909" s="15"/>
      <c r="BY909" s="15"/>
      <c r="BZ909" s="15"/>
      <c r="CA909" s="15"/>
    </row>
    <row r="910" spans="68:79" ht="15" customHeight="1" x14ac:dyDescent="0.3">
      <c r="BP910" s="15"/>
      <c r="BQ910" s="15"/>
      <c r="BR910" s="15"/>
      <c r="BS910" s="15"/>
      <c r="BT910" s="15"/>
      <c r="BU910" s="15"/>
      <c r="BV910" s="15"/>
      <c r="BW910" s="15"/>
      <c r="BX910" s="15"/>
      <c r="BY910" s="15"/>
      <c r="BZ910" s="15"/>
      <c r="CA910" s="15"/>
    </row>
    <row r="911" spans="68:79" ht="15" customHeight="1" x14ac:dyDescent="0.3">
      <c r="BP911" s="15"/>
      <c r="BQ911" s="15"/>
      <c r="BR911" s="15"/>
      <c r="BS911" s="15"/>
      <c r="BT911" s="15"/>
      <c r="BU911" s="15"/>
      <c r="BV911" s="15"/>
      <c r="BW911" s="15"/>
      <c r="BX911" s="15"/>
      <c r="BY911" s="15"/>
      <c r="BZ911" s="15"/>
      <c r="CA911" s="15"/>
    </row>
    <row r="912" spans="68:79" ht="15" customHeight="1" x14ac:dyDescent="0.3">
      <c r="BP912" s="15"/>
      <c r="BQ912" s="15"/>
      <c r="BR912" s="15"/>
      <c r="BS912" s="15"/>
      <c r="BT912" s="15"/>
      <c r="BU912" s="15"/>
      <c r="BV912" s="15"/>
      <c r="BW912" s="15"/>
      <c r="BX912" s="15"/>
      <c r="BY912" s="15"/>
      <c r="BZ912" s="15"/>
      <c r="CA912" s="15"/>
    </row>
    <row r="913" spans="68:79" ht="15" customHeight="1" x14ac:dyDescent="0.3">
      <c r="BP913" s="15"/>
      <c r="BQ913" s="15"/>
      <c r="BR913" s="15"/>
      <c r="BS913" s="15"/>
      <c r="BT913" s="15"/>
      <c r="BU913" s="15"/>
      <c r="BV913" s="15"/>
      <c r="BW913" s="15"/>
      <c r="BX913" s="15"/>
      <c r="BY913" s="15"/>
      <c r="BZ913" s="15"/>
      <c r="CA913" s="15"/>
    </row>
    <row r="914" spans="68:79" ht="15" customHeight="1" x14ac:dyDescent="0.3">
      <c r="BP914" s="15"/>
      <c r="BQ914" s="15"/>
      <c r="BR914" s="15"/>
      <c r="BS914" s="15"/>
      <c r="BT914" s="15"/>
      <c r="BU914" s="15"/>
      <c r="BV914" s="15"/>
      <c r="BW914" s="15"/>
      <c r="BX914" s="15"/>
      <c r="BY914" s="15"/>
      <c r="BZ914" s="15"/>
      <c r="CA914" s="15"/>
    </row>
    <row r="915" spans="68:79" ht="15" customHeight="1" x14ac:dyDescent="0.3">
      <c r="BP915" s="15"/>
      <c r="BQ915" s="15"/>
      <c r="BR915" s="15"/>
      <c r="BS915" s="15"/>
      <c r="BT915" s="15"/>
      <c r="BU915" s="15"/>
      <c r="BV915" s="15"/>
      <c r="BW915" s="15"/>
      <c r="BX915" s="15"/>
      <c r="BY915" s="15"/>
      <c r="BZ915" s="15"/>
      <c r="CA915" s="15"/>
    </row>
    <row r="916" spans="68:79" ht="15" customHeight="1" x14ac:dyDescent="0.3">
      <c r="BP916" s="15"/>
      <c r="BQ916" s="15"/>
      <c r="BR916" s="15"/>
      <c r="BS916" s="15"/>
      <c r="BT916" s="15"/>
      <c r="BU916" s="15"/>
      <c r="BV916" s="15"/>
      <c r="BW916" s="15"/>
      <c r="BX916" s="15"/>
      <c r="BY916" s="15"/>
      <c r="BZ916" s="15"/>
      <c r="CA916" s="15"/>
    </row>
    <row r="917" spans="68:79" ht="15" customHeight="1" x14ac:dyDescent="0.3">
      <c r="BP917" s="15"/>
      <c r="BQ917" s="15"/>
      <c r="BR917" s="15"/>
      <c r="BS917" s="15"/>
      <c r="BT917" s="15"/>
      <c r="BU917" s="15"/>
      <c r="BV917" s="15"/>
      <c r="BW917" s="15"/>
      <c r="BX917" s="15"/>
      <c r="BY917" s="15"/>
      <c r="BZ917" s="15"/>
      <c r="CA917" s="15"/>
    </row>
    <row r="918" spans="68:79" ht="15" customHeight="1" x14ac:dyDescent="0.3">
      <c r="BP918" s="15"/>
      <c r="BQ918" s="15"/>
      <c r="BR918" s="15"/>
      <c r="BS918" s="15"/>
      <c r="BT918" s="15"/>
      <c r="BU918" s="15"/>
      <c r="BV918" s="15"/>
      <c r="BW918" s="15"/>
      <c r="BX918" s="15"/>
      <c r="BY918" s="15"/>
      <c r="BZ918" s="15"/>
      <c r="CA918" s="15"/>
    </row>
    <row r="919" spans="68:79" ht="15" customHeight="1" x14ac:dyDescent="0.3">
      <c r="BP919" s="15"/>
      <c r="BQ919" s="15"/>
      <c r="BR919" s="15"/>
      <c r="BS919" s="15"/>
      <c r="BT919" s="15"/>
      <c r="BU919" s="15"/>
      <c r="BV919" s="15"/>
      <c r="BW919" s="15"/>
      <c r="BX919" s="15"/>
      <c r="BY919" s="15"/>
      <c r="BZ919" s="15"/>
      <c r="CA919" s="15"/>
    </row>
    <row r="920" spans="68:79" ht="15" customHeight="1" x14ac:dyDescent="0.3">
      <c r="BP920" s="15"/>
      <c r="BQ920" s="15"/>
      <c r="BR920" s="15"/>
      <c r="BS920" s="15"/>
      <c r="BT920" s="15"/>
      <c r="BU920" s="15"/>
      <c r="BV920" s="15"/>
      <c r="BW920" s="15"/>
      <c r="BX920" s="15"/>
      <c r="BY920" s="15"/>
      <c r="BZ920" s="15"/>
      <c r="CA920" s="15"/>
    </row>
    <row r="921" spans="68:79" ht="15" customHeight="1" x14ac:dyDescent="0.3">
      <c r="BP921" s="15"/>
      <c r="BQ921" s="15"/>
      <c r="BR921" s="15"/>
      <c r="BS921" s="15"/>
      <c r="BT921" s="15"/>
      <c r="BU921" s="15"/>
      <c r="BV921" s="15"/>
      <c r="BW921" s="15"/>
      <c r="BX921" s="15"/>
      <c r="BY921" s="15"/>
      <c r="BZ921" s="15"/>
      <c r="CA921" s="15"/>
    </row>
    <row r="922" spans="68:79" ht="15" customHeight="1" x14ac:dyDescent="0.3">
      <c r="BP922" s="15"/>
      <c r="BQ922" s="15"/>
      <c r="BR922" s="15"/>
      <c r="BS922" s="15"/>
      <c r="BT922" s="15"/>
      <c r="BU922" s="15"/>
      <c r="BV922" s="15"/>
      <c r="BW922" s="15"/>
      <c r="BX922" s="15"/>
      <c r="BY922" s="15"/>
      <c r="BZ922" s="15"/>
      <c r="CA922" s="15"/>
    </row>
    <row r="923" spans="68:79" ht="15" customHeight="1" x14ac:dyDescent="0.3">
      <c r="BP923" s="15"/>
      <c r="BQ923" s="15"/>
      <c r="BR923" s="15"/>
      <c r="BS923" s="15"/>
      <c r="BT923" s="15"/>
      <c r="BU923" s="15"/>
      <c r="BV923" s="15"/>
      <c r="BW923" s="15"/>
      <c r="BX923" s="15"/>
      <c r="BY923" s="15"/>
      <c r="BZ923" s="15"/>
      <c r="CA923" s="15"/>
    </row>
    <row r="924" spans="68:79" ht="15" customHeight="1" x14ac:dyDescent="0.3">
      <c r="BP924" s="15"/>
      <c r="BQ924" s="15"/>
      <c r="BR924" s="15"/>
      <c r="BS924" s="15"/>
      <c r="BT924" s="15"/>
      <c r="BU924" s="15"/>
      <c r="BV924" s="15"/>
      <c r="BW924" s="15"/>
      <c r="BX924" s="15"/>
      <c r="BY924" s="15"/>
      <c r="BZ924" s="15"/>
      <c r="CA924" s="15"/>
    </row>
    <row r="925" spans="68:79" ht="15" customHeight="1" x14ac:dyDescent="0.3">
      <c r="BP925" s="15"/>
      <c r="BQ925" s="15"/>
      <c r="BR925" s="15"/>
      <c r="BS925" s="15"/>
      <c r="BT925" s="15"/>
      <c r="BU925" s="15"/>
      <c r="BV925" s="15"/>
      <c r="BW925" s="15"/>
      <c r="BX925" s="15"/>
      <c r="BY925" s="15"/>
      <c r="BZ925" s="15"/>
      <c r="CA925" s="15"/>
    </row>
    <row r="926" spans="68:79" ht="15" customHeight="1" x14ac:dyDescent="0.3">
      <c r="BP926" s="15"/>
      <c r="BQ926" s="15"/>
      <c r="BR926" s="15"/>
      <c r="BS926" s="15"/>
      <c r="BT926" s="15"/>
      <c r="BU926" s="15"/>
      <c r="BV926" s="15"/>
      <c r="BW926" s="15"/>
      <c r="BX926" s="15"/>
      <c r="BY926" s="15"/>
      <c r="BZ926" s="15"/>
      <c r="CA926" s="15"/>
    </row>
    <row r="927" spans="68:79" ht="15" customHeight="1" x14ac:dyDescent="0.3">
      <c r="BP927" s="15"/>
      <c r="BQ927" s="15"/>
      <c r="BR927" s="15"/>
      <c r="BS927" s="15"/>
      <c r="BT927" s="15"/>
      <c r="BU927" s="15"/>
      <c r="BV927" s="15"/>
      <c r="BW927" s="15"/>
      <c r="BX927" s="15"/>
      <c r="BY927" s="15"/>
      <c r="BZ927" s="15"/>
      <c r="CA927" s="15"/>
    </row>
    <row r="928" spans="68:79" ht="15" customHeight="1" x14ac:dyDescent="0.3">
      <c r="BP928" s="15"/>
      <c r="BQ928" s="15"/>
      <c r="BR928" s="15"/>
      <c r="BS928" s="15"/>
      <c r="BT928" s="15"/>
      <c r="BU928" s="15"/>
      <c r="BV928" s="15"/>
      <c r="BW928" s="15"/>
      <c r="BX928" s="15"/>
      <c r="BY928" s="15"/>
      <c r="BZ928" s="15"/>
      <c r="CA928" s="15"/>
    </row>
    <row r="929" spans="68:79" ht="15" customHeight="1" x14ac:dyDescent="0.3">
      <c r="BP929" s="15"/>
      <c r="BQ929" s="15"/>
      <c r="BR929" s="15"/>
      <c r="BS929" s="15"/>
      <c r="BT929" s="15"/>
      <c r="BU929" s="15"/>
      <c r="BV929" s="15"/>
      <c r="BW929" s="15"/>
      <c r="BX929" s="15"/>
      <c r="BY929" s="15"/>
      <c r="BZ929" s="15"/>
      <c r="CA929" s="15"/>
    </row>
    <row r="930" spans="68:79" ht="15" customHeight="1" x14ac:dyDescent="0.3">
      <c r="BP930" s="15"/>
      <c r="BQ930" s="15"/>
      <c r="BR930" s="15"/>
      <c r="BS930" s="15"/>
      <c r="BT930" s="15"/>
      <c r="BU930" s="15"/>
      <c r="BV930" s="15"/>
      <c r="BW930" s="15"/>
      <c r="BX930" s="15"/>
      <c r="BY930" s="15"/>
      <c r="BZ930" s="15"/>
      <c r="CA930" s="15"/>
    </row>
    <row r="931" spans="68:79" ht="15" customHeight="1" x14ac:dyDescent="0.3">
      <c r="BP931" s="15"/>
      <c r="BQ931" s="15"/>
      <c r="BR931" s="15"/>
      <c r="BS931" s="15"/>
      <c r="BT931" s="15"/>
      <c r="BU931" s="15"/>
      <c r="BV931" s="15"/>
      <c r="BW931" s="15"/>
      <c r="BX931" s="15"/>
      <c r="BY931" s="15"/>
      <c r="BZ931" s="15"/>
      <c r="CA931" s="15"/>
    </row>
    <row r="932" spans="68:79" ht="15" customHeight="1" x14ac:dyDescent="0.3">
      <c r="BP932" s="15"/>
      <c r="BQ932" s="15"/>
      <c r="BR932" s="15"/>
      <c r="BS932" s="15"/>
      <c r="BT932" s="15"/>
      <c r="BU932" s="15"/>
      <c r="BV932" s="15"/>
      <c r="BW932" s="15"/>
      <c r="BX932" s="15"/>
      <c r="BY932" s="15"/>
      <c r="BZ932" s="15"/>
      <c r="CA932" s="15"/>
    </row>
    <row r="933" spans="68:79" ht="15" customHeight="1" x14ac:dyDescent="0.3">
      <c r="BP933" s="15"/>
      <c r="BQ933" s="15"/>
      <c r="BR933" s="15"/>
      <c r="BS933" s="15"/>
      <c r="BT933" s="15"/>
      <c r="BU933" s="15"/>
      <c r="BV933" s="15"/>
      <c r="BW933" s="15"/>
      <c r="BX933" s="15"/>
      <c r="BY933" s="15"/>
      <c r="BZ933" s="15"/>
      <c r="CA933" s="15"/>
    </row>
    <row r="934" spans="68:79" ht="15" customHeight="1" x14ac:dyDescent="0.3">
      <c r="BP934" s="15"/>
      <c r="BQ934" s="15"/>
      <c r="BR934" s="15"/>
      <c r="BS934" s="15"/>
      <c r="BT934" s="15"/>
      <c r="BU934" s="15"/>
      <c r="BV934" s="15"/>
      <c r="BW934" s="15"/>
      <c r="BX934" s="15"/>
      <c r="BY934" s="15"/>
      <c r="BZ934" s="15"/>
      <c r="CA934" s="15"/>
    </row>
    <row r="935" spans="68:79" ht="15" customHeight="1" x14ac:dyDescent="0.3">
      <c r="BP935" s="15"/>
      <c r="BQ935" s="15"/>
      <c r="BR935" s="15"/>
      <c r="BS935" s="15"/>
      <c r="BT935" s="15"/>
      <c r="BU935" s="15"/>
      <c r="BV935" s="15"/>
      <c r="BW935" s="15"/>
      <c r="BX935" s="15"/>
      <c r="BY935" s="15"/>
      <c r="BZ935" s="15"/>
      <c r="CA935" s="15"/>
    </row>
    <row r="936" spans="68:79" ht="15" customHeight="1" x14ac:dyDescent="0.3">
      <c r="BP936" s="15"/>
      <c r="BQ936" s="15"/>
      <c r="BR936" s="15"/>
      <c r="BS936" s="15"/>
      <c r="BT936" s="15"/>
      <c r="BU936" s="15"/>
      <c r="BV936" s="15"/>
      <c r="BW936" s="15"/>
      <c r="BX936" s="15"/>
      <c r="BY936" s="15"/>
      <c r="BZ936" s="15"/>
      <c r="CA936" s="15"/>
    </row>
    <row r="937" spans="68:79" ht="15" customHeight="1" x14ac:dyDescent="0.3">
      <c r="BP937" s="15"/>
      <c r="BQ937" s="15"/>
      <c r="BR937" s="15"/>
      <c r="BS937" s="15"/>
      <c r="BT937" s="15"/>
      <c r="BU937" s="15"/>
      <c r="BV937" s="15"/>
      <c r="BW937" s="15"/>
      <c r="BX937" s="15"/>
      <c r="BY937" s="15"/>
      <c r="BZ937" s="15"/>
      <c r="CA937" s="15"/>
    </row>
    <row r="938" spans="68:79" ht="15" customHeight="1" x14ac:dyDescent="0.3">
      <c r="BP938" s="15"/>
      <c r="BQ938" s="15"/>
      <c r="BR938" s="15"/>
      <c r="BS938" s="15"/>
      <c r="BT938" s="15"/>
      <c r="BU938" s="15"/>
      <c r="BV938" s="15"/>
      <c r="BW938" s="15"/>
      <c r="BX938" s="15"/>
      <c r="BY938" s="15"/>
      <c r="BZ938" s="15"/>
      <c r="CA938" s="15"/>
    </row>
    <row r="939" spans="68:79" ht="15" customHeight="1" x14ac:dyDescent="0.3">
      <c r="BP939" s="15"/>
      <c r="BQ939" s="15"/>
      <c r="BR939" s="15"/>
      <c r="BS939" s="15"/>
      <c r="BT939" s="15"/>
      <c r="BU939" s="15"/>
      <c r="BV939" s="15"/>
      <c r="BW939" s="15"/>
      <c r="BX939" s="15"/>
      <c r="BY939" s="15"/>
      <c r="BZ939" s="15"/>
      <c r="CA939" s="15"/>
    </row>
    <row r="940" spans="68:79" ht="15" customHeight="1" x14ac:dyDescent="0.3">
      <c r="BP940" s="15"/>
      <c r="BQ940" s="15"/>
      <c r="BR940" s="15"/>
      <c r="BS940" s="15"/>
      <c r="BT940" s="15"/>
      <c r="BU940" s="15"/>
      <c r="BV940" s="15"/>
      <c r="BW940" s="15"/>
      <c r="BX940" s="15"/>
      <c r="BY940" s="15"/>
      <c r="BZ940" s="15"/>
      <c r="CA940" s="15"/>
    </row>
    <row r="941" spans="68:79" ht="15" customHeight="1" x14ac:dyDescent="0.3">
      <c r="BP941" s="15"/>
      <c r="BQ941" s="15"/>
      <c r="BR941" s="15"/>
      <c r="BS941" s="15"/>
      <c r="BT941" s="15"/>
      <c r="BU941" s="15"/>
      <c r="BV941" s="15"/>
      <c r="BW941" s="15"/>
      <c r="BX941" s="15"/>
      <c r="BY941" s="15"/>
      <c r="BZ941" s="15"/>
      <c r="CA941" s="15"/>
    </row>
    <row r="942" spans="68:79" ht="15" customHeight="1" x14ac:dyDescent="0.3">
      <c r="BP942" s="15"/>
      <c r="BQ942" s="15"/>
      <c r="BR942" s="15"/>
      <c r="BS942" s="15"/>
      <c r="BT942" s="15"/>
      <c r="BU942" s="15"/>
      <c r="BV942" s="15"/>
      <c r="BW942" s="15"/>
      <c r="BX942" s="15"/>
      <c r="BY942" s="15"/>
      <c r="BZ942" s="15"/>
      <c r="CA942" s="15"/>
    </row>
    <row r="943" spans="68:79" ht="15" customHeight="1" x14ac:dyDescent="0.3">
      <c r="BP943" s="15"/>
      <c r="BQ943" s="15"/>
      <c r="BR943" s="15"/>
      <c r="BS943" s="15"/>
      <c r="BT943" s="15"/>
      <c r="BU943" s="15"/>
      <c r="BV943" s="15"/>
      <c r="BW943" s="15"/>
      <c r="BX943" s="15"/>
      <c r="BY943" s="15"/>
      <c r="BZ943" s="15"/>
      <c r="CA943" s="15"/>
    </row>
    <row r="944" spans="68:79" ht="15" customHeight="1" x14ac:dyDescent="0.3">
      <c r="BP944" s="15"/>
      <c r="BQ944" s="15"/>
      <c r="BR944" s="15"/>
      <c r="BS944" s="15"/>
      <c r="BT944" s="15"/>
      <c r="BU944" s="15"/>
      <c r="BV944" s="15"/>
      <c r="BW944" s="15"/>
      <c r="BX944" s="15"/>
      <c r="BY944" s="15"/>
      <c r="BZ944" s="15"/>
      <c r="CA944" s="15"/>
    </row>
    <row r="945" spans="68:79" ht="15" customHeight="1" x14ac:dyDescent="0.3">
      <c r="BP945" s="15"/>
      <c r="BQ945" s="15"/>
      <c r="BR945" s="15"/>
      <c r="BS945" s="15"/>
      <c r="BT945" s="15"/>
      <c r="BU945" s="15"/>
      <c r="BV945" s="15"/>
      <c r="BW945" s="15"/>
      <c r="BX945" s="15"/>
      <c r="BY945" s="15"/>
      <c r="BZ945" s="15"/>
      <c r="CA945" s="15"/>
    </row>
    <row r="946" spans="68:79" ht="15" customHeight="1" x14ac:dyDescent="0.3">
      <c r="BP946" s="15"/>
      <c r="BQ946" s="15"/>
      <c r="BR946" s="15"/>
      <c r="BS946" s="15"/>
      <c r="BT946" s="15"/>
      <c r="BU946" s="15"/>
      <c r="BV946" s="15"/>
      <c r="BW946" s="15"/>
      <c r="BX946" s="15"/>
      <c r="BY946" s="15"/>
      <c r="BZ946" s="15"/>
      <c r="CA946" s="15"/>
    </row>
    <row r="947" spans="68:79" ht="15" customHeight="1" x14ac:dyDescent="0.3">
      <c r="BP947" s="15"/>
      <c r="BQ947" s="15"/>
      <c r="BR947" s="15"/>
      <c r="BS947" s="15"/>
      <c r="BT947" s="15"/>
      <c r="BU947" s="15"/>
      <c r="BV947" s="15"/>
      <c r="BW947" s="15"/>
      <c r="BX947" s="15"/>
      <c r="BY947" s="15"/>
      <c r="BZ947" s="15"/>
      <c r="CA947" s="15"/>
    </row>
    <row r="948" spans="68:79" ht="15" customHeight="1" x14ac:dyDescent="0.3">
      <c r="BP948" s="15"/>
      <c r="BQ948" s="15"/>
      <c r="BR948" s="15"/>
      <c r="BS948" s="15"/>
      <c r="BT948" s="15"/>
      <c r="BU948" s="15"/>
      <c r="BV948" s="15"/>
      <c r="BW948" s="15"/>
      <c r="BX948" s="15"/>
      <c r="BY948" s="15"/>
      <c r="BZ948" s="15"/>
      <c r="CA948" s="15"/>
    </row>
    <row r="949" spans="68:79" ht="15" customHeight="1" x14ac:dyDescent="0.3">
      <c r="BP949" s="15"/>
      <c r="BQ949" s="15"/>
      <c r="BR949" s="15"/>
      <c r="BS949" s="15"/>
      <c r="BT949" s="15"/>
      <c r="BU949" s="15"/>
      <c r="BV949" s="15"/>
      <c r="BW949" s="15"/>
      <c r="BX949" s="15"/>
      <c r="BY949" s="15"/>
      <c r="BZ949" s="15"/>
      <c r="CA949" s="15"/>
    </row>
    <row r="950" spans="68:79" ht="15" customHeight="1" x14ac:dyDescent="0.3">
      <c r="BP950" s="15"/>
      <c r="BQ950" s="15"/>
      <c r="BR950" s="15"/>
      <c r="BS950" s="15"/>
      <c r="BT950" s="15"/>
      <c r="BU950" s="15"/>
      <c r="BV950" s="15"/>
      <c r="BW950" s="15"/>
      <c r="BX950" s="15"/>
      <c r="BY950" s="15"/>
      <c r="BZ950" s="15"/>
      <c r="CA950" s="15"/>
    </row>
    <row r="951" spans="68:79" ht="15" customHeight="1" x14ac:dyDescent="0.3">
      <c r="BP951" s="15"/>
      <c r="BQ951" s="15"/>
      <c r="BR951" s="15"/>
      <c r="BS951" s="15"/>
      <c r="BT951" s="15"/>
      <c r="BU951" s="15"/>
      <c r="BV951" s="15"/>
      <c r="BW951" s="15"/>
      <c r="BX951" s="15"/>
      <c r="BY951" s="15"/>
      <c r="BZ951" s="15"/>
      <c r="CA951" s="15"/>
    </row>
    <row r="952" spans="68:79" ht="15" customHeight="1" x14ac:dyDescent="0.3">
      <c r="BP952" s="15"/>
      <c r="BQ952" s="15"/>
      <c r="BR952" s="15"/>
      <c r="BS952" s="15"/>
      <c r="BT952" s="15"/>
      <c r="BU952" s="15"/>
      <c r="BV952" s="15"/>
      <c r="BW952" s="15"/>
      <c r="BX952" s="15"/>
      <c r="BY952" s="15"/>
      <c r="BZ952" s="15"/>
      <c r="CA952" s="15"/>
    </row>
    <row r="953" spans="68:79" ht="15" customHeight="1" x14ac:dyDescent="0.3">
      <c r="BP953" s="15"/>
      <c r="BQ953" s="15"/>
      <c r="BR953" s="15"/>
      <c r="BS953" s="15"/>
      <c r="BT953" s="15"/>
      <c r="BU953" s="15"/>
      <c r="BV953" s="15"/>
      <c r="BW953" s="15"/>
      <c r="BX953" s="15"/>
      <c r="BY953" s="15"/>
      <c r="BZ953" s="15"/>
      <c r="CA953" s="15"/>
    </row>
    <row r="954" spans="68:79" ht="15" customHeight="1" x14ac:dyDescent="0.3">
      <c r="BP954" s="15"/>
      <c r="BQ954" s="15"/>
      <c r="BR954" s="15"/>
      <c r="BS954" s="15"/>
      <c r="BT954" s="15"/>
      <c r="BU954" s="15"/>
      <c r="BV954" s="15"/>
      <c r="BW954" s="15"/>
      <c r="BX954" s="15"/>
      <c r="BY954" s="15"/>
      <c r="BZ954" s="15"/>
      <c r="CA954" s="15"/>
    </row>
    <row r="955" spans="68:79" ht="15" customHeight="1" x14ac:dyDescent="0.3">
      <c r="BP955" s="15"/>
      <c r="BQ955" s="15"/>
      <c r="BR955" s="15"/>
      <c r="BS955" s="15"/>
      <c r="BT955" s="15"/>
      <c r="BU955" s="15"/>
      <c r="BV955" s="15"/>
      <c r="BW955" s="15"/>
      <c r="BX955" s="15"/>
      <c r="BY955" s="15"/>
      <c r="BZ955" s="15"/>
      <c r="CA955" s="15"/>
    </row>
    <row r="956" spans="68:79" ht="15" customHeight="1" x14ac:dyDescent="0.3">
      <c r="BP956" s="15"/>
      <c r="BQ956" s="15"/>
      <c r="BR956" s="15"/>
      <c r="BS956" s="15"/>
      <c r="BT956" s="15"/>
      <c r="BU956" s="15"/>
      <c r="BV956" s="15"/>
      <c r="BW956" s="15"/>
      <c r="BX956" s="15"/>
      <c r="BY956" s="15"/>
      <c r="BZ956" s="15"/>
      <c r="CA956" s="15"/>
    </row>
    <row r="957" spans="68:79" ht="15" customHeight="1" x14ac:dyDescent="0.3">
      <c r="BP957" s="15"/>
      <c r="BQ957" s="15"/>
      <c r="BR957" s="15"/>
      <c r="BS957" s="15"/>
      <c r="BT957" s="15"/>
      <c r="BU957" s="15"/>
      <c r="BV957" s="15"/>
      <c r="BW957" s="15"/>
      <c r="BX957" s="15"/>
      <c r="BY957" s="15"/>
      <c r="BZ957" s="15"/>
      <c r="CA957" s="15"/>
    </row>
    <row r="958" spans="68:79" ht="15" customHeight="1" x14ac:dyDescent="0.3">
      <c r="BP958" s="15"/>
      <c r="BQ958" s="15"/>
      <c r="BR958" s="15"/>
      <c r="BS958" s="15"/>
      <c r="BT958" s="15"/>
      <c r="BU958" s="15"/>
      <c r="BV958" s="15"/>
      <c r="BW958" s="15"/>
      <c r="BX958" s="15"/>
      <c r="BY958" s="15"/>
      <c r="BZ958" s="15"/>
      <c r="CA958" s="15"/>
    </row>
    <row r="959" spans="68:79" ht="15" customHeight="1" x14ac:dyDescent="0.3">
      <c r="BP959" s="15"/>
      <c r="BQ959" s="15"/>
      <c r="BR959" s="15"/>
      <c r="BS959" s="15"/>
      <c r="BT959" s="15"/>
      <c r="BU959" s="15"/>
      <c r="BV959" s="15"/>
      <c r="BW959" s="15"/>
      <c r="BX959" s="15"/>
      <c r="BY959" s="15"/>
      <c r="BZ959" s="15"/>
      <c r="CA959" s="15"/>
    </row>
    <row r="960" spans="68:79" ht="15" customHeight="1" x14ac:dyDescent="0.3">
      <c r="BP960" s="15"/>
      <c r="BQ960" s="15"/>
      <c r="BR960" s="15"/>
      <c r="BS960" s="15"/>
      <c r="BT960" s="15"/>
      <c r="BU960" s="15"/>
      <c r="BV960" s="15"/>
      <c r="BW960" s="15"/>
      <c r="BX960" s="15"/>
      <c r="BY960" s="15"/>
      <c r="BZ960" s="15"/>
      <c r="CA960" s="15"/>
    </row>
    <row r="961" spans="68:79" ht="15" customHeight="1" x14ac:dyDescent="0.3">
      <c r="BP961" s="15"/>
      <c r="BQ961" s="15"/>
      <c r="BR961" s="15"/>
      <c r="BS961" s="15"/>
      <c r="BT961" s="15"/>
      <c r="BU961" s="15"/>
      <c r="BV961" s="15"/>
      <c r="BW961" s="15"/>
      <c r="BX961" s="15"/>
      <c r="BY961" s="15"/>
      <c r="BZ961" s="15"/>
      <c r="CA961" s="15"/>
    </row>
    <row r="962" spans="68:79" ht="15" customHeight="1" x14ac:dyDescent="0.3">
      <c r="BP962" s="15"/>
      <c r="BQ962" s="15"/>
      <c r="BR962" s="15"/>
      <c r="BS962" s="15"/>
      <c r="BT962" s="15"/>
      <c r="BU962" s="15"/>
      <c r="BV962" s="15"/>
      <c r="BW962" s="15"/>
      <c r="BX962" s="15"/>
      <c r="BY962" s="15"/>
      <c r="BZ962" s="15"/>
      <c r="CA962" s="15"/>
    </row>
    <row r="963" spans="68:79" ht="15" customHeight="1" x14ac:dyDescent="0.3">
      <c r="BP963" s="15"/>
      <c r="BQ963" s="15"/>
      <c r="BR963" s="15"/>
      <c r="BS963" s="15"/>
      <c r="BT963" s="15"/>
      <c r="BU963" s="15"/>
      <c r="BV963" s="15"/>
      <c r="BW963" s="15"/>
      <c r="BX963" s="15"/>
      <c r="BY963" s="15"/>
      <c r="BZ963" s="15"/>
      <c r="CA963" s="15"/>
    </row>
    <row r="964" spans="68:79" ht="15" customHeight="1" x14ac:dyDescent="0.3">
      <c r="BP964" s="15"/>
      <c r="BQ964" s="15"/>
      <c r="BR964" s="15"/>
      <c r="BS964" s="15"/>
      <c r="BT964" s="15"/>
      <c r="BU964" s="15"/>
      <c r="BV964" s="15"/>
      <c r="BW964" s="15"/>
      <c r="BX964" s="15"/>
      <c r="BY964" s="15"/>
      <c r="BZ964" s="15"/>
      <c r="CA964" s="15"/>
    </row>
    <row r="965" spans="68:79" ht="15" customHeight="1" x14ac:dyDescent="0.3">
      <c r="BP965" s="15"/>
      <c r="BQ965" s="15"/>
      <c r="BR965" s="15"/>
      <c r="BS965" s="15"/>
      <c r="BT965" s="15"/>
      <c r="BU965" s="15"/>
      <c r="BV965" s="15"/>
      <c r="BW965" s="15"/>
      <c r="BX965" s="15"/>
      <c r="BY965" s="15"/>
      <c r="BZ965" s="15"/>
      <c r="CA965" s="15"/>
    </row>
    <row r="966" spans="68:79" ht="15" customHeight="1" x14ac:dyDescent="0.3">
      <c r="BP966" s="15"/>
      <c r="BQ966" s="15"/>
      <c r="BR966" s="15"/>
      <c r="BS966" s="15"/>
      <c r="BT966" s="15"/>
      <c r="BU966" s="15"/>
      <c r="BV966" s="15"/>
      <c r="BW966" s="15"/>
      <c r="BX966" s="15"/>
      <c r="BY966" s="15"/>
      <c r="BZ966" s="15"/>
      <c r="CA966" s="15"/>
    </row>
    <row r="967" spans="68:79" ht="15" customHeight="1" x14ac:dyDescent="0.3">
      <c r="BP967" s="15"/>
      <c r="BQ967" s="15"/>
      <c r="BR967" s="15"/>
      <c r="BS967" s="15"/>
      <c r="BT967" s="15"/>
      <c r="BU967" s="15"/>
      <c r="BV967" s="15"/>
      <c r="BW967" s="15"/>
      <c r="BX967" s="15"/>
      <c r="BY967" s="15"/>
      <c r="BZ967" s="15"/>
      <c r="CA967" s="15"/>
    </row>
    <row r="968" spans="68:79" ht="15" customHeight="1" x14ac:dyDescent="0.3">
      <c r="BP968" s="15"/>
      <c r="BQ968" s="15"/>
      <c r="BR968" s="15"/>
      <c r="BS968" s="15"/>
      <c r="BT968" s="15"/>
      <c r="BU968" s="15"/>
      <c r="BV968" s="15"/>
      <c r="BW968" s="15"/>
      <c r="BX968" s="15"/>
      <c r="BY968" s="15"/>
      <c r="BZ968" s="15"/>
      <c r="CA968" s="15"/>
    </row>
    <row r="969" spans="68:79" ht="15" customHeight="1" x14ac:dyDescent="0.3">
      <c r="BP969" s="15"/>
      <c r="BQ969" s="15"/>
      <c r="BR969" s="15"/>
      <c r="BS969" s="15"/>
      <c r="BT969" s="15"/>
      <c r="BU969" s="15"/>
      <c r="BV969" s="15"/>
      <c r="BW969" s="15"/>
      <c r="BX969" s="15"/>
      <c r="BY969" s="15"/>
      <c r="BZ969" s="15"/>
      <c r="CA969" s="15"/>
    </row>
    <row r="970" spans="68:79" ht="15" customHeight="1" x14ac:dyDescent="0.3">
      <c r="BP970" s="15"/>
      <c r="BQ970" s="15"/>
      <c r="BR970" s="15"/>
      <c r="BS970" s="15"/>
      <c r="BT970" s="15"/>
      <c r="BU970" s="15"/>
      <c r="BV970" s="15"/>
      <c r="BW970" s="15"/>
      <c r="BX970" s="15"/>
      <c r="BY970" s="15"/>
      <c r="BZ970" s="15"/>
      <c r="CA970" s="15"/>
    </row>
    <row r="971" spans="68:79" ht="15" customHeight="1" x14ac:dyDescent="0.3">
      <c r="BP971" s="15"/>
      <c r="BQ971" s="15"/>
      <c r="BR971" s="15"/>
      <c r="BS971" s="15"/>
      <c r="BT971" s="15"/>
      <c r="BU971" s="15"/>
      <c r="BV971" s="15"/>
      <c r="BW971" s="15"/>
      <c r="BX971" s="15"/>
      <c r="BY971" s="15"/>
      <c r="BZ971" s="15"/>
      <c r="CA971" s="15"/>
    </row>
    <row r="972" spans="68:79" ht="15" customHeight="1" x14ac:dyDescent="0.3">
      <c r="BP972" s="15"/>
      <c r="BQ972" s="15"/>
      <c r="BR972" s="15"/>
      <c r="BS972" s="15"/>
      <c r="BT972" s="15"/>
      <c r="BU972" s="15"/>
      <c r="BV972" s="15"/>
      <c r="BW972" s="15"/>
      <c r="BX972" s="15"/>
      <c r="BY972" s="15"/>
      <c r="BZ972" s="15"/>
      <c r="CA972" s="15"/>
    </row>
    <row r="973" spans="68:79" ht="15" customHeight="1" x14ac:dyDescent="0.3">
      <c r="BP973" s="15"/>
      <c r="BQ973" s="15"/>
      <c r="BR973" s="15"/>
      <c r="BS973" s="15"/>
      <c r="BT973" s="15"/>
      <c r="BU973" s="15"/>
      <c r="BV973" s="15"/>
      <c r="BW973" s="15"/>
      <c r="BX973" s="15"/>
      <c r="BY973" s="15"/>
      <c r="BZ973" s="15"/>
      <c r="CA973" s="15"/>
    </row>
    <row r="974" spans="68:79" ht="15" customHeight="1" x14ac:dyDescent="0.3">
      <c r="BP974" s="15"/>
      <c r="BQ974" s="15"/>
      <c r="BR974" s="15"/>
      <c r="BS974" s="15"/>
      <c r="BT974" s="15"/>
      <c r="BU974" s="15"/>
      <c r="BV974" s="15"/>
      <c r="BW974" s="15"/>
      <c r="BX974" s="15"/>
      <c r="BY974" s="15"/>
      <c r="BZ974" s="15"/>
      <c r="CA974" s="15"/>
    </row>
    <row r="975" spans="68:79" ht="15" customHeight="1" x14ac:dyDescent="0.3">
      <c r="BP975" s="15"/>
      <c r="BQ975" s="15"/>
      <c r="BR975" s="15"/>
      <c r="BS975" s="15"/>
      <c r="BT975" s="15"/>
      <c r="BU975" s="15"/>
      <c r="BV975" s="15"/>
      <c r="BW975" s="15"/>
      <c r="BX975" s="15"/>
      <c r="BY975" s="15"/>
      <c r="BZ975" s="15"/>
      <c r="CA975" s="15"/>
    </row>
    <row r="976" spans="68:79" ht="15" customHeight="1" x14ac:dyDescent="0.3">
      <c r="BP976" s="15"/>
      <c r="BQ976" s="15"/>
      <c r="BR976" s="15"/>
      <c r="BS976" s="15"/>
      <c r="BT976" s="15"/>
      <c r="BU976" s="15"/>
      <c r="BV976" s="15"/>
      <c r="BW976" s="15"/>
      <c r="BX976" s="15"/>
      <c r="BY976" s="15"/>
      <c r="BZ976" s="15"/>
      <c r="CA976" s="15"/>
    </row>
    <row r="977" spans="68:79" ht="15" customHeight="1" x14ac:dyDescent="0.3">
      <c r="BP977" s="15"/>
      <c r="BQ977" s="15"/>
      <c r="BR977" s="15"/>
      <c r="BS977" s="15"/>
      <c r="BT977" s="15"/>
      <c r="BU977" s="15"/>
      <c r="BV977" s="15"/>
      <c r="BW977" s="15"/>
      <c r="BX977" s="15"/>
      <c r="BY977" s="15"/>
      <c r="BZ977" s="15"/>
      <c r="CA977" s="15"/>
    </row>
    <row r="978" spans="68:79" ht="15" customHeight="1" x14ac:dyDescent="0.3">
      <c r="BP978" s="15"/>
      <c r="BQ978" s="15"/>
      <c r="BR978" s="15"/>
      <c r="BS978" s="15"/>
      <c r="BT978" s="15"/>
      <c r="BU978" s="15"/>
      <c r="BV978" s="15"/>
      <c r="BW978" s="15"/>
      <c r="BX978" s="15"/>
      <c r="BY978" s="15"/>
      <c r="BZ978" s="15"/>
      <c r="CA978" s="15"/>
    </row>
    <row r="979" spans="68:79" ht="15" customHeight="1" x14ac:dyDescent="0.3">
      <c r="BP979" s="15"/>
      <c r="BQ979" s="15"/>
      <c r="BR979" s="15"/>
      <c r="BS979" s="15"/>
      <c r="BT979" s="15"/>
      <c r="BU979" s="15"/>
      <c r="BV979" s="15"/>
      <c r="BW979" s="15"/>
      <c r="BX979" s="15"/>
      <c r="BY979" s="15"/>
      <c r="BZ979" s="15"/>
      <c r="CA979" s="15"/>
    </row>
    <row r="980" spans="68:79" ht="15" customHeight="1" x14ac:dyDescent="0.3">
      <c r="BP980" s="15"/>
      <c r="BQ980" s="15"/>
      <c r="BR980" s="15"/>
      <c r="BS980" s="15"/>
      <c r="BT980" s="15"/>
      <c r="BU980" s="15"/>
      <c r="BV980" s="15"/>
      <c r="BW980" s="15"/>
      <c r="BX980" s="15"/>
      <c r="BY980" s="15"/>
      <c r="BZ980" s="15"/>
      <c r="CA980" s="15"/>
    </row>
    <row r="981" spans="68:79" ht="15" customHeight="1" x14ac:dyDescent="0.3">
      <c r="BP981" s="15"/>
      <c r="BQ981" s="15"/>
      <c r="BR981" s="15"/>
      <c r="BS981" s="15"/>
      <c r="BT981" s="15"/>
      <c r="BU981" s="15"/>
      <c r="BV981" s="15"/>
      <c r="BW981" s="15"/>
      <c r="BX981" s="15"/>
      <c r="BY981" s="15"/>
      <c r="BZ981" s="15"/>
      <c r="CA981" s="15"/>
    </row>
    <row r="982" spans="68:79" ht="15" customHeight="1" x14ac:dyDescent="0.3">
      <c r="BP982" s="15"/>
      <c r="BQ982" s="15"/>
      <c r="BR982" s="15"/>
      <c r="BS982" s="15"/>
      <c r="BT982" s="15"/>
      <c r="BU982" s="15"/>
      <c r="BV982" s="15"/>
      <c r="BW982" s="15"/>
      <c r="BX982" s="15"/>
      <c r="BY982" s="15"/>
      <c r="BZ982" s="15"/>
      <c r="CA982" s="15"/>
    </row>
    <row r="983" spans="68:79" ht="15" customHeight="1" x14ac:dyDescent="0.3">
      <c r="BP983" s="15"/>
      <c r="BQ983" s="15"/>
      <c r="BR983" s="15"/>
      <c r="BS983" s="15"/>
      <c r="BT983" s="15"/>
      <c r="BU983" s="15"/>
      <c r="BV983" s="15"/>
      <c r="BW983" s="15"/>
      <c r="BX983" s="15"/>
      <c r="BY983" s="15"/>
      <c r="BZ983" s="15"/>
      <c r="CA983" s="15"/>
    </row>
    <row r="984" spans="68:79" ht="15" customHeight="1" x14ac:dyDescent="0.3">
      <c r="BP984" s="15"/>
      <c r="BQ984" s="15"/>
      <c r="BR984" s="15"/>
      <c r="BS984" s="15"/>
      <c r="BT984" s="15"/>
      <c r="BU984" s="15"/>
      <c r="BV984" s="15"/>
      <c r="BW984" s="15"/>
      <c r="BX984" s="15"/>
      <c r="BY984" s="15"/>
      <c r="BZ984" s="15"/>
      <c r="CA984" s="15"/>
    </row>
    <row r="985" spans="68:79" ht="15" customHeight="1" x14ac:dyDescent="0.3">
      <c r="BP985" s="15"/>
      <c r="BQ985" s="15"/>
      <c r="BR985" s="15"/>
      <c r="BS985" s="15"/>
      <c r="BT985" s="15"/>
      <c r="BU985" s="15"/>
      <c r="BV985" s="15"/>
      <c r="BW985" s="15"/>
      <c r="BX985" s="15"/>
      <c r="BY985" s="15"/>
      <c r="BZ985" s="15"/>
      <c r="CA985" s="15"/>
    </row>
    <row r="986" spans="68:79" ht="15" customHeight="1" x14ac:dyDescent="0.3">
      <c r="BP986" s="15"/>
      <c r="BQ986" s="15"/>
      <c r="BR986" s="15"/>
      <c r="BS986" s="15"/>
      <c r="BT986" s="15"/>
      <c r="BU986" s="15"/>
      <c r="BV986" s="15"/>
      <c r="BW986" s="15"/>
      <c r="BX986" s="15"/>
      <c r="BY986" s="15"/>
      <c r="BZ986" s="15"/>
      <c r="CA986" s="15"/>
    </row>
    <row r="987" spans="68:79" ht="15" customHeight="1" x14ac:dyDescent="0.3">
      <c r="BP987" s="15"/>
      <c r="BQ987" s="15"/>
      <c r="BR987" s="15"/>
      <c r="BS987" s="15"/>
      <c r="BT987" s="15"/>
      <c r="BU987" s="15"/>
      <c r="BV987" s="15"/>
      <c r="BW987" s="15"/>
      <c r="BX987" s="15"/>
      <c r="BY987" s="15"/>
      <c r="BZ987" s="15"/>
      <c r="CA987" s="15"/>
    </row>
    <row r="988" spans="68:79" ht="15" customHeight="1" x14ac:dyDescent="0.3">
      <c r="BP988" s="15"/>
      <c r="BQ988" s="15"/>
      <c r="BR988" s="15"/>
      <c r="BS988" s="15"/>
      <c r="BT988" s="15"/>
      <c r="BU988" s="15"/>
      <c r="BV988" s="15"/>
      <c r="BW988" s="15"/>
      <c r="BX988" s="15"/>
      <c r="BY988" s="15"/>
      <c r="BZ988" s="15"/>
      <c r="CA988" s="15"/>
    </row>
    <row r="989" spans="68:79" ht="15" customHeight="1" x14ac:dyDescent="0.3">
      <c r="BP989" s="15"/>
      <c r="BQ989" s="15"/>
      <c r="BR989" s="15"/>
      <c r="BS989" s="15"/>
      <c r="BT989" s="15"/>
      <c r="BU989" s="15"/>
      <c r="BV989" s="15"/>
      <c r="BW989" s="15"/>
      <c r="BX989" s="15"/>
      <c r="BY989" s="15"/>
      <c r="BZ989" s="15"/>
      <c r="CA989" s="15"/>
    </row>
    <row r="990" spans="68:79" ht="15" customHeight="1" x14ac:dyDescent="0.3">
      <c r="BP990" s="15"/>
      <c r="BQ990" s="15"/>
      <c r="BR990" s="15"/>
      <c r="BS990" s="15"/>
      <c r="BT990" s="15"/>
      <c r="BU990" s="15"/>
      <c r="BV990" s="15"/>
      <c r="BW990" s="15"/>
      <c r="BX990" s="15"/>
      <c r="BY990" s="15"/>
      <c r="BZ990" s="15"/>
      <c r="CA990" s="15"/>
    </row>
    <row r="991" spans="68:79" ht="15" customHeight="1" x14ac:dyDescent="0.3">
      <c r="BP991" s="15"/>
      <c r="BQ991" s="15"/>
      <c r="BR991" s="15"/>
      <c r="BS991" s="15"/>
      <c r="BT991" s="15"/>
      <c r="BU991" s="15"/>
      <c r="BV991" s="15"/>
      <c r="BW991" s="15"/>
      <c r="BX991" s="15"/>
      <c r="BY991" s="15"/>
      <c r="BZ991" s="15"/>
      <c r="CA991" s="15"/>
    </row>
    <row r="992" spans="68:79" ht="15" customHeight="1" x14ac:dyDescent="0.3">
      <c r="BP992" s="15"/>
      <c r="BQ992" s="15"/>
      <c r="BR992" s="15"/>
      <c r="BS992" s="15"/>
      <c r="BT992" s="15"/>
      <c r="BU992" s="15"/>
      <c r="BV992" s="15"/>
      <c r="BW992" s="15"/>
      <c r="BX992" s="15"/>
      <c r="BY992" s="15"/>
      <c r="BZ992" s="15"/>
      <c r="CA992" s="15"/>
    </row>
    <row r="993" spans="68:79" ht="15" customHeight="1" x14ac:dyDescent="0.3">
      <c r="BP993" s="15"/>
      <c r="BQ993" s="15"/>
      <c r="BR993" s="15"/>
      <c r="BS993" s="15"/>
      <c r="BT993" s="15"/>
      <c r="BU993" s="15"/>
      <c r="BV993" s="15"/>
      <c r="BW993" s="15"/>
      <c r="BX993" s="15"/>
      <c r="BY993" s="15"/>
      <c r="BZ993" s="15"/>
      <c r="CA993" s="15"/>
    </row>
    <row r="994" spans="68:79" ht="15" customHeight="1" x14ac:dyDescent="0.3">
      <c r="BP994" s="15"/>
      <c r="BQ994" s="15"/>
      <c r="BR994" s="15"/>
      <c r="BS994" s="15"/>
      <c r="BT994" s="15"/>
      <c r="BU994" s="15"/>
      <c r="BV994" s="15"/>
      <c r="BW994" s="15"/>
      <c r="BX994" s="15"/>
      <c r="BY994" s="15"/>
      <c r="BZ994" s="15"/>
      <c r="CA994" s="15"/>
    </row>
    <row r="995" spans="68:79" ht="15" customHeight="1" x14ac:dyDescent="0.3">
      <c r="BP995" s="15"/>
      <c r="BQ995" s="15"/>
      <c r="BR995" s="15"/>
      <c r="BS995" s="15"/>
      <c r="BT995" s="15"/>
      <c r="BU995" s="15"/>
      <c r="BV995" s="15"/>
      <c r="BW995" s="15"/>
      <c r="BX995" s="15"/>
      <c r="BY995" s="15"/>
      <c r="BZ995" s="15"/>
      <c r="CA995" s="15"/>
    </row>
    <row r="996" spans="68:79" ht="15" customHeight="1" x14ac:dyDescent="0.3">
      <c r="BP996" s="15"/>
      <c r="BQ996" s="15"/>
      <c r="BR996" s="15"/>
      <c r="BS996" s="15"/>
      <c r="BT996" s="15"/>
      <c r="BU996" s="15"/>
      <c r="BV996" s="15"/>
      <c r="BW996" s="15"/>
      <c r="BX996" s="15"/>
      <c r="BY996" s="15"/>
      <c r="BZ996" s="15"/>
      <c r="CA996" s="15"/>
    </row>
    <row r="997" spans="68:79" ht="15" customHeight="1" x14ac:dyDescent="0.3">
      <c r="BP997" s="15"/>
      <c r="BQ997" s="15"/>
      <c r="BR997" s="15"/>
      <c r="BS997" s="15"/>
      <c r="BT997" s="15"/>
      <c r="BU997" s="15"/>
      <c r="BV997" s="15"/>
      <c r="BW997" s="15"/>
      <c r="BX997" s="15"/>
      <c r="BY997" s="15"/>
      <c r="BZ997" s="15"/>
      <c r="CA997" s="15"/>
    </row>
    <row r="998" spans="68:79" ht="15" customHeight="1" x14ac:dyDescent="0.3">
      <c r="BP998" s="15"/>
      <c r="BQ998" s="15"/>
      <c r="BR998" s="15"/>
      <c r="BS998" s="15"/>
      <c r="BT998" s="15"/>
      <c r="BU998" s="15"/>
      <c r="BV998" s="15"/>
      <c r="BW998" s="15"/>
      <c r="BX998" s="15"/>
      <c r="BY998" s="15"/>
      <c r="BZ998" s="15"/>
      <c r="CA998" s="15"/>
    </row>
    <row r="999" spans="68:79" ht="15" customHeight="1" x14ac:dyDescent="0.3">
      <c r="BP999" s="15"/>
      <c r="BQ999" s="15"/>
      <c r="BR999" s="15"/>
      <c r="BS999" s="15"/>
      <c r="BT999" s="15"/>
      <c r="BU999" s="15"/>
      <c r="BV999" s="15"/>
      <c r="BW999" s="15"/>
      <c r="BX999" s="15"/>
      <c r="BY999" s="15"/>
      <c r="BZ999" s="15"/>
      <c r="CA999" s="15"/>
    </row>
    <row r="1000" spans="68:79" ht="15" customHeight="1" x14ac:dyDescent="0.3">
      <c r="BP1000" s="15"/>
      <c r="BQ1000" s="15"/>
      <c r="BR1000" s="15"/>
      <c r="BS1000" s="15"/>
      <c r="BT1000" s="15"/>
      <c r="BU1000" s="15"/>
      <c r="BV1000" s="15"/>
      <c r="BW1000" s="15"/>
      <c r="BX1000" s="15"/>
      <c r="BY1000" s="15"/>
      <c r="BZ1000" s="15"/>
      <c r="CA1000" s="15"/>
    </row>
    <row r="1001" spans="68:79" ht="15" customHeight="1" x14ac:dyDescent="0.3">
      <c r="BP1001" s="15"/>
      <c r="BQ1001" s="15"/>
      <c r="BR1001" s="15"/>
      <c r="BS1001" s="15"/>
      <c r="BT1001" s="15"/>
      <c r="BU1001" s="15"/>
      <c r="BV1001" s="15"/>
      <c r="BW1001" s="15"/>
      <c r="BX1001" s="15"/>
      <c r="BY1001" s="15"/>
      <c r="BZ1001" s="15"/>
      <c r="CA1001" s="15"/>
    </row>
    <row r="1002" spans="68:79" ht="15" customHeight="1" x14ac:dyDescent="0.3">
      <c r="BP1002" s="15"/>
      <c r="BQ1002" s="15"/>
      <c r="BR1002" s="15"/>
      <c r="BS1002" s="15"/>
      <c r="BT1002" s="15"/>
      <c r="BU1002" s="15"/>
      <c r="BV1002" s="15"/>
      <c r="BW1002" s="15"/>
      <c r="BX1002" s="15"/>
      <c r="BY1002" s="15"/>
      <c r="BZ1002" s="15"/>
      <c r="CA1002" s="15"/>
    </row>
    <row r="1003" spans="68:79" ht="15" customHeight="1" x14ac:dyDescent="0.3">
      <c r="BP1003" s="15"/>
      <c r="BQ1003" s="15"/>
      <c r="BR1003" s="15"/>
      <c r="BS1003" s="15"/>
      <c r="BT1003" s="15"/>
      <c r="BU1003" s="15"/>
      <c r="BV1003" s="15"/>
      <c r="BW1003" s="15"/>
      <c r="BX1003" s="15"/>
      <c r="BY1003" s="15"/>
      <c r="BZ1003" s="15"/>
      <c r="CA1003" s="15"/>
    </row>
    <row r="1004" spans="68:79" ht="15" customHeight="1" x14ac:dyDescent="0.3">
      <c r="BP1004" s="15"/>
      <c r="BQ1004" s="15"/>
      <c r="BR1004" s="15"/>
      <c r="BS1004" s="15"/>
      <c r="BT1004" s="15"/>
      <c r="BU1004" s="15"/>
      <c r="BV1004" s="15"/>
      <c r="BW1004" s="15"/>
      <c r="BX1004" s="15"/>
      <c r="BY1004" s="15"/>
      <c r="BZ1004" s="15"/>
      <c r="CA1004" s="15"/>
    </row>
    <row r="1005" spans="68:79" ht="15" customHeight="1" x14ac:dyDescent="0.3">
      <c r="BP1005" s="15"/>
      <c r="BQ1005" s="15"/>
      <c r="BR1005" s="15"/>
      <c r="BS1005" s="15"/>
      <c r="BT1005" s="15"/>
      <c r="BU1005" s="15"/>
      <c r="BV1005" s="15"/>
      <c r="BW1005" s="15"/>
      <c r="BX1005" s="15"/>
      <c r="BY1005" s="15"/>
      <c r="BZ1005" s="15"/>
      <c r="CA1005" s="15"/>
    </row>
    <row r="1006" spans="68:79" ht="15" customHeight="1" x14ac:dyDescent="0.3">
      <c r="BP1006" s="15"/>
      <c r="BQ1006" s="15"/>
      <c r="BR1006" s="15"/>
      <c r="BS1006" s="15"/>
      <c r="BT1006" s="15"/>
      <c r="BU1006" s="15"/>
      <c r="BV1006" s="15"/>
      <c r="BW1006" s="15"/>
      <c r="BX1006" s="15"/>
      <c r="BY1006" s="15"/>
      <c r="BZ1006" s="15"/>
      <c r="CA1006" s="15"/>
    </row>
    <row r="1007" spans="68:79" ht="15" customHeight="1" x14ac:dyDescent="0.3">
      <c r="BP1007" s="15"/>
      <c r="BQ1007" s="15"/>
      <c r="BR1007" s="15"/>
      <c r="BS1007" s="15"/>
      <c r="BT1007" s="15"/>
      <c r="BU1007" s="15"/>
      <c r="BV1007" s="15"/>
      <c r="BW1007" s="15"/>
      <c r="BX1007" s="15"/>
      <c r="BY1007" s="15"/>
      <c r="BZ1007" s="15"/>
      <c r="CA1007" s="15"/>
    </row>
    <row r="1008" spans="68:79" ht="15" customHeight="1" x14ac:dyDescent="0.3">
      <c r="BP1008" s="15"/>
      <c r="BQ1008" s="15"/>
      <c r="BR1008" s="15"/>
      <c r="BS1008" s="15"/>
      <c r="BT1008" s="15"/>
      <c r="BU1008" s="15"/>
      <c r="BV1008" s="15"/>
      <c r="BW1008" s="15"/>
      <c r="BX1008" s="15"/>
      <c r="BY1008" s="15"/>
      <c r="BZ1008" s="15"/>
      <c r="CA1008" s="15"/>
    </row>
    <row r="1009" spans="68:79" ht="15" customHeight="1" x14ac:dyDescent="0.3">
      <c r="BP1009" s="15"/>
      <c r="BQ1009" s="15"/>
      <c r="BR1009" s="15"/>
      <c r="BS1009" s="15"/>
      <c r="BT1009" s="15"/>
      <c r="BU1009" s="15"/>
      <c r="BV1009" s="15"/>
      <c r="BW1009" s="15"/>
      <c r="BX1009" s="15"/>
      <c r="BY1009" s="15"/>
      <c r="BZ1009" s="15"/>
      <c r="CA1009" s="15"/>
    </row>
    <row r="1010" spans="68:79" ht="15" customHeight="1" x14ac:dyDescent="0.3">
      <c r="BP1010" s="15"/>
      <c r="BQ1010" s="15"/>
      <c r="BR1010" s="15"/>
      <c r="BS1010" s="15"/>
      <c r="BT1010" s="15"/>
      <c r="BU1010" s="15"/>
      <c r="BV1010" s="15"/>
      <c r="BW1010" s="15"/>
      <c r="BX1010" s="15"/>
      <c r="BY1010" s="15"/>
      <c r="BZ1010" s="15"/>
      <c r="CA1010" s="15"/>
    </row>
    <row r="1011" spans="68:79" ht="15" customHeight="1" x14ac:dyDescent="0.3">
      <c r="BP1011" s="15"/>
      <c r="BQ1011" s="15"/>
      <c r="BR1011" s="15"/>
      <c r="BS1011" s="15"/>
      <c r="BT1011" s="15"/>
      <c r="BU1011" s="15"/>
      <c r="BV1011" s="15"/>
      <c r="BW1011" s="15"/>
      <c r="BX1011" s="15"/>
      <c r="BY1011" s="15"/>
      <c r="BZ1011" s="15"/>
      <c r="CA1011" s="15"/>
    </row>
    <row r="1012" spans="68:79" ht="15" customHeight="1" x14ac:dyDescent="0.3">
      <c r="BP1012" s="15"/>
      <c r="BQ1012" s="15"/>
      <c r="BR1012" s="15"/>
      <c r="BS1012" s="15"/>
      <c r="BT1012" s="15"/>
      <c r="BU1012" s="15"/>
      <c r="BV1012" s="15"/>
      <c r="BW1012" s="15"/>
      <c r="BX1012" s="15"/>
      <c r="BY1012" s="15"/>
      <c r="BZ1012" s="15"/>
      <c r="CA1012" s="15"/>
    </row>
    <row r="1013" spans="68:79" ht="15" customHeight="1" x14ac:dyDescent="0.3">
      <c r="BP1013" s="15"/>
      <c r="BQ1013" s="15"/>
      <c r="BR1013" s="15"/>
      <c r="BS1013" s="15"/>
      <c r="BT1013" s="15"/>
      <c r="BU1013" s="15"/>
      <c r="BV1013" s="15"/>
      <c r="BW1013" s="15"/>
      <c r="BX1013" s="15"/>
      <c r="BY1013" s="15"/>
      <c r="BZ1013" s="15"/>
      <c r="CA1013" s="15"/>
    </row>
    <row r="1014" spans="68:79" ht="15" customHeight="1" x14ac:dyDescent="0.3">
      <c r="BP1014" s="15"/>
      <c r="BQ1014" s="15"/>
      <c r="BR1014" s="15"/>
      <c r="BS1014" s="15"/>
      <c r="BT1014" s="15"/>
      <c r="BU1014" s="15"/>
      <c r="BV1014" s="15"/>
      <c r="BW1014" s="15"/>
      <c r="BX1014" s="15"/>
      <c r="BY1014" s="15"/>
      <c r="BZ1014" s="15"/>
      <c r="CA1014" s="15"/>
    </row>
    <row r="1015" spans="68:79" ht="15" customHeight="1" x14ac:dyDescent="0.3">
      <c r="BP1015" s="15"/>
      <c r="BQ1015" s="15"/>
      <c r="BR1015" s="15"/>
      <c r="BS1015" s="15"/>
      <c r="BT1015" s="15"/>
      <c r="BU1015" s="15"/>
      <c r="BV1015" s="15"/>
      <c r="BW1015" s="15"/>
      <c r="BX1015" s="15"/>
      <c r="BY1015" s="15"/>
      <c r="BZ1015" s="15"/>
      <c r="CA1015" s="15"/>
    </row>
    <row r="1016" spans="68:79" ht="15" customHeight="1" x14ac:dyDescent="0.3">
      <c r="BP1016" s="15"/>
      <c r="BQ1016" s="15"/>
      <c r="BR1016" s="15"/>
      <c r="BS1016" s="15"/>
      <c r="BT1016" s="15"/>
      <c r="BU1016" s="15"/>
      <c r="BV1016" s="15"/>
      <c r="BW1016" s="15"/>
      <c r="BX1016" s="15"/>
      <c r="BY1016" s="15"/>
      <c r="BZ1016" s="15"/>
      <c r="CA1016" s="15"/>
    </row>
    <row r="1017" spans="68:79" ht="15" customHeight="1" x14ac:dyDescent="0.3">
      <c r="BP1017" s="15"/>
      <c r="BQ1017" s="15"/>
      <c r="BR1017" s="15"/>
      <c r="BS1017" s="15"/>
      <c r="BT1017" s="15"/>
      <c r="BU1017" s="15"/>
      <c r="BV1017" s="15"/>
      <c r="BW1017" s="15"/>
      <c r="BX1017" s="15"/>
      <c r="BY1017" s="15"/>
      <c r="BZ1017" s="15"/>
      <c r="CA1017" s="15"/>
    </row>
    <row r="1018" spans="68:79" ht="15" customHeight="1" x14ac:dyDescent="0.3">
      <c r="BP1018" s="15"/>
      <c r="BQ1018" s="15"/>
      <c r="BR1018" s="15"/>
      <c r="BS1018" s="15"/>
      <c r="BT1018" s="15"/>
      <c r="BU1018" s="15"/>
      <c r="BV1018" s="15"/>
      <c r="BW1018" s="15"/>
      <c r="BX1018" s="15"/>
      <c r="BY1018" s="15"/>
      <c r="BZ1018" s="15"/>
      <c r="CA1018" s="15"/>
    </row>
    <row r="1019" spans="68:79" ht="15" customHeight="1" x14ac:dyDescent="0.3">
      <c r="BP1019" s="15"/>
      <c r="BQ1019" s="15"/>
      <c r="BR1019" s="15"/>
      <c r="BS1019" s="15"/>
      <c r="BT1019" s="15"/>
      <c r="BU1019" s="15"/>
      <c r="BV1019" s="15"/>
      <c r="BW1019" s="15"/>
      <c r="BX1019" s="15"/>
      <c r="BY1019" s="15"/>
      <c r="BZ1019" s="15"/>
      <c r="CA1019" s="15"/>
    </row>
    <row r="1020" spans="68:79" ht="15" customHeight="1" x14ac:dyDescent="0.3">
      <c r="BP1020" s="15"/>
      <c r="BQ1020" s="15"/>
      <c r="BR1020" s="15"/>
      <c r="BS1020" s="15"/>
      <c r="BT1020" s="15"/>
      <c r="BU1020" s="15"/>
      <c r="BV1020" s="15"/>
      <c r="BW1020" s="15"/>
      <c r="BX1020" s="15"/>
      <c r="BY1020" s="15"/>
      <c r="BZ1020" s="15"/>
      <c r="CA1020" s="15"/>
    </row>
    <row r="1021" spans="68:79" ht="15" customHeight="1" x14ac:dyDescent="0.3">
      <c r="BP1021" s="15"/>
      <c r="BQ1021" s="15"/>
      <c r="BR1021" s="15"/>
      <c r="BS1021" s="15"/>
      <c r="BT1021" s="15"/>
      <c r="BU1021" s="15"/>
      <c r="BV1021" s="15"/>
      <c r="BW1021" s="15"/>
      <c r="BX1021" s="15"/>
      <c r="BY1021" s="15"/>
      <c r="BZ1021" s="15"/>
      <c r="CA1021" s="15"/>
    </row>
    <row r="1022" spans="68:79" ht="15" customHeight="1" x14ac:dyDescent="0.3">
      <c r="BP1022" s="15"/>
      <c r="BQ1022" s="15"/>
      <c r="BR1022" s="15"/>
      <c r="BS1022" s="15"/>
      <c r="BT1022" s="15"/>
      <c r="BU1022" s="15"/>
      <c r="BV1022" s="15"/>
      <c r="BW1022" s="15"/>
      <c r="BX1022" s="15"/>
      <c r="BY1022" s="15"/>
      <c r="BZ1022" s="15"/>
      <c r="CA1022" s="15"/>
    </row>
    <row r="1023" spans="68:79" ht="15" customHeight="1" x14ac:dyDescent="0.3">
      <c r="BP1023" s="15"/>
      <c r="BQ1023" s="15"/>
      <c r="BR1023" s="15"/>
      <c r="BS1023" s="15"/>
      <c r="BT1023" s="15"/>
      <c r="BU1023" s="15"/>
      <c r="BV1023" s="15"/>
      <c r="BW1023" s="15"/>
      <c r="BX1023" s="15"/>
      <c r="BY1023" s="15"/>
      <c r="BZ1023" s="15"/>
      <c r="CA1023" s="15"/>
    </row>
    <row r="1024" spans="68:79" ht="15" customHeight="1" x14ac:dyDescent="0.3">
      <c r="BP1024" s="15"/>
      <c r="BQ1024" s="15"/>
      <c r="BR1024" s="15"/>
      <c r="BS1024" s="15"/>
      <c r="BT1024" s="15"/>
      <c r="BU1024" s="15"/>
      <c r="BV1024" s="15"/>
      <c r="BW1024" s="15"/>
      <c r="BX1024" s="15"/>
      <c r="BY1024" s="15"/>
      <c r="BZ1024" s="15"/>
      <c r="CA1024" s="15"/>
    </row>
    <row r="1025" spans="68:79" ht="15" customHeight="1" x14ac:dyDescent="0.3">
      <c r="BP1025" s="15"/>
      <c r="BQ1025" s="15"/>
      <c r="BR1025" s="15"/>
      <c r="BS1025" s="15"/>
      <c r="BT1025" s="15"/>
      <c r="BU1025" s="15"/>
      <c r="BV1025" s="15"/>
      <c r="BW1025" s="15"/>
      <c r="BX1025" s="15"/>
      <c r="BY1025" s="15"/>
      <c r="BZ1025" s="15"/>
      <c r="CA1025" s="15"/>
    </row>
    <row r="1026" spans="68:79" ht="15" customHeight="1" x14ac:dyDescent="0.3">
      <c r="BP1026" s="15"/>
      <c r="BQ1026" s="15"/>
      <c r="BR1026" s="15"/>
      <c r="BS1026" s="15"/>
      <c r="BT1026" s="15"/>
      <c r="BU1026" s="15"/>
      <c r="BV1026" s="15"/>
      <c r="BW1026" s="15"/>
      <c r="BX1026" s="15"/>
      <c r="BY1026" s="15"/>
      <c r="BZ1026" s="15"/>
      <c r="CA1026" s="15"/>
    </row>
    <row r="1027" spans="68:79" ht="15" customHeight="1" x14ac:dyDescent="0.3">
      <c r="BP1027" s="15"/>
      <c r="BQ1027" s="15"/>
      <c r="BR1027" s="15"/>
      <c r="BS1027" s="15"/>
      <c r="BT1027" s="15"/>
      <c r="BU1027" s="15"/>
      <c r="BV1027" s="15"/>
      <c r="BW1027" s="15"/>
      <c r="BX1027" s="15"/>
      <c r="BY1027" s="15"/>
      <c r="BZ1027" s="15"/>
      <c r="CA1027" s="15"/>
    </row>
    <row r="1028" spans="68:79" ht="15" customHeight="1" x14ac:dyDescent="0.3">
      <c r="BP1028" s="15"/>
      <c r="BQ1028" s="15"/>
      <c r="BR1028" s="15"/>
      <c r="BS1028" s="15"/>
      <c r="BT1028" s="15"/>
      <c r="BU1028" s="15"/>
      <c r="BV1028" s="15"/>
      <c r="BW1028" s="15"/>
      <c r="BX1028" s="15"/>
      <c r="BY1028" s="15"/>
      <c r="BZ1028" s="15"/>
      <c r="CA1028" s="15"/>
    </row>
    <row r="1029" spans="68:79" ht="15" customHeight="1" x14ac:dyDescent="0.3">
      <c r="BP1029" s="15"/>
      <c r="BQ1029" s="15"/>
      <c r="BR1029" s="15"/>
      <c r="BS1029" s="15"/>
      <c r="BT1029" s="15"/>
      <c r="BU1029" s="15"/>
      <c r="BV1029" s="15"/>
      <c r="BW1029" s="15"/>
      <c r="BX1029" s="15"/>
      <c r="BY1029" s="15"/>
      <c r="BZ1029" s="15"/>
      <c r="CA1029" s="15"/>
    </row>
    <row r="1030" spans="68:79" ht="15" customHeight="1" x14ac:dyDescent="0.3">
      <c r="BP1030" s="15"/>
      <c r="BQ1030" s="15"/>
      <c r="BR1030" s="15"/>
      <c r="BS1030" s="15"/>
      <c r="BT1030" s="15"/>
      <c r="BU1030" s="15"/>
      <c r="BV1030" s="15"/>
      <c r="BW1030" s="15"/>
      <c r="BX1030" s="15"/>
      <c r="BY1030" s="15"/>
      <c r="BZ1030" s="15"/>
      <c r="CA1030" s="15"/>
    </row>
    <row r="1031" spans="68:79" ht="15" customHeight="1" x14ac:dyDescent="0.3">
      <c r="BP1031" s="15"/>
      <c r="BQ1031" s="15"/>
      <c r="BR1031" s="15"/>
      <c r="BS1031" s="15"/>
      <c r="BT1031" s="15"/>
      <c r="BU1031" s="15"/>
      <c r="BV1031" s="15"/>
      <c r="BW1031" s="15"/>
      <c r="BX1031" s="15"/>
      <c r="BY1031" s="15"/>
      <c r="BZ1031" s="15"/>
      <c r="CA1031" s="15"/>
    </row>
    <row r="1032" spans="68:79" ht="15" customHeight="1" x14ac:dyDescent="0.3">
      <c r="BP1032" s="15"/>
      <c r="BQ1032" s="15"/>
      <c r="BR1032" s="15"/>
      <c r="BS1032" s="15"/>
      <c r="BT1032" s="15"/>
      <c r="BU1032" s="15"/>
      <c r="BV1032" s="15"/>
      <c r="BW1032" s="15"/>
      <c r="BX1032" s="15"/>
      <c r="BY1032" s="15"/>
      <c r="BZ1032" s="15"/>
      <c r="CA1032" s="15"/>
    </row>
    <row r="1033" spans="68:79" ht="15" customHeight="1" x14ac:dyDescent="0.3">
      <c r="BP1033" s="15"/>
      <c r="BQ1033" s="15"/>
      <c r="BR1033" s="15"/>
      <c r="BS1033" s="15"/>
      <c r="BT1033" s="15"/>
      <c r="BU1033" s="15"/>
      <c r="BV1033" s="15"/>
      <c r="BW1033" s="15"/>
      <c r="BX1033" s="15"/>
      <c r="BY1033" s="15"/>
      <c r="BZ1033" s="15"/>
      <c r="CA1033" s="15"/>
    </row>
    <row r="1034" spans="68:79" ht="15" customHeight="1" x14ac:dyDescent="0.3">
      <c r="BP1034" s="15"/>
      <c r="BQ1034" s="15"/>
      <c r="BR1034" s="15"/>
      <c r="BS1034" s="15"/>
      <c r="BT1034" s="15"/>
      <c r="BU1034" s="15"/>
      <c r="BV1034" s="15"/>
      <c r="BW1034" s="15"/>
      <c r="BX1034" s="15"/>
      <c r="BY1034" s="15"/>
      <c r="BZ1034" s="15"/>
      <c r="CA1034" s="15"/>
    </row>
    <row r="1035" spans="68:79" ht="15" customHeight="1" x14ac:dyDescent="0.3">
      <c r="BP1035" s="15"/>
      <c r="BQ1035" s="15"/>
      <c r="BR1035" s="15"/>
      <c r="BS1035" s="15"/>
      <c r="BT1035" s="15"/>
      <c r="BU1035" s="15"/>
      <c r="BV1035" s="15"/>
      <c r="BW1035" s="15"/>
      <c r="BX1035" s="15"/>
      <c r="BY1035" s="15"/>
      <c r="BZ1035" s="15"/>
      <c r="CA1035" s="15"/>
    </row>
    <row r="1036" spans="68:79" ht="15" customHeight="1" x14ac:dyDescent="0.3">
      <c r="BP1036" s="15"/>
      <c r="BQ1036" s="15"/>
      <c r="BR1036" s="15"/>
      <c r="BS1036" s="15"/>
      <c r="BT1036" s="15"/>
      <c r="BU1036" s="15"/>
      <c r="BV1036" s="15"/>
      <c r="BW1036" s="15"/>
      <c r="BX1036" s="15"/>
      <c r="BY1036" s="15"/>
      <c r="BZ1036" s="15"/>
      <c r="CA1036" s="15"/>
    </row>
    <row r="1037" spans="68:79" ht="15" customHeight="1" x14ac:dyDescent="0.3">
      <c r="BP1037" s="15"/>
      <c r="BQ1037" s="15"/>
      <c r="BR1037" s="15"/>
      <c r="BS1037" s="15"/>
      <c r="BT1037" s="15"/>
      <c r="BU1037" s="15"/>
      <c r="BV1037" s="15"/>
      <c r="BW1037" s="15"/>
      <c r="BX1037" s="15"/>
      <c r="BY1037" s="15"/>
      <c r="BZ1037" s="15"/>
      <c r="CA1037" s="15"/>
    </row>
    <row r="1038" spans="68:79" ht="15" customHeight="1" x14ac:dyDescent="0.3">
      <c r="BP1038" s="15"/>
      <c r="BQ1038" s="15"/>
      <c r="BR1038" s="15"/>
      <c r="BS1038" s="15"/>
      <c r="BT1038" s="15"/>
      <c r="BU1038" s="15"/>
      <c r="BV1038" s="15"/>
      <c r="BW1038" s="15"/>
      <c r="BX1038" s="15"/>
      <c r="BY1038" s="15"/>
      <c r="BZ1038" s="15"/>
      <c r="CA1038" s="15"/>
    </row>
    <row r="1039" spans="68:79" ht="15" customHeight="1" x14ac:dyDescent="0.3">
      <c r="BP1039" s="15"/>
      <c r="BQ1039" s="15"/>
      <c r="BR1039" s="15"/>
      <c r="BS1039" s="15"/>
      <c r="BT1039" s="15"/>
      <c r="BU1039" s="15"/>
      <c r="BV1039" s="15"/>
      <c r="BW1039" s="15"/>
      <c r="BX1039" s="15"/>
      <c r="BY1039" s="15"/>
      <c r="BZ1039" s="15"/>
      <c r="CA1039" s="15"/>
    </row>
    <row r="1040" spans="68:79" ht="15" customHeight="1" x14ac:dyDescent="0.3">
      <c r="BP1040" s="15"/>
      <c r="BQ1040" s="15"/>
      <c r="BR1040" s="15"/>
      <c r="BS1040" s="15"/>
      <c r="BT1040" s="15"/>
      <c r="BU1040" s="15"/>
      <c r="BV1040" s="15"/>
      <c r="BW1040" s="15"/>
      <c r="BX1040" s="15"/>
      <c r="BY1040" s="15"/>
      <c r="BZ1040" s="15"/>
      <c r="CA1040" s="15"/>
    </row>
    <row r="1041" spans="68:79" ht="15" customHeight="1" x14ac:dyDescent="0.3">
      <c r="BP1041" s="15"/>
      <c r="BQ1041" s="15"/>
      <c r="BR1041" s="15"/>
      <c r="BS1041" s="15"/>
      <c r="BT1041" s="15"/>
      <c r="BU1041" s="15"/>
      <c r="BV1041" s="15"/>
      <c r="BW1041" s="15"/>
      <c r="BX1041" s="15"/>
      <c r="BY1041" s="15"/>
      <c r="BZ1041" s="15"/>
      <c r="CA1041" s="15"/>
    </row>
    <row r="1042" spans="68:79" ht="15" customHeight="1" x14ac:dyDescent="0.3">
      <c r="BP1042" s="15"/>
      <c r="BQ1042" s="15"/>
      <c r="BR1042" s="15"/>
      <c r="BS1042" s="15"/>
      <c r="BT1042" s="15"/>
      <c r="BU1042" s="15"/>
      <c r="BV1042" s="15"/>
      <c r="BW1042" s="15"/>
      <c r="BX1042" s="15"/>
      <c r="BY1042" s="15"/>
      <c r="BZ1042" s="15"/>
      <c r="CA1042" s="15"/>
    </row>
    <row r="1043" spans="68:79" ht="15" customHeight="1" x14ac:dyDescent="0.3">
      <c r="BP1043" s="15"/>
      <c r="BQ1043" s="15"/>
      <c r="BR1043" s="15"/>
      <c r="BS1043" s="15"/>
      <c r="BT1043" s="15"/>
      <c r="BU1043" s="15"/>
      <c r="BV1043" s="15"/>
      <c r="BW1043" s="15"/>
      <c r="BX1043" s="15"/>
      <c r="BY1043" s="15"/>
      <c r="BZ1043" s="15"/>
      <c r="CA1043" s="15"/>
    </row>
    <row r="1044" spans="68:79" ht="15" customHeight="1" x14ac:dyDescent="0.3">
      <c r="BP1044" s="15"/>
      <c r="BQ1044" s="15"/>
      <c r="BR1044" s="15"/>
      <c r="BS1044" s="15"/>
      <c r="BT1044" s="15"/>
      <c r="BU1044" s="15"/>
      <c r="BV1044" s="15"/>
      <c r="BW1044" s="15"/>
      <c r="BX1044" s="15"/>
      <c r="BY1044" s="15"/>
      <c r="BZ1044" s="15"/>
      <c r="CA1044" s="15"/>
    </row>
    <row r="1045" spans="68:79" ht="15" customHeight="1" x14ac:dyDescent="0.3">
      <c r="BP1045" s="15"/>
      <c r="BQ1045" s="15"/>
      <c r="BR1045" s="15"/>
      <c r="BS1045" s="15"/>
      <c r="BT1045" s="15"/>
      <c r="BU1045" s="15"/>
      <c r="BV1045" s="15"/>
      <c r="BW1045" s="15"/>
      <c r="BX1045" s="15"/>
      <c r="BY1045" s="15"/>
      <c r="BZ1045" s="15"/>
      <c r="CA1045" s="15"/>
    </row>
    <row r="1046" spans="68:79" ht="15" customHeight="1" x14ac:dyDescent="0.3">
      <c r="BP1046" s="15"/>
      <c r="BQ1046" s="15"/>
      <c r="BR1046" s="15"/>
      <c r="BS1046" s="15"/>
      <c r="BT1046" s="15"/>
      <c r="BU1046" s="15"/>
      <c r="BV1046" s="15"/>
      <c r="BW1046" s="15"/>
      <c r="BX1046" s="15"/>
      <c r="BY1046" s="15"/>
      <c r="BZ1046" s="15"/>
      <c r="CA1046" s="15"/>
    </row>
    <row r="1047" spans="68:79" ht="15" customHeight="1" x14ac:dyDescent="0.3">
      <c r="BP1047" s="15"/>
      <c r="BQ1047" s="15"/>
      <c r="BR1047" s="15"/>
      <c r="BS1047" s="15"/>
      <c r="BT1047" s="15"/>
      <c r="BU1047" s="15"/>
      <c r="BV1047" s="15"/>
      <c r="BW1047" s="15"/>
      <c r="BX1047" s="15"/>
      <c r="BY1047" s="15"/>
      <c r="BZ1047" s="15"/>
      <c r="CA1047" s="15"/>
    </row>
    <row r="1048" spans="68:79" ht="15" customHeight="1" x14ac:dyDescent="0.3">
      <c r="BP1048" s="15"/>
      <c r="BQ1048" s="15"/>
      <c r="BR1048" s="15"/>
      <c r="BS1048" s="15"/>
      <c r="BT1048" s="15"/>
      <c r="BU1048" s="15"/>
      <c r="BV1048" s="15"/>
      <c r="BW1048" s="15"/>
      <c r="BX1048" s="15"/>
      <c r="BY1048" s="15"/>
      <c r="BZ1048" s="15"/>
      <c r="CA1048" s="15"/>
    </row>
    <row r="1049" spans="68:79" ht="15" customHeight="1" x14ac:dyDescent="0.3">
      <c r="BP1049" s="15"/>
      <c r="BQ1049" s="15"/>
      <c r="BR1049" s="15"/>
      <c r="BS1049" s="15"/>
      <c r="BT1049" s="15"/>
      <c r="BU1049" s="15"/>
      <c r="BV1049" s="15"/>
      <c r="BW1049" s="15"/>
      <c r="BX1049" s="15"/>
      <c r="BY1049" s="15"/>
      <c r="BZ1049" s="15"/>
      <c r="CA1049" s="15"/>
    </row>
    <row r="1050" spans="68:79" ht="15" customHeight="1" x14ac:dyDescent="0.3">
      <c r="BP1050" s="15"/>
      <c r="BQ1050" s="15"/>
      <c r="BR1050" s="15"/>
      <c r="BS1050" s="15"/>
      <c r="BT1050" s="15"/>
      <c r="BU1050" s="15"/>
      <c r="BV1050" s="15"/>
      <c r="BW1050" s="15"/>
      <c r="BX1050" s="15"/>
      <c r="BY1050" s="15"/>
      <c r="BZ1050" s="15"/>
      <c r="CA1050" s="15"/>
    </row>
    <row r="1051" spans="68:79" ht="15" customHeight="1" x14ac:dyDescent="0.3">
      <c r="BP1051" s="15"/>
      <c r="BQ1051" s="15"/>
      <c r="BR1051" s="15"/>
      <c r="BS1051" s="15"/>
      <c r="BT1051" s="15"/>
      <c r="BU1051" s="15"/>
      <c r="BV1051" s="15"/>
      <c r="BW1051" s="15"/>
      <c r="BX1051" s="15"/>
      <c r="BY1051" s="15"/>
      <c r="BZ1051" s="15"/>
      <c r="CA1051" s="15"/>
    </row>
    <row r="1052" spans="68:79" ht="15" customHeight="1" x14ac:dyDescent="0.3">
      <c r="BP1052" s="15"/>
      <c r="BQ1052" s="15"/>
      <c r="BR1052" s="15"/>
      <c r="BS1052" s="15"/>
      <c r="BT1052" s="15"/>
      <c r="BU1052" s="15"/>
      <c r="BV1052" s="15"/>
      <c r="BW1052" s="15"/>
      <c r="BX1052" s="15"/>
      <c r="BY1052" s="15"/>
      <c r="BZ1052" s="15"/>
      <c r="CA1052" s="15"/>
    </row>
    <row r="1053" spans="68:79" ht="15" customHeight="1" x14ac:dyDescent="0.3">
      <c r="BP1053" s="15"/>
      <c r="BQ1053" s="15"/>
      <c r="BR1053" s="15"/>
      <c r="BS1053" s="15"/>
      <c r="BT1053" s="15"/>
      <c r="BU1053" s="15"/>
      <c r="BV1053" s="15"/>
      <c r="BW1053" s="15"/>
      <c r="BX1053" s="15"/>
      <c r="BY1053" s="15"/>
      <c r="BZ1053" s="15"/>
      <c r="CA1053" s="15"/>
    </row>
    <row r="1054" spans="68:79" ht="15" customHeight="1" x14ac:dyDescent="0.3">
      <c r="BP1054" s="15"/>
      <c r="BQ1054" s="15"/>
      <c r="BR1054" s="15"/>
      <c r="BS1054" s="15"/>
      <c r="BT1054" s="15"/>
      <c r="BU1054" s="15"/>
      <c r="BV1054" s="15"/>
      <c r="BW1054" s="15"/>
      <c r="BX1054" s="15"/>
      <c r="BY1054" s="15"/>
      <c r="BZ1054" s="15"/>
      <c r="CA1054" s="15"/>
    </row>
    <row r="1055" spans="68:79" ht="15" customHeight="1" x14ac:dyDescent="0.3">
      <c r="BP1055" s="15"/>
      <c r="BQ1055" s="15"/>
      <c r="BR1055" s="15"/>
      <c r="BS1055" s="15"/>
      <c r="BT1055" s="15"/>
      <c r="BU1055" s="15"/>
      <c r="BV1055" s="15"/>
      <c r="BW1055" s="15"/>
      <c r="BX1055" s="15"/>
      <c r="BY1055" s="15"/>
      <c r="BZ1055" s="15"/>
      <c r="CA1055" s="15"/>
    </row>
    <row r="1056" spans="68:79" ht="15" customHeight="1" x14ac:dyDescent="0.3">
      <c r="BP1056" s="15"/>
      <c r="BQ1056" s="15"/>
      <c r="BR1056" s="15"/>
      <c r="BS1056" s="15"/>
      <c r="BT1056" s="15"/>
      <c r="BU1056" s="15"/>
      <c r="BV1056" s="15"/>
      <c r="BW1056" s="15"/>
      <c r="BX1056" s="15"/>
      <c r="BY1056" s="15"/>
      <c r="BZ1056" s="15"/>
      <c r="CA1056" s="15"/>
    </row>
    <row r="1057" spans="68:79" ht="15" customHeight="1" x14ac:dyDescent="0.3">
      <c r="BP1057" s="15"/>
      <c r="BQ1057" s="15"/>
      <c r="BR1057" s="15"/>
      <c r="BS1057" s="15"/>
      <c r="BT1057" s="15"/>
      <c r="BU1057" s="15"/>
      <c r="BV1057" s="15"/>
      <c r="BW1057" s="15"/>
      <c r="BX1057" s="15"/>
      <c r="BY1057" s="15"/>
      <c r="BZ1057" s="15"/>
      <c r="CA1057" s="15"/>
    </row>
    <row r="1058" spans="68:79" ht="15" customHeight="1" x14ac:dyDescent="0.3">
      <c r="BP1058" s="15"/>
      <c r="BQ1058" s="15"/>
      <c r="BR1058" s="15"/>
      <c r="BS1058" s="15"/>
      <c r="BT1058" s="15"/>
      <c r="BU1058" s="15"/>
      <c r="BV1058" s="15"/>
      <c r="BW1058" s="15"/>
      <c r="BX1058" s="15"/>
      <c r="BY1058" s="15"/>
      <c r="BZ1058" s="15"/>
      <c r="CA1058" s="15"/>
    </row>
    <row r="1059" spans="68:79" ht="15" customHeight="1" x14ac:dyDescent="0.3">
      <c r="BP1059" s="15"/>
      <c r="BQ1059" s="15"/>
      <c r="BR1059" s="15"/>
      <c r="BS1059" s="15"/>
      <c r="BT1059" s="15"/>
      <c r="BU1059" s="15"/>
      <c r="BV1059" s="15"/>
      <c r="BW1059" s="15"/>
      <c r="BX1059" s="15"/>
      <c r="BY1059" s="15"/>
      <c r="BZ1059" s="15"/>
      <c r="CA1059" s="15"/>
    </row>
    <row r="1060" spans="68:79" ht="15" customHeight="1" x14ac:dyDescent="0.3">
      <c r="BP1060" s="15"/>
      <c r="BQ1060" s="15"/>
      <c r="BR1060" s="15"/>
      <c r="BS1060" s="15"/>
      <c r="BT1060" s="15"/>
      <c r="BU1060" s="15"/>
      <c r="BV1060" s="15"/>
      <c r="BW1060" s="15"/>
      <c r="BX1060" s="15"/>
      <c r="BY1060" s="15"/>
      <c r="BZ1060" s="15"/>
      <c r="CA1060" s="15"/>
    </row>
    <row r="1061" spans="68:79" ht="15" customHeight="1" x14ac:dyDescent="0.3">
      <c r="BP1061" s="15"/>
      <c r="BQ1061" s="15"/>
      <c r="BR1061" s="15"/>
      <c r="BS1061" s="15"/>
      <c r="BT1061" s="15"/>
      <c r="BU1061" s="15"/>
      <c r="BV1061" s="15"/>
      <c r="BW1061" s="15"/>
      <c r="BX1061" s="15"/>
      <c r="BY1061" s="15"/>
      <c r="BZ1061" s="15"/>
      <c r="CA1061" s="15"/>
    </row>
    <row r="1062" spans="68:79" ht="15" customHeight="1" x14ac:dyDescent="0.3">
      <c r="BP1062" s="15"/>
      <c r="BQ1062" s="15"/>
      <c r="BR1062" s="15"/>
      <c r="BS1062" s="15"/>
      <c r="BT1062" s="15"/>
      <c r="BU1062" s="15"/>
      <c r="BV1062" s="15"/>
      <c r="BW1062" s="15"/>
      <c r="BX1062" s="15"/>
      <c r="BY1062" s="15"/>
      <c r="BZ1062" s="15"/>
      <c r="CA1062" s="15"/>
    </row>
    <row r="1063" spans="68:79" ht="15" customHeight="1" x14ac:dyDescent="0.3">
      <c r="BP1063" s="15"/>
      <c r="BQ1063" s="15"/>
      <c r="BR1063" s="15"/>
      <c r="BS1063" s="15"/>
      <c r="BT1063" s="15"/>
      <c r="BU1063" s="15"/>
      <c r="BV1063" s="15"/>
      <c r="BW1063" s="15"/>
      <c r="BX1063" s="15"/>
      <c r="BY1063" s="15"/>
      <c r="BZ1063" s="15"/>
      <c r="CA1063" s="15"/>
    </row>
    <row r="1064" spans="68:79" ht="15" customHeight="1" x14ac:dyDescent="0.3">
      <c r="BP1064" s="15"/>
      <c r="BQ1064" s="15"/>
      <c r="BR1064" s="15"/>
      <c r="BS1064" s="15"/>
      <c r="BT1064" s="15"/>
      <c r="BU1064" s="15"/>
      <c r="BV1064" s="15"/>
      <c r="BW1064" s="15"/>
      <c r="BX1064" s="15"/>
      <c r="BY1064" s="15"/>
      <c r="BZ1064" s="15"/>
      <c r="CA1064" s="15"/>
    </row>
    <row r="1065" spans="68:79" ht="15" customHeight="1" x14ac:dyDescent="0.3">
      <c r="BP1065" s="15"/>
      <c r="BQ1065" s="15"/>
      <c r="BR1065" s="15"/>
      <c r="BS1065" s="15"/>
      <c r="BT1065" s="15"/>
      <c r="BU1065" s="15"/>
      <c r="BV1065" s="15"/>
      <c r="BW1065" s="15"/>
      <c r="BX1065" s="15"/>
      <c r="BY1065" s="15"/>
      <c r="BZ1065" s="15"/>
      <c r="CA1065" s="15"/>
    </row>
    <row r="1066" spans="68:79" ht="15" customHeight="1" x14ac:dyDescent="0.3">
      <c r="BP1066" s="15"/>
      <c r="BQ1066" s="15"/>
      <c r="BR1066" s="15"/>
      <c r="BS1066" s="15"/>
      <c r="BT1066" s="15"/>
      <c r="BU1066" s="15"/>
      <c r="BV1066" s="15"/>
      <c r="BW1066" s="15"/>
      <c r="BX1066" s="15"/>
      <c r="BY1066" s="15"/>
      <c r="BZ1066" s="15"/>
      <c r="CA1066" s="15"/>
    </row>
    <row r="1067" spans="68:79" ht="15" customHeight="1" x14ac:dyDescent="0.3">
      <c r="BP1067" s="15"/>
      <c r="BQ1067" s="15"/>
      <c r="BR1067" s="15"/>
      <c r="BS1067" s="15"/>
      <c r="BT1067" s="15"/>
      <c r="BU1067" s="15"/>
      <c r="BV1067" s="15"/>
      <c r="BW1067" s="15"/>
      <c r="BX1067" s="15"/>
      <c r="BY1067" s="15"/>
      <c r="BZ1067" s="15"/>
      <c r="CA1067" s="15"/>
    </row>
    <row r="1068" spans="68:79" ht="15" customHeight="1" x14ac:dyDescent="0.3">
      <c r="BP1068" s="15"/>
      <c r="BQ1068" s="15"/>
      <c r="BR1068" s="15"/>
      <c r="BS1068" s="15"/>
      <c r="BT1068" s="15"/>
      <c r="BU1068" s="15"/>
      <c r="BV1068" s="15"/>
      <c r="BW1068" s="15"/>
      <c r="BX1068" s="15"/>
      <c r="BY1068" s="15"/>
      <c r="BZ1068" s="15"/>
      <c r="CA1068" s="15"/>
    </row>
    <row r="1069" spans="68:79" ht="15" customHeight="1" x14ac:dyDescent="0.3">
      <c r="BP1069" s="15"/>
      <c r="BQ1069" s="15"/>
      <c r="BR1069" s="15"/>
      <c r="BS1069" s="15"/>
      <c r="BT1069" s="15"/>
      <c r="BU1069" s="15"/>
      <c r="BV1069" s="15"/>
      <c r="BW1069" s="15"/>
      <c r="BX1069" s="15"/>
      <c r="BY1069" s="15"/>
      <c r="BZ1069" s="15"/>
      <c r="CA1069" s="15"/>
    </row>
    <row r="1070" spans="68:79" ht="15" customHeight="1" x14ac:dyDescent="0.3">
      <c r="BP1070" s="15"/>
      <c r="BQ1070" s="15"/>
      <c r="BR1070" s="15"/>
      <c r="BS1070" s="15"/>
      <c r="BT1070" s="15"/>
      <c r="BU1070" s="15"/>
      <c r="BV1070" s="15"/>
      <c r="BW1070" s="15"/>
      <c r="BX1070" s="15"/>
      <c r="BY1070" s="15"/>
      <c r="BZ1070" s="15"/>
      <c r="CA1070" s="15"/>
    </row>
    <row r="1071" spans="68:79" ht="15" customHeight="1" x14ac:dyDescent="0.3">
      <c r="BP1071" s="15"/>
      <c r="BQ1071" s="15"/>
      <c r="BR1071" s="15"/>
      <c r="BS1071" s="15"/>
      <c r="BT1071" s="15"/>
      <c r="BU1071" s="15"/>
      <c r="BV1071" s="15"/>
      <c r="BW1071" s="15"/>
      <c r="BX1071" s="15"/>
      <c r="BY1071" s="15"/>
      <c r="BZ1071" s="15"/>
      <c r="CA1071" s="15"/>
    </row>
    <row r="1072" spans="68:79" ht="15" customHeight="1" x14ac:dyDescent="0.3">
      <c r="BP1072" s="15"/>
      <c r="BQ1072" s="15"/>
      <c r="BR1072" s="15"/>
      <c r="BS1072" s="15"/>
      <c r="BT1072" s="15"/>
      <c r="BU1072" s="15"/>
      <c r="BV1072" s="15"/>
      <c r="BW1072" s="15"/>
      <c r="BX1072" s="15"/>
      <c r="BY1072" s="15"/>
      <c r="BZ1072" s="15"/>
      <c r="CA1072" s="15"/>
    </row>
    <row r="1073" spans="68:79" ht="15" customHeight="1" x14ac:dyDescent="0.3">
      <c r="BP1073" s="15"/>
      <c r="BQ1073" s="15"/>
      <c r="BR1073" s="15"/>
      <c r="BS1073" s="15"/>
      <c r="BT1073" s="15"/>
      <c r="BU1073" s="15"/>
      <c r="BV1073" s="15"/>
      <c r="BW1073" s="15"/>
      <c r="BX1073" s="15"/>
      <c r="BY1073" s="15"/>
      <c r="BZ1073" s="15"/>
      <c r="CA1073" s="15"/>
    </row>
    <row r="1074" spans="68:79" ht="15" customHeight="1" x14ac:dyDescent="0.3">
      <c r="BP1074" s="15"/>
      <c r="BQ1074" s="15"/>
      <c r="BR1074" s="15"/>
      <c r="BS1074" s="15"/>
      <c r="BT1074" s="15"/>
      <c r="BU1074" s="15"/>
      <c r="BV1074" s="15"/>
      <c r="BW1074" s="15"/>
      <c r="BX1074" s="15"/>
      <c r="BY1074" s="15"/>
      <c r="BZ1074" s="15"/>
      <c r="CA1074" s="15"/>
    </row>
    <row r="1075" spans="68:79" ht="15" customHeight="1" x14ac:dyDescent="0.3">
      <c r="BP1075" s="15"/>
      <c r="BQ1075" s="15"/>
      <c r="BR1075" s="15"/>
      <c r="BS1075" s="15"/>
      <c r="BT1075" s="15"/>
      <c r="BU1075" s="15"/>
      <c r="BV1075" s="15"/>
      <c r="BW1075" s="15"/>
      <c r="BX1075" s="15"/>
      <c r="BY1075" s="15"/>
      <c r="BZ1075" s="15"/>
      <c r="CA1075" s="15"/>
    </row>
    <row r="1076" spans="68:79" ht="15" customHeight="1" x14ac:dyDescent="0.3">
      <c r="BP1076" s="15"/>
      <c r="BQ1076" s="15"/>
      <c r="BR1076" s="15"/>
      <c r="BS1076" s="15"/>
      <c r="BT1076" s="15"/>
      <c r="BU1076" s="15"/>
      <c r="BV1076" s="15"/>
      <c r="BW1076" s="15"/>
      <c r="BX1076" s="15"/>
      <c r="BY1076" s="15"/>
      <c r="BZ1076" s="15"/>
      <c r="CA1076" s="15"/>
    </row>
    <row r="1077" spans="68:79" ht="15" customHeight="1" x14ac:dyDescent="0.3">
      <c r="BP1077" s="15"/>
      <c r="BQ1077" s="15"/>
      <c r="BR1077" s="15"/>
      <c r="BS1077" s="15"/>
      <c r="BT1077" s="15"/>
      <c r="BU1077" s="15"/>
      <c r="BV1077" s="15"/>
      <c r="BW1077" s="15"/>
      <c r="BX1077" s="15"/>
      <c r="BY1077" s="15"/>
      <c r="BZ1077" s="15"/>
      <c r="CA1077" s="15"/>
    </row>
    <row r="1078" spans="68:79" ht="15" customHeight="1" x14ac:dyDescent="0.3">
      <c r="BP1078" s="15"/>
      <c r="BQ1078" s="15"/>
      <c r="BR1078" s="15"/>
      <c r="BS1078" s="15"/>
      <c r="BT1078" s="15"/>
      <c r="BU1078" s="15"/>
      <c r="BV1078" s="15"/>
      <c r="BW1078" s="15"/>
      <c r="BX1078" s="15"/>
      <c r="BY1078" s="15"/>
      <c r="BZ1078" s="15"/>
      <c r="CA1078" s="15"/>
    </row>
    <row r="1079" spans="68:79" ht="15" customHeight="1" x14ac:dyDescent="0.3">
      <c r="BP1079" s="15"/>
      <c r="BQ1079" s="15"/>
      <c r="BR1079" s="15"/>
      <c r="BS1079" s="15"/>
      <c r="BT1079" s="15"/>
      <c r="BU1079" s="15"/>
      <c r="BV1079" s="15"/>
      <c r="BW1079" s="15"/>
      <c r="BX1079" s="15"/>
      <c r="BY1079" s="15"/>
      <c r="BZ1079" s="15"/>
      <c r="CA1079" s="15"/>
    </row>
    <row r="1080" spans="68:79" ht="15" customHeight="1" x14ac:dyDescent="0.3">
      <c r="BP1080" s="15"/>
      <c r="BQ1080" s="15"/>
      <c r="BR1080" s="15"/>
      <c r="BS1080" s="15"/>
      <c r="BT1080" s="15"/>
      <c r="BU1080" s="15"/>
      <c r="BV1080" s="15"/>
      <c r="BW1080" s="15"/>
      <c r="BX1080" s="15"/>
      <c r="BY1080" s="15"/>
      <c r="BZ1080" s="15"/>
      <c r="CA1080" s="15"/>
    </row>
    <row r="1081" spans="68:79" ht="15" customHeight="1" x14ac:dyDescent="0.3">
      <c r="BP1081" s="15"/>
      <c r="BQ1081" s="15"/>
      <c r="BR1081" s="15"/>
      <c r="BS1081" s="15"/>
      <c r="BT1081" s="15"/>
      <c r="BU1081" s="15"/>
      <c r="BV1081" s="15"/>
      <c r="BW1081" s="15"/>
      <c r="BX1081" s="15"/>
      <c r="BY1081" s="15"/>
      <c r="BZ1081" s="15"/>
      <c r="CA1081" s="15"/>
    </row>
    <row r="1082" spans="68:79" ht="15" customHeight="1" x14ac:dyDescent="0.3">
      <c r="BP1082" s="15"/>
      <c r="BQ1082" s="15"/>
      <c r="BR1082" s="15"/>
      <c r="BS1082" s="15"/>
      <c r="BT1082" s="15"/>
      <c r="BU1082" s="15"/>
      <c r="BV1082" s="15"/>
      <c r="BW1082" s="15"/>
      <c r="BX1082" s="15"/>
      <c r="BY1082" s="15"/>
      <c r="BZ1082" s="15"/>
      <c r="CA1082" s="15"/>
    </row>
    <row r="1083" spans="68:79" ht="15" customHeight="1" x14ac:dyDescent="0.3">
      <c r="BP1083" s="15"/>
      <c r="BQ1083" s="15"/>
      <c r="BR1083" s="15"/>
      <c r="BS1083" s="15"/>
      <c r="BT1083" s="15"/>
      <c r="BU1083" s="15"/>
      <c r="BV1083" s="15"/>
      <c r="BW1083" s="15"/>
      <c r="BX1083" s="15"/>
      <c r="BY1083" s="15"/>
      <c r="BZ1083" s="15"/>
      <c r="CA1083" s="15"/>
    </row>
    <row r="1084" spans="68:79" ht="15" customHeight="1" x14ac:dyDescent="0.3">
      <c r="BP1084" s="15"/>
      <c r="BQ1084" s="15"/>
      <c r="BR1084" s="15"/>
      <c r="BS1084" s="15"/>
      <c r="BT1084" s="15"/>
      <c r="BU1084" s="15"/>
      <c r="BV1084" s="15"/>
      <c r="BW1084" s="15"/>
      <c r="BX1084" s="15"/>
      <c r="BY1084" s="15"/>
      <c r="BZ1084" s="15"/>
      <c r="CA1084" s="15"/>
    </row>
    <row r="1085" spans="68:79" ht="15" customHeight="1" x14ac:dyDescent="0.3">
      <c r="BP1085" s="15"/>
      <c r="BQ1085" s="15"/>
      <c r="BR1085" s="15"/>
      <c r="BS1085" s="15"/>
      <c r="BT1085" s="15"/>
      <c r="BU1085" s="15"/>
      <c r="BV1085" s="15"/>
      <c r="BW1085" s="15"/>
      <c r="BX1085" s="15"/>
      <c r="BY1085" s="15"/>
      <c r="BZ1085" s="15"/>
      <c r="CA1085" s="15"/>
    </row>
    <row r="1086" spans="68:79" ht="15" customHeight="1" x14ac:dyDescent="0.3">
      <c r="BP1086" s="15"/>
      <c r="BQ1086" s="15"/>
      <c r="BR1086" s="15"/>
      <c r="BS1086" s="15"/>
      <c r="BT1086" s="15"/>
      <c r="BU1086" s="15"/>
      <c r="BV1086" s="15"/>
      <c r="BW1086" s="15"/>
      <c r="BX1086" s="15"/>
      <c r="BY1086" s="15"/>
      <c r="BZ1086" s="15"/>
      <c r="CA1086" s="15"/>
    </row>
    <row r="1087" spans="68:79" ht="15" customHeight="1" x14ac:dyDescent="0.3">
      <c r="BP1087" s="15"/>
      <c r="BQ1087" s="15"/>
      <c r="BR1087" s="15"/>
      <c r="BS1087" s="15"/>
      <c r="BT1087" s="15"/>
      <c r="BU1087" s="15"/>
      <c r="BV1087" s="15"/>
      <c r="BW1087" s="15"/>
      <c r="BX1087" s="15"/>
      <c r="BY1087" s="15"/>
      <c r="BZ1087" s="15"/>
      <c r="CA1087" s="15"/>
    </row>
    <row r="1088" spans="68:79" ht="15" customHeight="1" x14ac:dyDescent="0.3">
      <c r="BP1088" s="15"/>
      <c r="BQ1088" s="15"/>
      <c r="BR1088" s="15"/>
      <c r="BS1088" s="15"/>
      <c r="BT1088" s="15"/>
      <c r="BU1088" s="15"/>
      <c r="BV1088" s="15"/>
      <c r="BW1088" s="15"/>
      <c r="BX1088" s="15"/>
      <c r="BY1088" s="15"/>
      <c r="BZ1088" s="15"/>
      <c r="CA1088" s="15"/>
    </row>
    <row r="1089" spans="68:79" ht="15" customHeight="1" x14ac:dyDescent="0.3">
      <c r="BP1089" s="15"/>
      <c r="BQ1089" s="15"/>
      <c r="BR1089" s="15"/>
      <c r="BS1089" s="15"/>
      <c r="BT1089" s="15"/>
      <c r="BU1089" s="15"/>
      <c r="BV1089" s="15"/>
      <c r="BW1089" s="15"/>
      <c r="BX1089" s="15"/>
      <c r="BY1089" s="15"/>
      <c r="BZ1089" s="15"/>
      <c r="CA1089" s="15"/>
    </row>
    <row r="1090" spans="68:79" ht="15" customHeight="1" x14ac:dyDescent="0.3">
      <c r="BP1090" s="15"/>
      <c r="BQ1090" s="15"/>
      <c r="BR1090" s="15"/>
      <c r="BS1090" s="15"/>
      <c r="BT1090" s="15"/>
      <c r="BU1090" s="15"/>
      <c r="BV1090" s="15"/>
      <c r="BW1090" s="15"/>
      <c r="BX1090" s="15"/>
      <c r="BY1090" s="15"/>
      <c r="BZ1090" s="15"/>
      <c r="CA1090" s="15"/>
    </row>
    <row r="1091" spans="68:79" ht="15" customHeight="1" x14ac:dyDescent="0.3">
      <c r="BP1091" s="15"/>
      <c r="BQ1091" s="15"/>
      <c r="BR1091" s="15"/>
      <c r="BS1091" s="15"/>
      <c r="BT1091" s="15"/>
      <c r="BU1091" s="15"/>
      <c r="BV1091" s="15"/>
      <c r="BW1091" s="15"/>
      <c r="BX1091" s="15"/>
      <c r="BY1091" s="15"/>
      <c r="BZ1091" s="15"/>
      <c r="CA1091" s="15"/>
    </row>
    <row r="1092" spans="68:79" ht="15" customHeight="1" x14ac:dyDescent="0.3">
      <c r="BP1092" s="15"/>
      <c r="BQ1092" s="15"/>
      <c r="BR1092" s="15"/>
      <c r="BS1092" s="15"/>
      <c r="BT1092" s="15"/>
      <c r="BU1092" s="15"/>
      <c r="BV1092" s="15"/>
      <c r="BW1092" s="15"/>
      <c r="BX1092" s="15"/>
      <c r="BY1092" s="15"/>
      <c r="BZ1092" s="15"/>
      <c r="CA1092" s="15"/>
    </row>
    <row r="1093" spans="68:79" ht="15" customHeight="1" x14ac:dyDescent="0.3">
      <c r="BP1093" s="15"/>
      <c r="BQ1093" s="15"/>
      <c r="BR1093" s="15"/>
      <c r="BS1093" s="15"/>
      <c r="BT1093" s="15"/>
      <c r="BU1093" s="15"/>
      <c r="BV1093" s="15"/>
      <c r="BW1093" s="15"/>
      <c r="BX1093" s="15"/>
      <c r="BY1093" s="15"/>
      <c r="BZ1093" s="15"/>
      <c r="CA1093" s="15"/>
    </row>
    <row r="1094" spans="68:79" ht="15" customHeight="1" x14ac:dyDescent="0.3">
      <c r="BP1094" s="15"/>
      <c r="BQ1094" s="15"/>
      <c r="BR1094" s="15"/>
      <c r="BS1094" s="15"/>
      <c r="BT1094" s="15"/>
      <c r="BU1094" s="15"/>
      <c r="BV1094" s="15"/>
      <c r="BW1094" s="15"/>
      <c r="BX1094" s="15"/>
      <c r="BY1094" s="15"/>
      <c r="BZ1094" s="15"/>
      <c r="CA1094" s="15"/>
    </row>
    <row r="1095" spans="68:79" ht="15" customHeight="1" x14ac:dyDescent="0.3">
      <c r="BP1095" s="15"/>
      <c r="BQ1095" s="15"/>
      <c r="BR1095" s="15"/>
      <c r="BS1095" s="15"/>
      <c r="BT1095" s="15"/>
      <c r="BU1095" s="15"/>
      <c r="BV1095" s="15"/>
      <c r="BW1095" s="15"/>
      <c r="BX1095" s="15"/>
      <c r="BY1095" s="15"/>
      <c r="BZ1095" s="15"/>
      <c r="CA1095" s="15"/>
    </row>
    <row r="1096" spans="68:79" ht="15" customHeight="1" x14ac:dyDescent="0.3">
      <c r="BP1096" s="15"/>
      <c r="BQ1096" s="15"/>
      <c r="BR1096" s="15"/>
      <c r="BS1096" s="15"/>
      <c r="BT1096" s="15"/>
      <c r="BU1096" s="15"/>
      <c r="BV1096" s="15"/>
      <c r="BW1096" s="15"/>
      <c r="BX1096" s="15"/>
      <c r="BY1096" s="15"/>
      <c r="BZ1096" s="15"/>
      <c r="CA1096" s="15"/>
    </row>
    <row r="1097" spans="68:79" ht="15" customHeight="1" x14ac:dyDescent="0.3">
      <c r="BP1097" s="15"/>
      <c r="BQ1097" s="15"/>
      <c r="BR1097" s="15"/>
      <c r="BS1097" s="15"/>
      <c r="BT1097" s="15"/>
      <c r="BU1097" s="15"/>
      <c r="BV1097" s="15"/>
      <c r="BW1097" s="15"/>
      <c r="BX1097" s="15"/>
      <c r="BY1097" s="15"/>
      <c r="BZ1097" s="15"/>
      <c r="CA1097" s="15"/>
    </row>
    <row r="1098" spans="68:79" ht="15" customHeight="1" x14ac:dyDescent="0.3">
      <c r="BP1098" s="15"/>
      <c r="BQ1098" s="15"/>
      <c r="BR1098" s="15"/>
      <c r="BS1098" s="15"/>
      <c r="BT1098" s="15"/>
      <c r="BU1098" s="15"/>
      <c r="BV1098" s="15"/>
      <c r="BW1098" s="15"/>
      <c r="BX1098" s="15"/>
      <c r="BY1098" s="15"/>
      <c r="BZ1098" s="15"/>
      <c r="CA1098" s="15"/>
    </row>
    <row r="1099" spans="68:79" ht="15" customHeight="1" x14ac:dyDescent="0.3">
      <c r="BP1099" s="15"/>
      <c r="BQ1099" s="15"/>
      <c r="BR1099" s="15"/>
      <c r="BS1099" s="15"/>
      <c r="BT1099" s="15"/>
      <c r="BU1099" s="15"/>
      <c r="BV1099" s="15"/>
      <c r="BW1099" s="15"/>
      <c r="BX1099" s="15"/>
      <c r="BY1099" s="15"/>
      <c r="BZ1099" s="15"/>
      <c r="CA1099" s="15"/>
    </row>
    <row r="1100" spans="68:79" ht="15" customHeight="1" x14ac:dyDescent="0.3">
      <c r="BP1100" s="15"/>
      <c r="BQ1100" s="15"/>
      <c r="BR1100" s="15"/>
      <c r="BS1100" s="15"/>
      <c r="BT1100" s="15"/>
      <c r="BU1100" s="15"/>
      <c r="BV1100" s="15"/>
      <c r="BW1100" s="15"/>
      <c r="BX1100" s="15"/>
      <c r="BY1100" s="15"/>
      <c r="BZ1100" s="15"/>
      <c r="CA1100" s="15"/>
    </row>
    <row r="1101" spans="68:79" ht="15" customHeight="1" x14ac:dyDescent="0.3">
      <c r="BP1101" s="15"/>
      <c r="BQ1101" s="15"/>
      <c r="BR1101" s="15"/>
      <c r="BS1101" s="15"/>
      <c r="BT1101" s="15"/>
      <c r="BU1101" s="15"/>
      <c r="BV1101" s="15"/>
      <c r="BW1101" s="15"/>
      <c r="BX1101" s="15"/>
      <c r="BY1101" s="15"/>
      <c r="BZ1101" s="15"/>
      <c r="CA1101" s="15"/>
    </row>
    <row r="1102" spans="68:79" ht="15" customHeight="1" x14ac:dyDescent="0.3">
      <c r="BP1102" s="15"/>
      <c r="BQ1102" s="15"/>
      <c r="BR1102" s="15"/>
      <c r="BS1102" s="15"/>
      <c r="BT1102" s="15"/>
      <c r="BU1102" s="15"/>
      <c r="BV1102" s="15"/>
      <c r="BW1102" s="15"/>
      <c r="BX1102" s="15"/>
      <c r="BY1102" s="15"/>
      <c r="BZ1102" s="15"/>
      <c r="CA1102" s="15"/>
    </row>
    <row r="1103" spans="68:79" ht="15" customHeight="1" x14ac:dyDescent="0.3">
      <c r="BP1103" s="15"/>
      <c r="BQ1103" s="15"/>
      <c r="BR1103" s="15"/>
      <c r="BS1103" s="15"/>
      <c r="BT1103" s="15"/>
      <c r="BU1103" s="15"/>
      <c r="BV1103" s="15"/>
      <c r="BW1103" s="15"/>
      <c r="BX1103" s="15"/>
      <c r="BY1103" s="15"/>
      <c r="BZ1103" s="15"/>
      <c r="CA1103" s="15"/>
    </row>
    <row r="1104" spans="68:79" ht="15" customHeight="1" x14ac:dyDescent="0.3">
      <c r="BP1104" s="15"/>
      <c r="BQ1104" s="15"/>
      <c r="BR1104" s="15"/>
      <c r="BS1104" s="15"/>
      <c r="BT1104" s="15"/>
      <c r="BU1104" s="15"/>
      <c r="BV1104" s="15"/>
      <c r="BW1104" s="15"/>
      <c r="BX1104" s="15"/>
      <c r="BY1104" s="15"/>
      <c r="BZ1104" s="15"/>
      <c r="CA1104" s="15"/>
    </row>
    <row r="1105" spans="68:79" ht="15" customHeight="1" x14ac:dyDescent="0.3">
      <c r="BP1105" s="15"/>
      <c r="BQ1105" s="15"/>
      <c r="BR1105" s="15"/>
      <c r="BS1105" s="15"/>
      <c r="BT1105" s="15"/>
      <c r="BU1105" s="15"/>
      <c r="BV1105" s="15"/>
      <c r="BW1105" s="15"/>
      <c r="BX1105" s="15"/>
      <c r="BY1105" s="15"/>
      <c r="BZ1105" s="15"/>
      <c r="CA1105" s="15"/>
    </row>
    <row r="1106" spans="68:79" ht="15" customHeight="1" x14ac:dyDescent="0.3">
      <c r="BP1106" s="15"/>
      <c r="BQ1106" s="15"/>
      <c r="BR1106" s="15"/>
      <c r="BS1106" s="15"/>
      <c r="BT1106" s="15"/>
      <c r="BU1106" s="15"/>
      <c r="BV1106" s="15"/>
      <c r="BW1106" s="15"/>
      <c r="BX1106" s="15"/>
      <c r="BY1106" s="15"/>
      <c r="BZ1106" s="15"/>
      <c r="CA1106" s="15"/>
    </row>
    <row r="1107" spans="68:79" ht="15" customHeight="1" x14ac:dyDescent="0.3">
      <c r="BP1107" s="15"/>
      <c r="BQ1107" s="15"/>
      <c r="BR1107" s="15"/>
      <c r="BS1107" s="15"/>
      <c r="BT1107" s="15"/>
      <c r="BU1107" s="15"/>
      <c r="BV1107" s="15"/>
      <c r="BW1107" s="15"/>
      <c r="BX1107" s="15"/>
      <c r="BY1107" s="15"/>
      <c r="BZ1107" s="15"/>
      <c r="CA1107" s="15"/>
    </row>
    <row r="1108" spans="68:79" ht="15" customHeight="1" x14ac:dyDescent="0.3">
      <c r="BP1108" s="15"/>
      <c r="BQ1108" s="15"/>
      <c r="BR1108" s="15"/>
      <c r="BS1108" s="15"/>
      <c r="BT1108" s="15"/>
      <c r="BU1108" s="15"/>
      <c r="BV1108" s="15"/>
      <c r="BW1108" s="15"/>
      <c r="BX1108" s="15"/>
      <c r="BY1108" s="15"/>
      <c r="BZ1108" s="15"/>
      <c r="CA1108" s="15"/>
    </row>
    <row r="1109" spans="68:79" ht="15" customHeight="1" x14ac:dyDescent="0.3">
      <c r="BP1109" s="15"/>
      <c r="BQ1109" s="15"/>
      <c r="BR1109" s="15"/>
      <c r="BS1109" s="15"/>
      <c r="BT1109" s="15"/>
      <c r="BU1109" s="15"/>
      <c r="BV1109" s="15"/>
      <c r="BW1109" s="15"/>
      <c r="BX1109" s="15"/>
      <c r="BY1109" s="15"/>
      <c r="BZ1109" s="15"/>
      <c r="CA1109" s="15"/>
    </row>
    <row r="1110" spans="68:79" ht="15" customHeight="1" x14ac:dyDescent="0.3">
      <c r="BP1110" s="15"/>
      <c r="BQ1110" s="15"/>
      <c r="BR1110" s="15"/>
      <c r="BS1110" s="15"/>
      <c r="BT1110" s="15"/>
      <c r="BU1110" s="15"/>
      <c r="BV1110" s="15"/>
      <c r="BW1110" s="15"/>
      <c r="BX1110" s="15"/>
      <c r="BY1110" s="15"/>
      <c r="BZ1110" s="15"/>
      <c r="CA1110" s="15"/>
    </row>
    <row r="1111" spans="68:79" ht="15" customHeight="1" x14ac:dyDescent="0.3">
      <c r="BP1111" s="15"/>
      <c r="BQ1111" s="15"/>
      <c r="BR1111" s="15"/>
      <c r="BS1111" s="15"/>
      <c r="BT1111" s="15"/>
      <c r="BU1111" s="15"/>
      <c r="BV1111" s="15"/>
      <c r="BW1111" s="15"/>
      <c r="BX1111" s="15"/>
      <c r="BY1111" s="15"/>
      <c r="BZ1111" s="15"/>
      <c r="CA1111" s="15"/>
    </row>
    <row r="1112" spans="68:79" ht="15" customHeight="1" x14ac:dyDescent="0.3">
      <c r="BP1112" s="15"/>
      <c r="BQ1112" s="15"/>
      <c r="BR1112" s="15"/>
      <c r="BS1112" s="15"/>
      <c r="BT1112" s="15"/>
      <c r="BU1112" s="15"/>
      <c r="BV1112" s="15"/>
      <c r="BW1112" s="15"/>
      <c r="BX1112" s="15"/>
      <c r="BY1112" s="15"/>
      <c r="BZ1112" s="15"/>
      <c r="CA1112" s="15"/>
    </row>
    <row r="1113" spans="68:79" ht="15" customHeight="1" x14ac:dyDescent="0.3">
      <c r="BP1113" s="15"/>
      <c r="BQ1113" s="15"/>
      <c r="BR1113" s="15"/>
      <c r="BS1113" s="15"/>
      <c r="BT1113" s="15"/>
      <c r="BU1113" s="15"/>
      <c r="BV1113" s="15"/>
      <c r="BW1113" s="15"/>
      <c r="BX1113" s="15"/>
      <c r="BY1113" s="15"/>
      <c r="BZ1113" s="15"/>
      <c r="CA1113" s="15"/>
    </row>
    <row r="1114" spans="68:79" ht="15" customHeight="1" x14ac:dyDescent="0.3">
      <c r="BP1114" s="15"/>
      <c r="BQ1114" s="15"/>
      <c r="BR1114" s="15"/>
      <c r="BS1114" s="15"/>
      <c r="BT1114" s="15"/>
      <c r="BU1114" s="15"/>
      <c r="BV1114" s="15"/>
      <c r="BW1114" s="15"/>
      <c r="BX1114" s="15"/>
      <c r="BY1114" s="15"/>
      <c r="BZ1114" s="15"/>
      <c r="CA1114" s="15"/>
    </row>
    <row r="1115" spans="68:79" ht="15" customHeight="1" x14ac:dyDescent="0.3">
      <c r="BP1115" s="15"/>
      <c r="BQ1115" s="15"/>
      <c r="BR1115" s="15"/>
      <c r="BS1115" s="15"/>
      <c r="BT1115" s="15"/>
      <c r="BU1115" s="15"/>
      <c r="BV1115" s="15"/>
      <c r="BW1115" s="15"/>
      <c r="BX1115" s="15"/>
      <c r="BY1115" s="15"/>
      <c r="BZ1115" s="15"/>
      <c r="CA1115" s="15"/>
    </row>
    <row r="1116" spans="68:79" ht="15" customHeight="1" x14ac:dyDescent="0.3">
      <c r="BP1116" s="15"/>
      <c r="BQ1116" s="15"/>
      <c r="BR1116" s="15"/>
      <c r="BS1116" s="15"/>
      <c r="BT1116" s="15"/>
      <c r="BU1116" s="15"/>
      <c r="BV1116" s="15"/>
      <c r="BW1116" s="15"/>
      <c r="BX1116" s="15"/>
      <c r="BY1116" s="15"/>
      <c r="BZ1116" s="15"/>
      <c r="CA1116" s="15"/>
    </row>
    <row r="1117" spans="68:79" ht="15" customHeight="1" x14ac:dyDescent="0.3">
      <c r="BP1117" s="15"/>
      <c r="BQ1117" s="15"/>
      <c r="BR1117" s="15"/>
      <c r="BS1117" s="15"/>
      <c r="BT1117" s="15"/>
      <c r="BU1117" s="15"/>
      <c r="BV1117" s="15"/>
      <c r="BW1117" s="15"/>
      <c r="BX1117" s="15"/>
      <c r="BY1117" s="15"/>
      <c r="BZ1117" s="15"/>
      <c r="CA1117" s="15"/>
    </row>
    <row r="1118" spans="68:79" ht="15" customHeight="1" x14ac:dyDescent="0.3">
      <c r="BP1118" s="15"/>
      <c r="BQ1118" s="15"/>
      <c r="BR1118" s="15"/>
      <c r="BS1118" s="15"/>
      <c r="BT1118" s="15"/>
      <c r="BU1118" s="15"/>
      <c r="BV1118" s="15"/>
      <c r="BW1118" s="15"/>
      <c r="BX1118" s="15"/>
      <c r="BY1118" s="15"/>
      <c r="BZ1118" s="15"/>
      <c r="CA1118" s="15"/>
    </row>
    <row r="1119" spans="68:79" ht="15" customHeight="1" x14ac:dyDescent="0.3">
      <c r="BP1119" s="15"/>
      <c r="BQ1119" s="15"/>
      <c r="BR1119" s="15"/>
      <c r="BS1119" s="15"/>
      <c r="BT1119" s="15"/>
      <c r="BU1119" s="15"/>
      <c r="BV1119" s="15"/>
      <c r="BW1119" s="15"/>
      <c r="BX1119" s="15"/>
      <c r="BY1119" s="15"/>
      <c r="BZ1119" s="15"/>
      <c r="CA1119" s="15"/>
    </row>
    <row r="1120" spans="68:79" ht="15" customHeight="1" x14ac:dyDescent="0.3">
      <c r="BP1120" s="15"/>
      <c r="BQ1120" s="15"/>
      <c r="BR1120" s="15"/>
      <c r="BS1120" s="15"/>
      <c r="BT1120" s="15"/>
      <c r="BU1120" s="15"/>
      <c r="BV1120" s="15"/>
      <c r="BW1120" s="15"/>
      <c r="BX1120" s="15"/>
      <c r="BY1120" s="15"/>
      <c r="BZ1120" s="15"/>
      <c r="CA1120" s="15"/>
    </row>
    <row r="1121" spans="68:79" ht="15" customHeight="1" x14ac:dyDescent="0.3">
      <c r="BP1121" s="15"/>
      <c r="BQ1121" s="15"/>
      <c r="BR1121" s="15"/>
      <c r="BS1121" s="15"/>
      <c r="BT1121" s="15"/>
      <c r="BU1121" s="15"/>
      <c r="BV1121" s="15"/>
      <c r="BW1121" s="15"/>
      <c r="BX1121" s="15"/>
      <c r="BY1121" s="15"/>
      <c r="BZ1121" s="15"/>
      <c r="CA1121" s="15"/>
    </row>
    <row r="1122" spans="68:79" ht="15" customHeight="1" x14ac:dyDescent="0.3">
      <c r="BP1122" s="15"/>
      <c r="BQ1122" s="15"/>
      <c r="BR1122" s="15"/>
      <c r="BS1122" s="15"/>
      <c r="BT1122" s="15"/>
      <c r="BU1122" s="15"/>
      <c r="BV1122" s="15"/>
      <c r="BW1122" s="15"/>
      <c r="BX1122" s="15"/>
      <c r="BY1122" s="15"/>
      <c r="BZ1122" s="15"/>
      <c r="CA1122" s="15"/>
    </row>
    <row r="1123" spans="68:79" ht="15" customHeight="1" x14ac:dyDescent="0.3">
      <c r="BP1123" s="15"/>
      <c r="BQ1123" s="15"/>
      <c r="BR1123" s="15"/>
      <c r="BS1123" s="15"/>
      <c r="BT1123" s="15"/>
      <c r="BU1123" s="15"/>
      <c r="BV1123" s="15"/>
      <c r="BW1123" s="15"/>
      <c r="BX1123" s="15"/>
      <c r="BY1123" s="15"/>
      <c r="BZ1123" s="15"/>
      <c r="CA1123" s="15"/>
    </row>
    <row r="1124" spans="68:79" ht="15" customHeight="1" x14ac:dyDescent="0.3">
      <c r="BP1124" s="15"/>
      <c r="BQ1124" s="15"/>
      <c r="BR1124" s="15"/>
      <c r="BS1124" s="15"/>
      <c r="BT1124" s="15"/>
      <c r="BU1124" s="15"/>
      <c r="BV1124" s="15"/>
      <c r="BW1124" s="15"/>
      <c r="BX1124" s="15"/>
      <c r="BY1124" s="15"/>
      <c r="BZ1124" s="15"/>
      <c r="CA1124" s="15"/>
    </row>
    <row r="1125" spans="68:79" ht="15" customHeight="1" x14ac:dyDescent="0.3">
      <c r="BP1125" s="15"/>
      <c r="BQ1125" s="15"/>
      <c r="BR1125" s="15"/>
      <c r="BS1125" s="15"/>
      <c r="BT1125" s="15"/>
      <c r="BU1125" s="15"/>
      <c r="BV1125" s="15"/>
      <c r="BW1125" s="15"/>
      <c r="BX1125" s="15"/>
      <c r="BY1125" s="15"/>
      <c r="BZ1125" s="15"/>
      <c r="CA1125" s="15"/>
    </row>
    <row r="1126" spans="68:79" ht="15" customHeight="1" x14ac:dyDescent="0.3">
      <c r="BP1126" s="15"/>
      <c r="BQ1126" s="15"/>
      <c r="BR1126" s="15"/>
      <c r="BS1126" s="15"/>
      <c r="BT1126" s="15"/>
      <c r="BU1126" s="15"/>
      <c r="BV1126" s="15"/>
      <c r="BW1126" s="15"/>
      <c r="BX1126" s="15"/>
      <c r="BY1126" s="15"/>
      <c r="BZ1126" s="15"/>
      <c r="CA1126" s="15"/>
    </row>
    <row r="1127" spans="68:79" ht="15" customHeight="1" x14ac:dyDescent="0.3">
      <c r="BP1127" s="15"/>
      <c r="BQ1127" s="15"/>
      <c r="BR1127" s="15"/>
      <c r="BS1127" s="15"/>
      <c r="BT1127" s="15"/>
      <c r="BU1127" s="15"/>
      <c r="BV1127" s="15"/>
      <c r="BW1127" s="15"/>
      <c r="BX1127" s="15"/>
      <c r="BY1127" s="15"/>
      <c r="BZ1127" s="15"/>
      <c r="CA1127" s="15"/>
    </row>
    <row r="1128" spans="68:79" ht="15" customHeight="1" x14ac:dyDescent="0.3">
      <c r="BP1128" s="15"/>
      <c r="BQ1128" s="15"/>
      <c r="BR1128" s="15"/>
      <c r="BS1128" s="15"/>
      <c r="BT1128" s="15"/>
      <c r="BU1128" s="15"/>
      <c r="BV1128" s="15"/>
      <c r="BW1128" s="15"/>
      <c r="BX1128" s="15"/>
      <c r="BY1128" s="15"/>
      <c r="BZ1128" s="15"/>
      <c r="CA1128" s="15"/>
    </row>
    <row r="1129" spans="68:79" ht="15" customHeight="1" x14ac:dyDescent="0.3">
      <c r="BP1129" s="15"/>
      <c r="BQ1129" s="15"/>
      <c r="BR1129" s="15"/>
      <c r="BS1129" s="15"/>
      <c r="BT1129" s="15"/>
      <c r="BU1129" s="15"/>
      <c r="BV1129" s="15"/>
      <c r="BW1129" s="15"/>
      <c r="BX1129" s="15"/>
      <c r="BY1129" s="15"/>
      <c r="BZ1129" s="15"/>
      <c r="CA1129" s="15"/>
    </row>
    <row r="1130" spans="68:79" ht="15" customHeight="1" x14ac:dyDescent="0.3">
      <c r="BP1130" s="15"/>
      <c r="BQ1130" s="15"/>
      <c r="BR1130" s="15"/>
      <c r="BS1130" s="15"/>
      <c r="BT1130" s="15"/>
      <c r="BU1130" s="15"/>
      <c r="BV1130" s="15"/>
      <c r="BW1130" s="15"/>
      <c r="BX1130" s="15"/>
      <c r="BY1130" s="15"/>
      <c r="BZ1130" s="15"/>
      <c r="CA1130" s="15"/>
    </row>
    <row r="1131" spans="68:79" ht="15" customHeight="1" x14ac:dyDescent="0.3">
      <c r="BP1131" s="15"/>
      <c r="BQ1131" s="15"/>
      <c r="BR1131" s="15"/>
      <c r="BS1131" s="15"/>
      <c r="BT1131" s="15"/>
      <c r="BU1131" s="15"/>
      <c r="BV1131" s="15"/>
      <c r="BW1131" s="15"/>
      <c r="BX1131" s="15"/>
      <c r="BY1131" s="15"/>
      <c r="BZ1131" s="15"/>
      <c r="CA1131" s="15"/>
    </row>
    <row r="1132" spans="68:79" ht="15" customHeight="1" x14ac:dyDescent="0.3">
      <c r="BP1132" s="15"/>
      <c r="BQ1132" s="15"/>
      <c r="BR1132" s="15"/>
      <c r="BS1132" s="15"/>
      <c r="BT1132" s="15"/>
      <c r="BU1132" s="15"/>
      <c r="BV1132" s="15"/>
      <c r="BW1132" s="15"/>
      <c r="BX1132" s="15"/>
      <c r="BY1132" s="15"/>
      <c r="BZ1132" s="15"/>
      <c r="CA1132" s="15"/>
    </row>
    <row r="1133" spans="68:79" ht="15" customHeight="1" x14ac:dyDescent="0.3">
      <c r="BP1133" s="15"/>
      <c r="BQ1133" s="15"/>
      <c r="BR1133" s="15"/>
      <c r="BS1133" s="15"/>
      <c r="BT1133" s="15"/>
      <c r="BU1133" s="15"/>
      <c r="BV1133" s="15"/>
      <c r="BW1133" s="15"/>
      <c r="BX1133" s="15"/>
      <c r="BY1133" s="15"/>
      <c r="BZ1133" s="15"/>
      <c r="CA1133" s="15"/>
    </row>
    <row r="1134" spans="68:79" ht="15" customHeight="1" x14ac:dyDescent="0.3">
      <c r="BP1134" s="15"/>
      <c r="BQ1134" s="15"/>
      <c r="BR1134" s="15"/>
      <c r="BS1134" s="15"/>
      <c r="BT1134" s="15"/>
      <c r="BU1134" s="15"/>
      <c r="BV1134" s="15"/>
      <c r="BW1134" s="15"/>
      <c r="BX1134" s="15"/>
      <c r="BY1134" s="15"/>
      <c r="BZ1134" s="15"/>
      <c r="CA1134" s="15"/>
    </row>
    <row r="1135" spans="68:79" ht="15" customHeight="1" x14ac:dyDescent="0.3">
      <c r="BP1135" s="15"/>
      <c r="BQ1135" s="15"/>
      <c r="BR1135" s="15"/>
      <c r="BS1135" s="15"/>
      <c r="BT1135" s="15"/>
      <c r="BU1135" s="15"/>
      <c r="BV1135" s="15"/>
      <c r="BW1135" s="15"/>
      <c r="BX1135" s="15"/>
      <c r="BY1135" s="15"/>
      <c r="BZ1135" s="15"/>
      <c r="CA1135" s="15"/>
    </row>
    <row r="1136" spans="68:79" ht="15" customHeight="1" x14ac:dyDescent="0.3">
      <c r="BP1136" s="15"/>
      <c r="BQ1136" s="15"/>
      <c r="BR1136" s="15"/>
      <c r="BS1136" s="15"/>
      <c r="BT1136" s="15"/>
      <c r="BU1136" s="15"/>
      <c r="BV1136" s="15"/>
      <c r="BW1136" s="15"/>
      <c r="BX1136" s="15"/>
      <c r="BY1136" s="15"/>
      <c r="BZ1136" s="15"/>
      <c r="CA1136" s="15"/>
    </row>
    <row r="1137" spans="68:79" ht="15" customHeight="1" x14ac:dyDescent="0.3">
      <c r="BP1137" s="15"/>
      <c r="BQ1137" s="15"/>
      <c r="BR1137" s="15"/>
      <c r="BS1137" s="15"/>
      <c r="BT1137" s="15"/>
      <c r="BU1137" s="15"/>
      <c r="BV1137" s="15"/>
      <c r="BW1137" s="15"/>
      <c r="BX1137" s="15"/>
      <c r="BY1137" s="15"/>
      <c r="BZ1137" s="15"/>
      <c r="CA1137" s="15"/>
    </row>
    <row r="1138" spans="68:79" ht="15" customHeight="1" x14ac:dyDescent="0.3">
      <c r="BP1138" s="15"/>
      <c r="BQ1138" s="15"/>
      <c r="BR1138" s="15"/>
      <c r="BS1138" s="15"/>
      <c r="BT1138" s="15"/>
      <c r="BU1138" s="15"/>
      <c r="BV1138" s="15"/>
      <c r="BW1138" s="15"/>
      <c r="BX1138" s="15"/>
      <c r="BY1138" s="15"/>
      <c r="BZ1138" s="15"/>
      <c r="CA1138" s="15"/>
    </row>
    <row r="1139" spans="68:79" ht="15" customHeight="1" x14ac:dyDescent="0.3">
      <c r="BP1139" s="15"/>
      <c r="BQ1139" s="15"/>
      <c r="BR1139" s="15"/>
      <c r="BS1139" s="15"/>
      <c r="BT1139" s="15"/>
      <c r="BU1139" s="15"/>
      <c r="BV1139" s="15"/>
      <c r="BW1139" s="15"/>
      <c r="BX1139" s="15"/>
      <c r="BY1139" s="15"/>
      <c r="BZ1139" s="15"/>
      <c r="CA1139" s="15"/>
    </row>
    <row r="1140" spans="68:79" ht="15" customHeight="1" x14ac:dyDescent="0.3">
      <c r="BP1140" s="15"/>
      <c r="BQ1140" s="15"/>
      <c r="BR1140" s="15"/>
      <c r="BS1140" s="15"/>
      <c r="BT1140" s="15"/>
      <c r="BU1140" s="15"/>
      <c r="BV1140" s="15"/>
      <c r="BW1140" s="15"/>
      <c r="BX1140" s="15"/>
      <c r="BY1140" s="15"/>
      <c r="BZ1140" s="15"/>
      <c r="CA1140" s="15"/>
    </row>
    <row r="1141" spans="68:79" ht="15" customHeight="1" x14ac:dyDescent="0.3">
      <c r="BP1141" s="15"/>
      <c r="BQ1141" s="15"/>
      <c r="BR1141" s="15"/>
      <c r="BS1141" s="15"/>
      <c r="BT1141" s="15"/>
      <c r="BU1141" s="15"/>
      <c r="BV1141" s="15"/>
      <c r="BW1141" s="15"/>
      <c r="BX1141" s="15"/>
      <c r="BY1141" s="15"/>
      <c r="BZ1141" s="15"/>
      <c r="CA1141" s="15"/>
    </row>
    <row r="1142" spans="68:79" ht="15" customHeight="1" x14ac:dyDescent="0.3">
      <c r="BP1142" s="15"/>
      <c r="BQ1142" s="15"/>
      <c r="BR1142" s="15"/>
      <c r="BS1142" s="15"/>
      <c r="BT1142" s="15"/>
      <c r="BU1142" s="15"/>
      <c r="BV1142" s="15"/>
      <c r="BW1142" s="15"/>
      <c r="BX1142" s="15"/>
      <c r="BY1142" s="15"/>
      <c r="BZ1142" s="15"/>
      <c r="CA1142" s="15"/>
    </row>
    <row r="1143" spans="68:79" ht="15" customHeight="1" x14ac:dyDescent="0.3">
      <c r="BP1143" s="15"/>
      <c r="BQ1143" s="15"/>
      <c r="BR1143" s="15"/>
      <c r="BS1143" s="15"/>
      <c r="BT1143" s="15"/>
      <c r="BU1143" s="15"/>
      <c r="BV1143" s="15"/>
      <c r="BW1143" s="15"/>
      <c r="BX1143" s="15"/>
      <c r="BY1143" s="15"/>
      <c r="BZ1143" s="15"/>
      <c r="CA1143" s="15"/>
    </row>
    <row r="1144" spans="68:79" ht="15" customHeight="1" x14ac:dyDescent="0.3">
      <c r="BP1144" s="15"/>
      <c r="BQ1144" s="15"/>
      <c r="BR1144" s="15"/>
      <c r="BS1144" s="15"/>
      <c r="BT1144" s="15"/>
      <c r="BU1144" s="15"/>
      <c r="BV1144" s="15"/>
      <c r="BW1144" s="15"/>
      <c r="BX1144" s="15"/>
      <c r="BY1144" s="15"/>
      <c r="BZ1144" s="15"/>
      <c r="CA1144" s="15"/>
    </row>
    <row r="1145" spans="68:79" ht="15" customHeight="1" x14ac:dyDescent="0.3">
      <c r="BP1145" s="15"/>
      <c r="BQ1145" s="15"/>
      <c r="BR1145" s="15"/>
      <c r="BS1145" s="15"/>
      <c r="BT1145" s="15"/>
      <c r="BU1145" s="15"/>
      <c r="BV1145" s="15"/>
      <c r="BW1145" s="15"/>
      <c r="BX1145" s="15"/>
      <c r="BY1145" s="15"/>
      <c r="BZ1145" s="15"/>
      <c r="CA1145" s="15"/>
    </row>
    <row r="1146" spans="68:79" ht="15" customHeight="1" x14ac:dyDescent="0.3">
      <c r="BP1146" s="15"/>
      <c r="BQ1146" s="15"/>
      <c r="BR1146" s="15"/>
      <c r="BS1146" s="15"/>
      <c r="BT1146" s="15"/>
      <c r="BU1146" s="15"/>
      <c r="BV1146" s="15"/>
      <c r="BW1146" s="15"/>
      <c r="BX1146" s="15"/>
      <c r="BY1146" s="15"/>
      <c r="BZ1146" s="15"/>
      <c r="CA1146" s="15"/>
    </row>
    <row r="1147" spans="68:79" ht="15" customHeight="1" x14ac:dyDescent="0.3">
      <c r="BP1147" s="15"/>
      <c r="BQ1147" s="15"/>
      <c r="BR1147" s="15"/>
      <c r="BS1147" s="15"/>
      <c r="BT1147" s="15"/>
      <c r="BU1147" s="15"/>
      <c r="BV1147" s="15"/>
      <c r="BW1147" s="15"/>
      <c r="BX1147" s="15"/>
      <c r="BY1147" s="15"/>
      <c r="BZ1147" s="15"/>
      <c r="CA1147" s="15"/>
    </row>
    <row r="1148" spans="68:79" ht="15" customHeight="1" x14ac:dyDescent="0.3">
      <c r="BP1148" s="15"/>
      <c r="BQ1148" s="15"/>
      <c r="BR1148" s="15"/>
      <c r="BS1148" s="15"/>
      <c r="BT1148" s="15"/>
      <c r="BU1148" s="15"/>
      <c r="BV1148" s="15"/>
      <c r="BW1148" s="15"/>
      <c r="BX1148" s="15"/>
      <c r="BY1148" s="15"/>
      <c r="BZ1148" s="15"/>
      <c r="CA1148" s="15"/>
    </row>
    <row r="1149" spans="68:79" ht="15" customHeight="1" x14ac:dyDescent="0.3">
      <c r="BP1149" s="15"/>
      <c r="BQ1149" s="15"/>
      <c r="BR1149" s="15"/>
      <c r="BS1149" s="15"/>
      <c r="BT1149" s="15"/>
      <c r="BU1149" s="15"/>
      <c r="BV1149" s="15"/>
      <c r="BW1149" s="15"/>
      <c r="BX1149" s="15"/>
      <c r="BY1149" s="15"/>
      <c r="BZ1149" s="15"/>
      <c r="CA1149" s="15"/>
    </row>
    <row r="1150" spans="68:79" ht="15" customHeight="1" x14ac:dyDescent="0.3">
      <c r="BP1150" s="15"/>
      <c r="BQ1150" s="15"/>
      <c r="BR1150" s="15"/>
      <c r="BS1150" s="15"/>
      <c r="BT1150" s="15"/>
      <c r="BU1150" s="15"/>
      <c r="BV1150" s="15"/>
      <c r="BW1150" s="15"/>
      <c r="BX1150" s="15"/>
      <c r="BY1150" s="15"/>
      <c r="BZ1150" s="15"/>
      <c r="CA1150" s="15"/>
    </row>
    <row r="1151" spans="68:79" ht="15" customHeight="1" x14ac:dyDescent="0.3">
      <c r="BP1151" s="15"/>
      <c r="BQ1151" s="15"/>
      <c r="BR1151" s="15"/>
      <c r="BS1151" s="15"/>
      <c r="BT1151" s="15"/>
      <c r="BU1151" s="15"/>
      <c r="BV1151" s="15"/>
      <c r="BW1151" s="15"/>
      <c r="BX1151" s="15"/>
      <c r="BY1151" s="15"/>
      <c r="BZ1151" s="15"/>
      <c r="CA1151" s="15"/>
    </row>
    <row r="1152" spans="68:79" ht="15" customHeight="1" x14ac:dyDescent="0.3">
      <c r="BP1152" s="15"/>
      <c r="BQ1152" s="15"/>
      <c r="BR1152" s="15"/>
      <c r="BS1152" s="15"/>
      <c r="BT1152" s="15"/>
      <c r="BU1152" s="15"/>
      <c r="BV1152" s="15"/>
      <c r="BW1152" s="15"/>
      <c r="BX1152" s="15"/>
      <c r="BY1152" s="15"/>
      <c r="BZ1152" s="15"/>
      <c r="CA1152" s="15"/>
    </row>
    <row r="1153" spans="68:79" ht="15" customHeight="1" x14ac:dyDescent="0.3">
      <c r="BP1153" s="15"/>
      <c r="BQ1153" s="15"/>
      <c r="BR1153" s="15"/>
      <c r="BS1153" s="15"/>
      <c r="BT1153" s="15"/>
      <c r="BU1153" s="15"/>
      <c r="BV1153" s="15"/>
      <c r="BW1153" s="15"/>
      <c r="BX1153" s="15"/>
      <c r="BY1153" s="15"/>
      <c r="BZ1153" s="15"/>
      <c r="CA1153" s="15"/>
    </row>
    <row r="1154" spans="68:79" ht="15" customHeight="1" x14ac:dyDescent="0.3">
      <c r="BP1154" s="15"/>
      <c r="BQ1154" s="15"/>
      <c r="BR1154" s="15"/>
      <c r="BS1154" s="15"/>
      <c r="BT1154" s="15"/>
      <c r="BU1154" s="15"/>
      <c r="BV1154" s="15"/>
      <c r="BW1154" s="15"/>
      <c r="BX1154" s="15"/>
      <c r="BY1154" s="15"/>
      <c r="BZ1154" s="15"/>
      <c r="CA1154" s="15"/>
    </row>
    <row r="1155" spans="68:79" ht="15" customHeight="1" x14ac:dyDescent="0.3">
      <c r="BP1155" s="15"/>
      <c r="BQ1155" s="15"/>
      <c r="BR1155" s="15"/>
      <c r="BS1155" s="15"/>
      <c r="BT1155" s="15"/>
      <c r="BU1155" s="15"/>
      <c r="BV1155" s="15"/>
      <c r="BW1155" s="15"/>
      <c r="BX1155" s="15"/>
      <c r="BY1155" s="15"/>
      <c r="BZ1155" s="15"/>
      <c r="CA1155" s="15"/>
    </row>
    <row r="1156" spans="68:79" ht="15" customHeight="1" x14ac:dyDescent="0.3">
      <c r="BP1156" s="15"/>
      <c r="BQ1156" s="15"/>
      <c r="BR1156" s="15"/>
      <c r="BS1156" s="15"/>
      <c r="BT1156" s="15"/>
      <c r="BU1156" s="15"/>
      <c r="BV1156" s="15"/>
      <c r="BW1156" s="15"/>
      <c r="BX1156" s="15"/>
      <c r="BY1156" s="15"/>
      <c r="BZ1156" s="15"/>
      <c r="CA1156" s="15"/>
    </row>
    <row r="1157" spans="68:79" ht="15" customHeight="1" x14ac:dyDescent="0.3">
      <c r="BP1157" s="15"/>
      <c r="BQ1157" s="15"/>
      <c r="BR1157" s="15"/>
      <c r="BS1157" s="15"/>
      <c r="BT1157" s="15"/>
      <c r="BU1157" s="15"/>
      <c r="BV1157" s="15"/>
      <c r="BW1157" s="15"/>
      <c r="BX1157" s="15"/>
      <c r="BY1157" s="15"/>
      <c r="BZ1157" s="15"/>
      <c r="CA1157" s="15"/>
    </row>
    <row r="1158" spans="68:79" ht="15" customHeight="1" x14ac:dyDescent="0.3">
      <c r="BP1158" s="15"/>
      <c r="BQ1158" s="15"/>
      <c r="BR1158" s="15"/>
      <c r="BS1158" s="15"/>
      <c r="BT1158" s="15"/>
      <c r="BU1158" s="15"/>
      <c r="BV1158" s="15"/>
      <c r="BW1158" s="15"/>
      <c r="BX1158" s="15"/>
      <c r="BY1158" s="15"/>
      <c r="BZ1158" s="15"/>
      <c r="CA1158" s="15"/>
    </row>
    <row r="1159" spans="68:79" ht="15" customHeight="1" x14ac:dyDescent="0.3">
      <c r="BP1159" s="15"/>
      <c r="BQ1159" s="15"/>
      <c r="BR1159" s="15"/>
      <c r="BS1159" s="15"/>
      <c r="BT1159" s="15"/>
      <c r="BU1159" s="15"/>
      <c r="BV1159" s="15"/>
      <c r="BW1159" s="15"/>
      <c r="BX1159" s="15"/>
      <c r="BY1159" s="15"/>
      <c r="BZ1159" s="15"/>
      <c r="CA1159" s="15"/>
    </row>
    <row r="1160" spans="68:79" ht="15" customHeight="1" x14ac:dyDescent="0.3">
      <c r="BP1160" s="15"/>
      <c r="BQ1160" s="15"/>
      <c r="BR1160" s="15"/>
      <c r="BS1160" s="15"/>
      <c r="BT1160" s="15"/>
      <c r="BU1160" s="15"/>
      <c r="BV1160" s="15"/>
      <c r="BW1160" s="15"/>
      <c r="BX1160" s="15"/>
      <c r="BY1160" s="15"/>
      <c r="BZ1160" s="15"/>
      <c r="CA1160" s="15"/>
    </row>
    <row r="1161" spans="68:79" ht="15" customHeight="1" x14ac:dyDescent="0.3">
      <c r="BP1161" s="15"/>
      <c r="BQ1161" s="15"/>
      <c r="BR1161" s="15"/>
      <c r="BS1161" s="15"/>
      <c r="BT1161" s="15"/>
      <c r="BU1161" s="15"/>
      <c r="BV1161" s="15"/>
      <c r="BW1161" s="15"/>
      <c r="BX1161" s="15"/>
      <c r="BY1161" s="15"/>
      <c r="BZ1161" s="15"/>
      <c r="CA1161" s="15"/>
    </row>
    <row r="1162" spans="68:79" ht="15" customHeight="1" x14ac:dyDescent="0.3">
      <c r="BP1162" s="15"/>
      <c r="BQ1162" s="15"/>
      <c r="BR1162" s="15"/>
      <c r="BS1162" s="15"/>
      <c r="BT1162" s="15"/>
      <c r="BU1162" s="15"/>
      <c r="BV1162" s="15"/>
      <c r="BW1162" s="15"/>
      <c r="BX1162" s="15"/>
      <c r="BY1162" s="15"/>
      <c r="BZ1162" s="15"/>
      <c r="CA1162" s="15"/>
    </row>
    <row r="1163" spans="68:79" ht="15" customHeight="1" x14ac:dyDescent="0.3">
      <c r="BP1163" s="15"/>
      <c r="BQ1163" s="15"/>
      <c r="BR1163" s="15"/>
      <c r="BS1163" s="15"/>
      <c r="BT1163" s="15"/>
      <c r="BU1163" s="15"/>
      <c r="BV1163" s="15"/>
      <c r="BW1163" s="15"/>
      <c r="BX1163" s="15"/>
      <c r="BY1163" s="15"/>
      <c r="BZ1163" s="15"/>
      <c r="CA1163" s="15"/>
    </row>
    <row r="1164" spans="68:79" ht="15" customHeight="1" x14ac:dyDescent="0.3">
      <c r="BP1164" s="15"/>
      <c r="BQ1164" s="15"/>
      <c r="BR1164" s="15"/>
      <c r="BS1164" s="15"/>
      <c r="BT1164" s="15"/>
      <c r="BU1164" s="15"/>
      <c r="BV1164" s="15"/>
      <c r="BW1164" s="15"/>
      <c r="BX1164" s="15"/>
      <c r="BY1164" s="15"/>
      <c r="BZ1164" s="15"/>
      <c r="CA1164" s="15"/>
    </row>
    <row r="1165" spans="68:79" ht="15" customHeight="1" x14ac:dyDescent="0.3">
      <c r="BP1165" s="15"/>
      <c r="BQ1165" s="15"/>
      <c r="BR1165" s="15"/>
      <c r="BS1165" s="15"/>
      <c r="BT1165" s="15"/>
      <c r="BU1165" s="15"/>
      <c r="BV1165" s="15"/>
      <c r="BW1165" s="15"/>
      <c r="BX1165" s="15"/>
      <c r="BY1165" s="15"/>
      <c r="BZ1165" s="15"/>
      <c r="CA1165" s="15"/>
    </row>
    <row r="1166" spans="68:79" ht="15" customHeight="1" x14ac:dyDescent="0.3">
      <c r="BP1166" s="15"/>
      <c r="BQ1166" s="15"/>
      <c r="BR1166" s="15"/>
      <c r="BS1166" s="15"/>
      <c r="BT1166" s="15"/>
      <c r="BU1166" s="15"/>
      <c r="BV1166" s="15"/>
      <c r="BW1166" s="15"/>
      <c r="BX1166" s="15"/>
      <c r="BY1166" s="15"/>
      <c r="BZ1166" s="15"/>
      <c r="CA1166" s="15"/>
    </row>
    <row r="1167" spans="68:79" ht="15" customHeight="1" x14ac:dyDescent="0.3">
      <c r="BP1167" s="15"/>
      <c r="BQ1167" s="15"/>
      <c r="BR1167" s="15"/>
      <c r="BS1167" s="15"/>
      <c r="BT1167" s="15"/>
      <c r="BU1167" s="15"/>
      <c r="BV1167" s="15"/>
      <c r="BW1167" s="15"/>
      <c r="BX1167" s="15"/>
      <c r="BY1167" s="15"/>
      <c r="BZ1167" s="15"/>
      <c r="CA1167" s="15"/>
    </row>
    <row r="1168" spans="68:79" ht="15" customHeight="1" x14ac:dyDescent="0.3">
      <c r="BP1168" s="15"/>
      <c r="BQ1168" s="15"/>
      <c r="BR1168" s="15"/>
      <c r="BS1168" s="15"/>
      <c r="BT1168" s="15"/>
      <c r="BU1168" s="15"/>
      <c r="BV1168" s="15"/>
      <c r="BW1168" s="15"/>
      <c r="BX1168" s="15"/>
      <c r="BY1168" s="15"/>
      <c r="BZ1168" s="15"/>
      <c r="CA1168" s="15"/>
    </row>
    <row r="1169" spans="68:79" ht="15" customHeight="1" x14ac:dyDescent="0.3">
      <c r="BP1169" s="15"/>
      <c r="BQ1169" s="15"/>
      <c r="BR1169" s="15"/>
      <c r="BS1169" s="15"/>
      <c r="BT1169" s="15"/>
      <c r="BU1169" s="15"/>
      <c r="BV1169" s="15"/>
      <c r="BW1169" s="15"/>
      <c r="BX1169" s="15"/>
      <c r="BY1169" s="15"/>
      <c r="BZ1169" s="15"/>
      <c r="CA1169" s="15"/>
    </row>
    <row r="1170" spans="68:79" ht="15" customHeight="1" x14ac:dyDescent="0.3">
      <c r="BP1170" s="15"/>
      <c r="BQ1170" s="15"/>
      <c r="BR1170" s="15"/>
      <c r="BS1170" s="15"/>
      <c r="BT1170" s="15"/>
      <c r="BU1170" s="15"/>
      <c r="BV1170" s="15"/>
      <c r="BW1170" s="15"/>
      <c r="BX1170" s="15"/>
      <c r="BY1170" s="15"/>
      <c r="BZ1170" s="15"/>
      <c r="CA1170" s="15"/>
    </row>
    <row r="1171" spans="68:79" ht="15" customHeight="1" x14ac:dyDescent="0.3">
      <c r="BP1171" s="15"/>
      <c r="BQ1171" s="15"/>
      <c r="BR1171" s="15"/>
      <c r="BS1171" s="15"/>
      <c r="BT1171" s="15"/>
      <c r="BU1171" s="15"/>
      <c r="BV1171" s="15"/>
      <c r="BW1171" s="15"/>
      <c r="BX1171" s="15"/>
      <c r="BY1171" s="15"/>
      <c r="BZ1171" s="15"/>
      <c r="CA1171" s="15"/>
    </row>
    <row r="1172" spans="68:79" ht="15" customHeight="1" x14ac:dyDescent="0.3">
      <c r="BP1172" s="15"/>
      <c r="BQ1172" s="15"/>
      <c r="BR1172" s="15"/>
      <c r="BS1172" s="15"/>
      <c r="BT1172" s="15"/>
      <c r="BU1172" s="15"/>
      <c r="BV1172" s="15"/>
      <c r="BW1172" s="15"/>
      <c r="BX1172" s="15"/>
      <c r="BY1172" s="15"/>
      <c r="BZ1172" s="15"/>
      <c r="CA1172" s="15"/>
    </row>
    <row r="1173" spans="68:79" ht="15" customHeight="1" x14ac:dyDescent="0.3">
      <c r="BP1173" s="15"/>
      <c r="BQ1173" s="15"/>
      <c r="BR1173" s="15"/>
      <c r="BS1173" s="15"/>
      <c r="BT1173" s="15"/>
      <c r="BU1173" s="15"/>
      <c r="BV1173" s="15"/>
      <c r="BW1173" s="15"/>
      <c r="BX1173" s="15"/>
      <c r="BY1173" s="15"/>
      <c r="BZ1173" s="15"/>
      <c r="CA1173" s="15"/>
    </row>
    <row r="1174" spans="68:79" ht="15" customHeight="1" x14ac:dyDescent="0.3">
      <c r="BP1174" s="15"/>
      <c r="BQ1174" s="15"/>
      <c r="BR1174" s="15"/>
      <c r="BS1174" s="15"/>
      <c r="BT1174" s="15"/>
      <c r="BU1174" s="15"/>
      <c r="BV1174" s="15"/>
      <c r="BW1174" s="15"/>
      <c r="BX1174" s="15"/>
      <c r="BY1174" s="15"/>
      <c r="BZ1174" s="15"/>
      <c r="CA1174" s="15"/>
    </row>
    <row r="1175" spans="68:79" ht="15" customHeight="1" x14ac:dyDescent="0.3">
      <c r="BP1175" s="15"/>
      <c r="BQ1175" s="15"/>
      <c r="BR1175" s="15"/>
      <c r="BS1175" s="15"/>
      <c r="BT1175" s="15"/>
      <c r="BU1175" s="15"/>
      <c r="BV1175" s="15"/>
      <c r="BW1175" s="15"/>
      <c r="BX1175" s="15"/>
      <c r="BY1175" s="15"/>
      <c r="BZ1175" s="15"/>
      <c r="CA1175" s="15"/>
    </row>
    <row r="1176" spans="68:79" ht="15" customHeight="1" x14ac:dyDescent="0.3">
      <c r="BP1176" s="15"/>
      <c r="BQ1176" s="15"/>
      <c r="BR1176" s="15"/>
      <c r="BS1176" s="15"/>
      <c r="BT1176" s="15"/>
      <c r="BU1176" s="15"/>
      <c r="BV1176" s="15"/>
      <c r="BW1176" s="15"/>
      <c r="BX1176" s="15"/>
      <c r="BY1176" s="15"/>
      <c r="BZ1176" s="15"/>
      <c r="CA1176" s="15"/>
    </row>
    <row r="1177" spans="68:79" ht="15" customHeight="1" x14ac:dyDescent="0.3">
      <c r="BP1177" s="15"/>
      <c r="BQ1177" s="15"/>
      <c r="BR1177" s="15"/>
      <c r="BS1177" s="15"/>
      <c r="BT1177" s="15"/>
      <c r="BU1177" s="15"/>
      <c r="BV1177" s="15"/>
      <c r="BW1177" s="15"/>
      <c r="BX1177" s="15"/>
      <c r="BY1177" s="15"/>
      <c r="BZ1177" s="15"/>
      <c r="CA1177" s="15"/>
    </row>
    <row r="1178" spans="68:79" ht="15" customHeight="1" x14ac:dyDescent="0.3">
      <c r="BP1178" s="15"/>
      <c r="BQ1178" s="15"/>
      <c r="BR1178" s="15"/>
      <c r="BS1178" s="15"/>
      <c r="BT1178" s="15"/>
      <c r="BU1178" s="15"/>
      <c r="BV1178" s="15"/>
      <c r="BW1178" s="15"/>
      <c r="BX1178" s="15"/>
      <c r="BY1178" s="15"/>
      <c r="BZ1178" s="15"/>
      <c r="CA1178" s="15"/>
    </row>
    <row r="1179" spans="68:79" ht="15" customHeight="1" x14ac:dyDescent="0.3">
      <c r="BP1179" s="15"/>
      <c r="BQ1179" s="15"/>
      <c r="BR1179" s="15"/>
      <c r="BS1179" s="15"/>
      <c r="BT1179" s="15"/>
      <c r="BU1179" s="15"/>
      <c r="BV1179" s="15"/>
      <c r="BW1179" s="15"/>
      <c r="BX1179" s="15"/>
      <c r="BY1179" s="15"/>
      <c r="BZ1179" s="15"/>
      <c r="CA1179" s="15"/>
    </row>
    <row r="1180" spans="68:79" ht="15" customHeight="1" x14ac:dyDescent="0.3">
      <c r="BP1180" s="15"/>
      <c r="BQ1180" s="15"/>
      <c r="BR1180" s="15"/>
      <c r="BS1180" s="15"/>
      <c r="BT1180" s="15"/>
      <c r="BU1180" s="15"/>
      <c r="BV1180" s="15"/>
      <c r="BW1180" s="15"/>
      <c r="BX1180" s="15"/>
      <c r="BY1180" s="15"/>
      <c r="BZ1180" s="15"/>
      <c r="CA1180" s="15"/>
    </row>
    <row r="1181" spans="68:79" ht="15" customHeight="1" x14ac:dyDescent="0.3">
      <c r="BP1181" s="15"/>
      <c r="BQ1181" s="15"/>
      <c r="BR1181" s="15"/>
      <c r="BS1181" s="15"/>
      <c r="BT1181" s="15"/>
      <c r="BU1181" s="15"/>
      <c r="BV1181" s="15"/>
      <c r="BW1181" s="15"/>
      <c r="BX1181" s="15"/>
      <c r="BY1181" s="15"/>
      <c r="BZ1181" s="15"/>
      <c r="CA1181" s="15"/>
    </row>
    <row r="1182" spans="68:79" ht="15" customHeight="1" x14ac:dyDescent="0.3">
      <c r="BP1182" s="15"/>
      <c r="BQ1182" s="15"/>
      <c r="BR1182" s="15"/>
      <c r="BS1182" s="15"/>
      <c r="BT1182" s="15"/>
      <c r="BU1182" s="15"/>
      <c r="BV1182" s="15"/>
      <c r="BW1182" s="15"/>
      <c r="BX1182" s="15"/>
      <c r="BY1182" s="15"/>
      <c r="BZ1182" s="15"/>
      <c r="CA1182" s="15"/>
    </row>
    <row r="1183" spans="68:79" ht="15" customHeight="1" x14ac:dyDescent="0.3">
      <c r="BP1183" s="15"/>
      <c r="BQ1183" s="15"/>
      <c r="BR1183" s="15"/>
      <c r="BS1183" s="15"/>
      <c r="BT1183" s="15"/>
      <c r="BU1183" s="15"/>
      <c r="BV1183" s="15"/>
      <c r="BW1183" s="15"/>
      <c r="BX1183" s="15"/>
      <c r="BY1183" s="15"/>
      <c r="BZ1183" s="15"/>
      <c r="CA1183" s="15"/>
    </row>
    <row r="1184" spans="68:79" ht="15" customHeight="1" x14ac:dyDescent="0.3">
      <c r="BP1184" s="15"/>
      <c r="BQ1184" s="15"/>
      <c r="BR1184" s="15"/>
      <c r="BS1184" s="15"/>
      <c r="BT1184" s="15"/>
      <c r="BU1184" s="15"/>
      <c r="BV1184" s="15"/>
      <c r="BW1184" s="15"/>
      <c r="BX1184" s="15"/>
      <c r="BY1184" s="15"/>
      <c r="BZ1184" s="15"/>
      <c r="CA1184" s="15"/>
    </row>
    <row r="1185" spans="68:79" ht="15" customHeight="1" x14ac:dyDescent="0.3">
      <c r="BP1185" s="15"/>
      <c r="BQ1185" s="15"/>
      <c r="BR1185" s="15"/>
      <c r="BS1185" s="15"/>
      <c r="BT1185" s="15"/>
      <c r="BU1185" s="15"/>
      <c r="BV1185" s="15"/>
      <c r="BW1185" s="15"/>
      <c r="BX1185" s="15"/>
      <c r="BY1185" s="15"/>
      <c r="BZ1185" s="15"/>
      <c r="CA1185" s="15"/>
    </row>
    <row r="1186" spans="68:79" ht="15" customHeight="1" x14ac:dyDescent="0.3">
      <c r="BP1186" s="15"/>
      <c r="BQ1186" s="15"/>
      <c r="BR1186" s="15"/>
      <c r="BS1186" s="15"/>
      <c r="BT1186" s="15"/>
      <c r="BU1186" s="15"/>
      <c r="BV1186" s="15"/>
      <c r="BW1186" s="15"/>
      <c r="BX1186" s="15"/>
      <c r="BY1186" s="15"/>
      <c r="BZ1186" s="15"/>
      <c r="CA1186" s="15"/>
    </row>
    <row r="1187" spans="68:79" ht="15" customHeight="1" x14ac:dyDescent="0.3">
      <c r="BP1187" s="15"/>
      <c r="BQ1187" s="15"/>
      <c r="BR1187" s="15"/>
      <c r="BS1187" s="15"/>
      <c r="BT1187" s="15"/>
      <c r="BU1187" s="15"/>
      <c r="BV1187" s="15"/>
      <c r="BW1187" s="15"/>
      <c r="BX1187" s="15"/>
      <c r="BY1187" s="15"/>
      <c r="BZ1187" s="15"/>
      <c r="CA1187" s="15"/>
    </row>
    <row r="1188" spans="68:79" ht="15" customHeight="1" x14ac:dyDescent="0.3">
      <c r="BP1188" s="15"/>
      <c r="BQ1188" s="15"/>
      <c r="BR1188" s="15"/>
      <c r="BS1188" s="15"/>
      <c r="BT1188" s="15"/>
      <c r="BU1188" s="15"/>
      <c r="BV1188" s="15"/>
      <c r="BW1188" s="15"/>
      <c r="BX1188" s="15"/>
      <c r="BY1188" s="15"/>
      <c r="BZ1188" s="15"/>
      <c r="CA1188" s="15"/>
    </row>
    <row r="1189" spans="68:79" ht="15" customHeight="1" x14ac:dyDescent="0.3">
      <c r="BP1189" s="15"/>
      <c r="BQ1189" s="15"/>
      <c r="BR1189" s="15"/>
      <c r="BS1189" s="15"/>
      <c r="BT1189" s="15"/>
      <c r="BU1189" s="15"/>
      <c r="BV1189" s="15"/>
      <c r="BW1189" s="15"/>
      <c r="BX1189" s="15"/>
      <c r="BY1189" s="15"/>
      <c r="BZ1189" s="15"/>
      <c r="CA1189" s="15"/>
    </row>
    <row r="1190" spans="68:79" ht="15" customHeight="1" x14ac:dyDescent="0.3">
      <c r="BP1190" s="15"/>
      <c r="BQ1190" s="15"/>
      <c r="BR1190" s="15"/>
      <c r="BS1190" s="15"/>
      <c r="BT1190" s="15"/>
      <c r="BU1190" s="15"/>
      <c r="BV1190" s="15"/>
      <c r="BW1190" s="15"/>
      <c r="BX1190" s="15"/>
      <c r="BY1190" s="15"/>
      <c r="BZ1190" s="15"/>
      <c r="CA1190" s="15"/>
    </row>
    <row r="1191" spans="68:79" ht="15" customHeight="1" x14ac:dyDescent="0.3">
      <c r="BP1191" s="15"/>
      <c r="BQ1191" s="15"/>
      <c r="BR1191" s="15"/>
      <c r="BS1191" s="15"/>
      <c r="BT1191" s="15"/>
      <c r="BU1191" s="15"/>
      <c r="BV1191" s="15"/>
      <c r="BW1191" s="15"/>
      <c r="BX1191" s="15"/>
      <c r="BY1191" s="15"/>
      <c r="BZ1191" s="15"/>
      <c r="CA1191" s="15"/>
    </row>
    <row r="1192" spans="68:79" ht="15" customHeight="1" x14ac:dyDescent="0.3">
      <c r="BP1192" s="15"/>
      <c r="BQ1192" s="15"/>
      <c r="BR1192" s="15"/>
      <c r="BS1192" s="15"/>
      <c r="BT1192" s="15"/>
      <c r="BU1192" s="15"/>
      <c r="BV1192" s="15"/>
      <c r="BW1192" s="15"/>
      <c r="BX1192" s="15"/>
      <c r="BY1192" s="15"/>
      <c r="BZ1192" s="15"/>
      <c r="CA1192" s="15"/>
    </row>
    <row r="1193" spans="68:79" ht="15" customHeight="1" x14ac:dyDescent="0.3">
      <c r="BP1193" s="15"/>
      <c r="BQ1193" s="15"/>
      <c r="BR1193" s="15"/>
      <c r="BS1193" s="15"/>
      <c r="BT1193" s="15"/>
      <c r="BU1193" s="15"/>
      <c r="BV1193" s="15"/>
      <c r="BW1193" s="15"/>
      <c r="BX1193" s="15"/>
      <c r="BY1193" s="15"/>
      <c r="BZ1193" s="15"/>
      <c r="CA1193" s="15"/>
    </row>
    <row r="1194" spans="68:79" ht="15" customHeight="1" x14ac:dyDescent="0.3">
      <c r="BP1194" s="15"/>
      <c r="BQ1194" s="15"/>
      <c r="BR1194" s="15"/>
      <c r="BS1194" s="15"/>
      <c r="BT1194" s="15"/>
      <c r="BU1194" s="15"/>
      <c r="BV1194" s="15"/>
      <c r="BW1194" s="15"/>
      <c r="BX1194" s="15"/>
      <c r="BY1194" s="15"/>
      <c r="BZ1194" s="15"/>
      <c r="CA1194" s="15"/>
    </row>
    <row r="1195" spans="68:79" ht="15" customHeight="1" x14ac:dyDescent="0.3">
      <c r="BP1195" s="15"/>
      <c r="BQ1195" s="15"/>
      <c r="BR1195" s="15"/>
      <c r="BS1195" s="15"/>
      <c r="BT1195" s="15"/>
      <c r="BU1195" s="15"/>
      <c r="BV1195" s="15"/>
      <c r="BW1195" s="15"/>
      <c r="BX1195" s="15"/>
      <c r="BY1195" s="15"/>
      <c r="BZ1195" s="15"/>
      <c r="CA1195" s="15"/>
    </row>
    <row r="1196" spans="68:79" ht="15" customHeight="1" x14ac:dyDescent="0.3">
      <c r="BP1196" s="15"/>
      <c r="BQ1196" s="15"/>
      <c r="BR1196" s="15"/>
      <c r="BS1196" s="15"/>
      <c r="BT1196" s="15"/>
      <c r="BU1196" s="15"/>
      <c r="BV1196" s="15"/>
      <c r="BW1196" s="15"/>
      <c r="BX1196" s="15"/>
      <c r="BY1196" s="15"/>
      <c r="BZ1196" s="15"/>
      <c r="CA1196" s="15"/>
    </row>
    <row r="1197" spans="68:79" ht="15" customHeight="1" x14ac:dyDescent="0.3">
      <c r="BP1197" s="15"/>
      <c r="BQ1197" s="15"/>
      <c r="BR1197" s="15"/>
      <c r="BS1197" s="15"/>
      <c r="BT1197" s="15"/>
      <c r="BU1197" s="15"/>
      <c r="BV1197" s="15"/>
      <c r="BW1197" s="15"/>
      <c r="BX1197" s="15"/>
      <c r="BY1197" s="15"/>
      <c r="BZ1197" s="15"/>
      <c r="CA1197" s="15"/>
    </row>
    <row r="1198" spans="68:79" ht="15" customHeight="1" x14ac:dyDescent="0.3">
      <c r="BP1198" s="15"/>
      <c r="BQ1198" s="15"/>
      <c r="BR1198" s="15"/>
      <c r="BS1198" s="15"/>
      <c r="BT1198" s="15"/>
      <c r="BU1198" s="15"/>
      <c r="BV1198" s="15"/>
      <c r="BW1198" s="15"/>
      <c r="BX1198" s="15"/>
      <c r="BY1198" s="15"/>
      <c r="BZ1198" s="15"/>
      <c r="CA1198" s="15"/>
    </row>
    <row r="1199" spans="68:79" ht="15" customHeight="1" x14ac:dyDescent="0.3">
      <c r="BP1199" s="15"/>
      <c r="BQ1199" s="15"/>
      <c r="BR1199" s="15"/>
      <c r="BS1199" s="15"/>
      <c r="BT1199" s="15"/>
      <c r="BU1199" s="15"/>
      <c r="BV1199" s="15"/>
      <c r="BW1199" s="15"/>
      <c r="BX1199" s="15"/>
      <c r="BY1199" s="15"/>
      <c r="BZ1199" s="15"/>
      <c r="CA1199" s="15"/>
    </row>
    <row r="1200" spans="68:79" ht="15" customHeight="1" x14ac:dyDescent="0.3">
      <c r="BP1200" s="15"/>
      <c r="BQ1200" s="15"/>
      <c r="BR1200" s="15"/>
      <c r="BS1200" s="15"/>
      <c r="BT1200" s="15"/>
      <c r="BU1200" s="15"/>
      <c r="BV1200" s="15"/>
      <c r="BW1200" s="15"/>
      <c r="BX1200" s="15"/>
      <c r="BY1200" s="15"/>
      <c r="BZ1200" s="15"/>
      <c r="CA1200" s="15"/>
    </row>
    <row r="1201" spans="68:79" ht="15" customHeight="1" x14ac:dyDescent="0.3">
      <c r="BP1201" s="15"/>
      <c r="BQ1201" s="15"/>
      <c r="BR1201" s="15"/>
      <c r="BS1201" s="15"/>
      <c r="BT1201" s="15"/>
      <c r="BU1201" s="15"/>
      <c r="BV1201" s="15"/>
      <c r="BW1201" s="15"/>
      <c r="BX1201" s="15"/>
      <c r="BY1201" s="15"/>
      <c r="BZ1201" s="15"/>
      <c r="CA1201" s="15"/>
    </row>
    <row r="1202" spans="68:79" ht="15" customHeight="1" x14ac:dyDescent="0.3">
      <c r="BP1202" s="15"/>
      <c r="BQ1202" s="15"/>
      <c r="BR1202" s="15"/>
      <c r="BS1202" s="15"/>
      <c r="BT1202" s="15"/>
      <c r="BU1202" s="15"/>
      <c r="BV1202" s="15"/>
      <c r="BW1202" s="15"/>
      <c r="BX1202" s="15"/>
      <c r="BY1202" s="15"/>
      <c r="BZ1202" s="15"/>
      <c r="CA1202" s="15"/>
    </row>
    <row r="1203" spans="68:79" ht="15" customHeight="1" x14ac:dyDescent="0.3">
      <c r="BP1203" s="15"/>
      <c r="BQ1203" s="15"/>
      <c r="BR1203" s="15"/>
      <c r="BS1203" s="15"/>
      <c r="BT1203" s="15"/>
      <c r="BU1203" s="15"/>
      <c r="BV1203" s="15"/>
      <c r="BW1203" s="15"/>
      <c r="BX1203" s="15"/>
      <c r="BY1203" s="15"/>
      <c r="BZ1203" s="15"/>
      <c r="CA1203" s="15"/>
    </row>
    <row r="1204" spans="68:79" ht="15" customHeight="1" x14ac:dyDescent="0.3">
      <c r="BP1204" s="15"/>
      <c r="BQ1204" s="15"/>
      <c r="BR1204" s="15"/>
      <c r="BS1204" s="15"/>
      <c r="BT1204" s="15"/>
      <c r="BU1204" s="15"/>
      <c r="BV1204" s="15"/>
      <c r="BW1204" s="15"/>
      <c r="BX1204" s="15"/>
      <c r="BY1204" s="15"/>
      <c r="BZ1204" s="15"/>
      <c r="CA1204" s="15"/>
    </row>
    <row r="1205" spans="68:79" ht="15" customHeight="1" x14ac:dyDescent="0.3">
      <c r="BP1205" s="15"/>
      <c r="BQ1205" s="15"/>
      <c r="BR1205" s="15"/>
      <c r="BS1205" s="15"/>
      <c r="BT1205" s="15"/>
      <c r="BU1205" s="15"/>
      <c r="BV1205" s="15"/>
      <c r="BW1205" s="15"/>
      <c r="BX1205" s="15"/>
      <c r="BY1205" s="15"/>
      <c r="BZ1205" s="15"/>
      <c r="CA1205" s="15"/>
    </row>
    <row r="1206" spans="68:79" ht="15" customHeight="1" x14ac:dyDescent="0.3">
      <c r="BP1206" s="15"/>
      <c r="BQ1206" s="15"/>
      <c r="BR1206" s="15"/>
      <c r="BS1206" s="15"/>
      <c r="BT1206" s="15"/>
      <c r="BU1206" s="15"/>
      <c r="BV1206" s="15"/>
      <c r="BW1206" s="15"/>
      <c r="BX1206" s="15"/>
      <c r="BY1206" s="15"/>
      <c r="BZ1206" s="15"/>
      <c r="CA1206" s="15"/>
    </row>
    <row r="1207" spans="68:79" ht="15" customHeight="1" x14ac:dyDescent="0.3">
      <c r="BP1207" s="15"/>
      <c r="BQ1207" s="15"/>
      <c r="BR1207" s="15"/>
      <c r="BS1207" s="15"/>
      <c r="BT1207" s="15"/>
      <c r="BU1207" s="15"/>
      <c r="BV1207" s="15"/>
      <c r="BW1207" s="15"/>
      <c r="BX1207" s="15"/>
      <c r="BY1207" s="15"/>
      <c r="BZ1207" s="15"/>
      <c r="CA1207" s="15"/>
    </row>
    <row r="1208" spans="68:79" ht="15" customHeight="1" x14ac:dyDescent="0.3">
      <c r="BP1208" s="15"/>
      <c r="BQ1208" s="15"/>
      <c r="BR1208" s="15"/>
      <c r="BS1208" s="15"/>
      <c r="BT1208" s="15"/>
      <c r="BU1208" s="15"/>
      <c r="BV1208" s="15"/>
      <c r="BW1208" s="15"/>
      <c r="BX1208" s="15"/>
      <c r="BY1208" s="15"/>
      <c r="BZ1208" s="15"/>
      <c r="CA1208" s="15"/>
    </row>
    <row r="1209" spans="68:79" ht="15" customHeight="1" x14ac:dyDescent="0.3">
      <c r="BP1209" s="15"/>
      <c r="BQ1209" s="15"/>
      <c r="BR1209" s="15"/>
      <c r="BS1209" s="15"/>
      <c r="BT1209" s="15"/>
      <c r="BU1209" s="15"/>
      <c r="BV1209" s="15"/>
      <c r="BW1209" s="15"/>
      <c r="BX1209" s="15"/>
      <c r="BY1209" s="15"/>
      <c r="BZ1209" s="15"/>
      <c r="CA1209" s="15"/>
    </row>
    <row r="1210" spans="68:79" ht="15" customHeight="1" x14ac:dyDescent="0.3">
      <c r="BP1210" s="15"/>
      <c r="BQ1210" s="15"/>
      <c r="BR1210" s="15"/>
      <c r="BS1210" s="15"/>
      <c r="BT1210" s="15"/>
      <c r="BU1210" s="15"/>
      <c r="BV1210" s="15"/>
      <c r="BW1210" s="15"/>
      <c r="BX1210" s="15"/>
      <c r="BY1210" s="15"/>
      <c r="BZ1210" s="15"/>
      <c r="CA1210" s="15"/>
    </row>
    <row r="1211" spans="68:79" ht="15" customHeight="1" x14ac:dyDescent="0.3">
      <c r="BP1211" s="15"/>
      <c r="BQ1211" s="15"/>
      <c r="BR1211" s="15"/>
      <c r="BS1211" s="15"/>
      <c r="BT1211" s="15"/>
      <c r="BU1211" s="15"/>
      <c r="BV1211" s="15"/>
      <c r="BW1211" s="15"/>
      <c r="BX1211" s="15"/>
      <c r="BY1211" s="15"/>
      <c r="BZ1211" s="15"/>
      <c r="CA1211" s="15"/>
    </row>
    <row r="1212" spans="68:79" ht="15" customHeight="1" x14ac:dyDescent="0.3">
      <c r="BP1212" s="15"/>
      <c r="BQ1212" s="15"/>
      <c r="BR1212" s="15"/>
      <c r="BS1212" s="15"/>
      <c r="BT1212" s="15"/>
      <c r="BU1212" s="15"/>
      <c r="BV1212" s="15"/>
      <c r="BW1212" s="15"/>
      <c r="BX1212" s="15"/>
      <c r="BY1212" s="15"/>
      <c r="BZ1212" s="15"/>
      <c r="CA1212" s="15"/>
    </row>
    <row r="1213" spans="68:79" ht="15" customHeight="1" x14ac:dyDescent="0.3">
      <c r="BP1213" s="15"/>
      <c r="BQ1213" s="15"/>
      <c r="BR1213" s="15"/>
      <c r="BS1213" s="15"/>
      <c r="BT1213" s="15"/>
      <c r="BU1213" s="15"/>
      <c r="BV1213" s="15"/>
      <c r="BW1213" s="15"/>
      <c r="BX1213" s="15"/>
      <c r="BY1213" s="15"/>
      <c r="BZ1213" s="15"/>
      <c r="CA1213" s="15"/>
    </row>
    <row r="1214" spans="68:79" ht="15" customHeight="1" x14ac:dyDescent="0.3">
      <c r="BP1214" s="15"/>
      <c r="BQ1214" s="15"/>
      <c r="BR1214" s="15"/>
      <c r="BS1214" s="15"/>
      <c r="BT1214" s="15"/>
      <c r="BU1214" s="15"/>
      <c r="BV1214" s="15"/>
      <c r="BW1214" s="15"/>
      <c r="BX1214" s="15"/>
      <c r="BY1214" s="15"/>
      <c r="BZ1214" s="15"/>
      <c r="CA1214" s="15"/>
    </row>
    <row r="1215" spans="68:79" ht="15" customHeight="1" x14ac:dyDescent="0.3">
      <c r="BP1215" s="15"/>
      <c r="BQ1215" s="15"/>
      <c r="BR1215" s="15"/>
      <c r="BS1215" s="15"/>
      <c r="BT1215" s="15"/>
      <c r="BU1215" s="15"/>
      <c r="BV1215" s="15"/>
      <c r="BW1215" s="15"/>
      <c r="BX1215" s="15"/>
      <c r="BY1215" s="15"/>
      <c r="BZ1215" s="15"/>
      <c r="CA1215" s="15"/>
    </row>
    <row r="1216" spans="68:79" ht="15" customHeight="1" x14ac:dyDescent="0.3">
      <c r="BP1216" s="15"/>
      <c r="BQ1216" s="15"/>
      <c r="BR1216" s="15"/>
      <c r="BS1216" s="15"/>
      <c r="BT1216" s="15"/>
      <c r="BU1216" s="15"/>
      <c r="BV1216" s="15"/>
      <c r="BW1216" s="15"/>
      <c r="BX1216" s="15"/>
      <c r="BY1216" s="15"/>
      <c r="BZ1216" s="15"/>
      <c r="CA1216" s="15"/>
    </row>
    <row r="1217" spans="68:79" ht="15" customHeight="1" x14ac:dyDescent="0.3">
      <c r="BP1217" s="15"/>
      <c r="BQ1217" s="15"/>
      <c r="BR1217" s="15"/>
      <c r="BS1217" s="15"/>
      <c r="BT1217" s="15"/>
      <c r="BU1217" s="15"/>
      <c r="BV1217" s="15"/>
      <c r="BW1217" s="15"/>
      <c r="BX1217" s="15"/>
      <c r="BY1217" s="15"/>
      <c r="BZ1217" s="15"/>
      <c r="CA1217" s="15"/>
    </row>
    <row r="1218" spans="68:79" ht="15" customHeight="1" x14ac:dyDescent="0.3">
      <c r="BP1218" s="15"/>
      <c r="BQ1218" s="15"/>
      <c r="BR1218" s="15"/>
      <c r="BS1218" s="15"/>
      <c r="BT1218" s="15"/>
      <c r="BU1218" s="15"/>
      <c r="BV1218" s="15"/>
      <c r="BW1218" s="15"/>
      <c r="BX1218" s="15"/>
      <c r="BY1218" s="15"/>
      <c r="BZ1218" s="15"/>
      <c r="CA1218" s="15"/>
    </row>
    <row r="1219" spans="68:79" ht="15" customHeight="1" x14ac:dyDescent="0.3">
      <c r="BP1219" s="15"/>
      <c r="BQ1219" s="15"/>
      <c r="BR1219" s="15"/>
      <c r="BS1219" s="15"/>
      <c r="BT1219" s="15"/>
      <c r="BU1219" s="15"/>
      <c r="BV1219" s="15"/>
      <c r="BW1219" s="15"/>
      <c r="BX1219" s="15"/>
      <c r="BY1219" s="15"/>
      <c r="BZ1219" s="15"/>
      <c r="CA1219" s="15"/>
    </row>
    <row r="1220" spans="68:79" ht="15" customHeight="1" x14ac:dyDescent="0.3">
      <c r="BP1220" s="15"/>
      <c r="BQ1220" s="15"/>
      <c r="BR1220" s="15"/>
      <c r="BS1220" s="15"/>
      <c r="BT1220" s="15"/>
      <c r="BU1220" s="15"/>
      <c r="BV1220" s="15"/>
      <c r="BW1220" s="15"/>
      <c r="BX1220" s="15"/>
      <c r="BY1220" s="15"/>
      <c r="BZ1220" s="15"/>
      <c r="CA1220" s="15"/>
    </row>
    <row r="1221" spans="68:79" ht="15" customHeight="1" x14ac:dyDescent="0.3">
      <c r="BP1221" s="15"/>
      <c r="BQ1221" s="15"/>
      <c r="BR1221" s="15"/>
      <c r="BS1221" s="15"/>
      <c r="BT1221" s="15"/>
      <c r="BU1221" s="15"/>
      <c r="BV1221" s="15"/>
      <c r="BW1221" s="15"/>
      <c r="BX1221" s="15"/>
      <c r="BY1221" s="15"/>
      <c r="BZ1221" s="15"/>
      <c r="CA1221" s="15"/>
    </row>
    <row r="1222" spans="68:79" ht="15" customHeight="1" x14ac:dyDescent="0.3">
      <c r="BP1222" s="15"/>
      <c r="BQ1222" s="15"/>
      <c r="BR1222" s="15"/>
      <c r="BS1222" s="15"/>
      <c r="BT1222" s="15"/>
      <c r="BU1222" s="15"/>
      <c r="BV1222" s="15"/>
      <c r="BW1222" s="15"/>
      <c r="BX1222" s="15"/>
      <c r="BY1222" s="15"/>
      <c r="BZ1222" s="15"/>
      <c r="CA1222" s="15"/>
    </row>
    <row r="1223" spans="68:79" ht="15" customHeight="1" x14ac:dyDescent="0.3">
      <c r="BP1223" s="15"/>
      <c r="BQ1223" s="15"/>
      <c r="BR1223" s="15"/>
      <c r="BS1223" s="15"/>
      <c r="BT1223" s="15"/>
      <c r="BU1223" s="15"/>
      <c r="BV1223" s="15"/>
      <c r="BW1223" s="15"/>
      <c r="BX1223" s="15"/>
      <c r="BY1223" s="15"/>
      <c r="BZ1223" s="15"/>
      <c r="CA1223" s="15"/>
    </row>
    <row r="1224" spans="68:79" ht="15" customHeight="1" x14ac:dyDescent="0.3">
      <c r="BP1224" s="15"/>
      <c r="BQ1224" s="15"/>
      <c r="BR1224" s="15"/>
      <c r="BS1224" s="15"/>
      <c r="BT1224" s="15"/>
      <c r="BU1224" s="15"/>
      <c r="BV1224" s="15"/>
      <c r="BW1224" s="15"/>
      <c r="BX1224" s="15"/>
      <c r="BY1224" s="15"/>
      <c r="BZ1224" s="15"/>
      <c r="CA1224" s="15"/>
    </row>
    <row r="1225" spans="68:79" ht="15" customHeight="1" x14ac:dyDescent="0.3">
      <c r="BP1225" s="15"/>
      <c r="BQ1225" s="15"/>
      <c r="BR1225" s="15"/>
      <c r="BS1225" s="15"/>
      <c r="BT1225" s="15"/>
      <c r="BU1225" s="15"/>
      <c r="BV1225" s="15"/>
      <c r="BW1225" s="15"/>
      <c r="BX1225" s="15"/>
      <c r="BY1225" s="15"/>
      <c r="BZ1225" s="15"/>
      <c r="CA1225" s="15"/>
    </row>
    <row r="1226" spans="68:79" ht="15" customHeight="1" x14ac:dyDescent="0.3">
      <c r="BP1226" s="15"/>
      <c r="BQ1226" s="15"/>
      <c r="BR1226" s="15"/>
      <c r="BS1226" s="15"/>
      <c r="BT1226" s="15"/>
      <c r="BU1226" s="15"/>
      <c r="BV1226" s="15"/>
      <c r="BW1226" s="15"/>
      <c r="BX1226" s="15"/>
      <c r="BY1226" s="15"/>
      <c r="BZ1226" s="15"/>
      <c r="CA1226" s="15"/>
    </row>
    <row r="1227" spans="68:79" ht="15" customHeight="1" x14ac:dyDescent="0.3">
      <c r="BP1227" s="15"/>
      <c r="BQ1227" s="15"/>
      <c r="BR1227" s="15"/>
      <c r="BS1227" s="15"/>
      <c r="BT1227" s="15"/>
      <c r="BU1227" s="15"/>
      <c r="BV1227" s="15"/>
      <c r="BW1227" s="15"/>
      <c r="BX1227" s="15"/>
      <c r="BY1227" s="15"/>
      <c r="BZ1227" s="15"/>
      <c r="CA1227" s="15"/>
    </row>
    <row r="1228" spans="68:79" ht="15" customHeight="1" x14ac:dyDescent="0.3">
      <c r="BP1228" s="15"/>
      <c r="BQ1228" s="15"/>
      <c r="BR1228" s="15"/>
      <c r="BS1228" s="15"/>
      <c r="BT1228" s="15"/>
      <c r="BU1228" s="15"/>
      <c r="BV1228" s="15"/>
      <c r="BW1228" s="15"/>
      <c r="BX1228" s="15"/>
      <c r="BY1228" s="15"/>
      <c r="BZ1228" s="15"/>
      <c r="CA1228" s="15"/>
    </row>
    <row r="1229" spans="68:79" ht="15" customHeight="1" x14ac:dyDescent="0.3">
      <c r="BP1229" s="15"/>
      <c r="BQ1229" s="15"/>
      <c r="BR1229" s="15"/>
      <c r="BS1229" s="15"/>
      <c r="BT1229" s="15"/>
      <c r="BU1229" s="15"/>
      <c r="BV1229" s="15"/>
      <c r="BW1229" s="15"/>
      <c r="BX1229" s="15"/>
      <c r="BY1229" s="15"/>
      <c r="BZ1229" s="15"/>
      <c r="CA1229" s="15"/>
    </row>
    <row r="1230" spans="68:79" ht="15" customHeight="1" x14ac:dyDescent="0.3">
      <c r="BP1230" s="15"/>
      <c r="BQ1230" s="15"/>
      <c r="BR1230" s="15"/>
      <c r="BS1230" s="15"/>
      <c r="BT1230" s="15"/>
      <c r="BU1230" s="15"/>
      <c r="BV1230" s="15"/>
      <c r="BW1230" s="15"/>
      <c r="BX1230" s="15"/>
      <c r="BY1230" s="15"/>
      <c r="BZ1230" s="15"/>
      <c r="CA1230" s="15"/>
    </row>
    <row r="1231" spans="68:79" ht="15" customHeight="1" x14ac:dyDescent="0.3">
      <c r="BP1231" s="15"/>
      <c r="BQ1231" s="15"/>
      <c r="BR1231" s="15"/>
      <c r="BS1231" s="15"/>
      <c r="BT1231" s="15"/>
      <c r="BU1231" s="15"/>
      <c r="BV1231" s="15"/>
      <c r="BW1231" s="15"/>
      <c r="BX1231" s="15"/>
      <c r="BY1231" s="15"/>
      <c r="BZ1231" s="15"/>
      <c r="CA1231" s="15"/>
    </row>
    <row r="1232" spans="68:79" ht="15" customHeight="1" x14ac:dyDescent="0.3">
      <c r="BP1232" s="15"/>
      <c r="BQ1232" s="15"/>
      <c r="BR1232" s="15"/>
      <c r="BS1232" s="15"/>
      <c r="BT1232" s="15"/>
      <c r="BU1232" s="15"/>
      <c r="BV1232" s="15"/>
      <c r="BW1232" s="15"/>
      <c r="BX1232" s="15"/>
      <c r="BY1232" s="15"/>
      <c r="BZ1232" s="15"/>
      <c r="CA1232" s="15"/>
    </row>
    <row r="1233" spans="68:79" ht="15" customHeight="1" x14ac:dyDescent="0.3">
      <c r="BP1233" s="15"/>
      <c r="BQ1233" s="15"/>
      <c r="BR1233" s="15"/>
      <c r="BS1233" s="15"/>
      <c r="BT1233" s="15"/>
      <c r="BU1233" s="15"/>
      <c r="BV1233" s="15"/>
      <c r="BW1233" s="15"/>
      <c r="BX1233" s="15"/>
      <c r="BY1233" s="15"/>
      <c r="BZ1233" s="15"/>
      <c r="CA1233" s="15"/>
    </row>
    <row r="1234" spans="68:79" ht="15" customHeight="1" x14ac:dyDescent="0.3">
      <c r="BP1234" s="15"/>
      <c r="BQ1234" s="15"/>
      <c r="BR1234" s="15"/>
      <c r="BS1234" s="15"/>
      <c r="BT1234" s="15"/>
      <c r="BU1234" s="15"/>
      <c r="BV1234" s="15"/>
      <c r="BW1234" s="15"/>
      <c r="BX1234" s="15"/>
      <c r="BY1234" s="15"/>
      <c r="BZ1234" s="15"/>
      <c r="CA1234" s="15"/>
    </row>
    <row r="1235" spans="68:79" ht="15" customHeight="1" x14ac:dyDescent="0.3">
      <c r="BP1235" s="15"/>
      <c r="BQ1235" s="15"/>
      <c r="BR1235" s="15"/>
      <c r="BS1235" s="15"/>
      <c r="BT1235" s="15"/>
      <c r="BU1235" s="15"/>
      <c r="BV1235" s="15"/>
      <c r="BW1235" s="15"/>
      <c r="BX1235" s="15"/>
      <c r="BY1235" s="15"/>
      <c r="BZ1235" s="15"/>
      <c r="CA1235" s="15"/>
    </row>
    <row r="1236" spans="68:79" ht="15" customHeight="1" x14ac:dyDescent="0.3">
      <c r="BP1236" s="15"/>
      <c r="BQ1236" s="15"/>
      <c r="BR1236" s="15"/>
      <c r="BS1236" s="15"/>
      <c r="BT1236" s="15"/>
      <c r="BU1236" s="15"/>
      <c r="BV1236" s="15"/>
      <c r="BW1236" s="15"/>
      <c r="BX1236" s="15"/>
      <c r="BY1236" s="15"/>
      <c r="BZ1236" s="15"/>
      <c r="CA1236" s="15"/>
    </row>
    <row r="1237" spans="68:79" ht="15" customHeight="1" x14ac:dyDescent="0.3">
      <c r="BP1237" s="15"/>
      <c r="BQ1237" s="15"/>
      <c r="BR1237" s="15"/>
      <c r="BS1237" s="15"/>
      <c r="BT1237" s="15"/>
      <c r="BU1237" s="15"/>
      <c r="BV1237" s="15"/>
      <c r="BW1237" s="15"/>
      <c r="BX1237" s="15"/>
      <c r="BY1237" s="15"/>
      <c r="BZ1237" s="15"/>
      <c r="CA1237" s="15"/>
    </row>
    <row r="1238" spans="68:79" ht="15" customHeight="1" x14ac:dyDescent="0.3">
      <c r="BP1238" s="15"/>
      <c r="BQ1238" s="15"/>
      <c r="BR1238" s="15"/>
      <c r="BS1238" s="15"/>
      <c r="BT1238" s="15"/>
      <c r="BU1238" s="15"/>
      <c r="BV1238" s="15"/>
      <c r="BW1238" s="15"/>
      <c r="BX1238" s="15"/>
      <c r="BY1238" s="15"/>
      <c r="BZ1238" s="15"/>
      <c r="CA1238" s="15"/>
    </row>
    <row r="1239" spans="68:79" ht="15" customHeight="1" x14ac:dyDescent="0.3">
      <c r="BP1239" s="15"/>
      <c r="BQ1239" s="15"/>
      <c r="BR1239" s="15"/>
      <c r="BS1239" s="15"/>
      <c r="BT1239" s="15"/>
      <c r="BU1239" s="15"/>
      <c r="BV1239" s="15"/>
      <c r="BW1239" s="15"/>
      <c r="BX1239" s="15"/>
      <c r="BY1239" s="15"/>
      <c r="BZ1239" s="15"/>
      <c r="CA1239" s="15"/>
    </row>
    <row r="1240" spans="68:79" ht="15" customHeight="1" x14ac:dyDescent="0.3">
      <c r="BP1240" s="15"/>
      <c r="BQ1240" s="15"/>
      <c r="BR1240" s="15"/>
      <c r="BS1240" s="15"/>
      <c r="BT1240" s="15"/>
      <c r="BU1240" s="15"/>
      <c r="BV1240" s="15"/>
      <c r="BW1240" s="15"/>
      <c r="BX1240" s="15"/>
      <c r="BY1240" s="15"/>
      <c r="BZ1240" s="15"/>
      <c r="CA1240" s="15"/>
    </row>
    <row r="1241" spans="68:79" ht="15" customHeight="1" x14ac:dyDescent="0.3">
      <c r="BP1241" s="15"/>
      <c r="BQ1241" s="15"/>
      <c r="BR1241" s="15"/>
      <c r="BS1241" s="15"/>
      <c r="BT1241" s="15"/>
      <c r="BU1241" s="15"/>
      <c r="BV1241" s="15"/>
      <c r="BW1241" s="15"/>
      <c r="BX1241" s="15"/>
      <c r="BY1241" s="15"/>
      <c r="BZ1241" s="15"/>
      <c r="CA1241" s="15"/>
    </row>
    <row r="1242" spans="68:79" ht="15" customHeight="1" x14ac:dyDescent="0.3">
      <c r="BP1242" s="15"/>
      <c r="BQ1242" s="15"/>
      <c r="BR1242" s="15"/>
      <c r="BS1242" s="15"/>
      <c r="BT1242" s="15"/>
      <c r="BU1242" s="15"/>
      <c r="BV1242" s="15"/>
      <c r="BW1242" s="15"/>
      <c r="BX1242" s="15"/>
      <c r="BY1242" s="15"/>
      <c r="BZ1242" s="15"/>
      <c r="CA1242" s="15"/>
    </row>
    <row r="1243" spans="68:79" ht="15" customHeight="1" x14ac:dyDescent="0.3">
      <c r="BP1243" s="15"/>
      <c r="BQ1243" s="15"/>
      <c r="BR1243" s="15"/>
      <c r="BS1243" s="15"/>
      <c r="BT1243" s="15"/>
      <c r="BU1243" s="15"/>
      <c r="BV1243" s="15"/>
      <c r="BW1243" s="15"/>
      <c r="BX1243" s="15"/>
      <c r="BY1243" s="15"/>
      <c r="BZ1243" s="15"/>
      <c r="CA1243" s="15"/>
    </row>
    <row r="1244" spans="68:79" ht="15" customHeight="1" x14ac:dyDescent="0.3">
      <c r="BP1244" s="15"/>
      <c r="BQ1244" s="15"/>
      <c r="BR1244" s="15"/>
      <c r="BS1244" s="15"/>
      <c r="BT1244" s="15"/>
      <c r="BU1244" s="15"/>
      <c r="BV1244" s="15"/>
      <c r="BW1244" s="15"/>
      <c r="BX1244" s="15"/>
      <c r="BY1244" s="15"/>
      <c r="BZ1244" s="15"/>
      <c r="CA1244" s="15"/>
    </row>
    <row r="1245" spans="68:79" ht="15" customHeight="1" x14ac:dyDescent="0.3">
      <c r="BP1245" s="15"/>
      <c r="BQ1245" s="15"/>
      <c r="BR1245" s="15"/>
      <c r="BS1245" s="15"/>
      <c r="BT1245" s="15"/>
      <c r="BU1245" s="15"/>
      <c r="BV1245" s="15"/>
      <c r="BW1245" s="15"/>
      <c r="BX1245" s="15"/>
      <c r="BY1245" s="15"/>
      <c r="BZ1245" s="15"/>
      <c r="CA1245" s="15"/>
    </row>
    <row r="1246" spans="68:79" ht="15" customHeight="1" x14ac:dyDescent="0.3">
      <c r="BP1246" s="15"/>
      <c r="BQ1246" s="15"/>
      <c r="BR1246" s="15"/>
      <c r="BS1246" s="15"/>
      <c r="BT1246" s="15"/>
      <c r="BU1246" s="15"/>
      <c r="BV1246" s="15"/>
      <c r="BW1246" s="15"/>
      <c r="BX1246" s="15"/>
      <c r="BY1246" s="15"/>
      <c r="BZ1246" s="15"/>
      <c r="CA1246" s="15"/>
    </row>
    <row r="1247" spans="68:79" ht="15" customHeight="1" x14ac:dyDescent="0.3">
      <c r="BP1247" s="15"/>
      <c r="BQ1247" s="15"/>
      <c r="BR1247" s="15"/>
      <c r="BS1247" s="15"/>
      <c r="BT1247" s="15"/>
      <c r="BU1247" s="15"/>
      <c r="BV1247" s="15"/>
      <c r="BW1247" s="15"/>
      <c r="BX1247" s="15"/>
      <c r="BY1247" s="15"/>
      <c r="BZ1247" s="15"/>
      <c r="CA1247" s="15"/>
    </row>
    <row r="1248" spans="68:79" ht="15" customHeight="1" x14ac:dyDescent="0.3">
      <c r="BP1248" s="15"/>
      <c r="BQ1248" s="15"/>
      <c r="BR1248" s="15"/>
      <c r="BS1248" s="15"/>
      <c r="BT1248" s="15"/>
      <c r="BU1248" s="15"/>
      <c r="BV1248" s="15"/>
      <c r="BW1248" s="15"/>
      <c r="BX1248" s="15"/>
      <c r="BY1248" s="15"/>
      <c r="BZ1248" s="15"/>
      <c r="CA1248" s="15"/>
    </row>
    <row r="1249" spans="68:79" ht="15" customHeight="1" x14ac:dyDescent="0.3">
      <c r="BP1249" s="15"/>
      <c r="BQ1249" s="15"/>
      <c r="BR1249" s="15"/>
      <c r="BS1249" s="15"/>
      <c r="BT1249" s="15"/>
      <c r="BU1249" s="15"/>
      <c r="BV1249" s="15"/>
      <c r="BW1249" s="15"/>
      <c r="BX1249" s="15"/>
      <c r="BY1249" s="15"/>
      <c r="BZ1249" s="15"/>
      <c r="CA1249" s="15"/>
    </row>
    <row r="1250" spans="68:79" ht="15" customHeight="1" x14ac:dyDescent="0.3">
      <c r="BP1250" s="15"/>
      <c r="BQ1250" s="15"/>
      <c r="BR1250" s="15"/>
      <c r="BS1250" s="15"/>
      <c r="BT1250" s="15"/>
      <c r="BU1250" s="15"/>
      <c r="BV1250" s="15"/>
      <c r="BW1250" s="15"/>
      <c r="BX1250" s="15"/>
      <c r="BY1250" s="15"/>
      <c r="BZ1250" s="15"/>
      <c r="CA1250" s="15"/>
    </row>
    <row r="1251" spans="68:79" ht="15" customHeight="1" x14ac:dyDescent="0.3">
      <c r="BP1251" s="15"/>
      <c r="BQ1251" s="15"/>
      <c r="BR1251" s="15"/>
      <c r="BS1251" s="15"/>
      <c r="BT1251" s="15"/>
      <c r="BU1251" s="15"/>
      <c r="BV1251" s="15"/>
      <c r="BW1251" s="15"/>
      <c r="BX1251" s="15"/>
      <c r="BY1251" s="15"/>
      <c r="BZ1251" s="15"/>
      <c r="CA1251" s="15"/>
    </row>
    <row r="1252" spans="68:79" ht="15" customHeight="1" x14ac:dyDescent="0.3">
      <c r="BP1252" s="15"/>
      <c r="BQ1252" s="15"/>
      <c r="BR1252" s="15"/>
      <c r="BS1252" s="15"/>
      <c r="BT1252" s="15"/>
      <c r="BU1252" s="15"/>
      <c r="BV1252" s="15"/>
      <c r="BW1252" s="15"/>
      <c r="BX1252" s="15"/>
      <c r="BY1252" s="15"/>
      <c r="BZ1252" s="15"/>
      <c r="CA1252" s="15"/>
    </row>
    <row r="1253" spans="68:79" ht="15" customHeight="1" x14ac:dyDescent="0.3">
      <c r="BP1253" s="15"/>
      <c r="BQ1253" s="15"/>
      <c r="BR1253" s="15"/>
      <c r="BS1253" s="15"/>
      <c r="BT1253" s="15"/>
      <c r="BU1253" s="15"/>
      <c r="BV1253" s="15"/>
      <c r="BW1253" s="15"/>
      <c r="BX1253" s="15"/>
      <c r="BY1253" s="15"/>
      <c r="BZ1253" s="15"/>
      <c r="CA1253" s="15"/>
    </row>
    <row r="1254" spans="68:79" ht="15" customHeight="1" x14ac:dyDescent="0.3">
      <c r="BP1254" s="15"/>
      <c r="BQ1254" s="15"/>
      <c r="BR1254" s="15"/>
      <c r="BS1254" s="15"/>
      <c r="BT1254" s="15"/>
      <c r="BU1254" s="15"/>
      <c r="BV1254" s="15"/>
      <c r="BW1254" s="15"/>
      <c r="BX1254" s="15"/>
      <c r="BY1254" s="15"/>
      <c r="BZ1254" s="15"/>
      <c r="CA1254" s="15"/>
    </row>
    <row r="1255" spans="68:79" ht="15" customHeight="1" x14ac:dyDescent="0.3">
      <c r="BP1255" s="15"/>
      <c r="BQ1255" s="15"/>
      <c r="BR1255" s="15"/>
      <c r="BS1255" s="15"/>
      <c r="BT1255" s="15"/>
      <c r="BU1255" s="15"/>
      <c r="BV1255" s="15"/>
      <c r="BW1255" s="15"/>
      <c r="BX1255" s="15"/>
      <c r="BY1255" s="15"/>
      <c r="BZ1255" s="15"/>
      <c r="CA1255" s="15"/>
    </row>
    <row r="1256" spans="68:79" ht="15" customHeight="1" x14ac:dyDescent="0.3">
      <c r="BP1256" s="15"/>
      <c r="BQ1256" s="15"/>
      <c r="BR1256" s="15"/>
      <c r="BS1256" s="15"/>
      <c r="BT1256" s="15"/>
      <c r="BU1256" s="15"/>
      <c r="BV1256" s="15"/>
      <c r="BW1256" s="15"/>
      <c r="BX1256" s="15"/>
      <c r="BY1256" s="15"/>
      <c r="BZ1256" s="15"/>
      <c r="CA1256" s="15"/>
    </row>
    <row r="1257" spans="68:79" ht="15" customHeight="1" x14ac:dyDescent="0.3">
      <c r="BP1257" s="15"/>
      <c r="BQ1257" s="15"/>
      <c r="BR1257" s="15"/>
      <c r="BS1257" s="15"/>
      <c r="BT1257" s="15"/>
      <c r="BU1257" s="15"/>
      <c r="BV1257" s="15"/>
      <c r="BW1257" s="15"/>
      <c r="BX1257" s="15"/>
      <c r="BY1257" s="15"/>
      <c r="BZ1257" s="15"/>
      <c r="CA1257" s="15"/>
    </row>
    <row r="1258" spans="68:79" ht="15" customHeight="1" x14ac:dyDescent="0.3">
      <c r="BP1258" s="15"/>
      <c r="BQ1258" s="15"/>
      <c r="BR1258" s="15"/>
      <c r="BS1258" s="15"/>
      <c r="BT1258" s="15"/>
      <c r="BU1258" s="15"/>
      <c r="BV1258" s="15"/>
      <c r="BW1258" s="15"/>
      <c r="BX1258" s="15"/>
      <c r="BY1258" s="15"/>
      <c r="BZ1258" s="15"/>
      <c r="CA1258" s="15"/>
    </row>
    <row r="1259" spans="68:79" ht="15" customHeight="1" x14ac:dyDescent="0.3">
      <c r="BP1259" s="15"/>
      <c r="BQ1259" s="15"/>
      <c r="BR1259" s="15"/>
      <c r="BS1259" s="15"/>
      <c r="BT1259" s="15"/>
      <c r="BU1259" s="15"/>
      <c r="BV1259" s="15"/>
      <c r="BW1259" s="15"/>
      <c r="BX1259" s="15"/>
      <c r="BY1259" s="15"/>
      <c r="BZ1259" s="15"/>
      <c r="CA1259" s="15"/>
    </row>
    <row r="1260" spans="68:79" ht="15" customHeight="1" x14ac:dyDescent="0.3">
      <c r="BP1260" s="15"/>
      <c r="BQ1260" s="15"/>
      <c r="BR1260" s="15"/>
      <c r="BS1260" s="15"/>
      <c r="BT1260" s="15"/>
      <c r="BU1260" s="15"/>
      <c r="BV1260" s="15"/>
      <c r="BW1260" s="15"/>
      <c r="BX1260" s="15"/>
      <c r="BY1260" s="15"/>
      <c r="BZ1260" s="15"/>
      <c r="CA1260" s="15"/>
    </row>
    <row r="1261" spans="68:79" ht="15" customHeight="1" x14ac:dyDescent="0.3">
      <c r="BP1261" s="15"/>
      <c r="BQ1261" s="15"/>
      <c r="BR1261" s="15"/>
      <c r="BS1261" s="15"/>
      <c r="BT1261" s="15"/>
      <c r="BU1261" s="15"/>
      <c r="BV1261" s="15"/>
      <c r="BW1261" s="15"/>
      <c r="BX1261" s="15"/>
      <c r="BY1261" s="15"/>
      <c r="BZ1261" s="15"/>
      <c r="CA1261" s="15"/>
    </row>
    <row r="1262" spans="68:79" ht="15" customHeight="1" x14ac:dyDescent="0.3">
      <c r="BP1262" s="15"/>
      <c r="BQ1262" s="15"/>
      <c r="BR1262" s="15"/>
      <c r="BS1262" s="15"/>
      <c r="BT1262" s="15"/>
      <c r="BU1262" s="15"/>
      <c r="BV1262" s="15"/>
      <c r="BW1262" s="15"/>
      <c r="BX1262" s="15"/>
      <c r="BY1262" s="15"/>
      <c r="BZ1262" s="15"/>
      <c r="CA1262" s="15"/>
    </row>
    <row r="1263" spans="68:79" ht="15" customHeight="1" x14ac:dyDescent="0.3">
      <c r="BP1263" s="15"/>
      <c r="BQ1263" s="15"/>
      <c r="BR1263" s="15"/>
      <c r="BS1263" s="15"/>
      <c r="BT1263" s="15"/>
      <c r="BU1263" s="15"/>
      <c r="BV1263" s="15"/>
      <c r="BW1263" s="15"/>
      <c r="BX1263" s="15"/>
      <c r="BY1263" s="15"/>
      <c r="BZ1263" s="15"/>
      <c r="CA1263" s="15"/>
    </row>
    <row r="1264" spans="68:79" ht="15" customHeight="1" x14ac:dyDescent="0.3">
      <c r="BP1264" s="15"/>
      <c r="BQ1264" s="15"/>
      <c r="BR1264" s="15"/>
      <c r="BS1264" s="15"/>
      <c r="BT1264" s="15"/>
      <c r="BU1264" s="15"/>
      <c r="BV1264" s="15"/>
      <c r="BW1264" s="15"/>
      <c r="BX1264" s="15"/>
      <c r="BY1264" s="15"/>
      <c r="BZ1264" s="15"/>
      <c r="CA1264" s="15"/>
    </row>
    <row r="1265" spans="68:79" ht="15" customHeight="1" x14ac:dyDescent="0.3">
      <c r="BP1265" s="15"/>
      <c r="BQ1265" s="15"/>
      <c r="BR1265" s="15"/>
      <c r="BS1265" s="15"/>
      <c r="BT1265" s="15"/>
      <c r="BU1265" s="15"/>
      <c r="BV1265" s="15"/>
      <c r="BW1265" s="15"/>
      <c r="BX1265" s="15"/>
      <c r="BY1265" s="15"/>
      <c r="BZ1265" s="15"/>
      <c r="CA1265" s="15"/>
    </row>
    <row r="1266" spans="68:79" ht="15" customHeight="1" x14ac:dyDescent="0.3">
      <c r="BP1266" s="15"/>
      <c r="BQ1266" s="15"/>
      <c r="BR1266" s="15"/>
      <c r="BS1266" s="15"/>
      <c r="BT1266" s="15"/>
      <c r="BU1266" s="15"/>
      <c r="BV1266" s="15"/>
      <c r="BW1266" s="15"/>
      <c r="BX1266" s="15"/>
      <c r="BY1266" s="15"/>
      <c r="BZ1266" s="15"/>
      <c r="CA1266" s="15"/>
    </row>
    <row r="1267" spans="68:79" ht="15" customHeight="1" x14ac:dyDescent="0.3">
      <c r="BP1267" s="15"/>
      <c r="BQ1267" s="15"/>
      <c r="BR1267" s="15"/>
      <c r="BS1267" s="15"/>
      <c r="BT1267" s="15"/>
      <c r="BU1267" s="15"/>
      <c r="BV1267" s="15"/>
      <c r="BW1267" s="15"/>
      <c r="BX1267" s="15"/>
      <c r="BY1267" s="15"/>
      <c r="BZ1267" s="15"/>
      <c r="CA1267" s="15"/>
    </row>
    <row r="1268" spans="68:79" ht="15" customHeight="1" x14ac:dyDescent="0.3">
      <c r="BP1268" s="15"/>
      <c r="BQ1268" s="15"/>
      <c r="BR1268" s="15"/>
      <c r="BS1268" s="15"/>
      <c r="BT1268" s="15"/>
      <c r="BU1268" s="15"/>
      <c r="BV1268" s="15"/>
      <c r="BW1268" s="15"/>
      <c r="BX1268" s="15"/>
      <c r="BY1268" s="15"/>
      <c r="BZ1268" s="15"/>
      <c r="CA1268" s="15"/>
    </row>
    <row r="1269" spans="68:79" ht="15" customHeight="1" x14ac:dyDescent="0.3">
      <c r="BP1269" s="15"/>
      <c r="BQ1269" s="15"/>
      <c r="BR1269" s="15"/>
      <c r="BS1269" s="15"/>
      <c r="BT1269" s="15"/>
      <c r="BU1269" s="15"/>
      <c r="BV1269" s="15"/>
      <c r="BW1269" s="15"/>
      <c r="BX1269" s="15"/>
      <c r="BY1269" s="15"/>
      <c r="BZ1269" s="15"/>
      <c r="CA1269" s="15"/>
    </row>
    <row r="1270" spans="68:79" ht="15" customHeight="1" x14ac:dyDescent="0.3">
      <c r="BP1270" s="15"/>
      <c r="BQ1270" s="15"/>
      <c r="BR1270" s="15"/>
      <c r="BS1270" s="15"/>
      <c r="BT1270" s="15"/>
      <c r="BU1270" s="15"/>
      <c r="BV1270" s="15"/>
      <c r="BW1270" s="15"/>
      <c r="BX1270" s="15"/>
      <c r="BY1270" s="15"/>
      <c r="BZ1270" s="15"/>
      <c r="CA1270" s="15"/>
    </row>
    <row r="1271" spans="68:79" ht="15" customHeight="1" x14ac:dyDescent="0.3">
      <c r="BP1271" s="15"/>
      <c r="BQ1271" s="15"/>
      <c r="BR1271" s="15"/>
      <c r="BS1271" s="15"/>
      <c r="BT1271" s="15"/>
      <c r="BU1271" s="15"/>
      <c r="BV1271" s="15"/>
      <c r="BW1271" s="15"/>
      <c r="BX1271" s="15"/>
      <c r="BY1271" s="15"/>
      <c r="BZ1271" s="15"/>
      <c r="CA1271" s="15"/>
    </row>
    <row r="1272" spans="68:79" ht="15" customHeight="1" x14ac:dyDescent="0.3">
      <c r="BP1272" s="15"/>
      <c r="BQ1272" s="15"/>
      <c r="BR1272" s="15"/>
      <c r="BS1272" s="15"/>
      <c r="BT1272" s="15"/>
      <c r="BU1272" s="15"/>
      <c r="BV1272" s="15"/>
      <c r="BW1272" s="15"/>
      <c r="BX1272" s="15"/>
      <c r="BY1272" s="15"/>
      <c r="BZ1272" s="15"/>
      <c r="CA1272" s="15"/>
    </row>
    <row r="1273" spans="68:79" ht="15" customHeight="1" x14ac:dyDescent="0.3">
      <c r="BP1273" s="15"/>
      <c r="BQ1273" s="15"/>
      <c r="BR1273" s="15"/>
      <c r="BS1273" s="15"/>
      <c r="BT1273" s="15"/>
      <c r="BU1273" s="15"/>
      <c r="BV1273" s="15"/>
      <c r="BW1273" s="15"/>
      <c r="BX1273" s="15"/>
      <c r="BY1273" s="15"/>
      <c r="BZ1273" s="15"/>
      <c r="CA1273" s="15"/>
    </row>
    <row r="1274" spans="68:79" ht="15" customHeight="1" x14ac:dyDescent="0.3">
      <c r="BP1274" s="15"/>
      <c r="BQ1274" s="15"/>
      <c r="BR1274" s="15"/>
      <c r="BS1274" s="15"/>
      <c r="BT1274" s="15"/>
      <c r="BU1274" s="15"/>
      <c r="BV1274" s="15"/>
      <c r="BW1274" s="15"/>
      <c r="BX1274" s="15"/>
      <c r="BY1274" s="15"/>
      <c r="BZ1274" s="15"/>
      <c r="CA1274" s="15"/>
    </row>
    <row r="1275" spans="68:79" ht="15" customHeight="1" x14ac:dyDescent="0.3">
      <c r="BP1275" s="15"/>
      <c r="BQ1275" s="15"/>
      <c r="BR1275" s="15"/>
      <c r="BS1275" s="15"/>
      <c r="BT1275" s="15"/>
      <c r="BU1275" s="15"/>
      <c r="BV1275" s="15"/>
      <c r="BW1275" s="15"/>
      <c r="BX1275" s="15"/>
      <c r="BY1275" s="15"/>
      <c r="BZ1275" s="15"/>
      <c r="CA1275" s="15"/>
    </row>
    <row r="1276" spans="68:79" ht="15" customHeight="1" x14ac:dyDescent="0.3">
      <c r="BP1276" s="15"/>
      <c r="BQ1276" s="15"/>
      <c r="BR1276" s="15"/>
      <c r="BS1276" s="15"/>
      <c r="BT1276" s="15"/>
      <c r="BU1276" s="15"/>
      <c r="BV1276" s="15"/>
      <c r="BW1276" s="15"/>
      <c r="BX1276" s="15"/>
      <c r="BY1276" s="15"/>
      <c r="BZ1276" s="15"/>
      <c r="CA1276" s="15"/>
    </row>
    <row r="1277" spans="68:79" ht="15" customHeight="1" x14ac:dyDescent="0.3">
      <c r="BP1277" s="15"/>
      <c r="BQ1277" s="15"/>
      <c r="BR1277" s="15"/>
      <c r="BS1277" s="15"/>
      <c r="BT1277" s="15"/>
      <c r="BU1277" s="15"/>
      <c r="BV1277" s="15"/>
      <c r="BW1277" s="15"/>
      <c r="BX1277" s="15"/>
      <c r="BY1277" s="15"/>
      <c r="BZ1277" s="15"/>
      <c r="CA1277" s="15"/>
    </row>
    <row r="1278" spans="68:79" ht="15" customHeight="1" x14ac:dyDescent="0.3">
      <c r="BP1278" s="15"/>
      <c r="BQ1278" s="15"/>
      <c r="BR1278" s="15"/>
      <c r="BS1278" s="15"/>
      <c r="BT1278" s="15"/>
      <c r="BU1278" s="15"/>
      <c r="BV1278" s="15"/>
      <c r="BW1278" s="15"/>
      <c r="BX1278" s="15"/>
      <c r="BY1278" s="15"/>
      <c r="BZ1278" s="15"/>
      <c r="CA1278" s="15"/>
    </row>
    <row r="1279" spans="68:79" ht="15" customHeight="1" x14ac:dyDescent="0.3">
      <c r="BP1279" s="15"/>
      <c r="BQ1279" s="15"/>
      <c r="BR1279" s="15"/>
      <c r="BS1279" s="15"/>
      <c r="BT1279" s="15"/>
      <c r="BU1279" s="15"/>
      <c r="BV1279" s="15"/>
      <c r="BW1279" s="15"/>
      <c r="BX1279" s="15"/>
      <c r="BY1279" s="15"/>
      <c r="BZ1279" s="15"/>
      <c r="CA1279" s="15"/>
    </row>
    <row r="1280" spans="68:79" ht="15" customHeight="1" x14ac:dyDescent="0.3">
      <c r="BP1280" s="15"/>
      <c r="BQ1280" s="15"/>
      <c r="BR1280" s="15"/>
      <c r="BS1280" s="15"/>
      <c r="BT1280" s="15"/>
      <c r="BU1280" s="15"/>
      <c r="BV1280" s="15"/>
      <c r="BW1280" s="15"/>
      <c r="BX1280" s="15"/>
      <c r="BY1280" s="15"/>
      <c r="BZ1280" s="15"/>
      <c r="CA1280" s="15"/>
    </row>
    <row r="1281" spans="68:79" ht="15" customHeight="1" x14ac:dyDescent="0.3">
      <c r="BP1281" s="15"/>
      <c r="BQ1281" s="15"/>
      <c r="BR1281" s="15"/>
      <c r="BS1281" s="15"/>
      <c r="BT1281" s="15"/>
      <c r="BU1281" s="15"/>
      <c r="BV1281" s="15"/>
      <c r="BW1281" s="15"/>
      <c r="BX1281" s="15"/>
      <c r="BY1281" s="15"/>
      <c r="BZ1281" s="15"/>
      <c r="CA1281" s="15"/>
    </row>
    <row r="1282" spans="68:79" ht="15" customHeight="1" x14ac:dyDescent="0.3">
      <c r="BP1282" s="15"/>
      <c r="BQ1282" s="15"/>
      <c r="BR1282" s="15"/>
      <c r="BS1282" s="15"/>
      <c r="BT1282" s="15"/>
      <c r="BU1282" s="15"/>
      <c r="BV1282" s="15"/>
      <c r="BW1282" s="15"/>
      <c r="BX1282" s="15"/>
      <c r="BY1282" s="15"/>
      <c r="BZ1282" s="15"/>
      <c r="CA1282" s="15"/>
    </row>
    <row r="1283" spans="68:79" ht="15" customHeight="1" x14ac:dyDescent="0.3">
      <c r="BP1283" s="15"/>
      <c r="BQ1283" s="15"/>
      <c r="BR1283" s="15"/>
      <c r="BS1283" s="15"/>
      <c r="BT1283" s="15"/>
      <c r="BU1283" s="15"/>
      <c r="BV1283" s="15"/>
      <c r="BW1283" s="15"/>
      <c r="BX1283" s="15"/>
      <c r="BY1283" s="15"/>
      <c r="BZ1283" s="15"/>
      <c r="CA1283" s="15"/>
    </row>
    <row r="1284" spans="68:79" ht="15" customHeight="1" x14ac:dyDescent="0.3">
      <c r="BP1284" s="15"/>
      <c r="BQ1284" s="15"/>
      <c r="BR1284" s="15"/>
      <c r="BS1284" s="15"/>
      <c r="BT1284" s="15"/>
      <c r="BU1284" s="15"/>
      <c r="BV1284" s="15"/>
      <c r="BW1284" s="15"/>
      <c r="BX1284" s="15"/>
      <c r="BY1284" s="15"/>
      <c r="BZ1284" s="15"/>
      <c r="CA1284" s="15"/>
    </row>
    <row r="1285" spans="68:79" ht="15" customHeight="1" x14ac:dyDescent="0.3">
      <c r="BP1285" s="15"/>
      <c r="BQ1285" s="15"/>
      <c r="BR1285" s="15"/>
      <c r="BS1285" s="15"/>
      <c r="BT1285" s="15"/>
      <c r="BU1285" s="15"/>
      <c r="BV1285" s="15"/>
      <c r="BW1285" s="15"/>
      <c r="BX1285" s="15"/>
      <c r="BY1285" s="15"/>
      <c r="BZ1285" s="15"/>
      <c r="CA1285" s="15"/>
    </row>
    <row r="1286" spans="68:79" ht="15" customHeight="1" x14ac:dyDescent="0.3">
      <c r="BP1286" s="15"/>
      <c r="BQ1286" s="15"/>
      <c r="BR1286" s="15"/>
      <c r="BS1286" s="15"/>
      <c r="BT1286" s="15"/>
      <c r="BU1286" s="15"/>
      <c r="BV1286" s="15"/>
      <c r="BW1286" s="15"/>
      <c r="BX1286" s="15"/>
      <c r="BY1286" s="15"/>
      <c r="BZ1286" s="15"/>
      <c r="CA1286" s="15"/>
    </row>
    <row r="1287" spans="68:79" ht="15" customHeight="1" x14ac:dyDescent="0.3">
      <c r="BP1287" s="15"/>
      <c r="BQ1287" s="15"/>
      <c r="BR1287" s="15"/>
      <c r="BS1287" s="15"/>
      <c r="BT1287" s="15"/>
      <c r="BU1287" s="15"/>
      <c r="BV1287" s="15"/>
      <c r="BW1287" s="15"/>
      <c r="BX1287" s="15"/>
      <c r="BY1287" s="15"/>
      <c r="BZ1287" s="15"/>
      <c r="CA1287" s="15"/>
    </row>
    <row r="1288" spans="68:79" ht="15" customHeight="1" x14ac:dyDescent="0.3">
      <c r="BP1288" s="15"/>
      <c r="BQ1288" s="15"/>
      <c r="BR1288" s="15"/>
      <c r="BS1288" s="15"/>
      <c r="BT1288" s="15"/>
      <c r="BU1288" s="15"/>
      <c r="BV1288" s="15"/>
      <c r="BW1288" s="15"/>
      <c r="BX1288" s="15"/>
      <c r="BY1288" s="15"/>
      <c r="BZ1288" s="15"/>
      <c r="CA1288" s="15"/>
    </row>
    <row r="1289" spans="68:79" ht="15" customHeight="1" x14ac:dyDescent="0.3">
      <c r="BP1289" s="15"/>
      <c r="BQ1289" s="15"/>
      <c r="BR1289" s="15"/>
      <c r="BS1289" s="15"/>
      <c r="BT1289" s="15"/>
      <c r="BU1289" s="15"/>
      <c r="BV1289" s="15"/>
      <c r="BW1289" s="15"/>
      <c r="BX1289" s="15"/>
      <c r="BY1289" s="15"/>
      <c r="BZ1289" s="15"/>
      <c r="CA1289" s="15"/>
    </row>
    <row r="1290" spans="68:79" ht="15" customHeight="1" x14ac:dyDescent="0.3">
      <c r="BP1290" s="15"/>
      <c r="BQ1290" s="15"/>
      <c r="BR1290" s="15"/>
      <c r="BS1290" s="15"/>
      <c r="BT1290" s="15"/>
      <c r="BU1290" s="15"/>
      <c r="BV1290" s="15"/>
      <c r="BW1290" s="15"/>
      <c r="BX1290" s="15"/>
      <c r="BY1290" s="15"/>
      <c r="BZ1290" s="15"/>
      <c r="CA1290" s="15"/>
    </row>
    <row r="1291" spans="68:79" ht="15" customHeight="1" x14ac:dyDescent="0.3">
      <c r="BP1291" s="15"/>
      <c r="BQ1291" s="15"/>
      <c r="BR1291" s="15"/>
      <c r="BS1291" s="15"/>
      <c r="BT1291" s="15"/>
      <c r="BU1291" s="15"/>
      <c r="BV1291" s="15"/>
      <c r="BW1291" s="15"/>
      <c r="BX1291" s="15"/>
      <c r="BY1291" s="15"/>
      <c r="BZ1291" s="15"/>
      <c r="CA1291" s="15"/>
    </row>
    <row r="1292" spans="68:79" ht="15" customHeight="1" x14ac:dyDescent="0.3">
      <c r="BP1292" s="15"/>
      <c r="BQ1292" s="15"/>
      <c r="BR1292" s="15"/>
      <c r="BS1292" s="15"/>
      <c r="BT1292" s="15"/>
      <c r="BU1292" s="15"/>
      <c r="BV1292" s="15"/>
      <c r="BW1292" s="15"/>
      <c r="BX1292" s="15"/>
      <c r="BY1292" s="15"/>
      <c r="BZ1292" s="15"/>
      <c r="CA1292" s="15"/>
    </row>
    <row r="1293" spans="68:79" ht="15" customHeight="1" x14ac:dyDescent="0.3">
      <c r="BP1293" s="15"/>
      <c r="BQ1293" s="15"/>
      <c r="BR1293" s="15"/>
      <c r="BS1293" s="15"/>
      <c r="BT1293" s="15"/>
      <c r="BU1293" s="15"/>
      <c r="BV1293" s="15"/>
      <c r="BW1293" s="15"/>
      <c r="BX1293" s="15"/>
      <c r="BY1293" s="15"/>
      <c r="BZ1293" s="15"/>
      <c r="CA1293" s="15"/>
    </row>
    <row r="1294" spans="68:79" ht="15" customHeight="1" x14ac:dyDescent="0.3">
      <c r="BP1294" s="15"/>
      <c r="BQ1294" s="15"/>
      <c r="BR1294" s="15"/>
      <c r="BS1294" s="15"/>
      <c r="BT1294" s="15"/>
      <c r="BU1294" s="15"/>
      <c r="BV1294" s="15"/>
      <c r="BW1294" s="15"/>
      <c r="BX1294" s="15"/>
      <c r="BY1294" s="15"/>
      <c r="BZ1294" s="15"/>
      <c r="CA1294" s="15"/>
    </row>
    <row r="1295" spans="68:79" ht="15" customHeight="1" x14ac:dyDescent="0.3">
      <c r="BP1295" s="15"/>
      <c r="BQ1295" s="15"/>
      <c r="BR1295" s="15"/>
      <c r="BS1295" s="15"/>
      <c r="BT1295" s="15"/>
      <c r="BU1295" s="15"/>
      <c r="BV1295" s="15"/>
      <c r="BW1295" s="15"/>
      <c r="BX1295" s="15"/>
      <c r="BY1295" s="15"/>
      <c r="BZ1295" s="15"/>
      <c r="CA1295" s="15"/>
    </row>
    <row r="1296" spans="68:79" ht="15" customHeight="1" x14ac:dyDescent="0.3">
      <c r="BP1296" s="15"/>
      <c r="BQ1296" s="15"/>
      <c r="BR1296" s="15"/>
      <c r="BS1296" s="15"/>
      <c r="BT1296" s="15"/>
      <c r="BU1296" s="15"/>
      <c r="BV1296" s="15"/>
      <c r="BW1296" s="15"/>
      <c r="BX1296" s="15"/>
      <c r="BY1296" s="15"/>
      <c r="BZ1296" s="15"/>
      <c r="CA1296" s="15"/>
    </row>
    <row r="1297" spans="68:79" ht="15" customHeight="1" x14ac:dyDescent="0.3">
      <c r="BP1297" s="15"/>
      <c r="BQ1297" s="15"/>
      <c r="BR1297" s="15"/>
      <c r="BS1297" s="15"/>
      <c r="BT1297" s="15"/>
      <c r="BU1297" s="15"/>
      <c r="BV1297" s="15"/>
      <c r="BW1297" s="15"/>
      <c r="BX1297" s="15"/>
      <c r="BY1297" s="15"/>
      <c r="BZ1297" s="15"/>
      <c r="CA1297" s="15"/>
    </row>
    <row r="1298" spans="68:79" ht="15" customHeight="1" x14ac:dyDescent="0.3">
      <c r="BP1298" s="15"/>
      <c r="BQ1298" s="15"/>
      <c r="BR1298" s="15"/>
      <c r="BS1298" s="15"/>
      <c r="BT1298" s="15"/>
      <c r="BU1298" s="15"/>
      <c r="BV1298" s="15"/>
      <c r="BW1298" s="15"/>
      <c r="BX1298" s="15"/>
      <c r="BY1298" s="15"/>
      <c r="BZ1298" s="15"/>
      <c r="CA1298" s="15"/>
    </row>
    <row r="1299" spans="68:79" ht="15" customHeight="1" x14ac:dyDescent="0.3">
      <c r="BP1299" s="15"/>
      <c r="BQ1299" s="15"/>
      <c r="BR1299" s="15"/>
      <c r="BS1299" s="15"/>
      <c r="BT1299" s="15"/>
      <c r="BU1299" s="15"/>
      <c r="BV1299" s="15"/>
      <c r="BW1299" s="15"/>
      <c r="BX1299" s="15"/>
      <c r="BY1299" s="15"/>
      <c r="BZ1299" s="15"/>
      <c r="CA1299" s="15"/>
    </row>
    <row r="1300" spans="68:79" ht="15" customHeight="1" x14ac:dyDescent="0.3">
      <c r="BP1300" s="15"/>
      <c r="BQ1300" s="15"/>
      <c r="BR1300" s="15"/>
      <c r="BS1300" s="15"/>
      <c r="BT1300" s="15"/>
      <c r="BU1300" s="15"/>
      <c r="BV1300" s="15"/>
      <c r="BW1300" s="15"/>
      <c r="BX1300" s="15"/>
      <c r="BY1300" s="15"/>
      <c r="BZ1300" s="15"/>
      <c r="CA1300" s="15"/>
    </row>
    <row r="1301" spans="68:79" ht="15" customHeight="1" x14ac:dyDescent="0.3">
      <c r="BP1301" s="15"/>
      <c r="BQ1301" s="15"/>
      <c r="BR1301" s="15"/>
      <c r="BS1301" s="15"/>
      <c r="BT1301" s="15"/>
      <c r="BU1301" s="15"/>
      <c r="BV1301" s="15"/>
      <c r="BW1301" s="15"/>
      <c r="BX1301" s="15"/>
      <c r="BY1301" s="15"/>
      <c r="BZ1301" s="15"/>
      <c r="CA1301" s="15"/>
    </row>
    <row r="1302" spans="68:79" ht="15" customHeight="1" x14ac:dyDescent="0.3">
      <c r="BP1302" s="15"/>
      <c r="BQ1302" s="15"/>
      <c r="BR1302" s="15"/>
      <c r="BS1302" s="15"/>
      <c r="BT1302" s="15"/>
      <c r="BU1302" s="15"/>
      <c r="BV1302" s="15"/>
      <c r="BW1302" s="15"/>
      <c r="BX1302" s="15"/>
      <c r="BY1302" s="15"/>
      <c r="BZ1302" s="15"/>
      <c r="CA1302" s="15"/>
    </row>
    <row r="1303" spans="68:79" ht="15" customHeight="1" x14ac:dyDescent="0.3">
      <c r="BP1303" s="15"/>
      <c r="BQ1303" s="15"/>
      <c r="BR1303" s="15"/>
      <c r="BS1303" s="15"/>
      <c r="BT1303" s="15"/>
      <c r="BU1303" s="15"/>
      <c r="BV1303" s="15"/>
      <c r="BW1303" s="15"/>
      <c r="BX1303" s="15"/>
      <c r="BY1303" s="15"/>
      <c r="BZ1303" s="15"/>
      <c r="CA1303" s="15"/>
    </row>
    <row r="1304" spans="68:79" ht="15" customHeight="1" x14ac:dyDescent="0.3">
      <c r="BP1304" s="15"/>
      <c r="BQ1304" s="15"/>
      <c r="BR1304" s="15"/>
      <c r="BS1304" s="15"/>
      <c r="BT1304" s="15"/>
      <c r="BU1304" s="15"/>
      <c r="BV1304" s="15"/>
      <c r="BW1304" s="15"/>
      <c r="BX1304" s="15"/>
      <c r="BY1304" s="15"/>
      <c r="BZ1304" s="15"/>
      <c r="CA1304" s="15"/>
    </row>
    <row r="1305" spans="68:79" ht="15" customHeight="1" x14ac:dyDescent="0.3">
      <c r="BP1305" s="15"/>
      <c r="BQ1305" s="15"/>
      <c r="BR1305" s="15"/>
      <c r="BS1305" s="15"/>
      <c r="BT1305" s="15"/>
      <c r="BU1305" s="15"/>
      <c r="BV1305" s="15"/>
      <c r="BW1305" s="15"/>
      <c r="BX1305" s="15"/>
      <c r="BY1305" s="15"/>
      <c r="BZ1305" s="15"/>
      <c r="CA1305" s="15"/>
    </row>
    <row r="1306" spans="68:79" ht="15" customHeight="1" x14ac:dyDescent="0.3">
      <c r="BP1306" s="15"/>
      <c r="BQ1306" s="15"/>
      <c r="BR1306" s="15"/>
      <c r="BS1306" s="15"/>
      <c r="BT1306" s="15"/>
      <c r="BU1306" s="15"/>
      <c r="BV1306" s="15"/>
      <c r="BW1306" s="15"/>
      <c r="BX1306" s="15"/>
      <c r="BY1306" s="15"/>
      <c r="BZ1306" s="15"/>
      <c r="CA1306" s="15"/>
    </row>
    <row r="1307" spans="68:79" ht="15" customHeight="1" x14ac:dyDescent="0.3">
      <c r="BP1307" s="15"/>
      <c r="BQ1307" s="15"/>
      <c r="BR1307" s="15"/>
      <c r="BS1307" s="15"/>
      <c r="BT1307" s="15"/>
      <c r="BU1307" s="15"/>
      <c r="BV1307" s="15"/>
      <c r="BW1307" s="15"/>
      <c r="BX1307" s="15"/>
      <c r="BY1307" s="15"/>
      <c r="BZ1307" s="15"/>
      <c r="CA1307" s="15"/>
    </row>
    <row r="1308" spans="68:79" ht="15" customHeight="1" x14ac:dyDescent="0.3">
      <c r="BP1308" s="15"/>
      <c r="BQ1308" s="15"/>
      <c r="BR1308" s="15"/>
      <c r="BS1308" s="15"/>
      <c r="BT1308" s="15"/>
      <c r="BU1308" s="15"/>
      <c r="BV1308" s="15"/>
      <c r="BW1308" s="15"/>
      <c r="BX1308" s="15"/>
      <c r="BY1308" s="15"/>
      <c r="BZ1308" s="15"/>
      <c r="CA1308" s="15"/>
    </row>
    <row r="1309" spans="68:79" ht="15" customHeight="1" x14ac:dyDescent="0.3">
      <c r="BP1309" s="15"/>
      <c r="BQ1309" s="15"/>
      <c r="BR1309" s="15"/>
      <c r="BS1309" s="15"/>
      <c r="BT1309" s="15"/>
      <c r="BU1309" s="15"/>
      <c r="BV1309" s="15"/>
      <c r="BW1309" s="15"/>
      <c r="BX1309" s="15"/>
      <c r="BY1309" s="15"/>
      <c r="BZ1309" s="15"/>
      <c r="CA1309" s="15"/>
    </row>
    <row r="1310" spans="68:79" ht="15" customHeight="1" x14ac:dyDescent="0.3">
      <c r="BP1310" s="15"/>
      <c r="BQ1310" s="15"/>
      <c r="BR1310" s="15"/>
      <c r="BS1310" s="15"/>
      <c r="BT1310" s="15"/>
      <c r="BU1310" s="15"/>
      <c r="BV1310" s="15"/>
      <c r="BW1310" s="15"/>
      <c r="BX1310" s="15"/>
      <c r="BY1310" s="15"/>
      <c r="BZ1310" s="15"/>
      <c r="CA1310" s="15"/>
    </row>
    <row r="1311" spans="68:79" ht="15" customHeight="1" x14ac:dyDescent="0.3">
      <c r="BP1311" s="15"/>
      <c r="BQ1311" s="15"/>
      <c r="BR1311" s="15"/>
      <c r="BS1311" s="15"/>
      <c r="BT1311" s="15"/>
      <c r="BU1311" s="15"/>
      <c r="BV1311" s="15"/>
      <c r="BW1311" s="15"/>
      <c r="BX1311" s="15"/>
      <c r="BY1311" s="15"/>
      <c r="BZ1311" s="15"/>
      <c r="CA1311" s="15"/>
    </row>
    <row r="1312" spans="68:79" ht="15" customHeight="1" x14ac:dyDescent="0.3">
      <c r="BP1312" s="15"/>
      <c r="BQ1312" s="15"/>
      <c r="BR1312" s="15"/>
      <c r="BS1312" s="15"/>
      <c r="BT1312" s="15"/>
      <c r="BU1312" s="15"/>
      <c r="BV1312" s="15"/>
      <c r="BW1312" s="15"/>
      <c r="BX1312" s="15"/>
      <c r="BY1312" s="15"/>
      <c r="BZ1312" s="15"/>
      <c r="CA1312" s="15"/>
    </row>
    <row r="1313" spans="68:79" ht="15" customHeight="1" x14ac:dyDescent="0.3">
      <c r="BP1313" s="15"/>
      <c r="BQ1313" s="15"/>
      <c r="BR1313" s="15"/>
      <c r="BS1313" s="15"/>
      <c r="BT1313" s="15"/>
      <c r="BU1313" s="15"/>
      <c r="BV1313" s="15"/>
      <c r="BW1313" s="15"/>
      <c r="BX1313" s="15"/>
      <c r="BY1313" s="15"/>
      <c r="BZ1313" s="15"/>
      <c r="CA1313" s="15"/>
    </row>
    <row r="1314" spans="68:79" ht="15" customHeight="1" x14ac:dyDescent="0.3">
      <c r="BP1314" s="15"/>
      <c r="BQ1314" s="15"/>
      <c r="BR1314" s="15"/>
      <c r="BS1314" s="15"/>
      <c r="BT1314" s="15"/>
      <c r="BU1314" s="15"/>
      <c r="BV1314" s="15"/>
      <c r="BW1314" s="15"/>
      <c r="BX1314" s="15"/>
      <c r="BY1314" s="15"/>
      <c r="BZ1314" s="15"/>
      <c r="CA1314" s="15"/>
    </row>
    <row r="1315" spans="68:79" ht="15" customHeight="1" x14ac:dyDescent="0.3">
      <c r="BP1315" s="15"/>
      <c r="BQ1315" s="15"/>
      <c r="BR1315" s="15"/>
      <c r="BS1315" s="15"/>
      <c r="BT1315" s="15"/>
      <c r="BU1315" s="15"/>
      <c r="BV1315" s="15"/>
      <c r="BW1315" s="15"/>
      <c r="BX1315" s="15"/>
      <c r="BY1315" s="15"/>
      <c r="BZ1315" s="15"/>
      <c r="CA1315" s="15"/>
    </row>
    <row r="1316" spans="68:79" ht="15" customHeight="1" x14ac:dyDescent="0.3">
      <c r="BP1316" s="15"/>
      <c r="BQ1316" s="15"/>
      <c r="BR1316" s="15"/>
      <c r="BS1316" s="15"/>
      <c r="BT1316" s="15"/>
      <c r="BU1316" s="15"/>
      <c r="BV1316" s="15"/>
      <c r="BW1316" s="15"/>
      <c r="BX1316" s="15"/>
      <c r="BY1316" s="15"/>
      <c r="BZ1316" s="15"/>
      <c r="CA1316" s="15"/>
    </row>
    <row r="1317" spans="68:79" ht="15" customHeight="1" x14ac:dyDescent="0.3">
      <c r="BP1317" s="15"/>
      <c r="BQ1317" s="15"/>
      <c r="BR1317" s="15"/>
      <c r="BS1317" s="15"/>
      <c r="BT1317" s="15"/>
      <c r="BU1317" s="15"/>
      <c r="BV1317" s="15"/>
      <c r="BW1317" s="15"/>
      <c r="BX1317" s="15"/>
      <c r="BY1317" s="15"/>
      <c r="BZ1317" s="15"/>
      <c r="CA1317" s="15"/>
    </row>
    <row r="1318" spans="68:79" ht="15" customHeight="1" x14ac:dyDescent="0.3">
      <c r="BP1318" s="15"/>
      <c r="BQ1318" s="15"/>
      <c r="BR1318" s="15"/>
      <c r="BS1318" s="15"/>
      <c r="BT1318" s="15"/>
      <c r="BU1318" s="15"/>
      <c r="BV1318" s="15"/>
      <c r="BW1318" s="15"/>
      <c r="BX1318" s="15"/>
      <c r="BY1318" s="15"/>
      <c r="BZ1318" s="15"/>
      <c r="CA1318" s="15"/>
    </row>
    <row r="1319" spans="68:79" ht="15" customHeight="1" x14ac:dyDescent="0.3">
      <c r="BP1319" s="15"/>
      <c r="BQ1319" s="15"/>
      <c r="BR1319" s="15"/>
      <c r="BS1319" s="15"/>
      <c r="BT1319" s="15"/>
      <c r="BU1319" s="15"/>
      <c r="BV1319" s="15"/>
      <c r="BW1319" s="15"/>
      <c r="BX1319" s="15"/>
      <c r="BY1319" s="15"/>
      <c r="BZ1319" s="15"/>
      <c r="CA1319" s="15"/>
    </row>
    <row r="1320" spans="68:79" ht="15" customHeight="1" x14ac:dyDescent="0.3">
      <c r="BP1320" s="15"/>
      <c r="BQ1320" s="15"/>
      <c r="BR1320" s="15"/>
      <c r="BS1320" s="15"/>
      <c r="BT1320" s="15"/>
      <c r="BU1320" s="15"/>
      <c r="BV1320" s="15"/>
      <c r="BW1320" s="15"/>
      <c r="BX1320" s="15"/>
      <c r="BY1320" s="15"/>
      <c r="BZ1320" s="15"/>
      <c r="CA1320" s="15"/>
    </row>
    <row r="1321" spans="68:79" ht="15" customHeight="1" x14ac:dyDescent="0.3">
      <c r="BP1321" s="15"/>
      <c r="BQ1321" s="15"/>
      <c r="BR1321" s="15"/>
      <c r="BS1321" s="15"/>
      <c r="BT1321" s="15"/>
      <c r="BU1321" s="15"/>
      <c r="BV1321" s="15"/>
      <c r="BW1321" s="15"/>
      <c r="BX1321" s="15"/>
      <c r="BY1321" s="15"/>
      <c r="BZ1321" s="15"/>
      <c r="CA1321" s="15"/>
    </row>
    <row r="1322" spans="68:79" ht="15" customHeight="1" x14ac:dyDescent="0.3">
      <c r="BP1322" s="15"/>
      <c r="BQ1322" s="15"/>
      <c r="BR1322" s="15"/>
      <c r="BS1322" s="15"/>
      <c r="BT1322" s="15"/>
      <c r="BU1322" s="15"/>
      <c r="BV1322" s="15"/>
      <c r="BW1322" s="15"/>
      <c r="BX1322" s="15"/>
      <c r="BY1322" s="15"/>
      <c r="BZ1322" s="15"/>
      <c r="CA1322" s="15"/>
    </row>
    <row r="1323" spans="68:79" ht="15" customHeight="1" x14ac:dyDescent="0.3">
      <c r="BP1323" s="15"/>
      <c r="BQ1323" s="15"/>
      <c r="BR1323" s="15"/>
      <c r="BS1323" s="15"/>
      <c r="BT1323" s="15"/>
      <c r="BU1323" s="15"/>
      <c r="BV1323" s="15"/>
      <c r="BW1323" s="15"/>
      <c r="BX1323" s="15"/>
      <c r="BY1323" s="15"/>
      <c r="BZ1323" s="15"/>
      <c r="CA1323" s="15"/>
    </row>
    <row r="1324" spans="68:79" ht="15" customHeight="1" x14ac:dyDescent="0.3">
      <c r="BP1324" s="15"/>
      <c r="BQ1324" s="15"/>
      <c r="BR1324" s="15"/>
      <c r="BS1324" s="15"/>
      <c r="BT1324" s="15"/>
      <c r="BU1324" s="15"/>
      <c r="BV1324" s="15"/>
      <c r="BW1324" s="15"/>
      <c r="BX1324" s="15"/>
      <c r="BY1324" s="15"/>
      <c r="BZ1324" s="15"/>
      <c r="CA1324" s="15"/>
    </row>
    <row r="1325" spans="68:79" ht="15" customHeight="1" x14ac:dyDescent="0.3">
      <c r="BP1325" s="15"/>
      <c r="BQ1325" s="15"/>
      <c r="BR1325" s="15"/>
      <c r="BS1325" s="15"/>
      <c r="BT1325" s="15"/>
      <c r="BU1325" s="15"/>
      <c r="BV1325" s="15"/>
      <c r="BW1325" s="15"/>
      <c r="BX1325" s="15"/>
      <c r="BY1325" s="15"/>
      <c r="BZ1325" s="15"/>
      <c r="CA1325" s="15"/>
    </row>
    <row r="1326" spans="68:79" ht="15" customHeight="1" x14ac:dyDescent="0.3">
      <c r="BP1326" s="15"/>
      <c r="BQ1326" s="15"/>
      <c r="BR1326" s="15"/>
      <c r="BS1326" s="15"/>
      <c r="BT1326" s="15"/>
      <c r="BU1326" s="15"/>
      <c r="BV1326" s="15"/>
      <c r="BW1326" s="15"/>
      <c r="BX1326" s="15"/>
      <c r="BY1326" s="15"/>
      <c r="BZ1326" s="15"/>
      <c r="CA1326" s="15"/>
    </row>
    <row r="1327" spans="68:79" ht="15" customHeight="1" x14ac:dyDescent="0.3">
      <c r="BP1327" s="15"/>
      <c r="BQ1327" s="15"/>
      <c r="BR1327" s="15"/>
      <c r="BS1327" s="15"/>
      <c r="BT1327" s="15"/>
      <c r="BU1327" s="15"/>
      <c r="BV1327" s="15"/>
      <c r="BW1327" s="15"/>
      <c r="BX1327" s="15"/>
      <c r="BY1327" s="15"/>
      <c r="BZ1327" s="15"/>
      <c r="CA1327" s="15"/>
    </row>
    <row r="1328" spans="68:79" ht="15" customHeight="1" x14ac:dyDescent="0.3"/>
    <row r="1329" ht="15" customHeight="1" x14ac:dyDescent="0.3"/>
    <row r="1330" ht="15" customHeight="1" x14ac:dyDescent="0.3"/>
    <row r="1331" ht="15" customHeight="1" x14ac:dyDescent="0.3"/>
    <row r="1332" ht="15" customHeight="1" x14ac:dyDescent="0.3"/>
    <row r="1333" ht="15" customHeight="1" x14ac:dyDescent="0.3"/>
    <row r="1334" ht="15" customHeight="1" x14ac:dyDescent="0.3"/>
    <row r="1335" ht="15" customHeight="1" x14ac:dyDescent="0.3"/>
    <row r="1336" ht="15" customHeight="1" x14ac:dyDescent="0.3"/>
    <row r="1337" ht="15" customHeight="1" x14ac:dyDescent="0.3"/>
    <row r="1338" ht="15" customHeight="1" x14ac:dyDescent="0.3"/>
    <row r="1339" ht="15" customHeight="1" x14ac:dyDescent="0.3"/>
    <row r="1340" ht="15" customHeight="1" x14ac:dyDescent="0.3"/>
    <row r="1341" ht="15" customHeight="1" x14ac:dyDescent="0.3"/>
    <row r="1342" ht="15" customHeight="1" x14ac:dyDescent="0.3"/>
    <row r="1343" ht="15" customHeight="1" x14ac:dyDescent="0.3"/>
    <row r="1344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  <row r="1492" ht="15" customHeight="1" x14ac:dyDescent="0.3"/>
    <row r="1493" ht="15" customHeight="1" x14ac:dyDescent="0.3"/>
    <row r="1494" ht="15" customHeight="1" x14ac:dyDescent="0.3"/>
    <row r="1495" ht="15" customHeight="1" x14ac:dyDescent="0.3"/>
    <row r="1496" ht="15" customHeight="1" x14ac:dyDescent="0.3"/>
    <row r="1497" ht="15" customHeight="1" x14ac:dyDescent="0.3"/>
    <row r="1498" ht="15" customHeight="1" x14ac:dyDescent="0.3"/>
    <row r="1499" ht="15" customHeight="1" x14ac:dyDescent="0.3"/>
    <row r="1500" ht="15" customHeight="1" x14ac:dyDescent="0.3"/>
    <row r="1501" ht="15" customHeight="1" x14ac:dyDescent="0.3"/>
    <row r="1502" ht="15" customHeight="1" x14ac:dyDescent="0.3"/>
    <row r="1503" ht="15" customHeight="1" x14ac:dyDescent="0.3"/>
    <row r="1504" ht="15" customHeight="1" x14ac:dyDescent="0.3"/>
    <row r="1505" ht="15" customHeight="1" x14ac:dyDescent="0.3"/>
    <row r="1506" ht="15" customHeight="1" x14ac:dyDescent="0.3"/>
    <row r="1507" ht="15" customHeight="1" x14ac:dyDescent="0.3"/>
    <row r="1508" ht="15" customHeight="1" x14ac:dyDescent="0.3"/>
    <row r="1509" ht="15" customHeight="1" x14ac:dyDescent="0.3"/>
    <row r="1510" ht="15" customHeight="1" x14ac:dyDescent="0.3"/>
    <row r="1511" ht="15" customHeight="1" x14ac:dyDescent="0.3"/>
    <row r="1512" ht="15" customHeight="1" x14ac:dyDescent="0.3"/>
    <row r="1513" ht="15" customHeight="1" x14ac:dyDescent="0.3"/>
    <row r="1514" ht="15" customHeight="1" x14ac:dyDescent="0.3"/>
    <row r="1515" ht="15" customHeight="1" x14ac:dyDescent="0.3"/>
    <row r="1516" ht="15" customHeight="1" x14ac:dyDescent="0.3"/>
    <row r="1517" ht="15" customHeight="1" x14ac:dyDescent="0.3"/>
    <row r="1518" ht="15" customHeight="1" x14ac:dyDescent="0.3"/>
    <row r="1519" ht="15" customHeight="1" x14ac:dyDescent="0.3"/>
    <row r="1520" ht="15" customHeight="1" x14ac:dyDescent="0.3"/>
    <row r="1521" ht="15" customHeight="1" x14ac:dyDescent="0.3"/>
    <row r="1522" ht="15" customHeight="1" x14ac:dyDescent="0.3"/>
    <row r="1523" ht="15" customHeight="1" x14ac:dyDescent="0.3"/>
    <row r="1524" ht="15" customHeight="1" x14ac:dyDescent="0.3"/>
    <row r="1525" ht="15" customHeight="1" x14ac:dyDescent="0.3"/>
    <row r="1526" ht="15" customHeight="1" x14ac:dyDescent="0.3"/>
    <row r="1527" ht="15" customHeight="1" x14ac:dyDescent="0.3"/>
    <row r="1528" ht="15" customHeight="1" x14ac:dyDescent="0.3"/>
    <row r="1529" ht="15" customHeight="1" x14ac:dyDescent="0.3"/>
    <row r="1530" ht="15" customHeight="1" x14ac:dyDescent="0.3"/>
    <row r="1531" ht="15" customHeight="1" x14ac:dyDescent="0.3"/>
    <row r="1532" ht="15" customHeight="1" x14ac:dyDescent="0.3"/>
    <row r="1533" ht="15" customHeight="1" x14ac:dyDescent="0.3"/>
    <row r="1534" ht="15" customHeight="1" x14ac:dyDescent="0.3"/>
    <row r="1535" ht="15" customHeight="1" x14ac:dyDescent="0.3"/>
    <row r="1536" ht="15" customHeight="1" x14ac:dyDescent="0.3"/>
    <row r="1537" ht="15" customHeight="1" x14ac:dyDescent="0.3"/>
    <row r="1538" ht="15" customHeight="1" x14ac:dyDescent="0.3"/>
    <row r="1539" ht="15" customHeight="1" x14ac:dyDescent="0.3"/>
    <row r="1540" ht="15" customHeight="1" x14ac:dyDescent="0.3"/>
    <row r="1541" ht="15" customHeight="1" x14ac:dyDescent="0.3"/>
    <row r="1542" ht="15" customHeight="1" x14ac:dyDescent="0.3"/>
    <row r="1543" ht="15" customHeight="1" x14ac:dyDescent="0.3"/>
    <row r="1544" ht="15" customHeight="1" x14ac:dyDescent="0.3"/>
    <row r="1545" ht="15" customHeight="1" x14ac:dyDescent="0.3"/>
    <row r="1546" ht="15" customHeight="1" x14ac:dyDescent="0.3"/>
    <row r="1547" ht="15" customHeight="1" x14ac:dyDescent="0.3"/>
    <row r="1548" ht="15" customHeight="1" x14ac:dyDescent="0.3"/>
    <row r="1549" ht="15" customHeight="1" x14ac:dyDescent="0.3"/>
    <row r="1550" ht="15" customHeight="1" x14ac:dyDescent="0.3"/>
    <row r="1551" ht="15" customHeight="1" x14ac:dyDescent="0.3"/>
    <row r="1552" ht="15" customHeight="1" x14ac:dyDescent="0.3"/>
    <row r="1553" ht="15" customHeight="1" x14ac:dyDescent="0.3"/>
    <row r="1554" ht="15" customHeight="1" x14ac:dyDescent="0.3"/>
    <row r="1555" ht="15" customHeight="1" x14ac:dyDescent="0.3"/>
    <row r="1556" ht="15" customHeight="1" x14ac:dyDescent="0.3"/>
    <row r="1557" ht="15" customHeight="1" x14ac:dyDescent="0.3"/>
    <row r="1558" ht="15" customHeight="1" x14ac:dyDescent="0.3"/>
    <row r="1559" ht="15" customHeight="1" x14ac:dyDescent="0.3"/>
    <row r="1560" ht="15" customHeight="1" x14ac:dyDescent="0.3"/>
    <row r="1561" ht="15" customHeight="1" x14ac:dyDescent="0.3"/>
    <row r="1562" ht="15" customHeight="1" x14ac:dyDescent="0.3"/>
    <row r="1563" ht="15" customHeight="1" x14ac:dyDescent="0.3"/>
    <row r="1564" ht="15" customHeight="1" x14ac:dyDescent="0.3"/>
    <row r="1565" ht="15" customHeight="1" x14ac:dyDescent="0.3"/>
    <row r="1566" ht="15" customHeight="1" x14ac:dyDescent="0.3"/>
    <row r="1567" ht="15" customHeight="1" x14ac:dyDescent="0.3"/>
    <row r="1568" ht="15" customHeight="1" x14ac:dyDescent="0.3"/>
    <row r="1569" ht="15" customHeight="1" x14ac:dyDescent="0.3"/>
    <row r="1570" ht="15" customHeight="1" x14ac:dyDescent="0.3"/>
    <row r="1571" ht="15" customHeight="1" x14ac:dyDescent="0.3"/>
    <row r="1572" ht="15" customHeight="1" x14ac:dyDescent="0.3"/>
    <row r="1573" ht="15" customHeight="1" x14ac:dyDescent="0.3"/>
    <row r="1574" ht="15" customHeight="1" x14ac:dyDescent="0.3"/>
    <row r="1575" ht="15" customHeight="1" x14ac:dyDescent="0.3"/>
    <row r="1576" ht="15" customHeight="1" x14ac:dyDescent="0.3"/>
    <row r="1577" ht="15" customHeight="1" x14ac:dyDescent="0.3"/>
    <row r="1578" ht="15" customHeight="1" x14ac:dyDescent="0.3"/>
    <row r="1579" ht="15" customHeight="1" x14ac:dyDescent="0.3"/>
    <row r="1580" ht="15" customHeight="1" x14ac:dyDescent="0.3"/>
    <row r="1581" ht="15" customHeight="1" x14ac:dyDescent="0.3"/>
    <row r="1582" ht="15" customHeight="1" x14ac:dyDescent="0.3"/>
    <row r="1583" ht="15" customHeight="1" x14ac:dyDescent="0.3"/>
    <row r="1584" ht="15" customHeight="1" x14ac:dyDescent="0.3"/>
    <row r="1585" ht="15" customHeight="1" x14ac:dyDescent="0.3"/>
    <row r="1586" ht="15" customHeight="1" x14ac:dyDescent="0.3"/>
    <row r="1587" ht="15" customHeight="1" x14ac:dyDescent="0.3"/>
    <row r="1588" ht="15" customHeight="1" x14ac:dyDescent="0.3"/>
    <row r="1589" ht="15" customHeight="1" x14ac:dyDescent="0.3"/>
    <row r="1590" ht="15" customHeight="1" x14ac:dyDescent="0.3"/>
    <row r="1591" ht="15" customHeight="1" x14ac:dyDescent="0.3"/>
    <row r="1592" ht="15" customHeight="1" x14ac:dyDescent="0.3"/>
    <row r="1593" ht="15" customHeight="1" x14ac:dyDescent="0.3"/>
    <row r="1594" ht="15" customHeight="1" x14ac:dyDescent="0.3"/>
    <row r="1595" ht="15" customHeight="1" x14ac:dyDescent="0.3"/>
    <row r="1596" ht="15" customHeight="1" x14ac:dyDescent="0.3"/>
    <row r="1597" ht="15" customHeight="1" x14ac:dyDescent="0.3"/>
    <row r="1598" ht="15" customHeight="1" x14ac:dyDescent="0.3"/>
    <row r="1599" ht="15" customHeight="1" x14ac:dyDescent="0.3"/>
    <row r="1600" ht="15" customHeight="1" x14ac:dyDescent="0.3"/>
    <row r="1601" ht="15" customHeight="1" x14ac:dyDescent="0.3"/>
    <row r="1602" ht="15" customHeight="1" x14ac:dyDescent="0.3"/>
    <row r="1603" ht="15" customHeight="1" x14ac:dyDescent="0.3"/>
    <row r="1604" ht="15" customHeight="1" x14ac:dyDescent="0.3"/>
    <row r="1605" ht="15" customHeight="1" x14ac:dyDescent="0.3"/>
    <row r="1606" ht="15" customHeight="1" x14ac:dyDescent="0.3"/>
    <row r="1607" ht="15" customHeight="1" x14ac:dyDescent="0.3"/>
    <row r="1608" ht="15" customHeight="1" x14ac:dyDescent="0.3"/>
    <row r="1609" ht="15" customHeight="1" x14ac:dyDescent="0.3"/>
    <row r="1610" ht="15" customHeight="1" x14ac:dyDescent="0.3"/>
    <row r="1611" ht="15" customHeight="1" x14ac:dyDescent="0.3"/>
    <row r="1612" ht="15" customHeight="1" x14ac:dyDescent="0.3"/>
    <row r="1613" ht="15" customHeight="1" x14ac:dyDescent="0.3"/>
    <row r="1614" ht="15" customHeight="1" x14ac:dyDescent="0.3"/>
    <row r="1615" ht="15" customHeight="1" x14ac:dyDescent="0.3"/>
    <row r="1616" ht="15" customHeight="1" x14ac:dyDescent="0.3"/>
    <row r="1617" ht="15" customHeight="1" x14ac:dyDescent="0.3"/>
    <row r="1618" ht="15" customHeight="1" x14ac:dyDescent="0.3"/>
    <row r="1619" ht="15" customHeight="1" x14ac:dyDescent="0.3"/>
    <row r="1620" ht="15" customHeight="1" x14ac:dyDescent="0.3"/>
    <row r="1621" ht="15" customHeight="1" x14ac:dyDescent="0.3"/>
    <row r="1622" ht="15" customHeight="1" x14ac:dyDescent="0.3"/>
    <row r="1623" ht="15" customHeight="1" x14ac:dyDescent="0.3"/>
    <row r="1624" ht="15" customHeight="1" x14ac:dyDescent="0.3"/>
    <row r="1625" ht="15" customHeight="1" x14ac:dyDescent="0.3"/>
    <row r="1626" ht="15" customHeight="1" x14ac:dyDescent="0.3"/>
    <row r="1627" ht="15" customHeight="1" x14ac:dyDescent="0.3"/>
    <row r="1628" ht="15" customHeight="1" x14ac:dyDescent="0.3"/>
    <row r="1629" ht="15" customHeight="1" x14ac:dyDescent="0.3"/>
    <row r="1630" ht="15" customHeight="1" x14ac:dyDescent="0.3"/>
    <row r="1631" ht="15" customHeight="1" x14ac:dyDescent="0.3"/>
    <row r="1632" ht="15" customHeight="1" x14ac:dyDescent="0.3"/>
    <row r="1633" ht="15" customHeight="1" x14ac:dyDescent="0.3"/>
    <row r="1634" ht="15" customHeight="1" x14ac:dyDescent="0.3"/>
    <row r="1635" ht="15" customHeight="1" x14ac:dyDescent="0.3"/>
    <row r="1636" ht="15" customHeight="1" x14ac:dyDescent="0.3"/>
    <row r="1637" ht="15" customHeight="1" x14ac:dyDescent="0.3"/>
    <row r="1638" ht="15" customHeight="1" x14ac:dyDescent="0.3"/>
    <row r="1639" ht="15" customHeight="1" x14ac:dyDescent="0.3"/>
    <row r="1640" ht="15" customHeight="1" x14ac:dyDescent="0.3"/>
    <row r="1641" ht="15" customHeight="1" x14ac:dyDescent="0.3"/>
    <row r="1642" ht="15" customHeight="1" x14ac:dyDescent="0.3"/>
    <row r="1643" ht="15" customHeight="1" x14ac:dyDescent="0.3"/>
    <row r="1644" ht="15" customHeight="1" x14ac:dyDescent="0.3"/>
    <row r="1645" ht="15" customHeight="1" x14ac:dyDescent="0.3"/>
    <row r="1646" ht="15" customHeight="1" x14ac:dyDescent="0.3"/>
    <row r="1647" ht="15" customHeight="1" x14ac:dyDescent="0.3"/>
    <row r="1648" ht="15" customHeight="1" x14ac:dyDescent="0.3"/>
    <row r="1649" ht="15" customHeight="1" x14ac:dyDescent="0.3"/>
    <row r="1650" ht="15" customHeight="1" x14ac:dyDescent="0.3"/>
    <row r="1651" ht="15" customHeight="1" x14ac:dyDescent="0.3"/>
    <row r="1652" ht="15" customHeight="1" x14ac:dyDescent="0.3"/>
    <row r="1653" ht="15" customHeight="1" x14ac:dyDescent="0.3"/>
    <row r="1654" ht="15" customHeight="1" x14ac:dyDescent="0.3"/>
    <row r="1655" ht="15" customHeight="1" x14ac:dyDescent="0.3"/>
    <row r="1656" ht="15" customHeight="1" x14ac:dyDescent="0.3"/>
    <row r="1657" ht="15" customHeight="1" x14ac:dyDescent="0.3"/>
    <row r="1658" ht="15" customHeight="1" x14ac:dyDescent="0.3"/>
    <row r="1659" ht="15" customHeight="1" x14ac:dyDescent="0.3"/>
    <row r="1660" ht="15" customHeight="1" x14ac:dyDescent="0.3"/>
    <row r="1661" ht="15" customHeight="1" x14ac:dyDescent="0.3"/>
    <row r="1662" ht="15" customHeight="1" x14ac:dyDescent="0.3"/>
    <row r="1663" ht="15" customHeight="1" x14ac:dyDescent="0.3"/>
    <row r="1664" ht="15" customHeight="1" x14ac:dyDescent="0.3"/>
    <row r="1665" ht="15" customHeight="1" x14ac:dyDescent="0.3"/>
    <row r="1666" ht="15" customHeight="1" x14ac:dyDescent="0.3"/>
    <row r="1667" ht="15" customHeight="1" x14ac:dyDescent="0.3"/>
    <row r="1668" ht="15" customHeight="1" x14ac:dyDescent="0.3"/>
    <row r="1669" ht="15" customHeight="1" x14ac:dyDescent="0.3"/>
    <row r="1670" ht="15" customHeight="1" x14ac:dyDescent="0.3"/>
    <row r="1671" ht="15" customHeight="1" x14ac:dyDescent="0.3"/>
    <row r="1672" ht="15" customHeight="1" x14ac:dyDescent="0.3"/>
    <row r="1673" ht="15" customHeight="1" x14ac:dyDescent="0.3"/>
    <row r="1674" ht="15" customHeight="1" x14ac:dyDescent="0.3"/>
    <row r="1675" ht="15" customHeight="1" x14ac:dyDescent="0.3"/>
    <row r="1676" ht="15" customHeight="1" x14ac:dyDescent="0.3"/>
    <row r="1677" ht="15" customHeight="1" x14ac:dyDescent="0.3"/>
    <row r="1678" ht="15" customHeight="1" x14ac:dyDescent="0.3"/>
    <row r="1679" ht="15" customHeight="1" x14ac:dyDescent="0.3"/>
    <row r="1680" ht="15" customHeight="1" x14ac:dyDescent="0.3"/>
    <row r="1681" ht="15" customHeight="1" x14ac:dyDescent="0.3"/>
    <row r="1682" ht="15" customHeight="1" x14ac:dyDescent="0.3"/>
    <row r="1683" ht="15" customHeight="1" x14ac:dyDescent="0.3"/>
    <row r="1684" ht="15" customHeight="1" x14ac:dyDescent="0.3"/>
    <row r="1685" ht="15" customHeight="1" x14ac:dyDescent="0.3"/>
    <row r="1686" ht="15" customHeight="1" x14ac:dyDescent="0.3"/>
    <row r="1687" ht="15" customHeight="1" x14ac:dyDescent="0.3"/>
    <row r="1688" ht="15" customHeight="1" x14ac:dyDescent="0.3"/>
    <row r="1689" ht="15" customHeight="1" x14ac:dyDescent="0.3"/>
    <row r="1690" ht="15" customHeight="1" x14ac:dyDescent="0.3"/>
    <row r="1691" ht="15" customHeight="1" x14ac:dyDescent="0.3"/>
    <row r="1692" ht="15" customHeight="1" x14ac:dyDescent="0.3"/>
    <row r="1693" ht="15" customHeight="1" x14ac:dyDescent="0.3"/>
    <row r="1694" ht="15" customHeight="1" x14ac:dyDescent="0.3"/>
    <row r="1695" ht="15" customHeight="1" x14ac:dyDescent="0.3"/>
    <row r="1696" ht="15" customHeight="1" x14ac:dyDescent="0.3"/>
    <row r="1697" ht="15" customHeight="1" x14ac:dyDescent="0.3"/>
    <row r="1698" ht="15" customHeight="1" x14ac:dyDescent="0.3"/>
    <row r="1699" ht="15" customHeight="1" x14ac:dyDescent="0.3"/>
    <row r="1700" ht="15" customHeight="1" x14ac:dyDescent="0.3"/>
    <row r="1701" ht="15" customHeight="1" x14ac:dyDescent="0.3"/>
    <row r="1702" ht="15" customHeight="1" x14ac:dyDescent="0.3"/>
    <row r="1703" ht="15" customHeight="1" x14ac:dyDescent="0.3"/>
    <row r="1704" ht="15" customHeight="1" x14ac:dyDescent="0.3"/>
    <row r="1705" ht="15" customHeight="1" x14ac:dyDescent="0.3"/>
    <row r="1706" ht="15" customHeight="1" x14ac:dyDescent="0.3"/>
    <row r="1707" ht="15" customHeight="1" x14ac:dyDescent="0.3"/>
    <row r="1708" ht="15" customHeight="1" x14ac:dyDescent="0.3"/>
    <row r="1709" ht="15" customHeight="1" x14ac:dyDescent="0.3"/>
    <row r="1710" ht="15" customHeight="1" x14ac:dyDescent="0.3"/>
    <row r="1711" ht="15" customHeight="1" x14ac:dyDescent="0.3"/>
    <row r="1712" ht="15" customHeight="1" x14ac:dyDescent="0.3"/>
    <row r="1713" ht="15" customHeight="1" x14ac:dyDescent="0.3"/>
    <row r="1714" ht="15" customHeight="1" x14ac:dyDescent="0.3"/>
    <row r="1715" ht="15" customHeight="1" x14ac:dyDescent="0.3"/>
    <row r="1716" ht="15" customHeight="1" x14ac:dyDescent="0.3"/>
    <row r="1717" ht="15" customHeight="1" x14ac:dyDescent="0.3"/>
    <row r="1718" ht="15" customHeight="1" x14ac:dyDescent="0.3"/>
    <row r="1719" ht="15" customHeight="1" x14ac:dyDescent="0.3"/>
    <row r="1720" ht="15" customHeight="1" x14ac:dyDescent="0.3"/>
    <row r="1721" ht="15" customHeight="1" x14ac:dyDescent="0.3"/>
    <row r="1722" ht="15" customHeight="1" x14ac:dyDescent="0.3"/>
    <row r="1723" ht="15" customHeight="1" x14ac:dyDescent="0.3"/>
    <row r="1724" ht="15" customHeight="1" x14ac:dyDescent="0.3"/>
    <row r="1725" ht="15" customHeight="1" x14ac:dyDescent="0.3"/>
    <row r="1726" ht="15" customHeight="1" x14ac:dyDescent="0.3"/>
    <row r="1727" ht="15" customHeight="1" x14ac:dyDescent="0.3"/>
    <row r="1728" ht="15" customHeight="1" x14ac:dyDescent="0.3"/>
    <row r="1729" ht="15" customHeight="1" x14ac:dyDescent="0.3"/>
    <row r="1730" ht="15" customHeight="1" x14ac:dyDescent="0.3"/>
    <row r="1731" ht="15" customHeight="1" x14ac:dyDescent="0.3"/>
    <row r="1732" ht="15" customHeight="1" x14ac:dyDescent="0.3"/>
    <row r="1733" ht="15" customHeight="1" x14ac:dyDescent="0.3"/>
    <row r="1734" ht="15" customHeight="1" x14ac:dyDescent="0.3"/>
    <row r="1735" ht="15" customHeight="1" x14ac:dyDescent="0.3"/>
    <row r="1736" ht="15" customHeight="1" x14ac:dyDescent="0.3"/>
    <row r="1737" ht="15" customHeight="1" x14ac:dyDescent="0.3"/>
    <row r="1738" ht="15" customHeight="1" x14ac:dyDescent="0.3"/>
    <row r="1739" ht="15" customHeight="1" x14ac:dyDescent="0.3"/>
    <row r="1740" ht="15" customHeight="1" x14ac:dyDescent="0.3"/>
    <row r="1741" ht="15" customHeight="1" x14ac:dyDescent="0.3"/>
    <row r="1742" ht="15" customHeight="1" x14ac:dyDescent="0.3"/>
    <row r="1743" ht="15" customHeight="1" x14ac:dyDescent="0.3"/>
    <row r="1744" ht="15" customHeight="1" x14ac:dyDescent="0.3"/>
    <row r="1745" ht="15" customHeight="1" x14ac:dyDescent="0.3"/>
    <row r="1746" ht="15" customHeight="1" x14ac:dyDescent="0.3"/>
    <row r="1747" ht="15" customHeight="1" x14ac:dyDescent="0.3"/>
    <row r="1748" ht="15" customHeight="1" x14ac:dyDescent="0.3"/>
    <row r="1749" ht="15" customHeight="1" x14ac:dyDescent="0.3"/>
    <row r="1750" ht="15" customHeight="1" x14ac:dyDescent="0.3"/>
    <row r="1751" ht="15" customHeight="1" x14ac:dyDescent="0.3"/>
    <row r="1752" ht="15" customHeight="1" x14ac:dyDescent="0.3"/>
    <row r="1753" ht="15" customHeight="1" x14ac:dyDescent="0.3"/>
    <row r="1754" ht="15" customHeight="1" x14ac:dyDescent="0.3"/>
    <row r="1755" ht="15" customHeight="1" x14ac:dyDescent="0.3"/>
    <row r="1756" ht="15" customHeight="1" x14ac:dyDescent="0.3"/>
    <row r="1757" ht="15" customHeight="1" x14ac:dyDescent="0.3"/>
    <row r="1758" ht="15" customHeight="1" x14ac:dyDescent="0.3"/>
    <row r="1759" ht="15" customHeight="1" x14ac:dyDescent="0.3"/>
    <row r="1760" ht="15" customHeight="1" x14ac:dyDescent="0.3"/>
    <row r="1761" ht="15" customHeight="1" x14ac:dyDescent="0.3"/>
    <row r="1762" ht="15" customHeight="1" x14ac:dyDescent="0.3"/>
    <row r="1763" ht="15" customHeight="1" x14ac:dyDescent="0.3"/>
    <row r="1764" ht="15" customHeight="1" x14ac:dyDescent="0.3"/>
    <row r="1765" ht="15" customHeight="1" x14ac:dyDescent="0.3"/>
    <row r="1766" ht="15" customHeight="1" x14ac:dyDescent="0.3"/>
    <row r="1767" ht="15" customHeight="1" x14ac:dyDescent="0.3"/>
    <row r="1768" ht="15" customHeight="1" x14ac:dyDescent="0.3"/>
    <row r="1769" ht="15" customHeight="1" x14ac:dyDescent="0.3"/>
    <row r="1770" ht="15" customHeight="1" x14ac:dyDescent="0.3"/>
    <row r="1771" ht="15" customHeight="1" x14ac:dyDescent="0.3"/>
    <row r="1772" ht="15" customHeight="1" x14ac:dyDescent="0.3"/>
    <row r="1773" ht="15" customHeight="1" x14ac:dyDescent="0.3"/>
    <row r="1774" ht="15" customHeight="1" x14ac:dyDescent="0.3"/>
    <row r="1775" ht="15" customHeight="1" x14ac:dyDescent="0.3"/>
    <row r="1776" ht="15" customHeight="1" x14ac:dyDescent="0.3"/>
    <row r="1777" ht="15" customHeight="1" x14ac:dyDescent="0.3"/>
    <row r="1778" ht="15" customHeight="1" x14ac:dyDescent="0.3"/>
    <row r="1779" ht="15" customHeight="1" x14ac:dyDescent="0.3"/>
    <row r="1780" ht="15" customHeight="1" x14ac:dyDescent="0.3"/>
    <row r="1781" ht="15" customHeight="1" x14ac:dyDescent="0.3"/>
    <row r="1782" ht="15" customHeight="1" x14ac:dyDescent="0.3"/>
    <row r="1783" ht="15" customHeight="1" x14ac:dyDescent="0.3"/>
    <row r="1784" ht="15" customHeight="1" x14ac:dyDescent="0.3"/>
    <row r="1785" ht="15" customHeight="1" x14ac:dyDescent="0.3"/>
    <row r="1786" ht="15" customHeight="1" x14ac:dyDescent="0.3"/>
    <row r="1787" ht="15" customHeight="1" x14ac:dyDescent="0.3"/>
    <row r="1788" ht="15" customHeight="1" x14ac:dyDescent="0.3"/>
    <row r="1789" ht="15" customHeight="1" x14ac:dyDescent="0.3"/>
    <row r="1790" ht="15" customHeight="1" x14ac:dyDescent="0.3"/>
    <row r="1791" ht="15" customHeight="1" x14ac:dyDescent="0.3"/>
    <row r="1792" ht="15" customHeight="1" x14ac:dyDescent="0.3"/>
    <row r="1793" ht="15" customHeight="1" x14ac:dyDescent="0.3"/>
    <row r="1794" ht="15" customHeight="1" x14ac:dyDescent="0.3"/>
    <row r="1795" ht="15" customHeight="1" x14ac:dyDescent="0.3"/>
    <row r="1796" ht="15" customHeight="1" x14ac:dyDescent="0.3"/>
    <row r="1797" ht="15" customHeight="1" x14ac:dyDescent="0.3"/>
    <row r="1798" ht="15" customHeight="1" x14ac:dyDescent="0.3"/>
    <row r="1799" ht="15" customHeight="1" x14ac:dyDescent="0.3"/>
    <row r="1800" ht="15" customHeight="1" x14ac:dyDescent="0.3"/>
    <row r="1801" ht="15" customHeight="1" x14ac:dyDescent="0.3"/>
    <row r="1802" ht="15" customHeight="1" x14ac:dyDescent="0.3"/>
    <row r="1803" ht="15" customHeight="1" x14ac:dyDescent="0.3"/>
    <row r="1804" ht="15" customHeight="1" x14ac:dyDescent="0.3"/>
    <row r="1805" ht="15" customHeight="1" x14ac:dyDescent="0.3"/>
    <row r="1806" ht="15" customHeight="1" x14ac:dyDescent="0.3"/>
    <row r="1807" ht="15" customHeight="1" x14ac:dyDescent="0.3"/>
    <row r="1808" ht="15" customHeight="1" x14ac:dyDescent="0.3"/>
    <row r="1809" ht="15" customHeight="1" x14ac:dyDescent="0.3"/>
    <row r="1810" ht="15" customHeight="1" x14ac:dyDescent="0.3"/>
    <row r="1811" ht="15" customHeight="1" x14ac:dyDescent="0.3"/>
    <row r="1812" ht="15" customHeight="1" x14ac:dyDescent="0.3"/>
    <row r="1813" ht="15" customHeight="1" x14ac:dyDescent="0.3"/>
    <row r="1814" ht="15" customHeight="1" x14ac:dyDescent="0.3"/>
    <row r="1815" ht="15" customHeight="1" x14ac:dyDescent="0.3"/>
    <row r="1816" ht="15" customHeight="1" x14ac:dyDescent="0.3"/>
    <row r="1817" ht="15" customHeight="1" x14ac:dyDescent="0.3"/>
    <row r="1818" ht="15" customHeight="1" x14ac:dyDescent="0.3"/>
    <row r="1819" ht="15" customHeight="1" x14ac:dyDescent="0.3"/>
    <row r="1820" ht="15" customHeight="1" x14ac:dyDescent="0.3"/>
    <row r="1821" ht="15" customHeight="1" x14ac:dyDescent="0.3"/>
    <row r="1822" ht="15" customHeight="1" x14ac:dyDescent="0.3"/>
    <row r="1823" ht="15" customHeight="1" x14ac:dyDescent="0.3"/>
    <row r="1824" ht="15" customHeight="1" x14ac:dyDescent="0.3"/>
    <row r="1825" ht="15" customHeight="1" x14ac:dyDescent="0.3"/>
    <row r="1826" ht="15" customHeight="1" x14ac:dyDescent="0.3"/>
    <row r="1827" ht="15" customHeight="1" x14ac:dyDescent="0.3"/>
    <row r="1828" ht="15" customHeight="1" x14ac:dyDescent="0.3"/>
    <row r="1829" ht="15" customHeight="1" x14ac:dyDescent="0.3"/>
    <row r="1830" ht="15" customHeight="1" x14ac:dyDescent="0.3"/>
    <row r="1831" ht="15" customHeight="1" x14ac:dyDescent="0.3"/>
    <row r="1832" ht="15" customHeight="1" x14ac:dyDescent="0.3"/>
    <row r="1833" ht="15" customHeight="1" x14ac:dyDescent="0.3"/>
    <row r="1834" ht="15" customHeight="1" x14ac:dyDescent="0.3"/>
    <row r="1835" ht="15" customHeight="1" x14ac:dyDescent="0.3"/>
    <row r="1836" ht="15" customHeight="1" x14ac:dyDescent="0.3"/>
    <row r="1837" ht="15" customHeight="1" x14ac:dyDescent="0.3"/>
    <row r="1838" ht="15" customHeight="1" x14ac:dyDescent="0.3"/>
    <row r="1839" ht="15" customHeight="1" x14ac:dyDescent="0.3"/>
    <row r="1840" ht="15" customHeight="1" x14ac:dyDescent="0.3"/>
    <row r="1841" ht="15" customHeight="1" x14ac:dyDescent="0.3"/>
    <row r="1842" ht="15" customHeight="1" x14ac:dyDescent="0.3"/>
    <row r="1843" ht="15" customHeight="1" x14ac:dyDescent="0.3"/>
    <row r="1844" ht="15" customHeight="1" x14ac:dyDescent="0.3"/>
    <row r="1845" ht="15" customHeight="1" x14ac:dyDescent="0.3"/>
    <row r="1846" ht="15" customHeight="1" x14ac:dyDescent="0.3"/>
    <row r="1847" ht="15" customHeight="1" x14ac:dyDescent="0.3"/>
    <row r="1848" ht="15" customHeight="1" x14ac:dyDescent="0.3"/>
    <row r="1849" ht="15" customHeight="1" x14ac:dyDescent="0.3"/>
    <row r="1850" ht="15" customHeight="1" x14ac:dyDescent="0.3"/>
    <row r="1851" ht="15" customHeight="1" x14ac:dyDescent="0.3"/>
    <row r="1852" ht="15" customHeight="1" x14ac:dyDescent="0.3"/>
    <row r="1853" ht="15" customHeight="1" x14ac:dyDescent="0.3"/>
    <row r="1854" ht="15" customHeight="1" x14ac:dyDescent="0.3"/>
    <row r="1855" ht="15" customHeight="1" x14ac:dyDescent="0.3"/>
    <row r="1856" ht="15" customHeight="1" x14ac:dyDescent="0.3"/>
    <row r="1857" ht="15" customHeight="1" x14ac:dyDescent="0.3"/>
    <row r="1858" ht="15" customHeight="1" x14ac:dyDescent="0.3"/>
    <row r="1859" ht="15" customHeight="1" x14ac:dyDescent="0.3"/>
    <row r="1860" ht="15" customHeight="1" x14ac:dyDescent="0.3"/>
    <row r="1861" ht="15" customHeight="1" x14ac:dyDescent="0.3"/>
    <row r="1862" ht="15" customHeight="1" x14ac:dyDescent="0.3"/>
    <row r="1863" ht="15" customHeight="1" x14ac:dyDescent="0.3"/>
    <row r="1864" ht="15" customHeight="1" x14ac:dyDescent="0.3"/>
    <row r="1865" ht="15" customHeight="1" x14ac:dyDescent="0.3"/>
    <row r="1866" ht="15" customHeight="1" x14ac:dyDescent="0.3"/>
    <row r="1867" ht="15" customHeight="1" x14ac:dyDescent="0.3"/>
    <row r="1868" ht="15" customHeight="1" x14ac:dyDescent="0.3"/>
    <row r="1869" ht="15" customHeight="1" x14ac:dyDescent="0.3"/>
    <row r="1870" ht="15" customHeight="1" x14ac:dyDescent="0.3"/>
    <row r="1871" ht="15" customHeight="1" x14ac:dyDescent="0.3"/>
    <row r="1872" ht="15" customHeight="1" x14ac:dyDescent="0.3"/>
    <row r="1873" ht="15" customHeight="1" x14ac:dyDescent="0.3"/>
    <row r="1874" ht="15" customHeight="1" x14ac:dyDescent="0.3"/>
    <row r="1875" ht="15" customHeight="1" x14ac:dyDescent="0.3"/>
    <row r="1876" ht="15" customHeight="1" x14ac:dyDescent="0.3"/>
    <row r="1877" ht="15" customHeight="1" x14ac:dyDescent="0.3"/>
    <row r="1878" ht="15" customHeight="1" x14ac:dyDescent="0.3"/>
    <row r="1879" ht="15" customHeight="1" x14ac:dyDescent="0.3"/>
    <row r="1880" ht="15" customHeight="1" x14ac:dyDescent="0.3"/>
    <row r="1881" ht="15" customHeight="1" x14ac:dyDescent="0.3"/>
    <row r="1882" ht="15" customHeight="1" x14ac:dyDescent="0.3"/>
    <row r="1883" ht="15" customHeight="1" x14ac:dyDescent="0.3"/>
    <row r="1884" ht="15" customHeight="1" x14ac:dyDescent="0.3"/>
    <row r="1885" ht="15" customHeight="1" x14ac:dyDescent="0.3"/>
    <row r="1886" ht="15" customHeight="1" x14ac:dyDescent="0.3"/>
    <row r="1887" ht="15" customHeight="1" x14ac:dyDescent="0.3"/>
    <row r="1888" ht="15" customHeight="1" x14ac:dyDescent="0.3"/>
    <row r="1889" ht="15" customHeight="1" x14ac:dyDescent="0.3"/>
    <row r="1890" ht="15" customHeight="1" x14ac:dyDescent="0.3"/>
    <row r="1891" ht="15" customHeight="1" x14ac:dyDescent="0.3"/>
    <row r="1892" ht="15" customHeight="1" x14ac:dyDescent="0.3"/>
    <row r="1893" ht="15" customHeight="1" x14ac:dyDescent="0.3"/>
    <row r="1894" ht="15" customHeight="1" x14ac:dyDescent="0.3"/>
    <row r="1895" ht="15" customHeight="1" x14ac:dyDescent="0.3"/>
    <row r="1896" ht="15" customHeight="1" x14ac:dyDescent="0.3"/>
    <row r="1897" ht="15" customHeight="1" x14ac:dyDescent="0.3"/>
    <row r="1898" ht="15" customHeight="1" x14ac:dyDescent="0.3"/>
    <row r="1899" ht="15" customHeight="1" x14ac:dyDescent="0.3"/>
    <row r="1900" ht="15" customHeight="1" x14ac:dyDescent="0.3"/>
    <row r="1901" ht="15" customHeight="1" x14ac:dyDescent="0.3"/>
    <row r="1902" ht="15" customHeight="1" x14ac:dyDescent="0.3"/>
    <row r="1903" ht="15" customHeight="1" x14ac:dyDescent="0.3"/>
    <row r="1904" ht="15" customHeight="1" x14ac:dyDescent="0.3"/>
    <row r="1905" ht="15" customHeight="1" x14ac:dyDescent="0.3"/>
    <row r="1906" ht="15" customHeight="1" x14ac:dyDescent="0.3"/>
    <row r="1907" ht="15" customHeight="1" x14ac:dyDescent="0.3"/>
    <row r="1908" ht="15" customHeight="1" x14ac:dyDescent="0.3"/>
    <row r="1909" ht="15" customHeight="1" x14ac:dyDescent="0.3"/>
    <row r="1910" ht="15" customHeight="1" x14ac:dyDescent="0.3"/>
    <row r="1911" ht="15" customHeight="1" x14ac:dyDescent="0.3"/>
    <row r="1912" ht="15" customHeight="1" x14ac:dyDescent="0.3"/>
    <row r="1913" ht="15" customHeight="1" x14ac:dyDescent="0.3"/>
    <row r="1914" ht="15" customHeight="1" x14ac:dyDescent="0.3"/>
    <row r="1915" ht="15" customHeight="1" x14ac:dyDescent="0.3"/>
    <row r="1916" ht="15" customHeight="1" x14ac:dyDescent="0.3"/>
    <row r="1917" ht="15" customHeight="1" x14ac:dyDescent="0.3"/>
    <row r="1918" ht="15" customHeight="1" x14ac:dyDescent="0.3"/>
    <row r="1919" ht="15" customHeight="1" x14ac:dyDescent="0.3"/>
    <row r="1920" ht="15" customHeight="1" x14ac:dyDescent="0.3"/>
    <row r="1921" ht="15" customHeight="1" x14ac:dyDescent="0.3"/>
    <row r="1922" ht="15" customHeight="1" x14ac:dyDescent="0.3"/>
    <row r="1923" ht="15" customHeight="1" x14ac:dyDescent="0.3"/>
    <row r="1924" ht="15" customHeight="1" x14ac:dyDescent="0.3"/>
    <row r="1925" ht="15" customHeight="1" x14ac:dyDescent="0.3"/>
    <row r="1926" ht="15" customHeight="1" x14ac:dyDescent="0.3"/>
    <row r="1927" ht="15" customHeight="1" x14ac:dyDescent="0.3"/>
    <row r="1928" ht="15" customHeight="1" x14ac:dyDescent="0.3"/>
    <row r="1929" ht="15" customHeight="1" x14ac:dyDescent="0.3"/>
    <row r="1930" ht="15" customHeight="1" x14ac:dyDescent="0.3"/>
    <row r="1931" ht="15" customHeight="1" x14ac:dyDescent="0.3"/>
    <row r="1932" ht="15" customHeight="1" x14ac:dyDescent="0.3"/>
    <row r="1933" ht="15" customHeight="1" x14ac:dyDescent="0.3"/>
    <row r="1934" ht="15" customHeight="1" x14ac:dyDescent="0.3"/>
    <row r="1935" ht="15" customHeight="1" x14ac:dyDescent="0.3"/>
    <row r="1936" ht="15" customHeight="1" x14ac:dyDescent="0.3"/>
    <row r="1937" ht="15" customHeight="1" x14ac:dyDescent="0.3"/>
    <row r="1938" ht="15" customHeight="1" x14ac:dyDescent="0.3"/>
    <row r="1939" ht="15" customHeight="1" x14ac:dyDescent="0.3"/>
    <row r="1940" ht="15" customHeight="1" x14ac:dyDescent="0.3"/>
    <row r="1941" ht="15" customHeight="1" x14ac:dyDescent="0.3"/>
    <row r="1942" ht="15" customHeight="1" x14ac:dyDescent="0.3"/>
    <row r="1943" ht="15" customHeight="1" x14ac:dyDescent="0.3"/>
    <row r="1944" ht="15" customHeight="1" x14ac:dyDescent="0.3"/>
    <row r="1945" ht="15" customHeight="1" x14ac:dyDescent="0.3"/>
    <row r="1946" ht="15" customHeight="1" x14ac:dyDescent="0.3"/>
    <row r="1947" ht="15" customHeight="1" x14ac:dyDescent="0.3"/>
    <row r="1948" ht="15" customHeight="1" x14ac:dyDescent="0.3"/>
    <row r="1949" ht="15" customHeight="1" x14ac:dyDescent="0.3"/>
    <row r="1950" ht="15" customHeight="1" x14ac:dyDescent="0.3"/>
    <row r="1951" ht="15" customHeight="1" x14ac:dyDescent="0.3"/>
    <row r="1952" ht="15" customHeight="1" x14ac:dyDescent="0.3"/>
    <row r="1953" ht="15" customHeight="1" x14ac:dyDescent="0.3"/>
    <row r="1954" ht="15" customHeight="1" x14ac:dyDescent="0.3"/>
    <row r="1955" ht="15" customHeight="1" x14ac:dyDescent="0.3"/>
    <row r="1956" ht="15" customHeight="1" x14ac:dyDescent="0.3"/>
    <row r="1957" ht="15" customHeight="1" x14ac:dyDescent="0.3"/>
    <row r="1958" ht="15" customHeight="1" x14ac:dyDescent="0.3"/>
    <row r="1959" ht="15" customHeight="1" x14ac:dyDescent="0.3"/>
    <row r="1960" ht="15" customHeight="1" x14ac:dyDescent="0.3"/>
    <row r="1961" ht="15" customHeight="1" x14ac:dyDescent="0.3"/>
    <row r="1962" ht="15" customHeight="1" x14ac:dyDescent="0.3"/>
    <row r="1963" ht="15" customHeight="1" x14ac:dyDescent="0.3"/>
    <row r="1964" ht="15" customHeight="1" x14ac:dyDescent="0.3"/>
    <row r="1965" ht="15" customHeight="1" x14ac:dyDescent="0.3"/>
    <row r="1966" ht="15" customHeight="1" x14ac:dyDescent="0.3"/>
    <row r="1967" ht="15" customHeight="1" x14ac:dyDescent="0.3"/>
    <row r="1968" ht="15" customHeight="1" x14ac:dyDescent="0.3"/>
    <row r="1969" ht="15" customHeight="1" x14ac:dyDescent="0.3"/>
    <row r="1970" ht="15" customHeight="1" x14ac:dyDescent="0.3"/>
    <row r="1971" ht="15" customHeight="1" x14ac:dyDescent="0.3"/>
    <row r="1972" ht="15" customHeight="1" x14ac:dyDescent="0.3"/>
    <row r="1973" ht="15" customHeight="1" x14ac:dyDescent="0.3"/>
    <row r="1974" ht="15" customHeight="1" x14ac:dyDescent="0.3"/>
    <row r="1975" ht="15" customHeight="1" x14ac:dyDescent="0.3"/>
    <row r="1976" ht="15" customHeight="1" x14ac:dyDescent="0.3"/>
    <row r="1977" ht="15" customHeight="1" x14ac:dyDescent="0.3"/>
    <row r="1978" ht="15" customHeight="1" x14ac:dyDescent="0.3"/>
    <row r="1979" ht="15" customHeight="1" x14ac:dyDescent="0.3"/>
    <row r="1980" ht="15" customHeight="1" x14ac:dyDescent="0.3"/>
    <row r="1981" ht="15" customHeight="1" x14ac:dyDescent="0.3"/>
    <row r="1982" ht="15" customHeight="1" x14ac:dyDescent="0.3"/>
    <row r="1983" ht="15" customHeight="1" x14ac:dyDescent="0.3"/>
    <row r="1984" ht="15" customHeight="1" x14ac:dyDescent="0.3"/>
    <row r="1985" ht="15" customHeight="1" x14ac:dyDescent="0.3"/>
    <row r="1986" ht="15" customHeight="1" x14ac:dyDescent="0.3"/>
    <row r="1987" ht="15" customHeight="1" x14ac:dyDescent="0.3"/>
    <row r="1988" ht="15" customHeight="1" x14ac:dyDescent="0.3"/>
    <row r="1989" ht="15" customHeight="1" x14ac:dyDescent="0.3"/>
    <row r="1990" ht="15" customHeight="1" x14ac:dyDescent="0.3"/>
    <row r="1991" ht="15" customHeight="1" x14ac:dyDescent="0.3"/>
    <row r="1992" ht="15" customHeight="1" x14ac:dyDescent="0.3"/>
    <row r="1993" ht="15" customHeight="1" x14ac:dyDescent="0.3"/>
    <row r="1994" ht="15" customHeight="1" x14ac:dyDescent="0.3"/>
    <row r="1995" ht="15" customHeight="1" x14ac:dyDescent="0.3"/>
    <row r="1996" ht="15" customHeight="1" x14ac:dyDescent="0.3"/>
    <row r="1997" ht="15" customHeight="1" x14ac:dyDescent="0.3"/>
    <row r="1998" ht="15" customHeight="1" x14ac:dyDescent="0.3"/>
    <row r="1999" ht="15" customHeight="1" x14ac:dyDescent="0.3"/>
    <row r="2000" ht="15" customHeight="1" x14ac:dyDescent="0.3"/>
    <row r="2001" ht="15" customHeight="1" x14ac:dyDescent="0.3"/>
    <row r="2002" ht="15" customHeight="1" x14ac:dyDescent="0.3"/>
    <row r="2003" ht="15" customHeight="1" x14ac:dyDescent="0.3"/>
    <row r="2004" ht="15" customHeight="1" x14ac:dyDescent="0.3"/>
    <row r="2005" ht="15" customHeight="1" x14ac:dyDescent="0.3"/>
    <row r="2006" ht="15" customHeight="1" x14ac:dyDescent="0.3"/>
    <row r="2007" ht="15" customHeight="1" x14ac:dyDescent="0.3"/>
    <row r="2008" ht="15" customHeight="1" x14ac:dyDescent="0.3"/>
    <row r="2009" ht="15" customHeight="1" x14ac:dyDescent="0.3"/>
    <row r="2010" ht="15" customHeight="1" x14ac:dyDescent="0.3"/>
    <row r="2011" ht="15" customHeight="1" x14ac:dyDescent="0.3"/>
    <row r="2012" ht="15" customHeight="1" x14ac:dyDescent="0.3"/>
    <row r="2013" ht="15" customHeight="1" x14ac:dyDescent="0.3"/>
    <row r="2014" ht="15" customHeight="1" x14ac:dyDescent="0.3"/>
    <row r="2015" ht="15" customHeight="1" x14ac:dyDescent="0.3"/>
    <row r="2016" ht="15" customHeight="1" x14ac:dyDescent="0.3"/>
    <row r="2017" ht="15" customHeight="1" x14ac:dyDescent="0.3"/>
    <row r="2018" ht="15" customHeight="1" x14ac:dyDescent="0.3"/>
    <row r="2019" ht="15" customHeight="1" x14ac:dyDescent="0.3"/>
    <row r="2020" ht="15" customHeight="1" x14ac:dyDescent="0.3"/>
    <row r="2021" ht="15" customHeight="1" x14ac:dyDescent="0.3"/>
    <row r="2022" ht="15" customHeight="1" x14ac:dyDescent="0.3"/>
    <row r="2023" ht="15" customHeight="1" x14ac:dyDescent="0.3"/>
    <row r="2024" ht="15" customHeight="1" x14ac:dyDescent="0.3"/>
    <row r="2025" ht="15" customHeight="1" x14ac:dyDescent="0.3"/>
    <row r="2026" ht="15" customHeight="1" x14ac:dyDescent="0.3"/>
    <row r="2027" ht="15" customHeight="1" x14ac:dyDescent="0.3"/>
    <row r="2028" ht="15" customHeight="1" x14ac:dyDescent="0.3"/>
    <row r="2029" ht="15" customHeight="1" x14ac:dyDescent="0.3"/>
    <row r="2030" ht="15" customHeight="1" x14ac:dyDescent="0.3"/>
    <row r="2031" ht="15" customHeight="1" x14ac:dyDescent="0.3"/>
    <row r="2032" ht="15" customHeight="1" x14ac:dyDescent="0.3"/>
    <row r="2033" ht="15" customHeight="1" x14ac:dyDescent="0.3"/>
    <row r="2034" ht="15" customHeight="1" x14ac:dyDescent="0.3"/>
    <row r="2035" ht="15" customHeight="1" x14ac:dyDescent="0.3"/>
    <row r="2036" ht="15" customHeight="1" x14ac:dyDescent="0.3"/>
    <row r="2037" ht="15" customHeight="1" x14ac:dyDescent="0.3"/>
    <row r="2038" ht="15" customHeight="1" x14ac:dyDescent="0.3"/>
    <row r="2039" ht="15" customHeight="1" x14ac:dyDescent="0.3"/>
    <row r="2040" ht="15" customHeight="1" x14ac:dyDescent="0.3"/>
    <row r="2041" ht="15" customHeight="1" x14ac:dyDescent="0.3"/>
    <row r="2042" ht="15" customHeight="1" x14ac:dyDescent="0.3"/>
    <row r="2043" ht="15" customHeight="1" x14ac:dyDescent="0.3"/>
    <row r="2044" ht="15" customHeight="1" x14ac:dyDescent="0.3"/>
    <row r="2045" ht="15" customHeight="1" x14ac:dyDescent="0.3"/>
    <row r="2046" ht="15" customHeight="1" x14ac:dyDescent="0.3"/>
    <row r="2047" ht="15" customHeight="1" x14ac:dyDescent="0.3"/>
    <row r="2048" ht="15" customHeight="1" x14ac:dyDescent="0.3"/>
    <row r="2049" ht="15" customHeight="1" x14ac:dyDescent="0.3"/>
    <row r="2050" ht="15" customHeight="1" x14ac:dyDescent="0.3"/>
    <row r="2051" ht="15" customHeight="1" x14ac:dyDescent="0.3"/>
    <row r="2052" ht="15" customHeight="1" x14ac:dyDescent="0.3"/>
    <row r="2053" ht="15" customHeight="1" x14ac:dyDescent="0.3"/>
    <row r="2054" ht="15" customHeight="1" x14ac:dyDescent="0.3"/>
    <row r="2055" ht="15" customHeight="1" x14ac:dyDescent="0.3"/>
    <row r="2056" ht="15" customHeight="1" x14ac:dyDescent="0.3"/>
    <row r="2057" ht="15" customHeight="1" x14ac:dyDescent="0.3"/>
    <row r="2058" ht="15" customHeight="1" x14ac:dyDescent="0.3"/>
    <row r="2059" ht="15" customHeight="1" x14ac:dyDescent="0.3"/>
    <row r="2060" ht="15" customHeight="1" x14ac:dyDescent="0.3"/>
    <row r="2061" ht="15" customHeight="1" x14ac:dyDescent="0.3"/>
    <row r="2062" ht="15" customHeight="1" x14ac:dyDescent="0.3"/>
    <row r="2063" ht="15" customHeight="1" x14ac:dyDescent="0.3"/>
    <row r="2064" ht="15" customHeight="1" x14ac:dyDescent="0.3"/>
    <row r="2065" ht="15" customHeight="1" x14ac:dyDescent="0.3"/>
    <row r="2066" ht="15" customHeight="1" x14ac:dyDescent="0.3"/>
    <row r="2067" ht="15" customHeight="1" x14ac:dyDescent="0.3"/>
    <row r="2068" ht="15" customHeight="1" x14ac:dyDescent="0.3"/>
    <row r="2069" ht="15" customHeight="1" x14ac:dyDescent="0.3"/>
    <row r="2070" ht="15" customHeight="1" x14ac:dyDescent="0.3"/>
    <row r="2071" ht="15" customHeight="1" x14ac:dyDescent="0.3"/>
    <row r="2072" ht="15" customHeight="1" x14ac:dyDescent="0.3"/>
    <row r="2073" ht="15" customHeight="1" x14ac:dyDescent="0.3"/>
    <row r="2074" ht="15" customHeight="1" x14ac:dyDescent="0.3"/>
    <row r="2075" ht="15" customHeight="1" x14ac:dyDescent="0.3"/>
    <row r="2076" ht="15" customHeight="1" x14ac:dyDescent="0.3"/>
    <row r="2077" ht="15" customHeight="1" x14ac:dyDescent="0.3"/>
    <row r="2078" ht="15" customHeight="1" x14ac:dyDescent="0.3"/>
    <row r="2079" ht="15" customHeight="1" x14ac:dyDescent="0.3"/>
    <row r="2080" ht="15" customHeight="1" x14ac:dyDescent="0.3"/>
    <row r="2081" ht="15" customHeight="1" x14ac:dyDescent="0.3"/>
    <row r="2082" ht="15" customHeight="1" x14ac:dyDescent="0.3"/>
    <row r="2083" ht="15" customHeight="1" x14ac:dyDescent="0.3"/>
    <row r="2084" ht="15" customHeight="1" x14ac:dyDescent="0.3"/>
    <row r="2085" ht="15" customHeight="1" x14ac:dyDescent="0.3"/>
    <row r="2086" ht="15" customHeight="1" x14ac:dyDescent="0.3"/>
    <row r="2087" ht="15" customHeight="1" x14ac:dyDescent="0.3"/>
    <row r="2088" ht="15" customHeight="1" x14ac:dyDescent="0.3"/>
    <row r="2089" ht="15" customHeight="1" x14ac:dyDescent="0.3"/>
    <row r="2090" ht="15" customHeight="1" x14ac:dyDescent="0.3"/>
    <row r="2091" ht="15" customHeight="1" x14ac:dyDescent="0.3"/>
    <row r="2092" ht="15" customHeight="1" x14ac:dyDescent="0.3"/>
    <row r="2093" ht="15" customHeight="1" x14ac:dyDescent="0.3"/>
    <row r="2094" ht="15" customHeight="1" x14ac:dyDescent="0.3"/>
    <row r="2095" ht="15" customHeight="1" x14ac:dyDescent="0.3"/>
    <row r="2096" ht="15" customHeight="1" x14ac:dyDescent="0.3"/>
    <row r="2097" ht="15" customHeight="1" x14ac:dyDescent="0.3"/>
    <row r="2098" ht="15" customHeight="1" x14ac:dyDescent="0.3"/>
    <row r="2099" ht="15" customHeight="1" x14ac:dyDescent="0.3"/>
    <row r="2100" ht="15" customHeight="1" x14ac:dyDescent="0.3"/>
    <row r="2101" ht="15" customHeight="1" x14ac:dyDescent="0.3"/>
    <row r="2102" ht="15" customHeight="1" x14ac:dyDescent="0.3"/>
    <row r="2103" ht="15" customHeight="1" x14ac:dyDescent="0.3"/>
    <row r="2104" ht="15" customHeight="1" x14ac:dyDescent="0.3"/>
    <row r="2105" ht="15" customHeight="1" x14ac:dyDescent="0.3"/>
    <row r="2106" ht="15" customHeight="1" x14ac:dyDescent="0.3"/>
    <row r="2107" ht="15" customHeight="1" x14ac:dyDescent="0.3"/>
    <row r="2108" ht="15" customHeight="1" x14ac:dyDescent="0.3"/>
    <row r="2109" ht="15" customHeight="1" x14ac:dyDescent="0.3"/>
    <row r="2110" ht="15" customHeight="1" x14ac:dyDescent="0.3"/>
    <row r="2111" ht="15" customHeight="1" x14ac:dyDescent="0.3"/>
    <row r="2112" ht="15" customHeight="1" x14ac:dyDescent="0.3"/>
    <row r="2113" ht="15" customHeight="1" x14ac:dyDescent="0.3"/>
    <row r="2114" ht="15" customHeight="1" x14ac:dyDescent="0.3"/>
    <row r="2115" ht="15" customHeight="1" x14ac:dyDescent="0.3"/>
    <row r="2116" ht="15" customHeight="1" x14ac:dyDescent="0.3"/>
    <row r="2117" ht="15" customHeight="1" x14ac:dyDescent="0.3"/>
    <row r="2118" ht="15" customHeight="1" x14ac:dyDescent="0.3"/>
    <row r="2119" ht="15" customHeight="1" x14ac:dyDescent="0.3"/>
    <row r="2120" ht="15" customHeight="1" x14ac:dyDescent="0.3"/>
    <row r="2121" ht="15" customHeight="1" x14ac:dyDescent="0.3"/>
    <row r="2122" ht="15" customHeight="1" x14ac:dyDescent="0.3"/>
    <row r="2123" ht="15" customHeight="1" x14ac:dyDescent="0.3"/>
    <row r="2124" ht="15" customHeight="1" x14ac:dyDescent="0.3"/>
    <row r="2125" ht="15" customHeight="1" x14ac:dyDescent="0.3"/>
    <row r="2126" ht="15" customHeight="1" x14ac:dyDescent="0.3"/>
    <row r="2127" ht="15" customHeight="1" x14ac:dyDescent="0.3"/>
    <row r="2128" ht="15" customHeight="1" x14ac:dyDescent="0.3"/>
    <row r="2129" ht="15" customHeight="1" x14ac:dyDescent="0.3"/>
    <row r="2130" ht="15" customHeight="1" x14ac:dyDescent="0.3"/>
    <row r="2131" ht="15" customHeight="1" x14ac:dyDescent="0.3"/>
    <row r="2132" ht="15" customHeight="1" x14ac:dyDescent="0.3"/>
    <row r="2133" ht="15" customHeight="1" x14ac:dyDescent="0.3"/>
    <row r="2134" ht="15" customHeight="1" x14ac:dyDescent="0.3"/>
    <row r="2135" ht="15" customHeight="1" x14ac:dyDescent="0.3"/>
    <row r="2136" ht="15" customHeight="1" x14ac:dyDescent="0.3"/>
    <row r="2137" ht="15" customHeight="1" x14ac:dyDescent="0.3"/>
    <row r="2138" ht="15" customHeight="1" x14ac:dyDescent="0.3"/>
    <row r="2139" ht="15" customHeight="1" x14ac:dyDescent="0.3"/>
    <row r="2140" ht="15" customHeight="1" x14ac:dyDescent="0.3"/>
    <row r="2141" ht="15" customHeight="1" x14ac:dyDescent="0.3"/>
    <row r="2142" ht="15" customHeight="1" x14ac:dyDescent="0.3"/>
    <row r="2143" ht="15" customHeight="1" x14ac:dyDescent="0.3"/>
    <row r="2144" ht="15" customHeight="1" x14ac:dyDescent="0.3"/>
    <row r="2145" ht="15" customHeight="1" x14ac:dyDescent="0.3"/>
    <row r="2146" ht="15" customHeight="1" x14ac:dyDescent="0.3"/>
    <row r="2147" ht="15" customHeight="1" x14ac:dyDescent="0.3"/>
    <row r="2148" ht="15" customHeight="1" x14ac:dyDescent="0.3"/>
    <row r="2149" ht="15" customHeight="1" x14ac:dyDescent="0.3"/>
    <row r="2150" ht="15" customHeight="1" x14ac:dyDescent="0.3"/>
    <row r="2151" ht="15" customHeight="1" x14ac:dyDescent="0.3"/>
    <row r="2152" ht="15" customHeight="1" x14ac:dyDescent="0.3"/>
    <row r="2153" ht="15" customHeight="1" x14ac:dyDescent="0.3"/>
    <row r="2154" ht="15" customHeight="1" x14ac:dyDescent="0.3"/>
    <row r="2155" ht="15" customHeight="1" x14ac:dyDescent="0.3"/>
    <row r="2156" ht="15" customHeight="1" x14ac:dyDescent="0.3"/>
    <row r="2157" ht="15" customHeight="1" x14ac:dyDescent="0.3"/>
    <row r="2158" ht="15" customHeight="1" x14ac:dyDescent="0.3"/>
    <row r="2159" ht="15" customHeight="1" x14ac:dyDescent="0.3"/>
    <row r="2160" ht="15" customHeight="1" x14ac:dyDescent="0.3"/>
    <row r="2161" ht="15" customHeight="1" x14ac:dyDescent="0.3"/>
    <row r="2162" ht="15" customHeight="1" x14ac:dyDescent="0.3"/>
    <row r="2163" ht="15" customHeight="1" x14ac:dyDescent="0.3"/>
    <row r="2164" ht="15" customHeight="1" x14ac:dyDescent="0.3"/>
    <row r="2165" ht="15" customHeight="1" x14ac:dyDescent="0.3"/>
    <row r="2166" ht="15" customHeight="1" x14ac:dyDescent="0.3"/>
    <row r="2167" ht="15" customHeight="1" x14ac:dyDescent="0.3"/>
    <row r="2168" ht="15" customHeight="1" x14ac:dyDescent="0.3"/>
    <row r="2169" ht="15" customHeight="1" x14ac:dyDescent="0.3"/>
    <row r="2170" ht="15" customHeight="1" x14ac:dyDescent="0.3"/>
    <row r="2171" ht="15" customHeight="1" x14ac:dyDescent="0.3"/>
    <row r="2172" ht="15" customHeight="1" x14ac:dyDescent="0.3"/>
    <row r="2173" ht="15" customHeight="1" x14ac:dyDescent="0.3"/>
    <row r="2174" ht="15" customHeight="1" x14ac:dyDescent="0.3"/>
    <row r="2175" ht="15" customHeight="1" x14ac:dyDescent="0.3"/>
    <row r="2176" ht="15" customHeight="1" x14ac:dyDescent="0.3"/>
    <row r="2177" ht="15" customHeight="1" x14ac:dyDescent="0.3"/>
    <row r="2178" ht="15" customHeight="1" x14ac:dyDescent="0.3"/>
    <row r="2179" ht="15" customHeight="1" x14ac:dyDescent="0.3"/>
    <row r="2180" ht="15" customHeight="1" x14ac:dyDescent="0.3"/>
    <row r="2181" ht="15" customHeight="1" x14ac:dyDescent="0.3"/>
    <row r="2182" ht="15" customHeight="1" x14ac:dyDescent="0.3"/>
    <row r="2183" ht="15" customHeight="1" x14ac:dyDescent="0.3"/>
    <row r="2184" ht="15" customHeight="1" x14ac:dyDescent="0.3"/>
    <row r="2185" ht="15" customHeight="1" x14ac:dyDescent="0.3"/>
    <row r="2186" ht="15" customHeight="1" x14ac:dyDescent="0.3"/>
    <row r="2187" ht="15" customHeight="1" x14ac:dyDescent="0.3"/>
    <row r="2188" ht="15" customHeight="1" x14ac:dyDescent="0.3"/>
    <row r="2189" ht="15" customHeight="1" x14ac:dyDescent="0.3"/>
    <row r="2190" ht="15" customHeight="1" x14ac:dyDescent="0.3"/>
    <row r="2191" ht="15" customHeight="1" x14ac:dyDescent="0.3"/>
    <row r="2192" ht="15" customHeight="1" x14ac:dyDescent="0.3"/>
    <row r="2193" ht="15" customHeight="1" x14ac:dyDescent="0.3"/>
    <row r="2194" ht="15" customHeight="1" x14ac:dyDescent="0.3"/>
    <row r="2195" ht="15" customHeight="1" x14ac:dyDescent="0.3"/>
    <row r="2196" ht="15" customHeight="1" x14ac:dyDescent="0.3"/>
    <row r="2197" ht="15" customHeight="1" x14ac:dyDescent="0.3"/>
    <row r="2198" ht="15" customHeight="1" x14ac:dyDescent="0.3"/>
    <row r="2199" ht="15" customHeight="1" x14ac:dyDescent="0.3"/>
    <row r="2200" ht="15" customHeight="1" x14ac:dyDescent="0.3"/>
    <row r="2201" ht="15" customHeight="1" x14ac:dyDescent="0.3"/>
    <row r="2202" ht="15" customHeight="1" x14ac:dyDescent="0.3"/>
    <row r="2203" ht="15" customHeight="1" x14ac:dyDescent="0.3"/>
    <row r="2204" ht="15" customHeight="1" x14ac:dyDescent="0.3"/>
    <row r="2205" ht="15" customHeight="1" x14ac:dyDescent="0.3"/>
    <row r="2206" ht="15" customHeight="1" x14ac:dyDescent="0.3"/>
    <row r="2207" ht="15" customHeight="1" x14ac:dyDescent="0.3"/>
    <row r="2208" ht="15" customHeight="1" x14ac:dyDescent="0.3"/>
    <row r="2209" ht="15" customHeight="1" x14ac:dyDescent="0.3"/>
    <row r="2210" ht="15" customHeight="1" x14ac:dyDescent="0.3"/>
    <row r="2211" ht="15" customHeight="1" x14ac:dyDescent="0.3"/>
    <row r="2212" ht="15" customHeight="1" x14ac:dyDescent="0.3"/>
    <row r="2213" ht="15" customHeight="1" x14ac:dyDescent="0.3"/>
    <row r="2214" ht="15" customHeight="1" x14ac:dyDescent="0.3"/>
    <row r="2215" ht="15" customHeight="1" x14ac:dyDescent="0.3"/>
    <row r="2216" ht="15" customHeight="1" x14ac:dyDescent="0.3"/>
    <row r="2217" ht="15" customHeight="1" x14ac:dyDescent="0.3"/>
    <row r="2218" ht="15" customHeight="1" x14ac:dyDescent="0.3"/>
    <row r="2219" ht="15" customHeight="1" x14ac:dyDescent="0.3"/>
    <row r="2220" ht="15" customHeight="1" x14ac:dyDescent="0.3"/>
    <row r="2221" ht="15" customHeight="1" x14ac:dyDescent="0.3"/>
    <row r="2222" ht="15" customHeight="1" x14ac:dyDescent="0.3"/>
    <row r="2223" ht="15" customHeight="1" x14ac:dyDescent="0.3"/>
    <row r="2224" ht="15" customHeight="1" x14ac:dyDescent="0.3"/>
    <row r="2225" ht="15" customHeight="1" x14ac:dyDescent="0.3"/>
    <row r="2226" ht="15" customHeight="1" x14ac:dyDescent="0.3"/>
    <row r="2227" ht="15" customHeight="1" x14ac:dyDescent="0.3"/>
    <row r="2228" ht="15" customHeight="1" x14ac:dyDescent="0.3"/>
    <row r="2229" ht="15" customHeight="1" x14ac:dyDescent="0.3"/>
    <row r="2230" ht="15" customHeight="1" x14ac:dyDescent="0.3"/>
    <row r="2231" ht="15" customHeight="1" x14ac:dyDescent="0.3"/>
    <row r="2232" ht="15" customHeight="1" x14ac:dyDescent="0.3"/>
    <row r="2233" ht="15" customHeight="1" x14ac:dyDescent="0.3"/>
    <row r="2234" ht="15" customHeight="1" x14ac:dyDescent="0.3"/>
    <row r="2235" ht="15" customHeight="1" x14ac:dyDescent="0.3"/>
    <row r="2236" ht="15" customHeight="1" x14ac:dyDescent="0.3"/>
    <row r="2237" ht="15" customHeight="1" x14ac:dyDescent="0.3"/>
    <row r="2238" ht="15" customHeight="1" x14ac:dyDescent="0.3"/>
    <row r="2239" ht="15" customHeight="1" x14ac:dyDescent="0.3"/>
    <row r="2240" ht="15" customHeight="1" x14ac:dyDescent="0.3"/>
    <row r="2241" ht="15" customHeight="1" x14ac:dyDescent="0.3"/>
    <row r="2242" ht="15" customHeight="1" x14ac:dyDescent="0.3"/>
    <row r="2243" ht="15" customHeight="1" x14ac:dyDescent="0.3"/>
    <row r="2244" ht="15" customHeight="1" x14ac:dyDescent="0.3"/>
    <row r="2245" ht="15" customHeight="1" x14ac:dyDescent="0.3"/>
    <row r="2246" ht="15" customHeight="1" x14ac:dyDescent="0.3"/>
    <row r="2247" ht="15" customHeight="1" x14ac:dyDescent="0.3"/>
    <row r="2248" ht="15" customHeight="1" x14ac:dyDescent="0.3"/>
    <row r="2249" ht="15" customHeight="1" x14ac:dyDescent="0.3"/>
    <row r="2250" ht="15" customHeight="1" x14ac:dyDescent="0.3"/>
    <row r="2251" ht="15" customHeight="1" x14ac:dyDescent="0.3"/>
    <row r="2252" ht="15" customHeight="1" x14ac:dyDescent="0.3"/>
    <row r="2253" ht="15" customHeight="1" x14ac:dyDescent="0.3"/>
    <row r="2254" ht="15" customHeight="1" x14ac:dyDescent="0.3"/>
    <row r="2255" ht="15" customHeight="1" x14ac:dyDescent="0.3"/>
    <row r="2256" ht="15" customHeight="1" x14ac:dyDescent="0.3"/>
    <row r="2257" ht="15" customHeight="1" x14ac:dyDescent="0.3"/>
    <row r="2258" ht="15" customHeight="1" x14ac:dyDescent="0.3"/>
    <row r="2259" ht="15" customHeight="1" x14ac:dyDescent="0.3"/>
    <row r="2260" ht="15" customHeight="1" x14ac:dyDescent="0.3"/>
    <row r="2261" ht="15" customHeight="1" x14ac:dyDescent="0.3"/>
    <row r="2262" ht="15" customHeight="1" x14ac:dyDescent="0.3"/>
    <row r="2263" ht="15" customHeight="1" x14ac:dyDescent="0.3"/>
    <row r="2264" ht="15" customHeight="1" x14ac:dyDescent="0.3"/>
    <row r="2265" ht="15" customHeight="1" x14ac:dyDescent="0.3"/>
    <row r="2266" ht="15" customHeight="1" x14ac:dyDescent="0.3"/>
    <row r="2267" ht="15" customHeight="1" x14ac:dyDescent="0.3"/>
    <row r="2268" ht="15" customHeight="1" x14ac:dyDescent="0.3"/>
    <row r="2269" ht="15" customHeight="1" x14ac:dyDescent="0.3"/>
    <row r="2270" ht="15" customHeight="1" x14ac:dyDescent="0.3"/>
    <row r="2271" ht="15" customHeight="1" x14ac:dyDescent="0.3"/>
    <row r="2272" ht="15" customHeight="1" x14ac:dyDescent="0.3"/>
    <row r="2273" ht="15" customHeight="1" x14ac:dyDescent="0.3"/>
    <row r="2274" ht="15" customHeight="1" x14ac:dyDescent="0.3"/>
    <row r="2275" ht="15" customHeight="1" x14ac:dyDescent="0.3"/>
    <row r="2276" ht="15" customHeight="1" x14ac:dyDescent="0.3"/>
    <row r="2277" ht="15" customHeight="1" x14ac:dyDescent="0.3"/>
    <row r="2278" ht="15" customHeight="1" x14ac:dyDescent="0.3"/>
    <row r="2279" ht="15" customHeight="1" x14ac:dyDescent="0.3"/>
    <row r="2280" ht="15" customHeight="1" x14ac:dyDescent="0.3"/>
    <row r="2281" ht="15" customHeight="1" x14ac:dyDescent="0.3"/>
    <row r="2282" ht="15" customHeight="1" x14ac:dyDescent="0.3"/>
    <row r="2283" ht="15" customHeight="1" x14ac:dyDescent="0.3"/>
    <row r="2284" ht="15" customHeight="1" x14ac:dyDescent="0.3"/>
    <row r="2285" ht="15" customHeight="1" x14ac:dyDescent="0.3"/>
    <row r="2286" ht="15" customHeight="1" x14ac:dyDescent="0.3"/>
    <row r="2287" ht="15" customHeight="1" x14ac:dyDescent="0.3"/>
    <row r="2288" ht="15" customHeight="1" x14ac:dyDescent="0.3"/>
    <row r="2289" ht="15" customHeight="1" x14ac:dyDescent="0.3"/>
    <row r="2290" ht="15" customHeight="1" x14ac:dyDescent="0.3"/>
    <row r="2291" ht="15" customHeight="1" x14ac:dyDescent="0.3"/>
    <row r="2292" ht="15" customHeight="1" x14ac:dyDescent="0.3"/>
    <row r="2293" ht="15" customHeight="1" x14ac:dyDescent="0.3"/>
    <row r="2294" ht="15" customHeight="1" x14ac:dyDescent="0.3"/>
    <row r="2295" ht="15" customHeight="1" x14ac:dyDescent="0.3"/>
    <row r="2296" ht="15" customHeight="1" x14ac:dyDescent="0.3"/>
    <row r="2297" ht="15" customHeight="1" x14ac:dyDescent="0.3"/>
    <row r="2298" ht="15" customHeight="1" x14ac:dyDescent="0.3"/>
    <row r="2299" ht="15" customHeight="1" x14ac:dyDescent="0.3"/>
    <row r="2300" ht="15" customHeight="1" x14ac:dyDescent="0.3"/>
    <row r="2301" ht="15" customHeight="1" x14ac:dyDescent="0.3"/>
    <row r="2302" ht="15" customHeight="1" x14ac:dyDescent="0.3"/>
    <row r="2303" ht="15" customHeight="1" x14ac:dyDescent="0.3"/>
    <row r="2304" ht="15" customHeight="1" x14ac:dyDescent="0.3"/>
    <row r="2305" ht="15" customHeight="1" x14ac:dyDescent="0.3"/>
    <row r="2306" ht="15" customHeight="1" x14ac:dyDescent="0.3"/>
    <row r="2307" ht="15" customHeight="1" x14ac:dyDescent="0.3"/>
    <row r="2308" ht="15" customHeight="1" x14ac:dyDescent="0.3"/>
    <row r="2309" ht="15" customHeight="1" x14ac:dyDescent="0.3"/>
    <row r="2310" ht="15" customHeight="1" x14ac:dyDescent="0.3"/>
    <row r="2311" ht="15" customHeight="1" x14ac:dyDescent="0.3"/>
    <row r="2312" ht="15" customHeight="1" x14ac:dyDescent="0.3"/>
    <row r="2313" ht="15" customHeight="1" x14ac:dyDescent="0.3"/>
    <row r="2314" ht="15" customHeight="1" x14ac:dyDescent="0.3"/>
    <row r="2315" ht="15" customHeight="1" x14ac:dyDescent="0.3"/>
    <row r="2316" ht="15" customHeight="1" x14ac:dyDescent="0.3"/>
    <row r="2317" ht="15" customHeight="1" x14ac:dyDescent="0.3"/>
    <row r="2318" ht="15" customHeight="1" x14ac:dyDescent="0.3"/>
    <row r="2319" ht="15" customHeight="1" x14ac:dyDescent="0.3"/>
    <row r="2320" ht="15" customHeight="1" x14ac:dyDescent="0.3"/>
    <row r="2321" ht="15" customHeight="1" x14ac:dyDescent="0.3"/>
    <row r="2322" ht="15" customHeight="1" x14ac:dyDescent="0.3"/>
    <row r="2323" ht="15" customHeight="1" x14ac:dyDescent="0.3"/>
    <row r="2324" ht="15" customHeight="1" x14ac:dyDescent="0.3"/>
    <row r="2325" ht="15" customHeight="1" x14ac:dyDescent="0.3"/>
    <row r="2326" ht="15" customHeight="1" x14ac:dyDescent="0.3"/>
    <row r="2327" ht="15" customHeight="1" x14ac:dyDescent="0.3"/>
    <row r="2328" ht="15" customHeight="1" x14ac:dyDescent="0.3"/>
    <row r="2329" ht="15" customHeight="1" x14ac:dyDescent="0.3"/>
    <row r="2330" ht="15" customHeight="1" x14ac:dyDescent="0.3"/>
    <row r="2331" ht="15" customHeight="1" x14ac:dyDescent="0.3"/>
    <row r="2332" ht="15" customHeight="1" x14ac:dyDescent="0.3"/>
    <row r="2333" ht="15" customHeight="1" x14ac:dyDescent="0.3"/>
    <row r="2334" ht="15" customHeight="1" x14ac:dyDescent="0.3"/>
    <row r="2335" ht="15" customHeight="1" x14ac:dyDescent="0.3"/>
    <row r="2336" ht="15" customHeight="1" x14ac:dyDescent="0.3"/>
    <row r="2337" ht="15" customHeight="1" x14ac:dyDescent="0.3"/>
    <row r="2338" ht="15" customHeight="1" x14ac:dyDescent="0.3"/>
    <row r="2339" ht="15" customHeight="1" x14ac:dyDescent="0.3"/>
    <row r="2340" ht="15" customHeight="1" x14ac:dyDescent="0.3"/>
    <row r="2341" ht="15" customHeight="1" x14ac:dyDescent="0.3"/>
    <row r="2342" ht="15" customHeight="1" x14ac:dyDescent="0.3"/>
    <row r="2343" ht="15" customHeight="1" x14ac:dyDescent="0.3"/>
    <row r="2344" ht="15" customHeight="1" x14ac:dyDescent="0.3"/>
    <row r="2345" ht="15" customHeight="1" x14ac:dyDescent="0.3"/>
    <row r="2346" ht="15" customHeight="1" x14ac:dyDescent="0.3"/>
    <row r="2347" ht="15" customHeight="1" x14ac:dyDescent="0.3"/>
    <row r="2348" ht="15" customHeight="1" x14ac:dyDescent="0.3"/>
    <row r="2349" ht="15" customHeight="1" x14ac:dyDescent="0.3"/>
    <row r="2350" ht="15" customHeight="1" x14ac:dyDescent="0.3"/>
    <row r="2351" ht="15" customHeight="1" x14ac:dyDescent="0.3"/>
    <row r="2352" ht="15" customHeight="1" x14ac:dyDescent="0.3"/>
    <row r="2353" ht="15" customHeight="1" x14ac:dyDescent="0.3"/>
    <row r="2354" ht="15" customHeight="1" x14ac:dyDescent="0.3"/>
    <row r="2355" ht="15" customHeight="1" x14ac:dyDescent="0.3"/>
    <row r="2356" ht="15" customHeight="1" x14ac:dyDescent="0.3"/>
    <row r="2357" ht="15" customHeight="1" x14ac:dyDescent="0.3"/>
    <row r="2358" ht="15" customHeight="1" x14ac:dyDescent="0.3"/>
    <row r="2359" ht="15" customHeight="1" x14ac:dyDescent="0.3"/>
    <row r="2360" ht="15" customHeight="1" x14ac:dyDescent="0.3"/>
    <row r="2361" ht="15" customHeight="1" x14ac:dyDescent="0.3"/>
    <row r="2362" ht="15" customHeight="1" x14ac:dyDescent="0.3"/>
    <row r="2363" ht="15" customHeight="1" x14ac:dyDescent="0.3"/>
    <row r="2364" ht="15" customHeight="1" x14ac:dyDescent="0.3"/>
    <row r="2365" ht="15" customHeight="1" x14ac:dyDescent="0.3"/>
    <row r="2366" ht="15" customHeight="1" x14ac:dyDescent="0.3"/>
    <row r="2367" ht="15" customHeight="1" x14ac:dyDescent="0.3"/>
    <row r="2368" ht="15" customHeight="1" x14ac:dyDescent="0.3"/>
    <row r="2369" ht="15" customHeight="1" x14ac:dyDescent="0.3"/>
    <row r="2370" ht="15" customHeight="1" x14ac:dyDescent="0.3"/>
    <row r="2371" ht="15" customHeight="1" x14ac:dyDescent="0.3"/>
    <row r="2372" ht="15" customHeight="1" x14ac:dyDescent="0.3"/>
    <row r="2373" ht="15" customHeight="1" x14ac:dyDescent="0.3"/>
    <row r="2374" ht="15" customHeight="1" x14ac:dyDescent="0.3"/>
    <row r="2375" ht="15" customHeight="1" x14ac:dyDescent="0.3"/>
    <row r="2376" ht="15" customHeight="1" x14ac:dyDescent="0.3"/>
    <row r="2377" ht="15" customHeight="1" x14ac:dyDescent="0.3"/>
    <row r="2378" ht="15" customHeight="1" x14ac:dyDescent="0.3"/>
    <row r="2379" ht="15" customHeight="1" x14ac:dyDescent="0.3"/>
    <row r="2380" ht="15" customHeight="1" x14ac:dyDescent="0.3"/>
    <row r="2381" ht="15" customHeight="1" x14ac:dyDescent="0.3"/>
    <row r="2382" ht="15" customHeight="1" x14ac:dyDescent="0.3"/>
    <row r="2383" ht="15" customHeight="1" x14ac:dyDescent="0.3"/>
    <row r="2384" ht="15" customHeight="1" x14ac:dyDescent="0.3"/>
    <row r="2385" ht="15" customHeight="1" x14ac:dyDescent="0.3"/>
    <row r="2386" ht="15" customHeight="1" x14ac:dyDescent="0.3"/>
    <row r="2387" ht="15" customHeight="1" x14ac:dyDescent="0.3"/>
    <row r="2388" ht="15" customHeight="1" x14ac:dyDescent="0.3"/>
    <row r="2389" ht="15" customHeight="1" x14ac:dyDescent="0.3"/>
    <row r="2390" ht="15" customHeight="1" x14ac:dyDescent="0.3"/>
    <row r="2391" ht="15" customHeight="1" x14ac:dyDescent="0.3"/>
    <row r="2392" ht="15" customHeight="1" x14ac:dyDescent="0.3"/>
    <row r="2393" ht="15" customHeight="1" x14ac:dyDescent="0.3"/>
    <row r="2394" ht="15" customHeight="1" x14ac:dyDescent="0.3"/>
    <row r="2395" ht="15" customHeight="1" x14ac:dyDescent="0.3"/>
    <row r="2396" ht="15" customHeight="1" x14ac:dyDescent="0.3"/>
    <row r="2397" ht="15" customHeight="1" x14ac:dyDescent="0.3"/>
    <row r="2398" ht="15" customHeight="1" x14ac:dyDescent="0.3"/>
    <row r="2399" ht="15" customHeight="1" x14ac:dyDescent="0.3"/>
    <row r="2400" ht="15" customHeight="1" x14ac:dyDescent="0.3"/>
    <row r="2401" ht="15" customHeight="1" x14ac:dyDescent="0.3"/>
    <row r="2402" ht="15" customHeight="1" x14ac:dyDescent="0.3"/>
    <row r="2403" ht="15" customHeight="1" x14ac:dyDescent="0.3"/>
    <row r="2404" ht="15" customHeight="1" x14ac:dyDescent="0.3"/>
    <row r="2405" ht="15" customHeight="1" x14ac:dyDescent="0.3"/>
    <row r="2406" ht="15" customHeight="1" x14ac:dyDescent="0.3"/>
    <row r="2407" ht="15" customHeight="1" x14ac:dyDescent="0.3"/>
    <row r="2408" ht="15" customHeight="1" x14ac:dyDescent="0.3"/>
    <row r="2409" ht="15" customHeight="1" x14ac:dyDescent="0.3"/>
    <row r="2410" ht="15" customHeight="1" x14ac:dyDescent="0.3"/>
    <row r="2411" ht="15" customHeight="1" x14ac:dyDescent="0.3"/>
    <row r="2412" ht="15" customHeight="1" x14ac:dyDescent="0.3"/>
    <row r="2413" ht="15" customHeight="1" x14ac:dyDescent="0.3"/>
    <row r="2414" ht="15" customHeight="1" x14ac:dyDescent="0.3"/>
    <row r="2415" ht="15" customHeight="1" x14ac:dyDescent="0.3"/>
    <row r="2416" ht="15" customHeight="1" x14ac:dyDescent="0.3"/>
    <row r="2417" ht="15" customHeight="1" x14ac:dyDescent="0.3"/>
    <row r="2418" ht="15" customHeight="1" x14ac:dyDescent="0.3"/>
    <row r="2419" ht="15" customHeight="1" x14ac:dyDescent="0.3"/>
    <row r="2420" ht="15" customHeight="1" x14ac:dyDescent="0.3"/>
    <row r="2421" ht="15" customHeight="1" x14ac:dyDescent="0.3"/>
    <row r="2422" ht="15" customHeight="1" x14ac:dyDescent="0.3"/>
    <row r="2423" ht="15" customHeight="1" x14ac:dyDescent="0.3"/>
    <row r="2424" ht="15" customHeight="1" x14ac:dyDescent="0.3"/>
    <row r="2425" ht="15" customHeight="1" x14ac:dyDescent="0.3"/>
    <row r="2426" ht="15" customHeight="1" x14ac:dyDescent="0.3"/>
    <row r="2427" ht="15" customHeight="1" x14ac:dyDescent="0.3"/>
    <row r="2428" ht="15" customHeight="1" x14ac:dyDescent="0.3"/>
    <row r="2429" ht="15" customHeight="1" x14ac:dyDescent="0.3"/>
    <row r="2430" ht="15" customHeight="1" x14ac:dyDescent="0.3"/>
    <row r="2431" ht="15" customHeight="1" x14ac:dyDescent="0.3"/>
    <row r="2432" ht="15" customHeight="1" x14ac:dyDescent="0.3"/>
    <row r="2433" ht="15" customHeight="1" x14ac:dyDescent="0.3"/>
    <row r="2434" ht="15" customHeight="1" x14ac:dyDescent="0.3"/>
    <row r="2435" ht="15" customHeight="1" x14ac:dyDescent="0.3"/>
    <row r="2436" ht="15" customHeight="1" x14ac:dyDescent="0.3"/>
    <row r="2437" ht="15" customHeight="1" x14ac:dyDescent="0.3"/>
    <row r="2438" ht="15" customHeight="1" x14ac:dyDescent="0.3"/>
    <row r="2439" ht="15" customHeight="1" x14ac:dyDescent="0.3"/>
    <row r="2440" ht="15" customHeight="1" x14ac:dyDescent="0.3"/>
    <row r="2441" ht="15" customHeight="1" x14ac:dyDescent="0.3"/>
    <row r="2442" ht="15" customHeight="1" x14ac:dyDescent="0.3"/>
    <row r="2443" ht="15" customHeight="1" x14ac:dyDescent="0.3"/>
    <row r="2444" ht="15" customHeight="1" x14ac:dyDescent="0.3"/>
    <row r="2445" ht="15" customHeight="1" x14ac:dyDescent="0.3"/>
    <row r="2446" ht="15" customHeight="1" x14ac:dyDescent="0.3"/>
    <row r="2447" ht="15" customHeight="1" x14ac:dyDescent="0.3"/>
    <row r="2448" ht="15" customHeight="1" x14ac:dyDescent="0.3"/>
    <row r="2449" ht="15" customHeight="1" x14ac:dyDescent="0.3"/>
    <row r="2450" ht="15" customHeight="1" x14ac:dyDescent="0.3"/>
    <row r="2451" ht="15" customHeight="1" x14ac:dyDescent="0.3"/>
    <row r="2452" ht="15" customHeight="1" x14ac:dyDescent="0.3"/>
    <row r="2453" ht="15" customHeight="1" x14ac:dyDescent="0.3"/>
    <row r="2454" ht="15" customHeight="1" x14ac:dyDescent="0.3"/>
    <row r="2455" ht="15" customHeight="1" x14ac:dyDescent="0.3"/>
    <row r="2456" ht="15" customHeight="1" x14ac:dyDescent="0.3"/>
    <row r="2457" ht="15" customHeight="1" x14ac:dyDescent="0.3"/>
    <row r="2458" ht="15" customHeight="1" x14ac:dyDescent="0.3"/>
    <row r="2459" ht="15" customHeight="1" x14ac:dyDescent="0.3"/>
    <row r="2460" ht="15" customHeight="1" x14ac:dyDescent="0.3"/>
    <row r="2461" ht="15" customHeight="1" x14ac:dyDescent="0.3"/>
    <row r="2462" ht="15" customHeight="1" x14ac:dyDescent="0.3"/>
    <row r="2463" ht="15" customHeight="1" x14ac:dyDescent="0.3"/>
    <row r="2464" ht="15" customHeight="1" x14ac:dyDescent="0.3"/>
    <row r="2465" ht="15" customHeight="1" x14ac:dyDescent="0.3"/>
    <row r="2466" ht="15" customHeight="1" x14ac:dyDescent="0.3"/>
    <row r="2467" ht="15" customHeight="1" x14ac:dyDescent="0.3"/>
    <row r="2468" ht="15" customHeight="1" x14ac:dyDescent="0.3"/>
    <row r="2469" ht="15" customHeight="1" x14ac:dyDescent="0.3"/>
    <row r="2470" ht="15" customHeight="1" x14ac:dyDescent="0.3"/>
    <row r="2471" ht="15" customHeight="1" x14ac:dyDescent="0.3"/>
    <row r="2472" ht="15" customHeight="1" x14ac:dyDescent="0.3"/>
    <row r="2473" ht="15" customHeight="1" x14ac:dyDescent="0.3"/>
    <row r="2474" ht="15" customHeight="1" x14ac:dyDescent="0.3"/>
    <row r="2475" ht="15" customHeight="1" x14ac:dyDescent="0.3"/>
    <row r="2476" ht="15" customHeight="1" x14ac:dyDescent="0.3"/>
    <row r="2477" ht="15" customHeight="1" x14ac:dyDescent="0.3"/>
    <row r="2478" ht="15" customHeight="1" x14ac:dyDescent="0.3"/>
    <row r="2479" ht="15" customHeight="1" x14ac:dyDescent="0.3"/>
    <row r="2480" ht="15" customHeight="1" x14ac:dyDescent="0.3"/>
    <row r="2481" ht="15" customHeight="1" x14ac:dyDescent="0.3"/>
    <row r="2482" ht="15" customHeight="1" x14ac:dyDescent="0.3"/>
    <row r="2483" ht="15" customHeight="1" x14ac:dyDescent="0.3"/>
    <row r="2484" ht="15" customHeight="1" x14ac:dyDescent="0.3"/>
    <row r="2485" ht="15" customHeight="1" x14ac:dyDescent="0.3"/>
    <row r="2486" ht="15" customHeight="1" x14ac:dyDescent="0.3"/>
    <row r="2487" ht="15" customHeight="1" x14ac:dyDescent="0.3"/>
    <row r="2488" ht="15" customHeight="1" x14ac:dyDescent="0.3"/>
    <row r="2489" ht="15" customHeight="1" x14ac:dyDescent="0.3"/>
    <row r="2490" ht="15" customHeight="1" x14ac:dyDescent="0.3"/>
    <row r="2491" ht="15" customHeight="1" x14ac:dyDescent="0.3"/>
    <row r="2492" ht="15" customHeight="1" x14ac:dyDescent="0.3"/>
    <row r="2493" ht="15" customHeight="1" x14ac:dyDescent="0.3"/>
    <row r="2494" ht="15" customHeight="1" x14ac:dyDescent="0.3"/>
    <row r="2495" ht="15" customHeight="1" x14ac:dyDescent="0.3"/>
    <row r="2496" ht="15" customHeight="1" x14ac:dyDescent="0.3"/>
    <row r="2497" ht="15" customHeight="1" x14ac:dyDescent="0.3"/>
    <row r="2498" ht="15" customHeight="1" x14ac:dyDescent="0.3"/>
    <row r="2499" ht="15" customHeight="1" x14ac:dyDescent="0.3"/>
    <row r="2500" ht="15" customHeight="1" x14ac:dyDescent="0.3"/>
    <row r="2501" ht="15" customHeight="1" x14ac:dyDescent="0.3"/>
    <row r="2502" ht="15" customHeight="1" x14ac:dyDescent="0.3"/>
    <row r="2503" ht="15" customHeight="1" x14ac:dyDescent="0.3"/>
    <row r="2504" ht="15" customHeight="1" x14ac:dyDescent="0.3"/>
    <row r="2505" ht="15" customHeight="1" x14ac:dyDescent="0.3"/>
    <row r="2506" ht="15" customHeight="1" x14ac:dyDescent="0.3"/>
    <row r="2507" ht="15" customHeight="1" x14ac:dyDescent="0.3"/>
    <row r="2508" ht="15" customHeight="1" x14ac:dyDescent="0.3"/>
    <row r="2509" ht="15" customHeight="1" x14ac:dyDescent="0.3"/>
    <row r="2510" ht="15" customHeight="1" x14ac:dyDescent="0.3"/>
    <row r="2511" ht="15" customHeight="1" x14ac:dyDescent="0.3"/>
    <row r="2512" ht="15" customHeight="1" x14ac:dyDescent="0.3"/>
    <row r="2513" ht="15" customHeight="1" x14ac:dyDescent="0.3"/>
    <row r="2514" ht="15" customHeight="1" x14ac:dyDescent="0.3"/>
    <row r="2515" ht="15" customHeight="1" x14ac:dyDescent="0.3"/>
    <row r="2516" ht="15" customHeight="1" x14ac:dyDescent="0.3"/>
    <row r="2517" ht="15" customHeight="1" x14ac:dyDescent="0.3"/>
    <row r="2518" ht="15" customHeight="1" x14ac:dyDescent="0.3"/>
    <row r="2519" ht="15" customHeight="1" x14ac:dyDescent="0.3"/>
    <row r="2520" ht="15" customHeight="1" x14ac:dyDescent="0.3"/>
    <row r="2521" ht="15" customHeight="1" x14ac:dyDescent="0.3"/>
    <row r="2522" ht="15" customHeight="1" x14ac:dyDescent="0.3"/>
    <row r="2523" ht="15" customHeight="1" x14ac:dyDescent="0.3"/>
    <row r="2524" ht="15" customHeight="1" x14ac:dyDescent="0.3"/>
    <row r="2525" ht="15" customHeight="1" x14ac:dyDescent="0.3"/>
    <row r="2526" ht="15" customHeight="1" x14ac:dyDescent="0.3"/>
    <row r="2527" ht="15" customHeight="1" x14ac:dyDescent="0.3"/>
    <row r="2528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  <row r="2536" ht="15" customHeight="1" x14ac:dyDescent="0.3"/>
    <row r="2537" ht="15" customHeight="1" x14ac:dyDescent="0.3"/>
    <row r="2538" ht="15" customHeight="1" x14ac:dyDescent="0.3"/>
    <row r="2539" ht="15" customHeight="1" x14ac:dyDescent="0.3"/>
    <row r="2540" ht="15" customHeight="1" x14ac:dyDescent="0.3"/>
    <row r="2541" ht="15" customHeight="1" x14ac:dyDescent="0.3"/>
    <row r="2542" ht="15" customHeight="1" x14ac:dyDescent="0.3"/>
    <row r="2543" ht="15" customHeight="1" x14ac:dyDescent="0.3"/>
    <row r="2544" ht="15" customHeight="1" x14ac:dyDescent="0.3"/>
    <row r="2545" ht="15" customHeight="1" x14ac:dyDescent="0.3"/>
    <row r="2546" ht="15" customHeight="1" x14ac:dyDescent="0.3"/>
    <row r="2547" ht="15" customHeight="1" x14ac:dyDescent="0.3"/>
    <row r="2548" ht="15" customHeight="1" x14ac:dyDescent="0.3"/>
    <row r="2549" ht="15" customHeight="1" x14ac:dyDescent="0.3"/>
    <row r="2550" ht="15" customHeight="1" x14ac:dyDescent="0.3"/>
    <row r="2551" ht="15" customHeight="1" x14ac:dyDescent="0.3"/>
    <row r="2552" ht="15" customHeight="1" x14ac:dyDescent="0.3"/>
    <row r="2553" ht="15" customHeight="1" x14ac:dyDescent="0.3"/>
    <row r="2554" ht="15" customHeight="1" x14ac:dyDescent="0.3"/>
    <row r="2555" ht="15" customHeight="1" x14ac:dyDescent="0.3"/>
    <row r="2556" ht="15" customHeight="1" x14ac:dyDescent="0.3"/>
    <row r="2557" ht="15" customHeight="1" x14ac:dyDescent="0.3"/>
    <row r="2558" ht="15" customHeight="1" x14ac:dyDescent="0.3"/>
    <row r="2559" ht="15" customHeight="1" x14ac:dyDescent="0.3"/>
    <row r="2560" ht="15" customHeight="1" x14ac:dyDescent="0.3"/>
    <row r="2561" ht="15" customHeight="1" x14ac:dyDescent="0.3"/>
    <row r="2562" ht="15" customHeight="1" x14ac:dyDescent="0.3"/>
    <row r="2563" ht="15" customHeight="1" x14ac:dyDescent="0.3"/>
    <row r="2564" ht="15" customHeight="1" x14ac:dyDescent="0.3"/>
    <row r="2565" ht="15" customHeight="1" x14ac:dyDescent="0.3"/>
    <row r="2566" ht="15" customHeight="1" x14ac:dyDescent="0.3"/>
    <row r="2567" ht="15" customHeight="1" x14ac:dyDescent="0.3"/>
    <row r="2568" ht="15" customHeight="1" x14ac:dyDescent="0.3"/>
    <row r="2569" ht="15" customHeight="1" x14ac:dyDescent="0.3"/>
    <row r="2570" ht="15" customHeight="1" x14ac:dyDescent="0.3"/>
    <row r="2571" ht="15" customHeight="1" x14ac:dyDescent="0.3"/>
    <row r="2572" ht="15" customHeight="1" x14ac:dyDescent="0.3"/>
    <row r="2573" ht="15" customHeight="1" x14ac:dyDescent="0.3"/>
    <row r="2574" ht="15" customHeight="1" x14ac:dyDescent="0.3"/>
    <row r="2575" ht="15" customHeight="1" x14ac:dyDescent="0.3"/>
    <row r="2576" ht="15" customHeight="1" x14ac:dyDescent="0.3"/>
    <row r="2577" ht="15" customHeight="1" x14ac:dyDescent="0.3"/>
    <row r="2578" ht="15" customHeight="1" x14ac:dyDescent="0.3"/>
    <row r="2579" ht="15" customHeight="1" x14ac:dyDescent="0.3"/>
    <row r="2580" ht="15" customHeight="1" x14ac:dyDescent="0.3"/>
    <row r="2581" ht="15" customHeight="1" x14ac:dyDescent="0.3"/>
    <row r="2582" ht="15" customHeight="1" x14ac:dyDescent="0.3"/>
    <row r="2583" ht="15" customHeight="1" x14ac:dyDescent="0.3"/>
    <row r="2584" ht="15" customHeight="1" x14ac:dyDescent="0.3"/>
    <row r="2585" ht="15" customHeight="1" x14ac:dyDescent="0.3"/>
    <row r="2586" ht="15" customHeight="1" x14ac:dyDescent="0.3"/>
    <row r="2587" ht="15" customHeight="1" x14ac:dyDescent="0.3"/>
    <row r="2588" ht="15" customHeight="1" x14ac:dyDescent="0.3"/>
    <row r="2589" ht="15" customHeight="1" x14ac:dyDescent="0.3"/>
    <row r="2590" ht="15" customHeight="1" x14ac:dyDescent="0.3"/>
    <row r="2591" ht="15" customHeight="1" x14ac:dyDescent="0.3"/>
    <row r="2592" ht="15" customHeight="1" x14ac:dyDescent="0.3"/>
    <row r="2593" ht="15" customHeight="1" x14ac:dyDescent="0.3"/>
    <row r="2594" ht="15" customHeight="1" x14ac:dyDescent="0.3"/>
    <row r="2595" ht="15" customHeight="1" x14ac:dyDescent="0.3"/>
    <row r="2596" ht="15" customHeight="1" x14ac:dyDescent="0.3"/>
    <row r="2597" ht="15" customHeight="1" x14ac:dyDescent="0.3"/>
    <row r="2598" ht="15" customHeight="1" x14ac:dyDescent="0.3"/>
    <row r="2599" ht="15" customHeight="1" x14ac:dyDescent="0.3"/>
    <row r="2600" ht="15" customHeight="1" x14ac:dyDescent="0.3"/>
    <row r="2601" ht="15" customHeight="1" x14ac:dyDescent="0.3"/>
    <row r="2602" ht="15" customHeight="1" x14ac:dyDescent="0.3"/>
    <row r="2603" ht="15" customHeight="1" x14ac:dyDescent="0.3"/>
    <row r="2604" ht="15" customHeight="1" x14ac:dyDescent="0.3"/>
    <row r="2605" ht="15" customHeight="1" x14ac:dyDescent="0.3"/>
    <row r="2606" ht="15" customHeight="1" x14ac:dyDescent="0.3"/>
    <row r="2607" ht="15" customHeight="1" x14ac:dyDescent="0.3"/>
    <row r="2608" ht="15" customHeight="1" x14ac:dyDescent="0.3"/>
    <row r="2609" ht="15" customHeight="1" x14ac:dyDescent="0.3"/>
    <row r="2610" ht="15" customHeight="1" x14ac:dyDescent="0.3"/>
    <row r="2611" ht="15" customHeight="1" x14ac:dyDescent="0.3"/>
    <row r="2612" ht="15" customHeight="1" x14ac:dyDescent="0.3"/>
    <row r="2613" ht="15" customHeight="1" x14ac:dyDescent="0.3"/>
    <row r="2614" ht="15" customHeight="1" x14ac:dyDescent="0.3"/>
    <row r="2615" ht="15" customHeight="1" x14ac:dyDescent="0.3"/>
    <row r="2616" ht="15" customHeight="1" x14ac:dyDescent="0.3"/>
    <row r="2617" ht="15" customHeight="1" x14ac:dyDescent="0.3"/>
    <row r="2618" ht="15" customHeight="1" x14ac:dyDescent="0.3"/>
    <row r="2619" ht="15" customHeight="1" x14ac:dyDescent="0.3"/>
    <row r="2620" ht="15" customHeight="1" x14ac:dyDescent="0.3"/>
    <row r="2621" ht="15" customHeight="1" x14ac:dyDescent="0.3"/>
    <row r="2622" ht="15" customHeight="1" x14ac:dyDescent="0.3"/>
    <row r="2623" ht="15" customHeight="1" x14ac:dyDescent="0.3"/>
    <row r="2624" ht="15" customHeight="1" x14ac:dyDescent="0.3"/>
    <row r="2625" ht="15" customHeight="1" x14ac:dyDescent="0.3"/>
    <row r="2626" ht="15" customHeight="1" x14ac:dyDescent="0.3"/>
    <row r="2627" ht="15" customHeight="1" x14ac:dyDescent="0.3"/>
    <row r="2628" ht="15" customHeight="1" x14ac:dyDescent="0.3"/>
    <row r="2629" ht="15" customHeight="1" x14ac:dyDescent="0.3"/>
    <row r="2630" ht="15" customHeight="1" x14ac:dyDescent="0.3"/>
    <row r="2631" ht="15" customHeight="1" x14ac:dyDescent="0.3"/>
    <row r="2632" ht="15" customHeight="1" x14ac:dyDescent="0.3"/>
    <row r="2633" ht="15" customHeight="1" x14ac:dyDescent="0.3"/>
    <row r="2634" ht="15" customHeight="1" x14ac:dyDescent="0.3"/>
    <row r="2635" ht="15" customHeight="1" x14ac:dyDescent="0.3"/>
    <row r="2636" ht="15" customHeight="1" x14ac:dyDescent="0.3"/>
    <row r="2637" ht="15" customHeight="1" x14ac:dyDescent="0.3"/>
    <row r="2638" ht="15" customHeight="1" x14ac:dyDescent="0.3"/>
    <row r="2639" ht="15" customHeight="1" x14ac:dyDescent="0.3"/>
    <row r="2640" ht="15" customHeight="1" x14ac:dyDescent="0.3"/>
    <row r="2641" ht="15" customHeight="1" x14ac:dyDescent="0.3"/>
    <row r="2642" ht="15" customHeight="1" x14ac:dyDescent="0.3"/>
    <row r="2643" ht="15" customHeight="1" x14ac:dyDescent="0.3"/>
    <row r="2644" ht="15" customHeight="1" x14ac:dyDescent="0.3"/>
    <row r="2645" ht="15" customHeight="1" x14ac:dyDescent="0.3"/>
    <row r="2646" ht="15" customHeight="1" x14ac:dyDescent="0.3"/>
    <row r="2647" ht="15" customHeight="1" x14ac:dyDescent="0.3"/>
    <row r="2648" ht="15" customHeight="1" x14ac:dyDescent="0.3"/>
    <row r="2649" ht="15" customHeight="1" x14ac:dyDescent="0.3"/>
    <row r="2650" ht="15" customHeight="1" x14ac:dyDescent="0.3"/>
    <row r="2651" ht="15" customHeight="1" x14ac:dyDescent="0.3"/>
    <row r="2652" ht="15" customHeight="1" x14ac:dyDescent="0.3"/>
    <row r="2653" ht="15" customHeight="1" x14ac:dyDescent="0.3"/>
    <row r="2654" ht="15" customHeight="1" x14ac:dyDescent="0.3"/>
    <row r="2655" ht="15" customHeight="1" x14ac:dyDescent="0.3"/>
    <row r="2656" ht="15" customHeight="1" x14ac:dyDescent="0.3"/>
    <row r="2657" ht="15" customHeight="1" x14ac:dyDescent="0.3"/>
    <row r="2658" ht="15" customHeight="1" x14ac:dyDescent="0.3"/>
    <row r="2659" ht="15" customHeight="1" x14ac:dyDescent="0.3"/>
    <row r="2660" ht="15" customHeight="1" x14ac:dyDescent="0.3"/>
    <row r="2661" ht="15" customHeight="1" x14ac:dyDescent="0.3"/>
    <row r="2662" ht="15" customHeight="1" x14ac:dyDescent="0.3"/>
    <row r="2663" ht="15" customHeight="1" x14ac:dyDescent="0.3"/>
    <row r="2664" ht="15" customHeight="1" x14ac:dyDescent="0.3"/>
    <row r="2665" ht="15" customHeight="1" x14ac:dyDescent="0.3"/>
    <row r="2666" ht="15" customHeight="1" x14ac:dyDescent="0.3"/>
    <row r="2667" ht="15" customHeight="1" x14ac:dyDescent="0.3"/>
    <row r="2668" ht="15" customHeight="1" x14ac:dyDescent="0.3"/>
    <row r="2669" ht="15" customHeight="1" x14ac:dyDescent="0.3"/>
    <row r="2670" ht="15" customHeight="1" x14ac:dyDescent="0.3"/>
    <row r="2671" ht="15" customHeight="1" x14ac:dyDescent="0.3"/>
    <row r="2672" ht="15" customHeight="1" x14ac:dyDescent="0.3"/>
    <row r="2673" ht="15" customHeight="1" x14ac:dyDescent="0.3"/>
    <row r="2674" ht="15" customHeight="1" x14ac:dyDescent="0.3"/>
    <row r="2675" ht="15" customHeight="1" x14ac:dyDescent="0.3"/>
    <row r="2676" ht="15" customHeight="1" x14ac:dyDescent="0.3"/>
    <row r="2677" ht="15" customHeight="1" x14ac:dyDescent="0.3"/>
    <row r="2678" ht="15" customHeight="1" x14ac:dyDescent="0.3"/>
    <row r="2679" ht="15" customHeight="1" x14ac:dyDescent="0.3"/>
    <row r="2680" ht="15" customHeight="1" x14ac:dyDescent="0.3"/>
    <row r="2681" ht="15" customHeight="1" x14ac:dyDescent="0.3"/>
    <row r="2682" ht="15" customHeight="1" x14ac:dyDescent="0.3"/>
    <row r="2683" ht="15" customHeight="1" x14ac:dyDescent="0.3"/>
    <row r="2684" ht="15" customHeight="1" x14ac:dyDescent="0.3"/>
    <row r="2685" ht="15" customHeight="1" x14ac:dyDescent="0.3"/>
    <row r="2686" ht="15" customHeight="1" x14ac:dyDescent="0.3"/>
    <row r="2687" ht="15" customHeight="1" x14ac:dyDescent="0.3"/>
    <row r="2688" ht="15" customHeight="1" x14ac:dyDescent="0.3"/>
    <row r="2689" ht="15" customHeight="1" x14ac:dyDescent="0.3"/>
    <row r="2690" ht="15" customHeight="1" x14ac:dyDescent="0.3"/>
    <row r="2691" ht="15" customHeight="1" x14ac:dyDescent="0.3"/>
    <row r="2692" ht="15" customHeight="1" x14ac:dyDescent="0.3"/>
    <row r="2693" ht="15" customHeight="1" x14ac:dyDescent="0.3"/>
    <row r="2694" ht="15" customHeight="1" x14ac:dyDescent="0.3"/>
    <row r="2695" ht="15" customHeight="1" x14ac:dyDescent="0.3"/>
    <row r="2696" ht="15" customHeight="1" x14ac:dyDescent="0.3"/>
    <row r="2697" ht="15" customHeight="1" x14ac:dyDescent="0.3"/>
    <row r="2698" ht="15" customHeight="1" x14ac:dyDescent="0.3"/>
    <row r="2699" ht="15" customHeight="1" x14ac:dyDescent="0.3"/>
    <row r="2700" ht="15" customHeight="1" x14ac:dyDescent="0.3"/>
    <row r="2701" ht="15" customHeight="1" x14ac:dyDescent="0.3"/>
    <row r="2702" ht="15" customHeight="1" x14ac:dyDescent="0.3"/>
    <row r="2703" ht="15" customHeight="1" x14ac:dyDescent="0.3"/>
    <row r="2704" ht="15" customHeight="1" x14ac:dyDescent="0.3"/>
    <row r="2705" ht="15" customHeight="1" x14ac:dyDescent="0.3"/>
    <row r="2706" ht="15" customHeight="1" x14ac:dyDescent="0.3"/>
    <row r="2707" ht="15" customHeight="1" x14ac:dyDescent="0.3"/>
    <row r="2708" ht="15" customHeight="1" x14ac:dyDescent="0.3"/>
    <row r="2709" ht="15" customHeight="1" x14ac:dyDescent="0.3"/>
    <row r="2710" ht="15" customHeight="1" x14ac:dyDescent="0.3"/>
    <row r="2711" ht="15" customHeight="1" x14ac:dyDescent="0.3"/>
    <row r="2712" ht="15" customHeight="1" x14ac:dyDescent="0.3"/>
    <row r="2713" ht="15" customHeight="1" x14ac:dyDescent="0.3"/>
    <row r="2714" ht="15" customHeight="1" x14ac:dyDescent="0.3"/>
    <row r="2715" ht="15" customHeight="1" x14ac:dyDescent="0.3"/>
    <row r="2716" ht="15" customHeight="1" x14ac:dyDescent="0.3"/>
    <row r="2717" ht="15" customHeight="1" x14ac:dyDescent="0.3"/>
    <row r="2718" ht="15" customHeight="1" x14ac:dyDescent="0.3"/>
    <row r="2719" ht="15" customHeight="1" x14ac:dyDescent="0.3"/>
    <row r="2720" ht="15" customHeight="1" x14ac:dyDescent="0.3"/>
    <row r="2721" ht="15" customHeight="1" x14ac:dyDescent="0.3"/>
    <row r="2722" ht="15" customHeight="1" x14ac:dyDescent="0.3"/>
    <row r="2723" ht="15" customHeight="1" x14ac:dyDescent="0.3"/>
    <row r="2724" ht="15" customHeight="1" x14ac:dyDescent="0.3"/>
    <row r="2725" ht="15" customHeight="1" x14ac:dyDescent="0.3"/>
    <row r="2726" ht="15" customHeight="1" x14ac:dyDescent="0.3"/>
    <row r="2727" ht="15" customHeight="1" x14ac:dyDescent="0.3"/>
    <row r="2728" ht="15" customHeight="1" x14ac:dyDescent="0.3"/>
    <row r="2729" ht="15" customHeight="1" x14ac:dyDescent="0.3"/>
    <row r="2730" ht="15" customHeight="1" x14ac:dyDescent="0.3"/>
    <row r="2731" ht="15" customHeight="1" x14ac:dyDescent="0.3"/>
    <row r="2732" ht="15" customHeight="1" x14ac:dyDescent="0.3"/>
    <row r="2733" ht="15" customHeight="1" x14ac:dyDescent="0.3"/>
    <row r="2734" ht="15" customHeight="1" x14ac:dyDescent="0.3"/>
    <row r="2735" ht="15" customHeight="1" x14ac:dyDescent="0.3"/>
    <row r="2736" ht="15" customHeight="1" x14ac:dyDescent="0.3"/>
    <row r="2737" ht="15" customHeight="1" x14ac:dyDescent="0.3"/>
    <row r="2738" ht="15" customHeight="1" x14ac:dyDescent="0.3"/>
    <row r="2739" ht="15" customHeight="1" x14ac:dyDescent="0.3"/>
    <row r="2740" ht="15" customHeight="1" x14ac:dyDescent="0.3"/>
    <row r="2741" ht="15" customHeight="1" x14ac:dyDescent="0.3"/>
    <row r="2742" ht="15" customHeight="1" x14ac:dyDescent="0.3"/>
    <row r="2743" ht="15" customHeight="1" x14ac:dyDescent="0.3"/>
    <row r="2744" ht="15" customHeight="1" x14ac:dyDescent="0.3"/>
    <row r="2745" ht="15" customHeight="1" x14ac:dyDescent="0.3"/>
    <row r="2746" ht="15" customHeight="1" x14ac:dyDescent="0.3"/>
    <row r="2747" ht="15" customHeight="1" x14ac:dyDescent="0.3"/>
    <row r="2748" ht="15" customHeight="1" x14ac:dyDescent="0.3"/>
    <row r="2749" ht="15" customHeight="1" x14ac:dyDescent="0.3"/>
    <row r="2750" ht="15" customHeight="1" x14ac:dyDescent="0.3"/>
    <row r="2751" ht="15" customHeight="1" x14ac:dyDescent="0.3"/>
    <row r="2752" ht="15" customHeight="1" x14ac:dyDescent="0.3"/>
    <row r="2753" ht="15" customHeight="1" x14ac:dyDescent="0.3"/>
    <row r="2754" ht="15" customHeight="1" x14ac:dyDescent="0.3"/>
    <row r="2755" ht="15" customHeight="1" x14ac:dyDescent="0.3"/>
    <row r="2756" ht="15" customHeight="1" x14ac:dyDescent="0.3"/>
    <row r="2757" ht="15" customHeight="1" x14ac:dyDescent="0.3"/>
    <row r="2758" ht="15" customHeight="1" x14ac:dyDescent="0.3"/>
    <row r="2759" ht="15" customHeight="1" x14ac:dyDescent="0.3"/>
    <row r="2760" ht="15" customHeight="1" x14ac:dyDescent="0.3"/>
    <row r="2761" ht="15" customHeight="1" x14ac:dyDescent="0.3"/>
    <row r="2762" ht="15" customHeight="1" x14ac:dyDescent="0.3"/>
    <row r="2763" ht="15" customHeight="1" x14ac:dyDescent="0.3"/>
    <row r="2764" ht="15" customHeight="1" x14ac:dyDescent="0.3"/>
    <row r="2765" ht="15" customHeight="1" x14ac:dyDescent="0.3"/>
    <row r="2766" ht="15" customHeight="1" x14ac:dyDescent="0.3"/>
    <row r="2767" ht="15" customHeight="1" x14ac:dyDescent="0.3"/>
    <row r="2768" ht="15" customHeight="1" x14ac:dyDescent="0.3"/>
    <row r="2769" ht="15" customHeight="1" x14ac:dyDescent="0.3"/>
    <row r="2770" ht="15" customHeight="1" x14ac:dyDescent="0.3"/>
    <row r="2771" ht="15" customHeight="1" x14ac:dyDescent="0.3"/>
    <row r="2772" ht="15" customHeight="1" x14ac:dyDescent="0.3"/>
    <row r="2773" ht="15" customHeight="1" x14ac:dyDescent="0.3"/>
    <row r="2774" ht="15" customHeight="1" x14ac:dyDescent="0.3"/>
    <row r="2775" ht="15" customHeight="1" x14ac:dyDescent="0.3"/>
    <row r="2776" ht="15" customHeight="1" x14ac:dyDescent="0.3"/>
    <row r="2777" ht="15" customHeight="1" x14ac:dyDescent="0.3"/>
    <row r="2778" ht="15" customHeight="1" x14ac:dyDescent="0.3"/>
    <row r="2779" ht="15" customHeight="1" x14ac:dyDescent="0.3"/>
    <row r="2780" ht="15" customHeight="1" x14ac:dyDescent="0.3"/>
    <row r="2781" ht="15" customHeight="1" x14ac:dyDescent="0.3"/>
    <row r="2782" ht="15" customHeight="1" x14ac:dyDescent="0.3"/>
    <row r="2783" ht="15" customHeight="1" x14ac:dyDescent="0.3"/>
    <row r="2784" ht="15" customHeight="1" x14ac:dyDescent="0.3"/>
    <row r="2785" ht="15" customHeight="1" x14ac:dyDescent="0.3"/>
    <row r="2786" ht="15" customHeight="1" x14ac:dyDescent="0.3"/>
    <row r="2787" ht="15" customHeight="1" x14ac:dyDescent="0.3"/>
    <row r="2788" ht="15" customHeight="1" x14ac:dyDescent="0.3"/>
    <row r="2789" ht="15" customHeight="1" x14ac:dyDescent="0.3"/>
    <row r="2790" ht="15" customHeight="1" x14ac:dyDescent="0.3"/>
    <row r="2791" ht="15" customHeight="1" x14ac:dyDescent="0.3"/>
    <row r="2792" ht="15" customHeight="1" x14ac:dyDescent="0.3"/>
    <row r="2793" ht="15" customHeight="1" x14ac:dyDescent="0.3"/>
    <row r="2794" ht="15" customHeight="1" x14ac:dyDescent="0.3"/>
    <row r="2795" ht="15" customHeight="1" x14ac:dyDescent="0.3"/>
    <row r="2796" ht="15" customHeight="1" x14ac:dyDescent="0.3"/>
    <row r="2797" ht="15" customHeight="1" x14ac:dyDescent="0.3"/>
    <row r="2798" ht="15" customHeight="1" x14ac:dyDescent="0.3"/>
    <row r="2799" ht="15" customHeight="1" x14ac:dyDescent="0.3"/>
    <row r="2800" ht="15" customHeight="1" x14ac:dyDescent="0.3"/>
    <row r="2801" ht="15" customHeight="1" x14ac:dyDescent="0.3"/>
    <row r="2802" ht="15" customHeight="1" x14ac:dyDescent="0.3"/>
    <row r="2803" ht="15" customHeight="1" x14ac:dyDescent="0.3"/>
    <row r="2804" ht="15" customHeight="1" x14ac:dyDescent="0.3"/>
    <row r="2805" ht="15" customHeight="1" x14ac:dyDescent="0.3"/>
    <row r="2806" ht="15" customHeight="1" x14ac:dyDescent="0.3"/>
    <row r="2807" ht="15" customHeight="1" x14ac:dyDescent="0.3"/>
    <row r="2808" ht="15" customHeight="1" x14ac:dyDescent="0.3"/>
    <row r="2809" ht="15" customHeight="1" x14ac:dyDescent="0.3"/>
    <row r="2810" ht="15" customHeight="1" x14ac:dyDescent="0.3"/>
    <row r="2811" ht="15" customHeight="1" x14ac:dyDescent="0.3"/>
    <row r="2812" ht="15" customHeight="1" x14ac:dyDescent="0.3"/>
    <row r="2813" ht="15" customHeight="1" x14ac:dyDescent="0.3"/>
    <row r="2814" ht="15" customHeight="1" x14ac:dyDescent="0.3"/>
    <row r="2815" ht="15" customHeight="1" x14ac:dyDescent="0.3"/>
    <row r="2816" ht="15" customHeight="1" x14ac:dyDescent="0.3"/>
    <row r="2817" ht="15" customHeight="1" x14ac:dyDescent="0.3"/>
    <row r="2818" ht="15" customHeight="1" x14ac:dyDescent="0.3"/>
    <row r="2819" ht="15" customHeight="1" x14ac:dyDescent="0.3"/>
    <row r="2820" ht="15" customHeight="1" x14ac:dyDescent="0.3"/>
    <row r="2821" ht="15" customHeight="1" x14ac:dyDescent="0.3"/>
    <row r="2822" ht="15" customHeight="1" x14ac:dyDescent="0.3"/>
    <row r="2823" ht="15" customHeight="1" x14ac:dyDescent="0.3"/>
    <row r="2824" ht="15" customHeight="1" x14ac:dyDescent="0.3"/>
    <row r="2825" ht="15" customHeight="1" x14ac:dyDescent="0.3"/>
    <row r="2826" ht="15" customHeight="1" x14ac:dyDescent="0.3"/>
    <row r="2827" ht="15" customHeight="1" x14ac:dyDescent="0.3"/>
    <row r="2828" ht="15" customHeight="1" x14ac:dyDescent="0.3"/>
    <row r="2829" ht="15" customHeight="1" x14ac:dyDescent="0.3"/>
    <row r="2830" ht="15" customHeight="1" x14ac:dyDescent="0.3"/>
    <row r="2831" ht="15" customHeight="1" x14ac:dyDescent="0.3"/>
    <row r="2832" ht="15" customHeight="1" x14ac:dyDescent="0.3"/>
    <row r="2833" ht="15" customHeight="1" x14ac:dyDescent="0.3"/>
    <row r="2834" ht="15" customHeight="1" x14ac:dyDescent="0.3"/>
    <row r="2835" ht="15" customHeight="1" x14ac:dyDescent="0.3"/>
    <row r="2836" ht="15" customHeight="1" x14ac:dyDescent="0.3"/>
    <row r="2837" ht="15" customHeight="1" x14ac:dyDescent="0.3"/>
    <row r="2838" ht="15" customHeight="1" x14ac:dyDescent="0.3"/>
    <row r="2839" ht="15" customHeight="1" x14ac:dyDescent="0.3"/>
    <row r="2840" ht="15" customHeight="1" x14ac:dyDescent="0.3"/>
    <row r="2841" ht="15" customHeight="1" x14ac:dyDescent="0.3"/>
    <row r="2842" ht="15" customHeight="1" x14ac:dyDescent="0.3"/>
    <row r="2843" ht="15" customHeight="1" x14ac:dyDescent="0.3"/>
    <row r="2844" ht="15" customHeight="1" x14ac:dyDescent="0.3"/>
    <row r="2845" ht="15" customHeight="1" x14ac:dyDescent="0.3"/>
    <row r="2846" ht="15" customHeight="1" x14ac:dyDescent="0.3"/>
    <row r="2847" ht="15" customHeight="1" x14ac:dyDescent="0.3"/>
    <row r="2848" ht="15" customHeight="1" x14ac:dyDescent="0.3"/>
    <row r="2849" ht="15" customHeight="1" x14ac:dyDescent="0.3"/>
    <row r="2850" ht="15" customHeight="1" x14ac:dyDescent="0.3"/>
    <row r="2851" ht="15" customHeight="1" x14ac:dyDescent="0.3"/>
    <row r="2852" ht="15" customHeight="1" x14ac:dyDescent="0.3"/>
    <row r="2853" ht="15" customHeight="1" x14ac:dyDescent="0.3"/>
    <row r="2854" ht="15" customHeight="1" x14ac:dyDescent="0.3"/>
    <row r="2855" ht="15" customHeight="1" x14ac:dyDescent="0.3"/>
    <row r="2856" ht="15" customHeight="1" x14ac:dyDescent="0.3"/>
    <row r="2857" ht="15" customHeight="1" x14ac:dyDescent="0.3"/>
    <row r="2858" ht="15" customHeight="1" x14ac:dyDescent="0.3"/>
    <row r="2859" ht="15" customHeight="1" x14ac:dyDescent="0.3"/>
    <row r="2860" ht="15" customHeight="1" x14ac:dyDescent="0.3"/>
    <row r="2861" ht="15" customHeight="1" x14ac:dyDescent="0.3"/>
    <row r="2862" ht="15" customHeight="1" x14ac:dyDescent="0.3"/>
    <row r="2863" ht="15" customHeight="1" x14ac:dyDescent="0.3"/>
    <row r="2864" ht="15" customHeight="1" x14ac:dyDescent="0.3"/>
    <row r="2865" ht="15" customHeight="1" x14ac:dyDescent="0.3"/>
    <row r="2866" ht="15" customHeight="1" x14ac:dyDescent="0.3"/>
    <row r="2867" ht="15" customHeight="1" x14ac:dyDescent="0.3"/>
    <row r="2868" ht="15" customHeight="1" x14ac:dyDescent="0.3"/>
    <row r="2869" ht="15" customHeight="1" x14ac:dyDescent="0.3"/>
    <row r="2870" ht="15" customHeight="1" x14ac:dyDescent="0.3"/>
    <row r="2871" ht="15" customHeight="1" x14ac:dyDescent="0.3"/>
    <row r="2872" ht="15" customHeight="1" x14ac:dyDescent="0.3"/>
    <row r="2873" ht="15" customHeight="1" x14ac:dyDescent="0.3"/>
    <row r="2874" ht="15" customHeight="1" x14ac:dyDescent="0.3"/>
    <row r="2875" ht="15" customHeight="1" x14ac:dyDescent="0.3"/>
    <row r="2876" ht="15" customHeight="1" x14ac:dyDescent="0.3"/>
    <row r="2877" ht="15" customHeight="1" x14ac:dyDescent="0.3"/>
    <row r="2878" ht="15" customHeight="1" x14ac:dyDescent="0.3"/>
    <row r="2879" ht="15" customHeight="1" x14ac:dyDescent="0.3"/>
    <row r="2880" ht="15" customHeight="1" x14ac:dyDescent="0.3"/>
    <row r="2881" ht="15" customHeight="1" x14ac:dyDescent="0.3"/>
    <row r="2882" ht="15" customHeight="1" x14ac:dyDescent="0.3"/>
    <row r="2883" ht="15" customHeight="1" x14ac:dyDescent="0.3"/>
    <row r="2884" ht="15" customHeight="1" x14ac:dyDescent="0.3"/>
    <row r="2885" ht="15" customHeight="1" x14ac:dyDescent="0.3"/>
    <row r="2886" ht="15" customHeight="1" x14ac:dyDescent="0.3"/>
    <row r="2887" ht="15" customHeight="1" x14ac:dyDescent="0.3"/>
    <row r="2888" ht="15" customHeight="1" x14ac:dyDescent="0.3"/>
    <row r="2889" ht="15" customHeight="1" x14ac:dyDescent="0.3"/>
    <row r="2890" ht="15" customHeight="1" x14ac:dyDescent="0.3"/>
    <row r="2891" ht="15" customHeight="1" x14ac:dyDescent="0.3"/>
    <row r="2892" ht="15" customHeight="1" x14ac:dyDescent="0.3"/>
    <row r="2893" ht="15" customHeight="1" x14ac:dyDescent="0.3"/>
    <row r="2894" ht="15" customHeight="1" x14ac:dyDescent="0.3"/>
    <row r="2895" ht="15" customHeight="1" x14ac:dyDescent="0.3"/>
    <row r="2896" ht="15" customHeight="1" x14ac:dyDescent="0.3"/>
    <row r="2897" ht="15" customHeight="1" x14ac:dyDescent="0.3"/>
    <row r="2898" ht="15" customHeight="1" x14ac:dyDescent="0.3"/>
    <row r="2899" ht="15" customHeight="1" x14ac:dyDescent="0.3"/>
    <row r="2900" ht="15" customHeight="1" x14ac:dyDescent="0.3"/>
    <row r="2901" ht="15" customHeight="1" x14ac:dyDescent="0.3"/>
    <row r="2902" ht="15" customHeight="1" x14ac:dyDescent="0.3"/>
    <row r="2903" ht="15" customHeight="1" x14ac:dyDescent="0.3"/>
    <row r="2904" ht="15" customHeight="1" x14ac:dyDescent="0.3"/>
    <row r="2905" ht="15" customHeight="1" x14ac:dyDescent="0.3"/>
    <row r="2906" ht="15" customHeight="1" x14ac:dyDescent="0.3"/>
    <row r="2907" ht="15" customHeight="1" x14ac:dyDescent="0.3"/>
    <row r="2908" ht="15" customHeight="1" x14ac:dyDescent="0.3"/>
    <row r="2909" ht="15" customHeight="1" x14ac:dyDescent="0.3"/>
    <row r="2910" ht="15" customHeight="1" x14ac:dyDescent="0.3"/>
    <row r="2911" ht="15" customHeight="1" x14ac:dyDescent="0.3"/>
    <row r="2912" ht="15" customHeight="1" x14ac:dyDescent="0.3"/>
    <row r="2913" ht="15" customHeight="1" x14ac:dyDescent="0.3"/>
    <row r="2914" ht="15" customHeight="1" x14ac:dyDescent="0.3"/>
    <row r="2915" ht="15" customHeight="1" x14ac:dyDescent="0.3"/>
    <row r="2916" ht="15" customHeight="1" x14ac:dyDescent="0.3"/>
    <row r="2917" ht="15" customHeight="1" x14ac:dyDescent="0.3"/>
    <row r="2918" ht="15" customHeight="1" x14ac:dyDescent="0.3"/>
    <row r="2919" ht="15" customHeight="1" x14ac:dyDescent="0.3"/>
    <row r="2920" ht="15" customHeight="1" x14ac:dyDescent="0.3"/>
    <row r="2921" ht="15" customHeight="1" x14ac:dyDescent="0.3"/>
    <row r="2922" ht="15" customHeight="1" x14ac:dyDescent="0.3"/>
    <row r="2923" ht="15" customHeight="1" x14ac:dyDescent="0.3"/>
    <row r="2924" ht="15" customHeight="1" x14ac:dyDescent="0.3"/>
    <row r="2925" ht="15" customHeight="1" x14ac:dyDescent="0.3"/>
    <row r="2926" ht="15" customHeight="1" x14ac:dyDescent="0.3"/>
    <row r="2927" ht="15" customHeight="1" x14ac:dyDescent="0.3"/>
    <row r="2928" ht="15" customHeight="1" x14ac:dyDescent="0.3"/>
    <row r="2929" ht="15" customHeight="1" x14ac:dyDescent="0.3"/>
    <row r="2930" ht="15" customHeight="1" x14ac:dyDescent="0.3"/>
    <row r="2931" ht="15" customHeight="1" x14ac:dyDescent="0.3"/>
    <row r="2932" ht="15" customHeight="1" x14ac:dyDescent="0.3"/>
    <row r="2933" ht="15" customHeight="1" x14ac:dyDescent="0.3"/>
    <row r="2934" ht="15" customHeight="1" x14ac:dyDescent="0.3"/>
    <row r="2935" ht="15" customHeight="1" x14ac:dyDescent="0.3"/>
    <row r="2936" ht="15" customHeight="1" x14ac:dyDescent="0.3"/>
    <row r="2937" ht="15" customHeight="1" x14ac:dyDescent="0.3"/>
    <row r="2938" ht="15" customHeight="1" x14ac:dyDescent="0.3"/>
    <row r="2939" ht="15" customHeight="1" x14ac:dyDescent="0.3"/>
    <row r="2940" ht="15" customHeight="1" x14ac:dyDescent="0.3"/>
    <row r="2941" ht="15" customHeight="1" x14ac:dyDescent="0.3"/>
    <row r="2942" ht="15" customHeight="1" x14ac:dyDescent="0.3"/>
    <row r="2943" ht="15" customHeight="1" x14ac:dyDescent="0.3"/>
    <row r="2944" ht="15" customHeight="1" x14ac:dyDescent="0.3"/>
    <row r="2945" ht="15" customHeight="1" x14ac:dyDescent="0.3"/>
    <row r="2946" ht="15" customHeight="1" x14ac:dyDescent="0.3"/>
    <row r="2947" ht="15" customHeight="1" x14ac:dyDescent="0.3"/>
    <row r="2948" ht="15" customHeight="1" x14ac:dyDescent="0.3"/>
    <row r="2949" ht="15" customHeight="1" x14ac:dyDescent="0.3"/>
    <row r="2950" ht="15" customHeight="1" x14ac:dyDescent="0.3"/>
    <row r="2951" ht="15" customHeight="1" x14ac:dyDescent="0.3"/>
    <row r="2952" ht="15" customHeight="1" x14ac:dyDescent="0.3"/>
    <row r="2953" ht="15" customHeight="1" x14ac:dyDescent="0.3"/>
    <row r="2954" ht="15" customHeight="1" x14ac:dyDescent="0.3"/>
    <row r="2955" ht="15" customHeight="1" x14ac:dyDescent="0.3"/>
    <row r="2956" ht="15" customHeight="1" x14ac:dyDescent="0.3"/>
    <row r="2957" ht="15" customHeight="1" x14ac:dyDescent="0.3"/>
    <row r="2958" ht="15" customHeight="1" x14ac:dyDescent="0.3"/>
    <row r="2959" ht="15" customHeight="1" x14ac:dyDescent="0.3"/>
    <row r="2960" ht="15" customHeight="1" x14ac:dyDescent="0.3"/>
    <row r="2961" ht="15" customHeight="1" x14ac:dyDescent="0.3"/>
    <row r="2962" ht="15" customHeight="1" x14ac:dyDescent="0.3"/>
    <row r="2963" ht="15" customHeight="1" x14ac:dyDescent="0.3"/>
    <row r="2964" ht="15" customHeight="1" x14ac:dyDescent="0.3"/>
    <row r="2965" ht="15" customHeight="1" x14ac:dyDescent="0.3"/>
    <row r="2966" ht="15" customHeight="1" x14ac:dyDescent="0.3"/>
    <row r="2967" ht="15" customHeight="1" x14ac:dyDescent="0.3"/>
    <row r="2968" ht="15" customHeight="1" x14ac:dyDescent="0.3"/>
    <row r="2969" ht="15" customHeight="1" x14ac:dyDescent="0.3"/>
    <row r="2970" ht="15" customHeight="1" x14ac:dyDescent="0.3"/>
    <row r="2971" ht="15" customHeight="1" x14ac:dyDescent="0.3"/>
    <row r="2972" ht="15" customHeight="1" x14ac:dyDescent="0.3"/>
    <row r="2973" ht="15" customHeight="1" x14ac:dyDescent="0.3"/>
    <row r="2974" ht="15" customHeight="1" x14ac:dyDescent="0.3"/>
    <row r="2975" ht="15" customHeight="1" x14ac:dyDescent="0.3"/>
    <row r="2976" ht="15" customHeight="1" x14ac:dyDescent="0.3"/>
    <row r="2977" ht="15" customHeight="1" x14ac:dyDescent="0.3"/>
    <row r="2978" ht="15" customHeight="1" x14ac:dyDescent="0.3"/>
    <row r="2979" ht="15" customHeight="1" x14ac:dyDescent="0.3"/>
    <row r="2980" ht="15" customHeight="1" x14ac:dyDescent="0.3"/>
    <row r="2981" ht="15" customHeight="1" x14ac:dyDescent="0.3"/>
    <row r="2982" ht="15" customHeight="1" x14ac:dyDescent="0.3"/>
    <row r="2983" ht="15" customHeight="1" x14ac:dyDescent="0.3"/>
    <row r="2984" ht="15" customHeight="1" x14ac:dyDescent="0.3"/>
    <row r="2985" ht="15" customHeight="1" x14ac:dyDescent="0.3"/>
    <row r="2986" ht="15" customHeight="1" x14ac:dyDescent="0.3"/>
    <row r="2987" ht="15" customHeight="1" x14ac:dyDescent="0.3"/>
    <row r="2988" ht="15" customHeight="1" x14ac:dyDescent="0.3"/>
    <row r="2989" ht="15" customHeight="1" x14ac:dyDescent="0.3"/>
    <row r="2990" ht="15" customHeight="1" x14ac:dyDescent="0.3"/>
    <row r="2991" ht="15" customHeight="1" x14ac:dyDescent="0.3"/>
    <row r="2992" ht="15" customHeight="1" x14ac:dyDescent="0.3"/>
    <row r="2993" ht="15" customHeight="1" x14ac:dyDescent="0.3"/>
  </sheetData>
  <sheetProtection selectLockedCells="1"/>
  <mergeCells count="14">
    <mergeCell ref="A4:A7"/>
    <mergeCell ref="B5:I5"/>
    <mergeCell ref="BX3:CC4"/>
    <mergeCell ref="AA5:AK5"/>
    <mergeCell ref="AL5:AO5"/>
    <mergeCell ref="BF5:BM5"/>
    <mergeCell ref="H4:BF4"/>
    <mergeCell ref="J5:Z5"/>
    <mergeCell ref="BQ2:BW2"/>
    <mergeCell ref="AP5:AR5"/>
    <mergeCell ref="AS5:AW5"/>
    <mergeCell ref="AX5:BE5"/>
    <mergeCell ref="BN4:BN7"/>
    <mergeCell ref="AA2:AP2"/>
  </mergeCells>
  <dataValidations disablePrompts="1" count="2">
    <dataValidation type="list" allowBlank="1" showInputMessage="1" showErrorMessage="1" sqref="A65211:I65211" xr:uid="{00000000-0002-0000-0800-000000000000}">
      <formula1>Program</formula1>
    </dataValidation>
    <dataValidation allowBlank="1" showInputMessage="1" showErrorMessage="1" prompt="Select the community where the activities were performed" sqref="BN2" xr:uid="{00000000-0002-0000-0800-000001000000}"/>
  </dataValidations>
  <pageMargins left="0.70866141732283472" right="0.70866141732283472" top="0.74803149606299213" bottom="0.74803149606299213" header="0.31496062992125984" footer="0.31496062992125984"/>
  <pageSetup paperSize="5" scale="75" fitToHeight="100" orientation="landscape" r:id="rId1"/>
  <ignoredErrors>
    <ignoredError sqref="J20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24AA-AF1C-4C55-B861-50CCFBAC9D6B}">
  <sheetPr codeName="Sheet5">
    <tabColor rgb="FFFF0000"/>
  </sheetPr>
  <dimension ref="A1:KZ1329"/>
  <sheetViews>
    <sheetView topLeftCell="A4" workbookViewId="0">
      <selection activeCell="H15" sqref="H15"/>
    </sheetView>
  </sheetViews>
  <sheetFormatPr defaultColWidth="9.109375" defaultRowHeight="14.4" x14ac:dyDescent="0.3"/>
  <cols>
    <col min="1" max="1" width="19.6640625" style="2" customWidth="1"/>
    <col min="2" max="2" width="4.109375" style="2" customWidth="1"/>
    <col min="3" max="5" width="3.109375" style="2" customWidth="1"/>
    <col min="6" max="6" width="4.6640625" style="2" customWidth="1"/>
    <col min="7" max="7" width="5.33203125" style="2" customWidth="1"/>
    <col min="8" max="13" width="3.109375" style="2" customWidth="1"/>
    <col min="14" max="14" width="4.6640625" style="2" customWidth="1"/>
    <col min="15" max="21" width="3.109375" style="2" customWidth="1"/>
    <col min="22" max="22" width="4.6640625" style="2" customWidth="1"/>
    <col min="23" max="28" width="3.109375" style="2" customWidth="1"/>
    <col min="29" max="29" width="4.6640625" style="2" customWidth="1"/>
    <col min="30" max="33" width="3.109375" style="2" customWidth="1"/>
    <col min="34" max="34" width="4.6640625" style="2" customWidth="1"/>
    <col min="35" max="38" width="3.109375" style="2" customWidth="1"/>
    <col min="39" max="39" width="4.6640625" style="2" customWidth="1"/>
    <col min="40" max="43" width="3.109375" style="2" customWidth="1"/>
    <col min="44" max="296" width="4.6640625" style="2" customWidth="1"/>
    <col min="297" max="297" width="14.88671875" style="2" customWidth="1"/>
    <col min="298" max="299" width="9.109375" style="2"/>
    <col min="301" max="302" width="4.6640625" customWidth="1"/>
    <col min="313" max="16384" width="9.109375" style="2"/>
  </cols>
  <sheetData>
    <row r="1" spans="1:312" x14ac:dyDescent="0.3"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KD1" s="1"/>
      <c r="KE1" s="1"/>
      <c r="KF1" s="1"/>
      <c r="KG1" s="1"/>
      <c r="KH1" s="1"/>
      <c r="KI1" s="1"/>
      <c r="KJ1" s="5"/>
    </row>
    <row r="2" spans="1:312" ht="15" customHeight="1" x14ac:dyDescent="0.3">
      <c r="AZ2" s="239"/>
      <c r="BA2" s="239"/>
      <c r="BB2" s="239"/>
      <c r="BC2" s="239"/>
      <c r="BD2" s="239"/>
      <c r="BE2" s="239"/>
      <c r="BF2" s="238"/>
      <c r="BG2" s="238"/>
      <c r="BH2" s="238"/>
      <c r="BI2" s="238"/>
      <c r="BJ2" s="238"/>
      <c r="BK2" s="238"/>
      <c r="BL2" s="238"/>
      <c r="BM2" s="238"/>
      <c r="BO2" s="238"/>
      <c r="BP2" s="238"/>
      <c r="BQ2" s="238"/>
      <c r="BR2" s="238"/>
      <c r="BS2" s="238"/>
      <c r="BT2" s="238"/>
      <c r="BU2" s="238"/>
      <c r="BV2" s="238"/>
      <c r="BW2" s="238"/>
      <c r="BX2" s="238"/>
      <c r="BY2" s="238"/>
      <c r="BZ2" s="238"/>
      <c r="CA2" s="238"/>
      <c r="CB2" s="238"/>
      <c r="CC2" s="238"/>
      <c r="CD2" s="238"/>
      <c r="CE2" s="238"/>
      <c r="CF2" s="238"/>
      <c r="CG2" s="238"/>
      <c r="CH2" s="238"/>
      <c r="CI2" s="238"/>
      <c r="CJ2" s="238"/>
      <c r="CK2" s="238"/>
      <c r="CL2" s="238"/>
      <c r="CM2" s="238"/>
      <c r="CN2" s="238"/>
      <c r="CO2" s="238"/>
      <c r="CP2" s="238"/>
      <c r="CQ2" s="238"/>
      <c r="CR2" s="238"/>
      <c r="CS2" s="238"/>
      <c r="CT2" s="238"/>
      <c r="CU2" s="238"/>
      <c r="CV2" s="238"/>
      <c r="CW2" s="238"/>
      <c r="CX2" s="238"/>
      <c r="CY2" s="238"/>
      <c r="CZ2" s="238"/>
      <c r="DA2" s="238"/>
      <c r="DB2" s="238"/>
      <c r="DC2" s="238"/>
      <c r="DD2" s="238"/>
      <c r="DE2" s="238"/>
      <c r="DF2" s="238"/>
      <c r="DG2" s="238"/>
      <c r="DH2" s="238"/>
      <c r="DI2" s="238"/>
      <c r="DJ2" s="238"/>
      <c r="DK2" s="238"/>
      <c r="DL2" s="238"/>
      <c r="DM2" s="238"/>
      <c r="DN2" s="238"/>
      <c r="DO2" s="238"/>
      <c r="DP2" s="239"/>
      <c r="DQ2" s="239"/>
      <c r="DR2" s="239"/>
      <c r="DS2" s="239"/>
      <c r="DT2" s="239"/>
      <c r="DU2" s="239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211"/>
      <c r="FS2" s="211"/>
      <c r="FT2" s="211"/>
      <c r="FU2" s="211"/>
      <c r="FV2" s="211"/>
      <c r="FW2" s="211"/>
      <c r="FX2" s="613" t="s">
        <v>665</v>
      </c>
      <c r="FY2" s="613"/>
      <c r="FZ2" s="613"/>
      <c r="GA2" s="613"/>
      <c r="GB2" s="613"/>
      <c r="GC2" s="613"/>
      <c r="GD2" s="613"/>
      <c r="GE2" s="613"/>
      <c r="GF2" s="613"/>
      <c r="GG2" s="613"/>
      <c r="GH2" s="613"/>
      <c r="GI2" s="613"/>
      <c r="GJ2" s="613"/>
      <c r="GK2" s="613"/>
      <c r="GL2" s="613"/>
      <c r="GM2" s="613"/>
      <c r="GN2" s="613"/>
      <c r="GO2" s="613"/>
      <c r="GP2" s="613"/>
      <c r="GQ2" s="613"/>
      <c r="GR2" s="613"/>
      <c r="GS2" s="237"/>
      <c r="GT2" s="237"/>
      <c r="GU2" s="237"/>
      <c r="GV2" s="237"/>
      <c r="GW2" s="237"/>
      <c r="GX2" s="237"/>
      <c r="GY2" s="238"/>
      <c r="GZ2" s="238"/>
      <c r="HA2" s="238"/>
      <c r="HB2" s="238"/>
      <c r="HC2" s="238"/>
      <c r="HD2" s="238"/>
      <c r="HE2" s="238"/>
      <c r="HF2" s="238"/>
      <c r="HG2" s="238"/>
      <c r="HH2" s="238"/>
      <c r="HI2" s="238"/>
      <c r="HJ2" s="238"/>
      <c r="HK2" s="238"/>
      <c r="HL2" s="238"/>
      <c r="HM2" s="238"/>
      <c r="HN2" s="238"/>
      <c r="HO2" s="238"/>
      <c r="HP2" s="238"/>
      <c r="HQ2" s="238"/>
      <c r="HR2" s="238"/>
      <c r="HS2" s="238"/>
      <c r="HT2" s="238"/>
      <c r="HU2" s="238"/>
      <c r="HV2" s="238"/>
      <c r="HW2" s="238"/>
      <c r="HX2" s="239"/>
      <c r="HY2" s="239"/>
      <c r="HZ2" s="239"/>
      <c r="IA2" s="239"/>
      <c r="IB2" s="239"/>
      <c r="IC2" s="240"/>
      <c r="ID2" s="240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29"/>
      <c r="IV2" s="30"/>
      <c r="IX2" s="240"/>
      <c r="IY2" s="240"/>
      <c r="IZ2" s="240"/>
      <c r="JA2" s="240"/>
      <c r="JB2" s="240"/>
      <c r="JC2" s="240"/>
      <c r="JD2" s="240"/>
      <c r="JE2" s="240"/>
      <c r="JF2" s="240"/>
      <c r="JG2" s="240"/>
      <c r="JH2" s="240"/>
      <c r="JI2" s="240"/>
      <c r="JJ2" s="240"/>
      <c r="JK2" s="240"/>
      <c r="JL2" s="240"/>
      <c r="JM2" s="240"/>
      <c r="JN2" s="240"/>
      <c r="JO2" s="240"/>
      <c r="JP2" s="240"/>
      <c r="JQ2" s="240"/>
      <c r="JR2" s="240"/>
      <c r="JS2" s="240"/>
      <c r="JT2" s="240"/>
      <c r="JU2" s="240"/>
      <c r="JV2" s="240"/>
      <c r="JW2" s="240"/>
      <c r="JX2" s="240"/>
      <c r="JY2" s="240"/>
      <c r="JZ2" s="240"/>
      <c r="KA2" s="240"/>
      <c r="KB2" s="240"/>
      <c r="KC2" s="240"/>
      <c r="KD2" s="240"/>
      <c r="KE2" s="240"/>
      <c r="KF2" s="240"/>
      <c r="KG2" s="240"/>
      <c r="KH2" s="240"/>
      <c r="KI2" s="240"/>
      <c r="KN2" s="15"/>
      <c r="KO2" s="15"/>
      <c r="KP2" s="15"/>
      <c r="KQ2" s="15"/>
      <c r="KR2" s="15"/>
      <c r="KS2" s="15"/>
      <c r="KT2" s="15"/>
      <c r="KU2" s="16"/>
      <c r="KV2" s="15"/>
      <c r="KW2" s="15"/>
      <c r="KX2" s="15"/>
      <c r="KY2" s="15"/>
      <c r="KZ2" s="15"/>
    </row>
    <row r="3" spans="1:312" ht="22.8" thickBot="1" x14ac:dyDescent="0.35">
      <c r="BC3" s="28"/>
      <c r="BD3" s="6"/>
      <c r="BE3" s="6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9"/>
      <c r="DQ3" s="9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V3" s="28"/>
      <c r="GW3" s="6"/>
      <c r="GX3" s="6"/>
      <c r="GY3" s="33"/>
      <c r="GZ3" s="33"/>
      <c r="HA3" s="33"/>
      <c r="HB3" s="33"/>
      <c r="HC3" s="33"/>
      <c r="HD3" s="33"/>
      <c r="HE3" s="33"/>
      <c r="HF3" s="33"/>
      <c r="HG3" s="33"/>
      <c r="HH3" s="33"/>
      <c r="HI3" s="33"/>
      <c r="HJ3" s="33"/>
      <c r="HK3" s="33"/>
      <c r="HL3" s="33"/>
      <c r="HM3" s="33"/>
      <c r="HN3" s="33"/>
      <c r="HO3" s="33"/>
      <c r="HP3" s="33"/>
      <c r="HQ3" s="33"/>
      <c r="HR3" s="33"/>
      <c r="HS3" s="33"/>
      <c r="HT3" s="33"/>
      <c r="HU3" s="33"/>
      <c r="HV3" s="33"/>
      <c r="HW3" s="33"/>
      <c r="HX3" s="33"/>
      <c r="HY3" s="33"/>
      <c r="HZ3" s="33"/>
      <c r="IA3" s="33"/>
      <c r="IB3" s="33"/>
      <c r="IC3" s="33"/>
      <c r="ID3" s="33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29"/>
      <c r="IV3" s="30"/>
      <c r="IX3" s="33"/>
      <c r="IY3" s="33"/>
      <c r="IZ3" s="33"/>
      <c r="JA3" s="33"/>
      <c r="JB3" s="33"/>
      <c r="JC3" s="33"/>
      <c r="JD3" s="33"/>
      <c r="JE3" s="33"/>
      <c r="JF3" s="33"/>
      <c r="JG3" s="33"/>
      <c r="JH3" s="33"/>
      <c r="JI3" s="33"/>
      <c r="JJ3" s="33"/>
      <c r="JK3" s="33"/>
      <c r="JL3" s="33"/>
      <c r="JM3" s="33"/>
      <c r="JN3" s="33"/>
      <c r="JO3" s="33"/>
      <c r="JP3" s="33"/>
      <c r="JQ3" s="33"/>
      <c r="JR3" s="33"/>
      <c r="JS3" s="33"/>
      <c r="JT3" s="33"/>
      <c r="JU3" s="33"/>
      <c r="JV3" s="33"/>
      <c r="JW3" s="33"/>
      <c r="JX3" s="33"/>
      <c r="JY3" s="33"/>
      <c r="JZ3" s="33"/>
      <c r="KA3" s="33"/>
      <c r="KB3" s="33"/>
      <c r="KC3" s="33"/>
      <c r="KD3" s="33"/>
      <c r="KE3" s="33"/>
      <c r="KF3" s="33"/>
      <c r="KG3" s="33"/>
      <c r="KH3" s="33"/>
      <c r="KI3" s="33"/>
      <c r="KM3" s="574" t="s">
        <v>471</v>
      </c>
      <c r="KN3" s="574"/>
      <c r="KO3" s="574"/>
      <c r="KP3" s="574"/>
      <c r="KQ3" s="574"/>
      <c r="KR3" s="574"/>
      <c r="KS3" s="574"/>
      <c r="KT3" s="574"/>
      <c r="KU3" s="16"/>
      <c r="KV3" s="15"/>
      <c r="KW3" s="15"/>
      <c r="KX3" s="15"/>
      <c r="KY3" s="15"/>
      <c r="KZ3" s="15"/>
    </row>
    <row r="4" spans="1:312" s="3" customFormat="1" ht="15" customHeight="1" thickTop="1" thickBot="1" x14ac:dyDescent="0.35">
      <c r="A4" s="621" t="s">
        <v>668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36"/>
      <c r="AC4" s="436"/>
      <c r="AD4" s="436"/>
      <c r="AE4" s="436"/>
      <c r="AF4" s="436"/>
      <c r="AG4" s="436"/>
      <c r="AH4" s="436"/>
      <c r="AI4" s="436"/>
      <c r="AJ4" s="436"/>
      <c r="AK4" s="436"/>
      <c r="AL4" s="436"/>
      <c r="AM4" s="436"/>
      <c r="AN4" s="436"/>
      <c r="AO4" s="436"/>
      <c r="AP4" s="436"/>
      <c r="AQ4" s="436"/>
      <c r="AR4" s="436"/>
      <c r="AS4" s="437"/>
      <c r="AT4" s="438"/>
      <c r="AU4" s="438"/>
      <c r="AV4" s="438"/>
      <c r="AW4" s="439"/>
      <c r="AX4" s="210"/>
      <c r="AY4" s="210"/>
      <c r="AZ4" s="614" t="s">
        <v>689</v>
      </c>
      <c r="BA4" s="614"/>
      <c r="BB4" s="614"/>
      <c r="BC4" s="614"/>
      <c r="BD4" s="614"/>
      <c r="BE4" s="614"/>
      <c r="BF4" s="614"/>
      <c r="BG4" s="614"/>
      <c r="BH4" s="614"/>
      <c r="BI4" s="614"/>
      <c r="BJ4" s="614"/>
      <c r="BK4" s="614"/>
      <c r="BL4" s="614"/>
      <c r="BM4" s="614"/>
      <c r="BN4" s="614"/>
      <c r="BO4" s="614"/>
      <c r="BP4" s="614"/>
      <c r="BQ4" s="614"/>
      <c r="BR4" s="614"/>
      <c r="BS4" s="614"/>
      <c r="BT4" s="614"/>
      <c r="BU4" s="614"/>
      <c r="BV4" s="614"/>
      <c r="BW4" s="614"/>
      <c r="BX4" s="614"/>
      <c r="BY4" s="614"/>
      <c r="BZ4" s="614"/>
      <c r="CA4" s="614"/>
      <c r="CB4" s="614"/>
      <c r="CC4" s="614"/>
      <c r="CD4" s="614"/>
      <c r="CE4" s="614"/>
      <c r="CF4" s="614"/>
      <c r="CG4" s="614"/>
      <c r="CH4" s="614"/>
      <c r="CI4" s="614"/>
      <c r="CJ4" s="614"/>
      <c r="CK4" s="614"/>
      <c r="CL4" s="614"/>
      <c r="CM4" s="614"/>
      <c r="CN4" s="614"/>
      <c r="CO4" s="614"/>
      <c r="CP4" s="614"/>
      <c r="CQ4" s="614"/>
      <c r="CR4" s="614"/>
      <c r="CS4" s="614"/>
      <c r="CT4" s="614"/>
      <c r="CU4" s="614"/>
      <c r="CV4" s="614"/>
      <c r="CW4" s="614"/>
      <c r="CX4" s="614"/>
      <c r="CY4" s="614"/>
      <c r="CZ4" s="614"/>
      <c r="DA4" s="614"/>
      <c r="DB4" s="614"/>
      <c r="DC4" s="614"/>
      <c r="DD4" s="614"/>
      <c r="DE4" s="614"/>
      <c r="DF4" s="614"/>
      <c r="DG4" s="614"/>
      <c r="DH4" s="614"/>
      <c r="DI4" s="614"/>
      <c r="DJ4" s="614"/>
      <c r="DK4" s="614"/>
      <c r="DL4" s="614"/>
      <c r="DM4" s="614"/>
      <c r="DN4" s="614"/>
      <c r="DO4" s="614"/>
      <c r="DP4" s="614"/>
      <c r="DQ4" s="614"/>
      <c r="DR4" s="614"/>
      <c r="DS4" s="614"/>
      <c r="DT4" s="614"/>
      <c r="DU4" s="614"/>
      <c r="DV4" s="614"/>
      <c r="DW4" s="614"/>
      <c r="DX4" s="614"/>
      <c r="DY4" s="614"/>
      <c r="DZ4" s="614"/>
      <c r="EA4" s="614"/>
      <c r="EB4" s="614"/>
      <c r="EC4" s="614"/>
      <c r="ED4" s="614"/>
      <c r="EE4" s="614"/>
      <c r="EF4" s="614"/>
      <c r="EG4" s="614"/>
      <c r="EH4" s="614"/>
      <c r="EI4" s="614"/>
      <c r="EJ4" s="614"/>
      <c r="EK4" s="614"/>
      <c r="EL4" s="614"/>
      <c r="EM4" s="614"/>
      <c r="EN4" s="614"/>
      <c r="EO4" s="614"/>
      <c r="EP4" s="614"/>
      <c r="EQ4" s="614"/>
      <c r="ER4" s="614"/>
      <c r="ES4" s="614"/>
      <c r="ET4" s="614"/>
      <c r="EU4" s="614"/>
      <c r="EV4" s="614"/>
      <c r="EW4" s="614"/>
      <c r="EX4" s="614"/>
      <c r="EY4" s="614"/>
      <c r="EZ4" s="614"/>
      <c r="FA4" s="614"/>
      <c r="FB4" s="614"/>
      <c r="FC4" s="614"/>
      <c r="FD4" s="614"/>
      <c r="FE4" s="614"/>
      <c r="FF4" s="614"/>
      <c r="FG4" s="614"/>
      <c r="FH4" s="614"/>
      <c r="FI4" s="614"/>
      <c r="FJ4" s="614"/>
      <c r="FK4" s="614"/>
      <c r="FL4" s="614"/>
      <c r="FM4" s="614"/>
      <c r="FN4" s="614"/>
      <c r="FO4" s="614"/>
      <c r="FP4" s="614"/>
      <c r="FQ4" s="614"/>
      <c r="FR4" s="614"/>
      <c r="FS4" s="614"/>
      <c r="FT4" s="614"/>
      <c r="FU4" s="614"/>
      <c r="FV4" s="614"/>
      <c r="FW4" s="614"/>
      <c r="FX4" s="614"/>
      <c r="FY4" s="614"/>
      <c r="FZ4" s="614"/>
      <c r="GA4" s="614"/>
      <c r="GB4" s="614"/>
      <c r="GC4" s="614"/>
      <c r="GD4" s="614"/>
      <c r="GE4" s="614"/>
      <c r="GF4" s="614"/>
      <c r="GG4" s="614"/>
      <c r="GH4" s="614"/>
      <c r="GI4" s="614"/>
      <c r="GJ4" s="614"/>
      <c r="GK4" s="614"/>
      <c r="GL4" s="614"/>
      <c r="GM4" s="614"/>
      <c r="GN4" s="614"/>
      <c r="GO4" s="614"/>
      <c r="GP4" s="614"/>
      <c r="GQ4" s="614"/>
      <c r="GR4" s="614"/>
      <c r="GS4" s="614"/>
      <c r="GT4" s="614"/>
      <c r="GU4" s="614"/>
      <c r="GV4" s="614"/>
      <c r="GW4" s="614"/>
      <c r="GX4" s="614"/>
      <c r="GY4" s="614"/>
      <c r="GZ4" s="614"/>
      <c r="HA4" s="614"/>
      <c r="HB4" s="614"/>
      <c r="HC4" s="614"/>
      <c r="HD4" s="614"/>
      <c r="HE4" s="614"/>
      <c r="HF4" s="614"/>
      <c r="HG4" s="614"/>
      <c r="HH4" s="614"/>
      <c r="HI4" s="614"/>
      <c r="HJ4" s="614"/>
      <c r="HK4" s="614"/>
      <c r="HL4" s="614"/>
      <c r="HM4" s="614"/>
      <c r="HN4" s="614"/>
      <c r="HO4" s="614"/>
      <c r="HP4" s="614"/>
      <c r="HQ4" s="614"/>
      <c r="HR4" s="614"/>
      <c r="HS4" s="614"/>
      <c r="HT4" s="614"/>
      <c r="HU4" s="614"/>
      <c r="HV4" s="614"/>
      <c r="HW4" s="614"/>
      <c r="HX4" s="614"/>
      <c r="HY4" s="614"/>
      <c r="HZ4" s="614"/>
      <c r="IA4" s="614"/>
      <c r="IB4" s="614"/>
      <c r="IC4" s="614"/>
      <c r="ID4" s="614"/>
      <c r="IE4" s="614"/>
      <c r="IF4" s="614"/>
      <c r="IG4" s="614"/>
      <c r="IH4" s="614"/>
      <c r="II4" s="614"/>
      <c r="IJ4" s="614"/>
      <c r="IK4" s="614"/>
      <c r="IL4" s="614"/>
      <c r="IM4" s="614"/>
      <c r="IN4" s="614"/>
      <c r="IO4" s="614"/>
      <c r="IP4" s="614"/>
      <c r="IQ4" s="614"/>
      <c r="IR4" s="614"/>
      <c r="IS4" s="614"/>
      <c r="IT4" s="614"/>
      <c r="IU4" s="614"/>
      <c r="IV4" s="614"/>
      <c r="IW4" s="614"/>
      <c r="IX4" s="614"/>
      <c r="IY4" s="614"/>
      <c r="IZ4" s="614"/>
      <c r="JA4" s="614"/>
      <c r="JB4" s="614"/>
      <c r="JC4" s="614"/>
      <c r="JD4" s="614"/>
      <c r="JE4" s="614"/>
      <c r="JF4" s="614"/>
      <c r="JG4" s="614"/>
      <c r="JH4" s="614"/>
      <c r="JI4" s="614"/>
      <c r="JJ4" s="614"/>
      <c r="JK4" s="614"/>
      <c r="JL4" s="614"/>
      <c r="JM4" s="614"/>
      <c r="JN4" s="614"/>
      <c r="JO4" s="614"/>
      <c r="JP4" s="614"/>
      <c r="JQ4" s="614"/>
      <c r="JR4" s="614"/>
      <c r="JS4" s="614"/>
      <c r="JT4" s="614"/>
      <c r="JU4" s="614"/>
      <c r="JV4" s="614"/>
      <c r="JW4" s="614"/>
      <c r="JX4" s="614"/>
      <c r="JY4" s="614"/>
      <c r="JZ4" s="614"/>
      <c r="KA4" s="614"/>
      <c r="KB4" s="614"/>
      <c r="KC4" s="614"/>
      <c r="KD4" s="615"/>
      <c r="KE4" s="235"/>
      <c r="KF4" s="236"/>
      <c r="KG4" s="236"/>
      <c r="KH4" s="236"/>
      <c r="KI4" s="210"/>
      <c r="KJ4" s="210"/>
      <c r="KK4" s="625" t="s">
        <v>671</v>
      </c>
      <c r="KN4" s="15"/>
      <c r="KO4" s="15"/>
      <c r="KP4" s="15"/>
      <c r="KQ4" s="15"/>
      <c r="KR4" s="15"/>
      <c r="KS4" s="15"/>
      <c r="KT4" s="15"/>
      <c r="KU4" s="618" t="s">
        <v>690</v>
      </c>
      <c r="KV4" s="619"/>
      <c r="KW4" s="619"/>
      <c r="KX4" s="619"/>
      <c r="KY4" s="619"/>
      <c r="KZ4" s="620"/>
    </row>
    <row r="5" spans="1:312" ht="72.599999999999994" customHeight="1" thickBot="1" x14ac:dyDescent="0.4">
      <c r="A5" s="622"/>
      <c r="B5" s="616" t="s">
        <v>691</v>
      </c>
      <c r="C5" s="609"/>
      <c r="D5" s="609"/>
      <c r="E5" s="609"/>
      <c r="F5" s="617"/>
      <c r="G5" s="616" t="s">
        <v>692</v>
      </c>
      <c r="H5" s="609"/>
      <c r="I5" s="609"/>
      <c r="J5" s="609"/>
      <c r="K5" s="609"/>
      <c r="L5" s="609"/>
      <c r="M5" s="609"/>
      <c r="N5" s="609"/>
      <c r="O5" s="608" t="s">
        <v>25</v>
      </c>
      <c r="P5" s="609"/>
      <c r="Q5" s="609"/>
      <c r="R5" s="609"/>
      <c r="S5" s="609"/>
      <c r="T5" s="609"/>
      <c r="U5" s="609"/>
      <c r="V5" s="609"/>
      <c r="W5" s="608" t="s">
        <v>693</v>
      </c>
      <c r="X5" s="609"/>
      <c r="Y5" s="609"/>
      <c r="Z5" s="609"/>
      <c r="AA5" s="609"/>
      <c r="AB5" s="609"/>
      <c r="AC5" s="609"/>
      <c r="AD5" s="610" t="s">
        <v>557</v>
      </c>
      <c r="AE5" s="611"/>
      <c r="AF5" s="611"/>
      <c r="AG5" s="611"/>
      <c r="AH5" s="612"/>
      <c r="AI5" s="610" t="s">
        <v>558</v>
      </c>
      <c r="AJ5" s="611"/>
      <c r="AK5" s="611"/>
      <c r="AL5" s="611"/>
      <c r="AM5" s="612"/>
      <c r="AN5" s="610" t="s">
        <v>559</v>
      </c>
      <c r="AO5" s="611"/>
      <c r="AP5" s="611"/>
      <c r="AQ5" s="611"/>
      <c r="AR5" s="612"/>
      <c r="AS5" s="616" t="s">
        <v>694</v>
      </c>
      <c r="AT5" s="609"/>
      <c r="AU5" s="609"/>
      <c r="AV5" s="609"/>
      <c r="AW5" s="617"/>
      <c r="AX5" s="616" t="s">
        <v>695</v>
      </c>
      <c r="AY5" s="609"/>
      <c r="AZ5" s="609"/>
      <c r="BA5" s="609"/>
      <c r="BB5" s="609"/>
      <c r="BC5" s="609"/>
      <c r="BD5" s="616" t="s">
        <v>696</v>
      </c>
      <c r="BE5" s="609"/>
      <c r="BF5" s="609"/>
      <c r="BG5" s="609"/>
      <c r="BH5" s="609"/>
      <c r="BI5" s="609"/>
      <c r="BJ5" s="609"/>
      <c r="BK5" s="616" t="s">
        <v>697</v>
      </c>
      <c r="BL5" s="609"/>
      <c r="BM5" s="609"/>
      <c r="BN5" s="609"/>
      <c r="BO5" s="609"/>
      <c r="BP5" s="609"/>
      <c r="BQ5" s="616" t="s">
        <v>37</v>
      </c>
      <c r="BR5" s="609"/>
      <c r="BS5" s="609"/>
      <c r="BT5" s="609"/>
      <c r="BU5" s="609"/>
      <c r="BV5" s="609"/>
      <c r="BW5" s="609"/>
      <c r="BX5" s="616" t="s">
        <v>698</v>
      </c>
      <c r="BY5" s="609"/>
      <c r="BZ5" s="609"/>
      <c r="CA5" s="609"/>
      <c r="CB5" s="609"/>
      <c r="CC5" s="609"/>
      <c r="CD5" s="609" t="s">
        <v>699</v>
      </c>
      <c r="CE5" s="609"/>
      <c r="CF5" s="609"/>
      <c r="CG5" s="609"/>
      <c r="CH5" s="609"/>
      <c r="CI5" s="609"/>
      <c r="CJ5" s="609"/>
      <c r="CK5" s="609"/>
      <c r="CL5" s="609"/>
      <c r="CM5" s="609"/>
      <c r="CN5" s="617"/>
      <c r="CO5" s="616" t="s">
        <v>700</v>
      </c>
      <c r="CP5" s="609"/>
      <c r="CQ5" s="609"/>
      <c r="CR5" s="609"/>
      <c r="CS5" s="616" t="s">
        <v>701</v>
      </c>
      <c r="CT5" s="609"/>
      <c r="CU5" s="609"/>
      <c r="CV5" s="609"/>
      <c r="CW5" s="609"/>
      <c r="CX5" s="609"/>
      <c r="CY5" s="609"/>
      <c r="CZ5" s="609"/>
      <c r="DA5" s="609"/>
      <c r="DB5" s="609"/>
      <c r="DC5" s="617"/>
      <c r="DD5" s="616" t="s">
        <v>702</v>
      </c>
      <c r="DE5" s="609"/>
      <c r="DF5" s="609"/>
      <c r="DG5" s="609"/>
      <c r="DH5" s="617"/>
      <c r="DI5" s="616" t="s">
        <v>703</v>
      </c>
      <c r="DJ5" s="609"/>
      <c r="DK5" s="609"/>
      <c r="DL5" s="609"/>
      <c r="DM5" s="609"/>
      <c r="DN5" s="609"/>
      <c r="DO5" s="609"/>
      <c r="DP5" s="609"/>
      <c r="DQ5" s="609"/>
      <c r="DR5" s="609"/>
      <c r="DS5" s="609"/>
      <c r="DT5" s="609"/>
      <c r="DU5" s="609"/>
      <c r="DV5" s="609"/>
      <c r="DW5" s="609"/>
      <c r="DX5" s="609"/>
      <c r="DY5" s="609"/>
      <c r="DZ5" s="609"/>
      <c r="EA5" s="609"/>
      <c r="EB5" s="609"/>
      <c r="EC5" s="609"/>
      <c r="ED5" s="609"/>
      <c r="EE5" s="609"/>
      <c r="EF5" s="609"/>
      <c r="EG5" s="609"/>
      <c r="EH5" s="609"/>
      <c r="EI5" s="617"/>
      <c r="EJ5" s="616" t="s">
        <v>704</v>
      </c>
      <c r="EK5" s="609"/>
      <c r="EL5" s="609"/>
      <c r="EM5" s="609"/>
      <c r="EN5" s="609"/>
      <c r="EO5" s="609"/>
      <c r="EP5" s="609"/>
      <c r="EQ5" s="609"/>
      <c r="ER5" s="609"/>
      <c r="ES5" s="609"/>
      <c r="ET5" s="609"/>
      <c r="EU5" s="609"/>
      <c r="EV5" s="609"/>
      <c r="EW5" s="609"/>
      <c r="EX5" s="609"/>
      <c r="EY5" s="609"/>
      <c r="EZ5" s="609"/>
      <c r="FA5" s="609"/>
      <c r="FB5" s="609"/>
      <c r="FC5" s="609"/>
      <c r="FD5" s="609"/>
      <c r="FE5" s="609"/>
      <c r="FF5" s="609"/>
      <c r="FG5" s="609"/>
      <c r="FH5" s="609"/>
      <c r="FI5" s="609"/>
      <c r="FJ5" s="617"/>
      <c r="FK5" s="616" t="s">
        <v>705</v>
      </c>
      <c r="FL5" s="609"/>
      <c r="FM5" s="609"/>
      <c r="FN5" s="609"/>
      <c r="FO5" s="609"/>
      <c r="FP5" s="609"/>
      <c r="FQ5" s="609"/>
      <c r="FR5" s="609"/>
      <c r="FS5" s="609"/>
      <c r="FT5" s="609"/>
      <c r="FU5" s="609"/>
      <c r="FV5" s="609"/>
      <c r="FW5" s="609"/>
      <c r="FX5" s="609"/>
      <c r="FY5" s="609"/>
      <c r="FZ5" s="609"/>
      <c r="GA5" s="609"/>
      <c r="GB5" s="609"/>
      <c r="GC5" s="609"/>
      <c r="GD5" s="609"/>
      <c r="GE5" s="609"/>
      <c r="GF5" s="609"/>
      <c r="GG5" s="609"/>
      <c r="GH5" s="609"/>
      <c r="GI5" s="609"/>
      <c r="GJ5" s="609"/>
      <c r="GK5" s="617"/>
      <c r="GL5" s="616" t="s">
        <v>706</v>
      </c>
      <c r="GM5" s="609"/>
      <c r="GN5" s="609"/>
      <c r="GO5" s="609"/>
      <c r="GP5" s="609"/>
      <c r="GQ5" s="609"/>
      <c r="GR5" s="609"/>
      <c r="GS5" s="609"/>
      <c r="GT5" s="609"/>
      <c r="GU5" s="609"/>
      <c r="GV5" s="609"/>
      <c r="GW5" s="609"/>
      <c r="GX5" s="609"/>
      <c r="GY5" s="617"/>
      <c r="GZ5" s="616" t="s">
        <v>707</v>
      </c>
      <c r="HA5" s="609"/>
      <c r="HB5" s="609"/>
      <c r="HC5" s="609"/>
      <c r="HD5" s="609"/>
      <c r="HE5" s="609"/>
      <c r="HF5" s="609"/>
      <c r="HG5" s="609"/>
      <c r="HH5" s="609"/>
      <c r="HI5" s="609"/>
      <c r="HJ5" s="609"/>
      <c r="HK5" s="609"/>
      <c r="HL5" s="609"/>
      <c r="HM5" s="617"/>
      <c r="HN5" s="616" t="s">
        <v>708</v>
      </c>
      <c r="HO5" s="609"/>
      <c r="HP5" s="609"/>
      <c r="HQ5" s="609"/>
      <c r="HR5" s="609"/>
      <c r="HS5" s="609"/>
      <c r="HT5" s="609"/>
      <c r="HU5" s="609"/>
      <c r="HV5" s="609"/>
      <c r="HW5" s="609"/>
      <c r="HX5" s="609"/>
      <c r="HY5" s="609"/>
      <c r="HZ5" s="609"/>
      <c r="IA5" s="617"/>
      <c r="IB5" s="616" t="s">
        <v>709</v>
      </c>
      <c r="IC5" s="609"/>
      <c r="ID5" s="609"/>
      <c r="IE5" s="609"/>
      <c r="IF5" s="609"/>
      <c r="IG5" s="617"/>
      <c r="IH5" s="616" t="s">
        <v>196</v>
      </c>
      <c r="II5" s="609"/>
      <c r="IJ5" s="609"/>
      <c r="IK5" s="609"/>
      <c r="IL5" s="609"/>
      <c r="IM5" s="609"/>
      <c r="IN5" s="609"/>
      <c r="IO5" s="609"/>
      <c r="IP5" s="609"/>
      <c r="IQ5" s="609"/>
      <c r="IR5" s="609"/>
      <c r="IS5" s="609"/>
      <c r="IT5" s="609"/>
      <c r="IU5" s="617"/>
      <c r="IV5" s="616" t="s">
        <v>710</v>
      </c>
      <c r="IW5" s="609"/>
      <c r="IX5" s="609"/>
      <c r="IY5" s="609"/>
      <c r="IZ5" s="609"/>
      <c r="JA5" s="609"/>
      <c r="JB5" s="609"/>
      <c r="JC5" s="609"/>
      <c r="JD5" s="609"/>
      <c r="JE5" s="609"/>
      <c r="JF5" s="609"/>
      <c r="JG5" s="609"/>
      <c r="JH5" s="609"/>
      <c r="JI5" s="609"/>
      <c r="JJ5" s="609"/>
      <c r="JK5" s="609"/>
      <c r="JL5" s="609"/>
      <c r="JM5" s="609"/>
      <c r="JN5" s="609"/>
      <c r="JO5" s="609"/>
      <c r="JP5" s="609"/>
      <c r="JQ5" s="609"/>
      <c r="JR5" s="617"/>
      <c r="JS5" s="616" t="s">
        <v>711</v>
      </c>
      <c r="JT5" s="609"/>
      <c r="JU5" s="609"/>
      <c r="JV5" s="609"/>
      <c r="JW5" s="609"/>
      <c r="JX5" s="609"/>
      <c r="JY5" s="609"/>
      <c r="JZ5" s="609"/>
      <c r="KA5" s="609"/>
      <c r="KB5" s="609"/>
      <c r="KC5" s="609"/>
      <c r="KD5" s="617"/>
      <c r="KE5" s="616" t="s">
        <v>580</v>
      </c>
      <c r="KF5" s="609"/>
      <c r="KG5" s="609"/>
      <c r="KH5" s="609"/>
      <c r="KI5" s="609"/>
      <c r="KJ5" s="609"/>
      <c r="KK5" s="626"/>
      <c r="KL5" s="97"/>
      <c r="KM5" s="97"/>
      <c r="KN5" s="98"/>
      <c r="KO5" s="241"/>
      <c r="KP5" s="241"/>
      <c r="KQ5" s="99"/>
      <c r="KR5" s="99"/>
      <c r="KS5" s="99"/>
      <c r="KT5" s="99"/>
      <c r="KU5" s="99"/>
      <c r="KW5" s="15"/>
      <c r="KX5" s="15"/>
      <c r="KY5" s="15"/>
      <c r="KZ5" s="15"/>
    </row>
    <row r="6" spans="1:312" s="101" customFormat="1" ht="111" customHeight="1" thickBot="1" x14ac:dyDescent="0.4">
      <c r="A6" s="623"/>
      <c r="B6" s="160" t="s">
        <v>0</v>
      </c>
      <c r="C6" s="160" t="s">
        <v>104</v>
      </c>
      <c r="D6" s="160" t="s">
        <v>191</v>
      </c>
      <c r="E6" s="160" t="s">
        <v>114</v>
      </c>
      <c r="F6" s="454" t="s">
        <v>712</v>
      </c>
      <c r="G6" s="160" t="s">
        <v>104</v>
      </c>
      <c r="H6" s="160" t="s">
        <v>143</v>
      </c>
      <c r="I6" s="160" t="s">
        <v>199</v>
      </c>
      <c r="J6" s="160" t="s">
        <v>254</v>
      </c>
      <c r="K6" s="160" t="s">
        <v>247</v>
      </c>
      <c r="L6" s="160" t="s">
        <v>331</v>
      </c>
      <c r="M6" s="160" t="s">
        <v>114</v>
      </c>
      <c r="N6" s="454" t="s">
        <v>713</v>
      </c>
      <c r="O6" s="160" t="s">
        <v>105</v>
      </c>
      <c r="P6" s="160" t="s">
        <v>144</v>
      </c>
      <c r="Q6" s="160" t="s">
        <v>200</v>
      </c>
      <c r="R6" s="160" t="s">
        <v>255</v>
      </c>
      <c r="S6" s="160" t="s">
        <v>298</v>
      </c>
      <c r="T6" s="160" t="s">
        <v>332</v>
      </c>
      <c r="U6" s="160" t="s">
        <v>114</v>
      </c>
      <c r="V6" s="454" t="s">
        <v>714</v>
      </c>
      <c r="W6" s="160" t="s">
        <v>106</v>
      </c>
      <c r="X6" s="160" t="s">
        <v>145</v>
      </c>
      <c r="Y6" s="160" t="s">
        <v>201</v>
      </c>
      <c r="Z6" s="160" t="s">
        <v>256</v>
      </c>
      <c r="AA6" s="160" t="s">
        <v>247</v>
      </c>
      <c r="AB6" s="160" t="s">
        <v>114</v>
      </c>
      <c r="AC6" s="454" t="s">
        <v>715</v>
      </c>
      <c r="AD6" s="160" t="s">
        <v>0</v>
      </c>
      <c r="AE6" s="160" t="s">
        <v>104</v>
      </c>
      <c r="AF6" s="160" t="s">
        <v>191</v>
      </c>
      <c r="AG6" s="160" t="s">
        <v>114</v>
      </c>
      <c r="AH6" s="454" t="s">
        <v>716</v>
      </c>
      <c r="AI6" s="160" t="s">
        <v>0</v>
      </c>
      <c r="AJ6" s="160" t="s">
        <v>104</v>
      </c>
      <c r="AK6" s="160" t="s">
        <v>191</v>
      </c>
      <c r="AL6" s="160" t="s">
        <v>114</v>
      </c>
      <c r="AM6" s="454" t="s">
        <v>717</v>
      </c>
      <c r="AN6" s="160" t="s">
        <v>0</v>
      </c>
      <c r="AO6" s="160" t="s">
        <v>104</v>
      </c>
      <c r="AP6" s="160" t="s">
        <v>191</v>
      </c>
      <c r="AQ6" s="160" t="s">
        <v>114</v>
      </c>
      <c r="AR6" s="454" t="s">
        <v>718</v>
      </c>
      <c r="AS6" s="155" t="s">
        <v>104</v>
      </c>
      <c r="AT6" s="155" t="s">
        <v>149</v>
      </c>
      <c r="AU6" s="155" t="s">
        <v>205</v>
      </c>
      <c r="AV6" s="155" t="s">
        <v>114</v>
      </c>
      <c r="AW6" s="390" t="s">
        <v>719</v>
      </c>
      <c r="AX6" s="187" t="s">
        <v>110</v>
      </c>
      <c r="AY6" s="160" t="s">
        <v>150</v>
      </c>
      <c r="AZ6" s="219" t="s">
        <v>206</v>
      </c>
      <c r="BA6" s="160" t="s">
        <v>258</v>
      </c>
      <c r="BB6" s="219" t="s">
        <v>720</v>
      </c>
      <c r="BC6" s="390" t="s">
        <v>721</v>
      </c>
      <c r="BD6" s="187" t="s">
        <v>110</v>
      </c>
      <c r="BE6" s="160" t="s">
        <v>150</v>
      </c>
      <c r="BF6" s="160" t="s">
        <v>206</v>
      </c>
      <c r="BG6" s="160" t="s">
        <v>258</v>
      </c>
      <c r="BH6" s="160" t="s">
        <v>300</v>
      </c>
      <c r="BI6" s="160" t="s">
        <v>333</v>
      </c>
      <c r="BJ6" s="390" t="s">
        <v>722</v>
      </c>
      <c r="BK6" s="202" t="s">
        <v>104</v>
      </c>
      <c r="BL6" s="218" t="s">
        <v>151</v>
      </c>
      <c r="BM6" s="218" t="s">
        <v>207</v>
      </c>
      <c r="BN6" s="218" t="s">
        <v>191</v>
      </c>
      <c r="BO6" s="495" t="s">
        <v>114</v>
      </c>
      <c r="BP6" s="390" t="s">
        <v>723</v>
      </c>
      <c r="BQ6" s="496" t="s">
        <v>111</v>
      </c>
      <c r="BR6" s="224" t="s">
        <v>106</v>
      </c>
      <c r="BS6" s="224" t="s">
        <v>208</v>
      </c>
      <c r="BT6" s="224" t="s">
        <v>259</v>
      </c>
      <c r="BU6" s="224" t="s">
        <v>301</v>
      </c>
      <c r="BV6" s="225" t="s">
        <v>114</v>
      </c>
      <c r="BW6" s="390" t="s">
        <v>724</v>
      </c>
      <c r="BX6" s="250" t="s">
        <v>104</v>
      </c>
      <c r="BY6" s="226" t="s">
        <v>152</v>
      </c>
      <c r="BZ6" s="226" t="s">
        <v>209</v>
      </c>
      <c r="CA6" s="226" t="s">
        <v>260</v>
      </c>
      <c r="CB6" s="231" t="s">
        <v>114</v>
      </c>
      <c r="CC6" s="390" t="s">
        <v>725</v>
      </c>
      <c r="CD6" s="250" t="s">
        <v>112</v>
      </c>
      <c r="CE6" s="250" t="s">
        <v>104</v>
      </c>
      <c r="CF6" s="226" t="s">
        <v>210</v>
      </c>
      <c r="CG6" s="226" t="s">
        <v>261</v>
      </c>
      <c r="CH6" s="226" t="s">
        <v>302</v>
      </c>
      <c r="CI6" s="226" t="s">
        <v>334</v>
      </c>
      <c r="CJ6" s="226" t="s">
        <v>360</v>
      </c>
      <c r="CK6" s="226" t="s">
        <v>247</v>
      </c>
      <c r="CL6" s="226" t="s">
        <v>191</v>
      </c>
      <c r="CM6" s="231" t="s">
        <v>114</v>
      </c>
      <c r="CN6" s="390" t="s">
        <v>725</v>
      </c>
      <c r="CO6" s="367" t="s">
        <v>0</v>
      </c>
      <c r="CP6" s="225" t="s">
        <v>104</v>
      </c>
      <c r="CQ6" s="225" t="s">
        <v>114</v>
      </c>
      <c r="CR6" s="390" t="s">
        <v>726</v>
      </c>
      <c r="CS6" s="494" t="s">
        <v>113</v>
      </c>
      <c r="CT6" s="225" t="s">
        <v>153</v>
      </c>
      <c r="CU6" s="225" t="s">
        <v>211</v>
      </c>
      <c r="CV6" s="225" t="s">
        <v>262</v>
      </c>
      <c r="CW6" s="225" t="s">
        <v>303</v>
      </c>
      <c r="CX6" s="225" t="s">
        <v>335</v>
      </c>
      <c r="CY6" s="225" t="s">
        <v>293</v>
      </c>
      <c r="CZ6" s="225" t="s">
        <v>379</v>
      </c>
      <c r="DA6" s="225" t="s">
        <v>395</v>
      </c>
      <c r="DB6" s="225" t="s">
        <v>247</v>
      </c>
      <c r="DC6" s="390" t="s">
        <v>727</v>
      </c>
      <c r="DD6" s="230" t="s">
        <v>0</v>
      </c>
      <c r="DE6" s="231" t="s">
        <v>104</v>
      </c>
      <c r="DF6" s="231" t="s">
        <v>191</v>
      </c>
      <c r="DG6" s="231" t="s">
        <v>114</v>
      </c>
      <c r="DH6" s="390" t="s">
        <v>728</v>
      </c>
      <c r="DI6" s="231" t="s">
        <v>114</v>
      </c>
      <c r="DJ6" s="226" t="s">
        <v>154</v>
      </c>
      <c r="DK6" s="226" t="s">
        <v>212</v>
      </c>
      <c r="DL6" s="226" t="s">
        <v>263</v>
      </c>
      <c r="DM6" s="226" t="s">
        <v>304</v>
      </c>
      <c r="DN6" s="226" t="s">
        <v>336</v>
      </c>
      <c r="DO6" s="226" t="s">
        <v>361</v>
      </c>
      <c r="DP6" s="226" t="s">
        <v>380</v>
      </c>
      <c r="DQ6" s="226" t="s">
        <v>396</v>
      </c>
      <c r="DR6" s="226" t="s">
        <v>405</v>
      </c>
      <c r="DS6" s="226" t="s">
        <v>413</v>
      </c>
      <c r="DT6" s="226" t="s">
        <v>421</v>
      </c>
      <c r="DU6" s="226" t="s">
        <v>429</v>
      </c>
      <c r="DV6" s="226" t="s">
        <v>436</v>
      </c>
      <c r="DW6" s="226" t="s">
        <v>382</v>
      </c>
      <c r="DX6" s="226" t="s">
        <v>446</v>
      </c>
      <c r="DY6" s="226" t="s">
        <v>729</v>
      </c>
      <c r="DZ6" s="226" t="s">
        <v>406</v>
      </c>
      <c r="EA6" s="226" t="s">
        <v>451</v>
      </c>
      <c r="EB6" s="226" t="s">
        <v>414</v>
      </c>
      <c r="EC6" s="226" t="s">
        <v>457</v>
      </c>
      <c r="ED6" s="226" t="s">
        <v>459</v>
      </c>
      <c r="EE6" s="226" t="s">
        <v>461</v>
      </c>
      <c r="EF6" s="226" t="s">
        <v>463</v>
      </c>
      <c r="EG6" s="226" t="s">
        <v>465</v>
      </c>
      <c r="EH6" s="226" t="s">
        <v>247</v>
      </c>
      <c r="EI6" s="390" t="s">
        <v>730</v>
      </c>
      <c r="EJ6" s="231" t="s">
        <v>114</v>
      </c>
      <c r="EK6" s="226" t="s">
        <v>154</v>
      </c>
      <c r="EL6" s="226" t="s">
        <v>212</v>
      </c>
      <c r="EM6" s="226" t="s">
        <v>263</v>
      </c>
      <c r="EN6" s="226" t="s">
        <v>304</v>
      </c>
      <c r="EO6" s="226" t="s">
        <v>336</v>
      </c>
      <c r="EP6" s="226" t="s">
        <v>361</v>
      </c>
      <c r="EQ6" s="226" t="s">
        <v>380</v>
      </c>
      <c r="ER6" s="226" t="s">
        <v>396</v>
      </c>
      <c r="ES6" s="226" t="s">
        <v>405</v>
      </c>
      <c r="ET6" s="226" t="s">
        <v>413</v>
      </c>
      <c r="EU6" s="226" t="s">
        <v>421</v>
      </c>
      <c r="EV6" s="226" t="s">
        <v>429</v>
      </c>
      <c r="EW6" s="226" t="s">
        <v>436</v>
      </c>
      <c r="EX6" s="226" t="s">
        <v>382</v>
      </c>
      <c r="EY6" s="226" t="s">
        <v>446</v>
      </c>
      <c r="EZ6" s="226" t="s">
        <v>729</v>
      </c>
      <c r="FA6" s="226" t="s">
        <v>406</v>
      </c>
      <c r="FB6" s="226" t="s">
        <v>451</v>
      </c>
      <c r="FC6" s="226" t="s">
        <v>414</v>
      </c>
      <c r="FD6" s="226" t="s">
        <v>457</v>
      </c>
      <c r="FE6" s="226" t="s">
        <v>459</v>
      </c>
      <c r="FF6" s="226" t="s">
        <v>461</v>
      </c>
      <c r="FG6" s="226" t="s">
        <v>463</v>
      </c>
      <c r="FH6" s="226" t="s">
        <v>465</v>
      </c>
      <c r="FI6" s="231" t="s">
        <v>247</v>
      </c>
      <c r="FJ6" s="390" t="s">
        <v>731</v>
      </c>
      <c r="FK6" s="280" t="s">
        <v>114</v>
      </c>
      <c r="FL6" s="226" t="s">
        <v>154</v>
      </c>
      <c r="FM6" s="226" t="s">
        <v>212</v>
      </c>
      <c r="FN6" s="226" t="s">
        <v>263</v>
      </c>
      <c r="FO6" s="226" t="s">
        <v>304</v>
      </c>
      <c r="FP6" s="226" t="s">
        <v>336</v>
      </c>
      <c r="FQ6" s="226" t="s">
        <v>361</v>
      </c>
      <c r="FR6" s="226" t="s">
        <v>380</v>
      </c>
      <c r="FS6" s="226" t="s">
        <v>396</v>
      </c>
      <c r="FT6" s="226" t="s">
        <v>405</v>
      </c>
      <c r="FU6" s="226" t="s">
        <v>413</v>
      </c>
      <c r="FV6" s="226" t="s">
        <v>421</v>
      </c>
      <c r="FW6" s="226" t="s">
        <v>429</v>
      </c>
      <c r="FX6" s="226" t="s">
        <v>436</v>
      </c>
      <c r="FY6" s="226" t="s">
        <v>382</v>
      </c>
      <c r="FZ6" s="226" t="s">
        <v>446</v>
      </c>
      <c r="GA6" s="226" t="s">
        <v>729</v>
      </c>
      <c r="GB6" s="226" t="s">
        <v>406</v>
      </c>
      <c r="GC6" s="226" t="s">
        <v>451</v>
      </c>
      <c r="GD6" s="226" t="s">
        <v>414</v>
      </c>
      <c r="GE6" s="226" t="s">
        <v>457</v>
      </c>
      <c r="GF6" s="226" t="s">
        <v>459</v>
      </c>
      <c r="GG6" s="226" t="s">
        <v>461</v>
      </c>
      <c r="GH6" s="226" t="s">
        <v>463</v>
      </c>
      <c r="GI6" s="226" t="s">
        <v>465</v>
      </c>
      <c r="GJ6" s="231" t="s">
        <v>247</v>
      </c>
      <c r="GK6" s="390" t="s">
        <v>732</v>
      </c>
      <c r="GL6" s="226" t="s">
        <v>114</v>
      </c>
      <c r="GM6" s="250" t="s">
        <v>155</v>
      </c>
      <c r="GN6" s="226" t="s">
        <v>213</v>
      </c>
      <c r="GO6" s="226" t="s">
        <v>264</v>
      </c>
      <c r="GP6" s="226" t="s">
        <v>305</v>
      </c>
      <c r="GQ6" s="226" t="s">
        <v>337</v>
      </c>
      <c r="GR6" s="226" t="s">
        <v>362</v>
      </c>
      <c r="GS6" s="226" t="s">
        <v>381</v>
      </c>
      <c r="GT6" s="226" t="s">
        <v>324</v>
      </c>
      <c r="GU6" s="226" t="s">
        <v>246</v>
      </c>
      <c r="GV6" s="226" t="s">
        <v>410</v>
      </c>
      <c r="GW6" s="226" t="s">
        <v>422</v>
      </c>
      <c r="GX6" s="231" t="s">
        <v>353</v>
      </c>
      <c r="GY6" s="390" t="s">
        <v>733</v>
      </c>
      <c r="GZ6" s="226" t="s">
        <v>114</v>
      </c>
      <c r="HA6" s="250" t="s">
        <v>155</v>
      </c>
      <c r="HB6" s="226" t="s">
        <v>213</v>
      </c>
      <c r="HC6" s="226" t="s">
        <v>264</v>
      </c>
      <c r="HD6" s="226" t="s">
        <v>305</v>
      </c>
      <c r="HE6" s="226" t="s">
        <v>337</v>
      </c>
      <c r="HF6" s="226" t="s">
        <v>362</v>
      </c>
      <c r="HG6" s="226" t="s">
        <v>381</v>
      </c>
      <c r="HH6" s="226" t="s">
        <v>324</v>
      </c>
      <c r="HI6" s="226" t="s">
        <v>246</v>
      </c>
      <c r="HJ6" s="226" t="s">
        <v>410</v>
      </c>
      <c r="HK6" s="226" t="s">
        <v>422</v>
      </c>
      <c r="HL6" s="231" t="s">
        <v>353</v>
      </c>
      <c r="HM6" s="390" t="s">
        <v>734</v>
      </c>
      <c r="HN6" s="226" t="s">
        <v>114</v>
      </c>
      <c r="HO6" s="250" t="s">
        <v>155</v>
      </c>
      <c r="HP6" s="226" t="s">
        <v>213</v>
      </c>
      <c r="HQ6" s="226" t="s">
        <v>264</v>
      </c>
      <c r="HR6" s="226" t="s">
        <v>305</v>
      </c>
      <c r="HS6" s="226" t="s">
        <v>337</v>
      </c>
      <c r="HT6" s="226" t="s">
        <v>362</v>
      </c>
      <c r="HU6" s="226" t="s">
        <v>381</v>
      </c>
      <c r="HV6" s="226" t="s">
        <v>324</v>
      </c>
      <c r="HW6" s="226" t="s">
        <v>246</v>
      </c>
      <c r="HX6" s="226" t="s">
        <v>410</v>
      </c>
      <c r="HY6" s="226" t="s">
        <v>422</v>
      </c>
      <c r="HZ6" s="231" t="s">
        <v>353</v>
      </c>
      <c r="IA6" s="390" t="s">
        <v>735</v>
      </c>
      <c r="IB6" s="185" t="s">
        <v>114</v>
      </c>
      <c r="IC6" s="184" t="s">
        <v>104</v>
      </c>
      <c r="ID6" s="184" t="s">
        <v>214</v>
      </c>
      <c r="IE6" s="184" t="s">
        <v>265</v>
      </c>
      <c r="IF6" s="184" t="s">
        <v>191</v>
      </c>
      <c r="IG6" s="390" t="s">
        <v>736</v>
      </c>
      <c r="IH6" s="180" t="s">
        <v>114</v>
      </c>
      <c r="II6" s="180" t="s">
        <v>215</v>
      </c>
      <c r="IJ6" s="180" t="s">
        <v>266</v>
      </c>
      <c r="IK6" s="180" t="s">
        <v>133</v>
      </c>
      <c r="IL6" s="180" t="s">
        <v>338</v>
      </c>
      <c r="IM6" s="180" t="s">
        <v>363</v>
      </c>
      <c r="IN6" s="180" t="s">
        <v>382</v>
      </c>
      <c r="IO6" s="180" t="s">
        <v>397</v>
      </c>
      <c r="IP6" s="180" t="s">
        <v>406</v>
      </c>
      <c r="IQ6" s="180" t="s">
        <v>414</v>
      </c>
      <c r="IR6" s="180" t="s">
        <v>423</v>
      </c>
      <c r="IS6" s="180" t="s">
        <v>430</v>
      </c>
      <c r="IT6" s="181" t="s">
        <v>247</v>
      </c>
      <c r="IU6" s="390" t="s">
        <v>737</v>
      </c>
      <c r="IV6" s="179" t="s">
        <v>104</v>
      </c>
      <c r="IW6" s="180" t="s">
        <v>157</v>
      </c>
      <c r="IX6" s="180" t="s">
        <v>216</v>
      </c>
      <c r="IY6" s="180" t="s">
        <v>267</v>
      </c>
      <c r="IZ6" s="180" t="s">
        <v>266</v>
      </c>
      <c r="JA6" s="180" t="s">
        <v>133</v>
      </c>
      <c r="JB6" s="180" t="s">
        <v>364</v>
      </c>
      <c r="JC6" s="180" t="s">
        <v>338</v>
      </c>
      <c r="JD6" s="180" t="s">
        <v>382</v>
      </c>
      <c r="JE6" s="180" t="s">
        <v>397</v>
      </c>
      <c r="JF6" s="180" t="s">
        <v>406</v>
      </c>
      <c r="JG6" s="180" t="s">
        <v>424</v>
      </c>
      <c r="JH6" s="180" t="s">
        <v>431</v>
      </c>
      <c r="JI6" s="180" t="s">
        <v>414</v>
      </c>
      <c r="JJ6" s="180" t="s">
        <v>423</v>
      </c>
      <c r="JK6" s="180" t="s">
        <v>447</v>
      </c>
      <c r="JL6" s="180" t="s">
        <v>738</v>
      </c>
      <c r="JM6" s="180" t="s">
        <v>374</v>
      </c>
      <c r="JN6" s="180" t="s">
        <v>430</v>
      </c>
      <c r="JO6" s="180" t="s">
        <v>455</v>
      </c>
      <c r="JP6" s="180" t="s">
        <v>458</v>
      </c>
      <c r="JQ6" s="181" t="s">
        <v>114</v>
      </c>
      <c r="JR6" s="390" t="s">
        <v>737</v>
      </c>
      <c r="JS6" s="180" t="s">
        <v>114</v>
      </c>
      <c r="JT6" s="180" t="s">
        <v>155</v>
      </c>
      <c r="JU6" s="180" t="s">
        <v>213</v>
      </c>
      <c r="JV6" s="180" t="s">
        <v>264</v>
      </c>
      <c r="JW6" s="180" t="s">
        <v>306</v>
      </c>
      <c r="JX6" s="180" t="s">
        <v>305</v>
      </c>
      <c r="JY6" s="180" t="s">
        <v>337</v>
      </c>
      <c r="JZ6" s="180" t="s">
        <v>383</v>
      </c>
      <c r="KA6" s="180" t="s">
        <v>398</v>
      </c>
      <c r="KB6" s="180" t="s">
        <v>407</v>
      </c>
      <c r="KC6" s="181" t="s">
        <v>415</v>
      </c>
      <c r="KD6" s="392" t="s">
        <v>739</v>
      </c>
      <c r="KE6" s="250" t="s">
        <v>104</v>
      </c>
      <c r="KF6" s="226" t="s">
        <v>158</v>
      </c>
      <c r="KG6" s="226" t="s">
        <v>217</v>
      </c>
      <c r="KH6" s="226" t="s">
        <v>268</v>
      </c>
      <c r="KI6" s="231" t="s">
        <v>114</v>
      </c>
      <c r="KJ6" s="393" t="s">
        <v>740</v>
      </c>
      <c r="KK6" s="626"/>
      <c r="KN6" s="100"/>
      <c r="KO6" s="300"/>
      <c r="KP6" s="300"/>
      <c r="KQ6" s="100"/>
      <c r="KR6" s="100"/>
      <c r="KS6" s="100"/>
      <c r="KT6" s="100"/>
      <c r="KU6" s="102"/>
      <c r="KV6" s="100"/>
      <c r="KW6" s="100"/>
      <c r="KX6" s="100"/>
      <c r="KY6" s="100"/>
      <c r="KZ6" s="100"/>
    </row>
    <row r="7" spans="1:312" s="1" customFormat="1" ht="16.95" customHeight="1" thickBot="1" x14ac:dyDescent="0.35">
      <c r="A7" s="624"/>
      <c r="B7" s="440" t="s">
        <v>687</v>
      </c>
      <c r="C7" s="440" t="s">
        <v>687</v>
      </c>
      <c r="D7" s="440" t="s">
        <v>687</v>
      </c>
      <c r="E7" s="440" t="s">
        <v>687</v>
      </c>
      <c r="F7" s="146" t="s">
        <v>687</v>
      </c>
      <c r="G7" s="440" t="s">
        <v>687</v>
      </c>
      <c r="H7" s="440" t="s">
        <v>687</v>
      </c>
      <c r="I7" s="440" t="s">
        <v>687</v>
      </c>
      <c r="J7" s="440" t="s">
        <v>687</v>
      </c>
      <c r="K7" s="440" t="s">
        <v>687</v>
      </c>
      <c r="L7" s="440" t="s">
        <v>687</v>
      </c>
      <c r="M7" s="440" t="s">
        <v>687</v>
      </c>
      <c r="N7" s="146" t="s">
        <v>687</v>
      </c>
      <c r="O7" s="440" t="s">
        <v>687</v>
      </c>
      <c r="P7" s="440" t="s">
        <v>687</v>
      </c>
      <c r="Q7" s="440" t="s">
        <v>687</v>
      </c>
      <c r="R7" s="440" t="s">
        <v>687</v>
      </c>
      <c r="S7" s="440" t="s">
        <v>687</v>
      </c>
      <c r="T7" s="440" t="s">
        <v>687</v>
      </c>
      <c r="U7" s="440" t="s">
        <v>687</v>
      </c>
      <c r="V7" s="146" t="s">
        <v>687</v>
      </c>
      <c r="W7" s="440" t="s">
        <v>687</v>
      </c>
      <c r="X7" s="440" t="s">
        <v>687</v>
      </c>
      <c r="Y7" s="440" t="s">
        <v>687</v>
      </c>
      <c r="Z7" s="440" t="s">
        <v>687</v>
      </c>
      <c r="AA7" s="440" t="s">
        <v>687</v>
      </c>
      <c r="AB7" s="440" t="s">
        <v>687</v>
      </c>
      <c r="AC7" s="146" t="s">
        <v>687</v>
      </c>
      <c r="AD7" s="440" t="s">
        <v>687</v>
      </c>
      <c r="AE7" s="440" t="s">
        <v>687</v>
      </c>
      <c r="AF7" s="440" t="s">
        <v>687</v>
      </c>
      <c r="AG7" s="440" t="s">
        <v>687</v>
      </c>
      <c r="AH7" s="146" t="s">
        <v>687</v>
      </c>
      <c r="AI7" s="440" t="s">
        <v>687</v>
      </c>
      <c r="AJ7" s="440" t="s">
        <v>687</v>
      </c>
      <c r="AK7" s="440" t="s">
        <v>687</v>
      </c>
      <c r="AL7" s="440" t="s">
        <v>687</v>
      </c>
      <c r="AM7" s="146" t="s">
        <v>687</v>
      </c>
      <c r="AN7" s="440" t="s">
        <v>687</v>
      </c>
      <c r="AO7" s="440" t="s">
        <v>687</v>
      </c>
      <c r="AP7" s="440" t="s">
        <v>687</v>
      </c>
      <c r="AQ7" s="440" t="s">
        <v>687</v>
      </c>
      <c r="AR7" s="146" t="s">
        <v>687</v>
      </c>
      <c r="AS7" s="96" t="s">
        <v>687</v>
      </c>
      <c r="AT7" s="96" t="s">
        <v>687</v>
      </c>
      <c r="AU7" s="143" t="s">
        <v>687</v>
      </c>
      <c r="AV7" s="143" t="s">
        <v>687</v>
      </c>
      <c r="AW7" s="146" t="s">
        <v>687</v>
      </c>
      <c r="AX7" s="92" t="s">
        <v>687</v>
      </c>
      <c r="AY7" s="92" t="s">
        <v>687</v>
      </c>
      <c r="AZ7" s="92" t="s">
        <v>687</v>
      </c>
      <c r="BA7" s="92" t="s">
        <v>687</v>
      </c>
      <c r="BB7" s="95" t="s">
        <v>687</v>
      </c>
      <c r="BC7" s="146" t="s">
        <v>687</v>
      </c>
      <c r="BD7" s="92" t="s">
        <v>687</v>
      </c>
      <c r="BE7" s="92" t="s">
        <v>687</v>
      </c>
      <c r="BF7" s="92" t="s">
        <v>687</v>
      </c>
      <c r="BG7" s="92" t="s">
        <v>687</v>
      </c>
      <c r="BH7" s="92" t="s">
        <v>687</v>
      </c>
      <c r="BI7" s="95" t="s">
        <v>687</v>
      </c>
      <c r="BJ7" s="146" t="s">
        <v>687</v>
      </c>
      <c r="BK7" s="92" t="s">
        <v>687</v>
      </c>
      <c r="BL7" s="92" t="s">
        <v>687</v>
      </c>
      <c r="BM7" s="92"/>
      <c r="BN7" s="92" t="s">
        <v>687</v>
      </c>
      <c r="BO7" s="95" t="s">
        <v>687</v>
      </c>
      <c r="BP7" s="146" t="s">
        <v>687</v>
      </c>
      <c r="BQ7" s="92" t="s">
        <v>687</v>
      </c>
      <c r="BR7" s="92" t="s">
        <v>687</v>
      </c>
      <c r="BS7" s="92" t="s">
        <v>687</v>
      </c>
      <c r="BT7" s="92" t="s">
        <v>687</v>
      </c>
      <c r="BU7" s="92" t="s">
        <v>687</v>
      </c>
      <c r="BV7" s="95" t="s">
        <v>687</v>
      </c>
      <c r="BW7" s="229" t="s">
        <v>687</v>
      </c>
      <c r="BX7" s="92" t="s">
        <v>687</v>
      </c>
      <c r="BY7" s="92" t="s">
        <v>687</v>
      </c>
      <c r="BZ7" s="92" t="s">
        <v>687</v>
      </c>
      <c r="CA7" s="92" t="s">
        <v>687</v>
      </c>
      <c r="CB7" s="95" t="s">
        <v>687</v>
      </c>
      <c r="CC7" s="229" t="s">
        <v>687</v>
      </c>
      <c r="CD7" s="92" t="s">
        <v>687</v>
      </c>
      <c r="CE7" s="92" t="s">
        <v>687</v>
      </c>
      <c r="CF7" s="92" t="s">
        <v>687</v>
      </c>
      <c r="CG7" s="92" t="s">
        <v>687</v>
      </c>
      <c r="CH7" s="92" t="s">
        <v>687</v>
      </c>
      <c r="CI7" s="92" t="s">
        <v>687</v>
      </c>
      <c r="CJ7" s="92" t="s">
        <v>687</v>
      </c>
      <c r="CK7" s="92" t="s">
        <v>687</v>
      </c>
      <c r="CL7" s="92" t="s">
        <v>687</v>
      </c>
      <c r="CM7" s="95" t="s">
        <v>687</v>
      </c>
      <c r="CN7" s="229" t="s">
        <v>687</v>
      </c>
      <c r="CO7" s="95" t="s">
        <v>687</v>
      </c>
      <c r="CP7" s="95" t="s">
        <v>687</v>
      </c>
      <c r="CQ7" s="95" t="s">
        <v>687</v>
      </c>
      <c r="CR7" s="500" t="s">
        <v>687</v>
      </c>
      <c r="CS7" s="95" t="s">
        <v>687</v>
      </c>
      <c r="CT7" s="95" t="s">
        <v>687</v>
      </c>
      <c r="CU7" s="95" t="s">
        <v>687</v>
      </c>
      <c r="CV7" s="95" t="s">
        <v>687</v>
      </c>
      <c r="CW7" s="95" t="s">
        <v>687</v>
      </c>
      <c r="CX7" s="95" t="s">
        <v>687</v>
      </c>
      <c r="CY7" s="95" t="s">
        <v>687</v>
      </c>
      <c r="CZ7" s="95" t="s">
        <v>687</v>
      </c>
      <c r="DA7" s="95" t="s">
        <v>687</v>
      </c>
      <c r="DB7" s="95" t="s">
        <v>687</v>
      </c>
      <c r="DC7" s="229" t="s">
        <v>687</v>
      </c>
      <c r="DD7" s="95" t="s">
        <v>687</v>
      </c>
      <c r="DE7" s="95" t="s">
        <v>687</v>
      </c>
      <c r="DF7" s="95" t="s">
        <v>687</v>
      </c>
      <c r="DG7" s="95" t="s">
        <v>687</v>
      </c>
      <c r="DH7" s="500" t="s">
        <v>687</v>
      </c>
      <c r="DI7" s="151" t="s">
        <v>687</v>
      </c>
      <c r="DJ7" s="151" t="s">
        <v>687</v>
      </c>
      <c r="DK7" s="151" t="s">
        <v>687</v>
      </c>
      <c r="DL7" s="151" t="s">
        <v>687</v>
      </c>
      <c r="DM7" s="151" t="s">
        <v>687</v>
      </c>
      <c r="DN7" s="151" t="s">
        <v>687</v>
      </c>
      <c r="DO7" s="151" t="s">
        <v>687</v>
      </c>
      <c r="DP7" s="92" t="s">
        <v>687</v>
      </c>
      <c r="DQ7" s="92" t="s">
        <v>687</v>
      </c>
      <c r="DR7" s="92" t="s">
        <v>687</v>
      </c>
      <c r="DS7" s="92" t="s">
        <v>687</v>
      </c>
      <c r="DT7" s="92" t="s">
        <v>687</v>
      </c>
      <c r="DU7" s="92" t="s">
        <v>687</v>
      </c>
      <c r="DV7" s="92" t="s">
        <v>687</v>
      </c>
      <c r="DW7" s="92" t="s">
        <v>687</v>
      </c>
      <c r="DX7" s="92" t="s">
        <v>687</v>
      </c>
      <c r="DY7" s="92" t="s">
        <v>687</v>
      </c>
      <c r="DZ7" s="92" t="s">
        <v>687</v>
      </c>
      <c r="EA7" s="92" t="s">
        <v>687</v>
      </c>
      <c r="EB7" s="92" t="s">
        <v>687</v>
      </c>
      <c r="EC7" s="92" t="s">
        <v>687</v>
      </c>
      <c r="ED7" s="92" t="s">
        <v>687</v>
      </c>
      <c r="EE7" s="92" t="s">
        <v>687</v>
      </c>
      <c r="EF7" s="92" t="s">
        <v>687</v>
      </c>
      <c r="EG7" s="92" t="s">
        <v>687</v>
      </c>
      <c r="EH7" s="92" t="s">
        <v>687</v>
      </c>
      <c r="EI7" s="500" t="s">
        <v>687</v>
      </c>
      <c r="EJ7" s="151" t="s">
        <v>687</v>
      </c>
      <c r="EK7" s="151" t="s">
        <v>687</v>
      </c>
      <c r="EL7" s="151" t="s">
        <v>687</v>
      </c>
      <c r="EM7" s="151" t="s">
        <v>687</v>
      </c>
      <c r="EN7" s="151" t="s">
        <v>687</v>
      </c>
      <c r="EO7" s="151" t="s">
        <v>687</v>
      </c>
      <c r="EP7" s="151" t="s">
        <v>687</v>
      </c>
      <c r="EQ7" s="92" t="s">
        <v>687</v>
      </c>
      <c r="ER7" s="92" t="s">
        <v>687</v>
      </c>
      <c r="ES7" s="92" t="s">
        <v>687</v>
      </c>
      <c r="ET7" s="92" t="s">
        <v>687</v>
      </c>
      <c r="EU7" s="92" t="s">
        <v>687</v>
      </c>
      <c r="EV7" s="92" t="s">
        <v>687</v>
      </c>
      <c r="EW7" s="92" t="s">
        <v>687</v>
      </c>
      <c r="EX7" s="92" t="s">
        <v>687</v>
      </c>
      <c r="EY7" s="92" t="s">
        <v>687</v>
      </c>
      <c r="EZ7" s="92" t="s">
        <v>687</v>
      </c>
      <c r="FA7" s="92" t="s">
        <v>687</v>
      </c>
      <c r="FB7" s="92" t="s">
        <v>687</v>
      </c>
      <c r="FC7" s="92" t="s">
        <v>687</v>
      </c>
      <c r="FD7" s="92" t="s">
        <v>687</v>
      </c>
      <c r="FE7" s="92" t="s">
        <v>687</v>
      </c>
      <c r="FF7" s="92" t="s">
        <v>687</v>
      </c>
      <c r="FG7" s="92" t="s">
        <v>687</v>
      </c>
      <c r="FH7" s="92" t="s">
        <v>687</v>
      </c>
      <c r="FI7" s="95" t="s">
        <v>687</v>
      </c>
      <c r="FJ7" s="500" t="s">
        <v>687</v>
      </c>
      <c r="FK7" s="151" t="s">
        <v>687</v>
      </c>
      <c r="FL7" s="151" t="s">
        <v>687</v>
      </c>
      <c r="FM7" s="151" t="s">
        <v>687</v>
      </c>
      <c r="FN7" s="151" t="s">
        <v>687</v>
      </c>
      <c r="FO7" s="151" t="s">
        <v>687</v>
      </c>
      <c r="FP7" s="151" t="s">
        <v>687</v>
      </c>
      <c r="FQ7" s="151" t="s">
        <v>687</v>
      </c>
      <c r="FR7" s="92" t="s">
        <v>687</v>
      </c>
      <c r="FS7" s="92" t="s">
        <v>687</v>
      </c>
      <c r="FT7" s="92" t="s">
        <v>687</v>
      </c>
      <c r="FU7" s="92" t="s">
        <v>687</v>
      </c>
      <c r="FV7" s="92" t="s">
        <v>687</v>
      </c>
      <c r="FW7" s="92" t="s">
        <v>687</v>
      </c>
      <c r="FX7" s="92" t="s">
        <v>687</v>
      </c>
      <c r="FY7" s="92" t="s">
        <v>687</v>
      </c>
      <c r="FZ7" s="92" t="s">
        <v>687</v>
      </c>
      <c r="GA7" s="92" t="s">
        <v>687</v>
      </c>
      <c r="GB7" s="92" t="s">
        <v>687</v>
      </c>
      <c r="GC7" s="92" t="s">
        <v>687</v>
      </c>
      <c r="GD7" s="92" t="s">
        <v>687</v>
      </c>
      <c r="GE7" s="92" t="s">
        <v>687</v>
      </c>
      <c r="GF7" s="92" t="s">
        <v>687</v>
      </c>
      <c r="GG7" s="92" t="s">
        <v>687</v>
      </c>
      <c r="GH7" s="92" t="s">
        <v>687</v>
      </c>
      <c r="GI7" s="92" t="s">
        <v>687</v>
      </c>
      <c r="GJ7" s="95" t="s">
        <v>687</v>
      </c>
      <c r="GK7" s="229" t="s">
        <v>687</v>
      </c>
      <c r="GL7" s="92" t="s">
        <v>687</v>
      </c>
      <c r="GM7" s="92" t="s">
        <v>687</v>
      </c>
      <c r="GN7" s="92" t="s">
        <v>687</v>
      </c>
      <c r="GO7" s="92" t="s">
        <v>687</v>
      </c>
      <c r="GP7" s="92" t="s">
        <v>687</v>
      </c>
      <c r="GQ7" s="92" t="s">
        <v>687</v>
      </c>
      <c r="GR7" s="92" t="s">
        <v>687</v>
      </c>
      <c r="GS7" s="92" t="s">
        <v>687</v>
      </c>
      <c r="GT7" s="92" t="s">
        <v>687</v>
      </c>
      <c r="GU7" s="92" t="s">
        <v>687</v>
      </c>
      <c r="GV7" s="92" t="s">
        <v>687</v>
      </c>
      <c r="GW7" s="92" t="s">
        <v>687</v>
      </c>
      <c r="GX7" s="95" t="s">
        <v>687</v>
      </c>
      <c r="GY7" s="229" t="s">
        <v>687</v>
      </c>
      <c r="GZ7" s="92" t="s">
        <v>687</v>
      </c>
      <c r="HA7" s="92" t="s">
        <v>687</v>
      </c>
      <c r="HB7" s="92" t="s">
        <v>687</v>
      </c>
      <c r="HC7" s="92" t="s">
        <v>687</v>
      </c>
      <c r="HD7" s="92" t="s">
        <v>687</v>
      </c>
      <c r="HE7" s="92" t="s">
        <v>687</v>
      </c>
      <c r="HF7" s="92" t="s">
        <v>687</v>
      </c>
      <c r="HG7" s="92" t="s">
        <v>687</v>
      </c>
      <c r="HH7" s="92" t="s">
        <v>687</v>
      </c>
      <c r="HI7" s="92" t="s">
        <v>687</v>
      </c>
      <c r="HJ7" s="92" t="s">
        <v>687</v>
      </c>
      <c r="HK7" s="92" t="s">
        <v>687</v>
      </c>
      <c r="HL7" s="95" t="s">
        <v>687</v>
      </c>
      <c r="HM7" s="229" t="s">
        <v>687</v>
      </c>
      <c r="HN7" s="92" t="s">
        <v>687</v>
      </c>
      <c r="HO7" s="92" t="s">
        <v>687</v>
      </c>
      <c r="HP7" s="92" t="s">
        <v>687</v>
      </c>
      <c r="HQ7" s="92" t="s">
        <v>687</v>
      </c>
      <c r="HR7" s="92" t="s">
        <v>687</v>
      </c>
      <c r="HS7" s="92" t="s">
        <v>687</v>
      </c>
      <c r="HT7" s="92" t="s">
        <v>687</v>
      </c>
      <c r="HU7" s="92" t="s">
        <v>687</v>
      </c>
      <c r="HV7" s="92" t="s">
        <v>687</v>
      </c>
      <c r="HW7" s="92" t="s">
        <v>687</v>
      </c>
      <c r="HX7" s="92" t="s">
        <v>687</v>
      </c>
      <c r="HY7" s="92" t="s">
        <v>687</v>
      </c>
      <c r="HZ7" s="92" t="s">
        <v>687</v>
      </c>
      <c r="IA7" s="500" t="s">
        <v>687</v>
      </c>
      <c r="IB7" s="92" t="s">
        <v>687</v>
      </c>
      <c r="IC7" s="92" t="s">
        <v>687</v>
      </c>
      <c r="ID7" s="92" t="s">
        <v>687</v>
      </c>
      <c r="IE7" s="92" t="s">
        <v>687</v>
      </c>
      <c r="IF7" s="92" t="s">
        <v>687</v>
      </c>
      <c r="IG7" s="229" t="s">
        <v>687</v>
      </c>
      <c r="IH7" s="92" t="s">
        <v>687</v>
      </c>
      <c r="II7" s="92" t="s">
        <v>687</v>
      </c>
      <c r="IJ7" s="92" t="s">
        <v>687</v>
      </c>
      <c r="IK7" s="92" t="s">
        <v>687</v>
      </c>
      <c r="IL7" s="92" t="s">
        <v>687</v>
      </c>
      <c r="IM7" s="92" t="s">
        <v>687</v>
      </c>
      <c r="IN7" s="92" t="s">
        <v>687</v>
      </c>
      <c r="IO7" s="92" t="s">
        <v>687</v>
      </c>
      <c r="IP7" s="92" t="s">
        <v>687</v>
      </c>
      <c r="IQ7" s="92" t="s">
        <v>687</v>
      </c>
      <c r="IR7" s="92" t="s">
        <v>687</v>
      </c>
      <c r="IS7" s="92" t="s">
        <v>687</v>
      </c>
      <c r="IT7" s="95" t="s">
        <v>687</v>
      </c>
      <c r="IU7" s="229" t="s">
        <v>687</v>
      </c>
      <c r="IV7" s="92" t="s">
        <v>687</v>
      </c>
      <c r="IW7" s="92" t="s">
        <v>687</v>
      </c>
      <c r="IX7" s="92" t="s">
        <v>687</v>
      </c>
      <c r="IY7" s="92" t="s">
        <v>687</v>
      </c>
      <c r="IZ7" s="92" t="s">
        <v>687</v>
      </c>
      <c r="JA7" s="92" t="s">
        <v>687</v>
      </c>
      <c r="JB7" s="92" t="s">
        <v>687</v>
      </c>
      <c r="JC7" s="92" t="s">
        <v>687</v>
      </c>
      <c r="JD7" s="92" t="s">
        <v>687</v>
      </c>
      <c r="JE7" s="92" t="s">
        <v>687</v>
      </c>
      <c r="JF7" s="92" t="s">
        <v>687</v>
      </c>
      <c r="JG7" s="92" t="s">
        <v>687</v>
      </c>
      <c r="JH7" s="92" t="s">
        <v>687</v>
      </c>
      <c r="JI7" s="92" t="s">
        <v>687</v>
      </c>
      <c r="JJ7" s="92" t="s">
        <v>687</v>
      </c>
      <c r="JK7" s="92" t="s">
        <v>687</v>
      </c>
      <c r="JL7" s="92" t="s">
        <v>687</v>
      </c>
      <c r="JM7" s="92" t="s">
        <v>687</v>
      </c>
      <c r="JN7" s="92" t="s">
        <v>687</v>
      </c>
      <c r="JO7" s="92" t="s">
        <v>687</v>
      </c>
      <c r="JP7" s="92" t="s">
        <v>687</v>
      </c>
      <c r="JQ7" s="95" t="s">
        <v>687</v>
      </c>
      <c r="JR7" s="229" t="s">
        <v>687</v>
      </c>
      <c r="JS7" s="92" t="s">
        <v>687</v>
      </c>
      <c r="JT7" s="92" t="s">
        <v>687</v>
      </c>
      <c r="JU7" s="228" t="s">
        <v>687</v>
      </c>
      <c r="JV7" s="232" t="s">
        <v>687</v>
      </c>
      <c r="JW7" s="232" t="s">
        <v>687</v>
      </c>
      <c r="JX7" s="232" t="s">
        <v>687</v>
      </c>
      <c r="JY7" s="232" t="s">
        <v>687</v>
      </c>
      <c r="JZ7" s="232" t="s">
        <v>687</v>
      </c>
      <c r="KA7" s="232" t="s">
        <v>687</v>
      </c>
      <c r="KB7" s="232" t="s">
        <v>687</v>
      </c>
      <c r="KC7" s="233" t="s">
        <v>687</v>
      </c>
      <c r="KD7" s="146" t="s">
        <v>687</v>
      </c>
      <c r="KE7" s="156" t="s">
        <v>687</v>
      </c>
      <c r="KF7" s="143" t="s">
        <v>687</v>
      </c>
      <c r="KG7" s="143" t="s">
        <v>687</v>
      </c>
      <c r="KH7" s="143" t="s">
        <v>687</v>
      </c>
      <c r="KI7" s="143" t="s">
        <v>687</v>
      </c>
      <c r="KJ7" s="519" t="s">
        <v>687</v>
      </c>
      <c r="KK7" s="627"/>
      <c r="KN7" s="15"/>
      <c r="KO7" s="300"/>
      <c r="KP7" s="300"/>
      <c r="KQ7" s="15"/>
      <c r="KR7" s="15"/>
      <c r="KS7" s="15"/>
      <c r="KT7" s="15"/>
      <c r="KU7" s="16"/>
      <c r="KV7" s="15"/>
      <c r="KW7" s="15"/>
      <c r="KX7" s="15"/>
      <c r="KY7" s="15"/>
      <c r="KZ7" s="15"/>
    </row>
    <row r="8" spans="1:312" ht="15" customHeight="1" x14ac:dyDescent="0.35">
      <c r="A8" s="566">
        <v>45748</v>
      </c>
      <c r="B8" s="445">
        <f>SUMPRODUCT(('Prenatal Care'!$F$7:$F$762=B$6)*('Prenatal Care'!$C$7:$C$762&gt;=Lists!$AE2)*('Prenatal Care'!$C$7:$C$762&lt;=Lists!$AF2))</f>
        <v>0</v>
      </c>
      <c r="C8" s="446">
        <f>SUMPRODUCT(('Prenatal Care'!$F$7:$F$762=C$6)*('Prenatal Care'!$C$7:$C$762&gt;=Lists!$AE2)*('Prenatal Care'!$C$7:$C$762&lt;=Lists!$AF2))</f>
        <v>0</v>
      </c>
      <c r="D8" s="446">
        <f>SUMPRODUCT(('Prenatal Care'!$F$7:$F$762=D$6)*('Prenatal Care'!$C$7:$C$762&gt;=Lists!$AE2)*('Prenatal Care'!$C$7:$C$762&lt;=Lists!$AF2))</f>
        <v>0</v>
      </c>
      <c r="E8" s="447">
        <f>SUMPRODUCT(('Prenatal Care'!$F$7:$F$762=E$6)*('Prenatal Care'!$C$7:$C$762&gt;=Lists!$AE2)*('Prenatal Care'!$C$7:$C$762&lt;=Lists!$AF2))</f>
        <v>0</v>
      </c>
      <c r="F8" s="212">
        <f>SUM(B8:E8)</f>
        <v>0</v>
      </c>
      <c r="G8" s="441">
        <f>SUMPRODUCT(('Prenatal Care'!$G$7:$G$762=G$6)*('Prenatal Care'!$C$7:$C$762&gt;=Lists!$AE2)*('Prenatal Care'!$C$7:$C$762&lt;=Lists!$AF2))</f>
        <v>0</v>
      </c>
      <c r="H8" s="441">
        <f>SUMPRODUCT(('Prenatal Care'!$G$7:$G$762=H$6)*('Prenatal Care'!$C$7:$C$762&gt;=Lists!$AE2)*('Prenatal Care'!$C$7:$C$762&lt;=Lists!$AF2))</f>
        <v>0</v>
      </c>
      <c r="I8" s="441">
        <f>SUMPRODUCT(('Prenatal Care'!$G$7:$G$762=I$6)*('Prenatal Care'!$C$7:$C$762&gt;=Lists!$AE2)*('Prenatal Care'!$C$7:$C$762&lt;=Lists!$AF2))</f>
        <v>0</v>
      </c>
      <c r="J8" s="441">
        <f>SUMPRODUCT(('Prenatal Care'!$G$7:$G$762=J$6)*('Prenatal Care'!$C$7:$C$762&gt;=Lists!$AE2)*('Prenatal Care'!$C$7:$C$762&lt;=Lists!$AF2))</f>
        <v>0</v>
      </c>
      <c r="K8" s="441">
        <f>SUMPRODUCT(('Prenatal Care'!$G$7:$G$762=K$6)*('Prenatal Care'!$C$7:$C$762&gt;=Lists!$AE2)*('Prenatal Care'!$C$7:$C$762&lt;=Lists!$AF2))</f>
        <v>0</v>
      </c>
      <c r="L8" s="441">
        <f>SUMPRODUCT(('Prenatal Care'!$G$7:$G$762=L$6)*('Prenatal Care'!$C$7:$C$762&gt;=Lists!$AE2)*('Prenatal Care'!$C$7:$C$762&lt;=Lists!$AF2))</f>
        <v>0</v>
      </c>
      <c r="M8" s="441">
        <f>SUMPRODUCT(('Prenatal Care'!$G$7:$G$762=M$6)*('Prenatal Care'!$C$7:$C$762&gt;=Lists!$AE2)*('Prenatal Care'!$C$7:$C$762&lt;=Lists!$AF2))</f>
        <v>0</v>
      </c>
      <c r="N8" s="145">
        <f>SUM(G8:M8)</f>
        <v>0</v>
      </c>
      <c r="O8" s="441">
        <f>SUMPRODUCT(('Prenatal Care'!$H$7:$H$762=O$6)*('Prenatal Care'!$C$7:$C$762&gt;=Lists!$AE2)*('Prenatal Care'!$C$7:$C$762&lt;=Lists!$AF2))</f>
        <v>0</v>
      </c>
      <c r="P8" s="441">
        <f>SUMPRODUCT(('Prenatal Care'!$H$7:$H$762=P$6)*('Prenatal Care'!$C$7:$C$762&gt;=Lists!$AE2)*('Prenatal Care'!$C$7:$C$762&lt;=Lists!$AF2))</f>
        <v>0</v>
      </c>
      <c r="Q8" s="441">
        <f>SUMPRODUCT(('Prenatal Care'!$H$7:$H$762=Q$6)*('Prenatal Care'!$C$7:$C$762&gt;=Lists!$AE2)*('Prenatal Care'!$C$7:$C$762&lt;=Lists!$AF2))</f>
        <v>0</v>
      </c>
      <c r="R8" s="441">
        <f>SUMPRODUCT(('Prenatal Care'!$H$7:$H$762=R$6)*('Prenatal Care'!$C$7:$C$762&gt;=Lists!$AE2)*('Prenatal Care'!$C$7:$C$762&lt;=Lists!$AF2))</f>
        <v>0</v>
      </c>
      <c r="S8" s="441">
        <f>SUMPRODUCT(('Prenatal Care'!$H$7:$H$762=S$6)*('Prenatal Care'!$C$7:$C$762&gt;=Lists!$AE2)*('Prenatal Care'!$C$7:$C$762&lt;=Lists!$AF2))</f>
        <v>0</v>
      </c>
      <c r="T8" s="441">
        <f>SUMPRODUCT(('Prenatal Care'!$H$7:$H$762=T$6)*('Prenatal Care'!$C$7:$C$762&gt;=Lists!$AE2)*('Prenatal Care'!$C$7:$C$762&lt;=Lists!$AF2))</f>
        <v>0</v>
      </c>
      <c r="U8" s="441">
        <f>SUMPRODUCT(('Prenatal Care'!$H$7:$H$762=U$6)*('Prenatal Care'!$C$7:$C$762&gt;=Lists!$AE2)*('Prenatal Care'!$C$7:$C$762&lt;=Lists!$AF2))</f>
        <v>0</v>
      </c>
      <c r="V8" s="145">
        <f>SUM(O8:U8)</f>
        <v>0</v>
      </c>
      <c r="W8" s="441">
        <f>SUMPRODUCT(('Prenatal Care'!$I$7:$I$762=W$6)*('Prenatal Care'!$C$7:$C$762&gt;=Lists!$AE2)*('Prenatal Care'!$C$7:$C$762&lt;=Lists!$AF2))</f>
        <v>0</v>
      </c>
      <c r="X8" s="441">
        <f>SUMPRODUCT(('Prenatal Care'!$I$7:$I$762=X$6)*('Prenatal Care'!$C$7:$C$762&gt;=Lists!$AE2)*('Prenatal Care'!$C$7:$C$762&lt;=Lists!$AF2))</f>
        <v>0</v>
      </c>
      <c r="Y8" s="441">
        <f>SUMPRODUCT(('Prenatal Care'!$I$7:$I$762=Y$6)*('Prenatal Care'!$C$7:$C$762&gt;=Lists!$AE2)*('Prenatal Care'!$C$7:$C$762&lt;=Lists!$AF2))</f>
        <v>0</v>
      </c>
      <c r="Z8" s="441">
        <f>SUMPRODUCT(('Prenatal Care'!$I$7:$I$762=Z$6)*('Prenatal Care'!$C$7:$C$762&gt;=Lists!$AE2)*('Prenatal Care'!$C$7:$C$762&lt;=Lists!$AF2))</f>
        <v>0</v>
      </c>
      <c r="AA8" s="441">
        <f>SUMPRODUCT(('Prenatal Care'!$I$7:$I$762=AA$6)*('Prenatal Care'!$C$7:$C$762&gt;=Lists!$AE2)*('Prenatal Care'!$C$7:$C$762&lt;=Lists!$AF2))</f>
        <v>0</v>
      </c>
      <c r="AB8" s="441">
        <f>SUMPRODUCT(('Prenatal Care'!$I$7:$I$762=AB$6)*('Prenatal Care'!$C$7:$C$762&gt;=Lists!$AE2)*('Prenatal Care'!$C$7:$C$762&lt;=Lists!$AF2))</f>
        <v>0</v>
      </c>
      <c r="AC8" s="145">
        <f>SUM(W8:AB8)</f>
        <v>0</v>
      </c>
      <c r="AD8" s="441">
        <f>SUMPRODUCT(('Prenatal Care'!$J$7:$J$762=AD$6)*('Prenatal Care'!$C$7:$C$762&gt;=Lists!$AE2)*('Prenatal Care'!$C$7:$C$762&lt;=Lists!$AF2))</f>
        <v>0</v>
      </c>
      <c r="AE8" s="441">
        <f>SUMPRODUCT(('Prenatal Care'!$J$7:$J$762=AE$6)*('Prenatal Care'!$C$7:$C$762&gt;=Lists!$AE2)*('Prenatal Care'!$C$7:$C$762&lt;=Lists!$AF2))</f>
        <v>0</v>
      </c>
      <c r="AF8" s="441">
        <f>SUMPRODUCT(('Prenatal Care'!$J$7:$J$762=AF$6)*('Prenatal Care'!$C$7:$C$762&gt;=Lists!$AE2)*('Prenatal Care'!$C$7:$C$762&lt;=Lists!$AF2))</f>
        <v>0</v>
      </c>
      <c r="AG8" s="441">
        <f>SUMPRODUCT(('Prenatal Care'!$J$7:$J$762=AG$6)*('Prenatal Care'!$C$7:$C$762&gt;=Lists!$AE2)*('Prenatal Care'!$C$7:$C$762&lt;=Lists!$AF2))</f>
        <v>0</v>
      </c>
      <c r="AH8" s="145">
        <f>SUM(AD8:AG8)</f>
        <v>0</v>
      </c>
      <c r="AI8" s="441">
        <f>SUMPRODUCT(('Prenatal Care'!$K$7:$K$762=AI$6)*('Prenatal Care'!$C$7:$C$762&gt;=Lists!$AE2)*('Prenatal Care'!$C$7:$C$762&lt;=Lists!$AF2))</f>
        <v>0</v>
      </c>
      <c r="AJ8" s="441">
        <f>SUMPRODUCT(('Prenatal Care'!$K$7:$K$762=AJ$6)*('Prenatal Care'!$C$7:$C$762&gt;=Lists!$AE2)*('Prenatal Care'!$C$7:$C$762&lt;=Lists!$AF2))</f>
        <v>0</v>
      </c>
      <c r="AK8" s="441">
        <f>SUMPRODUCT(('Prenatal Care'!$K$7:$K$762=AK$6)*('Prenatal Care'!$C$7:$C$762&gt;=Lists!$AE2)*('Prenatal Care'!$C$7:$C$762&lt;=Lists!$AF2))</f>
        <v>0</v>
      </c>
      <c r="AL8" s="441">
        <f>SUMPRODUCT(('Prenatal Care'!$K$7:$K$762=AL$6)*('Prenatal Care'!$C$7:$C$762&gt;=Lists!$AE2)*('Prenatal Care'!$C$7:$C$762&lt;=Lists!$AF2))</f>
        <v>0</v>
      </c>
      <c r="AM8" s="145">
        <f>SUM(AI8:AL8)</f>
        <v>0</v>
      </c>
      <c r="AN8" s="441">
        <f>SUMPRODUCT(('Prenatal Care'!$L$7:$L$762=AN$6)*('Prenatal Care'!$C$7:$C$762&gt;=Lists!$AE2)*('Prenatal Care'!$C$7:$C$762&lt;=Lists!$AF2))</f>
        <v>0</v>
      </c>
      <c r="AO8" s="441">
        <f>SUMPRODUCT(('Prenatal Care'!$L$7:$L$762=AO$6)*('Prenatal Care'!$C$7:$C$762&gt;=Lists!$AE2)*('Prenatal Care'!$C$7:$C$762&lt;=Lists!$AF2))</f>
        <v>0</v>
      </c>
      <c r="AP8" s="441">
        <f>SUMPRODUCT(('Prenatal Care'!$L$7:$L$762=AP$6)*('Prenatal Care'!$C$7:$C$762&gt;=Lists!$AE2)*('Prenatal Care'!$C$7:$C$762&lt;=Lists!$AF2))</f>
        <v>0</v>
      </c>
      <c r="AQ8" s="441">
        <f>SUMPRODUCT(('Prenatal Care'!$L$7:$L$762=AQ$6)*('Prenatal Care'!$C$7:$C$762&gt;=Lists!$AE2)*('Prenatal Care'!$C$7:$C$762&lt;=Lists!$AF2))</f>
        <v>0</v>
      </c>
      <c r="AR8" s="145">
        <f>SUM(AN8:AQ8)</f>
        <v>0</v>
      </c>
      <c r="AS8" s="455">
        <f>SUMPRODUCT(('Prenatal Care'!$M$7:$M$762=AS$6)*('Prenatal Care'!$C$7:$C$762&gt;=Lists!$AE2)*('Prenatal Care'!$C$7:$C$762&lt;=Lists!$AF2))</f>
        <v>0</v>
      </c>
      <c r="AT8" s="456">
        <f>SUMPRODUCT(('Prenatal Care'!$M$7:$M$762=AT$6)*('Prenatal Care'!$C$7:$C$762&gt;=Lists!$AE2)*('Prenatal Care'!$C$7:$C$762&lt;=Lists!$AF2))</f>
        <v>0</v>
      </c>
      <c r="AU8" s="456">
        <f>SUMPRODUCT(('Prenatal Care'!$M$7:$M$762=AU$6)*('Prenatal Care'!$C$7:$C$762&gt;=Lists!$AE2)*('Prenatal Care'!$C$7:$C$762&lt;=Lists!$AF2))</f>
        <v>0</v>
      </c>
      <c r="AV8" s="497">
        <f>SUMPRODUCT(('Prenatal Care'!$M$7:$M$762=AV$6)*('Prenatal Care'!$C$7:$C$762&gt;=Lists!$AE2)*('Prenatal Care'!$C$7:$C$762&lt;=Lists!$AF2))</f>
        <v>0</v>
      </c>
      <c r="AW8" s="457">
        <f>SUM(AS8:AV8)</f>
        <v>0</v>
      </c>
      <c r="AX8" s="464">
        <f>SUMPRODUCT(('Prenatal Care'!$N$7:$N$762=AX$6)*('Prenatal Care'!$C$7:$C$762&gt;=Lists!$AE2)*('Prenatal Care'!$C$7:$C$762&lt;=Lists!$AF2))</f>
        <v>0</v>
      </c>
      <c r="AY8" s="459">
        <f>SUMPRODUCT(('Prenatal Care'!$N$7:$N$762=AY$6)*('Prenatal Care'!$C$7:$C$762&gt;=Lists!$AE2)*('Prenatal Care'!$C$7:$C$762&lt;=Lists!$AF2))</f>
        <v>0</v>
      </c>
      <c r="AZ8" s="459">
        <f>SUMPRODUCT(('Prenatal Care'!$N$7:$N$762=AZ$6)*('Prenatal Care'!$C$7:$C$762&gt;=Lists!$AE2)*('Prenatal Care'!$C$7:$C$762&lt;=Lists!$AF2))</f>
        <v>0</v>
      </c>
      <c r="BA8" s="459">
        <f>SUMPRODUCT(('Prenatal Care'!$N$7:$N$762=BA$6)*('Prenatal Care'!$C$7:$C$762&gt;=Lists!$AE2)*('Prenatal Care'!$C$7:$C$762&lt;=Lists!$AF2))</f>
        <v>0</v>
      </c>
      <c r="BB8" s="465">
        <f>SUMPRODUCT(('Prenatal Care'!$N$7:$N$762=BB$6)*('Prenatal Care'!$C$7:$C$762&gt;=Lists!$AE2)*('Prenatal Care'!$C$7:$C$762&lt;=Lists!$AF2))</f>
        <v>0</v>
      </c>
      <c r="BC8" s="461">
        <f>SUM(AX8:BB8)</f>
        <v>0</v>
      </c>
      <c r="BD8" s="464">
        <f>SUMPRODUCT(('Prenatal Care'!$O$7:$O$762=BD$6)*('Prenatal Care'!$C$7:$C$762&gt;=Lists!$AE2)*('Prenatal Care'!$C$7:$C$762&lt;=Lists!$AF2))</f>
        <v>0</v>
      </c>
      <c r="BE8" s="459">
        <f>SUMPRODUCT(('Prenatal Care'!$O$7:$O$762=BE$6)*('Prenatal Care'!$C$7:$C$762&gt;=Lists!$AE2)*('Prenatal Care'!$C$7:$C$762&lt;=Lists!$AF2))</f>
        <v>0</v>
      </c>
      <c r="BF8" s="459">
        <f>SUMPRODUCT(('Prenatal Care'!$O$7:$O$762=BF$6)*('Prenatal Care'!$C$7:$C$762&gt;=Lists!$AE2)*('Prenatal Care'!$C$7:$C$762&lt;=Lists!$AF2))</f>
        <v>0</v>
      </c>
      <c r="BG8" s="459">
        <f>SUMPRODUCT(('Prenatal Care'!$O$7:$O$762=BG$6)*('Prenatal Care'!$C$7:$C$762&gt;=Lists!$AE2)*('Prenatal Care'!$C$7:$C$762&lt;=Lists!$AF2))</f>
        <v>0</v>
      </c>
      <c r="BH8" s="459">
        <f>SUMPRODUCT(('Prenatal Care'!$O$7:$O$762=BH$6)*('Prenatal Care'!$C$7:$C$762&gt;=Lists!$AE2)*('Prenatal Care'!$C$7:$C$762&lt;=Lists!$AF2))</f>
        <v>0</v>
      </c>
      <c r="BI8" s="465">
        <f>SUMPRODUCT(('Prenatal Care'!$O$7:$O$762=BI$6)*('Prenatal Care'!$C$7:$C$762&gt;=Lists!$AE2)*('Prenatal Care'!$C$7:$C$762&lt;=Lists!$AF2))</f>
        <v>0</v>
      </c>
      <c r="BJ8" s="462">
        <f>SUM(BD8:BI8)</f>
        <v>0</v>
      </c>
      <c r="BK8" s="464">
        <f>SUMPRODUCT(('Prenatal Care'!$P$7:$P$762=BK$6)*('Prenatal Care'!$C$7:$C$762&gt;=Lists!$AE2)*('Prenatal Care'!$C$7:$C$762&lt;=Lists!$AF2))</f>
        <v>0</v>
      </c>
      <c r="BL8" s="459">
        <f>SUMPRODUCT(('Prenatal Care'!$P$7:$P$762=BL$6)*('Prenatal Care'!$C$7:$C$762&gt;=Lists!$AE2)*('Prenatal Care'!$C$7:$C$762&lt;=Lists!$AF2))</f>
        <v>0</v>
      </c>
      <c r="BM8" s="459">
        <f>SUMPRODUCT(('Prenatal Care'!$P$7:$P$762=BM$6)*('Prenatal Care'!$C$7:$C$762&gt;=Lists!$AE2)*('Prenatal Care'!$C$7:$C$762&lt;=Lists!$AF2))</f>
        <v>0</v>
      </c>
      <c r="BN8" s="459">
        <f>SUMPRODUCT(('Prenatal Care'!$P$7:$P$762=BN$6)*('Prenatal Care'!$C$7:$C$762&gt;=Lists!$AE2)*('Prenatal Care'!$C$7:$C$762&lt;=Lists!$AF2))</f>
        <v>0</v>
      </c>
      <c r="BO8" s="465">
        <f>SUMPRODUCT(('Prenatal Care'!$P$7:$P$762=BO$6)*('Prenatal Care'!$C$7:$C$762&gt;=Lists!$AE2)*('Prenatal Care'!$C$7:$C$762&lt;=Lists!$AF2))</f>
        <v>0</v>
      </c>
      <c r="BP8" s="462">
        <f t="shared" ref="BP8:BP19" si="0">SUM(BK8:BO8)</f>
        <v>0</v>
      </c>
      <c r="BQ8" s="464">
        <f>SUMPRODUCT(('Prenatal Care'!$Q$7:$Q$762=BQ$6)*('Prenatal Care'!$C$7:$C$762&gt;=Lists!$AE2)*('Prenatal Care'!$C$7:$C$762&lt;=Lists!$AF2))</f>
        <v>0</v>
      </c>
      <c r="BR8" s="459">
        <f>SUMPRODUCT(('Prenatal Care'!$Q$7:$Q$762=BR$6)*('Prenatal Care'!$C$7:$C$762&gt;=Lists!$AE2)*('Prenatal Care'!$C$7:$C$762&lt;=Lists!$AF2))</f>
        <v>0</v>
      </c>
      <c r="BS8" s="459">
        <f>SUMPRODUCT(('Prenatal Care'!$Q$7:$Q$762=BS$6)*('Prenatal Care'!$C$7:$C$762&gt;=Lists!$AE2)*('Prenatal Care'!$C$7:$C$762&lt;=Lists!$AF2))</f>
        <v>0</v>
      </c>
      <c r="BT8" s="459">
        <f>SUMPRODUCT(('Prenatal Care'!$Q$7:$Q$762=BT$6)*('Prenatal Care'!$C$7:$C$762&gt;=Lists!$AE2)*('Prenatal Care'!$C$7:$C$762&lt;=Lists!$AF2))</f>
        <v>0</v>
      </c>
      <c r="BU8" s="459">
        <f>SUMPRODUCT(('Prenatal Care'!$Q$7:$Q$762=BU$6)*('Prenatal Care'!$C$7:$C$762&gt;=Lists!$AE2)*('Prenatal Care'!$C$7:$C$762&lt;=Lists!$AF2))</f>
        <v>0</v>
      </c>
      <c r="BV8" s="465">
        <f>SUMPRODUCT(('Prenatal Care'!$Q$7:$Q$762=BV$6)*('Prenatal Care'!$C$7:$C$762&gt;=Lists!$AE2)*('Prenatal Care'!$C$7:$C$762&lt;=Lists!$AF2))</f>
        <v>0</v>
      </c>
      <c r="BW8" s="463">
        <f t="shared" ref="BW8:BW19" si="1">SUM(BQ8:BV8)</f>
        <v>0</v>
      </c>
      <c r="BX8" s="464">
        <f>SUMPRODUCT(('Prenatal Care'!$R$7:$R$762=BX$6)*('Prenatal Care'!$C$7:$C$762&gt;=Lists!$AE2)*('Prenatal Care'!$C$7:$C$762&lt;=Lists!$AF2))</f>
        <v>0</v>
      </c>
      <c r="BY8" s="459">
        <f>SUMPRODUCT(('Prenatal Care'!$R$7:$R$762=BY$6)*('Prenatal Care'!$C$7:$C$762&gt;=Lists!$AE2)*('Prenatal Care'!$C$7:$C$762&lt;=Lists!$AF2))</f>
        <v>0</v>
      </c>
      <c r="BZ8" s="459">
        <f>SUMPRODUCT(('Prenatal Care'!$R$7:$R$762=BZ$6)*('Prenatal Care'!$C$7:$C$762&gt;=Lists!$AE2)*('Prenatal Care'!$C$7:$C$762&lt;=Lists!$AF2))</f>
        <v>0</v>
      </c>
      <c r="CA8" s="459">
        <f>SUMPRODUCT(('Prenatal Care'!$R$7:$R$762=CA$6)*('Prenatal Care'!$C$7:$C$762&gt;=Lists!$AE2)*('Prenatal Care'!$C$7:$C$762&lt;=Lists!$AF2))</f>
        <v>0</v>
      </c>
      <c r="CB8" s="465">
        <f>SUMPRODUCT(('Prenatal Care'!$R$7:$R$762=CB$6)*('Prenatal Care'!$C$7:$C$762&gt;=Lists!$AE2)*('Prenatal Care'!$C$7:$C$762&lt;=Lists!$AF2))</f>
        <v>0</v>
      </c>
      <c r="CC8" s="462">
        <f>SUM(BX8:CB8)</f>
        <v>0</v>
      </c>
      <c r="CD8" s="458">
        <f>SUMPRODUCT(('Prenatal Care'!$S$7:$S$762=CD$6)*('Prenatal Care'!$C$7:$C$762&gt;=Lists!$AE2)*('Prenatal Care'!$C$7:$C$762&lt;=Lists!$AF2))</f>
        <v>0</v>
      </c>
      <c r="CE8" s="464">
        <f>SUMPRODUCT(('Prenatal Care'!$S$7:$S$762=CE$6)*('Prenatal Care'!$C$7:$C$762&gt;=Lists!$AE2)*('Prenatal Care'!$C$7:$C$762&lt;=Lists!$AF2))</f>
        <v>0</v>
      </c>
      <c r="CF8" s="459">
        <f>SUMPRODUCT(('Prenatal Care'!$S$7:$S$762=CF$6)*('Prenatal Care'!$C$7:$C$762&gt;=Lists!$AE2)*('Prenatal Care'!$C$7:$C$762&lt;=Lists!$AF2))</f>
        <v>0</v>
      </c>
      <c r="CG8" s="459">
        <f>SUMPRODUCT(('Prenatal Care'!$S$7:$S$762=CG$6)*('Prenatal Care'!$C$7:$C$762&gt;=Lists!$AE2)*('Prenatal Care'!$C$7:$C$762&lt;=Lists!$AF2))</f>
        <v>0</v>
      </c>
      <c r="CH8" s="459">
        <f>SUMPRODUCT(('Prenatal Care'!$S$7:$S$762=CH$6)*('Prenatal Care'!$C$7:$C$762&gt;=Lists!$AE2)*('Prenatal Care'!$C$7:$C$762&lt;=Lists!$AF2))</f>
        <v>0</v>
      </c>
      <c r="CI8" s="459">
        <f>SUMPRODUCT(('Prenatal Care'!$S$7:$S$762=CI$6)*('Prenatal Care'!$C$7:$C$762&gt;=Lists!$AE2)*('Prenatal Care'!$C$7:$C$762&lt;=Lists!$AF2))</f>
        <v>0</v>
      </c>
      <c r="CJ8" s="459">
        <f>SUMPRODUCT(('Prenatal Care'!$S$7:$S$762=CJ$6)*('Prenatal Care'!$C$7:$C$762&gt;=Lists!$AE2)*('Prenatal Care'!$C$7:$C$762&lt;=Lists!$AF2))</f>
        <v>0</v>
      </c>
      <c r="CK8" s="459">
        <f>SUMPRODUCT(('Prenatal Care'!$S$7:$S$762=CK$6)*('Prenatal Care'!$C$7:$C$762&gt;=Lists!$AE2)*('Prenatal Care'!$C$7:$C$762&lt;=Lists!$AF2))</f>
        <v>0</v>
      </c>
      <c r="CL8" s="459">
        <f>SUMPRODUCT(('Prenatal Care'!$S$7:$S$762=CL$6)*('Prenatal Care'!$C$7:$C$762&gt;=Lists!$AE2)*('Prenatal Care'!$C$7:$C$762&lt;=Lists!$AF2))</f>
        <v>0</v>
      </c>
      <c r="CM8" s="465">
        <f>SUMPRODUCT(('Prenatal Care'!$S$7:$S$762=CM$6)*('Prenatal Care'!$C$7:$C$762&gt;=Lists!$AE2)*('Prenatal Care'!$C$7:$C$762&lt;=Lists!$AF2))</f>
        <v>0</v>
      </c>
      <c r="CN8" s="461">
        <f>SUM(CD8:CM8)</f>
        <v>0</v>
      </c>
      <c r="CO8" s="464">
        <f>SUMPRODUCT(('Prenatal Care'!$T$7:$T$762=CO$6)*('Prenatal Care'!$C$7:$C$762&gt;=Lists!$AE2)*('Prenatal Care'!$C$7:$C$762&lt;=Lists!$AF2))</f>
        <v>0</v>
      </c>
      <c r="CP8" s="459">
        <f>SUMPRODUCT(('Prenatal Care'!$T$7:$T$762=CP$6)*('Prenatal Care'!$C$7:$C$762&gt;=Lists!$AE2)*('Prenatal Care'!$C$7:$C$762&lt;=Lists!$AF2))</f>
        <v>0</v>
      </c>
      <c r="CQ8" s="465">
        <f>SUMPRODUCT(('Prenatal Care'!$T$7:$T$762=CQ$6)*('Prenatal Care'!$C$7:$C$762&gt;=Lists!$AE2)*('Prenatal Care'!$C$7:$C$762&lt;=Lists!$AF2))</f>
        <v>0</v>
      </c>
      <c r="CR8" s="461">
        <f>SUM(CO8:CQ8)</f>
        <v>0</v>
      </c>
      <c r="CS8" s="502">
        <f>SUMPRODUCT(('Prenatal Care'!$U$7:$U$762=CS$6)*('Prenatal Care'!$C$7:$C$762&gt;=Lists!$AE2)*('Prenatal Care'!$C$7:$C$762&lt;=Lists!$AF2))</f>
        <v>0</v>
      </c>
      <c r="CT8" s="503">
        <f>SUMPRODUCT(('Prenatal Care'!$U$7:$U$762=CT$6)*('Prenatal Care'!$C$7:$C$762&gt;=Lists!$AE2)*('Prenatal Care'!$C$7:$C$762&lt;=Lists!$AF2))</f>
        <v>0</v>
      </c>
      <c r="CU8" s="503">
        <f>SUMPRODUCT(('Prenatal Care'!$U$7:$U$762=CU$6)*('Prenatal Care'!$C$7:$C$762&gt;=Lists!$AE2)*('Prenatal Care'!$C$7:$C$762&lt;=Lists!$AF2))</f>
        <v>0</v>
      </c>
      <c r="CV8" s="503">
        <f>SUMPRODUCT(('Prenatal Care'!$U$7:$U$762=CV$6)*('Prenatal Care'!$C$7:$C$762&gt;=Lists!$AE2)*('Prenatal Care'!$C$7:$C$762&lt;=Lists!$AF2))</f>
        <v>0</v>
      </c>
      <c r="CW8" s="503">
        <f>SUMPRODUCT(('Prenatal Care'!$U$7:$U$762=CW$6)*('Prenatal Care'!$C$7:$C$762&gt;=Lists!$AE2)*('Prenatal Care'!$C$7:$C$762&lt;=Lists!$AF2))</f>
        <v>0</v>
      </c>
      <c r="CX8" s="503">
        <f>SUMPRODUCT(('Prenatal Care'!$U$7:$U$762=CX$6)*('Prenatal Care'!$C$7:$C$762&gt;=Lists!$AE2)*('Prenatal Care'!$C$7:$C$762&lt;=Lists!$AF2))</f>
        <v>0</v>
      </c>
      <c r="CY8" s="503">
        <f>SUMPRODUCT(('Prenatal Care'!$U$7:$U$762=CY$6)*('Prenatal Care'!$C$7:$C$762&gt;=Lists!$AE2)*('Prenatal Care'!$C$7:$C$762&lt;=Lists!$AF2))</f>
        <v>0</v>
      </c>
      <c r="CZ8" s="503">
        <f>SUMPRODUCT(('Prenatal Care'!$U$7:$U$762=CZ$6)*('Prenatal Care'!$C$7:$C$762&gt;=Lists!$AE2)*('Prenatal Care'!$C$7:$C$762&lt;=Lists!$AF2))</f>
        <v>0</v>
      </c>
      <c r="DA8" s="503">
        <f>SUMPRODUCT(('Prenatal Care'!$U$7:$U$762=DA$6)*('Prenatal Care'!$C$7:$C$762&gt;=Lists!$AE2)*('Prenatal Care'!$C$7:$C$762&lt;=Lists!$AF2))</f>
        <v>0</v>
      </c>
      <c r="DB8" s="504">
        <f>SUMPRODUCT(('Prenatal Care'!$U$7:$U$762=DB$6)*('Prenatal Care'!$C$7:$C$762&gt;=Lists!$AE2)*('Prenatal Care'!$C$7:$C$762&lt;=Lists!$AF2))</f>
        <v>0</v>
      </c>
      <c r="DC8" s="461">
        <f>SUM(CS8:DB8)</f>
        <v>0</v>
      </c>
      <c r="DD8" s="458">
        <f>SUMPRODUCT(('Prenatal Care'!$V$7:$V$762=DD$6)*('Prenatal Care'!$C$7:$C$762&gt;=Lists!$AE2)*('Prenatal Care'!$C$7:$C$762&lt;=Lists!$AF2))</f>
        <v>0</v>
      </c>
      <c r="DE8" s="459">
        <f>SUMPRODUCT(('Prenatal Care'!$V$7:$V$762=DE$6)*('Prenatal Care'!$C$7:$C$762&gt;=Lists!$AE2)*('Prenatal Care'!$C$7:$C$762&lt;=Lists!$AF2))</f>
        <v>0</v>
      </c>
      <c r="DF8" s="459">
        <f>SUMPRODUCT(('Prenatal Care'!$V$7:$V$762=DF$6)*('Prenatal Care'!$C$7:$C$762&gt;=Lists!$AE2)*('Prenatal Care'!$C$7:$C$762&lt;=Lists!$AF2))</f>
        <v>0</v>
      </c>
      <c r="DG8" s="465">
        <f>SUMPRODUCT(('Prenatal Care'!$V$7:$V$762=DG$6)*('Prenatal Care'!$C$7:$C$762&gt;=Lists!$AE2)*('Prenatal Care'!$C$7:$C$762&lt;=Lists!$AF2))</f>
        <v>0</v>
      </c>
      <c r="DH8" s="501">
        <f>SUM(DD8:DG8)</f>
        <v>0</v>
      </c>
      <c r="DI8" s="464">
        <f>SUMPRODUCT(('Prenatal Care'!$W$7:$W$762=DI$6)*('Prenatal Care'!$C$7:$C$762&gt;=Lists!$AE2)*('Prenatal Care'!$C$7:$C$762&lt;=Lists!$AF2))</f>
        <v>0</v>
      </c>
      <c r="DJ8" s="459">
        <f>SUMPRODUCT(('Prenatal Care'!$W$7:$W$762=DJ$6)*('Prenatal Care'!$C$7:$C$762&gt;=Lists!$AE2)*('Prenatal Care'!$C$7:$C$762&lt;=Lists!$AF2))</f>
        <v>0</v>
      </c>
      <c r="DK8" s="459">
        <f>SUMPRODUCT(('Prenatal Care'!$W$7:$W$762=DK$6)*('Prenatal Care'!$C$7:$C$762&gt;=Lists!$AE2)*('Prenatal Care'!$C$7:$C$762&lt;=Lists!$AF2))</f>
        <v>0</v>
      </c>
      <c r="DL8" s="459">
        <f>SUMPRODUCT(('Prenatal Care'!$W$7:$W$762=DL$6)*('Prenatal Care'!$C$7:$C$762&gt;=Lists!$AE2)*('Prenatal Care'!$C$7:$C$762&lt;=Lists!$AF2))</f>
        <v>0</v>
      </c>
      <c r="DM8" s="459">
        <f>SUMPRODUCT(('Prenatal Care'!$W$7:$W$762=DM$6)*('Prenatal Care'!$C$7:$C$762&gt;=Lists!$AE2)*('Prenatal Care'!$C$7:$C$762&lt;=Lists!$AF2))</f>
        <v>0</v>
      </c>
      <c r="DN8" s="459">
        <f>SUMPRODUCT(('Prenatal Care'!$W$7:$W$762=DN$6)*('Prenatal Care'!$C$7:$C$762&gt;=Lists!$AE2)*('Prenatal Care'!$C$7:$C$762&lt;=Lists!$AF2))</f>
        <v>0</v>
      </c>
      <c r="DO8" s="459">
        <f>SUMPRODUCT(('Prenatal Care'!$W$7:$W$762=DO$6)*('Prenatal Care'!$C$7:$C$762&gt;=Lists!$AE2)*('Prenatal Care'!$C$7:$C$762&lt;=Lists!$AF2))</f>
        <v>0</v>
      </c>
      <c r="DP8" s="459">
        <f>SUMPRODUCT(('Prenatal Care'!$W$7:$W$762=DP$6)*('Prenatal Care'!$C$7:$C$762&gt;=Lists!$AE2)*('Prenatal Care'!$C$7:$C$762&lt;=Lists!$AF2))</f>
        <v>0</v>
      </c>
      <c r="DQ8" s="459">
        <f>SUMPRODUCT(('Prenatal Care'!$W$7:$W$762=DQ$6)*('Prenatal Care'!$C$7:$C$762&gt;=Lists!$AE2)*('Prenatal Care'!$C$7:$C$762&lt;=Lists!$AF2))</f>
        <v>0</v>
      </c>
      <c r="DR8" s="459">
        <f>SUMPRODUCT(('Prenatal Care'!$W$7:$W$762=DR$6)*('Prenatal Care'!$C$7:$C$762&gt;=Lists!$AE2)*('Prenatal Care'!$C$7:$C$762&lt;=Lists!$AF2))</f>
        <v>0</v>
      </c>
      <c r="DS8" s="459">
        <f>SUMPRODUCT(('Prenatal Care'!$W$7:$W$762=DS$6)*('Prenatal Care'!$C$7:$C$762&gt;=Lists!$AE2)*('Prenatal Care'!$C$7:$C$762&lt;=Lists!$AF2))</f>
        <v>0</v>
      </c>
      <c r="DT8" s="459">
        <f>SUMPRODUCT(('Prenatal Care'!$W$7:$W$762=DT$6)*('Prenatal Care'!$C$7:$C$762&gt;=Lists!$AE2)*('Prenatal Care'!$C$7:$C$762&lt;=Lists!$AF2))</f>
        <v>0</v>
      </c>
      <c r="DU8" s="459">
        <f>SUMPRODUCT(('Prenatal Care'!$W$7:$W$762=DU$6)*('Prenatal Care'!$C$7:$C$762&gt;=Lists!$AE2)*('Prenatal Care'!$C$7:$C$762&lt;=Lists!$AF2))</f>
        <v>0</v>
      </c>
      <c r="DV8" s="459">
        <f>SUMPRODUCT(('Prenatal Care'!$W$7:$W$762=DV$6)*('Prenatal Care'!$C$7:$C$762&gt;=Lists!$AE2)*('Prenatal Care'!$C$7:$C$762&lt;=Lists!$AF2))</f>
        <v>0</v>
      </c>
      <c r="DW8" s="459">
        <f>SUMPRODUCT(('Prenatal Care'!$W$7:$W$762=DW$6)*('Prenatal Care'!$C$7:$C$762&gt;=Lists!$AE2)*('Prenatal Care'!$C$7:$C$762&lt;=Lists!$AF2))</f>
        <v>0</v>
      </c>
      <c r="DX8" s="459">
        <f>SUMPRODUCT(('Prenatal Care'!$W$7:$W$762=DX$6)*('Prenatal Care'!$C$7:$C$762&gt;=Lists!$AE2)*('Prenatal Care'!$C$7:$C$762&lt;=Lists!$AF2))</f>
        <v>0</v>
      </c>
      <c r="DY8" s="459">
        <f>SUMPRODUCT(('Prenatal Care'!$W$7:$W$762=DY$6)*('Prenatal Care'!$C$7:$C$762&gt;=Lists!$AE2)*('Prenatal Care'!$C$7:$C$762&lt;=Lists!$AF2))</f>
        <v>0</v>
      </c>
      <c r="DZ8" s="459">
        <f>SUMPRODUCT(('Prenatal Care'!$W$7:$W$762=DZ$6)*('Prenatal Care'!$C$7:$C$762&gt;=Lists!$AE2)*('Prenatal Care'!$C$7:$C$762&lt;=Lists!$AF2))</f>
        <v>0</v>
      </c>
      <c r="EA8" s="459">
        <f>SUMPRODUCT(('Prenatal Care'!$W$7:$W$762=EA$6)*('Prenatal Care'!$C$7:$C$762&gt;=Lists!$AE2)*('Prenatal Care'!$C$7:$C$762&lt;=Lists!$AF2))</f>
        <v>0</v>
      </c>
      <c r="EB8" s="459">
        <f>SUMPRODUCT(('Prenatal Care'!$W$7:$W$762=EB$6)*('Prenatal Care'!$C$7:$C$762&gt;=Lists!$AE2)*('Prenatal Care'!$C$7:$C$762&lt;=Lists!$AF2))</f>
        <v>0</v>
      </c>
      <c r="EC8" s="459">
        <f>SUMPRODUCT(('Prenatal Care'!$W$7:$W$762=EC$6)*('Prenatal Care'!$C$7:$C$762&gt;=Lists!$AE2)*('Prenatal Care'!$C$7:$C$762&lt;=Lists!$AF2))</f>
        <v>0</v>
      </c>
      <c r="ED8" s="459">
        <f>SUMPRODUCT(('Prenatal Care'!$W$7:$W$762=ED$6)*('Prenatal Care'!$C$7:$C$762&gt;=Lists!$AE2)*('Prenatal Care'!$C$7:$C$762&lt;=Lists!$AF2))</f>
        <v>0</v>
      </c>
      <c r="EE8" s="459">
        <f>SUMPRODUCT(('Prenatal Care'!$W$7:$W$762=EE$6)*('Prenatal Care'!$C$7:$C$762&gt;=Lists!$AE2)*('Prenatal Care'!$C$7:$C$762&lt;=Lists!$AF2))</f>
        <v>0</v>
      </c>
      <c r="EF8" s="459">
        <f>SUMPRODUCT(('Prenatal Care'!$W$7:$W$762=EF$6)*('Prenatal Care'!$C$7:$C$762&gt;=Lists!$AE2)*('Prenatal Care'!$C$7:$C$762&lt;=Lists!$AF2))</f>
        <v>0</v>
      </c>
      <c r="EG8" s="459">
        <f>SUMPRODUCT(('Prenatal Care'!$W$7:$W$762=EG$6)*('Prenatal Care'!$C$7:$C$762&gt;=Lists!$AE2)*('Prenatal Care'!$C$7:$C$762&lt;=Lists!$AF2))</f>
        <v>0</v>
      </c>
      <c r="EH8" s="465">
        <f>SUMPRODUCT(('Prenatal Care'!$W$7:$W$762=EH$6)*('Prenatal Care'!$C$7:$C$762&gt;=Lists!$AE2)*('Prenatal Care'!$C$7:$C$762&lt;=Lists!$AF2))</f>
        <v>0</v>
      </c>
      <c r="EI8" s="501">
        <f>SUM(DI8:EH8)</f>
        <v>0</v>
      </c>
      <c r="EJ8" s="464">
        <f>SUMPRODUCT(('Prenatal Care'!$X$7:$X$762=EJ$6)*('Prenatal Care'!$C$7:$C$762&gt;=Lists!$AE2)*('Prenatal Care'!$C$7:$C$762&lt;=Lists!$AF2))</f>
        <v>0</v>
      </c>
      <c r="EK8" s="459">
        <f>SUMPRODUCT(('Prenatal Care'!$X$7:$X$762=EK$6)*('Prenatal Care'!$C$7:$C$762&gt;=Lists!$AE2)*('Prenatal Care'!$C$7:$C$762&lt;=Lists!$AF2))</f>
        <v>0</v>
      </c>
      <c r="EL8" s="459">
        <f>SUMPRODUCT(('Prenatal Care'!$X$7:$X$762=EL$6)*('Prenatal Care'!$C$7:$C$762&gt;=Lists!$AE2)*('Prenatal Care'!$C$7:$C$762&lt;=Lists!$AF2))</f>
        <v>0</v>
      </c>
      <c r="EM8" s="459">
        <f>SUMPRODUCT(('Prenatal Care'!$X$7:$X$762=EM$6)*('Prenatal Care'!$C$7:$C$762&gt;=Lists!$AE2)*('Prenatal Care'!$C$7:$C$762&lt;=Lists!$AF2))</f>
        <v>0</v>
      </c>
      <c r="EN8" s="459">
        <f>SUMPRODUCT(('Prenatal Care'!$X$7:$X$762=EN$6)*('Prenatal Care'!$C$7:$C$762&gt;=Lists!$AE2)*('Prenatal Care'!$C$7:$C$762&lt;=Lists!$AF2))</f>
        <v>0</v>
      </c>
      <c r="EO8" s="459">
        <f>SUMPRODUCT(('Prenatal Care'!$X$7:$X$762=EO$6)*('Prenatal Care'!$C$7:$C$762&gt;=Lists!$AE2)*('Prenatal Care'!$C$7:$C$762&lt;=Lists!$AF2))</f>
        <v>0</v>
      </c>
      <c r="EP8" s="459">
        <f>SUMPRODUCT(('Prenatal Care'!$X$7:$X$762=EP$6)*('Prenatal Care'!$C$7:$C$762&gt;=Lists!$AE2)*('Prenatal Care'!$C$7:$C$762&lt;=Lists!$AF2))</f>
        <v>0</v>
      </c>
      <c r="EQ8" s="459">
        <f>SUMPRODUCT(('Prenatal Care'!$X$7:$X$762=EQ$6)*('Prenatal Care'!$C$7:$C$762&gt;=Lists!$AE2)*('Prenatal Care'!$C$7:$C$762&lt;=Lists!$AF2))</f>
        <v>0</v>
      </c>
      <c r="ER8" s="459">
        <f>SUMPRODUCT(('Prenatal Care'!$X$7:$X$762=ER$6)*('Prenatal Care'!$C$7:$C$762&gt;=Lists!$AE2)*('Prenatal Care'!$C$7:$C$762&lt;=Lists!$AF2))</f>
        <v>0</v>
      </c>
      <c r="ES8" s="459">
        <f>SUMPRODUCT(('Prenatal Care'!$X$7:$X$762=ES$6)*('Prenatal Care'!$C$7:$C$762&gt;=Lists!$AE2)*('Prenatal Care'!$C$7:$C$762&lt;=Lists!$AF2))</f>
        <v>0</v>
      </c>
      <c r="ET8" s="459">
        <f>SUMPRODUCT(('Prenatal Care'!$X$7:$X$762=ET$6)*('Prenatal Care'!$C$7:$C$762&gt;=Lists!$AE2)*('Prenatal Care'!$C$7:$C$762&lt;=Lists!$AF2))</f>
        <v>0</v>
      </c>
      <c r="EU8" s="459">
        <f>SUMPRODUCT(('Prenatal Care'!$X$7:$X$762=EU$6)*('Prenatal Care'!$C$7:$C$762&gt;=Lists!$AE2)*('Prenatal Care'!$C$7:$C$762&lt;=Lists!$AF2))</f>
        <v>0</v>
      </c>
      <c r="EV8" s="459">
        <f>SUMPRODUCT(('Prenatal Care'!$X$7:$X$762=EV$6)*('Prenatal Care'!$C$7:$C$762&gt;=Lists!$AE2)*('Prenatal Care'!$C$7:$C$762&lt;=Lists!$AF2))</f>
        <v>0</v>
      </c>
      <c r="EW8" s="459">
        <f>SUMPRODUCT(('Prenatal Care'!$X$7:$X$762=EW$6)*('Prenatal Care'!$C$7:$C$762&gt;=Lists!$AE2)*('Prenatal Care'!$C$7:$C$762&lt;=Lists!$AF2))</f>
        <v>0</v>
      </c>
      <c r="EX8" s="459">
        <f>SUMPRODUCT(('Prenatal Care'!$X$7:$X$762=EX$6)*('Prenatal Care'!$C$7:$C$762&gt;=Lists!$AE2)*('Prenatal Care'!$C$7:$C$762&lt;=Lists!$AF2))</f>
        <v>0</v>
      </c>
      <c r="EY8" s="459">
        <f>SUMPRODUCT(('Prenatal Care'!$X$7:$X$762=EY$6)*('Prenatal Care'!$C$7:$C$762&gt;=Lists!$AE2)*('Prenatal Care'!$C$7:$C$762&lt;=Lists!$AF2))</f>
        <v>0</v>
      </c>
      <c r="EZ8" s="459">
        <f>SUMPRODUCT(('Prenatal Care'!$X$7:$X$762=EZ$6)*('Prenatal Care'!$C$7:$C$762&gt;=Lists!$AE2)*('Prenatal Care'!$C$7:$C$762&lt;=Lists!$AF2))</f>
        <v>0</v>
      </c>
      <c r="FA8" s="459">
        <f>SUMPRODUCT(('Prenatal Care'!$X$7:$X$762=FA$6)*('Prenatal Care'!$C$7:$C$762&gt;=Lists!$AE2)*('Prenatal Care'!$C$7:$C$762&lt;=Lists!$AF2))</f>
        <v>0</v>
      </c>
      <c r="FB8" s="459">
        <f>SUMPRODUCT(('Prenatal Care'!$X$7:$X$762=FB$6)*('Prenatal Care'!$C$7:$C$762&gt;=Lists!$AE2)*('Prenatal Care'!$C$7:$C$762&lt;=Lists!$AF2))</f>
        <v>0</v>
      </c>
      <c r="FC8" s="459">
        <f>SUMPRODUCT(('Prenatal Care'!$X$7:$X$762=FC$6)*('Prenatal Care'!$C$7:$C$762&gt;=Lists!$AE2)*('Prenatal Care'!$C$7:$C$762&lt;=Lists!$AF2))</f>
        <v>0</v>
      </c>
      <c r="FD8" s="459">
        <f>SUMPRODUCT(('Prenatal Care'!$X$7:$X$762=FD$6)*('Prenatal Care'!$C$7:$C$762&gt;=Lists!$AE2)*('Prenatal Care'!$C$7:$C$762&lt;=Lists!$AF2))</f>
        <v>0</v>
      </c>
      <c r="FE8" s="459">
        <f>SUMPRODUCT(('Prenatal Care'!$X$7:$X$762=FE$6)*('Prenatal Care'!$C$7:$C$762&gt;=Lists!$AE2)*('Prenatal Care'!$C$7:$C$762&lt;=Lists!$AF2))</f>
        <v>0</v>
      </c>
      <c r="FF8" s="459">
        <f>SUMPRODUCT(('Prenatal Care'!$X$7:$X$762=FF$6)*('Prenatal Care'!$C$7:$C$762&gt;=Lists!$AE2)*('Prenatal Care'!$C$7:$C$762&lt;=Lists!$AF2))</f>
        <v>0</v>
      </c>
      <c r="FG8" s="459">
        <f>SUMPRODUCT(('Prenatal Care'!$X$7:$X$762=FG$6)*('Prenatal Care'!$C$7:$C$762&gt;=Lists!$AE2)*('Prenatal Care'!$C$7:$C$762&lt;=Lists!$AF2))</f>
        <v>0</v>
      </c>
      <c r="FH8" s="459">
        <f>SUMPRODUCT(('Prenatal Care'!$X$7:$X$762=FH$6)*('Prenatal Care'!$C$7:$C$762&gt;=Lists!$AE2)*('Prenatal Care'!$C$7:$C$762&lt;=Lists!$AF2))</f>
        <v>0</v>
      </c>
      <c r="FI8" s="465">
        <f>SUMPRODUCT(('Prenatal Care'!$X$7:$X$762=FI$6)*('Prenatal Care'!$C$7:$C$762&gt;=Lists!$AE2)*('Prenatal Care'!$C$7:$C$762&lt;=Lists!$AF2))</f>
        <v>0</v>
      </c>
      <c r="FJ8" s="461">
        <f>SUM(EJ8:FI8)</f>
        <v>0</v>
      </c>
      <c r="FK8" s="464">
        <f>SUMPRODUCT(('Prenatal Care'!$Y$7:$Y$762=FK$6)*('Prenatal Care'!$C$7:$C$762&gt;=Lists!$AE2)*('Prenatal Care'!$C$7:$C$762&lt;=Lists!$AF2))</f>
        <v>0</v>
      </c>
      <c r="FL8" s="459">
        <f>SUMPRODUCT(('Prenatal Care'!$Y$7:$Y$762=FL$6)*('Prenatal Care'!$C$7:$C$762&gt;=Lists!$AE2)*('Prenatal Care'!$C$7:$C$762&lt;=Lists!$AF2))</f>
        <v>0</v>
      </c>
      <c r="FM8" s="459">
        <f>SUMPRODUCT(('Prenatal Care'!$Y$7:$Y$762=FM$6)*('Prenatal Care'!$C$7:$C$762&gt;=Lists!$AE2)*('Prenatal Care'!$C$7:$C$762&lt;=Lists!$AF2))</f>
        <v>0</v>
      </c>
      <c r="FN8" s="459">
        <f>SUMPRODUCT(('Prenatal Care'!$Y$7:$Y$762=FN$6)*('Prenatal Care'!$C$7:$C$762&gt;=Lists!$AE2)*('Prenatal Care'!$C$7:$C$762&lt;=Lists!$AF2))</f>
        <v>0</v>
      </c>
      <c r="FO8" s="459">
        <f>SUMPRODUCT(('Prenatal Care'!$Y$7:$Y$762=FO$6)*('Prenatal Care'!$C$7:$C$762&gt;=Lists!$AE2)*('Prenatal Care'!$C$7:$C$762&lt;=Lists!$AF2))</f>
        <v>0</v>
      </c>
      <c r="FP8" s="459">
        <f>SUMPRODUCT(('Prenatal Care'!$Y$7:$Y$762=FP$6)*('Prenatal Care'!$C$7:$C$762&gt;=Lists!$AE2)*('Prenatal Care'!$C$7:$C$762&lt;=Lists!$AF2))</f>
        <v>0</v>
      </c>
      <c r="FQ8" s="459">
        <f>SUMPRODUCT(('Prenatal Care'!$Y$7:$Y$762=FQ$6)*('Prenatal Care'!$C$7:$C$762&gt;=Lists!$AE2)*('Prenatal Care'!$C$7:$C$762&lt;=Lists!$AF2))</f>
        <v>0</v>
      </c>
      <c r="FR8" s="459">
        <f>SUMPRODUCT(('Prenatal Care'!$Y$7:$Y$762=FR$6)*('Prenatal Care'!$C$7:$C$762&gt;=Lists!$AE2)*('Prenatal Care'!$C$7:$C$762&lt;=Lists!$AF2))</f>
        <v>0</v>
      </c>
      <c r="FS8" s="459">
        <f>SUMPRODUCT(('Prenatal Care'!$Y$7:$Y$762=FS$6)*('Prenatal Care'!$C$7:$C$762&gt;=Lists!$AE2)*('Prenatal Care'!$C$7:$C$762&lt;=Lists!$AF2))</f>
        <v>0</v>
      </c>
      <c r="FT8" s="459">
        <f>SUMPRODUCT(('Prenatal Care'!$Y$7:$Y$762=FT$6)*('Prenatal Care'!$C$7:$C$762&gt;=Lists!$AE2)*('Prenatal Care'!$C$7:$C$762&lt;=Lists!$AF2))</f>
        <v>0</v>
      </c>
      <c r="FU8" s="459">
        <f>SUMPRODUCT(('Prenatal Care'!$Y$7:$Y$762=FU$6)*('Prenatal Care'!$C$7:$C$762&gt;=Lists!$AE2)*('Prenatal Care'!$C$7:$C$762&lt;=Lists!$AF2))</f>
        <v>0</v>
      </c>
      <c r="FV8" s="459">
        <f>SUMPRODUCT(('Prenatal Care'!$Y$7:$Y$762=FV$6)*('Prenatal Care'!$C$7:$C$762&gt;=Lists!$AE2)*('Prenatal Care'!$C$7:$C$762&lt;=Lists!$AF2))</f>
        <v>0</v>
      </c>
      <c r="FW8" s="459">
        <f>SUMPRODUCT(('Prenatal Care'!$Y$7:$Y$762=FW$6)*('Prenatal Care'!$C$7:$C$762&gt;=Lists!$AE2)*('Prenatal Care'!$C$7:$C$762&lt;=Lists!$AF2))</f>
        <v>0</v>
      </c>
      <c r="FX8" s="459">
        <f>SUMPRODUCT(('Prenatal Care'!$Y$7:$Y$762=FX$6)*('Prenatal Care'!$C$7:$C$762&gt;=Lists!$AE2)*('Prenatal Care'!$C$7:$C$762&lt;=Lists!$AF2))</f>
        <v>0</v>
      </c>
      <c r="FY8" s="459">
        <f>SUMPRODUCT(('Prenatal Care'!$Y$7:$Y$762=FY$6)*('Prenatal Care'!$C$7:$C$762&gt;=Lists!$AE2)*('Prenatal Care'!$C$7:$C$762&lt;=Lists!$AF2))</f>
        <v>0</v>
      </c>
      <c r="FZ8" s="459">
        <f>SUMPRODUCT(('Prenatal Care'!$Y$7:$Y$762=FZ$6)*('Prenatal Care'!$C$7:$C$762&gt;=Lists!$AE2)*('Prenatal Care'!$C$7:$C$762&lt;=Lists!$AF2))</f>
        <v>0</v>
      </c>
      <c r="GA8" s="459">
        <f>SUMPRODUCT(('Prenatal Care'!$Y$7:$Y$762=GA$6)*('Prenatal Care'!$C$7:$C$762&gt;=Lists!$AE2)*('Prenatal Care'!$C$7:$C$762&lt;=Lists!$AF2))</f>
        <v>0</v>
      </c>
      <c r="GB8" s="459">
        <f>SUMPRODUCT(('Prenatal Care'!$Y$7:$Y$762=GB$6)*('Prenatal Care'!$C$7:$C$762&gt;=Lists!$AE2)*('Prenatal Care'!$C$7:$C$762&lt;=Lists!$AF2))</f>
        <v>0</v>
      </c>
      <c r="GC8" s="459">
        <f>SUMPRODUCT(('Prenatal Care'!$Y$7:$Y$762=GC$6)*('Prenatal Care'!$C$7:$C$762&gt;=Lists!$AE2)*('Prenatal Care'!$C$7:$C$762&lt;=Lists!$AF2))</f>
        <v>0</v>
      </c>
      <c r="GD8" s="459">
        <f>SUMPRODUCT(('Prenatal Care'!$Y$7:$Y$762=GD$6)*('Prenatal Care'!$C$7:$C$762&gt;=Lists!$AE2)*('Prenatal Care'!$C$7:$C$762&lt;=Lists!$AF2))</f>
        <v>0</v>
      </c>
      <c r="GE8" s="459">
        <f>SUMPRODUCT(('Prenatal Care'!$Y$7:$Y$762=GE$6)*('Prenatal Care'!$C$7:$C$762&gt;=Lists!$AE2)*('Prenatal Care'!$C$7:$C$762&lt;=Lists!$AF2))</f>
        <v>0</v>
      </c>
      <c r="GF8" s="459">
        <f>SUMPRODUCT(('Prenatal Care'!$Y$7:$Y$762=GF$6)*('Prenatal Care'!$C$7:$C$762&gt;=Lists!$AE2)*('Prenatal Care'!$C$7:$C$762&lt;=Lists!$AF2))</f>
        <v>0</v>
      </c>
      <c r="GG8" s="459">
        <f>SUMPRODUCT(('Prenatal Care'!$Y$7:$Y$762=GG$6)*('Prenatal Care'!$C$7:$C$762&gt;=Lists!$AE2)*('Prenatal Care'!$C$7:$C$762&lt;=Lists!$AF2))</f>
        <v>0</v>
      </c>
      <c r="GH8" s="459">
        <f>SUMPRODUCT(('Prenatal Care'!$Y$7:$Y$762=GH$6)*('Prenatal Care'!$C$7:$C$762&gt;=Lists!$AE2)*('Prenatal Care'!$C$7:$C$762&lt;=Lists!$AF2))</f>
        <v>0</v>
      </c>
      <c r="GI8" s="459">
        <f>SUMPRODUCT(('Prenatal Care'!$Y$7:$Y$762=GI$6)*('Prenatal Care'!$C$7:$C$762&gt;=Lists!$AE2)*('Prenatal Care'!$C$7:$C$762&lt;=Lists!$AF2))</f>
        <v>0</v>
      </c>
      <c r="GJ8" s="465">
        <f>SUMPRODUCT(('Prenatal Care'!$Y$7:$Y$762=GJ$6)*('Prenatal Care'!$C$7:$C$762&gt;=Lists!$AE2)*('Prenatal Care'!$C$7:$C$762&lt;=Lists!$AF2))</f>
        <v>0</v>
      </c>
      <c r="GK8" s="461">
        <f>SUM(FK8:GJ8)</f>
        <v>0</v>
      </c>
      <c r="GL8" s="458">
        <f>SUMPRODUCT(('Prenatal Care'!$AA$7:$AA$762=GL$6)*('Prenatal Care'!$C$7:$C$762&gt;=Lists!$AE2)*('Prenatal Care'!$C$7:$C$762&lt;=Lists!$AF2))</f>
        <v>0</v>
      </c>
      <c r="GM8" s="464">
        <f>SUMPRODUCT(('Prenatal Care'!$AA$7:$AA$762=GM$6)*('Prenatal Care'!$C$7:$C$762&gt;=Lists!$AE2)*('Prenatal Care'!$C$7:$C$762&lt;=Lists!$AF2))</f>
        <v>0</v>
      </c>
      <c r="GN8" s="459">
        <f>SUMPRODUCT(('Prenatal Care'!$AA$7:$AA$762=GN$6)*('Prenatal Care'!$C$7:$C$762&gt;=Lists!$AE2)*('Prenatal Care'!$C$7:$C$762&lt;=Lists!$AF2))</f>
        <v>0</v>
      </c>
      <c r="GO8" s="459">
        <f>SUMPRODUCT(('Prenatal Care'!$AA$7:$AA$762=GO$6)*('Prenatal Care'!$C$7:$C$762&gt;=Lists!$AE2)*('Prenatal Care'!$C$7:$C$762&lt;=Lists!$AF2))</f>
        <v>0</v>
      </c>
      <c r="GP8" s="459">
        <f>SUMPRODUCT(('Prenatal Care'!$AA$7:$AA$762=GP$6)*('Prenatal Care'!$C$7:$C$762&gt;=Lists!$AE2)*('Prenatal Care'!$C$7:$C$762&lt;=Lists!$AF2))</f>
        <v>0</v>
      </c>
      <c r="GQ8" s="459">
        <f>SUMPRODUCT(('Prenatal Care'!$AA$7:$AA$762=GQ$6)*('Prenatal Care'!$C$7:$C$762&gt;=Lists!$AE2)*('Prenatal Care'!$C$7:$C$762&lt;=Lists!$AF2))</f>
        <v>0</v>
      </c>
      <c r="GR8" s="459">
        <f>SUMPRODUCT(('Prenatal Care'!$AA$7:$AA$762=GR$6)*('Prenatal Care'!$C$7:$C$762&gt;=Lists!$AE2)*('Prenatal Care'!$C$7:$C$762&lt;=Lists!$AF2))</f>
        <v>0</v>
      </c>
      <c r="GS8" s="459">
        <f>SUMPRODUCT(('Prenatal Care'!$AA$7:$AA$762=GS$6)*('Prenatal Care'!$C$7:$C$762&gt;=Lists!$AE2)*('Prenatal Care'!$C$7:$C$762&lt;=Lists!$AF2))</f>
        <v>0</v>
      </c>
      <c r="GT8" s="459">
        <f>SUMPRODUCT(('Prenatal Care'!$AA$7:$AA$762=GT$6)*('Prenatal Care'!$C$7:$C$762&gt;=Lists!$AE2)*('Prenatal Care'!$C$7:$C$762&lt;=Lists!$AF2))</f>
        <v>0</v>
      </c>
      <c r="GU8" s="459">
        <f>SUMPRODUCT(('Prenatal Care'!$AA$7:$AA$762=GU$6)*('Prenatal Care'!$C$7:$C$762&gt;=Lists!$AE2)*('Prenatal Care'!$C$7:$C$762&lt;=Lists!$AF2))</f>
        <v>0</v>
      </c>
      <c r="GV8" s="459">
        <f>SUMPRODUCT(('Prenatal Care'!$AA$7:$AA$762=GV$6)*('Prenatal Care'!$C$7:$C$762&gt;=Lists!$AE2)*('Prenatal Care'!$C$7:$C$762&lt;=Lists!$AF2))</f>
        <v>0</v>
      </c>
      <c r="GW8" s="459">
        <f>SUMPRODUCT(('Prenatal Care'!$AA$7:$AA$762=GW$6)*('Prenatal Care'!$C$7:$C$762&gt;=Lists!$AE2)*('Prenatal Care'!$C$7:$C$762&lt;=Lists!$AF2))</f>
        <v>0</v>
      </c>
      <c r="GX8" s="465">
        <f>SUMPRODUCT(('Prenatal Care'!$AA$7:$AA$762=GX$6)*('Prenatal Care'!$C$7:$C$762&gt;=Lists!$AE2)*('Prenatal Care'!$C$7:$C$762&lt;=Lists!$AF2))</f>
        <v>0</v>
      </c>
      <c r="GY8" s="461">
        <f>SUM(GL8:GX8)</f>
        <v>0</v>
      </c>
      <c r="GZ8" s="464">
        <f>SUMPRODUCT(('Prenatal Care'!$AB$7:$AB$762=GZ$6)*('Prenatal Care'!$C$7:$C$762&gt;=Lists!$AE2)*('Prenatal Care'!$C$7:$C$762&lt;=Lists!$AF2))</f>
        <v>0</v>
      </c>
      <c r="HA8" s="459">
        <f>SUMPRODUCT(('Prenatal Care'!$AB$7:$AB$762=HA$6)*('Prenatal Care'!$C$7:$C$762&gt;=Lists!$AE2)*('Prenatal Care'!$C$7:$C$762&lt;=Lists!$AF2))</f>
        <v>0</v>
      </c>
      <c r="HB8" s="459">
        <f>SUMPRODUCT(('Prenatal Care'!$AB$7:$AB$762=HB$6)*('Prenatal Care'!$C$7:$C$762&gt;=Lists!$AE2)*('Prenatal Care'!$C$7:$C$762&lt;=Lists!$AF2))</f>
        <v>0</v>
      </c>
      <c r="HC8" s="459">
        <f>SUMPRODUCT(('Prenatal Care'!$AB$7:$AB$762=HC$6)*('Prenatal Care'!$C$7:$C$762&gt;=Lists!$AE2)*('Prenatal Care'!$C$7:$C$762&lt;=Lists!$AF2))</f>
        <v>0</v>
      </c>
      <c r="HD8" s="459">
        <f>SUMPRODUCT(('Prenatal Care'!$AB$7:$AB$762=HD$6)*('Prenatal Care'!$C$7:$C$762&gt;=Lists!$AE2)*('Prenatal Care'!$C$7:$C$762&lt;=Lists!$AF2))</f>
        <v>0</v>
      </c>
      <c r="HE8" s="459">
        <f>SUMPRODUCT(('Prenatal Care'!$AB$7:$AB$762=HE$6)*('Prenatal Care'!$C$7:$C$762&gt;=Lists!$AE2)*('Prenatal Care'!$C$7:$C$762&lt;=Lists!$AF2))</f>
        <v>0</v>
      </c>
      <c r="HF8" s="459">
        <f>SUMPRODUCT(('Prenatal Care'!$AB$7:$AB$762=HF$6)*('Prenatal Care'!$C$7:$C$762&gt;=Lists!$AE2)*('Prenatal Care'!$C$7:$C$762&lt;=Lists!$AF2))</f>
        <v>0</v>
      </c>
      <c r="HG8" s="459">
        <f>SUMPRODUCT(('Prenatal Care'!$AB$7:$AB$762=HG$6)*('Prenatal Care'!$C$7:$C$762&gt;=Lists!$AE2)*('Prenatal Care'!$C$7:$C$762&lt;=Lists!$AF2))</f>
        <v>0</v>
      </c>
      <c r="HH8" s="459">
        <f>SUMPRODUCT(('Prenatal Care'!$AB$7:$AB$762=HH$6)*('Prenatal Care'!$C$7:$C$762&gt;=Lists!$AE2)*('Prenatal Care'!$C$7:$C$762&lt;=Lists!$AF2))</f>
        <v>0</v>
      </c>
      <c r="HI8" s="459">
        <f>SUMPRODUCT(('Prenatal Care'!$AB$7:$AB$762=HI$6)*('Prenatal Care'!$C$7:$C$762&gt;=Lists!$AE2)*('Prenatal Care'!$C$7:$C$762&lt;=Lists!$AF2))</f>
        <v>0</v>
      </c>
      <c r="HJ8" s="459">
        <f>SUMPRODUCT(('Prenatal Care'!$AB$7:$AB$762=HJ$6)*('Prenatal Care'!$C$7:$C$762&gt;=Lists!$AE2)*('Prenatal Care'!$C$7:$C$762&lt;=Lists!$AF2))</f>
        <v>0</v>
      </c>
      <c r="HK8" s="459">
        <f>SUMPRODUCT(('Prenatal Care'!$AB$7:$AB$762=HK$6)*('Prenatal Care'!$C$7:$C$762&gt;=Lists!$AE2)*('Prenatal Care'!$C$7:$C$762&lt;=Lists!$AF2))</f>
        <v>0</v>
      </c>
      <c r="HL8" s="465">
        <f>SUMPRODUCT(('Prenatal Care'!$AB$7:$AB$762=HL$6)*('Prenatal Care'!$C$7:$C$762&gt;=Lists!$AE2)*('Prenatal Care'!$C$7:$C$762&lt;=Lists!$AF2))</f>
        <v>0</v>
      </c>
      <c r="HM8" s="461">
        <f>SUM(GZ8:HL8)</f>
        <v>0</v>
      </c>
      <c r="HN8" s="458">
        <f>SUMPRODUCT(('Prenatal Care'!$AC$7:$AC$762=HN$6)*('Prenatal Care'!$C$7:$C$762&gt;=Lists!$AE2)*('Prenatal Care'!$C$7:$C$762&lt;=Lists!$AF2))</f>
        <v>0</v>
      </c>
      <c r="HO8" s="459">
        <f>SUMPRODUCT(('Prenatal Care'!$AC$7:$AC$762=HO$6)*('Prenatal Care'!$C$7:$C$762&gt;=Lists!$AE2)*('Prenatal Care'!$C$7:$C$762&lt;=Lists!$AF2))</f>
        <v>0</v>
      </c>
      <c r="HP8" s="459">
        <f>SUMPRODUCT(('Prenatal Care'!$AC$7:$AC$762=HP$6)*('Prenatal Care'!$C$7:$C$762&gt;=Lists!$AE2)*('Prenatal Care'!$C$7:$C$762&lt;=Lists!$AF2))</f>
        <v>0</v>
      </c>
      <c r="HQ8" s="459">
        <f>SUMPRODUCT(('Prenatal Care'!$AC$7:$AC$762=HQ$6)*('Prenatal Care'!$C$7:$C$762&gt;=Lists!$AE2)*('Prenatal Care'!$C$7:$C$762&lt;=Lists!$AF2))</f>
        <v>0</v>
      </c>
      <c r="HR8" s="459">
        <f>SUMPRODUCT(('Prenatal Care'!$AC$7:$AC$762=HR$6)*('Prenatal Care'!$C$7:$C$762&gt;=Lists!$AE2)*('Prenatal Care'!$C$7:$C$762&lt;=Lists!$AF2))</f>
        <v>0</v>
      </c>
      <c r="HS8" s="459">
        <f>SUMPRODUCT(('Prenatal Care'!$AC$7:$AC$762=HS$6)*('Prenatal Care'!$C$7:$C$762&gt;=Lists!$AE2)*('Prenatal Care'!$C$7:$C$762&lt;=Lists!$AF2))</f>
        <v>0</v>
      </c>
      <c r="HT8" s="459">
        <f>SUMPRODUCT(('Prenatal Care'!$AC$7:$AC$762=HT$6)*('Prenatal Care'!$C$7:$C$762&gt;=Lists!$AE2)*('Prenatal Care'!$C$7:$C$762&lt;=Lists!$AF2))</f>
        <v>0</v>
      </c>
      <c r="HU8" s="459">
        <f>SUMPRODUCT(('Prenatal Care'!$AC$7:$AC$762=HU$6)*('Prenatal Care'!$C$7:$C$762&gt;=Lists!$AE2)*('Prenatal Care'!$C$7:$C$762&lt;=Lists!$AF2))</f>
        <v>0</v>
      </c>
      <c r="HV8" s="459">
        <f>SUMPRODUCT(('Prenatal Care'!$AC$7:$AC$762=HV$6)*('Prenatal Care'!$C$7:$C$762&gt;=Lists!$AE2)*('Prenatal Care'!$C$7:$C$762&lt;=Lists!$AF2))</f>
        <v>0</v>
      </c>
      <c r="HW8" s="459">
        <f>SUMPRODUCT(('Prenatal Care'!$AC$7:$AC$762=HW$6)*('Prenatal Care'!$C$7:$C$762&gt;=Lists!$AE2)*('Prenatal Care'!$C$7:$C$762&lt;=Lists!$AF2))</f>
        <v>0</v>
      </c>
      <c r="HX8" s="459">
        <f>SUMPRODUCT(('Prenatal Care'!$AC$7:$AC$762=HX$6)*('Prenatal Care'!$C$7:$C$762&gt;=Lists!$AE2)*('Prenatal Care'!$C$7:$C$762&lt;=Lists!$AF2))</f>
        <v>0</v>
      </c>
      <c r="HY8" s="459">
        <f>SUMPRODUCT(('Prenatal Care'!$AC$7:$AC$762=HY$6)*('Prenatal Care'!$C$7:$C$762&gt;=Lists!$AE2)*('Prenatal Care'!$C$7:$C$762&lt;=Lists!$AF2))</f>
        <v>0</v>
      </c>
      <c r="HZ8" s="460">
        <f>SUMPRODUCT(('Prenatal Care'!$AC$7:$AC$762=HZ$6)*('Prenatal Care'!$C$7:$C$762&gt;=Lists!$AE2)*('Prenatal Care'!$C$7:$C$762&lt;=Lists!$AF2))</f>
        <v>0</v>
      </c>
      <c r="IA8" s="501">
        <f t="shared" ref="IA8:IA19" si="2">SUM(HN8:HZ8)</f>
        <v>0</v>
      </c>
      <c r="IB8" s="458">
        <f>SUMPRODUCT(('Prenatal Care'!$AD$7:$AD$762=IB$6)*('Prenatal Care'!$C$7:$C$762&gt;=Lists!$AE2)*('Prenatal Care'!$C$7:$C$762&lt;=Lists!$AF2))</f>
        <v>0</v>
      </c>
      <c r="IC8" s="464">
        <f>SUMPRODUCT(('Prenatal Care'!$AD$7:$AD$762=IC$6)*('Prenatal Care'!$C$7:$C$762&gt;=Lists!$AE2)*('Prenatal Care'!$C$7:$C$762&lt;=Lists!$AF2))</f>
        <v>0</v>
      </c>
      <c r="ID8" s="459">
        <f>SUMPRODUCT(('Prenatal Care'!$AD$7:$AD$762=ID$6)*('Prenatal Care'!$C$7:$C$762&gt;=Lists!$AE2)*('Prenatal Care'!$C$7:$C$762&lt;=Lists!$AF2))</f>
        <v>0</v>
      </c>
      <c r="IE8" s="459">
        <f>SUMPRODUCT(('Prenatal Care'!$AD$7:$AD$762=IE$6)*('Prenatal Care'!$C$7:$C$762&gt;=Lists!$AE2)*('Prenatal Care'!$C$7:$C$762&lt;=Lists!$AF2))</f>
        <v>0</v>
      </c>
      <c r="IF8" s="459">
        <f>SUMPRODUCT(('Prenatal Care'!$AD$7:$AD$762=IF$6)*('Prenatal Care'!$C$7:$C$762&gt;=Lists!$AE2)*('Prenatal Care'!$C$7:$C$762&lt;=Lists!$AF2))</f>
        <v>0</v>
      </c>
      <c r="IG8" s="461">
        <f t="shared" ref="IG8:IG19" si="3">SUM(IB8:IF8)</f>
        <v>0</v>
      </c>
      <c r="IH8" s="464">
        <f>SUMPRODUCT(('Prenatal Care'!$AE$7:$AE$762=IH$6)*('Prenatal Care'!$C$7:$C$762&gt;=Lists!$AE2)*('Prenatal Care'!$C$7:$C$762&lt;=Lists!$AF2))</f>
        <v>0</v>
      </c>
      <c r="II8" s="464">
        <f>SUMPRODUCT(('Prenatal Care'!$AE$7:$AE$762=II$6)*('Prenatal Care'!$C$7:$C$762&gt;=Lists!$AE2)*('Prenatal Care'!$C$7:$C$762&lt;=Lists!$AF2))</f>
        <v>0</v>
      </c>
      <c r="IJ8" s="464">
        <f>SUMPRODUCT(('Prenatal Care'!$AE$7:$AE$762=IJ$6)*('Prenatal Care'!$C$7:$C$762&gt;=Lists!$AE2)*('Prenatal Care'!$C$7:$C$762&lt;=Lists!$AF2))</f>
        <v>0</v>
      </c>
      <c r="IK8" s="464">
        <f>SUMPRODUCT(('Prenatal Care'!$AE$7:$AE$762=IK$6)*('Prenatal Care'!$C$7:$C$762&gt;=Lists!$AE2)*('Prenatal Care'!$C$7:$C$762&lt;=Lists!$AF2))</f>
        <v>0</v>
      </c>
      <c r="IL8" s="464">
        <f>SUMPRODUCT(('Prenatal Care'!$AE$7:$AE$762=IL$6)*('Prenatal Care'!$C$7:$C$762&gt;=Lists!$AE2)*('Prenatal Care'!$C$7:$C$762&lt;=Lists!$AF2))</f>
        <v>0</v>
      </c>
      <c r="IM8" s="464">
        <f>SUMPRODUCT(('Prenatal Care'!$AE$7:$AE$762=IM$6)*('Prenatal Care'!$C$7:$C$762&gt;=Lists!$AE2)*('Prenatal Care'!$C$7:$C$762&lt;=Lists!$AF2))</f>
        <v>0</v>
      </c>
      <c r="IN8" s="464">
        <f>SUMPRODUCT(('Prenatal Care'!$AE$7:$AE$762=IN$6)*('Prenatal Care'!$C$7:$C$762&gt;=Lists!$AE2)*('Prenatal Care'!$C$7:$C$762&lt;=Lists!$AF2))</f>
        <v>0</v>
      </c>
      <c r="IO8" s="464">
        <f>SUMPRODUCT(('Prenatal Care'!$AE$7:$AE$762=IO$6)*('Prenatal Care'!$C$7:$C$762&gt;=Lists!$AE2)*('Prenatal Care'!$C$7:$C$762&lt;=Lists!$AF2))</f>
        <v>0</v>
      </c>
      <c r="IP8" s="464">
        <f>SUMPRODUCT(('Prenatal Care'!$AE$7:$AE$762=IP$6)*('Prenatal Care'!$C$7:$C$762&gt;=Lists!$AE2)*('Prenatal Care'!$C$7:$C$762&lt;=Lists!$AF2))</f>
        <v>0</v>
      </c>
      <c r="IQ8" s="464">
        <f>SUMPRODUCT(('Prenatal Care'!$AE$7:$AE$762=IQ$6)*('Prenatal Care'!$C$7:$C$762&gt;=Lists!$AE2)*('Prenatal Care'!$C$7:$C$762&lt;=Lists!$AF2))</f>
        <v>0</v>
      </c>
      <c r="IR8" s="464">
        <f>SUMPRODUCT(('Prenatal Care'!$AE$7:$AE$762=IR$6)*('Prenatal Care'!$C$7:$C$762&gt;=Lists!$AE2)*('Prenatal Care'!$C$7:$C$762&lt;=Lists!$AF2))</f>
        <v>0</v>
      </c>
      <c r="IS8" s="464">
        <f>SUMPRODUCT(('Prenatal Care'!$AE$7:$AE$762=IS$6)*('Prenatal Care'!$C$7:$C$762&gt;=Lists!$AE2)*('Prenatal Care'!$C$7:$C$762&lt;=Lists!$AF2))</f>
        <v>0</v>
      </c>
      <c r="IT8" s="517">
        <f>SUMPRODUCT(('Prenatal Care'!$AE$7:$AE$762=IT$6)*('Prenatal Care'!$C$7:$C$762&gt;=Lists!$AE2)*('Prenatal Care'!$C$7:$C$762&lt;=Lists!$AF2))</f>
        <v>0</v>
      </c>
      <c r="IU8" s="461">
        <f t="shared" ref="IU8" si="4">SUM(IH8:IT8)</f>
        <v>0</v>
      </c>
      <c r="IV8" s="464">
        <f>SUMPRODUCT(('Prenatal Care'!$AF$7:$AF$762=IV$6)*('Prenatal Care'!$C$7:$C$762&gt;=Lists!$AE2)*('Prenatal Care'!$C$7:$C$762&lt;=Lists!$AF2))</f>
        <v>0</v>
      </c>
      <c r="IW8" s="459">
        <f>SUMPRODUCT(('Prenatal Care'!$AF$7:$AF$762=IW$6)*('Prenatal Care'!$C$7:$C$762&gt;=Lists!$AE2)*('Prenatal Care'!$C$7:$C$762&lt;=Lists!$AF2))</f>
        <v>0</v>
      </c>
      <c r="IX8" s="459">
        <f>SUMPRODUCT(('Prenatal Care'!$AF$7:$AF$762=IX$6)*('Prenatal Care'!$C$7:$C$762&gt;=Lists!$AE2)*('Prenatal Care'!$C$7:$C$762&lt;=Lists!$AF2))</f>
        <v>0</v>
      </c>
      <c r="IY8" s="459">
        <f>SUMPRODUCT(('Prenatal Care'!$AF$7:$AF$762=IY$6)*('Prenatal Care'!$C$7:$C$762&gt;=Lists!$AE2)*('Prenatal Care'!$C$7:$C$762&lt;=Lists!$AF2))</f>
        <v>0</v>
      </c>
      <c r="IZ8" s="459">
        <f>SUMPRODUCT(('Prenatal Care'!$AF$7:$AF$762=IZ$6)*('Prenatal Care'!$C$7:$C$762&gt;=Lists!$AE2)*('Prenatal Care'!$C$7:$C$762&lt;=Lists!$AF2))</f>
        <v>0</v>
      </c>
      <c r="JA8" s="459">
        <f>SUMPRODUCT(('Prenatal Care'!$AF$7:$AF$762=JA$6)*('Prenatal Care'!$C$7:$C$762&gt;=Lists!$AE2)*('Prenatal Care'!$C$7:$C$762&lt;=Lists!$AF2))</f>
        <v>0</v>
      </c>
      <c r="JB8" s="459">
        <f>SUMPRODUCT(('Prenatal Care'!$AF$7:$AF$762=JB$6)*('Prenatal Care'!$C$7:$C$762&gt;=Lists!$AE2)*('Prenatal Care'!$C$7:$C$762&lt;=Lists!$AF2))</f>
        <v>0</v>
      </c>
      <c r="JC8" s="459">
        <f>SUMPRODUCT(('Prenatal Care'!$AF$7:$AF$762=JC$6)*('Prenatal Care'!$C$7:$C$762&gt;=Lists!$AE2)*('Prenatal Care'!$C$7:$C$762&lt;=Lists!$AF2))</f>
        <v>0</v>
      </c>
      <c r="JD8" s="459">
        <f>SUMPRODUCT(('Prenatal Care'!$AF$7:$AF$762=JD$6)*('Prenatal Care'!$C$7:$C$762&gt;=Lists!$AE2)*('Prenatal Care'!$C$7:$C$762&lt;=Lists!$AF2))</f>
        <v>0</v>
      </c>
      <c r="JE8" s="459">
        <f>SUMPRODUCT(('Prenatal Care'!$AF$7:$AF$762=JE$6)*('Prenatal Care'!$C$7:$C$762&gt;=Lists!$AE2)*('Prenatal Care'!$C$7:$C$762&lt;=Lists!$AF2))</f>
        <v>0</v>
      </c>
      <c r="JF8" s="459">
        <f>SUMPRODUCT(('Prenatal Care'!$AF$7:$AF$762=JF$6)*('Prenatal Care'!$C$7:$C$762&gt;=Lists!$AE2)*('Prenatal Care'!$C$7:$C$762&lt;=Lists!$AF2))</f>
        <v>0</v>
      </c>
      <c r="JG8" s="459">
        <f>SUMPRODUCT(('Prenatal Care'!$AF$7:$AF$762=JG$6)*('Prenatal Care'!$C$7:$C$762&gt;=Lists!$AE2)*('Prenatal Care'!$C$7:$C$762&lt;=Lists!$AF2))</f>
        <v>0</v>
      </c>
      <c r="JH8" s="459">
        <f>SUMPRODUCT(('Prenatal Care'!$AF$7:$AF$762=JH$6)*('Prenatal Care'!$C$7:$C$762&gt;=Lists!$AE2)*('Prenatal Care'!$C$7:$C$762&lt;=Lists!$AF2))</f>
        <v>0</v>
      </c>
      <c r="JI8" s="459">
        <f>SUMPRODUCT(('Prenatal Care'!$AF$7:$AF$762=JI$6)*('Prenatal Care'!$C$7:$C$762&gt;=Lists!$AE2)*('Prenatal Care'!$C$7:$C$762&lt;=Lists!$AF2))</f>
        <v>0</v>
      </c>
      <c r="JJ8" s="459">
        <f>SUMPRODUCT(('Prenatal Care'!$AF$7:$AF$762=JJ$6)*('Prenatal Care'!$C$7:$C$762&gt;=Lists!$AE2)*('Prenatal Care'!$C$7:$C$762&lt;=Lists!$AF2))</f>
        <v>0</v>
      </c>
      <c r="JK8" s="459">
        <f>SUMPRODUCT(('Prenatal Care'!$AF$7:$AF$762=JK$6)*('Prenatal Care'!$C$7:$C$762&gt;=Lists!$AE2)*('Prenatal Care'!$C$7:$C$762&lt;=Lists!$AF2))</f>
        <v>0</v>
      </c>
      <c r="JL8" s="459">
        <f>SUMPRODUCT(('Prenatal Care'!$AF$7:$AF$762=JL$6)*('Prenatal Care'!$C$7:$C$762&gt;=Lists!$AE2)*('Prenatal Care'!$C$7:$C$762&lt;=Lists!$AF2))</f>
        <v>0</v>
      </c>
      <c r="JM8" s="459">
        <f>SUMPRODUCT(('Prenatal Care'!$AF$7:$AF$762=JM$6)*('Prenatal Care'!$C$7:$C$762&gt;=Lists!$AE2)*('Prenatal Care'!$C$7:$C$762&lt;=Lists!$AF2))</f>
        <v>0</v>
      </c>
      <c r="JN8" s="459">
        <f>SUMPRODUCT(('Prenatal Care'!$AF$7:$AF$762=JN$6)*('Prenatal Care'!$C$7:$C$762&gt;=Lists!$AE2)*('Prenatal Care'!$C$7:$C$762&lt;=Lists!$AF2))</f>
        <v>0</v>
      </c>
      <c r="JO8" s="459">
        <f>SUMPRODUCT(('Prenatal Care'!$AF$7:$AF$762=JO$6)*('Prenatal Care'!$C$7:$C$762&gt;=Lists!$AE2)*('Prenatal Care'!$C$7:$C$762&lt;=Lists!$AF2))</f>
        <v>0</v>
      </c>
      <c r="JP8" s="459">
        <f>SUMPRODUCT(('Prenatal Care'!$AF$7:$AF$762=JP$6)*('Prenatal Care'!$C$7:$C$762&gt;=Lists!$AE2)*('Prenatal Care'!$C$7:$C$762&lt;=Lists!$AF2))</f>
        <v>0</v>
      </c>
      <c r="JQ8" s="465">
        <f>SUMPRODUCT(('Prenatal Care'!$AF$7:$AF$762=JQ$6)*('Prenatal Care'!$C$7:$C$762&gt;=Lists!$AE2)*('Prenatal Care'!$C$7:$C$762&lt;=Lists!$AF2))</f>
        <v>0</v>
      </c>
      <c r="JR8" s="461">
        <f>SUM(IV8:JQ8)</f>
        <v>0</v>
      </c>
      <c r="JS8" s="458">
        <f>SUMPRODUCT(('Prenatal Care'!$AH$7:$AH$762=JS$6)*('Prenatal Care'!$C$7:$C$762&gt;=Lists!$AE2)*('Prenatal Care'!$C$7:$C$762&lt;=Lists!$AF2))</f>
        <v>0</v>
      </c>
      <c r="JT8" s="459">
        <f>SUMPRODUCT(('Prenatal Care'!$AH$7:$AH$762=JT$6)*('Prenatal Care'!$C$7:$C$762&gt;=Lists!$AE2)*('Prenatal Care'!$C$7:$C$762&lt;=Lists!$AF2))</f>
        <v>0</v>
      </c>
      <c r="JU8" s="459">
        <f>SUMPRODUCT(('Prenatal Care'!$AH$7:$AH$762=JU$6)*('Prenatal Care'!$C$7:$C$762&gt;=Lists!$AE2)*('Prenatal Care'!$C$7:$C$762&lt;=Lists!$AF2))</f>
        <v>0</v>
      </c>
      <c r="JV8" s="459">
        <f>SUMPRODUCT(('Prenatal Care'!$AH$7:$AH$762=JV$6)*('Prenatal Care'!$C$7:$C$762&gt;=Lists!$AE2)*('Prenatal Care'!$C$7:$C$762&lt;=Lists!$AF2))</f>
        <v>0</v>
      </c>
      <c r="JW8" s="459">
        <f>SUMPRODUCT(('Prenatal Care'!$AH$7:$AH$762=JW$6)*('Prenatal Care'!$C$7:$C$762&gt;=Lists!$AE2)*('Prenatal Care'!$C$7:$C$762&lt;=Lists!$AF2))</f>
        <v>0</v>
      </c>
      <c r="JX8" s="459">
        <f>SUMPRODUCT(('Prenatal Care'!$AH$7:$AH$762=JX$6)*('Prenatal Care'!$C$7:$C$762&gt;=Lists!$AE2)*('Prenatal Care'!$C$7:$C$762&lt;=Lists!$AF2))</f>
        <v>0</v>
      </c>
      <c r="JY8" s="459">
        <f>SUMPRODUCT(('Prenatal Care'!$AH$7:$AH$762=JY$6)*('Prenatal Care'!$C$7:$C$762&gt;=Lists!$AE2)*('Prenatal Care'!$C$7:$C$762&lt;=Lists!$AF2))</f>
        <v>0</v>
      </c>
      <c r="JZ8" s="459">
        <f>SUMPRODUCT(('Prenatal Care'!$AH$7:$AH$762=JZ$6)*('Prenatal Care'!$C$7:$C$762&gt;=Lists!$AE2)*('Prenatal Care'!$C$7:$C$762&lt;=Lists!$AF2))</f>
        <v>0</v>
      </c>
      <c r="KA8" s="459">
        <f>SUMPRODUCT(('Prenatal Care'!$AH$7:$AH$762=KA$6)*('Prenatal Care'!$C$7:$C$762&gt;=Lists!$AE2)*('Prenatal Care'!$C$7:$C$762&lt;=Lists!$AF2))</f>
        <v>0</v>
      </c>
      <c r="KB8" s="459">
        <f>SUMPRODUCT(('Prenatal Care'!$AH$7:$AH$762=KB$6)*('Prenatal Care'!$C$7:$C$762&gt;=Lists!$AE2)*('Prenatal Care'!$C$7:$C$762&lt;=Lists!$AF2))</f>
        <v>0</v>
      </c>
      <c r="KC8" s="465">
        <f>SUMPRODUCT(('Prenatal Care'!$AH$7:$AH$762=KC$6)*('Prenatal Care'!$C$7:$C$762&gt;=Lists!$AE2)*('Prenatal Care'!$C$7:$C$762&lt;=Lists!$AF2))</f>
        <v>0</v>
      </c>
      <c r="KD8" s="461">
        <f>SUM(JS8:KC8)</f>
        <v>0</v>
      </c>
      <c r="KE8" s="464">
        <f>SUMPRODUCT(('Prenatal Care'!$AI$7:$AI$762=KE$6)*('Prenatal Care'!$C$7:$C$762&gt;=Lists!$AE2)*('Prenatal Care'!$C$7:$C$762&lt;=Lists!$AF2))</f>
        <v>0</v>
      </c>
      <c r="KF8" s="459">
        <f>SUMPRODUCT(('Prenatal Care'!$AI$7:$AI$762=KF$6)*('Prenatal Care'!$C$7:$C$762&gt;=Lists!$AE2)*('Prenatal Care'!$C$7:$C$762&lt;=Lists!$AF2))</f>
        <v>0</v>
      </c>
      <c r="KG8" s="459">
        <f>SUMPRODUCT(('Prenatal Care'!$AI$7:$AI$762=KG$6)*('Prenatal Care'!$C$7:$C$762&gt;=Lists!$AE2)*('Prenatal Care'!$C$7:$C$762&lt;=Lists!$AF2))</f>
        <v>0</v>
      </c>
      <c r="KH8" s="459">
        <f>SUMPRODUCT(('Prenatal Care'!$AI$7:$AI$762=KH$6)*('Prenatal Care'!$C$7:$C$762&gt;=Lists!$AE2)*('Prenatal Care'!$C$7:$C$762&lt;=Lists!$AF2))</f>
        <v>0</v>
      </c>
      <c r="KI8" s="465">
        <f>SUMPRODUCT(('Prenatal Care'!$AI$7:$AI$762=KI$6)*('Prenatal Care'!$C$7:$C$762&gt;=Lists!$AE2)*('Prenatal Care'!$C$7:$C$762&lt;=Lists!$AF2))</f>
        <v>0</v>
      </c>
      <c r="KJ8" s="461">
        <f t="shared" ref="KJ8:KJ19" si="5">SUM(KE8:KI8)</f>
        <v>0</v>
      </c>
      <c r="KK8" s="518">
        <f t="shared" ref="KK8:KK19" si="6">SUM(F8,N8,V8,AC8,AH8,AM8,AR8,AW8,BC8,BJ8,BP8,BW8,CC8,CN8,CR8,DC8,DH8,EI8,FJ8,GK8,GY8,HM8,IA8,IG8,IU8,JR8,KD8,KJ8)</f>
        <v>0</v>
      </c>
      <c r="KN8" s="15"/>
      <c r="KO8" s="15"/>
      <c r="KP8" s="15"/>
      <c r="KQ8" s="15"/>
      <c r="KR8" s="15"/>
      <c r="KS8" s="15"/>
      <c r="KT8" s="15"/>
      <c r="KU8" s="16"/>
      <c r="KV8" s="15"/>
      <c r="KW8" s="15"/>
      <c r="KX8" s="15"/>
      <c r="KY8" s="15"/>
      <c r="KZ8" s="15"/>
    </row>
    <row r="9" spans="1:312" ht="15" customHeight="1" x14ac:dyDescent="0.35">
      <c r="A9" s="567">
        <v>45778</v>
      </c>
      <c r="B9" s="448">
        <f>SUMPRODUCT(('Prenatal Care'!$F$7:$F$762=B$6)*('Prenatal Care'!$C$7:$C$762&gt;=Lists!$AE3)*('Prenatal Care'!$C$7:$C$762&lt;=Lists!$AF3))</f>
        <v>0</v>
      </c>
      <c r="C9" s="449">
        <f>SUMPRODUCT(('Prenatal Care'!$F$7:$F$762=C$6)*('Prenatal Care'!$C$7:$C$762&gt;=Lists!$AE3)*('Prenatal Care'!$C$7:$C$762&lt;=Lists!$AF3))</f>
        <v>0</v>
      </c>
      <c r="D9" s="449">
        <f>SUMPRODUCT(('Prenatal Care'!$F$7:$F$762=D$6)*('Prenatal Care'!$C$7:$C$762&gt;=Lists!$AE3)*('Prenatal Care'!$C$7:$C$762&lt;=Lists!$AF3))</f>
        <v>0</v>
      </c>
      <c r="E9" s="450">
        <f>SUMPRODUCT(('Prenatal Care'!$F$7:$F$762=E$6)*('Prenatal Care'!$C$7:$C$762&gt;=Lists!$AE3)*('Prenatal Care'!$C$7:$C$762&lt;=Lists!$AF3))</f>
        <v>0</v>
      </c>
      <c r="F9" s="213">
        <f t="shared" ref="F9:F19" si="7">SUM(B9:E9)</f>
        <v>0</v>
      </c>
      <c r="G9" s="441">
        <f>SUMPRODUCT(('Prenatal Care'!$G$7:$G$762=G$6)*('Prenatal Care'!$C$7:$C$762&gt;=Lists!$AE3)*('Prenatal Care'!$C$7:$C$762&lt;=Lists!$AF3))</f>
        <v>0</v>
      </c>
      <c r="H9" s="441">
        <f>SUMPRODUCT(('Prenatal Care'!$G$7:$G$762=H$6)*('Prenatal Care'!$C$7:$C$762&gt;=Lists!$AE3)*('Prenatal Care'!$C$7:$C$762&lt;=Lists!$AF3))</f>
        <v>0</v>
      </c>
      <c r="I9" s="441">
        <f>SUMPRODUCT(('Prenatal Care'!$G$7:$G$762=I$6)*('Prenatal Care'!$C$7:$C$762&gt;=Lists!$AE3)*('Prenatal Care'!$C$7:$C$762&lt;=Lists!$AF3))</f>
        <v>0</v>
      </c>
      <c r="J9" s="441">
        <f>SUMPRODUCT(('Prenatal Care'!$G$7:$G$762=J$6)*('Prenatal Care'!$C$7:$C$762&gt;=Lists!$AE3)*('Prenatal Care'!$C$7:$C$762&lt;=Lists!$AF3))</f>
        <v>0</v>
      </c>
      <c r="K9" s="441">
        <f>SUMPRODUCT(('Prenatal Care'!$G$7:$G$762=K$6)*('Prenatal Care'!$C$7:$C$762&gt;=Lists!$AE3)*('Prenatal Care'!$C$7:$C$762&lt;=Lists!$AF3))</f>
        <v>0</v>
      </c>
      <c r="L9" s="441">
        <f>SUMPRODUCT(('Prenatal Care'!$G$7:$G$762=L$6)*('Prenatal Care'!$C$7:$C$762&gt;=Lists!$AE3)*('Prenatal Care'!$C$7:$C$762&lt;=Lists!$AF3))</f>
        <v>0</v>
      </c>
      <c r="M9" s="441">
        <f>SUMPRODUCT(('Prenatal Care'!$G$7:$G$762=M$6)*('Prenatal Care'!$C$7:$C$762&gt;=Lists!$AE3)*('Prenatal Care'!$C$7:$C$762&lt;=Lists!$AF3))</f>
        <v>0</v>
      </c>
      <c r="N9" s="170">
        <f t="shared" ref="N9:N19" si="8">SUM(G9:M9)</f>
        <v>0</v>
      </c>
      <c r="O9" s="441">
        <f>SUMPRODUCT(('Prenatal Care'!$H$7:$H$762=O$6)*('Prenatal Care'!$C$7:$C$762&gt;=Lists!$AE3)*('Prenatal Care'!$C$7:$C$762&lt;=Lists!$AF3))</f>
        <v>0</v>
      </c>
      <c r="P9" s="441">
        <f>SUMPRODUCT(('Prenatal Care'!$H$7:$H$762=P$6)*('Prenatal Care'!$C$7:$C$762&gt;=Lists!$AE3)*('Prenatal Care'!$C$7:$C$762&lt;=Lists!$AF3))</f>
        <v>0</v>
      </c>
      <c r="Q9" s="441">
        <f>SUMPRODUCT(('Prenatal Care'!$H$7:$H$762=Q$6)*('Prenatal Care'!$C$7:$C$762&gt;=Lists!$AE3)*('Prenatal Care'!$C$7:$C$762&lt;=Lists!$AF3))</f>
        <v>0</v>
      </c>
      <c r="R9" s="441">
        <f>SUMPRODUCT(('Prenatal Care'!$H$7:$H$762=R$6)*('Prenatal Care'!$C$7:$C$762&gt;=Lists!$AE3)*('Prenatal Care'!$C$7:$C$762&lt;=Lists!$AF3))</f>
        <v>0</v>
      </c>
      <c r="S9" s="441">
        <f>SUMPRODUCT(('Prenatal Care'!$H$7:$H$762=S$6)*('Prenatal Care'!$C$7:$C$762&gt;=Lists!$AE3)*('Prenatal Care'!$C$7:$C$762&lt;=Lists!$AF3))</f>
        <v>0</v>
      </c>
      <c r="T9" s="441">
        <f>SUMPRODUCT(('Prenatal Care'!$H$7:$H$762=T$6)*('Prenatal Care'!$C$7:$C$762&gt;=Lists!$AE3)*('Prenatal Care'!$C$7:$C$762&lt;=Lists!$AF3))</f>
        <v>0</v>
      </c>
      <c r="U9" s="441">
        <f>SUMPRODUCT(('Prenatal Care'!$H$7:$H$762=U$6)*('Prenatal Care'!$C$7:$C$762&gt;=Lists!$AE3)*('Prenatal Care'!$C$7:$C$762&lt;=Lists!$AF3))</f>
        <v>0</v>
      </c>
      <c r="V9" s="170">
        <f t="shared" ref="V9:V19" si="9">SUM(O9:U9)</f>
        <v>0</v>
      </c>
      <c r="W9" s="441">
        <f>SUMPRODUCT(('Prenatal Care'!$I$7:$I$762=W$6)*('Prenatal Care'!$C$7:$C$762&gt;=Lists!$AE3)*('Prenatal Care'!$C$7:$C$762&lt;=Lists!$AF3))</f>
        <v>0</v>
      </c>
      <c r="X9" s="441">
        <f>SUMPRODUCT(('Prenatal Care'!$I$7:$I$762=X$6)*('Prenatal Care'!$C$7:$C$762&gt;=Lists!$AE3)*('Prenatal Care'!$C$7:$C$762&lt;=Lists!$AF3))</f>
        <v>0</v>
      </c>
      <c r="Y9" s="441">
        <f>SUMPRODUCT(('Prenatal Care'!$I$7:$I$762=Y$6)*('Prenatal Care'!$C$7:$C$762&gt;=Lists!$AE3)*('Prenatal Care'!$C$7:$C$762&lt;=Lists!$AF3))</f>
        <v>0</v>
      </c>
      <c r="Z9" s="441">
        <f>SUMPRODUCT(('Prenatal Care'!$I$7:$I$762=Z$6)*('Prenatal Care'!$C$7:$C$762&gt;=Lists!$AE3)*('Prenatal Care'!$C$7:$C$762&lt;=Lists!$AF3))</f>
        <v>0</v>
      </c>
      <c r="AA9" s="441">
        <f>SUMPRODUCT(('Prenatal Care'!$I$7:$I$762=AA$6)*('Prenatal Care'!$C$7:$C$762&gt;=Lists!$AE3)*('Prenatal Care'!$C$7:$C$762&lt;=Lists!$AF3))</f>
        <v>0</v>
      </c>
      <c r="AB9" s="441">
        <f>SUMPRODUCT(('Prenatal Care'!$I$7:$I$762=AB$6)*('Prenatal Care'!$C$7:$C$762&gt;=Lists!$AE3)*('Prenatal Care'!$C$7:$C$762&lt;=Lists!$AF3))</f>
        <v>0</v>
      </c>
      <c r="AC9" s="170">
        <f t="shared" ref="AC9:AC19" si="10">SUM(W9:AB9)</f>
        <v>0</v>
      </c>
      <c r="AD9" s="441">
        <f>SUMPRODUCT(('Prenatal Care'!$J$7:$J$762=AD$6)*('Prenatal Care'!$C$7:$C$762&gt;=Lists!$AE3)*('Prenatal Care'!$C$7:$C$762&lt;=Lists!$AF3))</f>
        <v>0</v>
      </c>
      <c r="AE9" s="441">
        <f>SUMPRODUCT(('Prenatal Care'!$J$7:$J$762=AE$6)*('Prenatal Care'!$C$7:$C$762&gt;=Lists!$AE3)*('Prenatal Care'!$C$7:$C$762&lt;=Lists!$AF3))</f>
        <v>0</v>
      </c>
      <c r="AF9" s="441">
        <f>SUMPRODUCT(('Prenatal Care'!$J$7:$J$762=AF$6)*('Prenatal Care'!$C$7:$C$762&gt;=Lists!$AE3)*('Prenatal Care'!$C$7:$C$762&lt;=Lists!$AF3))</f>
        <v>0</v>
      </c>
      <c r="AG9" s="441">
        <f>SUMPRODUCT(('Prenatal Care'!$J$7:$J$762=AG$6)*('Prenatal Care'!$C$7:$C$762&gt;=Lists!$AE3)*('Prenatal Care'!$C$7:$C$762&lt;=Lists!$AF3))</f>
        <v>0</v>
      </c>
      <c r="AH9" s="170">
        <f t="shared" ref="AH9:AH19" si="11">SUM(AD9:AG9)</f>
        <v>0</v>
      </c>
      <c r="AI9" s="441">
        <f>SUMPRODUCT(('Prenatal Care'!$K$7:$K$762=AI$6)*('Prenatal Care'!$C$7:$C$762&gt;=Lists!$AE3)*('Prenatal Care'!$C$7:$C$762&lt;=Lists!$AF3))</f>
        <v>0</v>
      </c>
      <c r="AJ9" s="441">
        <f>SUMPRODUCT(('Prenatal Care'!$K$7:$K$762=AJ$6)*('Prenatal Care'!$C$7:$C$762&gt;=Lists!$AE3)*('Prenatal Care'!$C$7:$C$762&lt;=Lists!$AF3))</f>
        <v>0</v>
      </c>
      <c r="AK9" s="441">
        <f>SUMPRODUCT(('Prenatal Care'!$K$7:$K$762=AK$6)*('Prenatal Care'!$C$7:$C$762&gt;=Lists!$AE3)*('Prenatal Care'!$C$7:$C$762&lt;=Lists!$AF3))</f>
        <v>0</v>
      </c>
      <c r="AL9" s="441">
        <f>SUMPRODUCT(('Prenatal Care'!$K$7:$K$762=AL$6)*('Prenatal Care'!$C$7:$C$762&gt;=Lists!$AE3)*('Prenatal Care'!$C$7:$C$762&lt;=Lists!$AF3))</f>
        <v>0</v>
      </c>
      <c r="AM9" s="170">
        <f t="shared" ref="AM9:AM19" si="12">SUM(AI9:AL9)</f>
        <v>0</v>
      </c>
      <c r="AN9" s="441">
        <f>SUMPRODUCT(('Prenatal Care'!$L$7:$L$762=AN$6)*('Prenatal Care'!$C$7:$C$762&gt;=Lists!$AE3)*('Prenatal Care'!$C$7:$C$762&lt;=Lists!$AF3))</f>
        <v>0</v>
      </c>
      <c r="AO9" s="441">
        <f>SUMPRODUCT(('Prenatal Care'!$L$7:$L$762=AO$6)*('Prenatal Care'!$C$7:$C$762&gt;=Lists!$AE3)*('Prenatal Care'!$C$7:$C$762&lt;=Lists!$AF3))</f>
        <v>0</v>
      </c>
      <c r="AP9" s="441">
        <f>SUMPRODUCT(('Prenatal Care'!$L$7:$L$762=AP$6)*('Prenatal Care'!$C$7:$C$762&gt;=Lists!$AE3)*('Prenatal Care'!$C$7:$C$762&lt;=Lists!$AF3))</f>
        <v>0</v>
      </c>
      <c r="AQ9" s="441">
        <f>SUMPRODUCT(('Prenatal Care'!$L$7:$L$762=AQ$6)*('Prenatal Care'!$C$7:$C$762&gt;=Lists!$AE3)*('Prenatal Care'!$C$7:$C$762&lt;=Lists!$AF3))</f>
        <v>0</v>
      </c>
      <c r="AR9" s="170">
        <f t="shared" ref="AR9:AR19" si="13">SUM(AN9:AQ9)</f>
        <v>0</v>
      </c>
      <c r="AS9" s="466">
        <f>SUMPRODUCT(('Prenatal Care'!$M$7:$M$762=AS$6)*('Prenatal Care'!$C$7:$C$762&gt;=Lists!$AE3)*('Prenatal Care'!$C$7:$C$762&lt;=Lists!$AF3))</f>
        <v>0</v>
      </c>
      <c r="AT9" s="467">
        <f>SUMPRODUCT(('Prenatal Care'!$M$7:$M$762=AT$6)*('Prenatal Care'!$C$7:$C$762&gt;=Lists!$AE3)*('Prenatal Care'!$C$7:$C$762&lt;=Lists!$AF3))</f>
        <v>0</v>
      </c>
      <c r="AU9" s="467">
        <f>SUMPRODUCT(('Prenatal Care'!$M$7:$M$762=AU$6)*('Prenatal Care'!$C$7:$C$762&gt;=Lists!$AE3)*('Prenatal Care'!$C$7:$C$762&lt;=Lists!$AF3))</f>
        <v>0</v>
      </c>
      <c r="AV9" s="498">
        <f>SUMPRODUCT(('Prenatal Care'!$M$7:$M$762=AV$6)*('Prenatal Care'!$C$7:$C$762&gt;=Lists!$AE3)*('Prenatal Care'!$C$7:$C$762&lt;=Lists!$AF3))</f>
        <v>0</v>
      </c>
      <c r="AW9" s="468">
        <f t="shared" ref="AW9:AW19" si="14">SUM(AS9:AV9)</f>
        <v>0</v>
      </c>
      <c r="AX9" s="473">
        <f>SUMPRODUCT(('Prenatal Care'!$N$7:$N$762=AX$6)*('Prenatal Care'!$C$7:$C$762&gt;=Lists!$AE3)*('Prenatal Care'!$C$7:$C$762&lt;=Lists!$AF3))</f>
        <v>0</v>
      </c>
      <c r="AY9" s="470">
        <f>SUMPRODUCT(('Prenatal Care'!$N$7:$N$762=AY$6)*('Prenatal Care'!$C$7:$C$762&gt;=Lists!$AE3)*('Prenatal Care'!$C$7:$C$762&lt;=Lists!$AF3))</f>
        <v>0</v>
      </c>
      <c r="AZ9" s="470">
        <f>SUMPRODUCT(('Prenatal Care'!$N$7:$N$762=AZ$6)*('Prenatal Care'!$C$7:$C$762&gt;=Lists!$AE3)*('Prenatal Care'!$C$7:$C$762&lt;=Lists!$AF3))</f>
        <v>0</v>
      </c>
      <c r="BA9" s="470">
        <f>SUMPRODUCT(('Prenatal Care'!$N$7:$N$762=BA$6)*('Prenatal Care'!$C$7:$C$762&gt;=Lists!$AE3)*('Prenatal Care'!$C$7:$C$762&lt;=Lists!$AF3))</f>
        <v>0</v>
      </c>
      <c r="BB9" s="475">
        <f>SUMPRODUCT(('Prenatal Care'!$N$7:$N$762=BB$6)*('Prenatal Care'!$C$7:$C$762&gt;=Lists!$AE3)*('Prenatal Care'!$C$7:$C$762&lt;=Lists!$AF3))</f>
        <v>0</v>
      </c>
      <c r="BC9" s="471">
        <f t="shared" ref="BC9:BC19" si="15">SUM(AX9:BB9)</f>
        <v>0</v>
      </c>
      <c r="BD9" s="473">
        <f>SUMPRODUCT(('Prenatal Care'!$O$7:$O$762=BD$6)*('Prenatal Care'!$C$7:$C$762&gt;=Lists!$AE3)*('Prenatal Care'!$C$7:$C$762&lt;=Lists!$AF3))</f>
        <v>0</v>
      </c>
      <c r="BE9" s="470">
        <f>SUMPRODUCT(('Prenatal Care'!$O$7:$O$762=BE$6)*('Prenatal Care'!$C$7:$C$762&gt;=Lists!$AE3)*('Prenatal Care'!$C$7:$C$762&lt;=Lists!$AF3))</f>
        <v>0</v>
      </c>
      <c r="BF9" s="470">
        <f>SUMPRODUCT(('Prenatal Care'!$O$7:$O$762=BF$6)*('Prenatal Care'!$C$7:$C$762&gt;=Lists!$AE3)*('Prenatal Care'!$C$7:$C$762&lt;=Lists!$AF3))</f>
        <v>0</v>
      </c>
      <c r="BG9" s="470">
        <f>SUMPRODUCT(('Prenatal Care'!$O$7:$O$762=BG$6)*('Prenatal Care'!$C$7:$C$762&gt;=Lists!$AE3)*('Prenatal Care'!$C$7:$C$762&lt;=Lists!$AF3))</f>
        <v>0</v>
      </c>
      <c r="BH9" s="470">
        <f>SUMPRODUCT(('Prenatal Care'!$O$7:$O$762=BH$6)*('Prenatal Care'!$C$7:$C$762&gt;=Lists!$AE3)*('Prenatal Care'!$C$7:$C$762&lt;=Lists!$AF3))</f>
        <v>0</v>
      </c>
      <c r="BI9" s="475">
        <f>SUMPRODUCT(('Prenatal Care'!$O$7:$O$762=BI$6)*('Prenatal Care'!$C$7:$C$762&gt;=Lists!$AE3)*('Prenatal Care'!$C$7:$C$762&lt;=Lists!$AF3))</f>
        <v>0</v>
      </c>
      <c r="BJ9" s="471">
        <f t="shared" ref="BJ9:BJ19" si="16">SUM(BD9:BI9)</f>
        <v>0</v>
      </c>
      <c r="BK9" s="473">
        <f>SUMPRODUCT(('Prenatal Care'!$P$7:$P$762=BK$6)*('Prenatal Care'!$C$7:$C$762&gt;=Lists!$AE3)*('Prenatal Care'!$C$7:$C$762&lt;=Lists!$AF3))</f>
        <v>0</v>
      </c>
      <c r="BL9" s="470">
        <f>SUMPRODUCT(('Prenatal Care'!$P$7:$P$762=BL$6)*('Prenatal Care'!$C$7:$C$762&gt;=Lists!$AE3)*('Prenatal Care'!$C$7:$C$762&lt;=Lists!$AF3))</f>
        <v>0</v>
      </c>
      <c r="BM9" s="470">
        <f>SUMPRODUCT(('Prenatal Care'!$P$7:$P$762=BM$6)*('Prenatal Care'!$C$7:$C$762&gt;=Lists!$AE3)*('Prenatal Care'!$C$7:$C$762&lt;=Lists!$AF3))</f>
        <v>0</v>
      </c>
      <c r="BN9" s="470">
        <f>SUMPRODUCT(('Prenatal Care'!$P$7:$P$762=BN$6)*('Prenatal Care'!$C$7:$C$762&gt;=Lists!$AE3)*('Prenatal Care'!$C$7:$C$762&lt;=Lists!$AF3))</f>
        <v>0</v>
      </c>
      <c r="BO9" s="475">
        <f>SUMPRODUCT(('Prenatal Care'!$P$7:$P$762=BO$6)*('Prenatal Care'!$C$7:$C$762&gt;=Lists!$AE3)*('Prenatal Care'!$C$7:$C$762&lt;=Lists!$AF3))</f>
        <v>0</v>
      </c>
      <c r="BP9" s="471">
        <f t="shared" si="0"/>
        <v>0</v>
      </c>
      <c r="BQ9" s="473">
        <f>SUMPRODUCT(('Prenatal Care'!$Q$7:$Q$762=BQ$6)*('Prenatal Care'!$C$7:$C$762&gt;=Lists!$AE3)*('Prenatal Care'!$C$7:$C$762&lt;=Lists!$AF3))</f>
        <v>0</v>
      </c>
      <c r="BR9" s="470">
        <f>SUMPRODUCT(('Prenatal Care'!$Q$7:$Q$762=BR$6)*('Prenatal Care'!$C$7:$C$762&gt;=Lists!$AE3)*('Prenatal Care'!$C$7:$C$762&lt;=Lists!$AF3))</f>
        <v>0</v>
      </c>
      <c r="BS9" s="470">
        <f>SUMPRODUCT(('Prenatal Care'!$Q$7:$Q$762=BS$6)*('Prenatal Care'!$C$7:$C$762&gt;=Lists!$AE3)*('Prenatal Care'!$C$7:$C$762&lt;=Lists!$AF3))</f>
        <v>0</v>
      </c>
      <c r="BT9" s="470">
        <f>SUMPRODUCT(('Prenatal Care'!$Q$7:$Q$762=BT$6)*('Prenatal Care'!$C$7:$C$762&gt;=Lists!$AE3)*('Prenatal Care'!$C$7:$C$762&lt;=Lists!$AF3))</f>
        <v>0</v>
      </c>
      <c r="BU9" s="470">
        <f>SUMPRODUCT(('Prenatal Care'!$Q$7:$Q$762=BU$6)*('Prenatal Care'!$C$7:$C$762&gt;=Lists!$AE3)*('Prenatal Care'!$C$7:$C$762&lt;=Lists!$AF3))</f>
        <v>0</v>
      </c>
      <c r="BV9" s="475">
        <f>SUMPRODUCT(('Prenatal Care'!$Q$7:$Q$762=BV$6)*('Prenatal Care'!$C$7:$C$762&gt;=Lists!$AE3)*('Prenatal Care'!$C$7:$C$762&lt;=Lists!$AF3))</f>
        <v>0</v>
      </c>
      <c r="BW9" s="472">
        <f t="shared" si="1"/>
        <v>0</v>
      </c>
      <c r="BX9" s="473">
        <f>SUMPRODUCT(('Prenatal Care'!$R$7:$R$762=BX$6)*('Prenatal Care'!$C$7:$C$762&gt;=Lists!$AE3)*('Prenatal Care'!$C$7:$C$762&lt;=Lists!$AF3))</f>
        <v>0</v>
      </c>
      <c r="BY9" s="470">
        <f>SUMPRODUCT(('Prenatal Care'!$R$7:$R$762=BY$6)*('Prenatal Care'!$C$7:$C$762&gt;=Lists!$AE3)*('Prenatal Care'!$C$7:$C$762&lt;=Lists!$AF3))</f>
        <v>0</v>
      </c>
      <c r="BZ9" s="470">
        <f>SUMPRODUCT(('Prenatal Care'!$R$7:$R$762=BZ$6)*('Prenatal Care'!$C$7:$C$762&gt;=Lists!$AE3)*('Prenatal Care'!$C$7:$C$762&lt;=Lists!$AF3))</f>
        <v>0</v>
      </c>
      <c r="CA9" s="470">
        <f>SUMPRODUCT(('Prenatal Care'!$R$7:$R$762=CA$6)*('Prenatal Care'!$C$7:$C$762&gt;=Lists!$AE3)*('Prenatal Care'!$C$7:$C$762&lt;=Lists!$AF3))</f>
        <v>0</v>
      </c>
      <c r="CB9" s="475">
        <f>SUMPRODUCT(('Prenatal Care'!$R$7:$R$762=CB$6)*('Prenatal Care'!$C$7:$C$762&gt;=Lists!$AE3)*('Prenatal Care'!$C$7:$C$762&lt;=Lists!$AF3))</f>
        <v>0</v>
      </c>
      <c r="CC9" s="471">
        <f t="shared" ref="CC9:CC19" si="17">SUM(BX9:CB9)</f>
        <v>0</v>
      </c>
      <c r="CD9" s="469">
        <f>SUMPRODUCT(('Prenatal Care'!$S$7:$S$762=CD$6)*('Prenatal Care'!$C$7:$C$762&gt;=Lists!$AE3)*('Prenatal Care'!$C$7:$C$762&lt;=Lists!$AF3))</f>
        <v>0</v>
      </c>
      <c r="CE9" s="473">
        <f>SUMPRODUCT(('Prenatal Care'!$S$7:$S$762=CE$6)*('Prenatal Care'!$C$7:$C$762&gt;=Lists!$AE3)*('Prenatal Care'!$C$7:$C$762&lt;=Lists!$AF3))</f>
        <v>0</v>
      </c>
      <c r="CF9" s="470">
        <f>SUMPRODUCT(('Prenatal Care'!$S$7:$S$762=CF$6)*('Prenatal Care'!$C$7:$C$762&gt;=Lists!$AE3)*('Prenatal Care'!$C$7:$C$762&lt;=Lists!$AF3))</f>
        <v>0</v>
      </c>
      <c r="CG9" s="470">
        <f>SUMPRODUCT(('Prenatal Care'!$S$7:$S$762=CG$6)*('Prenatal Care'!$C$7:$C$762&gt;=Lists!$AE3)*('Prenatal Care'!$C$7:$C$762&lt;=Lists!$AF3))</f>
        <v>0</v>
      </c>
      <c r="CH9" s="470">
        <f>SUMPRODUCT(('Prenatal Care'!$S$7:$S$762=CH$6)*('Prenatal Care'!$C$7:$C$762&gt;=Lists!$AE3)*('Prenatal Care'!$C$7:$C$762&lt;=Lists!$AF3))</f>
        <v>0</v>
      </c>
      <c r="CI9" s="470">
        <f>SUMPRODUCT(('Prenatal Care'!$S$7:$S$762=CI$6)*('Prenatal Care'!$C$7:$C$762&gt;=Lists!$AE3)*('Prenatal Care'!$C$7:$C$762&lt;=Lists!$AF3))</f>
        <v>0</v>
      </c>
      <c r="CJ9" s="470">
        <f>SUMPRODUCT(('Prenatal Care'!$S$7:$S$762=CJ$6)*('Prenatal Care'!$C$7:$C$762&gt;=Lists!$AE3)*('Prenatal Care'!$C$7:$C$762&lt;=Lists!$AF3))</f>
        <v>0</v>
      </c>
      <c r="CK9" s="470">
        <f>SUMPRODUCT(('Prenatal Care'!$S$7:$S$762=CK$6)*('Prenatal Care'!$C$7:$C$762&gt;=Lists!$AE3)*('Prenatal Care'!$C$7:$C$762&lt;=Lists!$AF3))</f>
        <v>0</v>
      </c>
      <c r="CL9" s="470">
        <f>SUMPRODUCT(('Prenatal Care'!$S$7:$S$762=CL$6)*('Prenatal Care'!$C$7:$C$762&gt;=Lists!$AE3)*('Prenatal Care'!$C$7:$C$762&lt;=Lists!$AF3))</f>
        <v>0</v>
      </c>
      <c r="CM9" s="475">
        <f>SUMPRODUCT(('Prenatal Care'!$S$7:$S$762=CM$6)*('Prenatal Care'!$C$7:$C$762&gt;=Lists!$AE3)*('Prenatal Care'!$C$7:$C$762&lt;=Lists!$AF3))</f>
        <v>0</v>
      </c>
      <c r="CN9" s="471">
        <f t="shared" ref="CN9:CN19" si="18">SUM(CD9:CM9)</f>
        <v>0</v>
      </c>
      <c r="CO9" s="473">
        <f>SUMPRODUCT(('Prenatal Care'!$T$7:$T$762=CO$6)*('Prenatal Care'!$C$7:$C$762&gt;=Lists!$AE3)*('Prenatal Care'!$C$7:$C$762&lt;=Lists!$AF3))</f>
        <v>0</v>
      </c>
      <c r="CP9" s="470">
        <f>SUMPRODUCT(('Prenatal Care'!$T$7:$T$762=CP$6)*('Prenatal Care'!$C$7:$C$762&gt;=Lists!$AE3)*('Prenatal Care'!$C$7:$C$762&lt;=Lists!$AF3))</f>
        <v>0</v>
      </c>
      <c r="CQ9" s="475">
        <f>SUMPRODUCT(('Prenatal Care'!$T$7:$T$762=CQ$6)*('Prenatal Care'!$C$7:$C$762&gt;=Lists!$AE3)*('Prenatal Care'!$C$7:$C$762&lt;=Lists!$AF3))</f>
        <v>0</v>
      </c>
      <c r="CR9" s="471">
        <f t="shared" ref="CR9:CR18" si="19">SUM(CO9:CQ9)</f>
        <v>0</v>
      </c>
      <c r="CS9" s="505">
        <f>SUMPRODUCT(('Prenatal Care'!$U$7:$U$762=CS$6)*('Prenatal Care'!$C$7:$C$762&gt;=Lists!$AE3)*('Prenatal Care'!$C$7:$C$762&lt;=Lists!$AF3))</f>
        <v>0</v>
      </c>
      <c r="CT9" s="506">
        <f>SUMPRODUCT(('Prenatal Care'!$U$7:$U$762=CT$6)*('Prenatal Care'!$C$7:$C$762&gt;=Lists!$AE3)*('Prenatal Care'!$C$7:$C$762&lt;=Lists!$AF3))</f>
        <v>0</v>
      </c>
      <c r="CU9" s="506">
        <f>SUMPRODUCT(('Prenatal Care'!$U$7:$U$762=CU$6)*('Prenatal Care'!$C$7:$C$762&gt;=Lists!$AE3)*('Prenatal Care'!$C$7:$C$762&lt;=Lists!$AF3))</f>
        <v>0</v>
      </c>
      <c r="CV9" s="506">
        <f>SUMPRODUCT(('Prenatal Care'!$U$7:$U$762=CV$6)*('Prenatal Care'!$C$7:$C$762&gt;=Lists!$AE3)*('Prenatal Care'!$C$7:$C$762&lt;=Lists!$AF3))</f>
        <v>0</v>
      </c>
      <c r="CW9" s="506">
        <f>SUMPRODUCT(('Prenatal Care'!$U$7:$U$762=CW$6)*('Prenatal Care'!$C$7:$C$762&gt;=Lists!$AE3)*('Prenatal Care'!$C$7:$C$762&lt;=Lists!$AF3))</f>
        <v>0</v>
      </c>
      <c r="CX9" s="506">
        <f>SUMPRODUCT(('Prenatal Care'!$U$7:$U$762=CX$6)*('Prenatal Care'!$C$7:$C$762&gt;=Lists!$AE3)*('Prenatal Care'!$C$7:$C$762&lt;=Lists!$AF3))</f>
        <v>0</v>
      </c>
      <c r="CY9" s="506">
        <f>SUMPRODUCT(('Prenatal Care'!$U$7:$U$762=CY$6)*('Prenatal Care'!$C$7:$C$762&gt;=Lists!$AE3)*('Prenatal Care'!$C$7:$C$762&lt;=Lists!$AF3))</f>
        <v>0</v>
      </c>
      <c r="CZ9" s="506">
        <f>SUMPRODUCT(('Prenatal Care'!$U$7:$U$762=CZ$6)*('Prenatal Care'!$C$7:$C$762&gt;=Lists!$AE3)*('Prenatal Care'!$C$7:$C$762&lt;=Lists!$AF3))</f>
        <v>0</v>
      </c>
      <c r="DA9" s="506">
        <f>SUMPRODUCT(('Prenatal Care'!$U$7:$U$762=DA$6)*('Prenatal Care'!$C$7:$C$762&gt;=Lists!$AE3)*('Prenatal Care'!$C$7:$C$762&lt;=Lists!$AF3))</f>
        <v>0</v>
      </c>
      <c r="DB9" s="507">
        <f>SUMPRODUCT(('Prenatal Care'!$U$7:$U$762=DB$6)*('Prenatal Care'!$C$7:$C$762&gt;=Lists!$AE3)*('Prenatal Care'!$C$7:$C$762&lt;=Lists!$AF3))</f>
        <v>0</v>
      </c>
      <c r="DC9" s="471">
        <f t="shared" ref="DC9:DC19" si="20">SUM(CS9:DB9)</f>
        <v>0</v>
      </c>
      <c r="DD9" s="469">
        <f>SUMPRODUCT(('Prenatal Care'!$V$7:$V$762=DD$6)*('Prenatal Care'!$C$7:$C$762&gt;=Lists!$AE3)*('Prenatal Care'!$C$7:$C$762&lt;=Lists!$AF3))</f>
        <v>0</v>
      </c>
      <c r="DE9" s="470">
        <f>SUMPRODUCT(('Prenatal Care'!$V$7:$V$762=DE$6)*('Prenatal Care'!$C$7:$C$762&gt;=Lists!$AE3)*('Prenatal Care'!$C$7:$C$762&lt;=Lists!$AF3))</f>
        <v>0</v>
      </c>
      <c r="DF9" s="470">
        <f>SUMPRODUCT(('Prenatal Care'!$V$7:$V$762=DF$6)*('Prenatal Care'!$C$7:$C$762&gt;=Lists!$AE3)*('Prenatal Care'!$C$7:$C$762&lt;=Lists!$AF3))</f>
        <v>0</v>
      </c>
      <c r="DG9" s="475">
        <f>SUMPRODUCT(('Prenatal Care'!$V$7:$V$762=DG$6)*('Prenatal Care'!$C$7:$C$762&gt;=Lists!$AE3)*('Prenatal Care'!$C$7:$C$762&lt;=Lists!$AF3))</f>
        <v>0</v>
      </c>
      <c r="DH9" s="471">
        <f t="shared" ref="DH9:DH19" si="21">SUM(DD9:DG9)</f>
        <v>0</v>
      </c>
      <c r="DI9" s="473">
        <f>SUMPRODUCT(('Prenatal Care'!$W$7:$W$762=DI$6)*('Prenatal Care'!$C$7:$C$762&gt;=Lists!$AE3)*('Prenatal Care'!$C$7:$C$762&lt;=Lists!$AF3))</f>
        <v>0</v>
      </c>
      <c r="DJ9" s="470">
        <f>SUMPRODUCT(('Prenatal Care'!$W$7:$W$762=DJ$6)*('Prenatal Care'!$C$7:$C$762&gt;=Lists!$AE3)*('Prenatal Care'!$C$7:$C$762&lt;=Lists!$AF3))</f>
        <v>0</v>
      </c>
      <c r="DK9" s="470">
        <f>SUMPRODUCT(('Prenatal Care'!$W$7:$W$762=DK$6)*('Prenatal Care'!$C$7:$C$762&gt;=Lists!$AE3)*('Prenatal Care'!$C$7:$C$762&lt;=Lists!$AF3))</f>
        <v>0</v>
      </c>
      <c r="DL9" s="470">
        <f>SUMPRODUCT(('Prenatal Care'!$W$7:$W$762=DL$6)*('Prenatal Care'!$C$7:$C$762&gt;=Lists!$AE3)*('Prenatal Care'!$C$7:$C$762&lt;=Lists!$AF3))</f>
        <v>0</v>
      </c>
      <c r="DM9" s="470">
        <f>SUMPRODUCT(('Prenatal Care'!$W$7:$W$762=DM$6)*('Prenatal Care'!$C$7:$C$762&gt;=Lists!$AE3)*('Prenatal Care'!$C$7:$C$762&lt;=Lists!$AF3))</f>
        <v>0</v>
      </c>
      <c r="DN9" s="470">
        <f>SUMPRODUCT(('Prenatal Care'!$W$7:$W$762=DN$6)*('Prenatal Care'!$C$7:$C$762&gt;=Lists!$AE3)*('Prenatal Care'!$C$7:$C$762&lt;=Lists!$AF3))</f>
        <v>0</v>
      </c>
      <c r="DO9" s="470">
        <f>SUMPRODUCT(('Prenatal Care'!$W$7:$W$762=DO$6)*('Prenatal Care'!$C$7:$C$762&gt;=Lists!$AE3)*('Prenatal Care'!$C$7:$C$762&lt;=Lists!$AF3))</f>
        <v>0</v>
      </c>
      <c r="DP9" s="470">
        <f>SUMPRODUCT(('Prenatal Care'!$W$7:$W$762=DP$6)*('Prenatal Care'!$C$7:$C$762&gt;=Lists!$AE3)*('Prenatal Care'!$C$7:$C$762&lt;=Lists!$AF3))</f>
        <v>0</v>
      </c>
      <c r="DQ9" s="470">
        <f>SUMPRODUCT(('Prenatal Care'!$W$7:$W$762=DQ$6)*('Prenatal Care'!$C$7:$C$762&gt;=Lists!$AE3)*('Prenatal Care'!$C$7:$C$762&lt;=Lists!$AF3))</f>
        <v>0</v>
      </c>
      <c r="DR9" s="470">
        <f>SUMPRODUCT(('Prenatal Care'!$W$7:$W$762=DR$6)*('Prenatal Care'!$C$7:$C$762&gt;=Lists!$AE3)*('Prenatal Care'!$C$7:$C$762&lt;=Lists!$AF3))</f>
        <v>0</v>
      </c>
      <c r="DS9" s="470">
        <f>SUMPRODUCT(('Prenatal Care'!$W$7:$W$762=DS$6)*('Prenatal Care'!$C$7:$C$762&gt;=Lists!$AE3)*('Prenatal Care'!$C$7:$C$762&lt;=Lists!$AF3))</f>
        <v>0</v>
      </c>
      <c r="DT9" s="470">
        <f>SUMPRODUCT(('Prenatal Care'!$W$7:$W$762=DT$6)*('Prenatal Care'!$C$7:$C$762&gt;=Lists!$AE3)*('Prenatal Care'!$C$7:$C$762&lt;=Lists!$AF3))</f>
        <v>0</v>
      </c>
      <c r="DU9" s="470">
        <f>SUMPRODUCT(('Prenatal Care'!$W$7:$W$762=DU$6)*('Prenatal Care'!$C$7:$C$762&gt;=Lists!$AE3)*('Prenatal Care'!$C$7:$C$762&lt;=Lists!$AF3))</f>
        <v>0</v>
      </c>
      <c r="DV9" s="470">
        <f>SUMPRODUCT(('Prenatal Care'!$W$7:$W$762=DV$6)*('Prenatal Care'!$C$7:$C$762&gt;=Lists!$AE3)*('Prenatal Care'!$C$7:$C$762&lt;=Lists!$AF3))</f>
        <v>0</v>
      </c>
      <c r="DW9" s="470">
        <f>SUMPRODUCT(('Prenatal Care'!$W$7:$W$762=DW$6)*('Prenatal Care'!$C$7:$C$762&gt;=Lists!$AE3)*('Prenatal Care'!$C$7:$C$762&lt;=Lists!$AF3))</f>
        <v>0</v>
      </c>
      <c r="DX9" s="470">
        <f>SUMPRODUCT(('Prenatal Care'!$W$7:$W$762=DX$6)*('Prenatal Care'!$C$7:$C$762&gt;=Lists!$AE3)*('Prenatal Care'!$C$7:$C$762&lt;=Lists!$AF3))</f>
        <v>0</v>
      </c>
      <c r="DY9" s="470">
        <f>SUMPRODUCT(('Prenatal Care'!$W$7:$W$762=DY$6)*('Prenatal Care'!$C$7:$C$762&gt;=Lists!$AE3)*('Prenatal Care'!$C$7:$C$762&lt;=Lists!$AF3))</f>
        <v>0</v>
      </c>
      <c r="DZ9" s="470">
        <f>SUMPRODUCT(('Prenatal Care'!$W$7:$W$762=DZ$6)*('Prenatal Care'!$C$7:$C$762&gt;=Lists!$AE3)*('Prenatal Care'!$C$7:$C$762&lt;=Lists!$AF3))</f>
        <v>0</v>
      </c>
      <c r="EA9" s="470">
        <f>SUMPRODUCT(('Prenatal Care'!$W$7:$W$762=EA$6)*('Prenatal Care'!$C$7:$C$762&gt;=Lists!$AE3)*('Prenatal Care'!$C$7:$C$762&lt;=Lists!$AF3))</f>
        <v>0</v>
      </c>
      <c r="EB9" s="470">
        <f>SUMPRODUCT(('Prenatal Care'!$W$7:$W$762=EB$6)*('Prenatal Care'!$C$7:$C$762&gt;=Lists!$AE3)*('Prenatal Care'!$C$7:$C$762&lt;=Lists!$AF3))</f>
        <v>0</v>
      </c>
      <c r="EC9" s="470">
        <f>SUMPRODUCT(('Prenatal Care'!$W$7:$W$762=EC$6)*('Prenatal Care'!$C$7:$C$762&gt;=Lists!$AE3)*('Prenatal Care'!$C$7:$C$762&lt;=Lists!$AF3))</f>
        <v>0</v>
      </c>
      <c r="ED9" s="470">
        <f>SUMPRODUCT(('Prenatal Care'!$W$7:$W$762=ED$6)*('Prenatal Care'!$C$7:$C$762&gt;=Lists!$AE3)*('Prenatal Care'!$C$7:$C$762&lt;=Lists!$AF3))</f>
        <v>0</v>
      </c>
      <c r="EE9" s="470">
        <f>SUMPRODUCT(('Prenatal Care'!$W$7:$W$762=EE$6)*('Prenatal Care'!$C$7:$C$762&gt;=Lists!$AE3)*('Prenatal Care'!$C$7:$C$762&lt;=Lists!$AF3))</f>
        <v>0</v>
      </c>
      <c r="EF9" s="470">
        <f>SUMPRODUCT(('Prenatal Care'!$W$7:$W$762=EF$6)*('Prenatal Care'!$C$7:$C$762&gt;=Lists!$AE3)*('Prenatal Care'!$C$7:$C$762&lt;=Lists!$AF3))</f>
        <v>0</v>
      </c>
      <c r="EG9" s="470">
        <f>SUMPRODUCT(('Prenatal Care'!$W$7:$W$762=EG$6)*('Prenatal Care'!$C$7:$C$762&gt;=Lists!$AE3)*('Prenatal Care'!$C$7:$C$762&lt;=Lists!$AF3))</f>
        <v>0</v>
      </c>
      <c r="EH9" s="475">
        <f>SUMPRODUCT(('Prenatal Care'!$W$7:$W$762=EH$6)*('Prenatal Care'!$C$7:$C$762&gt;=Lists!$AE3)*('Prenatal Care'!$C$7:$C$762&lt;=Lists!$AF3))</f>
        <v>0</v>
      </c>
      <c r="EI9" s="471">
        <f t="shared" ref="EI9:EI19" si="22">SUM(DI9:EH9)</f>
        <v>0</v>
      </c>
      <c r="EJ9" s="473">
        <f>SUMPRODUCT(('Prenatal Care'!$X$7:$X$762=EJ$6)*('Prenatal Care'!$C$7:$C$762&gt;=Lists!$AE3)*('Prenatal Care'!$C$7:$C$762&lt;=Lists!$AF3))</f>
        <v>0</v>
      </c>
      <c r="EK9" s="470">
        <f>SUMPRODUCT(('Prenatal Care'!$X$7:$X$762=EK$6)*('Prenatal Care'!$C$7:$C$762&gt;=Lists!$AE3)*('Prenatal Care'!$C$7:$C$762&lt;=Lists!$AF3))</f>
        <v>0</v>
      </c>
      <c r="EL9" s="470">
        <f>SUMPRODUCT(('Prenatal Care'!$X$7:$X$762=EL$6)*('Prenatal Care'!$C$7:$C$762&gt;=Lists!$AE3)*('Prenatal Care'!$C$7:$C$762&lt;=Lists!$AF3))</f>
        <v>0</v>
      </c>
      <c r="EM9" s="470">
        <f>SUMPRODUCT(('Prenatal Care'!$X$7:$X$762=EM$6)*('Prenatal Care'!$C$7:$C$762&gt;=Lists!$AE3)*('Prenatal Care'!$C$7:$C$762&lt;=Lists!$AF3))</f>
        <v>0</v>
      </c>
      <c r="EN9" s="470">
        <f>SUMPRODUCT(('Prenatal Care'!$X$7:$X$762=EN$6)*('Prenatal Care'!$C$7:$C$762&gt;=Lists!$AE3)*('Prenatal Care'!$C$7:$C$762&lt;=Lists!$AF3))</f>
        <v>0</v>
      </c>
      <c r="EO9" s="470">
        <f>SUMPRODUCT(('Prenatal Care'!$X$7:$X$762=EO$6)*('Prenatal Care'!$C$7:$C$762&gt;=Lists!$AE3)*('Prenatal Care'!$C$7:$C$762&lt;=Lists!$AF3))</f>
        <v>0</v>
      </c>
      <c r="EP9" s="470">
        <f>SUMPRODUCT(('Prenatal Care'!$X$7:$X$762=EP$6)*('Prenatal Care'!$C$7:$C$762&gt;=Lists!$AE3)*('Prenatal Care'!$C$7:$C$762&lt;=Lists!$AF3))</f>
        <v>0</v>
      </c>
      <c r="EQ9" s="470">
        <f>SUMPRODUCT(('Prenatal Care'!$X$7:$X$762=EQ$6)*('Prenatal Care'!$C$7:$C$762&gt;=Lists!$AE3)*('Prenatal Care'!$C$7:$C$762&lt;=Lists!$AF3))</f>
        <v>0</v>
      </c>
      <c r="ER9" s="470">
        <f>SUMPRODUCT(('Prenatal Care'!$X$7:$X$762=ER$6)*('Prenatal Care'!$C$7:$C$762&gt;=Lists!$AE3)*('Prenatal Care'!$C$7:$C$762&lt;=Lists!$AF3))</f>
        <v>0</v>
      </c>
      <c r="ES9" s="470">
        <f>SUMPRODUCT(('Prenatal Care'!$X$7:$X$762=ES$6)*('Prenatal Care'!$C$7:$C$762&gt;=Lists!$AE3)*('Prenatal Care'!$C$7:$C$762&lt;=Lists!$AF3))</f>
        <v>0</v>
      </c>
      <c r="ET9" s="470">
        <f>SUMPRODUCT(('Prenatal Care'!$X$7:$X$762=ET$6)*('Prenatal Care'!$C$7:$C$762&gt;=Lists!$AE3)*('Prenatal Care'!$C$7:$C$762&lt;=Lists!$AF3))</f>
        <v>0</v>
      </c>
      <c r="EU9" s="470">
        <f>SUMPRODUCT(('Prenatal Care'!$X$7:$X$762=EU$6)*('Prenatal Care'!$C$7:$C$762&gt;=Lists!$AE3)*('Prenatal Care'!$C$7:$C$762&lt;=Lists!$AF3))</f>
        <v>0</v>
      </c>
      <c r="EV9" s="470">
        <f>SUMPRODUCT(('Prenatal Care'!$X$7:$X$762=EV$6)*('Prenatal Care'!$C$7:$C$762&gt;=Lists!$AE3)*('Prenatal Care'!$C$7:$C$762&lt;=Lists!$AF3))</f>
        <v>0</v>
      </c>
      <c r="EW9" s="470">
        <f>SUMPRODUCT(('Prenatal Care'!$X$7:$X$762=EW$6)*('Prenatal Care'!$C$7:$C$762&gt;=Lists!$AE3)*('Prenatal Care'!$C$7:$C$762&lt;=Lists!$AF3))</f>
        <v>0</v>
      </c>
      <c r="EX9" s="470">
        <f>SUMPRODUCT(('Prenatal Care'!$X$7:$X$762=EX$6)*('Prenatal Care'!$C$7:$C$762&gt;=Lists!$AE3)*('Prenatal Care'!$C$7:$C$762&lt;=Lists!$AF3))</f>
        <v>0</v>
      </c>
      <c r="EY9" s="470">
        <f>SUMPRODUCT(('Prenatal Care'!$X$7:$X$762=EY$6)*('Prenatal Care'!$C$7:$C$762&gt;=Lists!$AE3)*('Prenatal Care'!$C$7:$C$762&lt;=Lists!$AF3))</f>
        <v>0</v>
      </c>
      <c r="EZ9" s="470">
        <f>SUMPRODUCT(('Prenatal Care'!$X$7:$X$762=EZ$6)*('Prenatal Care'!$C$7:$C$762&gt;=Lists!$AE3)*('Prenatal Care'!$C$7:$C$762&lt;=Lists!$AF3))</f>
        <v>0</v>
      </c>
      <c r="FA9" s="470">
        <f>SUMPRODUCT(('Prenatal Care'!$X$7:$X$762=FA$6)*('Prenatal Care'!$C$7:$C$762&gt;=Lists!$AE3)*('Prenatal Care'!$C$7:$C$762&lt;=Lists!$AF3))</f>
        <v>0</v>
      </c>
      <c r="FB9" s="470">
        <f>SUMPRODUCT(('Prenatal Care'!$X$7:$X$762=FB$6)*('Prenatal Care'!$C$7:$C$762&gt;=Lists!$AE3)*('Prenatal Care'!$C$7:$C$762&lt;=Lists!$AF3))</f>
        <v>0</v>
      </c>
      <c r="FC9" s="470">
        <f>SUMPRODUCT(('Prenatal Care'!$X$7:$X$762=FC$6)*('Prenatal Care'!$C$7:$C$762&gt;=Lists!$AE3)*('Prenatal Care'!$C$7:$C$762&lt;=Lists!$AF3))</f>
        <v>0</v>
      </c>
      <c r="FD9" s="470">
        <f>SUMPRODUCT(('Prenatal Care'!$X$7:$X$762=FD$6)*('Prenatal Care'!$C$7:$C$762&gt;=Lists!$AE3)*('Prenatal Care'!$C$7:$C$762&lt;=Lists!$AF3))</f>
        <v>0</v>
      </c>
      <c r="FE9" s="470">
        <f>SUMPRODUCT(('Prenatal Care'!$X$7:$X$762=FE$6)*('Prenatal Care'!$C$7:$C$762&gt;=Lists!$AE3)*('Prenatal Care'!$C$7:$C$762&lt;=Lists!$AF3))</f>
        <v>0</v>
      </c>
      <c r="FF9" s="470">
        <f>SUMPRODUCT(('Prenatal Care'!$X$7:$X$762=FF$6)*('Prenatal Care'!$C$7:$C$762&gt;=Lists!$AE3)*('Prenatal Care'!$C$7:$C$762&lt;=Lists!$AF3))</f>
        <v>0</v>
      </c>
      <c r="FG9" s="470">
        <f>SUMPRODUCT(('Prenatal Care'!$X$7:$X$762=FG$6)*('Prenatal Care'!$C$7:$C$762&gt;=Lists!$AE3)*('Prenatal Care'!$C$7:$C$762&lt;=Lists!$AF3))</f>
        <v>0</v>
      </c>
      <c r="FH9" s="470">
        <f>SUMPRODUCT(('Prenatal Care'!$X$7:$X$762=FH$6)*('Prenatal Care'!$C$7:$C$762&gt;=Lists!$AE3)*('Prenatal Care'!$C$7:$C$762&lt;=Lists!$AF3))</f>
        <v>0</v>
      </c>
      <c r="FI9" s="475">
        <f>SUMPRODUCT(('Prenatal Care'!$X$7:$X$762=FI$6)*('Prenatal Care'!$C$7:$C$762&gt;=Lists!$AE3)*('Prenatal Care'!$C$7:$C$762&lt;=Lists!$AF3))</f>
        <v>0</v>
      </c>
      <c r="FJ9" s="471">
        <f t="shared" ref="FJ9:FJ19" si="23">SUM(EJ9:FI9)</f>
        <v>0</v>
      </c>
      <c r="FK9" s="473">
        <f>SUMPRODUCT(('Prenatal Care'!$Y$7:$Y$762=FK$6)*('Prenatal Care'!$C$7:$C$762&gt;=Lists!$AE3)*('Prenatal Care'!$C$7:$C$762&lt;=Lists!$AF3))</f>
        <v>0</v>
      </c>
      <c r="FL9" s="470">
        <f>SUMPRODUCT(('Prenatal Care'!$Y$7:$Y$762=FL$6)*('Prenatal Care'!$C$7:$C$762&gt;=Lists!$AE3)*('Prenatal Care'!$C$7:$C$762&lt;=Lists!$AF3))</f>
        <v>0</v>
      </c>
      <c r="FM9" s="470">
        <f>SUMPRODUCT(('Prenatal Care'!$Y$7:$Y$762=FM$6)*('Prenatal Care'!$C$7:$C$762&gt;=Lists!$AE3)*('Prenatal Care'!$C$7:$C$762&lt;=Lists!$AF3))</f>
        <v>0</v>
      </c>
      <c r="FN9" s="470">
        <f>SUMPRODUCT(('Prenatal Care'!$Y$7:$Y$762=FN$6)*('Prenatal Care'!$C$7:$C$762&gt;=Lists!$AE3)*('Prenatal Care'!$C$7:$C$762&lt;=Lists!$AF3))</f>
        <v>0</v>
      </c>
      <c r="FO9" s="470">
        <f>SUMPRODUCT(('Prenatal Care'!$Y$7:$Y$762=FO$6)*('Prenatal Care'!$C$7:$C$762&gt;=Lists!$AE3)*('Prenatal Care'!$C$7:$C$762&lt;=Lists!$AF3))</f>
        <v>0</v>
      </c>
      <c r="FP9" s="470">
        <f>SUMPRODUCT(('Prenatal Care'!$Y$7:$Y$762=FP$6)*('Prenatal Care'!$C$7:$C$762&gt;=Lists!$AE3)*('Prenatal Care'!$C$7:$C$762&lt;=Lists!$AF3))</f>
        <v>0</v>
      </c>
      <c r="FQ9" s="470">
        <f>SUMPRODUCT(('Prenatal Care'!$Y$7:$Y$762=FQ$6)*('Prenatal Care'!$C$7:$C$762&gt;=Lists!$AE3)*('Prenatal Care'!$C$7:$C$762&lt;=Lists!$AF3))</f>
        <v>0</v>
      </c>
      <c r="FR9" s="470">
        <f>SUMPRODUCT(('Prenatal Care'!$Y$7:$Y$762=FR$6)*('Prenatal Care'!$C$7:$C$762&gt;=Lists!$AE3)*('Prenatal Care'!$C$7:$C$762&lt;=Lists!$AF3))</f>
        <v>0</v>
      </c>
      <c r="FS9" s="470">
        <f>SUMPRODUCT(('Prenatal Care'!$Y$7:$Y$762=FS$6)*('Prenatal Care'!$C$7:$C$762&gt;=Lists!$AE3)*('Prenatal Care'!$C$7:$C$762&lt;=Lists!$AF3))</f>
        <v>0</v>
      </c>
      <c r="FT9" s="470">
        <f>SUMPRODUCT(('Prenatal Care'!$Y$7:$Y$762=FT$6)*('Prenatal Care'!$C$7:$C$762&gt;=Lists!$AE3)*('Prenatal Care'!$C$7:$C$762&lt;=Lists!$AF3))</f>
        <v>0</v>
      </c>
      <c r="FU9" s="470">
        <f>SUMPRODUCT(('Prenatal Care'!$Y$7:$Y$762=FU$6)*('Prenatal Care'!$C$7:$C$762&gt;=Lists!$AE3)*('Prenatal Care'!$C$7:$C$762&lt;=Lists!$AF3))</f>
        <v>0</v>
      </c>
      <c r="FV9" s="470">
        <f>SUMPRODUCT(('Prenatal Care'!$Y$7:$Y$762=FV$6)*('Prenatal Care'!$C$7:$C$762&gt;=Lists!$AE3)*('Prenatal Care'!$C$7:$C$762&lt;=Lists!$AF3))</f>
        <v>0</v>
      </c>
      <c r="FW9" s="470">
        <f>SUMPRODUCT(('Prenatal Care'!$Y$7:$Y$762=FW$6)*('Prenatal Care'!$C$7:$C$762&gt;=Lists!$AE3)*('Prenatal Care'!$C$7:$C$762&lt;=Lists!$AF3))</f>
        <v>0</v>
      </c>
      <c r="FX9" s="470">
        <f>SUMPRODUCT(('Prenatal Care'!$Y$7:$Y$762=FX$6)*('Prenatal Care'!$C$7:$C$762&gt;=Lists!$AE3)*('Prenatal Care'!$C$7:$C$762&lt;=Lists!$AF3))</f>
        <v>0</v>
      </c>
      <c r="FY9" s="470">
        <f>SUMPRODUCT(('Prenatal Care'!$Y$7:$Y$762=FY$6)*('Prenatal Care'!$C$7:$C$762&gt;=Lists!$AE3)*('Prenatal Care'!$C$7:$C$762&lt;=Lists!$AF3))</f>
        <v>0</v>
      </c>
      <c r="FZ9" s="470">
        <f>SUMPRODUCT(('Prenatal Care'!$Y$7:$Y$762=FZ$6)*('Prenatal Care'!$C$7:$C$762&gt;=Lists!$AE3)*('Prenatal Care'!$C$7:$C$762&lt;=Lists!$AF3))</f>
        <v>0</v>
      </c>
      <c r="GA9" s="470">
        <f>SUMPRODUCT(('Prenatal Care'!$Y$7:$Y$762=GA$6)*('Prenatal Care'!$C$7:$C$762&gt;=Lists!$AE3)*('Prenatal Care'!$C$7:$C$762&lt;=Lists!$AF3))</f>
        <v>0</v>
      </c>
      <c r="GB9" s="470">
        <f>SUMPRODUCT(('Prenatal Care'!$Y$7:$Y$762=GB$6)*('Prenatal Care'!$C$7:$C$762&gt;=Lists!$AE3)*('Prenatal Care'!$C$7:$C$762&lt;=Lists!$AF3))</f>
        <v>0</v>
      </c>
      <c r="GC9" s="470">
        <f>SUMPRODUCT(('Prenatal Care'!$Y$7:$Y$762=GC$6)*('Prenatal Care'!$C$7:$C$762&gt;=Lists!$AE3)*('Prenatal Care'!$C$7:$C$762&lt;=Lists!$AF3))</f>
        <v>0</v>
      </c>
      <c r="GD9" s="470">
        <f>SUMPRODUCT(('Prenatal Care'!$Y$7:$Y$762=GD$6)*('Prenatal Care'!$C$7:$C$762&gt;=Lists!$AE3)*('Prenatal Care'!$C$7:$C$762&lt;=Lists!$AF3))</f>
        <v>0</v>
      </c>
      <c r="GE9" s="470">
        <f>SUMPRODUCT(('Prenatal Care'!$Y$7:$Y$762=GE$6)*('Prenatal Care'!$C$7:$C$762&gt;=Lists!$AE3)*('Prenatal Care'!$C$7:$C$762&lt;=Lists!$AF3))</f>
        <v>0</v>
      </c>
      <c r="GF9" s="470">
        <f>SUMPRODUCT(('Prenatal Care'!$Y$7:$Y$762=GF$6)*('Prenatal Care'!$C$7:$C$762&gt;=Lists!$AE3)*('Prenatal Care'!$C$7:$C$762&lt;=Lists!$AF3))</f>
        <v>0</v>
      </c>
      <c r="GG9" s="470">
        <f>SUMPRODUCT(('Prenatal Care'!$Y$7:$Y$762=GG$6)*('Prenatal Care'!$C$7:$C$762&gt;=Lists!$AE3)*('Prenatal Care'!$C$7:$C$762&lt;=Lists!$AF3))</f>
        <v>0</v>
      </c>
      <c r="GH9" s="470">
        <f>SUMPRODUCT(('Prenatal Care'!$Y$7:$Y$762=GH$6)*('Prenatal Care'!$C$7:$C$762&gt;=Lists!$AE3)*('Prenatal Care'!$C$7:$C$762&lt;=Lists!$AF3))</f>
        <v>0</v>
      </c>
      <c r="GI9" s="470">
        <f>SUMPRODUCT(('Prenatal Care'!$Y$7:$Y$762=GI$6)*('Prenatal Care'!$C$7:$C$762&gt;=Lists!$AE3)*('Prenatal Care'!$C$7:$C$762&lt;=Lists!$AF3))</f>
        <v>0</v>
      </c>
      <c r="GJ9" s="475">
        <f>SUMPRODUCT(('Prenatal Care'!$Y$7:$Y$762=GJ$6)*('Prenatal Care'!$C$7:$C$762&gt;=Lists!$AE3)*('Prenatal Care'!$C$7:$C$762&lt;=Lists!$AF3))</f>
        <v>0</v>
      </c>
      <c r="GK9" s="471">
        <f t="shared" ref="GK9:GK19" si="24">SUM(FK9:GJ9)</f>
        <v>0</v>
      </c>
      <c r="GL9" s="469">
        <f>SUMPRODUCT(('Prenatal Care'!$AA$7:$AA$762=GL$6)*('Prenatal Care'!$C$7:$C$762&gt;=Lists!$AE3)*('Prenatal Care'!$C$7:$C$762&lt;=Lists!$AF3))</f>
        <v>0</v>
      </c>
      <c r="GM9" s="474">
        <f>SUMPRODUCT(('Prenatal Care'!$AA$7:$AA$762=GM$6)*('Prenatal Care'!$C$7:$C$762&gt;=Lists!$AE3)*('Prenatal Care'!$C$7:$C$762&lt;=Lists!$AF3))</f>
        <v>0</v>
      </c>
      <c r="GN9" s="470">
        <f>SUMPRODUCT(('Prenatal Care'!$AA$7:$AA$762=GN$6)*('Prenatal Care'!$C$7:$C$762&gt;=Lists!$AE3)*('Prenatal Care'!$C$7:$C$762&lt;=Lists!$AF3))</f>
        <v>0</v>
      </c>
      <c r="GO9" s="470">
        <f>SUMPRODUCT(('Prenatal Care'!$AA$7:$AA$762=GO$6)*('Prenatal Care'!$C$7:$C$762&gt;=Lists!$AE3)*('Prenatal Care'!$C$7:$C$762&lt;=Lists!$AF3))</f>
        <v>0</v>
      </c>
      <c r="GP9" s="470">
        <f>SUMPRODUCT(('Prenatal Care'!$AA$7:$AA$762=GP$6)*('Prenatal Care'!$C$7:$C$762&gt;=Lists!$AE3)*('Prenatal Care'!$C$7:$C$762&lt;=Lists!$AF3))</f>
        <v>0</v>
      </c>
      <c r="GQ9" s="470">
        <f>SUMPRODUCT(('Prenatal Care'!$AA$7:$AA$762=GQ$6)*('Prenatal Care'!$C$7:$C$762&gt;=Lists!$AE3)*('Prenatal Care'!$C$7:$C$762&lt;=Lists!$AF3))</f>
        <v>0</v>
      </c>
      <c r="GR9" s="470">
        <f>SUMPRODUCT(('Prenatal Care'!$AA$7:$AA$762=GR$6)*('Prenatal Care'!$C$7:$C$762&gt;=Lists!$AE3)*('Prenatal Care'!$C$7:$C$762&lt;=Lists!$AF3))</f>
        <v>0</v>
      </c>
      <c r="GS9" s="470">
        <f>SUMPRODUCT(('Prenatal Care'!$AA$7:$AA$762=GS$6)*('Prenatal Care'!$C$7:$C$762&gt;=Lists!$AE3)*('Prenatal Care'!$C$7:$C$762&lt;=Lists!$AF3))</f>
        <v>0</v>
      </c>
      <c r="GT9" s="470">
        <f>SUMPRODUCT(('Prenatal Care'!$AA$7:$AA$762=GT$6)*('Prenatal Care'!$C$7:$C$762&gt;=Lists!$AE3)*('Prenatal Care'!$C$7:$C$762&lt;=Lists!$AF3))</f>
        <v>0</v>
      </c>
      <c r="GU9" s="470">
        <f>SUMPRODUCT(('Prenatal Care'!$AA$7:$AA$762=GU$6)*('Prenatal Care'!$C$7:$C$762&gt;=Lists!$AE3)*('Prenatal Care'!$C$7:$C$762&lt;=Lists!$AF3))</f>
        <v>0</v>
      </c>
      <c r="GV9" s="470">
        <f>SUMPRODUCT(('Prenatal Care'!$AA$7:$AA$762=GV$6)*('Prenatal Care'!$C$7:$C$762&gt;=Lists!$AE3)*('Prenatal Care'!$C$7:$C$762&lt;=Lists!$AF3))</f>
        <v>0</v>
      </c>
      <c r="GW9" s="470">
        <f>SUMPRODUCT(('Prenatal Care'!$AA$7:$AA$762=GW$6)*('Prenatal Care'!$C$7:$C$762&gt;=Lists!$AE3)*('Prenatal Care'!$C$7:$C$762&lt;=Lists!$AF3))</f>
        <v>0</v>
      </c>
      <c r="GX9" s="475">
        <f>SUMPRODUCT(('Prenatal Care'!$AA$7:$AA$762=GX$6)*('Prenatal Care'!$C$7:$C$762&gt;=Lists!$AE3)*('Prenatal Care'!$C$7:$C$762&lt;=Lists!$AF3))</f>
        <v>0</v>
      </c>
      <c r="GY9" s="471">
        <f t="shared" ref="GY9:GY19" si="25">SUM(GL9:GX9)</f>
        <v>0</v>
      </c>
      <c r="GZ9" s="473">
        <f>SUMPRODUCT(('Prenatal Care'!$AB$7:$AB$762=GZ$6)*('Prenatal Care'!$C$7:$C$762&gt;=Lists!$AE3)*('Prenatal Care'!$C$7:$C$762&lt;=Lists!$AF3))</f>
        <v>0</v>
      </c>
      <c r="HA9" s="470">
        <f>SUMPRODUCT(('Prenatal Care'!$AB$7:$AB$762=HA$6)*('Prenatal Care'!$C$7:$C$762&gt;=Lists!$AE3)*('Prenatal Care'!$C$7:$C$762&lt;=Lists!$AF3))</f>
        <v>0</v>
      </c>
      <c r="HB9" s="470">
        <f>SUMPRODUCT(('Prenatal Care'!$AB$7:$AB$762=HB$6)*('Prenatal Care'!$C$7:$C$762&gt;=Lists!$AE3)*('Prenatal Care'!$C$7:$C$762&lt;=Lists!$AF3))</f>
        <v>0</v>
      </c>
      <c r="HC9" s="470">
        <f>SUMPRODUCT(('Prenatal Care'!$AB$7:$AB$762=HC$6)*('Prenatal Care'!$C$7:$C$762&gt;=Lists!$AE3)*('Prenatal Care'!$C$7:$C$762&lt;=Lists!$AF3))</f>
        <v>0</v>
      </c>
      <c r="HD9" s="470">
        <f>SUMPRODUCT(('Prenatal Care'!$AB$7:$AB$762=HD$6)*('Prenatal Care'!$C$7:$C$762&gt;=Lists!$AE3)*('Prenatal Care'!$C$7:$C$762&lt;=Lists!$AF3))</f>
        <v>0</v>
      </c>
      <c r="HE9" s="470">
        <f>SUMPRODUCT(('Prenatal Care'!$AB$7:$AB$762=HE$6)*('Prenatal Care'!$C$7:$C$762&gt;=Lists!$AE3)*('Prenatal Care'!$C$7:$C$762&lt;=Lists!$AF3))</f>
        <v>0</v>
      </c>
      <c r="HF9" s="470">
        <f>SUMPRODUCT(('Prenatal Care'!$AB$7:$AB$762=HF$6)*('Prenatal Care'!$C$7:$C$762&gt;=Lists!$AE3)*('Prenatal Care'!$C$7:$C$762&lt;=Lists!$AF3))</f>
        <v>0</v>
      </c>
      <c r="HG9" s="470">
        <f>SUMPRODUCT(('Prenatal Care'!$AB$7:$AB$762=HG$6)*('Prenatal Care'!$C$7:$C$762&gt;=Lists!$AE3)*('Prenatal Care'!$C$7:$C$762&lt;=Lists!$AF3))</f>
        <v>0</v>
      </c>
      <c r="HH9" s="470">
        <f>SUMPRODUCT(('Prenatal Care'!$AB$7:$AB$762=HH$6)*('Prenatal Care'!$C$7:$C$762&gt;=Lists!$AE3)*('Prenatal Care'!$C$7:$C$762&lt;=Lists!$AF3))</f>
        <v>0</v>
      </c>
      <c r="HI9" s="470">
        <f>SUMPRODUCT(('Prenatal Care'!$AB$7:$AB$762=HI$6)*('Prenatal Care'!$C$7:$C$762&gt;=Lists!$AE3)*('Prenatal Care'!$C$7:$C$762&lt;=Lists!$AF3))</f>
        <v>0</v>
      </c>
      <c r="HJ9" s="470">
        <f>SUMPRODUCT(('Prenatal Care'!$AB$7:$AB$762=HJ$6)*('Prenatal Care'!$C$7:$C$762&gt;=Lists!$AE3)*('Prenatal Care'!$C$7:$C$762&lt;=Lists!$AF3))</f>
        <v>0</v>
      </c>
      <c r="HK9" s="470">
        <f>SUMPRODUCT(('Prenatal Care'!$AB$7:$AB$762=HK$6)*('Prenatal Care'!$C$7:$C$762&gt;=Lists!$AE3)*('Prenatal Care'!$C$7:$C$762&lt;=Lists!$AF3))</f>
        <v>0</v>
      </c>
      <c r="HL9" s="475">
        <f>SUMPRODUCT(('Prenatal Care'!$AB$7:$AB$762=HL$6)*('Prenatal Care'!$C$7:$C$762&gt;=Lists!$AE3)*('Prenatal Care'!$C$7:$C$762&lt;=Lists!$AF3))</f>
        <v>0</v>
      </c>
      <c r="HM9" s="471">
        <f t="shared" ref="HM9:HM19" si="26">SUM(GZ9:HL9)</f>
        <v>0</v>
      </c>
      <c r="HN9" s="458">
        <f>SUMPRODUCT(('Prenatal Care'!$AC$7:$AC$762=HN$6)*('Prenatal Care'!$C$7:$C$762&gt;=Lists!$AE3)*('Prenatal Care'!$C$7:$C$762&lt;=Lists!$AF3))</f>
        <v>0</v>
      </c>
      <c r="HO9" s="459">
        <f>SUMPRODUCT(('Prenatal Care'!$AC$7:$AC$762=HO$6)*('Prenatal Care'!$C$7:$C$762&gt;=Lists!$AE3)*('Prenatal Care'!$C$7:$C$762&lt;=Lists!$AF3))</f>
        <v>0</v>
      </c>
      <c r="HP9" s="459">
        <f>SUMPRODUCT(('Prenatal Care'!$AC$7:$AC$762=HP$6)*('Prenatal Care'!$C$7:$C$762&gt;=Lists!$AE3)*('Prenatal Care'!$C$7:$C$762&lt;=Lists!$AF3))</f>
        <v>0</v>
      </c>
      <c r="HQ9" s="459">
        <f>SUMPRODUCT(('Prenatal Care'!$AC$7:$AC$762=HQ$6)*('Prenatal Care'!$C$7:$C$762&gt;=Lists!$AE3)*('Prenatal Care'!$C$7:$C$762&lt;=Lists!$AF3))</f>
        <v>0</v>
      </c>
      <c r="HR9" s="459">
        <f>SUMPRODUCT(('Prenatal Care'!$AC$7:$AC$762=HR$6)*('Prenatal Care'!$C$7:$C$762&gt;=Lists!$AE3)*('Prenatal Care'!$C$7:$C$762&lt;=Lists!$AF3))</f>
        <v>0</v>
      </c>
      <c r="HS9" s="459">
        <f>SUMPRODUCT(('Prenatal Care'!$AC$7:$AC$762=HS$6)*('Prenatal Care'!$C$7:$C$762&gt;=Lists!$AE3)*('Prenatal Care'!$C$7:$C$762&lt;=Lists!$AF3))</f>
        <v>0</v>
      </c>
      <c r="HT9" s="459">
        <f>SUMPRODUCT(('Prenatal Care'!$AC$7:$AC$762=HT$6)*('Prenatal Care'!$C$7:$C$762&gt;=Lists!$AE3)*('Prenatal Care'!$C$7:$C$762&lt;=Lists!$AF3))</f>
        <v>0</v>
      </c>
      <c r="HU9" s="459">
        <f>SUMPRODUCT(('Prenatal Care'!$AC$7:$AC$762=HU$6)*('Prenatal Care'!$C$7:$C$762&gt;=Lists!$AE3)*('Prenatal Care'!$C$7:$C$762&lt;=Lists!$AF3))</f>
        <v>0</v>
      </c>
      <c r="HV9" s="459">
        <f>SUMPRODUCT(('Prenatal Care'!$AC$7:$AC$762=HV$6)*('Prenatal Care'!$C$7:$C$762&gt;=Lists!$AE3)*('Prenatal Care'!$C$7:$C$762&lt;=Lists!$AF3))</f>
        <v>0</v>
      </c>
      <c r="HW9" s="459">
        <f>SUMPRODUCT(('Prenatal Care'!$AC$7:$AC$762=HW$6)*('Prenatal Care'!$C$7:$C$762&gt;=Lists!$AE3)*('Prenatal Care'!$C$7:$C$762&lt;=Lists!$AF3))</f>
        <v>0</v>
      </c>
      <c r="HX9" s="459">
        <f>SUMPRODUCT(('Prenatal Care'!$AC$7:$AC$762=HX$6)*('Prenatal Care'!$C$7:$C$762&gt;=Lists!$AE3)*('Prenatal Care'!$C$7:$C$762&lt;=Lists!$AF3))</f>
        <v>0</v>
      </c>
      <c r="HY9" s="459">
        <f>SUMPRODUCT(('Prenatal Care'!$AC$7:$AC$762=HY$6)*('Prenatal Care'!$C$7:$C$762&gt;=Lists!$AE3)*('Prenatal Care'!$C$7:$C$762&lt;=Lists!$AF3))</f>
        <v>0</v>
      </c>
      <c r="HZ9" s="460">
        <f>SUMPRODUCT(('Prenatal Care'!$AC$7:$AC$762=HZ$6)*('Prenatal Care'!$C$7:$C$762&gt;=Lists!$AE3)*('Prenatal Care'!$C$7:$C$762&lt;=Lists!$AF3))</f>
        <v>0</v>
      </c>
      <c r="IA9" s="471">
        <f t="shared" si="2"/>
        <v>0</v>
      </c>
      <c r="IB9" s="469">
        <f>SUMPRODUCT(('Prenatal Care'!$AD$7:$AD$762=IB$6)*('Prenatal Care'!$C$7:$C$762&gt;=Lists!$AE3)*('Prenatal Care'!$C$7:$C$762&lt;=Lists!$AF3))</f>
        <v>0</v>
      </c>
      <c r="IC9" s="473">
        <f>SUMPRODUCT(('Prenatal Care'!$AD$7:$AD$762=IC$6)*('Prenatal Care'!$C$7:$C$762&gt;=Lists!$AE3)*('Prenatal Care'!$C$7:$C$762&lt;=Lists!$AF3))</f>
        <v>0</v>
      </c>
      <c r="ID9" s="470">
        <f>SUMPRODUCT(('Prenatal Care'!$AD$7:$AD$762=ID$6)*('Prenatal Care'!$C$7:$C$762&gt;=Lists!$AE3)*('Prenatal Care'!$C$7:$C$762&lt;=Lists!$AF3))</f>
        <v>0</v>
      </c>
      <c r="IE9" s="470">
        <f>SUMPRODUCT(('Prenatal Care'!$AD$7:$AD$762=IE$6)*('Prenatal Care'!$C$7:$C$762&gt;=Lists!$AE3)*('Prenatal Care'!$C$7:$C$762&lt;=Lists!$AF3))</f>
        <v>0</v>
      </c>
      <c r="IF9" s="470">
        <f>SUMPRODUCT(('Prenatal Care'!$AD$7:$AD$762=IF$6)*('Prenatal Care'!$C$7:$C$762&gt;=Lists!$AE3)*('Prenatal Care'!$C$7:$C$762&lt;=Lists!$AF3))</f>
        <v>0</v>
      </c>
      <c r="IG9" s="471">
        <f t="shared" si="3"/>
        <v>0</v>
      </c>
      <c r="IH9" s="464">
        <f>SUMPRODUCT(('Prenatal Care'!$AE$7:$AE$762=IH$6)*('Prenatal Care'!$C$7:$C$762&gt;=Lists!$AE3)*('Prenatal Care'!$C$7:$C$762&lt;=Lists!$AF3))</f>
        <v>0</v>
      </c>
      <c r="II9" s="464">
        <f>SUMPRODUCT(('Prenatal Care'!$AE$7:$AE$762=II$6)*('Prenatal Care'!$C$7:$C$762&gt;=Lists!$AE3)*('Prenatal Care'!$C$7:$C$762&lt;=Lists!$AF3))</f>
        <v>0</v>
      </c>
      <c r="IJ9" s="464">
        <f>SUMPRODUCT(('Prenatal Care'!$AE$7:$AE$762=IJ$6)*('Prenatal Care'!$C$7:$C$762&gt;=Lists!$AE3)*('Prenatal Care'!$C$7:$C$762&lt;=Lists!$AF3))</f>
        <v>0</v>
      </c>
      <c r="IK9" s="464">
        <f>SUMPRODUCT(('Prenatal Care'!$AE$7:$AE$762=IK$6)*('Prenatal Care'!$C$7:$C$762&gt;=Lists!$AE3)*('Prenatal Care'!$C$7:$C$762&lt;=Lists!$AF3))</f>
        <v>0</v>
      </c>
      <c r="IL9" s="464">
        <f>SUMPRODUCT(('Prenatal Care'!$AE$7:$AE$762=IL$6)*('Prenatal Care'!$C$7:$C$762&gt;=Lists!$AE3)*('Prenatal Care'!$C$7:$C$762&lt;=Lists!$AF3))</f>
        <v>0</v>
      </c>
      <c r="IM9" s="464">
        <f>SUMPRODUCT(('Prenatal Care'!$AE$7:$AE$762=IM$6)*('Prenatal Care'!$C$7:$C$762&gt;=Lists!$AE3)*('Prenatal Care'!$C$7:$C$762&lt;=Lists!$AF3))</f>
        <v>0</v>
      </c>
      <c r="IN9" s="464">
        <f>SUMPRODUCT(('Prenatal Care'!$AE$7:$AE$762=IN$6)*('Prenatal Care'!$C$7:$C$762&gt;=Lists!$AE3)*('Prenatal Care'!$C$7:$C$762&lt;=Lists!$AF3))</f>
        <v>0</v>
      </c>
      <c r="IO9" s="464">
        <f>SUMPRODUCT(('Prenatal Care'!$AE$7:$AE$762=IO$6)*('Prenatal Care'!$C$7:$C$762&gt;=Lists!$AE3)*('Prenatal Care'!$C$7:$C$762&lt;=Lists!$AF3))</f>
        <v>0</v>
      </c>
      <c r="IP9" s="464">
        <f>SUMPRODUCT(('Prenatal Care'!$AE$7:$AE$762=IP$6)*('Prenatal Care'!$C$7:$C$762&gt;=Lists!$AE3)*('Prenatal Care'!$C$7:$C$762&lt;=Lists!$AF3))</f>
        <v>0</v>
      </c>
      <c r="IQ9" s="464">
        <f>SUMPRODUCT(('Prenatal Care'!$AE$7:$AE$762=IQ$6)*('Prenatal Care'!$C$7:$C$762&gt;=Lists!$AE3)*('Prenatal Care'!$C$7:$C$762&lt;=Lists!$AF3))</f>
        <v>0</v>
      </c>
      <c r="IR9" s="464">
        <f>SUMPRODUCT(('Prenatal Care'!$AE$7:$AE$762=IR$6)*('Prenatal Care'!$C$7:$C$762&gt;=Lists!$AE3)*('Prenatal Care'!$C$7:$C$762&lt;=Lists!$AF3))</f>
        <v>0</v>
      </c>
      <c r="IS9" s="464">
        <f>SUMPRODUCT(('Prenatal Care'!$AE$7:$AE$762=IS$6)*('Prenatal Care'!$C$7:$C$762&gt;=Lists!$AE3)*('Prenatal Care'!$C$7:$C$762&lt;=Lists!$AF3))</f>
        <v>0</v>
      </c>
      <c r="IT9" s="517">
        <f>SUMPRODUCT(('Prenatal Care'!$AE$7:$AE$762=IT$6)*('Prenatal Care'!$C$7:$C$762&gt;=Lists!$AE3)*('Prenatal Care'!$C$7:$C$762&lt;=Lists!$AF3))</f>
        <v>0</v>
      </c>
      <c r="IU9" s="471">
        <f t="shared" ref="IU9:IU19" si="27">SUM(IH9:IT9)</f>
        <v>0</v>
      </c>
      <c r="IV9" s="473">
        <f>SUMPRODUCT(('Prenatal Care'!$AF$7:$AF$762=IV$6)*('Prenatal Care'!$C$7:$C$762&gt;=Lists!$AE3)*('Prenatal Care'!$C$7:$C$762&lt;=Lists!$AF3))</f>
        <v>0</v>
      </c>
      <c r="IW9" s="470">
        <f>SUMPRODUCT(('Prenatal Care'!$AF$7:$AF$762=IW$6)*('Prenatal Care'!$C$7:$C$762&gt;=Lists!$AE3)*('Prenatal Care'!$C$7:$C$762&lt;=Lists!$AF3))</f>
        <v>0</v>
      </c>
      <c r="IX9" s="470">
        <f>SUMPRODUCT(('Prenatal Care'!$AF$7:$AF$762=IX$6)*('Prenatal Care'!$C$7:$C$762&gt;=Lists!$AE3)*('Prenatal Care'!$C$7:$C$762&lt;=Lists!$AF3))</f>
        <v>0</v>
      </c>
      <c r="IY9" s="470">
        <f>SUMPRODUCT(('Prenatal Care'!$AF$7:$AF$762=IY$6)*('Prenatal Care'!$C$7:$C$762&gt;=Lists!$AE3)*('Prenatal Care'!$C$7:$C$762&lt;=Lists!$AF3))</f>
        <v>0</v>
      </c>
      <c r="IZ9" s="470">
        <f>SUMPRODUCT(('Prenatal Care'!$AF$7:$AF$762=IZ$6)*('Prenatal Care'!$C$7:$C$762&gt;=Lists!$AE3)*('Prenatal Care'!$C$7:$C$762&lt;=Lists!$AF3))</f>
        <v>0</v>
      </c>
      <c r="JA9" s="470">
        <f>SUMPRODUCT(('Prenatal Care'!$AF$7:$AF$762=JA$6)*('Prenatal Care'!$C$7:$C$762&gt;=Lists!$AE3)*('Prenatal Care'!$C$7:$C$762&lt;=Lists!$AF3))</f>
        <v>0</v>
      </c>
      <c r="JB9" s="470">
        <f>SUMPRODUCT(('Prenatal Care'!$AF$7:$AF$762=JB$6)*('Prenatal Care'!$C$7:$C$762&gt;=Lists!$AE3)*('Prenatal Care'!$C$7:$C$762&lt;=Lists!$AF3))</f>
        <v>0</v>
      </c>
      <c r="JC9" s="470">
        <f>SUMPRODUCT(('Prenatal Care'!$AF$7:$AF$762=JC$6)*('Prenatal Care'!$C$7:$C$762&gt;=Lists!$AE3)*('Prenatal Care'!$C$7:$C$762&lt;=Lists!$AF3))</f>
        <v>0</v>
      </c>
      <c r="JD9" s="470">
        <f>SUMPRODUCT(('Prenatal Care'!$AF$7:$AF$762=JD$6)*('Prenatal Care'!$C$7:$C$762&gt;=Lists!$AE3)*('Prenatal Care'!$C$7:$C$762&lt;=Lists!$AF3))</f>
        <v>0</v>
      </c>
      <c r="JE9" s="470">
        <f>SUMPRODUCT(('Prenatal Care'!$AF$7:$AF$762=JE$6)*('Prenatal Care'!$C$7:$C$762&gt;=Lists!$AE3)*('Prenatal Care'!$C$7:$C$762&lt;=Lists!$AF3))</f>
        <v>0</v>
      </c>
      <c r="JF9" s="470">
        <f>SUMPRODUCT(('Prenatal Care'!$AF$7:$AF$762=JF$6)*('Prenatal Care'!$C$7:$C$762&gt;=Lists!$AE3)*('Prenatal Care'!$C$7:$C$762&lt;=Lists!$AF3))</f>
        <v>0</v>
      </c>
      <c r="JG9" s="470">
        <f>SUMPRODUCT(('Prenatal Care'!$AF$7:$AF$762=JG$6)*('Prenatal Care'!$C$7:$C$762&gt;=Lists!$AE3)*('Prenatal Care'!$C$7:$C$762&lt;=Lists!$AF3))</f>
        <v>0</v>
      </c>
      <c r="JH9" s="470">
        <f>SUMPRODUCT(('Prenatal Care'!$AF$7:$AF$762=JH$6)*('Prenatal Care'!$C$7:$C$762&gt;=Lists!$AE3)*('Prenatal Care'!$C$7:$C$762&lt;=Lists!$AF3))</f>
        <v>0</v>
      </c>
      <c r="JI9" s="470">
        <f>SUMPRODUCT(('Prenatal Care'!$AF$7:$AF$762=JI$6)*('Prenatal Care'!$C$7:$C$762&gt;=Lists!$AE3)*('Prenatal Care'!$C$7:$C$762&lt;=Lists!$AF3))</f>
        <v>0</v>
      </c>
      <c r="JJ9" s="470">
        <f>SUMPRODUCT(('Prenatal Care'!$AF$7:$AF$762=JJ$6)*('Prenatal Care'!$C$7:$C$762&gt;=Lists!$AE3)*('Prenatal Care'!$C$7:$C$762&lt;=Lists!$AF3))</f>
        <v>0</v>
      </c>
      <c r="JK9" s="470">
        <f>SUMPRODUCT(('Prenatal Care'!$AF$7:$AF$762=JK$6)*('Prenatal Care'!$C$7:$C$762&gt;=Lists!$AE3)*('Prenatal Care'!$C$7:$C$762&lt;=Lists!$AF3))</f>
        <v>0</v>
      </c>
      <c r="JL9" s="470">
        <f>SUMPRODUCT(('Prenatal Care'!$AF$7:$AF$762=JL$6)*('Prenatal Care'!$C$7:$C$762&gt;=Lists!$AE3)*('Prenatal Care'!$C$7:$C$762&lt;=Lists!$AF3))</f>
        <v>0</v>
      </c>
      <c r="JM9" s="470">
        <f>SUMPRODUCT(('Prenatal Care'!$AF$7:$AF$762=JM$6)*('Prenatal Care'!$C$7:$C$762&gt;=Lists!$AE3)*('Prenatal Care'!$C$7:$C$762&lt;=Lists!$AF3))</f>
        <v>0</v>
      </c>
      <c r="JN9" s="470">
        <f>SUMPRODUCT(('Prenatal Care'!$AF$7:$AF$762=JN$6)*('Prenatal Care'!$C$7:$C$762&gt;=Lists!$AE3)*('Prenatal Care'!$C$7:$C$762&lt;=Lists!$AF3))</f>
        <v>0</v>
      </c>
      <c r="JO9" s="470">
        <f>SUMPRODUCT(('Prenatal Care'!$AF$7:$AF$762=JO$6)*('Prenatal Care'!$C$7:$C$762&gt;=Lists!$AE3)*('Prenatal Care'!$C$7:$C$762&lt;=Lists!$AF3))</f>
        <v>0</v>
      </c>
      <c r="JP9" s="470">
        <f>SUMPRODUCT(('Prenatal Care'!$AF$7:$AF$762=JP$6)*('Prenatal Care'!$C$7:$C$762&gt;=Lists!$AE3)*('Prenatal Care'!$C$7:$C$762&lt;=Lists!$AF3))</f>
        <v>0</v>
      </c>
      <c r="JQ9" s="475">
        <f>SUMPRODUCT(('Prenatal Care'!$AF$7:$AF$762=JQ$6)*('Prenatal Care'!$C$7:$C$762&gt;=Lists!$AE3)*('Prenatal Care'!$C$7:$C$762&lt;=Lists!$AF3))</f>
        <v>0</v>
      </c>
      <c r="JR9" s="471">
        <f t="shared" ref="JR9:JR19" si="28">SUM(IV9:JQ9)</f>
        <v>0</v>
      </c>
      <c r="JS9" s="469">
        <f>SUMPRODUCT(('Prenatal Care'!$AH$7:$AH$762=JS$6)*('Prenatal Care'!$C$7:$C$762&gt;=Lists!$AE3)*('Prenatal Care'!$C$7:$C$762&lt;=Lists!$AF3))</f>
        <v>0</v>
      </c>
      <c r="JT9" s="470">
        <f>SUMPRODUCT(('Prenatal Care'!$AH$7:$AH$762=JT$6)*('Prenatal Care'!$C$7:$C$762&gt;=Lists!$AE3)*('Prenatal Care'!$C$7:$C$762&lt;=Lists!$AF3))</f>
        <v>0</v>
      </c>
      <c r="JU9" s="470">
        <f>SUMPRODUCT(('Prenatal Care'!$AH$7:$AH$762=JU$6)*('Prenatal Care'!$C$7:$C$762&gt;=Lists!$AE3)*('Prenatal Care'!$C$7:$C$762&lt;=Lists!$AF3))</f>
        <v>0</v>
      </c>
      <c r="JV9" s="470">
        <f>SUMPRODUCT(('Prenatal Care'!$AH$7:$AH$762=JV$6)*('Prenatal Care'!$C$7:$C$762&gt;=Lists!$AE3)*('Prenatal Care'!$C$7:$C$762&lt;=Lists!$AF3))</f>
        <v>0</v>
      </c>
      <c r="JW9" s="470">
        <f>SUMPRODUCT(('Prenatal Care'!$AH$7:$AH$762=JW$6)*('Prenatal Care'!$C$7:$C$762&gt;=Lists!$AE3)*('Prenatal Care'!$C$7:$C$762&lt;=Lists!$AF3))</f>
        <v>0</v>
      </c>
      <c r="JX9" s="470">
        <f>SUMPRODUCT(('Prenatal Care'!$AH$7:$AH$762=JX$6)*('Prenatal Care'!$C$7:$C$762&gt;=Lists!$AE3)*('Prenatal Care'!$C$7:$C$762&lt;=Lists!$AF3))</f>
        <v>0</v>
      </c>
      <c r="JY9" s="470">
        <f>SUMPRODUCT(('Prenatal Care'!$AH$7:$AH$762=JY$6)*('Prenatal Care'!$C$7:$C$762&gt;=Lists!$AE3)*('Prenatal Care'!$C$7:$C$762&lt;=Lists!$AF3))</f>
        <v>0</v>
      </c>
      <c r="JZ9" s="470">
        <f>SUMPRODUCT(('Prenatal Care'!$AH$7:$AH$762=JZ$6)*('Prenatal Care'!$C$7:$C$762&gt;=Lists!$AE3)*('Prenatal Care'!$C$7:$C$762&lt;=Lists!$AF3))</f>
        <v>0</v>
      </c>
      <c r="KA9" s="470">
        <f>SUMPRODUCT(('Prenatal Care'!$AH$7:$AH$762=KA$6)*('Prenatal Care'!$C$7:$C$762&gt;=Lists!$AE3)*('Prenatal Care'!$C$7:$C$762&lt;=Lists!$AF3))</f>
        <v>0</v>
      </c>
      <c r="KB9" s="470">
        <f>SUMPRODUCT(('Prenatal Care'!$AH$7:$AH$762=KB$6)*('Prenatal Care'!$C$7:$C$762&gt;=Lists!$AE3)*('Prenatal Care'!$C$7:$C$762&lt;=Lists!$AF3))</f>
        <v>0</v>
      </c>
      <c r="KC9" s="475">
        <f>SUMPRODUCT(('Prenatal Care'!$AH$7:$AH$762=KC$6)*('Prenatal Care'!$C$7:$C$762&gt;=Lists!$AE3)*('Prenatal Care'!$C$7:$C$762&lt;=Lists!$AF3))</f>
        <v>0</v>
      </c>
      <c r="KD9" s="471">
        <f t="shared" ref="KD9:KD19" si="29">SUM(JS9:KC9)</f>
        <v>0</v>
      </c>
      <c r="KE9" s="473">
        <f>SUMPRODUCT(('Prenatal Care'!$AI$7:$AI$762=KE$6)*('Prenatal Care'!$C$7:$C$762&gt;=Lists!$AE3)*('Prenatal Care'!$C$7:$C$762&lt;=Lists!$AF3))</f>
        <v>0</v>
      </c>
      <c r="KF9" s="470">
        <f>SUMPRODUCT(('Prenatal Care'!$AI$7:$AI$762=KF$6)*('Prenatal Care'!$C$7:$C$762&gt;=Lists!$AE3)*('Prenatal Care'!$C$7:$C$762&lt;=Lists!$AF3))</f>
        <v>0</v>
      </c>
      <c r="KG9" s="470">
        <f>SUMPRODUCT(('Prenatal Care'!$AI$7:$AI$762=KG$6)*('Prenatal Care'!$C$7:$C$762&gt;=Lists!$AE3)*('Prenatal Care'!$C$7:$C$762&lt;=Lists!$AF3))</f>
        <v>0</v>
      </c>
      <c r="KH9" s="470">
        <f>SUMPRODUCT(('Prenatal Care'!$AI$7:$AI$762=KH$6)*('Prenatal Care'!$C$7:$C$762&gt;=Lists!$AE3)*('Prenatal Care'!$C$7:$C$762&lt;=Lists!$AF3))</f>
        <v>0</v>
      </c>
      <c r="KI9" s="475">
        <f>SUMPRODUCT(('Prenatal Care'!$AI$7:$AI$762=KI$6)*('Prenatal Care'!$C$7:$C$762&gt;=Lists!$AE3)*('Prenatal Care'!$C$7:$C$762&lt;=Lists!$AF3))</f>
        <v>0</v>
      </c>
      <c r="KJ9" s="471">
        <f t="shared" si="5"/>
        <v>0</v>
      </c>
      <c r="KK9" s="518">
        <f t="shared" si="6"/>
        <v>0</v>
      </c>
      <c r="KN9" s="15"/>
      <c r="KO9" s="15"/>
      <c r="KP9" s="15"/>
      <c r="KQ9" s="15"/>
      <c r="KR9" s="15"/>
      <c r="KS9" s="15"/>
      <c r="KT9" s="15"/>
      <c r="KU9" s="16"/>
      <c r="KV9" s="15"/>
      <c r="KW9" s="15"/>
      <c r="KX9" s="15"/>
      <c r="KY9" s="15"/>
      <c r="KZ9" s="15"/>
    </row>
    <row r="10" spans="1:312" ht="15" customHeight="1" x14ac:dyDescent="0.35">
      <c r="A10" s="567">
        <v>45809</v>
      </c>
      <c r="B10" s="448">
        <f>SUMPRODUCT(('Prenatal Care'!$F$7:$F$762=B$6)*('Prenatal Care'!$C$7:$C$762&gt;=Lists!$AE4)*('Prenatal Care'!$C$7:$C$762&lt;=Lists!$AF4))</f>
        <v>0</v>
      </c>
      <c r="C10" s="449">
        <f>SUMPRODUCT(('Prenatal Care'!$F$7:$F$762=C$6)*('Prenatal Care'!$C$7:$C$762&gt;=Lists!$AE4)*('Prenatal Care'!$C$7:$C$762&lt;=Lists!$AF4))</f>
        <v>0</v>
      </c>
      <c r="D10" s="449">
        <f>SUMPRODUCT(('Prenatal Care'!$F$7:$F$762=D$6)*('Prenatal Care'!$C$7:$C$762&gt;=Lists!$AE4)*('Prenatal Care'!$C$7:$C$762&lt;=Lists!$AF4))</f>
        <v>0</v>
      </c>
      <c r="E10" s="450">
        <f>SUMPRODUCT(('Prenatal Care'!$F$7:$F$762=E$6)*('Prenatal Care'!$C$7:$C$762&gt;=Lists!$AE4)*('Prenatal Care'!$C$7:$C$762&lt;=Lists!$AF4))</f>
        <v>0</v>
      </c>
      <c r="F10" s="213">
        <f t="shared" si="7"/>
        <v>0</v>
      </c>
      <c r="G10" s="441">
        <f>SUMPRODUCT(('Prenatal Care'!$G$7:$G$762=G$6)*('Prenatal Care'!$C$7:$C$762&gt;=Lists!$AE4)*('Prenatal Care'!$C$7:$C$762&lt;=Lists!$AF4))</f>
        <v>0</v>
      </c>
      <c r="H10" s="441">
        <f>SUMPRODUCT(('Prenatal Care'!$G$7:$G$762=H$6)*('Prenatal Care'!$C$7:$C$762&gt;=Lists!$AE4)*('Prenatal Care'!$C$7:$C$762&lt;=Lists!$AF4))</f>
        <v>0</v>
      </c>
      <c r="I10" s="441">
        <f>SUMPRODUCT(('Prenatal Care'!$G$7:$G$762=I$6)*('Prenatal Care'!$C$7:$C$762&gt;=Lists!$AE4)*('Prenatal Care'!$C$7:$C$762&lt;=Lists!$AF4))</f>
        <v>0</v>
      </c>
      <c r="J10" s="441">
        <f>SUMPRODUCT(('Prenatal Care'!$G$7:$G$762=J$6)*('Prenatal Care'!$C$7:$C$762&gt;=Lists!$AE4)*('Prenatal Care'!$C$7:$C$762&lt;=Lists!$AF4))</f>
        <v>0</v>
      </c>
      <c r="K10" s="441">
        <f>SUMPRODUCT(('Prenatal Care'!$G$7:$G$762=K$6)*('Prenatal Care'!$C$7:$C$762&gt;=Lists!$AE4)*('Prenatal Care'!$C$7:$C$762&lt;=Lists!$AF4))</f>
        <v>0</v>
      </c>
      <c r="L10" s="441">
        <f>SUMPRODUCT(('Prenatal Care'!$G$7:$G$762=L$6)*('Prenatal Care'!$C$7:$C$762&gt;=Lists!$AE4)*('Prenatal Care'!$C$7:$C$762&lt;=Lists!$AF4))</f>
        <v>0</v>
      </c>
      <c r="M10" s="441">
        <f>SUMPRODUCT(('Prenatal Care'!$G$7:$G$762=M$6)*('Prenatal Care'!$C$7:$C$762&gt;=Lists!$AE4)*('Prenatal Care'!$C$7:$C$762&lt;=Lists!$AF4))</f>
        <v>0</v>
      </c>
      <c r="N10" s="170">
        <f t="shared" si="8"/>
        <v>0</v>
      </c>
      <c r="O10" s="441">
        <f>SUMPRODUCT(('Prenatal Care'!$H$7:$H$762=O$6)*('Prenatal Care'!$C$7:$C$762&gt;=Lists!$AE4)*('Prenatal Care'!$C$7:$C$762&lt;=Lists!$AF4))</f>
        <v>0</v>
      </c>
      <c r="P10" s="441">
        <f>SUMPRODUCT(('Prenatal Care'!$H$7:$H$762=P$6)*('Prenatal Care'!$C$7:$C$762&gt;=Lists!$AE4)*('Prenatal Care'!$C$7:$C$762&lt;=Lists!$AF4))</f>
        <v>0</v>
      </c>
      <c r="Q10" s="441">
        <f>SUMPRODUCT(('Prenatal Care'!$H$7:$H$762=Q$6)*('Prenatal Care'!$C$7:$C$762&gt;=Lists!$AE4)*('Prenatal Care'!$C$7:$C$762&lt;=Lists!$AF4))</f>
        <v>0</v>
      </c>
      <c r="R10" s="441">
        <f>SUMPRODUCT(('Prenatal Care'!$H$7:$H$762=R$6)*('Prenatal Care'!$C$7:$C$762&gt;=Lists!$AE4)*('Prenatal Care'!$C$7:$C$762&lt;=Lists!$AF4))</f>
        <v>0</v>
      </c>
      <c r="S10" s="441">
        <f>SUMPRODUCT(('Prenatal Care'!$H$7:$H$762=S$6)*('Prenatal Care'!$C$7:$C$762&gt;=Lists!$AE4)*('Prenatal Care'!$C$7:$C$762&lt;=Lists!$AF4))</f>
        <v>0</v>
      </c>
      <c r="T10" s="441">
        <f>SUMPRODUCT(('Prenatal Care'!$H$7:$H$762=T$6)*('Prenatal Care'!$C$7:$C$762&gt;=Lists!$AE4)*('Prenatal Care'!$C$7:$C$762&lt;=Lists!$AF4))</f>
        <v>0</v>
      </c>
      <c r="U10" s="441">
        <f>SUMPRODUCT(('Prenatal Care'!$H$7:$H$762=U$6)*('Prenatal Care'!$C$7:$C$762&gt;=Lists!$AE4)*('Prenatal Care'!$C$7:$C$762&lt;=Lists!$AF4))</f>
        <v>0</v>
      </c>
      <c r="V10" s="170">
        <f t="shared" si="9"/>
        <v>0</v>
      </c>
      <c r="W10" s="441">
        <f>SUMPRODUCT(('Prenatal Care'!$I$7:$I$762=W$6)*('Prenatal Care'!$C$7:$C$762&gt;=Lists!$AE4)*('Prenatal Care'!$C$7:$C$762&lt;=Lists!$AF4))</f>
        <v>0</v>
      </c>
      <c r="X10" s="441">
        <f>SUMPRODUCT(('Prenatal Care'!$I$7:$I$762=X$6)*('Prenatal Care'!$C$7:$C$762&gt;=Lists!$AE4)*('Prenatal Care'!$C$7:$C$762&lt;=Lists!$AF4))</f>
        <v>0</v>
      </c>
      <c r="Y10" s="441">
        <f>SUMPRODUCT(('Prenatal Care'!$I$7:$I$762=Y$6)*('Prenatal Care'!$C$7:$C$762&gt;=Lists!$AE4)*('Prenatal Care'!$C$7:$C$762&lt;=Lists!$AF4))</f>
        <v>0</v>
      </c>
      <c r="Z10" s="441">
        <f>SUMPRODUCT(('Prenatal Care'!$I$7:$I$762=Z$6)*('Prenatal Care'!$C$7:$C$762&gt;=Lists!$AE4)*('Prenatal Care'!$C$7:$C$762&lt;=Lists!$AF4))</f>
        <v>0</v>
      </c>
      <c r="AA10" s="441">
        <f>SUMPRODUCT(('Prenatal Care'!$I$7:$I$762=AA$6)*('Prenatal Care'!$C$7:$C$762&gt;=Lists!$AE4)*('Prenatal Care'!$C$7:$C$762&lt;=Lists!$AF4))</f>
        <v>0</v>
      </c>
      <c r="AB10" s="441">
        <f>SUMPRODUCT(('Prenatal Care'!$I$7:$I$762=AB$6)*('Prenatal Care'!$C$7:$C$762&gt;=Lists!$AE4)*('Prenatal Care'!$C$7:$C$762&lt;=Lists!$AF4))</f>
        <v>0</v>
      </c>
      <c r="AC10" s="170">
        <f t="shared" si="10"/>
        <v>0</v>
      </c>
      <c r="AD10" s="441">
        <f>SUMPRODUCT(('Prenatal Care'!$J$7:$J$762=AD$6)*('Prenatal Care'!$C$7:$C$762&gt;=Lists!$AE4)*('Prenatal Care'!$C$7:$C$762&lt;=Lists!$AF4))</f>
        <v>0</v>
      </c>
      <c r="AE10" s="441">
        <f>SUMPRODUCT(('Prenatal Care'!$J$7:$J$762=AE$6)*('Prenatal Care'!$C$7:$C$762&gt;=Lists!$AE4)*('Prenatal Care'!$C$7:$C$762&lt;=Lists!$AF4))</f>
        <v>0</v>
      </c>
      <c r="AF10" s="441">
        <f>SUMPRODUCT(('Prenatal Care'!$J$7:$J$762=AF$6)*('Prenatal Care'!$C$7:$C$762&gt;=Lists!$AE4)*('Prenatal Care'!$C$7:$C$762&lt;=Lists!$AF4))</f>
        <v>0</v>
      </c>
      <c r="AG10" s="441">
        <f>SUMPRODUCT(('Prenatal Care'!$J$7:$J$762=AG$6)*('Prenatal Care'!$C$7:$C$762&gt;=Lists!$AE4)*('Prenatal Care'!$C$7:$C$762&lt;=Lists!$AF4))</f>
        <v>0</v>
      </c>
      <c r="AH10" s="170">
        <f t="shared" si="11"/>
        <v>0</v>
      </c>
      <c r="AI10" s="441">
        <f>SUMPRODUCT(('Prenatal Care'!$K$7:$K$762=AI$6)*('Prenatal Care'!$C$7:$C$762&gt;=Lists!$AE4)*('Prenatal Care'!$C$7:$C$762&lt;=Lists!$AF4))</f>
        <v>0</v>
      </c>
      <c r="AJ10" s="441">
        <f>SUMPRODUCT(('Prenatal Care'!$K$7:$K$762=AJ$6)*('Prenatal Care'!$C$7:$C$762&gt;=Lists!$AE4)*('Prenatal Care'!$C$7:$C$762&lt;=Lists!$AF4))</f>
        <v>0</v>
      </c>
      <c r="AK10" s="441">
        <f>SUMPRODUCT(('Prenatal Care'!$K$7:$K$762=AK$6)*('Prenatal Care'!$C$7:$C$762&gt;=Lists!$AE4)*('Prenatal Care'!$C$7:$C$762&lt;=Lists!$AF4))</f>
        <v>0</v>
      </c>
      <c r="AL10" s="441">
        <f>SUMPRODUCT(('Prenatal Care'!$K$7:$K$762=AL$6)*('Prenatal Care'!$C$7:$C$762&gt;=Lists!$AE4)*('Prenatal Care'!$C$7:$C$762&lt;=Lists!$AF4))</f>
        <v>0</v>
      </c>
      <c r="AM10" s="170">
        <f t="shared" si="12"/>
        <v>0</v>
      </c>
      <c r="AN10" s="441">
        <f>SUMPRODUCT(('Prenatal Care'!$L$7:$L$762=AN$6)*('Prenatal Care'!$C$7:$C$762&gt;=Lists!$AE4)*('Prenatal Care'!$C$7:$C$762&lt;=Lists!$AF4))</f>
        <v>0</v>
      </c>
      <c r="AO10" s="441">
        <f>SUMPRODUCT(('Prenatal Care'!$L$7:$L$762=AO$6)*('Prenatal Care'!$C$7:$C$762&gt;=Lists!$AE4)*('Prenatal Care'!$C$7:$C$762&lt;=Lists!$AF4))</f>
        <v>0</v>
      </c>
      <c r="AP10" s="441">
        <f>SUMPRODUCT(('Prenatal Care'!$L$7:$L$762=AP$6)*('Prenatal Care'!$C$7:$C$762&gt;=Lists!$AE4)*('Prenatal Care'!$C$7:$C$762&lt;=Lists!$AF4))</f>
        <v>0</v>
      </c>
      <c r="AQ10" s="441">
        <f>SUMPRODUCT(('Prenatal Care'!$L$7:$L$762=AQ$6)*('Prenatal Care'!$C$7:$C$762&gt;=Lists!$AE4)*('Prenatal Care'!$C$7:$C$762&lt;=Lists!$AF4))</f>
        <v>0</v>
      </c>
      <c r="AR10" s="170">
        <f t="shared" si="13"/>
        <v>0</v>
      </c>
      <c r="AS10" s="466">
        <f>SUMPRODUCT(('Prenatal Care'!$M$7:$M$762=AS$6)*('Prenatal Care'!$C$7:$C$762&gt;=Lists!$AE4)*('Prenatal Care'!$C$7:$C$762&lt;=Lists!$AF4))</f>
        <v>0</v>
      </c>
      <c r="AT10" s="467">
        <f>SUMPRODUCT(('Prenatal Care'!$M$7:$M$762=AT$6)*('Prenatal Care'!$C$7:$C$762&gt;=Lists!$AE4)*('Prenatal Care'!$C$7:$C$762&lt;=Lists!$AF4))</f>
        <v>0</v>
      </c>
      <c r="AU10" s="467">
        <f>SUMPRODUCT(('Prenatal Care'!$M$7:$M$762=AU$6)*('Prenatal Care'!$C$7:$C$762&gt;=Lists!$AE4)*('Prenatal Care'!$C$7:$C$762&lt;=Lists!$AF4))</f>
        <v>0</v>
      </c>
      <c r="AV10" s="498">
        <f>SUMPRODUCT(('Prenatal Care'!$M$7:$M$762=AV$6)*('Prenatal Care'!$C$7:$C$762&gt;=Lists!$AE4)*('Prenatal Care'!$C$7:$C$762&lt;=Lists!$AF4))</f>
        <v>0</v>
      </c>
      <c r="AW10" s="468">
        <f t="shared" si="14"/>
        <v>0</v>
      </c>
      <c r="AX10" s="473">
        <f>SUMPRODUCT(('Prenatal Care'!$N$7:$N$762=AX$6)*('Prenatal Care'!$C$7:$C$762&gt;=Lists!$AE4)*('Prenatal Care'!$C$7:$C$762&lt;=Lists!$AF4))</f>
        <v>0</v>
      </c>
      <c r="AY10" s="470">
        <f>SUMPRODUCT(('Prenatal Care'!$N$7:$N$762=AY$6)*('Prenatal Care'!$C$7:$C$762&gt;=Lists!$AE4)*('Prenatal Care'!$C$7:$C$762&lt;=Lists!$AF4))</f>
        <v>0</v>
      </c>
      <c r="AZ10" s="470">
        <f>SUMPRODUCT(('Prenatal Care'!$N$7:$N$762=AZ$6)*('Prenatal Care'!$C$7:$C$762&gt;=Lists!$AE4)*('Prenatal Care'!$C$7:$C$762&lt;=Lists!$AF4))</f>
        <v>0</v>
      </c>
      <c r="BA10" s="470">
        <f>SUMPRODUCT(('Prenatal Care'!$N$7:$N$762=BA$6)*('Prenatal Care'!$C$7:$C$762&gt;=Lists!$AE4)*('Prenatal Care'!$C$7:$C$762&lt;=Lists!$AF4))</f>
        <v>0</v>
      </c>
      <c r="BB10" s="475">
        <f>SUMPRODUCT(('Prenatal Care'!$N$7:$N$762=BB$6)*('Prenatal Care'!$C$7:$C$762&gt;=Lists!$AE4)*('Prenatal Care'!$C$7:$C$762&lt;=Lists!$AF4))</f>
        <v>0</v>
      </c>
      <c r="BC10" s="471">
        <f t="shared" si="15"/>
        <v>0</v>
      </c>
      <c r="BD10" s="473">
        <f>SUMPRODUCT(('Prenatal Care'!$O$7:$O$762=BD$6)*('Prenatal Care'!$C$7:$C$762&gt;=Lists!$AE4)*('Prenatal Care'!$C$7:$C$762&lt;=Lists!$AF4))</f>
        <v>0</v>
      </c>
      <c r="BE10" s="470">
        <f>SUMPRODUCT(('Prenatal Care'!$O$7:$O$762=BE$6)*('Prenatal Care'!$C$7:$C$762&gt;=Lists!$AE4)*('Prenatal Care'!$C$7:$C$762&lt;=Lists!$AF4))</f>
        <v>0</v>
      </c>
      <c r="BF10" s="470">
        <f>SUMPRODUCT(('Prenatal Care'!$O$7:$O$762=BF$6)*('Prenatal Care'!$C$7:$C$762&gt;=Lists!$AE4)*('Prenatal Care'!$C$7:$C$762&lt;=Lists!$AF4))</f>
        <v>0</v>
      </c>
      <c r="BG10" s="470">
        <f>SUMPRODUCT(('Prenatal Care'!$O$7:$O$762=BG$6)*('Prenatal Care'!$C$7:$C$762&gt;=Lists!$AE4)*('Prenatal Care'!$C$7:$C$762&lt;=Lists!$AF4))</f>
        <v>0</v>
      </c>
      <c r="BH10" s="470">
        <f>SUMPRODUCT(('Prenatal Care'!$O$7:$O$762=BH$6)*('Prenatal Care'!$C$7:$C$762&gt;=Lists!$AE4)*('Prenatal Care'!$C$7:$C$762&lt;=Lists!$AF4))</f>
        <v>0</v>
      </c>
      <c r="BI10" s="475">
        <f>SUMPRODUCT(('Prenatal Care'!$O$7:$O$762=BI$6)*('Prenatal Care'!$C$7:$C$762&gt;=Lists!$AE4)*('Prenatal Care'!$C$7:$C$762&lt;=Lists!$AF4))</f>
        <v>0</v>
      </c>
      <c r="BJ10" s="471">
        <f t="shared" si="16"/>
        <v>0</v>
      </c>
      <c r="BK10" s="473">
        <f>SUMPRODUCT(('Prenatal Care'!$P$7:$P$762=BK$6)*('Prenatal Care'!$C$7:$C$762&gt;=Lists!$AE4)*('Prenatal Care'!$C$7:$C$762&lt;=Lists!$AF4))</f>
        <v>0</v>
      </c>
      <c r="BL10" s="470">
        <f>SUMPRODUCT(('Prenatal Care'!$P$7:$P$762=BL$6)*('Prenatal Care'!$C$7:$C$762&gt;=Lists!$AE4)*('Prenatal Care'!$C$7:$C$762&lt;=Lists!$AF4))</f>
        <v>0</v>
      </c>
      <c r="BM10" s="470">
        <f>SUMPRODUCT(('Prenatal Care'!$P$7:$P$762=BM$6)*('Prenatal Care'!$C$7:$C$762&gt;=Lists!$AE4)*('Prenatal Care'!$C$7:$C$762&lt;=Lists!$AF4))</f>
        <v>0</v>
      </c>
      <c r="BN10" s="470">
        <f>SUMPRODUCT(('Prenatal Care'!$P$7:$P$762=BN$6)*('Prenatal Care'!$C$7:$C$762&gt;=Lists!$AE4)*('Prenatal Care'!$C$7:$C$762&lt;=Lists!$AF4))</f>
        <v>0</v>
      </c>
      <c r="BO10" s="475">
        <f>SUMPRODUCT(('Prenatal Care'!$P$7:$P$762=BO$6)*('Prenatal Care'!$C$7:$C$762&gt;=Lists!$AE4)*('Prenatal Care'!$C$7:$C$762&lt;=Lists!$AF4))</f>
        <v>0</v>
      </c>
      <c r="BP10" s="471">
        <f t="shared" si="0"/>
        <v>0</v>
      </c>
      <c r="BQ10" s="473">
        <f>SUMPRODUCT(('Prenatal Care'!$Q$7:$Q$762=BQ$6)*('Prenatal Care'!$C$7:$C$762&gt;=Lists!$AE4)*('Prenatal Care'!$C$7:$C$762&lt;=Lists!$AF4))</f>
        <v>0</v>
      </c>
      <c r="BR10" s="470">
        <f>SUMPRODUCT(('Prenatal Care'!$Q$7:$Q$762=BR$6)*('Prenatal Care'!$C$7:$C$762&gt;=Lists!$AE4)*('Prenatal Care'!$C$7:$C$762&lt;=Lists!$AF4))</f>
        <v>0</v>
      </c>
      <c r="BS10" s="470">
        <f>SUMPRODUCT(('Prenatal Care'!$Q$7:$Q$762=BS$6)*('Prenatal Care'!$C$7:$C$762&gt;=Lists!$AE4)*('Prenatal Care'!$C$7:$C$762&lt;=Lists!$AF4))</f>
        <v>0</v>
      </c>
      <c r="BT10" s="470">
        <f>SUMPRODUCT(('Prenatal Care'!$Q$7:$Q$762=BT$6)*('Prenatal Care'!$C$7:$C$762&gt;=Lists!$AE4)*('Prenatal Care'!$C$7:$C$762&lt;=Lists!$AF4))</f>
        <v>0</v>
      </c>
      <c r="BU10" s="470">
        <f>SUMPRODUCT(('Prenatal Care'!$Q$7:$Q$762=BU$6)*('Prenatal Care'!$C$7:$C$762&gt;=Lists!$AE4)*('Prenatal Care'!$C$7:$C$762&lt;=Lists!$AF4))</f>
        <v>0</v>
      </c>
      <c r="BV10" s="475">
        <f>SUMPRODUCT(('Prenatal Care'!$Q$7:$Q$762=BV$6)*('Prenatal Care'!$C$7:$C$762&gt;=Lists!$AE4)*('Prenatal Care'!$C$7:$C$762&lt;=Lists!$AF4))</f>
        <v>0</v>
      </c>
      <c r="BW10" s="472">
        <f t="shared" si="1"/>
        <v>0</v>
      </c>
      <c r="BX10" s="473">
        <f>SUMPRODUCT(('Prenatal Care'!$R$7:$R$762=BX$6)*('Prenatal Care'!$C$7:$C$762&gt;=Lists!$AE4)*('Prenatal Care'!$C$7:$C$762&lt;=Lists!$AF4))</f>
        <v>0</v>
      </c>
      <c r="BY10" s="470">
        <f>SUMPRODUCT(('Prenatal Care'!$R$7:$R$762=BY$6)*('Prenatal Care'!$C$7:$C$762&gt;=Lists!$AE4)*('Prenatal Care'!$C$7:$C$762&lt;=Lists!$AF4))</f>
        <v>0</v>
      </c>
      <c r="BZ10" s="470">
        <f>SUMPRODUCT(('Prenatal Care'!$R$7:$R$762=BZ$6)*('Prenatal Care'!$C$7:$C$762&gt;=Lists!$AE4)*('Prenatal Care'!$C$7:$C$762&lt;=Lists!$AF4))</f>
        <v>0</v>
      </c>
      <c r="CA10" s="470">
        <f>SUMPRODUCT(('Prenatal Care'!$R$7:$R$762=CA$6)*('Prenatal Care'!$C$7:$C$762&gt;=Lists!$AE4)*('Prenatal Care'!$C$7:$C$762&lt;=Lists!$AF4))</f>
        <v>0</v>
      </c>
      <c r="CB10" s="475">
        <f>SUMPRODUCT(('Prenatal Care'!$R$7:$R$762=CB$6)*('Prenatal Care'!$C$7:$C$762&gt;=Lists!$AE4)*('Prenatal Care'!$C$7:$C$762&lt;=Lists!$AF4))</f>
        <v>0</v>
      </c>
      <c r="CC10" s="471">
        <f t="shared" si="17"/>
        <v>0</v>
      </c>
      <c r="CD10" s="469">
        <f>SUMPRODUCT(('Prenatal Care'!$S$7:$S$762=CD$6)*('Prenatal Care'!$C$7:$C$762&gt;=Lists!$AE4)*('Prenatal Care'!$C$7:$C$762&lt;=Lists!$AF4))</f>
        <v>0</v>
      </c>
      <c r="CE10" s="473">
        <f>SUMPRODUCT(('Prenatal Care'!$S$7:$S$762=CE$6)*('Prenatal Care'!$C$7:$C$762&gt;=Lists!$AE4)*('Prenatal Care'!$C$7:$C$762&lt;=Lists!$AF4))</f>
        <v>0</v>
      </c>
      <c r="CF10" s="470">
        <f>SUMPRODUCT(('Prenatal Care'!$S$7:$S$762=CF$6)*('Prenatal Care'!$C$7:$C$762&gt;=Lists!$AE4)*('Prenatal Care'!$C$7:$C$762&lt;=Lists!$AF4))</f>
        <v>0</v>
      </c>
      <c r="CG10" s="470">
        <f>SUMPRODUCT(('Prenatal Care'!$S$7:$S$762=CG$6)*('Prenatal Care'!$C$7:$C$762&gt;=Lists!$AE4)*('Prenatal Care'!$C$7:$C$762&lt;=Lists!$AF4))</f>
        <v>0</v>
      </c>
      <c r="CH10" s="470">
        <f>SUMPRODUCT(('Prenatal Care'!$S$7:$S$762=CH$6)*('Prenatal Care'!$C$7:$C$762&gt;=Lists!$AE4)*('Prenatal Care'!$C$7:$C$762&lt;=Lists!$AF4))</f>
        <v>0</v>
      </c>
      <c r="CI10" s="470">
        <f>SUMPRODUCT(('Prenatal Care'!$S$7:$S$762=CI$6)*('Prenatal Care'!$C$7:$C$762&gt;=Lists!$AE4)*('Prenatal Care'!$C$7:$C$762&lt;=Lists!$AF4))</f>
        <v>0</v>
      </c>
      <c r="CJ10" s="470">
        <f>SUMPRODUCT(('Prenatal Care'!$S$7:$S$762=CJ$6)*('Prenatal Care'!$C$7:$C$762&gt;=Lists!$AE4)*('Prenatal Care'!$C$7:$C$762&lt;=Lists!$AF4))</f>
        <v>0</v>
      </c>
      <c r="CK10" s="470">
        <f>SUMPRODUCT(('Prenatal Care'!$S$7:$S$762=CK$6)*('Prenatal Care'!$C$7:$C$762&gt;=Lists!$AE4)*('Prenatal Care'!$C$7:$C$762&lt;=Lists!$AF4))</f>
        <v>0</v>
      </c>
      <c r="CL10" s="470">
        <f>SUMPRODUCT(('Prenatal Care'!$S$7:$S$762=CL$6)*('Prenatal Care'!$C$7:$C$762&gt;=Lists!$AE4)*('Prenatal Care'!$C$7:$C$762&lt;=Lists!$AF4))</f>
        <v>0</v>
      </c>
      <c r="CM10" s="475">
        <f>SUMPRODUCT(('Prenatal Care'!$S$7:$S$762=CM$6)*('Prenatal Care'!$C$7:$C$762&gt;=Lists!$AE4)*('Prenatal Care'!$C$7:$C$762&lt;=Lists!$AF4))</f>
        <v>0</v>
      </c>
      <c r="CN10" s="471">
        <f t="shared" si="18"/>
        <v>0</v>
      </c>
      <c r="CO10" s="473">
        <f>SUMPRODUCT(('Prenatal Care'!$T$7:$T$762=CO$6)*('Prenatal Care'!$C$7:$C$762&gt;=Lists!$AE4)*('Prenatal Care'!$C$7:$C$762&lt;=Lists!$AF4))</f>
        <v>0</v>
      </c>
      <c r="CP10" s="470">
        <f>SUMPRODUCT(('Prenatal Care'!$T$7:$T$762=CP$6)*('Prenatal Care'!$C$7:$C$762&gt;=Lists!$AE4)*('Prenatal Care'!$C$7:$C$762&lt;=Lists!$AF4))</f>
        <v>0</v>
      </c>
      <c r="CQ10" s="475">
        <f>SUMPRODUCT(('Prenatal Care'!$T$7:$T$762=CQ$6)*('Prenatal Care'!$C$7:$C$762&gt;=Lists!$AE4)*('Prenatal Care'!$C$7:$C$762&lt;=Lists!$AF4))</f>
        <v>0</v>
      </c>
      <c r="CR10" s="471">
        <f t="shared" si="19"/>
        <v>0</v>
      </c>
      <c r="CS10" s="505">
        <f>SUMPRODUCT(('Prenatal Care'!$U$7:$U$762=CS$6)*('Prenatal Care'!$C$7:$C$762&gt;=Lists!$AE4)*('Prenatal Care'!$C$7:$C$762&lt;=Lists!$AF4))</f>
        <v>0</v>
      </c>
      <c r="CT10" s="506">
        <f>SUMPRODUCT(('Prenatal Care'!$U$7:$U$762=CT$6)*('Prenatal Care'!$C$7:$C$762&gt;=Lists!$AE4)*('Prenatal Care'!$C$7:$C$762&lt;=Lists!$AF4))</f>
        <v>0</v>
      </c>
      <c r="CU10" s="506">
        <f>SUMPRODUCT(('Prenatal Care'!$U$7:$U$762=CU$6)*('Prenatal Care'!$C$7:$C$762&gt;=Lists!$AE4)*('Prenatal Care'!$C$7:$C$762&lt;=Lists!$AF4))</f>
        <v>0</v>
      </c>
      <c r="CV10" s="506">
        <f>SUMPRODUCT(('Prenatal Care'!$U$7:$U$762=CV$6)*('Prenatal Care'!$C$7:$C$762&gt;=Lists!$AE4)*('Prenatal Care'!$C$7:$C$762&lt;=Lists!$AF4))</f>
        <v>0</v>
      </c>
      <c r="CW10" s="506">
        <f>SUMPRODUCT(('Prenatal Care'!$U$7:$U$762=CW$6)*('Prenatal Care'!$C$7:$C$762&gt;=Lists!$AE4)*('Prenatal Care'!$C$7:$C$762&lt;=Lists!$AF4))</f>
        <v>0</v>
      </c>
      <c r="CX10" s="506">
        <f>SUMPRODUCT(('Prenatal Care'!$U$7:$U$762=CX$6)*('Prenatal Care'!$C$7:$C$762&gt;=Lists!$AE4)*('Prenatal Care'!$C$7:$C$762&lt;=Lists!$AF4))</f>
        <v>0</v>
      </c>
      <c r="CY10" s="506">
        <f>SUMPRODUCT(('Prenatal Care'!$U$7:$U$762=CY$6)*('Prenatal Care'!$C$7:$C$762&gt;=Lists!$AE4)*('Prenatal Care'!$C$7:$C$762&lt;=Lists!$AF4))</f>
        <v>0</v>
      </c>
      <c r="CZ10" s="506">
        <f>SUMPRODUCT(('Prenatal Care'!$U$7:$U$762=CZ$6)*('Prenatal Care'!$C$7:$C$762&gt;=Lists!$AE4)*('Prenatal Care'!$C$7:$C$762&lt;=Lists!$AF4))</f>
        <v>0</v>
      </c>
      <c r="DA10" s="506">
        <f>SUMPRODUCT(('Prenatal Care'!$U$7:$U$762=DA$6)*('Prenatal Care'!$C$7:$C$762&gt;=Lists!$AE4)*('Prenatal Care'!$C$7:$C$762&lt;=Lists!$AF4))</f>
        <v>0</v>
      </c>
      <c r="DB10" s="507">
        <f>SUMPRODUCT(('Prenatal Care'!$U$7:$U$762=DB$6)*('Prenatal Care'!$C$7:$C$762&gt;=Lists!$AE4)*('Prenatal Care'!$C$7:$C$762&lt;=Lists!$AF4))</f>
        <v>0</v>
      </c>
      <c r="DC10" s="471">
        <f t="shared" si="20"/>
        <v>0</v>
      </c>
      <c r="DD10" s="469">
        <f>SUMPRODUCT(('Prenatal Care'!$V$7:$V$762=DD$6)*('Prenatal Care'!$C$7:$C$762&gt;=Lists!$AE4)*('Prenatal Care'!$C$7:$C$762&lt;=Lists!$AF4))</f>
        <v>0</v>
      </c>
      <c r="DE10" s="470">
        <f>SUMPRODUCT(('Prenatal Care'!$V$7:$V$762=DE$6)*('Prenatal Care'!$C$7:$C$762&gt;=Lists!$AE4)*('Prenatal Care'!$C$7:$C$762&lt;=Lists!$AF4))</f>
        <v>0</v>
      </c>
      <c r="DF10" s="470">
        <f>SUMPRODUCT(('Prenatal Care'!$V$7:$V$762=DF$6)*('Prenatal Care'!$C$7:$C$762&gt;=Lists!$AE4)*('Prenatal Care'!$C$7:$C$762&lt;=Lists!$AF4))</f>
        <v>0</v>
      </c>
      <c r="DG10" s="475">
        <f>SUMPRODUCT(('Prenatal Care'!$V$7:$V$762=DG$6)*('Prenatal Care'!$C$7:$C$762&gt;=Lists!$AE4)*('Prenatal Care'!$C$7:$C$762&lt;=Lists!$AF4))</f>
        <v>0</v>
      </c>
      <c r="DH10" s="471">
        <f t="shared" si="21"/>
        <v>0</v>
      </c>
      <c r="DI10" s="473">
        <f>SUMPRODUCT(('Prenatal Care'!$W$7:$W$762=DI$6)*('Prenatal Care'!$C$7:$C$762&gt;=Lists!$AE4)*('Prenatal Care'!$C$7:$C$762&lt;=Lists!$AF4))</f>
        <v>0</v>
      </c>
      <c r="DJ10" s="470">
        <f>SUMPRODUCT(('Prenatal Care'!$W$7:$W$762=DJ$6)*('Prenatal Care'!$C$7:$C$762&gt;=Lists!$AE4)*('Prenatal Care'!$C$7:$C$762&lt;=Lists!$AF4))</f>
        <v>0</v>
      </c>
      <c r="DK10" s="470">
        <f>SUMPRODUCT(('Prenatal Care'!$W$7:$W$762=DK$6)*('Prenatal Care'!$C$7:$C$762&gt;=Lists!$AE4)*('Prenatal Care'!$C$7:$C$762&lt;=Lists!$AF4))</f>
        <v>0</v>
      </c>
      <c r="DL10" s="470">
        <f>SUMPRODUCT(('Prenatal Care'!$W$7:$W$762=DL$6)*('Prenatal Care'!$C$7:$C$762&gt;=Lists!$AE4)*('Prenatal Care'!$C$7:$C$762&lt;=Lists!$AF4))</f>
        <v>0</v>
      </c>
      <c r="DM10" s="470">
        <f>SUMPRODUCT(('Prenatal Care'!$W$7:$W$762=DM$6)*('Prenatal Care'!$C$7:$C$762&gt;=Lists!$AE4)*('Prenatal Care'!$C$7:$C$762&lt;=Lists!$AF4))</f>
        <v>0</v>
      </c>
      <c r="DN10" s="470">
        <f>SUMPRODUCT(('Prenatal Care'!$W$7:$W$762=DN$6)*('Prenatal Care'!$C$7:$C$762&gt;=Lists!$AE4)*('Prenatal Care'!$C$7:$C$762&lt;=Lists!$AF4))</f>
        <v>0</v>
      </c>
      <c r="DO10" s="470">
        <f>SUMPRODUCT(('Prenatal Care'!$W$7:$W$762=DO$6)*('Prenatal Care'!$C$7:$C$762&gt;=Lists!$AE4)*('Prenatal Care'!$C$7:$C$762&lt;=Lists!$AF4))</f>
        <v>0</v>
      </c>
      <c r="DP10" s="470">
        <f>SUMPRODUCT(('Prenatal Care'!$W$7:$W$762=DP$6)*('Prenatal Care'!$C$7:$C$762&gt;=Lists!$AE4)*('Prenatal Care'!$C$7:$C$762&lt;=Lists!$AF4))</f>
        <v>0</v>
      </c>
      <c r="DQ10" s="470">
        <f>SUMPRODUCT(('Prenatal Care'!$W$7:$W$762=DQ$6)*('Prenatal Care'!$C$7:$C$762&gt;=Lists!$AE4)*('Prenatal Care'!$C$7:$C$762&lt;=Lists!$AF4))</f>
        <v>0</v>
      </c>
      <c r="DR10" s="470">
        <f>SUMPRODUCT(('Prenatal Care'!$W$7:$W$762=DR$6)*('Prenatal Care'!$C$7:$C$762&gt;=Lists!$AE4)*('Prenatal Care'!$C$7:$C$762&lt;=Lists!$AF4))</f>
        <v>0</v>
      </c>
      <c r="DS10" s="470">
        <f>SUMPRODUCT(('Prenatal Care'!$W$7:$W$762=DS$6)*('Prenatal Care'!$C$7:$C$762&gt;=Lists!$AE4)*('Prenatal Care'!$C$7:$C$762&lt;=Lists!$AF4))</f>
        <v>0</v>
      </c>
      <c r="DT10" s="470">
        <f>SUMPRODUCT(('Prenatal Care'!$W$7:$W$762=DT$6)*('Prenatal Care'!$C$7:$C$762&gt;=Lists!$AE4)*('Prenatal Care'!$C$7:$C$762&lt;=Lists!$AF4))</f>
        <v>0</v>
      </c>
      <c r="DU10" s="470">
        <f>SUMPRODUCT(('Prenatal Care'!$W$7:$W$762=DU$6)*('Prenatal Care'!$C$7:$C$762&gt;=Lists!$AE4)*('Prenatal Care'!$C$7:$C$762&lt;=Lists!$AF4))</f>
        <v>0</v>
      </c>
      <c r="DV10" s="470">
        <f>SUMPRODUCT(('Prenatal Care'!$W$7:$W$762=DV$6)*('Prenatal Care'!$C$7:$C$762&gt;=Lists!$AE4)*('Prenatal Care'!$C$7:$C$762&lt;=Lists!$AF4))</f>
        <v>0</v>
      </c>
      <c r="DW10" s="470">
        <f>SUMPRODUCT(('Prenatal Care'!$W$7:$W$762=DW$6)*('Prenatal Care'!$C$7:$C$762&gt;=Lists!$AE4)*('Prenatal Care'!$C$7:$C$762&lt;=Lists!$AF4))</f>
        <v>0</v>
      </c>
      <c r="DX10" s="470">
        <f>SUMPRODUCT(('Prenatal Care'!$W$7:$W$762=DX$6)*('Prenatal Care'!$C$7:$C$762&gt;=Lists!$AE4)*('Prenatal Care'!$C$7:$C$762&lt;=Lists!$AF4))</f>
        <v>0</v>
      </c>
      <c r="DY10" s="470">
        <f>SUMPRODUCT(('Prenatal Care'!$W$7:$W$762=DY$6)*('Prenatal Care'!$C$7:$C$762&gt;=Lists!$AE4)*('Prenatal Care'!$C$7:$C$762&lt;=Lists!$AF4))</f>
        <v>0</v>
      </c>
      <c r="DZ10" s="470">
        <f>SUMPRODUCT(('Prenatal Care'!$W$7:$W$762=DZ$6)*('Prenatal Care'!$C$7:$C$762&gt;=Lists!$AE4)*('Prenatal Care'!$C$7:$C$762&lt;=Lists!$AF4))</f>
        <v>0</v>
      </c>
      <c r="EA10" s="470">
        <f>SUMPRODUCT(('Prenatal Care'!$W$7:$W$762=EA$6)*('Prenatal Care'!$C$7:$C$762&gt;=Lists!$AE4)*('Prenatal Care'!$C$7:$C$762&lt;=Lists!$AF4))</f>
        <v>0</v>
      </c>
      <c r="EB10" s="470">
        <f>SUMPRODUCT(('Prenatal Care'!$W$7:$W$762=EB$6)*('Prenatal Care'!$C$7:$C$762&gt;=Lists!$AE4)*('Prenatal Care'!$C$7:$C$762&lt;=Lists!$AF4))</f>
        <v>0</v>
      </c>
      <c r="EC10" s="470">
        <f>SUMPRODUCT(('Prenatal Care'!$W$7:$W$762=EC$6)*('Prenatal Care'!$C$7:$C$762&gt;=Lists!$AE4)*('Prenatal Care'!$C$7:$C$762&lt;=Lists!$AF4))</f>
        <v>0</v>
      </c>
      <c r="ED10" s="470">
        <f>SUMPRODUCT(('Prenatal Care'!$W$7:$W$762=ED$6)*('Prenatal Care'!$C$7:$C$762&gt;=Lists!$AE4)*('Prenatal Care'!$C$7:$C$762&lt;=Lists!$AF4))</f>
        <v>0</v>
      </c>
      <c r="EE10" s="470">
        <f>SUMPRODUCT(('Prenatal Care'!$W$7:$W$762=EE$6)*('Prenatal Care'!$C$7:$C$762&gt;=Lists!$AE4)*('Prenatal Care'!$C$7:$C$762&lt;=Lists!$AF4))</f>
        <v>0</v>
      </c>
      <c r="EF10" s="470">
        <f>SUMPRODUCT(('Prenatal Care'!$W$7:$W$762=EF$6)*('Prenatal Care'!$C$7:$C$762&gt;=Lists!$AE4)*('Prenatal Care'!$C$7:$C$762&lt;=Lists!$AF4))</f>
        <v>0</v>
      </c>
      <c r="EG10" s="470">
        <f>SUMPRODUCT(('Prenatal Care'!$W$7:$W$762=EG$6)*('Prenatal Care'!$C$7:$C$762&gt;=Lists!$AE4)*('Prenatal Care'!$C$7:$C$762&lt;=Lists!$AF4))</f>
        <v>0</v>
      </c>
      <c r="EH10" s="475">
        <f>SUMPRODUCT(('Prenatal Care'!$W$7:$W$762=EH$6)*('Prenatal Care'!$C$7:$C$762&gt;=Lists!$AE4)*('Prenatal Care'!$C$7:$C$762&lt;=Lists!$AF4))</f>
        <v>0</v>
      </c>
      <c r="EI10" s="471">
        <f t="shared" si="22"/>
        <v>0</v>
      </c>
      <c r="EJ10" s="473">
        <f>SUMPRODUCT(('Prenatal Care'!$X$7:$X$762=EJ$6)*('Prenatal Care'!$C$7:$C$762&gt;=Lists!$AE4)*('Prenatal Care'!$C$7:$C$762&lt;=Lists!$AF4))</f>
        <v>0</v>
      </c>
      <c r="EK10" s="470">
        <f>SUMPRODUCT(('Prenatal Care'!$X$7:$X$762=EK$6)*('Prenatal Care'!$C$7:$C$762&gt;=Lists!$AE4)*('Prenatal Care'!$C$7:$C$762&lt;=Lists!$AF4))</f>
        <v>0</v>
      </c>
      <c r="EL10" s="470">
        <f>SUMPRODUCT(('Prenatal Care'!$X$7:$X$762=EL$6)*('Prenatal Care'!$C$7:$C$762&gt;=Lists!$AE4)*('Prenatal Care'!$C$7:$C$762&lt;=Lists!$AF4))</f>
        <v>0</v>
      </c>
      <c r="EM10" s="470">
        <f>SUMPRODUCT(('Prenatal Care'!$X$7:$X$762=EM$6)*('Prenatal Care'!$C$7:$C$762&gt;=Lists!$AE4)*('Prenatal Care'!$C$7:$C$762&lt;=Lists!$AF4))</f>
        <v>0</v>
      </c>
      <c r="EN10" s="470">
        <f>SUMPRODUCT(('Prenatal Care'!$X$7:$X$762=EN$6)*('Prenatal Care'!$C$7:$C$762&gt;=Lists!$AE4)*('Prenatal Care'!$C$7:$C$762&lt;=Lists!$AF4))</f>
        <v>0</v>
      </c>
      <c r="EO10" s="470">
        <f>SUMPRODUCT(('Prenatal Care'!$X$7:$X$762=EO$6)*('Prenatal Care'!$C$7:$C$762&gt;=Lists!$AE4)*('Prenatal Care'!$C$7:$C$762&lt;=Lists!$AF4))</f>
        <v>0</v>
      </c>
      <c r="EP10" s="470">
        <f>SUMPRODUCT(('Prenatal Care'!$X$7:$X$762=EP$6)*('Prenatal Care'!$C$7:$C$762&gt;=Lists!$AE4)*('Prenatal Care'!$C$7:$C$762&lt;=Lists!$AF4))</f>
        <v>0</v>
      </c>
      <c r="EQ10" s="470">
        <f>SUMPRODUCT(('Prenatal Care'!$X$7:$X$762=EQ$6)*('Prenatal Care'!$C$7:$C$762&gt;=Lists!$AE4)*('Prenatal Care'!$C$7:$C$762&lt;=Lists!$AF4))</f>
        <v>0</v>
      </c>
      <c r="ER10" s="470">
        <f>SUMPRODUCT(('Prenatal Care'!$X$7:$X$762=ER$6)*('Prenatal Care'!$C$7:$C$762&gt;=Lists!$AE4)*('Prenatal Care'!$C$7:$C$762&lt;=Lists!$AF4))</f>
        <v>0</v>
      </c>
      <c r="ES10" s="470">
        <f>SUMPRODUCT(('Prenatal Care'!$X$7:$X$762=ES$6)*('Prenatal Care'!$C$7:$C$762&gt;=Lists!$AE4)*('Prenatal Care'!$C$7:$C$762&lt;=Lists!$AF4))</f>
        <v>0</v>
      </c>
      <c r="ET10" s="470">
        <f>SUMPRODUCT(('Prenatal Care'!$X$7:$X$762=ET$6)*('Prenatal Care'!$C$7:$C$762&gt;=Lists!$AE4)*('Prenatal Care'!$C$7:$C$762&lt;=Lists!$AF4))</f>
        <v>0</v>
      </c>
      <c r="EU10" s="470">
        <f>SUMPRODUCT(('Prenatal Care'!$X$7:$X$762=EU$6)*('Prenatal Care'!$C$7:$C$762&gt;=Lists!$AE4)*('Prenatal Care'!$C$7:$C$762&lt;=Lists!$AF4))</f>
        <v>0</v>
      </c>
      <c r="EV10" s="470">
        <f>SUMPRODUCT(('Prenatal Care'!$X$7:$X$762=EV$6)*('Prenatal Care'!$C$7:$C$762&gt;=Lists!$AE4)*('Prenatal Care'!$C$7:$C$762&lt;=Lists!$AF4))</f>
        <v>0</v>
      </c>
      <c r="EW10" s="470">
        <f>SUMPRODUCT(('Prenatal Care'!$X$7:$X$762=EW$6)*('Prenatal Care'!$C$7:$C$762&gt;=Lists!$AE4)*('Prenatal Care'!$C$7:$C$762&lt;=Lists!$AF4))</f>
        <v>0</v>
      </c>
      <c r="EX10" s="470">
        <f>SUMPRODUCT(('Prenatal Care'!$X$7:$X$762=EX$6)*('Prenatal Care'!$C$7:$C$762&gt;=Lists!$AE4)*('Prenatal Care'!$C$7:$C$762&lt;=Lists!$AF4))</f>
        <v>0</v>
      </c>
      <c r="EY10" s="470">
        <f>SUMPRODUCT(('Prenatal Care'!$X$7:$X$762=EY$6)*('Prenatal Care'!$C$7:$C$762&gt;=Lists!$AE4)*('Prenatal Care'!$C$7:$C$762&lt;=Lists!$AF4))</f>
        <v>0</v>
      </c>
      <c r="EZ10" s="470">
        <f>SUMPRODUCT(('Prenatal Care'!$X$7:$X$762=EZ$6)*('Prenatal Care'!$C$7:$C$762&gt;=Lists!$AE4)*('Prenatal Care'!$C$7:$C$762&lt;=Lists!$AF4))</f>
        <v>0</v>
      </c>
      <c r="FA10" s="470">
        <f>SUMPRODUCT(('Prenatal Care'!$X$7:$X$762=FA$6)*('Prenatal Care'!$C$7:$C$762&gt;=Lists!$AE4)*('Prenatal Care'!$C$7:$C$762&lt;=Lists!$AF4))</f>
        <v>0</v>
      </c>
      <c r="FB10" s="470">
        <f>SUMPRODUCT(('Prenatal Care'!$X$7:$X$762=FB$6)*('Prenatal Care'!$C$7:$C$762&gt;=Lists!$AE4)*('Prenatal Care'!$C$7:$C$762&lt;=Lists!$AF4))</f>
        <v>0</v>
      </c>
      <c r="FC10" s="470">
        <f>SUMPRODUCT(('Prenatal Care'!$X$7:$X$762=FC$6)*('Prenatal Care'!$C$7:$C$762&gt;=Lists!$AE4)*('Prenatal Care'!$C$7:$C$762&lt;=Lists!$AF4))</f>
        <v>0</v>
      </c>
      <c r="FD10" s="470">
        <f>SUMPRODUCT(('Prenatal Care'!$X$7:$X$762=FD$6)*('Prenatal Care'!$C$7:$C$762&gt;=Lists!$AE4)*('Prenatal Care'!$C$7:$C$762&lt;=Lists!$AF4))</f>
        <v>0</v>
      </c>
      <c r="FE10" s="470">
        <f>SUMPRODUCT(('Prenatal Care'!$X$7:$X$762=FE$6)*('Prenatal Care'!$C$7:$C$762&gt;=Lists!$AE4)*('Prenatal Care'!$C$7:$C$762&lt;=Lists!$AF4))</f>
        <v>0</v>
      </c>
      <c r="FF10" s="470">
        <f>SUMPRODUCT(('Prenatal Care'!$X$7:$X$762=FF$6)*('Prenatal Care'!$C$7:$C$762&gt;=Lists!$AE4)*('Prenatal Care'!$C$7:$C$762&lt;=Lists!$AF4))</f>
        <v>0</v>
      </c>
      <c r="FG10" s="470">
        <f>SUMPRODUCT(('Prenatal Care'!$X$7:$X$762=FG$6)*('Prenatal Care'!$C$7:$C$762&gt;=Lists!$AE4)*('Prenatal Care'!$C$7:$C$762&lt;=Lists!$AF4))</f>
        <v>0</v>
      </c>
      <c r="FH10" s="470">
        <f>SUMPRODUCT(('Prenatal Care'!$X$7:$X$762=FH$6)*('Prenatal Care'!$C$7:$C$762&gt;=Lists!$AE4)*('Prenatal Care'!$C$7:$C$762&lt;=Lists!$AF4))</f>
        <v>0</v>
      </c>
      <c r="FI10" s="475">
        <f>SUMPRODUCT(('Prenatal Care'!$X$7:$X$762=FI$6)*('Prenatal Care'!$C$7:$C$762&gt;=Lists!$AE4)*('Prenatal Care'!$C$7:$C$762&lt;=Lists!$AF4))</f>
        <v>0</v>
      </c>
      <c r="FJ10" s="471">
        <f t="shared" si="23"/>
        <v>0</v>
      </c>
      <c r="FK10" s="473">
        <f>SUMPRODUCT(('Prenatal Care'!$Y$7:$Y$762=FK$6)*('Prenatal Care'!$C$7:$C$762&gt;=Lists!$AE4)*('Prenatal Care'!$C$7:$C$762&lt;=Lists!$AF4))</f>
        <v>0</v>
      </c>
      <c r="FL10" s="470">
        <f>SUMPRODUCT(('Prenatal Care'!$Y$7:$Y$762=FL$6)*('Prenatal Care'!$C$7:$C$762&gt;=Lists!$AE4)*('Prenatal Care'!$C$7:$C$762&lt;=Lists!$AF4))</f>
        <v>0</v>
      </c>
      <c r="FM10" s="470">
        <f>SUMPRODUCT(('Prenatal Care'!$Y$7:$Y$762=FM$6)*('Prenatal Care'!$C$7:$C$762&gt;=Lists!$AE4)*('Prenatal Care'!$C$7:$C$762&lt;=Lists!$AF4))</f>
        <v>0</v>
      </c>
      <c r="FN10" s="470">
        <f>SUMPRODUCT(('Prenatal Care'!$Y$7:$Y$762=FN$6)*('Prenatal Care'!$C$7:$C$762&gt;=Lists!$AE4)*('Prenatal Care'!$C$7:$C$762&lt;=Lists!$AF4))</f>
        <v>0</v>
      </c>
      <c r="FO10" s="470">
        <f>SUMPRODUCT(('Prenatal Care'!$Y$7:$Y$762=FO$6)*('Prenatal Care'!$C$7:$C$762&gt;=Lists!$AE4)*('Prenatal Care'!$C$7:$C$762&lt;=Lists!$AF4))</f>
        <v>0</v>
      </c>
      <c r="FP10" s="470">
        <f>SUMPRODUCT(('Prenatal Care'!$Y$7:$Y$762=FP$6)*('Prenatal Care'!$C$7:$C$762&gt;=Lists!$AE4)*('Prenatal Care'!$C$7:$C$762&lt;=Lists!$AF4))</f>
        <v>0</v>
      </c>
      <c r="FQ10" s="470">
        <f>SUMPRODUCT(('Prenatal Care'!$Y$7:$Y$762=FQ$6)*('Prenatal Care'!$C$7:$C$762&gt;=Lists!$AE4)*('Prenatal Care'!$C$7:$C$762&lt;=Lists!$AF4))</f>
        <v>0</v>
      </c>
      <c r="FR10" s="470">
        <f>SUMPRODUCT(('Prenatal Care'!$Y$7:$Y$762=FR$6)*('Prenatal Care'!$C$7:$C$762&gt;=Lists!$AE4)*('Prenatal Care'!$C$7:$C$762&lt;=Lists!$AF4))</f>
        <v>0</v>
      </c>
      <c r="FS10" s="470">
        <f>SUMPRODUCT(('Prenatal Care'!$Y$7:$Y$762=FS$6)*('Prenatal Care'!$C$7:$C$762&gt;=Lists!$AE4)*('Prenatal Care'!$C$7:$C$762&lt;=Lists!$AF4))</f>
        <v>0</v>
      </c>
      <c r="FT10" s="470">
        <f>SUMPRODUCT(('Prenatal Care'!$Y$7:$Y$762=FT$6)*('Prenatal Care'!$C$7:$C$762&gt;=Lists!$AE4)*('Prenatal Care'!$C$7:$C$762&lt;=Lists!$AF4))</f>
        <v>0</v>
      </c>
      <c r="FU10" s="470">
        <f>SUMPRODUCT(('Prenatal Care'!$Y$7:$Y$762=FU$6)*('Prenatal Care'!$C$7:$C$762&gt;=Lists!$AE4)*('Prenatal Care'!$C$7:$C$762&lt;=Lists!$AF4))</f>
        <v>0</v>
      </c>
      <c r="FV10" s="470">
        <f>SUMPRODUCT(('Prenatal Care'!$Y$7:$Y$762=FV$6)*('Prenatal Care'!$C$7:$C$762&gt;=Lists!$AE4)*('Prenatal Care'!$C$7:$C$762&lt;=Lists!$AF4))</f>
        <v>0</v>
      </c>
      <c r="FW10" s="470">
        <f>SUMPRODUCT(('Prenatal Care'!$Y$7:$Y$762=FW$6)*('Prenatal Care'!$C$7:$C$762&gt;=Lists!$AE4)*('Prenatal Care'!$C$7:$C$762&lt;=Lists!$AF4))</f>
        <v>0</v>
      </c>
      <c r="FX10" s="470">
        <f>SUMPRODUCT(('Prenatal Care'!$Y$7:$Y$762=FX$6)*('Prenatal Care'!$C$7:$C$762&gt;=Lists!$AE4)*('Prenatal Care'!$C$7:$C$762&lt;=Lists!$AF4))</f>
        <v>0</v>
      </c>
      <c r="FY10" s="470">
        <f>SUMPRODUCT(('Prenatal Care'!$Y$7:$Y$762=FY$6)*('Prenatal Care'!$C$7:$C$762&gt;=Lists!$AE4)*('Prenatal Care'!$C$7:$C$762&lt;=Lists!$AF4))</f>
        <v>0</v>
      </c>
      <c r="FZ10" s="470">
        <f>SUMPRODUCT(('Prenatal Care'!$Y$7:$Y$762=FZ$6)*('Prenatal Care'!$C$7:$C$762&gt;=Lists!$AE4)*('Prenatal Care'!$C$7:$C$762&lt;=Lists!$AF4))</f>
        <v>0</v>
      </c>
      <c r="GA10" s="470">
        <f>SUMPRODUCT(('Prenatal Care'!$Y$7:$Y$762=GA$6)*('Prenatal Care'!$C$7:$C$762&gt;=Lists!$AE4)*('Prenatal Care'!$C$7:$C$762&lt;=Lists!$AF4))</f>
        <v>0</v>
      </c>
      <c r="GB10" s="470">
        <f>SUMPRODUCT(('Prenatal Care'!$Y$7:$Y$762=GB$6)*('Prenatal Care'!$C$7:$C$762&gt;=Lists!$AE4)*('Prenatal Care'!$C$7:$C$762&lt;=Lists!$AF4))</f>
        <v>0</v>
      </c>
      <c r="GC10" s="470">
        <f>SUMPRODUCT(('Prenatal Care'!$Y$7:$Y$762=GC$6)*('Prenatal Care'!$C$7:$C$762&gt;=Lists!$AE4)*('Prenatal Care'!$C$7:$C$762&lt;=Lists!$AF4))</f>
        <v>0</v>
      </c>
      <c r="GD10" s="470">
        <f>SUMPRODUCT(('Prenatal Care'!$Y$7:$Y$762=GD$6)*('Prenatal Care'!$C$7:$C$762&gt;=Lists!$AE4)*('Prenatal Care'!$C$7:$C$762&lt;=Lists!$AF4))</f>
        <v>0</v>
      </c>
      <c r="GE10" s="470">
        <f>SUMPRODUCT(('Prenatal Care'!$Y$7:$Y$762=GE$6)*('Prenatal Care'!$C$7:$C$762&gt;=Lists!$AE4)*('Prenatal Care'!$C$7:$C$762&lt;=Lists!$AF4))</f>
        <v>0</v>
      </c>
      <c r="GF10" s="470">
        <f>SUMPRODUCT(('Prenatal Care'!$Y$7:$Y$762=GF$6)*('Prenatal Care'!$C$7:$C$762&gt;=Lists!$AE4)*('Prenatal Care'!$C$7:$C$762&lt;=Lists!$AF4))</f>
        <v>0</v>
      </c>
      <c r="GG10" s="470">
        <f>SUMPRODUCT(('Prenatal Care'!$Y$7:$Y$762=GG$6)*('Prenatal Care'!$C$7:$C$762&gt;=Lists!$AE4)*('Prenatal Care'!$C$7:$C$762&lt;=Lists!$AF4))</f>
        <v>0</v>
      </c>
      <c r="GH10" s="470">
        <f>SUMPRODUCT(('Prenatal Care'!$Y$7:$Y$762=GH$6)*('Prenatal Care'!$C$7:$C$762&gt;=Lists!$AE4)*('Prenatal Care'!$C$7:$C$762&lt;=Lists!$AF4))</f>
        <v>0</v>
      </c>
      <c r="GI10" s="470">
        <f>SUMPRODUCT(('Prenatal Care'!$Y$7:$Y$762=GI$6)*('Prenatal Care'!$C$7:$C$762&gt;=Lists!$AE4)*('Prenatal Care'!$C$7:$C$762&lt;=Lists!$AF4))</f>
        <v>0</v>
      </c>
      <c r="GJ10" s="475">
        <f>SUMPRODUCT(('Prenatal Care'!$Y$7:$Y$762=GJ$6)*('Prenatal Care'!$C$7:$C$762&gt;=Lists!$AE4)*('Prenatal Care'!$C$7:$C$762&lt;=Lists!$AF4))</f>
        <v>0</v>
      </c>
      <c r="GK10" s="471">
        <f t="shared" si="24"/>
        <v>0</v>
      </c>
      <c r="GL10" s="469">
        <f>SUMPRODUCT(('Prenatal Care'!$AA$7:$AA$762=GL$6)*('Prenatal Care'!$C$7:$C$762&gt;=Lists!$AE4)*('Prenatal Care'!$C$7:$C$762&lt;=Lists!$AF4))</f>
        <v>0</v>
      </c>
      <c r="GM10" s="474">
        <f>SUMPRODUCT(('Prenatal Care'!$AA$7:$AA$762=GM$6)*('Prenatal Care'!$C$7:$C$762&gt;=Lists!$AE4)*('Prenatal Care'!$C$7:$C$762&lt;=Lists!$AF4))</f>
        <v>0</v>
      </c>
      <c r="GN10" s="470">
        <f>SUMPRODUCT(('Prenatal Care'!$AA$7:$AA$762=GN$6)*('Prenatal Care'!$C$7:$C$762&gt;=Lists!$AE4)*('Prenatal Care'!$C$7:$C$762&lt;=Lists!$AF4))</f>
        <v>0</v>
      </c>
      <c r="GO10" s="470">
        <f>SUMPRODUCT(('Prenatal Care'!$AA$7:$AA$762=GO$6)*('Prenatal Care'!$C$7:$C$762&gt;=Lists!$AE4)*('Prenatal Care'!$C$7:$C$762&lt;=Lists!$AF4))</f>
        <v>0</v>
      </c>
      <c r="GP10" s="470">
        <f>SUMPRODUCT(('Prenatal Care'!$AA$7:$AA$762=GP$6)*('Prenatal Care'!$C$7:$C$762&gt;=Lists!$AE4)*('Prenatal Care'!$C$7:$C$762&lt;=Lists!$AF4))</f>
        <v>0</v>
      </c>
      <c r="GQ10" s="470">
        <f>SUMPRODUCT(('Prenatal Care'!$AA$7:$AA$762=GQ$6)*('Prenatal Care'!$C$7:$C$762&gt;=Lists!$AE4)*('Prenatal Care'!$C$7:$C$762&lt;=Lists!$AF4))</f>
        <v>0</v>
      </c>
      <c r="GR10" s="470">
        <f>SUMPRODUCT(('Prenatal Care'!$AA$7:$AA$762=GR$6)*('Prenatal Care'!$C$7:$C$762&gt;=Lists!$AE4)*('Prenatal Care'!$C$7:$C$762&lt;=Lists!$AF4))</f>
        <v>0</v>
      </c>
      <c r="GS10" s="470">
        <f>SUMPRODUCT(('Prenatal Care'!$AA$7:$AA$762=GS$6)*('Prenatal Care'!$C$7:$C$762&gt;=Lists!$AE4)*('Prenatal Care'!$C$7:$C$762&lt;=Lists!$AF4))</f>
        <v>0</v>
      </c>
      <c r="GT10" s="470">
        <f>SUMPRODUCT(('Prenatal Care'!$AA$7:$AA$762=GT$6)*('Prenatal Care'!$C$7:$C$762&gt;=Lists!$AE4)*('Prenatal Care'!$C$7:$C$762&lt;=Lists!$AF4))</f>
        <v>0</v>
      </c>
      <c r="GU10" s="470">
        <f>SUMPRODUCT(('Prenatal Care'!$AA$7:$AA$762=GU$6)*('Prenatal Care'!$C$7:$C$762&gt;=Lists!$AE4)*('Prenatal Care'!$C$7:$C$762&lt;=Lists!$AF4))</f>
        <v>0</v>
      </c>
      <c r="GV10" s="470">
        <f>SUMPRODUCT(('Prenatal Care'!$AA$7:$AA$762=GV$6)*('Prenatal Care'!$C$7:$C$762&gt;=Lists!$AE4)*('Prenatal Care'!$C$7:$C$762&lt;=Lists!$AF4))</f>
        <v>0</v>
      </c>
      <c r="GW10" s="470">
        <f>SUMPRODUCT(('Prenatal Care'!$AA$7:$AA$762=GW$6)*('Prenatal Care'!$C$7:$C$762&gt;=Lists!$AE4)*('Prenatal Care'!$C$7:$C$762&lt;=Lists!$AF4))</f>
        <v>0</v>
      </c>
      <c r="GX10" s="475">
        <f>SUMPRODUCT(('Prenatal Care'!$AA$7:$AA$762=GX$6)*('Prenatal Care'!$C$7:$C$762&gt;=Lists!$AE4)*('Prenatal Care'!$C$7:$C$762&lt;=Lists!$AF4))</f>
        <v>0</v>
      </c>
      <c r="GY10" s="471">
        <f t="shared" si="25"/>
        <v>0</v>
      </c>
      <c r="GZ10" s="473">
        <f>SUMPRODUCT(('Prenatal Care'!$AB$7:$AB$762=GZ$6)*('Prenatal Care'!$C$7:$C$762&gt;=Lists!$AE4)*('Prenatal Care'!$C$7:$C$762&lt;=Lists!$AF4))</f>
        <v>0</v>
      </c>
      <c r="HA10" s="470">
        <f>SUMPRODUCT(('Prenatal Care'!$AB$7:$AB$762=HA$6)*('Prenatal Care'!$C$7:$C$762&gt;=Lists!$AE4)*('Prenatal Care'!$C$7:$C$762&lt;=Lists!$AF4))</f>
        <v>0</v>
      </c>
      <c r="HB10" s="470">
        <f>SUMPRODUCT(('Prenatal Care'!$AB$7:$AB$762=HB$6)*('Prenatal Care'!$C$7:$C$762&gt;=Lists!$AE4)*('Prenatal Care'!$C$7:$C$762&lt;=Lists!$AF4))</f>
        <v>0</v>
      </c>
      <c r="HC10" s="470">
        <f>SUMPRODUCT(('Prenatal Care'!$AB$7:$AB$762=HC$6)*('Prenatal Care'!$C$7:$C$762&gt;=Lists!$AE4)*('Prenatal Care'!$C$7:$C$762&lt;=Lists!$AF4))</f>
        <v>0</v>
      </c>
      <c r="HD10" s="470">
        <f>SUMPRODUCT(('Prenatal Care'!$AB$7:$AB$762=HD$6)*('Prenatal Care'!$C$7:$C$762&gt;=Lists!$AE4)*('Prenatal Care'!$C$7:$C$762&lt;=Lists!$AF4))</f>
        <v>0</v>
      </c>
      <c r="HE10" s="470">
        <f>SUMPRODUCT(('Prenatal Care'!$AB$7:$AB$762=HE$6)*('Prenatal Care'!$C$7:$C$762&gt;=Lists!$AE4)*('Prenatal Care'!$C$7:$C$762&lt;=Lists!$AF4))</f>
        <v>0</v>
      </c>
      <c r="HF10" s="470">
        <f>SUMPRODUCT(('Prenatal Care'!$AB$7:$AB$762=HF$6)*('Prenatal Care'!$C$7:$C$762&gt;=Lists!$AE4)*('Prenatal Care'!$C$7:$C$762&lt;=Lists!$AF4))</f>
        <v>0</v>
      </c>
      <c r="HG10" s="470">
        <f>SUMPRODUCT(('Prenatal Care'!$AB$7:$AB$762=HG$6)*('Prenatal Care'!$C$7:$C$762&gt;=Lists!$AE4)*('Prenatal Care'!$C$7:$C$762&lt;=Lists!$AF4))</f>
        <v>0</v>
      </c>
      <c r="HH10" s="470">
        <f>SUMPRODUCT(('Prenatal Care'!$AB$7:$AB$762=HH$6)*('Prenatal Care'!$C$7:$C$762&gt;=Lists!$AE4)*('Prenatal Care'!$C$7:$C$762&lt;=Lists!$AF4))</f>
        <v>0</v>
      </c>
      <c r="HI10" s="470">
        <f>SUMPRODUCT(('Prenatal Care'!$AB$7:$AB$762=HI$6)*('Prenatal Care'!$C$7:$C$762&gt;=Lists!$AE4)*('Prenatal Care'!$C$7:$C$762&lt;=Lists!$AF4))</f>
        <v>0</v>
      </c>
      <c r="HJ10" s="470">
        <f>SUMPRODUCT(('Prenatal Care'!$AB$7:$AB$762=HJ$6)*('Prenatal Care'!$C$7:$C$762&gt;=Lists!$AE4)*('Prenatal Care'!$C$7:$C$762&lt;=Lists!$AF4))</f>
        <v>0</v>
      </c>
      <c r="HK10" s="470">
        <f>SUMPRODUCT(('Prenatal Care'!$AB$7:$AB$762=HK$6)*('Prenatal Care'!$C$7:$C$762&gt;=Lists!$AE4)*('Prenatal Care'!$C$7:$C$762&lt;=Lists!$AF4))</f>
        <v>0</v>
      </c>
      <c r="HL10" s="475">
        <f>SUMPRODUCT(('Prenatal Care'!$AB$7:$AB$762=HL$6)*('Prenatal Care'!$C$7:$C$762&gt;=Lists!$AE4)*('Prenatal Care'!$C$7:$C$762&lt;=Lists!$AF4))</f>
        <v>0</v>
      </c>
      <c r="HM10" s="471">
        <f t="shared" si="26"/>
        <v>0</v>
      </c>
      <c r="HN10" s="458">
        <f>SUMPRODUCT(('Prenatal Care'!$AC$7:$AC$762=HN$6)*('Prenatal Care'!$C$7:$C$762&gt;=Lists!$AE4)*('Prenatal Care'!$C$7:$C$762&lt;=Lists!$AF4))</f>
        <v>0</v>
      </c>
      <c r="HO10" s="459">
        <f>SUMPRODUCT(('Prenatal Care'!$AC$7:$AC$762=HO$6)*('Prenatal Care'!$C$7:$C$762&gt;=Lists!$AE4)*('Prenatal Care'!$C$7:$C$762&lt;=Lists!$AF4))</f>
        <v>0</v>
      </c>
      <c r="HP10" s="459">
        <f>SUMPRODUCT(('Prenatal Care'!$AC$7:$AC$762=HP$6)*('Prenatal Care'!$C$7:$C$762&gt;=Lists!$AE4)*('Prenatal Care'!$C$7:$C$762&lt;=Lists!$AF4))</f>
        <v>0</v>
      </c>
      <c r="HQ10" s="459">
        <f>SUMPRODUCT(('Prenatal Care'!$AC$7:$AC$762=HQ$6)*('Prenatal Care'!$C$7:$C$762&gt;=Lists!$AE4)*('Prenatal Care'!$C$7:$C$762&lt;=Lists!$AF4))</f>
        <v>0</v>
      </c>
      <c r="HR10" s="459">
        <f>SUMPRODUCT(('Prenatal Care'!$AC$7:$AC$762=HR$6)*('Prenatal Care'!$C$7:$C$762&gt;=Lists!$AE4)*('Prenatal Care'!$C$7:$C$762&lt;=Lists!$AF4))</f>
        <v>0</v>
      </c>
      <c r="HS10" s="459">
        <f>SUMPRODUCT(('Prenatal Care'!$AC$7:$AC$762=HS$6)*('Prenatal Care'!$C$7:$C$762&gt;=Lists!$AE4)*('Prenatal Care'!$C$7:$C$762&lt;=Lists!$AF4))</f>
        <v>0</v>
      </c>
      <c r="HT10" s="459">
        <f>SUMPRODUCT(('Prenatal Care'!$AC$7:$AC$762=HT$6)*('Prenatal Care'!$C$7:$C$762&gt;=Lists!$AE4)*('Prenatal Care'!$C$7:$C$762&lt;=Lists!$AF4))</f>
        <v>0</v>
      </c>
      <c r="HU10" s="459">
        <f>SUMPRODUCT(('Prenatal Care'!$AC$7:$AC$762=HU$6)*('Prenatal Care'!$C$7:$C$762&gt;=Lists!$AE4)*('Prenatal Care'!$C$7:$C$762&lt;=Lists!$AF4))</f>
        <v>0</v>
      </c>
      <c r="HV10" s="459">
        <f>SUMPRODUCT(('Prenatal Care'!$AC$7:$AC$762=HV$6)*('Prenatal Care'!$C$7:$C$762&gt;=Lists!$AE4)*('Prenatal Care'!$C$7:$C$762&lt;=Lists!$AF4))</f>
        <v>0</v>
      </c>
      <c r="HW10" s="459">
        <f>SUMPRODUCT(('Prenatal Care'!$AC$7:$AC$762=HW$6)*('Prenatal Care'!$C$7:$C$762&gt;=Lists!$AE4)*('Prenatal Care'!$C$7:$C$762&lt;=Lists!$AF4))</f>
        <v>0</v>
      </c>
      <c r="HX10" s="459">
        <f>SUMPRODUCT(('Prenatal Care'!$AC$7:$AC$762=HX$6)*('Prenatal Care'!$C$7:$C$762&gt;=Lists!$AE4)*('Prenatal Care'!$C$7:$C$762&lt;=Lists!$AF4))</f>
        <v>0</v>
      </c>
      <c r="HY10" s="459">
        <f>SUMPRODUCT(('Prenatal Care'!$AC$7:$AC$762=HY$6)*('Prenatal Care'!$C$7:$C$762&gt;=Lists!$AE4)*('Prenatal Care'!$C$7:$C$762&lt;=Lists!$AF4))</f>
        <v>0</v>
      </c>
      <c r="HZ10" s="460">
        <f>SUMPRODUCT(('Prenatal Care'!$AC$7:$AC$762=HZ$6)*('Prenatal Care'!$C$7:$C$762&gt;=Lists!$AE4)*('Prenatal Care'!$C$7:$C$762&lt;=Lists!$AF4))</f>
        <v>0</v>
      </c>
      <c r="IA10" s="471">
        <f t="shared" si="2"/>
        <v>0</v>
      </c>
      <c r="IB10" s="469">
        <f>SUMPRODUCT(('Prenatal Care'!$AD$7:$AD$762=IB$6)*('Prenatal Care'!$C$7:$C$762&gt;=Lists!$AE4)*('Prenatal Care'!$C$7:$C$762&lt;=Lists!$AF4))</f>
        <v>0</v>
      </c>
      <c r="IC10" s="473">
        <f>SUMPRODUCT(('Prenatal Care'!$AD$7:$AD$762=IC$6)*('Prenatal Care'!$C$7:$C$762&gt;=Lists!$AE4)*('Prenatal Care'!$C$7:$C$762&lt;=Lists!$AF4))</f>
        <v>0</v>
      </c>
      <c r="ID10" s="470">
        <f>SUMPRODUCT(('Prenatal Care'!$AD$7:$AD$762=ID$6)*('Prenatal Care'!$C$7:$C$762&gt;=Lists!$AE4)*('Prenatal Care'!$C$7:$C$762&lt;=Lists!$AF4))</f>
        <v>0</v>
      </c>
      <c r="IE10" s="470">
        <f>SUMPRODUCT(('Prenatal Care'!$AD$7:$AD$762=IE$6)*('Prenatal Care'!$C$7:$C$762&gt;=Lists!$AE4)*('Prenatal Care'!$C$7:$C$762&lt;=Lists!$AF4))</f>
        <v>0</v>
      </c>
      <c r="IF10" s="470">
        <f>SUMPRODUCT(('Prenatal Care'!$AD$7:$AD$762=IF$6)*('Prenatal Care'!$C$7:$C$762&gt;=Lists!$AE4)*('Prenatal Care'!$C$7:$C$762&lt;=Lists!$AF4))</f>
        <v>0</v>
      </c>
      <c r="IG10" s="471">
        <f t="shared" si="3"/>
        <v>0</v>
      </c>
      <c r="IH10" s="464">
        <f>SUMPRODUCT(('Prenatal Care'!$AE$7:$AE$762=IH$6)*('Prenatal Care'!$C$7:$C$762&gt;=Lists!$AE4)*('Prenatal Care'!$C$7:$C$762&lt;=Lists!$AF4))</f>
        <v>0</v>
      </c>
      <c r="II10" s="464">
        <f>SUMPRODUCT(('Prenatal Care'!$AE$7:$AE$762=II$6)*('Prenatal Care'!$C$7:$C$762&gt;=Lists!$AE4)*('Prenatal Care'!$C$7:$C$762&lt;=Lists!$AF4))</f>
        <v>0</v>
      </c>
      <c r="IJ10" s="464">
        <f>SUMPRODUCT(('Prenatal Care'!$AE$7:$AE$762=IJ$6)*('Prenatal Care'!$C$7:$C$762&gt;=Lists!$AE4)*('Prenatal Care'!$C$7:$C$762&lt;=Lists!$AF4))</f>
        <v>0</v>
      </c>
      <c r="IK10" s="464">
        <f>SUMPRODUCT(('Prenatal Care'!$AE$7:$AE$762=IK$6)*('Prenatal Care'!$C$7:$C$762&gt;=Lists!$AE4)*('Prenatal Care'!$C$7:$C$762&lt;=Lists!$AF4))</f>
        <v>0</v>
      </c>
      <c r="IL10" s="464">
        <f>SUMPRODUCT(('Prenatal Care'!$AE$7:$AE$762=IL$6)*('Prenatal Care'!$C$7:$C$762&gt;=Lists!$AE4)*('Prenatal Care'!$C$7:$C$762&lt;=Lists!$AF4))</f>
        <v>0</v>
      </c>
      <c r="IM10" s="464">
        <f>SUMPRODUCT(('Prenatal Care'!$AE$7:$AE$762=IM$6)*('Prenatal Care'!$C$7:$C$762&gt;=Lists!$AE4)*('Prenatal Care'!$C$7:$C$762&lt;=Lists!$AF4))</f>
        <v>0</v>
      </c>
      <c r="IN10" s="464">
        <f>SUMPRODUCT(('Prenatal Care'!$AE$7:$AE$762=IN$6)*('Prenatal Care'!$C$7:$C$762&gt;=Lists!$AE4)*('Prenatal Care'!$C$7:$C$762&lt;=Lists!$AF4))</f>
        <v>0</v>
      </c>
      <c r="IO10" s="464">
        <f>SUMPRODUCT(('Prenatal Care'!$AE$7:$AE$762=IO$6)*('Prenatal Care'!$C$7:$C$762&gt;=Lists!$AE4)*('Prenatal Care'!$C$7:$C$762&lt;=Lists!$AF4))</f>
        <v>0</v>
      </c>
      <c r="IP10" s="464">
        <f>SUMPRODUCT(('Prenatal Care'!$AE$7:$AE$762=IP$6)*('Prenatal Care'!$C$7:$C$762&gt;=Lists!$AE4)*('Prenatal Care'!$C$7:$C$762&lt;=Lists!$AF4))</f>
        <v>0</v>
      </c>
      <c r="IQ10" s="464">
        <f>SUMPRODUCT(('Prenatal Care'!$AE$7:$AE$762=IQ$6)*('Prenatal Care'!$C$7:$C$762&gt;=Lists!$AE4)*('Prenatal Care'!$C$7:$C$762&lt;=Lists!$AF4))</f>
        <v>0</v>
      </c>
      <c r="IR10" s="464">
        <f>SUMPRODUCT(('Prenatal Care'!$AE$7:$AE$762=IR$6)*('Prenatal Care'!$C$7:$C$762&gt;=Lists!$AE4)*('Prenatal Care'!$C$7:$C$762&lt;=Lists!$AF4))</f>
        <v>0</v>
      </c>
      <c r="IS10" s="464">
        <f>SUMPRODUCT(('Prenatal Care'!$AE$7:$AE$762=IS$6)*('Prenatal Care'!$C$7:$C$762&gt;=Lists!$AE4)*('Prenatal Care'!$C$7:$C$762&lt;=Lists!$AF4))</f>
        <v>0</v>
      </c>
      <c r="IT10" s="517">
        <f>SUMPRODUCT(('Prenatal Care'!$AE$7:$AE$762=IT$6)*('Prenatal Care'!$C$7:$C$762&gt;=Lists!$AE4)*('Prenatal Care'!$C$7:$C$762&lt;=Lists!$AF4))</f>
        <v>0</v>
      </c>
      <c r="IU10" s="471">
        <f t="shared" si="27"/>
        <v>0</v>
      </c>
      <c r="IV10" s="473">
        <f>SUMPRODUCT(('Prenatal Care'!$AF$7:$AF$762=IV$6)*('Prenatal Care'!$C$7:$C$762&gt;=Lists!$AE4)*('Prenatal Care'!$C$7:$C$762&lt;=Lists!$AF4))</f>
        <v>0</v>
      </c>
      <c r="IW10" s="470">
        <f>SUMPRODUCT(('Prenatal Care'!$AF$7:$AF$762=IW$6)*('Prenatal Care'!$C$7:$C$762&gt;=Lists!$AE4)*('Prenatal Care'!$C$7:$C$762&lt;=Lists!$AF4))</f>
        <v>0</v>
      </c>
      <c r="IX10" s="470">
        <f>SUMPRODUCT(('Prenatal Care'!$AF$7:$AF$762=IX$6)*('Prenatal Care'!$C$7:$C$762&gt;=Lists!$AE4)*('Prenatal Care'!$C$7:$C$762&lt;=Lists!$AF4))</f>
        <v>0</v>
      </c>
      <c r="IY10" s="470">
        <f>SUMPRODUCT(('Prenatal Care'!$AF$7:$AF$762=IY$6)*('Prenatal Care'!$C$7:$C$762&gt;=Lists!$AE4)*('Prenatal Care'!$C$7:$C$762&lt;=Lists!$AF4))</f>
        <v>0</v>
      </c>
      <c r="IZ10" s="470">
        <f>SUMPRODUCT(('Prenatal Care'!$AF$7:$AF$762=IZ$6)*('Prenatal Care'!$C$7:$C$762&gt;=Lists!$AE4)*('Prenatal Care'!$C$7:$C$762&lt;=Lists!$AF4))</f>
        <v>0</v>
      </c>
      <c r="JA10" s="470">
        <f>SUMPRODUCT(('Prenatal Care'!$AF$7:$AF$762=JA$6)*('Prenatal Care'!$C$7:$C$762&gt;=Lists!$AE4)*('Prenatal Care'!$C$7:$C$762&lt;=Lists!$AF4))</f>
        <v>0</v>
      </c>
      <c r="JB10" s="470">
        <f>SUMPRODUCT(('Prenatal Care'!$AF$7:$AF$762=JB$6)*('Prenatal Care'!$C$7:$C$762&gt;=Lists!$AE4)*('Prenatal Care'!$C$7:$C$762&lt;=Lists!$AF4))</f>
        <v>0</v>
      </c>
      <c r="JC10" s="470">
        <f>SUMPRODUCT(('Prenatal Care'!$AF$7:$AF$762=JC$6)*('Prenatal Care'!$C$7:$C$762&gt;=Lists!$AE4)*('Prenatal Care'!$C$7:$C$762&lt;=Lists!$AF4))</f>
        <v>0</v>
      </c>
      <c r="JD10" s="470">
        <f>SUMPRODUCT(('Prenatal Care'!$AF$7:$AF$762=JD$6)*('Prenatal Care'!$C$7:$C$762&gt;=Lists!$AE4)*('Prenatal Care'!$C$7:$C$762&lt;=Lists!$AF4))</f>
        <v>0</v>
      </c>
      <c r="JE10" s="470">
        <f>SUMPRODUCT(('Prenatal Care'!$AF$7:$AF$762=JE$6)*('Prenatal Care'!$C$7:$C$762&gt;=Lists!$AE4)*('Prenatal Care'!$C$7:$C$762&lt;=Lists!$AF4))</f>
        <v>0</v>
      </c>
      <c r="JF10" s="470">
        <f>SUMPRODUCT(('Prenatal Care'!$AF$7:$AF$762=JF$6)*('Prenatal Care'!$C$7:$C$762&gt;=Lists!$AE4)*('Prenatal Care'!$C$7:$C$762&lt;=Lists!$AF4))</f>
        <v>0</v>
      </c>
      <c r="JG10" s="470">
        <f>SUMPRODUCT(('Prenatal Care'!$AF$7:$AF$762=JG$6)*('Prenatal Care'!$C$7:$C$762&gt;=Lists!$AE4)*('Prenatal Care'!$C$7:$C$762&lt;=Lists!$AF4))</f>
        <v>0</v>
      </c>
      <c r="JH10" s="470">
        <f>SUMPRODUCT(('Prenatal Care'!$AF$7:$AF$762=JH$6)*('Prenatal Care'!$C$7:$C$762&gt;=Lists!$AE4)*('Prenatal Care'!$C$7:$C$762&lt;=Lists!$AF4))</f>
        <v>0</v>
      </c>
      <c r="JI10" s="470">
        <f>SUMPRODUCT(('Prenatal Care'!$AF$7:$AF$762=JI$6)*('Prenatal Care'!$C$7:$C$762&gt;=Lists!$AE4)*('Prenatal Care'!$C$7:$C$762&lt;=Lists!$AF4))</f>
        <v>0</v>
      </c>
      <c r="JJ10" s="470">
        <f>SUMPRODUCT(('Prenatal Care'!$AF$7:$AF$762=JJ$6)*('Prenatal Care'!$C$7:$C$762&gt;=Lists!$AE4)*('Prenatal Care'!$C$7:$C$762&lt;=Lists!$AF4))</f>
        <v>0</v>
      </c>
      <c r="JK10" s="470">
        <f>SUMPRODUCT(('Prenatal Care'!$AF$7:$AF$762=JK$6)*('Prenatal Care'!$C$7:$C$762&gt;=Lists!$AE4)*('Prenatal Care'!$C$7:$C$762&lt;=Lists!$AF4))</f>
        <v>0</v>
      </c>
      <c r="JL10" s="470">
        <f>SUMPRODUCT(('Prenatal Care'!$AF$7:$AF$762=JL$6)*('Prenatal Care'!$C$7:$C$762&gt;=Lists!$AE4)*('Prenatal Care'!$C$7:$C$762&lt;=Lists!$AF4))</f>
        <v>0</v>
      </c>
      <c r="JM10" s="470">
        <f>SUMPRODUCT(('Prenatal Care'!$AF$7:$AF$762=JM$6)*('Prenatal Care'!$C$7:$C$762&gt;=Lists!$AE4)*('Prenatal Care'!$C$7:$C$762&lt;=Lists!$AF4))</f>
        <v>0</v>
      </c>
      <c r="JN10" s="470">
        <f>SUMPRODUCT(('Prenatal Care'!$AF$7:$AF$762=JN$6)*('Prenatal Care'!$C$7:$C$762&gt;=Lists!$AE4)*('Prenatal Care'!$C$7:$C$762&lt;=Lists!$AF4))</f>
        <v>0</v>
      </c>
      <c r="JO10" s="470">
        <f>SUMPRODUCT(('Prenatal Care'!$AF$7:$AF$762=JO$6)*('Prenatal Care'!$C$7:$C$762&gt;=Lists!$AE4)*('Prenatal Care'!$C$7:$C$762&lt;=Lists!$AF4))</f>
        <v>0</v>
      </c>
      <c r="JP10" s="470">
        <f>SUMPRODUCT(('Prenatal Care'!$AF$7:$AF$762=JP$6)*('Prenatal Care'!$C$7:$C$762&gt;=Lists!$AE4)*('Prenatal Care'!$C$7:$C$762&lt;=Lists!$AF4))</f>
        <v>0</v>
      </c>
      <c r="JQ10" s="475">
        <f>SUMPRODUCT(('Prenatal Care'!$AF$7:$AF$762=JQ$6)*('Prenatal Care'!$C$7:$C$762&gt;=Lists!$AE4)*('Prenatal Care'!$C$7:$C$762&lt;=Lists!$AF4))</f>
        <v>0</v>
      </c>
      <c r="JR10" s="471">
        <f t="shared" si="28"/>
        <v>0</v>
      </c>
      <c r="JS10" s="469">
        <f>SUMPRODUCT(('Prenatal Care'!$AH$7:$AH$762=JS$6)*('Prenatal Care'!$C$7:$C$762&gt;=Lists!$AE4)*('Prenatal Care'!$C$7:$C$762&lt;=Lists!$AF4))</f>
        <v>0</v>
      </c>
      <c r="JT10" s="470">
        <f>SUMPRODUCT(('Prenatal Care'!$AH$7:$AH$762=JT$6)*('Prenatal Care'!$C$7:$C$762&gt;=Lists!$AE4)*('Prenatal Care'!$C$7:$C$762&lt;=Lists!$AF4))</f>
        <v>0</v>
      </c>
      <c r="JU10" s="470">
        <f>SUMPRODUCT(('Prenatal Care'!$AH$7:$AH$762=JU$6)*('Prenatal Care'!$C$7:$C$762&gt;=Lists!$AE4)*('Prenatal Care'!$C$7:$C$762&lt;=Lists!$AF4))</f>
        <v>0</v>
      </c>
      <c r="JV10" s="470">
        <f>SUMPRODUCT(('Prenatal Care'!$AH$7:$AH$762=JV$6)*('Prenatal Care'!$C$7:$C$762&gt;=Lists!$AE4)*('Prenatal Care'!$C$7:$C$762&lt;=Lists!$AF4))</f>
        <v>0</v>
      </c>
      <c r="JW10" s="470">
        <f>SUMPRODUCT(('Prenatal Care'!$AH$7:$AH$762=JW$6)*('Prenatal Care'!$C$7:$C$762&gt;=Lists!$AE4)*('Prenatal Care'!$C$7:$C$762&lt;=Lists!$AF4))</f>
        <v>0</v>
      </c>
      <c r="JX10" s="470">
        <f>SUMPRODUCT(('Prenatal Care'!$AH$7:$AH$762=JX$6)*('Prenatal Care'!$C$7:$C$762&gt;=Lists!$AE4)*('Prenatal Care'!$C$7:$C$762&lt;=Lists!$AF4))</f>
        <v>0</v>
      </c>
      <c r="JY10" s="470">
        <f>SUMPRODUCT(('Prenatal Care'!$AH$7:$AH$762=JY$6)*('Prenatal Care'!$C$7:$C$762&gt;=Lists!$AE4)*('Prenatal Care'!$C$7:$C$762&lt;=Lists!$AF4))</f>
        <v>0</v>
      </c>
      <c r="JZ10" s="470">
        <f>SUMPRODUCT(('Prenatal Care'!$AH$7:$AH$762=JZ$6)*('Prenatal Care'!$C$7:$C$762&gt;=Lists!$AE4)*('Prenatal Care'!$C$7:$C$762&lt;=Lists!$AF4))</f>
        <v>0</v>
      </c>
      <c r="KA10" s="470">
        <f>SUMPRODUCT(('Prenatal Care'!$AH$7:$AH$762=KA$6)*('Prenatal Care'!$C$7:$C$762&gt;=Lists!$AE4)*('Prenatal Care'!$C$7:$C$762&lt;=Lists!$AF4))</f>
        <v>0</v>
      </c>
      <c r="KB10" s="470">
        <f>SUMPRODUCT(('Prenatal Care'!$AH$7:$AH$762=KB$6)*('Prenatal Care'!$C$7:$C$762&gt;=Lists!$AE4)*('Prenatal Care'!$C$7:$C$762&lt;=Lists!$AF4))</f>
        <v>0</v>
      </c>
      <c r="KC10" s="475">
        <f>SUMPRODUCT(('Prenatal Care'!$AH$7:$AH$762=KC$6)*('Prenatal Care'!$C$7:$C$762&gt;=Lists!$AE4)*('Prenatal Care'!$C$7:$C$762&lt;=Lists!$AF4))</f>
        <v>0</v>
      </c>
      <c r="KD10" s="471">
        <f t="shared" si="29"/>
        <v>0</v>
      </c>
      <c r="KE10" s="473">
        <f>SUMPRODUCT(('Prenatal Care'!$AI$7:$AI$762=KE$6)*('Prenatal Care'!$C$7:$C$762&gt;=Lists!$AE4)*('Prenatal Care'!$C$7:$C$762&lt;=Lists!$AF4))</f>
        <v>0</v>
      </c>
      <c r="KF10" s="470">
        <f>SUMPRODUCT(('Prenatal Care'!$AI$7:$AI$762=KF$6)*('Prenatal Care'!$C$7:$C$762&gt;=Lists!$AE4)*('Prenatal Care'!$C$7:$C$762&lt;=Lists!$AF4))</f>
        <v>0</v>
      </c>
      <c r="KG10" s="470">
        <f>SUMPRODUCT(('Prenatal Care'!$AI$7:$AI$762=KG$6)*('Prenatal Care'!$C$7:$C$762&gt;=Lists!$AE4)*('Prenatal Care'!$C$7:$C$762&lt;=Lists!$AF4))</f>
        <v>0</v>
      </c>
      <c r="KH10" s="470">
        <f>SUMPRODUCT(('Prenatal Care'!$AI$7:$AI$762=KH$6)*('Prenatal Care'!$C$7:$C$762&gt;=Lists!$AE4)*('Prenatal Care'!$C$7:$C$762&lt;=Lists!$AF4))</f>
        <v>0</v>
      </c>
      <c r="KI10" s="475">
        <f>SUMPRODUCT(('Prenatal Care'!$AI$7:$AI$762=KI$6)*('Prenatal Care'!$C$7:$C$762&gt;=Lists!$AE4)*('Prenatal Care'!$C$7:$C$762&lt;=Lists!$AF4))</f>
        <v>0</v>
      </c>
      <c r="KJ10" s="471">
        <f t="shared" si="5"/>
        <v>0</v>
      </c>
      <c r="KK10" s="518">
        <f t="shared" si="6"/>
        <v>0</v>
      </c>
      <c r="KN10" s="15"/>
      <c r="KO10" s="15"/>
      <c r="KP10" s="15"/>
      <c r="KQ10" s="15"/>
      <c r="KR10" s="15"/>
      <c r="KS10" s="15"/>
      <c r="KT10" s="15"/>
      <c r="KU10" s="16"/>
      <c r="KV10" s="15"/>
      <c r="KW10" s="15"/>
      <c r="KX10" s="15"/>
      <c r="KY10" s="15"/>
      <c r="KZ10" s="15"/>
    </row>
    <row r="11" spans="1:312" ht="15" customHeight="1" x14ac:dyDescent="0.35">
      <c r="A11" s="567">
        <v>45839</v>
      </c>
      <c r="B11" s="448">
        <f>SUMPRODUCT(('Prenatal Care'!$F$7:$F$762=B$6)*('Prenatal Care'!$C$7:$C$762&gt;=Lists!$AE5)*('Prenatal Care'!$C$7:$C$762&lt;=Lists!$AF5))</f>
        <v>0</v>
      </c>
      <c r="C11" s="449">
        <f>SUMPRODUCT(('Prenatal Care'!$F$7:$F$762=C$6)*('Prenatal Care'!$C$7:$C$762&gt;=Lists!$AE5)*('Prenatal Care'!$C$7:$C$762&lt;=Lists!$AF5))</f>
        <v>0</v>
      </c>
      <c r="D11" s="449">
        <f>SUMPRODUCT(('Prenatal Care'!$F$7:$F$762=D$6)*('Prenatal Care'!$C$7:$C$762&gt;=Lists!$AE5)*('Prenatal Care'!$C$7:$C$762&lt;=Lists!$AF5))</f>
        <v>0</v>
      </c>
      <c r="E11" s="450">
        <f>SUMPRODUCT(('Prenatal Care'!$F$7:$F$762=E$6)*('Prenatal Care'!$C$7:$C$762&gt;=Lists!$AE5)*('Prenatal Care'!$C$7:$C$762&lt;=Lists!$AF5))</f>
        <v>0</v>
      </c>
      <c r="F11" s="213">
        <f t="shared" si="7"/>
        <v>0</v>
      </c>
      <c r="G11" s="441">
        <f>SUMPRODUCT(('Prenatal Care'!$G$7:$G$762=G$6)*('Prenatal Care'!$C$7:$C$762&gt;=Lists!$AE5)*('Prenatal Care'!$C$7:$C$762&lt;=Lists!$AF5))</f>
        <v>0</v>
      </c>
      <c r="H11" s="441">
        <f>SUMPRODUCT(('Prenatal Care'!$G$7:$G$762=H$6)*('Prenatal Care'!$C$7:$C$762&gt;=Lists!$AE5)*('Prenatal Care'!$C$7:$C$762&lt;=Lists!$AF5))</f>
        <v>0</v>
      </c>
      <c r="I11" s="441">
        <f>SUMPRODUCT(('Prenatal Care'!$G$7:$G$762=I$6)*('Prenatal Care'!$C$7:$C$762&gt;=Lists!$AE5)*('Prenatal Care'!$C$7:$C$762&lt;=Lists!$AF5))</f>
        <v>0</v>
      </c>
      <c r="J11" s="441">
        <f>SUMPRODUCT(('Prenatal Care'!$G$7:$G$762=J$6)*('Prenatal Care'!$C$7:$C$762&gt;=Lists!$AE5)*('Prenatal Care'!$C$7:$C$762&lt;=Lists!$AF5))</f>
        <v>0</v>
      </c>
      <c r="K11" s="441">
        <f>SUMPRODUCT(('Prenatal Care'!$G$7:$G$762=K$6)*('Prenatal Care'!$C$7:$C$762&gt;=Lists!$AE5)*('Prenatal Care'!$C$7:$C$762&lt;=Lists!$AF5))</f>
        <v>0</v>
      </c>
      <c r="L11" s="441">
        <f>SUMPRODUCT(('Prenatal Care'!$G$7:$G$762=L$6)*('Prenatal Care'!$C$7:$C$762&gt;=Lists!$AE5)*('Prenatal Care'!$C$7:$C$762&lt;=Lists!$AF5))</f>
        <v>0</v>
      </c>
      <c r="M11" s="441">
        <f>SUMPRODUCT(('Prenatal Care'!$G$7:$G$762=M$6)*('Prenatal Care'!$C$7:$C$762&gt;=Lists!$AE5)*('Prenatal Care'!$C$7:$C$762&lt;=Lists!$AF5))</f>
        <v>0</v>
      </c>
      <c r="N11" s="170">
        <f t="shared" si="8"/>
        <v>0</v>
      </c>
      <c r="O11" s="441">
        <f>SUMPRODUCT(('Prenatal Care'!$H$7:$H$762=O$6)*('Prenatal Care'!$C$7:$C$762&gt;=Lists!$AE5)*('Prenatal Care'!$C$7:$C$762&lt;=Lists!$AF5))</f>
        <v>0</v>
      </c>
      <c r="P11" s="441">
        <f>SUMPRODUCT(('Prenatal Care'!$H$7:$H$762=P$6)*('Prenatal Care'!$C$7:$C$762&gt;=Lists!$AE5)*('Prenatal Care'!$C$7:$C$762&lt;=Lists!$AF5))</f>
        <v>0</v>
      </c>
      <c r="Q11" s="441">
        <f>SUMPRODUCT(('Prenatal Care'!$H$7:$H$762=Q$6)*('Prenatal Care'!$C$7:$C$762&gt;=Lists!$AE5)*('Prenatal Care'!$C$7:$C$762&lt;=Lists!$AF5))</f>
        <v>0</v>
      </c>
      <c r="R11" s="441">
        <f>SUMPRODUCT(('Prenatal Care'!$H$7:$H$762=R$6)*('Prenatal Care'!$C$7:$C$762&gt;=Lists!$AE5)*('Prenatal Care'!$C$7:$C$762&lt;=Lists!$AF5))</f>
        <v>0</v>
      </c>
      <c r="S11" s="441">
        <f>SUMPRODUCT(('Prenatal Care'!$H$7:$H$762=S$6)*('Prenatal Care'!$C$7:$C$762&gt;=Lists!$AE5)*('Prenatal Care'!$C$7:$C$762&lt;=Lists!$AF5))</f>
        <v>0</v>
      </c>
      <c r="T11" s="441">
        <f>SUMPRODUCT(('Prenatal Care'!$H$7:$H$762=T$6)*('Prenatal Care'!$C$7:$C$762&gt;=Lists!$AE5)*('Prenatal Care'!$C$7:$C$762&lt;=Lists!$AF5))</f>
        <v>0</v>
      </c>
      <c r="U11" s="441">
        <f>SUMPRODUCT(('Prenatal Care'!$H$7:$H$762=U$6)*('Prenatal Care'!$C$7:$C$762&gt;=Lists!$AE5)*('Prenatal Care'!$C$7:$C$762&lt;=Lists!$AF5))</f>
        <v>0</v>
      </c>
      <c r="V11" s="170">
        <f t="shared" si="9"/>
        <v>0</v>
      </c>
      <c r="W11" s="441">
        <f>SUMPRODUCT(('Prenatal Care'!$I$7:$I$762=W$6)*('Prenatal Care'!$C$7:$C$762&gt;=Lists!$AE5)*('Prenatal Care'!$C$7:$C$762&lt;=Lists!$AF5))</f>
        <v>0</v>
      </c>
      <c r="X11" s="441">
        <f>SUMPRODUCT(('Prenatal Care'!$I$7:$I$762=X$6)*('Prenatal Care'!$C$7:$C$762&gt;=Lists!$AE5)*('Prenatal Care'!$C$7:$C$762&lt;=Lists!$AF5))</f>
        <v>0</v>
      </c>
      <c r="Y11" s="441">
        <f>SUMPRODUCT(('Prenatal Care'!$I$7:$I$762=Y$6)*('Prenatal Care'!$C$7:$C$762&gt;=Lists!$AE5)*('Prenatal Care'!$C$7:$C$762&lt;=Lists!$AF5))</f>
        <v>0</v>
      </c>
      <c r="Z11" s="441">
        <f>SUMPRODUCT(('Prenatal Care'!$I$7:$I$762=Z$6)*('Prenatal Care'!$C$7:$C$762&gt;=Lists!$AE5)*('Prenatal Care'!$C$7:$C$762&lt;=Lists!$AF5))</f>
        <v>0</v>
      </c>
      <c r="AA11" s="441">
        <f>SUMPRODUCT(('Prenatal Care'!$I$7:$I$762=AA$6)*('Prenatal Care'!$C$7:$C$762&gt;=Lists!$AE5)*('Prenatal Care'!$C$7:$C$762&lt;=Lists!$AF5))</f>
        <v>0</v>
      </c>
      <c r="AB11" s="441">
        <f>SUMPRODUCT(('Prenatal Care'!$I$7:$I$762=AB$6)*('Prenatal Care'!$C$7:$C$762&gt;=Lists!$AE5)*('Prenatal Care'!$C$7:$C$762&lt;=Lists!$AF5))</f>
        <v>0</v>
      </c>
      <c r="AC11" s="170">
        <f t="shared" si="10"/>
        <v>0</v>
      </c>
      <c r="AD11" s="441">
        <f>SUMPRODUCT(('Prenatal Care'!$J$7:$J$762=AD$6)*('Prenatal Care'!$C$7:$C$762&gt;=Lists!$AE5)*('Prenatal Care'!$C$7:$C$762&lt;=Lists!$AF5))</f>
        <v>0</v>
      </c>
      <c r="AE11" s="441">
        <f>SUMPRODUCT(('Prenatal Care'!$J$7:$J$762=AE$6)*('Prenatal Care'!$C$7:$C$762&gt;=Lists!$AE5)*('Prenatal Care'!$C$7:$C$762&lt;=Lists!$AF5))</f>
        <v>0</v>
      </c>
      <c r="AF11" s="441">
        <f>SUMPRODUCT(('Prenatal Care'!$J$7:$J$762=AF$6)*('Prenatal Care'!$C$7:$C$762&gt;=Lists!$AE5)*('Prenatal Care'!$C$7:$C$762&lt;=Lists!$AF5))</f>
        <v>0</v>
      </c>
      <c r="AG11" s="441">
        <f>SUMPRODUCT(('Prenatal Care'!$J$7:$J$762=AG$6)*('Prenatal Care'!$C$7:$C$762&gt;=Lists!$AE5)*('Prenatal Care'!$C$7:$C$762&lt;=Lists!$AF5))</f>
        <v>0</v>
      </c>
      <c r="AH11" s="170">
        <f t="shared" si="11"/>
        <v>0</v>
      </c>
      <c r="AI11" s="441">
        <f>SUMPRODUCT(('Prenatal Care'!$K$7:$K$762=AI$6)*('Prenatal Care'!$C$7:$C$762&gt;=Lists!$AE5)*('Prenatal Care'!$C$7:$C$762&lt;=Lists!$AF5))</f>
        <v>0</v>
      </c>
      <c r="AJ11" s="441">
        <f>SUMPRODUCT(('Prenatal Care'!$K$7:$K$762=AJ$6)*('Prenatal Care'!$C$7:$C$762&gt;=Lists!$AE5)*('Prenatal Care'!$C$7:$C$762&lt;=Lists!$AF5))</f>
        <v>0</v>
      </c>
      <c r="AK11" s="441">
        <f>SUMPRODUCT(('Prenatal Care'!$K$7:$K$762=AK$6)*('Prenatal Care'!$C$7:$C$762&gt;=Lists!$AE5)*('Prenatal Care'!$C$7:$C$762&lt;=Lists!$AF5))</f>
        <v>0</v>
      </c>
      <c r="AL11" s="441">
        <f>SUMPRODUCT(('Prenatal Care'!$K$7:$K$762=AL$6)*('Prenatal Care'!$C$7:$C$762&gt;=Lists!$AE5)*('Prenatal Care'!$C$7:$C$762&lt;=Lists!$AF5))</f>
        <v>0</v>
      </c>
      <c r="AM11" s="170">
        <f t="shared" si="12"/>
        <v>0</v>
      </c>
      <c r="AN11" s="441">
        <f>SUMPRODUCT(('Prenatal Care'!$L$7:$L$762=AN$6)*('Prenatal Care'!$C$7:$C$762&gt;=Lists!$AE5)*('Prenatal Care'!$C$7:$C$762&lt;=Lists!$AF5))</f>
        <v>0</v>
      </c>
      <c r="AO11" s="441">
        <f>SUMPRODUCT(('Prenatal Care'!$L$7:$L$762=AO$6)*('Prenatal Care'!$C$7:$C$762&gt;=Lists!$AE5)*('Prenatal Care'!$C$7:$C$762&lt;=Lists!$AF5))</f>
        <v>0</v>
      </c>
      <c r="AP11" s="441">
        <f>SUMPRODUCT(('Prenatal Care'!$L$7:$L$762=AP$6)*('Prenatal Care'!$C$7:$C$762&gt;=Lists!$AE5)*('Prenatal Care'!$C$7:$C$762&lt;=Lists!$AF5))</f>
        <v>0</v>
      </c>
      <c r="AQ11" s="441">
        <f>SUMPRODUCT(('Prenatal Care'!$L$7:$L$762=AQ$6)*('Prenatal Care'!$C$7:$C$762&gt;=Lists!$AE5)*('Prenatal Care'!$C$7:$C$762&lt;=Lists!$AF5))</f>
        <v>0</v>
      </c>
      <c r="AR11" s="170">
        <f t="shared" si="13"/>
        <v>0</v>
      </c>
      <c r="AS11" s="466">
        <f>SUMPRODUCT(('Prenatal Care'!$M$7:$M$762=AS$6)*('Prenatal Care'!$C$7:$C$762&gt;=Lists!$AE5)*('Prenatal Care'!$C$7:$C$762&lt;=Lists!$AF5))</f>
        <v>0</v>
      </c>
      <c r="AT11" s="467">
        <f>SUMPRODUCT(('Prenatal Care'!$M$7:$M$762=AT$6)*('Prenatal Care'!$C$7:$C$762&gt;=Lists!$AE5)*('Prenatal Care'!$C$7:$C$762&lt;=Lists!$AF5))</f>
        <v>0</v>
      </c>
      <c r="AU11" s="467">
        <f>SUMPRODUCT(('Prenatal Care'!$M$7:$M$762=AU$6)*('Prenatal Care'!$C$7:$C$762&gt;=Lists!$AE5)*('Prenatal Care'!$C$7:$C$762&lt;=Lists!$AF5))</f>
        <v>0</v>
      </c>
      <c r="AV11" s="498">
        <f>SUMPRODUCT(('Prenatal Care'!$M$7:$M$762=AV$6)*('Prenatal Care'!$C$7:$C$762&gt;=Lists!$AE5)*('Prenatal Care'!$C$7:$C$762&lt;=Lists!$AF5))</f>
        <v>0</v>
      </c>
      <c r="AW11" s="468">
        <f t="shared" si="14"/>
        <v>0</v>
      </c>
      <c r="AX11" s="473">
        <f>SUMPRODUCT(('Prenatal Care'!$N$7:$N$762=AX$6)*('Prenatal Care'!$C$7:$C$762&gt;=Lists!$AE5)*('Prenatal Care'!$C$7:$C$762&lt;=Lists!$AF5))</f>
        <v>0</v>
      </c>
      <c r="AY11" s="470">
        <f>SUMPRODUCT(('Prenatal Care'!$N$7:$N$762=AY$6)*('Prenatal Care'!$C$7:$C$762&gt;=Lists!$AE5)*('Prenatal Care'!$C$7:$C$762&lt;=Lists!$AF5))</f>
        <v>0</v>
      </c>
      <c r="AZ11" s="470">
        <f>SUMPRODUCT(('Prenatal Care'!$N$7:$N$762=AZ$6)*('Prenatal Care'!$C$7:$C$762&gt;=Lists!$AE5)*('Prenatal Care'!$C$7:$C$762&lt;=Lists!$AF5))</f>
        <v>0</v>
      </c>
      <c r="BA11" s="470">
        <f>SUMPRODUCT(('Prenatal Care'!$N$7:$N$762=BA$6)*('Prenatal Care'!$C$7:$C$762&gt;=Lists!$AE5)*('Prenatal Care'!$C$7:$C$762&lt;=Lists!$AF5))</f>
        <v>0</v>
      </c>
      <c r="BB11" s="475">
        <f>SUMPRODUCT(('Prenatal Care'!$N$7:$N$762=BB$6)*('Prenatal Care'!$C$7:$C$762&gt;=Lists!$AE5)*('Prenatal Care'!$C$7:$C$762&lt;=Lists!$AF5))</f>
        <v>0</v>
      </c>
      <c r="BC11" s="471">
        <f t="shared" si="15"/>
        <v>0</v>
      </c>
      <c r="BD11" s="473">
        <f>SUMPRODUCT(('Prenatal Care'!$O$7:$O$762=BD$6)*('Prenatal Care'!$C$7:$C$762&gt;=Lists!$AE5)*('Prenatal Care'!$C$7:$C$762&lt;=Lists!$AF5))</f>
        <v>0</v>
      </c>
      <c r="BE11" s="470">
        <f>SUMPRODUCT(('Prenatal Care'!$O$7:$O$762=BE$6)*('Prenatal Care'!$C$7:$C$762&gt;=Lists!$AE5)*('Prenatal Care'!$C$7:$C$762&lt;=Lists!$AF5))</f>
        <v>0</v>
      </c>
      <c r="BF11" s="470">
        <f>SUMPRODUCT(('Prenatal Care'!$O$7:$O$762=BF$6)*('Prenatal Care'!$C$7:$C$762&gt;=Lists!$AE5)*('Prenatal Care'!$C$7:$C$762&lt;=Lists!$AF5))</f>
        <v>0</v>
      </c>
      <c r="BG11" s="470">
        <f>SUMPRODUCT(('Prenatal Care'!$O$7:$O$762=BG$6)*('Prenatal Care'!$C$7:$C$762&gt;=Lists!$AE5)*('Prenatal Care'!$C$7:$C$762&lt;=Lists!$AF5))</f>
        <v>0</v>
      </c>
      <c r="BH11" s="470">
        <f>SUMPRODUCT(('Prenatal Care'!$O$7:$O$762=BH$6)*('Prenatal Care'!$C$7:$C$762&gt;=Lists!$AE5)*('Prenatal Care'!$C$7:$C$762&lt;=Lists!$AF5))</f>
        <v>0</v>
      </c>
      <c r="BI11" s="475">
        <f>SUMPRODUCT(('Prenatal Care'!$O$7:$O$762=BI$6)*('Prenatal Care'!$C$7:$C$762&gt;=Lists!$AE5)*('Prenatal Care'!$C$7:$C$762&lt;=Lists!$AF5))</f>
        <v>0</v>
      </c>
      <c r="BJ11" s="471">
        <f t="shared" si="16"/>
        <v>0</v>
      </c>
      <c r="BK11" s="473">
        <f>SUMPRODUCT(('Prenatal Care'!$P$7:$P$762=BK$6)*('Prenatal Care'!$C$7:$C$762&gt;=Lists!$AE5)*('Prenatal Care'!$C$7:$C$762&lt;=Lists!$AF5))</f>
        <v>0</v>
      </c>
      <c r="BL11" s="470">
        <f>SUMPRODUCT(('Prenatal Care'!$P$7:$P$762=BL$6)*('Prenatal Care'!$C$7:$C$762&gt;=Lists!$AE5)*('Prenatal Care'!$C$7:$C$762&lt;=Lists!$AF5))</f>
        <v>0</v>
      </c>
      <c r="BM11" s="470">
        <f>SUMPRODUCT(('Prenatal Care'!$P$7:$P$762=BM$6)*('Prenatal Care'!$C$7:$C$762&gt;=Lists!$AE5)*('Prenatal Care'!$C$7:$C$762&lt;=Lists!$AF5))</f>
        <v>0</v>
      </c>
      <c r="BN11" s="470">
        <f>SUMPRODUCT(('Prenatal Care'!$P$7:$P$762=BN$6)*('Prenatal Care'!$C$7:$C$762&gt;=Lists!$AE5)*('Prenatal Care'!$C$7:$C$762&lt;=Lists!$AF5))</f>
        <v>0</v>
      </c>
      <c r="BO11" s="475">
        <f>SUMPRODUCT(('Prenatal Care'!$P$7:$P$762=BO$6)*('Prenatal Care'!$C$7:$C$762&gt;=Lists!$AE5)*('Prenatal Care'!$C$7:$C$762&lt;=Lists!$AF5))</f>
        <v>0</v>
      </c>
      <c r="BP11" s="471">
        <f t="shared" si="0"/>
        <v>0</v>
      </c>
      <c r="BQ11" s="473">
        <f>SUMPRODUCT(('Prenatal Care'!$Q$7:$Q$762=BQ$6)*('Prenatal Care'!$C$7:$C$762&gt;=Lists!$AE5)*('Prenatal Care'!$C$7:$C$762&lt;=Lists!$AF5))</f>
        <v>0</v>
      </c>
      <c r="BR11" s="470">
        <f>SUMPRODUCT(('Prenatal Care'!$Q$7:$Q$762=BR$6)*('Prenatal Care'!$C$7:$C$762&gt;=Lists!$AE5)*('Prenatal Care'!$C$7:$C$762&lt;=Lists!$AF5))</f>
        <v>0</v>
      </c>
      <c r="BS11" s="470">
        <f>SUMPRODUCT(('Prenatal Care'!$Q$7:$Q$762=BS$6)*('Prenatal Care'!$C$7:$C$762&gt;=Lists!$AE5)*('Prenatal Care'!$C$7:$C$762&lt;=Lists!$AF5))</f>
        <v>0</v>
      </c>
      <c r="BT11" s="470">
        <f>SUMPRODUCT(('Prenatal Care'!$Q$7:$Q$762=BT$6)*('Prenatal Care'!$C$7:$C$762&gt;=Lists!$AE5)*('Prenatal Care'!$C$7:$C$762&lt;=Lists!$AF5))</f>
        <v>0</v>
      </c>
      <c r="BU11" s="470">
        <f>SUMPRODUCT(('Prenatal Care'!$Q$7:$Q$762=BU$6)*('Prenatal Care'!$C$7:$C$762&gt;=Lists!$AE5)*('Prenatal Care'!$C$7:$C$762&lt;=Lists!$AF5))</f>
        <v>0</v>
      </c>
      <c r="BV11" s="475">
        <f>SUMPRODUCT(('Prenatal Care'!$Q$7:$Q$762=BV$6)*('Prenatal Care'!$C$7:$C$762&gt;=Lists!$AE5)*('Prenatal Care'!$C$7:$C$762&lt;=Lists!$AF5))</f>
        <v>0</v>
      </c>
      <c r="BW11" s="472">
        <f t="shared" si="1"/>
        <v>0</v>
      </c>
      <c r="BX11" s="473">
        <f>SUMPRODUCT(('Prenatal Care'!$R$7:$R$762=BX$6)*('Prenatal Care'!$C$7:$C$762&gt;=Lists!$AE5)*('Prenatal Care'!$C$7:$C$762&lt;=Lists!$AF5))</f>
        <v>0</v>
      </c>
      <c r="BY11" s="470">
        <f>SUMPRODUCT(('Prenatal Care'!$R$7:$R$762=BY$6)*('Prenatal Care'!$C$7:$C$762&gt;=Lists!$AE5)*('Prenatal Care'!$C$7:$C$762&lt;=Lists!$AF5))</f>
        <v>0</v>
      </c>
      <c r="BZ11" s="470">
        <f>SUMPRODUCT(('Prenatal Care'!$R$7:$R$762=BZ$6)*('Prenatal Care'!$C$7:$C$762&gt;=Lists!$AE5)*('Prenatal Care'!$C$7:$C$762&lt;=Lists!$AF5))</f>
        <v>0</v>
      </c>
      <c r="CA11" s="470">
        <f>SUMPRODUCT(('Prenatal Care'!$R$7:$R$762=CA$6)*('Prenatal Care'!$C$7:$C$762&gt;=Lists!$AE5)*('Prenatal Care'!$C$7:$C$762&lt;=Lists!$AF5))</f>
        <v>0</v>
      </c>
      <c r="CB11" s="475">
        <f>SUMPRODUCT(('Prenatal Care'!$R$7:$R$762=CB$6)*('Prenatal Care'!$C$7:$C$762&gt;=Lists!$AE5)*('Prenatal Care'!$C$7:$C$762&lt;=Lists!$AF5))</f>
        <v>0</v>
      </c>
      <c r="CC11" s="471">
        <f t="shared" si="17"/>
        <v>0</v>
      </c>
      <c r="CD11" s="469">
        <f>SUMPRODUCT(('Prenatal Care'!$S$7:$S$762=CD$6)*('Prenatal Care'!$C$7:$C$762&gt;=Lists!$AE5)*('Prenatal Care'!$C$7:$C$762&lt;=Lists!$AF5))</f>
        <v>0</v>
      </c>
      <c r="CE11" s="473">
        <f>SUMPRODUCT(('Prenatal Care'!$S$7:$S$762=CE$6)*('Prenatal Care'!$C$7:$C$762&gt;=Lists!$AE5)*('Prenatal Care'!$C$7:$C$762&lt;=Lists!$AF5))</f>
        <v>0</v>
      </c>
      <c r="CF11" s="470">
        <f>SUMPRODUCT(('Prenatal Care'!$S$7:$S$762=CF$6)*('Prenatal Care'!$C$7:$C$762&gt;=Lists!$AE5)*('Prenatal Care'!$C$7:$C$762&lt;=Lists!$AF5))</f>
        <v>0</v>
      </c>
      <c r="CG11" s="470">
        <f>SUMPRODUCT(('Prenatal Care'!$S$7:$S$762=CG$6)*('Prenatal Care'!$C$7:$C$762&gt;=Lists!$AE5)*('Prenatal Care'!$C$7:$C$762&lt;=Lists!$AF5))</f>
        <v>0</v>
      </c>
      <c r="CH11" s="470">
        <f>SUMPRODUCT(('Prenatal Care'!$S$7:$S$762=CH$6)*('Prenatal Care'!$C$7:$C$762&gt;=Lists!$AE5)*('Prenatal Care'!$C$7:$C$762&lt;=Lists!$AF5))</f>
        <v>0</v>
      </c>
      <c r="CI11" s="470">
        <f>SUMPRODUCT(('Prenatal Care'!$S$7:$S$762=CI$6)*('Prenatal Care'!$C$7:$C$762&gt;=Lists!$AE5)*('Prenatal Care'!$C$7:$C$762&lt;=Lists!$AF5))</f>
        <v>0</v>
      </c>
      <c r="CJ11" s="470">
        <f>SUMPRODUCT(('Prenatal Care'!$S$7:$S$762=CJ$6)*('Prenatal Care'!$C$7:$C$762&gt;=Lists!$AE5)*('Prenatal Care'!$C$7:$C$762&lt;=Lists!$AF5))</f>
        <v>0</v>
      </c>
      <c r="CK11" s="470">
        <f>SUMPRODUCT(('Prenatal Care'!$S$7:$S$762=CK$6)*('Prenatal Care'!$C$7:$C$762&gt;=Lists!$AE5)*('Prenatal Care'!$C$7:$C$762&lt;=Lists!$AF5))</f>
        <v>0</v>
      </c>
      <c r="CL11" s="470">
        <f>SUMPRODUCT(('Prenatal Care'!$S$7:$S$762=CL$6)*('Prenatal Care'!$C$7:$C$762&gt;=Lists!$AE5)*('Prenatal Care'!$C$7:$C$762&lt;=Lists!$AF5))</f>
        <v>0</v>
      </c>
      <c r="CM11" s="475">
        <f>SUMPRODUCT(('Prenatal Care'!$S$7:$S$762=CM$6)*('Prenatal Care'!$C$7:$C$762&gt;=Lists!$AE5)*('Prenatal Care'!$C$7:$C$762&lt;=Lists!$AF5))</f>
        <v>0</v>
      </c>
      <c r="CN11" s="471">
        <f t="shared" si="18"/>
        <v>0</v>
      </c>
      <c r="CO11" s="473">
        <f>SUMPRODUCT(('Prenatal Care'!$T$7:$T$762=CO$6)*('Prenatal Care'!$C$7:$C$762&gt;=Lists!$AE5)*('Prenatal Care'!$C$7:$C$762&lt;=Lists!$AF5))</f>
        <v>0</v>
      </c>
      <c r="CP11" s="470">
        <f>SUMPRODUCT(('Prenatal Care'!$T$7:$T$762=CP$6)*('Prenatal Care'!$C$7:$C$762&gt;=Lists!$AE5)*('Prenatal Care'!$C$7:$C$762&lt;=Lists!$AF5))</f>
        <v>0</v>
      </c>
      <c r="CQ11" s="475">
        <f>SUMPRODUCT(('Prenatal Care'!$T$7:$T$762=CQ$6)*('Prenatal Care'!$C$7:$C$762&gt;=Lists!$AE5)*('Prenatal Care'!$C$7:$C$762&lt;=Lists!$AF5))</f>
        <v>0</v>
      </c>
      <c r="CR11" s="471">
        <f t="shared" si="19"/>
        <v>0</v>
      </c>
      <c r="CS11" s="505">
        <f>SUMPRODUCT(('Prenatal Care'!$U$7:$U$762=CS$6)*('Prenatal Care'!$C$7:$C$762&gt;=Lists!$AE5)*('Prenatal Care'!$C$7:$C$762&lt;=Lists!$AF5))</f>
        <v>0</v>
      </c>
      <c r="CT11" s="506">
        <f>SUMPRODUCT(('Prenatal Care'!$U$7:$U$762=CT$6)*('Prenatal Care'!$C$7:$C$762&gt;=Lists!$AE5)*('Prenatal Care'!$C$7:$C$762&lt;=Lists!$AF5))</f>
        <v>0</v>
      </c>
      <c r="CU11" s="506">
        <f>SUMPRODUCT(('Prenatal Care'!$U$7:$U$762=CU$6)*('Prenatal Care'!$C$7:$C$762&gt;=Lists!$AE5)*('Prenatal Care'!$C$7:$C$762&lt;=Lists!$AF5))</f>
        <v>0</v>
      </c>
      <c r="CV11" s="506">
        <f>SUMPRODUCT(('Prenatal Care'!$U$7:$U$762=CV$6)*('Prenatal Care'!$C$7:$C$762&gt;=Lists!$AE5)*('Prenatal Care'!$C$7:$C$762&lt;=Lists!$AF5))</f>
        <v>0</v>
      </c>
      <c r="CW11" s="506">
        <f>SUMPRODUCT(('Prenatal Care'!$U$7:$U$762=CW$6)*('Prenatal Care'!$C$7:$C$762&gt;=Lists!$AE5)*('Prenatal Care'!$C$7:$C$762&lt;=Lists!$AF5))</f>
        <v>0</v>
      </c>
      <c r="CX11" s="506">
        <f>SUMPRODUCT(('Prenatal Care'!$U$7:$U$762=CX$6)*('Prenatal Care'!$C$7:$C$762&gt;=Lists!$AE5)*('Prenatal Care'!$C$7:$C$762&lt;=Lists!$AF5))</f>
        <v>0</v>
      </c>
      <c r="CY11" s="506">
        <f>SUMPRODUCT(('Prenatal Care'!$U$7:$U$762=CY$6)*('Prenatal Care'!$C$7:$C$762&gt;=Lists!$AE5)*('Prenatal Care'!$C$7:$C$762&lt;=Lists!$AF5))</f>
        <v>0</v>
      </c>
      <c r="CZ11" s="506">
        <f>SUMPRODUCT(('Prenatal Care'!$U$7:$U$762=CZ$6)*('Prenatal Care'!$C$7:$C$762&gt;=Lists!$AE5)*('Prenatal Care'!$C$7:$C$762&lt;=Lists!$AF5))</f>
        <v>0</v>
      </c>
      <c r="DA11" s="506">
        <f>SUMPRODUCT(('Prenatal Care'!$U$7:$U$762=DA$6)*('Prenatal Care'!$C$7:$C$762&gt;=Lists!$AE5)*('Prenatal Care'!$C$7:$C$762&lt;=Lists!$AF5))</f>
        <v>0</v>
      </c>
      <c r="DB11" s="507">
        <f>SUMPRODUCT(('Prenatal Care'!$U$7:$U$762=DB$6)*('Prenatal Care'!$C$7:$C$762&gt;=Lists!$AE5)*('Prenatal Care'!$C$7:$C$762&lt;=Lists!$AF5))</f>
        <v>0</v>
      </c>
      <c r="DC11" s="471">
        <f t="shared" si="20"/>
        <v>0</v>
      </c>
      <c r="DD11" s="469">
        <f>SUMPRODUCT(('Prenatal Care'!$V$7:$V$762=DD$6)*('Prenatal Care'!$C$7:$C$762&gt;=Lists!$AE5)*('Prenatal Care'!$C$7:$C$762&lt;=Lists!$AF5))</f>
        <v>0</v>
      </c>
      <c r="DE11" s="470">
        <f>SUMPRODUCT(('Prenatal Care'!$V$7:$V$762=DE$6)*('Prenatal Care'!$C$7:$C$762&gt;=Lists!$AE5)*('Prenatal Care'!$C$7:$C$762&lt;=Lists!$AF5))</f>
        <v>0</v>
      </c>
      <c r="DF11" s="470">
        <f>SUMPRODUCT(('Prenatal Care'!$V$7:$V$762=DF$6)*('Prenatal Care'!$C$7:$C$762&gt;=Lists!$AE5)*('Prenatal Care'!$C$7:$C$762&lt;=Lists!$AF5))</f>
        <v>0</v>
      </c>
      <c r="DG11" s="475">
        <f>SUMPRODUCT(('Prenatal Care'!$V$7:$V$762=DG$6)*('Prenatal Care'!$C$7:$C$762&gt;=Lists!$AE5)*('Prenatal Care'!$C$7:$C$762&lt;=Lists!$AF5))</f>
        <v>0</v>
      </c>
      <c r="DH11" s="471">
        <f t="shared" si="21"/>
        <v>0</v>
      </c>
      <c r="DI11" s="473">
        <f>SUMPRODUCT(('Prenatal Care'!$W$7:$W$762=DI$6)*('Prenatal Care'!$C$7:$C$762&gt;=Lists!$AE5)*('Prenatal Care'!$C$7:$C$762&lt;=Lists!$AF5))</f>
        <v>0</v>
      </c>
      <c r="DJ11" s="470">
        <f>SUMPRODUCT(('Prenatal Care'!$W$7:$W$762=DJ$6)*('Prenatal Care'!$C$7:$C$762&gt;=Lists!$AE5)*('Prenatal Care'!$C$7:$C$762&lt;=Lists!$AF5))</f>
        <v>0</v>
      </c>
      <c r="DK11" s="470">
        <f>SUMPRODUCT(('Prenatal Care'!$W$7:$W$762=DK$6)*('Prenatal Care'!$C$7:$C$762&gt;=Lists!$AE5)*('Prenatal Care'!$C$7:$C$762&lt;=Lists!$AF5))</f>
        <v>0</v>
      </c>
      <c r="DL11" s="470">
        <f>SUMPRODUCT(('Prenatal Care'!$W$7:$W$762=DL$6)*('Prenatal Care'!$C$7:$C$762&gt;=Lists!$AE5)*('Prenatal Care'!$C$7:$C$762&lt;=Lists!$AF5))</f>
        <v>0</v>
      </c>
      <c r="DM11" s="470">
        <f>SUMPRODUCT(('Prenatal Care'!$W$7:$W$762=DM$6)*('Prenatal Care'!$C$7:$C$762&gt;=Lists!$AE5)*('Prenatal Care'!$C$7:$C$762&lt;=Lists!$AF5))</f>
        <v>0</v>
      </c>
      <c r="DN11" s="470">
        <f>SUMPRODUCT(('Prenatal Care'!$W$7:$W$762=DN$6)*('Prenatal Care'!$C$7:$C$762&gt;=Lists!$AE5)*('Prenatal Care'!$C$7:$C$762&lt;=Lists!$AF5))</f>
        <v>0</v>
      </c>
      <c r="DO11" s="470">
        <f>SUMPRODUCT(('Prenatal Care'!$W$7:$W$762=DO$6)*('Prenatal Care'!$C$7:$C$762&gt;=Lists!$AE5)*('Prenatal Care'!$C$7:$C$762&lt;=Lists!$AF5))</f>
        <v>0</v>
      </c>
      <c r="DP11" s="470">
        <f>SUMPRODUCT(('Prenatal Care'!$W$7:$W$762=DP$6)*('Prenatal Care'!$C$7:$C$762&gt;=Lists!$AE5)*('Prenatal Care'!$C$7:$C$762&lt;=Lists!$AF5))</f>
        <v>0</v>
      </c>
      <c r="DQ11" s="470">
        <f>SUMPRODUCT(('Prenatal Care'!$W$7:$W$762=DQ$6)*('Prenatal Care'!$C$7:$C$762&gt;=Lists!$AE5)*('Prenatal Care'!$C$7:$C$762&lt;=Lists!$AF5))</f>
        <v>0</v>
      </c>
      <c r="DR11" s="470">
        <f>SUMPRODUCT(('Prenatal Care'!$W$7:$W$762=DR$6)*('Prenatal Care'!$C$7:$C$762&gt;=Lists!$AE5)*('Prenatal Care'!$C$7:$C$762&lt;=Lists!$AF5))</f>
        <v>0</v>
      </c>
      <c r="DS11" s="470">
        <f>SUMPRODUCT(('Prenatal Care'!$W$7:$W$762=DS$6)*('Prenatal Care'!$C$7:$C$762&gt;=Lists!$AE5)*('Prenatal Care'!$C$7:$C$762&lt;=Lists!$AF5))</f>
        <v>0</v>
      </c>
      <c r="DT11" s="470">
        <f>SUMPRODUCT(('Prenatal Care'!$W$7:$W$762=DT$6)*('Prenatal Care'!$C$7:$C$762&gt;=Lists!$AE5)*('Prenatal Care'!$C$7:$C$762&lt;=Lists!$AF5))</f>
        <v>0</v>
      </c>
      <c r="DU11" s="470">
        <f>SUMPRODUCT(('Prenatal Care'!$W$7:$W$762=DU$6)*('Prenatal Care'!$C$7:$C$762&gt;=Lists!$AE5)*('Prenatal Care'!$C$7:$C$762&lt;=Lists!$AF5))</f>
        <v>0</v>
      </c>
      <c r="DV11" s="470">
        <f>SUMPRODUCT(('Prenatal Care'!$W$7:$W$762=DV$6)*('Prenatal Care'!$C$7:$C$762&gt;=Lists!$AE5)*('Prenatal Care'!$C$7:$C$762&lt;=Lists!$AF5))</f>
        <v>0</v>
      </c>
      <c r="DW11" s="470">
        <f>SUMPRODUCT(('Prenatal Care'!$W$7:$W$762=DW$6)*('Prenatal Care'!$C$7:$C$762&gt;=Lists!$AE5)*('Prenatal Care'!$C$7:$C$762&lt;=Lists!$AF5))</f>
        <v>0</v>
      </c>
      <c r="DX11" s="470">
        <f>SUMPRODUCT(('Prenatal Care'!$W$7:$W$762=DX$6)*('Prenatal Care'!$C$7:$C$762&gt;=Lists!$AE5)*('Prenatal Care'!$C$7:$C$762&lt;=Lists!$AF5))</f>
        <v>0</v>
      </c>
      <c r="DY11" s="470">
        <f>SUMPRODUCT(('Prenatal Care'!$W$7:$W$762=DY$6)*('Prenatal Care'!$C$7:$C$762&gt;=Lists!$AE5)*('Prenatal Care'!$C$7:$C$762&lt;=Lists!$AF5))</f>
        <v>0</v>
      </c>
      <c r="DZ11" s="470">
        <f>SUMPRODUCT(('Prenatal Care'!$W$7:$W$762=DZ$6)*('Prenatal Care'!$C$7:$C$762&gt;=Lists!$AE5)*('Prenatal Care'!$C$7:$C$762&lt;=Lists!$AF5))</f>
        <v>0</v>
      </c>
      <c r="EA11" s="470">
        <f>SUMPRODUCT(('Prenatal Care'!$W$7:$W$762=EA$6)*('Prenatal Care'!$C$7:$C$762&gt;=Lists!$AE5)*('Prenatal Care'!$C$7:$C$762&lt;=Lists!$AF5))</f>
        <v>0</v>
      </c>
      <c r="EB11" s="470">
        <f>SUMPRODUCT(('Prenatal Care'!$W$7:$W$762=EB$6)*('Prenatal Care'!$C$7:$C$762&gt;=Lists!$AE5)*('Prenatal Care'!$C$7:$C$762&lt;=Lists!$AF5))</f>
        <v>0</v>
      </c>
      <c r="EC11" s="470">
        <f>SUMPRODUCT(('Prenatal Care'!$W$7:$W$762=EC$6)*('Prenatal Care'!$C$7:$C$762&gt;=Lists!$AE5)*('Prenatal Care'!$C$7:$C$762&lt;=Lists!$AF5))</f>
        <v>0</v>
      </c>
      <c r="ED11" s="470">
        <f>SUMPRODUCT(('Prenatal Care'!$W$7:$W$762=ED$6)*('Prenatal Care'!$C$7:$C$762&gt;=Lists!$AE5)*('Prenatal Care'!$C$7:$C$762&lt;=Lists!$AF5))</f>
        <v>0</v>
      </c>
      <c r="EE11" s="470">
        <f>SUMPRODUCT(('Prenatal Care'!$W$7:$W$762=EE$6)*('Prenatal Care'!$C$7:$C$762&gt;=Lists!$AE5)*('Prenatal Care'!$C$7:$C$762&lt;=Lists!$AF5))</f>
        <v>0</v>
      </c>
      <c r="EF11" s="470">
        <f>SUMPRODUCT(('Prenatal Care'!$W$7:$W$762=EF$6)*('Prenatal Care'!$C$7:$C$762&gt;=Lists!$AE5)*('Prenatal Care'!$C$7:$C$762&lt;=Lists!$AF5))</f>
        <v>0</v>
      </c>
      <c r="EG11" s="470">
        <f>SUMPRODUCT(('Prenatal Care'!$W$7:$W$762=EG$6)*('Prenatal Care'!$C$7:$C$762&gt;=Lists!$AE5)*('Prenatal Care'!$C$7:$C$762&lt;=Lists!$AF5))</f>
        <v>0</v>
      </c>
      <c r="EH11" s="475">
        <f>SUMPRODUCT(('Prenatal Care'!$W$7:$W$762=EH$6)*('Prenatal Care'!$C$7:$C$762&gt;=Lists!$AE5)*('Prenatal Care'!$C$7:$C$762&lt;=Lists!$AF5))</f>
        <v>0</v>
      </c>
      <c r="EI11" s="471">
        <f t="shared" si="22"/>
        <v>0</v>
      </c>
      <c r="EJ11" s="473">
        <f>SUMPRODUCT(('Prenatal Care'!$X$7:$X$762=EJ$6)*('Prenatal Care'!$C$7:$C$762&gt;=Lists!$AE5)*('Prenatal Care'!$C$7:$C$762&lt;=Lists!$AF5))</f>
        <v>0</v>
      </c>
      <c r="EK11" s="470">
        <f>SUMPRODUCT(('Prenatal Care'!$X$7:$X$762=EK$6)*('Prenatal Care'!$C$7:$C$762&gt;=Lists!$AE5)*('Prenatal Care'!$C$7:$C$762&lt;=Lists!$AF5))</f>
        <v>0</v>
      </c>
      <c r="EL11" s="470">
        <f>SUMPRODUCT(('Prenatal Care'!$X$7:$X$762=EL$6)*('Prenatal Care'!$C$7:$C$762&gt;=Lists!$AE5)*('Prenatal Care'!$C$7:$C$762&lt;=Lists!$AF5))</f>
        <v>0</v>
      </c>
      <c r="EM11" s="470">
        <f>SUMPRODUCT(('Prenatal Care'!$X$7:$X$762=EM$6)*('Prenatal Care'!$C$7:$C$762&gt;=Lists!$AE5)*('Prenatal Care'!$C$7:$C$762&lt;=Lists!$AF5))</f>
        <v>0</v>
      </c>
      <c r="EN11" s="470">
        <f>SUMPRODUCT(('Prenatal Care'!$X$7:$X$762=EN$6)*('Prenatal Care'!$C$7:$C$762&gt;=Lists!$AE5)*('Prenatal Care'!$C$7:$C$762&lt;=Lists!$AF5))</f>
        <v>0</v>
      </c>
      <c r="EO11" s="470">
        <f>SUMPRODUCT(('Prenatal Care'!$X$7:$X$762=EO$6)*('Prenatal Care'!$C$7:$C$762&gt;=Lists!$AE5)*('Prenatal Care'!$C$7:$C$762&lt;=Lists!$AF5))</f>
        <v>0</v>
      </c>
      <c r="EP11" s="470">
        <f>SUMPRODUCT(('Prenatal Care'!$X$7:$X$762=EP$6)*('Prenatal Care'!$C$7:$C$762&gt;=Lists!$AE5)*('Prenatal Care'!$C$7:$C$762&lt;=Lists!$AF5))</f>
        <v>0</v>
      </c>
      <c r="EQ11" s="470">
        <f>SUMPRODUCT(('Prenatal Care'!$X$7:$X$762=EQ$6)*('Prenatal Care'!$C$7:$C$762&gt;=Lists!$AE5)*('Prenatal Care'!$C$7:$C$762&lt;=Lists!$AF5))</f>
        <v>0</v>
      </c>
      <c r="ER11" s="470">
        <f>SUMPRODUCT(('Prenatal Care'!$X$7:$X$762=ER$6)*('Prenatal Care'!$C$7:$C$762&gt;=Lists!$AE5)*('Prenatal Care'!$C$7:$C$762&lt;=Lists!$AF5))</f>
        <v>0</v>
      </c>
      <c r="ES11" s="470">
        <f>SUMPRODUCT(('Prenatal Care'!$X$7:$X$762=ES$6)*('Prenatal Care'!$C$7:$C$762&gt;=Lists!$AE5)*('Prenatal Care'!$C$7:$C$762&lt;=Lists!$AF5))</f>
        <v>0</v>
      </c>
      <c r="ET11" s="470">
        <f>SUMPRODUCT(('Prenatal Care'!$X$7:$X$762=ET$6)*('Prenatal Care'!$C$7:$C$762&gt;=Lists!$AE5)*('Prenatal Care'!$C$7:$C$762&lt;=Lists!$AF5))</f>
        <v>0</v>
      </c>
      <c r="EU11" s="470">
        <f>SUMPRODUCT(('Prenatal Care'!$X$7:$X$762=EU$6)*('Prenatal Care'!$C$7:$C$762&gt;=Lists!$AE5)*('Prenatal Care'!$C$7:$C$762&lt;=Lists!$AF5))</f>
        <v>0</v>
      </c>
      <c r="EV11" s="470">
        <f>SUMPRODUCT(('Prenatal Care'!$X$7:$X$762=EV$6)*('Prenatal Care'!$C$7:$C$762&gt;=Lists!$AE5)*('Prenatal Care'!$C$7:$C$762&lt;=Lists!$AF5))</f>
        <v>0</v>
      </c>
      <c r="EW11" s="470">
        <f>SUMPRODUCT(('Prenatal Care'!$X$7:$X$762=EW$6)*('Prenatal Care'!$C$7:$C$762&gt;=Lists!$AE5)*('Prenatal Care'!$C$7:$C$762&lt;=Lists!$AF5))</f>
        <v>0</v>
      </c>
      <c r="EX11" s="470">
        <f>SUMPRODUCT(('Prenatal Care'!$X$7:$X$762=EX$6)*('Prenatal Care'!$C$7:$C$762&gt;=Lists!$AE5)*('Prenatal Care'!$C$7:$C$762&lt;=Lists!$AF5))</f>
        <v>0</v>
      </c>
      <c r="EY11" s="470">
        <f>SUMPRODUCT(('Prenatal Care'!$X$7:$X$762=EY$6)*('Prenatal Care'!$C$7:$C$762&gt;=Lists!$AE5)*('Prenatal Care'!$C$7:$C$762&lt;=Lists!$AF5))</f>
        <v>0</v>
      </c>
      <c r="EZ11" s="470">
        <f>SUMPRODUCT(('Prenatal Care'!$X$7:$X$762=EZ$6)*('Prenatal Care'!$C$7:$C$762&gt;=Lists!$AE5)*('Prenatal Care'!$C$7:$C$762&lt;=Lists!$AF5))</f>
        <v>0</v>
      </c>
      <c r="FA11" s="470">
        <f>SUMPRODUCT(('Prenatal Care'!$X$7:$X$762=FA$6)*('Prenatal Care'!$C$7:$C$762&gt;=Lists!$AE5)*('Prenatal Care'!$C$7:$C$762&lt;=Lists!$AF5))</f>
        <v>0</v>
      </c>
      <c r="FB11" s="470">
        <f>SUMPRODUCT(('Prenatal Care'!$X$7:$X$762=FB$6)*('Prenatal Care'!$C$7:$C$762&gt;=Lists!$AE5)*('Prenatal Care'!$C$7:$C$762&lt;=Lists!$AF5))</f>
        <v>0</v>
      </c>
      <c r="FC11" s="470">
        <f>SUMPRODUCT(('Prenatal Care'!$X$7:$X$762=FC$6)*('Prenatal Care'!$C$7:$C$762&gt;=Lists!$AE5)*('Prenatal Care'!$C$7:$C$762&lt;=Lists!$AF5))</f>
        <v>0</v>
      </c>
      <c r="FD11" s="470">
        <f>SUMPRODUCT(('Prenatal Care'!$X$7:$X$762=FD$6)*('Prenatal Care'!$C$7:$C$762&gt;=Lists!$AE5)*('Prenatal Care'!$C$7:$C$762&lt;=Lists!$AF5))</f>
        <v>0</v>
      </c>
      <c r="FE11" s="470">
        <f>SUMPRODUCT(('Prenatal Care'!$X$7:$X$762=FE$6)*('Prenatal Care'!$C$7:$C$762&gt;=Lists!$AE5)*('Prenatal Care'!$C$7:$C$762&lt;=Lists!$AF5))</f>
        <v>0</v>
      </c>
      <c r="FF11" s="470">
        <f>SUMPRODUCT(('Prenatal Care'!$X$7:$X$762=FF$6)*('Prenatal Care'!$C$7:$C$762&gt;=Lists!$AE5)*('Prenatal Care'!$C$7:$C$762&lt;=Lists!$AF5))</f>
        <v>0</v>
      </c>
      <c r="FG11" s="470">
        <f>SUMPRODUCT(('Prenatal Care'!$X$7:$X$762=FG$6)*('Prenatal Care'!$C$7:$C$762&gt;=Lists!$AE5)*('Prenatal Care'!$C$7:$C$762&lt;=Lists!$AF5))</f>
        <v>0</v>
      </c>
      <c r="FH11" s="470">
        <f>SUMPRODUCT(('Prenatal Care'!$X$7:$X$762=FH$6)*('Prenatal Care'!$C$7:$C$762&gt;=Lists!$AE5)*('Prenatal Care'!$C$7:$C$762&lt;=Lists!$AF5))</f>
        <v>0</v>
      </c>
      <c r="FI11" s="475">
        <f>SUMPRODUCT(('Prenatal Care'!$X$7:$X$762=FI$6)*('Prenatal Care'!$C$7:$C$762&gt;=Lists!$AE5)*('Prenatal Care'!$C$7:$C$762&lt;=Lists!$AF5))</f>
        <v>0</v>
      </c>
      <c r="FJ11" s="471">
        <f t="shared" si="23"/>
        <v>0</v>
      </c>
      <c r="FK11" s="473">
        <f>SUMPRODUCT(('Prenatal Care'!$Y$7:$Y$762=FK$6)*('Prenatal Care'!$C$7:$C$762&gt;=Lists!$AE5)*('Prenatal Care'!$C$7:$C$762&lt;=Lists!$AF5))</f>
        <v>0</v>
      </c>
      <c r="FL11" s="470">
        <f>SUMPRODUCT(('Prenatal Care'!$Y$7:$Y$762=FL$6)*('Prenatal Care'!$C$7:$C$762&gt;=Lists!$AE5)*('Prenatal Care'!$C$7:$C$762&lt;=Lists!$AF5))</f>
        <v>0</v>
      </c>
      <c r="FM11" s="470">
        <f>SUMPRODUCT(('Prenatal Care'!$Y$7:$Y$762=FM$6)*('Prenatal Care'!$C$7:$C$762&gt;=Lists!$AE5)*('Prenatal Care'!$C$7:$C$762&lt;=Lists!$AF5))</f>
        <v>0</v>
      </c>
      <c r="FN11" s="470">
        <f>SUMPRODUCT(('Prenatal Care'!$Y$7:$Y$762=FN$6)*('Prenatal Care'!$C$7:$C$762&gt;=Lists!$AE5)*('Prenatal Care'!$C$7:$C$762&lt;=Lists!$AF5))</f>
        <v>0</v>
      </c>
      <c r="FO11" s="470">
        <f>SUMPRODUCT(('Prenatal Care'!$Y$7:$Y$762=FO$6)*('Prenatal Care'!$C$7:$C$762&gt;=Lists!$AE5)*('Prenatal Care'!$C$7:$C$762&lt;=Lists!$AF5))</f>
        <v>0</v>
      </c>
      <c r="FP11" s="470">
        <f>SUMPRODUCT(('Prenatal Care'!$Y$7:$Y$762=FP$6)*('Prenatal Care'!$C$7:$C$762&gt;=Lists!$AE5)*('Prenatal Care'!$C$7:$C$762&lt;=Lists!$AF5))</f>
        <v>0</v>
      </c>
      <c r="FQ11" s="470">
        <f>SUMPRODUCT(('Prenatal Care'!$Y$7:$Y$762=FQ$6)*('Prenatal Care'!$C$7:$C$762&gt;=Lists!$AE5)*('Prenatal Care'!$C$7:$C$762&lt;=Lists!$AF5))</f>
        <v>0</v>
      </c>
      <c r="FR11" s="470">
        <f>SUMPRODUCT(('Prenatal Care'!$Y$7:$Y$762=FR$6)*('Prenatal Care'!$C$7:$C$762&gt;=Lists!$AE5)*('Prenatal Care'!$C$7:$C$762&lt;=Lists!$AF5))</f>
        <v>0</v>
      </c>
      <c r="FS11" s="470">
        <f>SUMPRODUCT(('Prenatal Care'!$Y$7:$Y$762=FS$6)*('Prenatal Care'!$C$7:$C$762&gt;=Lists!$AE5)*('Prenatal Care'!$C$7:$C$762&lt;=Lists!$AF5))</f>
        <v>0</v>
      </c>
      <c r="FT11" s="470">
        <f>SUMPRODUCT(('Prenatal Care'!$Y$7:$Y$762=FT$6)*('Prenatal Care'!$C$7:$C$762&gt;=Lists!$AE5)*('Prenatal Care'!$C$7:$C$762&lt;=Lists!$AF5))</f>
        <v>0</v>
      </c>
      <c r="FU11" s="470">
        <f>SUMPRODUCT(('Prenatal Care'!$Y$7:$Y$762=FU$6)*('Prenatal Care'!$C$7:$C$762&gt;=Lists!$AE5)*('Prenatal Care'!$C$7:$C$762&lt;=Lists!$AF5))</f>
        <v>0</v>
      </c>
      <c r="FV11" s="470">
        <f>SUMPRODUCT(('Prenatal Care'!$Y$7:$Y$762=FV$6)*('Prenatal Care'!$C$7:$C$762&gt;=Lists!$AE5)*('Prenatal Care'!$C$7:$C$762&lt;=Lists!$AF5))</f>
        <v>0</v>
      </c>
      <c r="FW11" s="470">
        <f>SUMPRODUCT(('Prenatal Care'!$Y$7:$Y$762=FW$6)*('Prenatal Care'!$C$7:$C$762&gt;=Lists!$AE5)*('Prenatal Care'!$C$7:$C$762&lt;=Lists!$AF5))</f>
        <v>0</v>
      </c>
      <c r="FX11" s="470">
        <f>SUMPRODUCT(('Prenatal Care'!$Y$7:$Y$762=FX$6)*('Prenatal Care'!$C$7:$C$762&gt;=Lists!$AE5)*('Prenatal Care'!$C$7:$C$762&lt;=Lists!$AF5))</f>
        <v>0</v>
      </c>
      <c r="FY11" s="470">
        <f>SUMPRODUCT(('Prenatal Care'!$Y$7:$Y$762=FY$6)*('Prenatal Care'!$C$7:$C$762&gt;=Lists!$AE5)*('Prenatal Care'!$C$7:$C$762&lt;=Lists!$AF5))</f>
        <v>0</v>
      </c>
      <c r="FZ11" s="470">
        <f>SUMPRODUCT(('Prenatal Care'!$Y$7:$Y$762=FZ$6)*('Prenatal Care'!$C$7:$C$762&gt;=Lists!$AE5)*('Prenatal Care'!$C$7:$C$762&lt;=Lists!$AF5))</f>
        <v>0</v>
      </c>
      <c r="GA11" s="470">
        <f>SUMPRODUCT(('Prenatal Care'!$Y$7:$Y$762=GA$6)*('Prenatal Care'!$C$7:$C$762&gt;=Lists!$AE5)*('Prenatal Care'!$C$7:$C$762&lt;=Lists!$AF5))</f>
        <v>0</v>
      </c>
      <c r="GB11" s="470">
        <f>SUMPRODUCT(('Prenatal Care'!$Y$7:$Y$762=GB$6)*('Prenatal Care'!$C$7:$C$762&gt;=Lists!$AE5)*('Prenatal Care'!$C$7:$C$762&lt;=Lists!$AF5))</f>
        <v>0</v>
      </c>
      <c r="GC11" s="470">
        <f>SUMPRODUCT(('Prenatal Care'!$Y$7:$Y$762=GC$6)*('Prenatal Care'!$C$7:$C$762&gt;=Lists!$AE5)*('Prenatal Care'!$C$7:$C$762&lt;=Lists!$AF5))</f>
        <v>0</v>
      </c>
      <c r="GD11" s="470">
        <f>SUMPRODUCT(('Prenatal Care'!$Y$7:$Y$762=GD$6)*('Prenatal Care'!$C$7:$C$762&gt;=Lists!$AE5)*('Prenatal Care'!$C$7:$C$762&lt;=Lists!$AF5))</f>
        <v>0</v>
      </c>
      <c r="GE11" s="470">
        <f>SUMPRODUCT(('Prenatal Care'!$Y$7:$Y$762=GE$6)*('Prenatal Care'!$C$7:$C$762&gt;=Lists!$AE5)*('Prenatal Care'!$C$7:$C$762&lt;=Lists!$AF5))</f>
        <v>0</v>
      </c>
      <c r="GF11" s="470">
        <f>SUMPRODUCT(('Prenatal Care'!$Y$7:$Y$762=GF$6)*('Prenatal Care'!$C$7:$C$762&gt;=Lists!$AE5)*('Prenatal Care'!$C$7:$C$762&lt;=Lists!$AF5))</f>
        <v>0</v>
      </c>
      <c r="GG11" s="470">
        <f>SUMPRODUCT(('Prenatal Care'!$Y$7:$Y$762=GG$6)*('Prenatal Care'!$C$7:$C$762&gt;=Lists!$AE5)*('Prenatal Care'!$C$7:$C$762&lt;=Lists!$AF5))</f>
        <v>0</v>
      </c>
      <c r="GH11" s="470">
        <f>SUMPRODUCT(('Prenatal Care'!$Y$7:$Y$762=GH$6)*('Prenatal Care'!$C$7:$C$762&gt;=Lists!$AE5)*('Prenatal Care'!$C$7:$C$762&lt;=Lists!$AF5))</f>
        <v>0</v>
      </c>
      <c r="GI11" s="470">
        <f>SUMPRODUCT(('Prenatal Care'!$Y$7:$Y$762=GI$6)*('Prenatal Care'!$C$7:$C$762&gt;=Lists!$AE5)*('Prenatal Care'!$C$7:$C$762&lt;=Lists!$AF5))</f>
        <v>0</v>
      </c>
      <c r="GJ11" s="475">
        <f>SUMPRODUCT(('Prenatal Care'!$Y$7:$Y$762=GJ$6)*('Prenatal Care'!$C$7:$C$762&gt;=Lists!$AE5)*('Prenatal Care'!$C$7:$C$762&lt;=Lists!$AF5))</f>
        <v>0</v>
      </c>
      <c r="GK11" s="471">
        <f t="shared" si="24"/>
        <v>0</v>
      </c>
      <c r="GL11" s="469">
        <f>SUMPRODUCT(('Prenatal Care'!$AA$7:$AA$762=GL$6)*('Prenatal Care'!$C$7:$C$762&gt;=Lists!$AE5)*('Prenatal Care'!$C$7:$C$762&lt;=Lists!$AF5))</f>
        <v>0</v>
      </c>
      <c r="GM11" s="474">
        <f>SUMPRODUCT(('Prenatal Care'!$AA$7:$AA$762=GM$6)*('Prenatal Care'!$C$7:$C$762&gt;=Lists!$AE5)*('Prenatal Care'!$C$7:$C$762&lt;=Lists!$AF5))</f>
        <v>0</v>
      </c>
      <c r="GN11" s="470">
        <f>SUMPRODUCT(('Prenatal Care'!$AA$7:$AA$762=GN$6)*('Prenatal Care'!$C$7:$C$762&gt;=Lists!$AE5)*('Prenatal Care'!$C$7:$C$762&lt;=Lists!$AF5))</f>
        <v>0</v>
      </c>
      <c r="GO11" s="470">
        <f>SUMPRODUCT(('Prenatal Care'!$AA$7:$AA$762=GO$6)*('Prenatal Care'!$C$7:$C$762&gt;=Lists!$AE5)*('Prenatal Care'!$C$7:$C$762&lt;=Lists!$AF5))</f>
        <v>0</v>
      </c>
      <c r="GP11" s="470">
        <f>SUMPRODUCT(('Prenatal Care'!$AA$7:$AA$762=GP$6)*('Prenatal Care'!$C$7:$C$762&gt;=Lists!$AE5)*('Prenatal Care'!$C$7:$C$762&lt;=Lists!$AF5))</f>
        <v>0</v>
      </c>
      <c r="GQ11" s="470">
        <f>SUMPRODUCT(('Prenatal Care'!$AA$7:$AA$762=GQ$6)*('Prenatal Care'!$C$7:$C$762&gt;=Lists!$AE5)*('Prenatal Care'!$C$7:$C$762&lt;=Lists!$AF5))</f>
        <v>0</v>
      </c>
      <c r="GR11" s="470">
        <f>SUMPRODUCT(('Prenatal Care'!$AA$7:$AA$762=GR$6)*('Prenatal Care'!$C$7:$C$762&gt;=Lists!$AE5)*('Prenatal Care'!$C$7:$C$762&lt;=Lists!$AF5))</f>
        <v>0</v>
      </c>
      <c r="GS11" s="470">
        <f>SUMPRODUCT(('Prenatal Care'!$AA$7:$AA$762=GS$6)*('Prenatal Care'!$C$7:$C$762&gt;=Lists!$AE5)*('Prenatal Care'!$C$7:$C$762&lt;=Lists!$AF5))</f>
        <v>0</v>
      </c>
      <c r="GT11" s="470">
        <f>SUMPRODUCT(('Prenatal Care'!$AA$7:$AA$762=GT$6)*('Prenatal Care'!$C$7:$C$762&gt;=Lists!$AE5)*('Prenatal Care'!$C$7:$C$762&lt;=Lists!$AF5))</f>
        <v>0</v>
      </c>
      <c r="GU11" s="470">
        <f>SUMPRODUCT(('Prenatal Care'!$AA$7:$AA$762=GU$6)*('Prenatal Care'!$C$7:$C$762&gt;=Lists!$AE5)*('Prenatal Care'!$C$7:$C$762&lt;=Lists!$AF5))</f>
        <v>0</v>
      </c>
      <c r="GV11" s="470">
        <f>SUMPRODUCT(('Prenatal Care'!$AA$7:$AA$762=GV$6)*('Prenatal Care'!$C$7:$C$762&gt;=Lists!$AE5)*('Prenatal Care'!$C$7:$C$762&lt;=Lists!$AF5))</f>
        <v>0</v>
      </c>
      <c r="GW11" s="470">
        <f>SUMPRODUCT(('Prenatal Care'!$AA$7:$AA$762=GW$6)*('Prenatal Care'!$C$7:$C$762&gt;=Lists!$AE5)*('Prenatal Care'!$C$7:$C$762&lt;=Lists!$AF5))</f>
        <v>0</v>
      </c>
      <c r="GX11" s="475">
        <f>SUMPRODUCT(('Prenatal Care'!$AA$7:$AA$762=GX$6)*('Prenatal Care'!$C$7:$C$762&gt;=Lists!$AE5)*('Prenatal Care'!$C$7:$C$762&lt;=Lists!$AF5))</f>
        <v>0</v>
      </c>
      <c r="GY11" s="471">
        <f t="shared" si="25"/>
        <v>0</v>
      </c>
      <c r="GZ11" s="473">
        <f>SUMPRODUCT(('Prenatal Care'!$AB$7:$AB$762=GZ$6)*('Prenatal Care'!$C$7:$C$762&gt;=Lists!$AE5)*('Prenatal Care'!$C$7:$C$762&lt;=Lists!$AF5))</f>
        <v>0</v>
      </c>
      <c r="HA11" s="470">
        <f>SUMPRODUCT(('Prenatal Care'!$AB$7:$AB$762=HA$6)*('Prenatal Care'!$C$7:$C$762&gt;=Lists!$AE5)*('Prenatal Care'!$C$7:$C$762&lt;=Lists!$AF5))</f>
        <v>0</v>
      </c>
      <c r="HB11" s="470">
        <f>SUMPRODUCT(('Prenatal Care'!$AB$7:$AB$762=HB$6)*('Prenatal Care'!$C$7:$C$762&gt;=Lists!$AE5)*('Prenatal Care'!$C$7:$C$762&lt;=Lists!$AF5))</f>
        <v>0</v>
      </c>
      <c r="HC11" s="470">
        <f>SUMPRODUCT(('Prenatal Care'!$AB$7:$AB$762=HC$6)*('Prenatal Care'!$C$7:$C$762&gt;=Lists!$AE5)*('Prenatal Care'!$C$7:$C$762&lt;=Lists!$AF5))</f>
        <v>0</v>
      </c>
      <c r="HD11" s="470">
        <f>SUMPRODUCT(('Prenatal Care'!$AB$7:$AB$762=HD$6)*('Prenatal Care'!$C$7:$C$762&gt;=Lists!$AE5)*('Prenatal Care'!$C$7:$C$762&lt;=Lists!$AF5))</f>
        <v>0</v>
      </c>
      <c r="HE11" s="470">
        <f>SUMPRODUCT(('Prenatal Care'!$AB$7:$AB$762=HE$6)*('Prenatal Care'!$C$7:$C$762&gt;=Lists!$AE5)*('Prenatal Care'!$C$7:$C$762&lt;=Lists!$AF5))</f>
        <v>0</v>
      </c>
      <c r="HF11" s="470">
        <f>SUMPRODUCT(('Prenatal Care'!$AB$7:$AB$762=HF$6)*('Prenatal Care'!$C$7:$C$762&gt;=Lists!$AE5)*('Prenatal Care'!$C$7:$C$762&lt;=Lists!$AF5))</f>
        <v>0</v>
      </c>
      <c r="HG11" s="470">
        <f>SUMPRODUCT(('Prenatal Care'!$AB$7:$AB$762=HG$6)*('Prenatal Care'!$C$7:$C$762&gt;=Lists!$AE5)*('Prenatal Care'!$C$7:$C$762&lt;=Lists!$AF5))</f>
        <v>0</v>
      </c>
      <c r="HH11" s="470">
        <f>SUMPRODUCT(('Prenatal Care'!$AB$7:$AB$762=HH$6)*('Prenatal Care'!$C$7:$C$762&gt;=Lists!$AE5)*('Prenatal Care'!$C$7:$C$762&lt;=Lists!$AF5))</f>
        <v>0</v>
      </c>
      <c r="HI11" s="470">
        <f>SUMPRODUCT(('Prenatal Care'!$AB$7:$AB$762=HI$6)*('Prenatal Care'!$C$7:$C$762&gt;=Lists!$AE5)*('Prenatal Care'!$C$7:$C$762&lt;=Lists!$AF5))</f>
        <v>0</v>
      </c>
      <c r="HJ11" s="470">
        <f>SUMPRODUCT(('Prenatal Care'!$AB$7:$AB$762=HJ$6)*('Prenatal Care'!$C$7:$C$762&gt;=Lists!$AE5)*('Prenatal Care'!$C$7:$C$762&lt;=Lists!$AF5))</f>
        <v>0</v>
      </c>
      <c r="HK11" s="470">
        <f>SUMPRODUCT(('Prenatal Care'!$AB$7:$AB$762=HK$6)*('Prenatal Care'!$C$7:$C$762&gt;=Lists!$AE5)*('Prenatal Care'!$C$7:$C$762&lt;=Lists!$AF5))</f>
        <v>0</v>
      </c>
      <c r="HL11" s="475">
        <f>SUMPRODUCT(('Prenatal Care'!$AB$7:$AB$762=HL$6)*('Prenatal Care'!$C$7:$C$762&gt;=Lists!$AE5)*('Prenatal Care'!$C$7:$C$762&lt;=Lists!$AF5))</f>
        <v>0</v>
      </c>
      <c r="HM11" s="471">
        <f t="shared" si="26"/>
        <v>0</v>
      </c>
      <c r="HN11" s="458">
        <f>SUMPRODUCT(('Prenatal Care'!$AC$7:$AC$762=HN$6)*('Prenatal Care'!$C$7:$C$762&gt;=Lists!$AE5)*('Prenatal Care'!$C$7:$C$762&lt;=Lists!$AF5))</f>
        <v>0</v>
      </c>
      <c r="HO11" s="459">
        <f>SUMPRODUCT(('Prenatal Care'!$AC$7:$AC$762=HO$6)*('Prenatal Care'!$C$7:$C$762&gt;=Lists!$AE5)*('Prenatal Care'!$C$7:$C$762&lt;=Lists!$AF5))</f>
        <v>0</v>
      </c>
      <c r="HP11" s="459">
        <f>SUMPRODUCT(('Prenatal Care'!$AC$7:$AC$762=HP$6)*('Prenatal Care'!$C$7:$C$762&gt;=Lists!$AE5)*('Prenatal Care'!$C$7:$C$762&lt;=Lists!$AF5))</f>
        <v>0</v>
      </c>
      <c r="HQ11" s="459">
        <f>SUMPRODUCT(('Prenatal Care'!$AC$7:$AC$762=HQ$6)*('Prenatal Care'!$C$7:$C$762&gt;=Lists!$AE5)*('Prenatal Care'!$C$7:$C$762&lt;=Lists!$AF5))</f>
        <v>0</v>
      </c>
      <c r="HR11" s="459">
        <f>SUMPRODUCT(('Prenatal Care'!$AC$7:$AC$762=HR$6)*('Prenatal Care'!$C$7:$C$762&gt;=Lists!$AE5)*('Prenatal Care'!$C$7:$C$762&lt;=Lists!$AF5))</f>
        <v>0</v>
      </c>
      <c r="HS11" s="459">
        <f>SUMPRODUCT(('Prenatal Care'!$AC$7:$AC$762=HS$6)*('Prenatal Care'!$C$7:$C$762&gt;=Lists!$AE5)*('Prenatal Care'!$C$7:$C$762&lt;=Lists!$AF5))</f>
        <v>0</v>
      </c>
      <c r="HT11" s="459">
        <f>SUMPRODUCT(('Prenatal Care'!$AC$7:$AC$762=HT$6)*('Prenatal Care'!$C$7:$C$762&gt;=Lists!$AE5)*('Prenatal Care'!$C$7:$C$762&lt;=Lists!$AF5))</f>
        <v>0</v>
      </c>
      <c r="HU11" s="459">
        <f>SUMPRODUCT(('Prenatal Care'!$AC$7:$AC$762=HU$6)*('Prenatal Care'!$C$7:$C$762&gt;=Lists!$AE5)*('Prenatal Care'!$C$7:$C$762&lt;=Lists!$AF5))</f>
        <v>0</v>
      </c>
      <c r="HV11" s="459">
        <f>SUMPRODUCT(('Prenatal Care'!$AC$7:$AC$762=HV$6)*('Prenatal Care'!$C$7:$C$762&gt;=Lists!$AE5)*('Prenatal Care'!$C$7:$C$762&lt;=Lists!$AF5))</f>
        <v>0</v>
      </c>
      <c r="HW11" s="459">
        <f>SUMPRODUCT(('Prenatal Care'!$AC$7:$AC$762=HW$6)*('Prenatal Care'!$C$7:$C$762&gt;=Lists!$AE5)*('Prenatal Care'!$C$7:$C$762&lt;=Lists!$AF5))</f>
        <v>0</v>
      </c>
      <c r="HX11" s="459">
        <f>SUMPRODUCT(('Prenatal Care'!$AC$7:$AC$762=HX$6)*('Prenatal Care'!$C$7:$C$762&gt;=Lists!$AE5)*('Prenatal Care'!$C$7:$C$762&lt;=Lists!$AF5))</f>
        <v>0</v>
      </c>
      <c r="HY11" s="459">
        <f>SUMPRODUCT(('Prenatal Care'!$AC$7:$AC$762=HY$6)*('Prenatal Care'!$C$7:$C$762&gt;=Lists!$AE5)*('Prenatal Care'!$C$7:$C$762&lt;=Lists!$AF5))</f>
        <v>0</v>
      </c>
      <c r="HZ11" s="460">
        <f>SUMPRODUCT(('Prenatal Care'!$AC$7:$AC$762=HZ$6)*('Prenatal Care'!$C$7:$C$762&gt;=Lists!$AE5)*('Prenatal Care'!$C$7:$C$762&lt;=Lists!$AF5))</f>
        <v>0</v>
      </c>
      <c r="IA11" s="471">
        <f t="shared" si="2"/>
        <v>0</v>
      </c>
      <c r="IB11" s="469">
        <f>SUMPRODUCT(('Prenatal Care'!$AD$7:$AD$762=IB$6)*('Prenatal Care'!$C$7:$C$762&gt;=Lists!$AE5)*('Prenatal Care'!$C$7:$C$762&lt;=Lists!$AF5))</f>
        <v>0</v>
      </c>
      <c r="IC11" s="473">
        <f>SUMPRODUCT(('Prenatal Care'!$AD$7:$AD$762=IC$6)*('Prenatal Care'!$C$7:$C$762&gt;=Lists!$AE5)*('Prenatal Care'!$C$7:$C$762&lt;=Lists!$AF5))</f>
        <v>0</v>
      </c>
      <c r="ID11" s="470">
        <f>SUMPRODUCT(('Prenatal Care'!$AD$7:$AD$762=ID$6)*('Prenatal Care'!$C$7:$C$762&gt;=Lists!$AE5)*('Prenatal Care'!$C$7:$C$762&lt;=Lists!$AF5))</f>
        <v>0</v>
      </c>
      <c r="IE11" s="470">
        <f>SUMPRODUCT(('Prenatal Care'!$AD$7:$AD$762=IE$6)*('Prenatal Care'!$C$7:$C$762&gt;=Lists!$AE5)*('Prenatal Care'!$C$7:$C$762&lt;=Lists!$AF5))</f>
        <v>0</v>
      </c>
      <c r="IF11" s="470">
        <f>SUMPRODUCT(('Prenatal Care'!$AD$7:$AD$762=IF$6)*('Prenatal Care'!$C$7:$C$762&gt;=Lists!$AE5)*('Prenatal Care'!$C$7:$C$762&lt;=Lists!$AF5))</f>
        <v>0</v>
      </c>
      <c r="IG11" s="471">
        <f t="shared" si="3"/>
        <v>0</v>
      </c>
      <c r="IH11" s="464">
        <f>SUMPRODUCT(('Prenatal Care'!$AE$7:$AE$762=IH$6)*('Prenatal Care'!$C$7:$C$762&gt;=Lists!$AE5)*('Prenatal Care'!$C$7:$C$762&lt;=Lists!$AF5))</f>
        <v>0</v>
      </c>
      <c r="II11" s="464">
        <f>SUMPRODUCT(('Prenatal Care'!$AE$7:$AE$762=II$6)*('Prenatal Care'!$C$7:$C$762&gt;=Lists!$AE5)*('Prenatal Care'!$C$7:$C$762&lt;=Lists!$AF5))</f>
        <v>0</v>
      </c>
      <c r="IJ11" s="464">
        <f>SUMPRODUCT(('Prenatal Care'!$AE$7:$AE$762=IJ$6)*('Prenatal Care'!$C$7:$C$762&gt;=Lists!$AE5)*('Prenatal Care'!$C$7:$C$762&lt;=Lists!$AF5))</f>
        <v>0</v>
      </c>
      <c r="IK11" s="464">
        <f>SUMPRODUCT(('Prenatal Care'!$AE$7:$AE$762=IK$6)*('Prenatal Care'!$C$7:$C$762&gt;=Lists!$AE5)*('Prenatal Care'!$C$7:$C$762&lt;=Lists!$AF5))</f>
        <v>0</v>
      </c>
      <c r="IL11" s="464">
        <f>SUMPRODUCT(('Prenatal Care'!$AE$7:$AE$762=IL$6)*('Prenatal Care'!$C$7:$C$762&gt;=Lists!$AE5)*('Prenatal Care'!$C$7:$C$762&lt;=Lists!$AF5))</f>
        <v>0</v>
      </c>
      <c r="IM11" s="464">
        <f>SUMPRODUCT(('Prenatal Care'!$AE$7:$AE$762=IM$6)*('Prenatal Care'!$C$7:$C$762&gt;=Lists!$AE5)*('Prenatal Care'!$C$7:$C$762&lt;=Lists!$AF5))</f>
        <v>0</v>
      </c>
      <c r="IN11" s="464">
        <f>SUMPRODUCT(('Prenatal Care'!$AE$7:$AE$762=IN$6)*('Prenatal Care'!$C$7:$C$762&gt;=Lists!$AE5)*('Prenatal Care'!$C$7:$C$762&lt;=Lists!$AF5))</f>
        <v>0</v>
      </c>
      <c r="IO11" s="464">
        <f>SUMPRODUCT(('Prenatal Care'!$AE$7:$AE$762=IO$6)*('Prenatal Care'!$C$7:$C$762&gt;=Lists!$AE5)*('Prenatal Care'!$C$7:$C$762&lt;=Lists!$AF5))</f>
        <v>0</v>
      </c>
      <c r="IP11" s="464">
        <f>SUMPRODUCT(('Prenatal Care'!$AE$7:$AE$762=IP$6)*('Prenatal Care'!$C$7:$C$762&gt;=Lists!$AE5)*('Prenatal Care'!$C$7:$C$762&lt;=Lists!$AF5))</f>
        <v>0</v>
      </c>
      <c r="IQ11" s="464">
        <f>SUMPRODUCT(('Prenatal Care'!$AE$7:$AE$762=IQ$6)*('Prenatal Care'!$C$7:$C$762&gt;=Lists!$AE5)*('Prenatal Care'!$C$7:$C$762&lt;=Lists!$AF5))</f>
        <v>0</v>
      </c>
      <c r="IR11" s="464">
        <f>SUMPRODUCT(('Prenatal Care'!$AE$7:$AE$762=IR$6)*('Prenatal Care'!$C$7:$C$762&gt;=Lists!$AE5)*('Prenatal Care'!$C$7:$C$762&lt;=Lists!$AF5))</f>
        <v>0</v>
      </c>
      <c r="IS11" s="464">
        <f>SUMPRODUCT(('Prenatal Care'!$AE$7:$AE$762=IS$6)*('Prenatal Care'!$C$7:$C$762&gt;=Lists!$AE5)*('Prenatal Care'!$C$7:$C$762&lt;=Lists!$AF5))</f>
        <v>0</v>
      </c>
      <c r="IT11" s="517">
        <f>SUMPRODUCT(('Prenatal Care'!$AE$7:$AE$762=IT$6)*('Prenatal Care'!$C$7:$C$762&gt;=Lists!$AE5)*('Prenatal Care'!$C$7:$C$762&lt;=Lists!$AF5))</f>
        <v>0</v>
      </c>
      <c r="IU11" s="471">
        <f t="shared" si="27"/>
        <v>0</v>
      </c>
      <c r="IV11" s="473">
        <f>SUMPRODUCT(('Prenatal Care'!$AF$7:$AF$762=IV$6)*('Prenatal Care'!$C$7:$C$762&gt;=Lists!$AE5)*('Prenatal Care'!$C$7:$C$762&lt;=Lists!$AF5))</f>
        <v>0</v>
      </c>
      <c r="IW11" s="470">
        <f>SUMPRODUCT(('Prenatal Care'!$AF$7:$AF$762=IW$6)*('Prenatal Care'!$C$7:$C$762&gt;=Lists!$AE5)*('Prenatal Care'!$C$7:$C$762&lt;=Lists!$AF5))</f>
        <v>0</v>
      </c>
      <c r="IX11" s="470">
        <f>SUMPRODUCT(('Prenatal Care'!$AF$7:$AF$762=IX$6)*('Prenatal Care'!$C$7:$C$762&gt;=Lists!$AE5)*('Prenatal Care'!$C$7:$C$762&lt;=Lists!$AF5))</f>
        <v>0</v>
      </c>
      <c r="IY11" s="470">
        <f>SUMPRODUCT(('Prenatal Care'!$AF$7:$AF$762=IY$6)*('Prenatal Care'!$C$7:$C$762&gt;=Lists!$AE5)*('Prenatal Care'!$C$7:$C$762&lt;=Lists!$AF5))</f>
        <v>0</v>
      </c>
      <c r="IZ11" s="470">
        <f>SUMPRODUCT(('Prenatal Care'!$AF$7:$AF$762=IZ$6)*('Prenatal Care'!$C$7:$C$762&gt;=Lists!$AE5)*('Prenatal Care'!$C$7:$C$762&lt;=Lists!$AF5))</f>
        <v>0</v>
      </c>
      <c r="JA11" s="470">
        <f>SUMPRODUCT(('Prenatal Care'!$AF$7:$AF$762=JA$6)*('Prenatal Care'!$C$7:$C$762&gt;=Lists!$AE5)*('Prenatal Care'!$C$7:$C$762&lt;=Lists!$AF5))</f>
        <v>0</v>
      </c>
      <c r="JB11" s="470">
        <f>SUMPRODUCT(('Prenatal Care'!$AF$7:$AF$762=JB$6)*('Prenatal Care'!$C$7:$C$762&gt;=Lists!$AE5)*('Prenatal Care'!$C$7:$C$762&lt;=Lists!$AF5))</f>
        <v>0</v>
      </c>
      <c r="JC11" s="470">
        <f>SUMPRODUCT(('Prenatal Care'!$AF$7:$AF$762=JC$6)*('Prenatal Care'!$C$7:$C$762&gt;=Lists!$AE5)*('Prenatal Care'!$C$7:$C$762&lt;=Lists!$AF5))</f>
        <v>0</v>
      </c>
      <c r="JD11" s="470">
        <f>SUMPRODUCT(('Prenatal Care'!$AF$7:$AF$762=JD$6)*('Prenatal Care'!$C$7:$C$762&gt;=Lists!$AE5)*('Prenatal Care'!$C$7:$C$762&lt;=Lists!$AF5))</f>
        <v>0</v>
      </c>
      <c r="JE11" s="470">
        <f>SUMPRODUCT(('Prenatal Care'!$AF$7:$AF$762=JE$6)*('Prenatal Care'!$C$7:$C$762&gt;=Lists!$AE5)*('Prenatal Care'!$C$7:$C$762&lt;=Lists!$AF5))</f>
        <v>0</v>
      </c>
      <c r="JF11" s="470">
        <f>SUMPRODUCT(('Prenatal Care'!$AF$7:$AF$762=JF$6)*('Prenatal Care'!$C$7:$C$762&gt;=Lists!$AE5)*('Prenatal Care'!$C$7:$C$762&lt;=Lists!$AF5))</f>
        <v>0</v>
      </c>
      <c r="JG11" s="470">
        <f>SUMPRODUCT(('Prenatal Care'!$AF$7:$AF$762=JG$6)*('Prenatal Care'!$C$7:$C$762&gt;=Lists!$AE5)*('Prenatal Care'!$C$7:$C$762&lt;=Lists!$AF5))</f>
        <v>0</v>
      </c>
      <c r="JH11" s="470">
        <f>SUMPRODUCT(('Prenatal Care'!$AF$7:$AF$762=JH$6)*('Prenatal Care'!$C$7:$C$762&gt;=Lists!$AE5)*('Prenatal Care'!$C$7:$C$762&lt;=Lists!$AF5))</f>
        <v>0</v>
      </c>
      <c r="JI11" s="470">
        <f>SUMPRODUCT(('Prenatal Care'!$AF$7:$AF$762=JI$6)*('Prenatal Care'!$C$7:$C$762&gt;=Lists!$AE5)*('Prenatal Care'!$C$7:$C$762&lt;=Lists!$AF5))</f>
        <v>0</v>
      </c>
      <c r="JJ11" s="470">
        <f>SUMPRODUCT(('Prenatal Care'!$AF$7:$AF$762=JJ$6)*('Prenatal Care'!$C$7:$C$762&gt;=Lists!$AE5)*('Prenatal Care'!$C$7:$C$762&lt;=Lists!$AF5))</f>
        <v>0</v>
      </c>
      <c r="JK11" s="470">
        <f>SUMPRODUCT(('Prenatal Care'!$AF$7:$AF$762=JK$6)*('Prenatal Care'!$C$7:$C$762&gt;=Lists!$AE5)*('Prenatal Care'!$C$7:$C$762&lt;=Lists!$AF5))</f>
        <v>0</v>
      </c>
      <c r="JL11" s="470">
        <f>SUMPRODUCT(('Prenatal Care'!$AF$7:$AF$762=JL$6)*('Prenatal Care'!$C$7:$C$762&gt;=Lists!$AE5)*('Prenatal Care'!$C$7:$C$762&lt;=Lists!$AF5))</f>
        <v>0</v>
      </c>
      <c r="JM11" s="470">
        <f>SUMPRODUCT(('Prenatal Care'!$AF$7:$AF$762=JM$6)*('Prenatal Care'!$C$7:$C$762&gt;=Lists!$AE5)*('Prenatal Care'!$C$7:$C$762&lt;=Lists!$AF5))</f>
        <v>0</v>
      </c>
      <c r="JN11" s="470">
        <f>SUMPRODUCT(('Prenatal Care'!$AF$7:$AF$762=JN$6)*('Prenatal Care'!$C$7:$C$762&gt;=Lists!$AE5)*('Prenatal Care'!$C$7:$C$762&lt;=Lists!$AF5))</f>
        <v>0</v>
      </c>
      <c r="JO11" s="470">
        <f>SUMPRODUCT(('Prenatal Care'!$AF$7:$AF$762=JO$6)*('Prenatal Care'!$C$7:$C$762&gt;=Lists!$AE5)*('Prenatal Care'!$C$7:$C$762&lt;=Lists!$AF5))</f>
        <v>0</v>
      </c>
      <c r="JP11" s="470">
        <f>SUMPRODUCT(('Prenatal Care'!$AF$7:$AF$762=JP$6)*('Prenatal Care'!$C$7:$C$762&gt;=Lists!$AE5)*('Prenatal Care'!$C$7:$C$762&lt;=Lists!$AF5))</f>
        <v>0</v>
      </c>
      <c r="JQ11" s="475">
        <f>SUMPRODUCT(('Prenatal Care'!$AF$7:$AF$762=JQ$6)*('Prenatal Care'!$C$7:$C$762&gt;=Lists!$AE5)*('Prenatal Care'!$C$7:$C$762&lt;=Lists!$AF5))</f>
        <v>0</v>
      </c>
      <c r="JR11" s="471">
        <f t="shared" si="28"/>
        <v>0</v>
      </c>
      <c r="JS11" s="469">
        <f>SUMPRODUCT(('Prenatal Care'!$AH$7:$AH$762=JS$6)*('Prenatal Care'!$C$7:$C$762&gt;=Lists!$AE5)*('Prenatal Care'!$C$7:$C$762&lt;=Lists!$AF5))</f>
        <v>0</v>
      </c>
      <c r="JT11" s="470">
        <f>SUMPRODUCT(('Prenatal Care'!$AH$7:$AH$762=JT$6)*('Prenatal Care'!$C$7:$C$762&gt;=Lists!$AE5)*('Prenatal Care'!$C$7:$C$762&lt;=Lists!$AF5))</f>
        <v>0</v>
      </c>
      <c r="JU11" s="470">
        <f>SUMPRODUCT(('Prenatal Care'!$AH$7:$AH$762=JU$6)*('Prenatal Care'!$C$7:$C$762&gt;=Lists!$AE5)*('Prenatal Care'!$C$7:$C$762&lt;=Lists!$AF5))</f>
        <v>0</v>
      </c>
      <c r="JV11" s="470">
        <f>SUMPRODUCT(('Prenatal Care'!$AH$7:$AH$762=JV$6)*('Prenatal Care'!$C$7:$C$762&gt;=Lists!$AE5)*('Prenatal Care'!$C$7:$C$762&lt;=Lists!$AF5))</f>
        <v>0</v>
      </c>
      <c r="JW11" s="470">
        <f>SUMPRODUCT(('Prenatal Care'!$AH$7:$AH$762=JW$6)*('Prenatal Care'!$C$7:$C$762&gt;=Lists!$AE5)*('Prenatal Care'!$C$7:$C$762&lt;=Lists!$AF5))</f>
        <v>0</v>
      </c>
      <c r="JX11" s="470">
        <f>SUMPRODUCT(('Prenatal Care'!$AH$7:$AH$762=JX$6)*('Prenatal Care'!$C$7:$C$762&gt;=Lists!$AE5)*('Prenatal Care'!$C$7:$C$762&lt;=Lists!$AF5))</f>
        <v>0</v>
      </c>
      <c r="JY11" s="470">
        <f>SUMPRODUCT(('Prenatal Care'!$AH$7:$AH$762=JY$6)*('Prenatal Care'!$C$7:$C$762&gt;=Lists!$AE5)*('Prenatal Care'!$C$7:$C$762&lt;=Lists!$AF5))</f>
        <v>0</v>
      </c>
      <c r="JZ11" s="470">
        <f>SUMPRODUCT(('Prenatal Care'!$AH$7:$AH$762=JZ$6)*('Prenatal Care'!$C$7:$C$762&gt;=Lists!$AE5)*('Prenatal Care'!$C$7:$C$762&lt;=Lists!$AF5))</f>
        <v>0</v>
      </c>
      <c r="KA11" s="470">
        <f>SUMPRODUCT(('Prenatal Care'!$AH$7:$AH$762=KA$6)*('Prenatal Care'!$C$7:$C$762&gt;=Lists!$AE5)*('Prenatal Care'!$C$7:$C$762&lt;=Lists!$AF5))</f>
        <v>0</v>
      </c>
      <c r="KB11" s="470">
        <f>SUMPRODUCT(('Prenatal Care'!$AH$7:$AH$762=KB$6)*('Prenatal Care'!$C$7:$C$762&gt;=Lists!$AE5)*('Prenatal Care'!$C$7:$C$762&lt;=Lists!$AF5))</f>
        <v>0</v>
      </c>
      <c r="KC11" s="475">
        <f>SUMPRODUCT(('Prenatal Care'!$AH$7:$AH$762=KC$6)*('Prenatal Care'!$C$7:$C$762&gt;=Lists!$AE5)*('Prenatal Care'!$C$7:$C$762&lt;=Lists!$AF5))</f>
        <v>0</v>
      </c>
      <c r="KD11" s="471">
        <f t="shared" si="29"/>
        <v>0</v>
      </c>
      <c r="KE11" s="473">
        <f>SUMPRODUCT(('Prenatal Care'!$AI$7:$AI$762=KE$6)*('Prenatal Care'!$C$7:$C$762&gt;=Lists!$AE5)*('Prenatal Care'!$C$7:$C$762&lt;=Lists!$AF5))</f>
        <v>0</v>
      </c>
      <c r="KF11" s="470">
        <f>SUMPRODUCT(('Prenatal Care'!$AI$7:$AI$762=KF$6)*('Prenatal Care'!$C$7:$C$762&gt;=Lists!$AE5)*('Prenatal Care'!$C$7:$C$762&lt;=Lists!$AF5))</f>
        <v>0</v>
      </c>
      <c r="KG11" s="470">
        <f>SUMPRODUCT(('Prenatal Care'!$AI$7:$AI$762=KG$6)*('Prenatal Care'!$C$7:$C$762&gt;=Lists!$AE5)*('Prenatal Care'!$C$7:$C$762&lt;=Lists!$AF5))</f>
        <v>0</v>
      </c>
      <c r="KH11" s="470">
        <f>SUMPRODUCT(('Prenatal Care'!$AI$7:$AI$762=KH$6)*('Prenatal Care'!$C$7:$C$762&gt;=Lists!$AE5)*('Prenatal Care'!$C$7:$C$762&lt;=Lists!$AF5))</f>
        <v>0</v>
      </c>
      <c r="KI11" s="475">
        <f>SUMPRODUCT(('Prenatal Care'!$AI$7:$AI$762=KI$6)*('Prenatal Care'!$C$7:$C$762&gt;=Lists!$AE5)*('Prenatal Care'!$C$7:$C$762&lt;=Lists!$AF5))</f>
        <v>0</v>
      </c>
      <c r="KJ11" s="471">
        <f t="shared" si="5"/>
        <v>0</v>
      </c>
      <c r="KK11" s="518">
        <f t="shared" si="6"/>
        <v>0</v>
      </c>
      <c r="KN11" s="15"/>
      <c r="KO11" s="15"/>
      <c r="KP11" s="15"/>
      <c r="KQ11" s="15"/>
      <c r="KR11" s="15"/>
      <c r="KS11" s="15"/>
      <c r="KT11" s="15"/>
      <c r="KU11" s="16"/>
      <c r="KV11" s="15"/>
      <c r="KW11" s="15"/>
      <c r="KX11" s="15"/>
      <c r="KY11" s="15"/>
      <c r="KZ11" s="15"/>
    </row>
    <row r="12" spans="1:312" ht="15" customHeight="1" x14ac:dyDescent="0.35">
      <c r="A12" s="567">
        <v>45870</v>
      </c>
      <c r="B12" s="448">
        <f>SUMPRODUCT(('Prenatal Care'!$F$7:$F$762=B$6)*('Prenatal Care'!$C$7:$C$762&gt;=Lists!$AE6)*('Prenatal Care'!$C$7:$C$762&lt;=Lists!$AF6))</f>
        <v>0</v>
      </c>
      <c r="C12" s="449">
        <f>SUMPRODUCT(('Prenatal Care'!$F$7:$F$762=C$6)*('Prenatal Care'!$C$7:$C$762&gt;=Lists!$AE6)*('Prenatal Care'!$C$7:$C$762&lt;=Lists!$AF6))</f>
        <v>0</v>
      </c>
      <c r="D12" s="449">
        <f>SUMPRODUCT(('Prenatal Care'!$F$7:$F$762=D$6)*('Prenatal Care'!$C$7:$C$762&gt;=Lists!$AE6)*('Prenatal Care'!$C$7:$C$762&lt;=Lists!$AF6))</f>
        <v>0</v>
      </c>
      <c r="E12" s="450">
        <f>SUMPRODUCT(('Prenatal Care'!$F$7:$F$762=E$6)*('Prenatal Care'!$C$7:$C$762&gt;=Lists!$AE6)*('Prenatal Care'!$C$7:$C$762&lt;=Lists!$AF6))</f>
        <v>0</v>
      </c>
      <c r="F12" s="213">
        <f t="shared" si="7"/>
        <v>0</v>
      </c>
      <c r="G12" s="441">
        <f>SUMPRODUCT(('Prenatal Care'!$G$7:$G$762=G$6)*('Prenatal Care'!$C$7:$C$762&gt;=Lists!$AE6)*('Prenatal Care'!$C$7:$C$762&lt;=Lists!$AF6))</f>
        <v>0</v>
      </c>
      <c r="H12" s="441">
        <f>SUMPRODUCT(('Prenatal Care'!$G$7:$G$762=H$6)*('Prenatal Care'!$C$7:$C$762&gt;=Lists!$AE6)*('Prenatal Care'!$C$7:$C$762&lt;=Lists!$AF6))</f>
        <v>0</v>
      </c>
      <c r="I12" s="441">
        <f>SUMPRODUCT(('Prenatal Care'!$G$7:$G$762=I$6)*('Prenatal Care'!$C$7:$C$762&gt;=Lists!$AE6)*('Prenatal Care'!$C$7:$C$762&lt;=Lists!$AF6))</f>
        <v>0</v>
      </c>
      <c r="J12" s="441">
        <f>SUMPRODUCT(('Prenatal Care'!$G$7:$G$762=J$6)*('Prenatal Care'!$C$7:$C$762&gt;=Lists!$AE6)*('Prenatal Care'!$C$7:$C$762&lt;=Lists!$AF6))</f>
        <v>0</v>
      </c>
      <c r="K12" s="441">
        <f>SUMPRODUCT(('Prenatal Care'!$G$7:$G$762=K$6)*('Prenatal Care'!$C$7:$C$762&gt;=Lists!$AE6)*('Prenatal Care'!$C$7:$C$762&lt;=Lists!$AF6))</f>
        <v>0</v>
      </c>
      <c r="L12" s="441">
        <f>SUMPRODUCT(('Prenatal Care'!$G$7:$G$762=L$6)*('Prenatal Care'!$C$7:$C$762&gt;=Lists!$AE6)*('Prenatal Care'!$C$7:$C$762&lt;=Lists!$AF6))</f>
        <v>0</v>
      </c>
      <c r="M12" s="441">
        <f>SUMPRODUCT(('Prenatal Care'!$G$7:$G$762=M$6)*('Prenatal Care'!$C$7:$C$762&gt;=Lists!$AE6)*('Prenatal Care'!$C$7:$C$762&lt;=Lists!$AF6))</f>
        <v>0</v>
      </c>
      <c r="N12" s="170">
        <f t="shared" si="8"/>
        <v>0</v>
      </c>
      <c r="O12" s="441">
        <f>SUMPRODUCT(('Prenatal Care'!$H$7:$H$762=O$6)*('Prenatal Care'!$C$7:$C$762&gt;=Lists!$AE6)*('Prenatal Care'!$C$7:$C$762&lt;=Lists!$AF6))</f>
        <v>0</v>
      </c>
      <c r="P12" s="441">
        <f>SUMPRODUCT(('Prenatal Care'!$H$7:$H$762=P$6)*('Prenatal Care'!$C$7:$C$762&gt;=Lists!$AE6)*('Prenatal Care'!$C$7:$C$762&lt;=Lists!$AF6))</f>
        <v>0</v>
      </c>
      <c r="Q12" s="441">
        <f>SUMPRODUCT(('Prenatal Care'!$H$7:$H$762=Q$6)*('Prenatal Care'!$C$7:$C$762&gt;=Lists!$AE6)*('Prenatal Care'!$C$7:$C$762&lt;=Lists!$AF6))</f>
        <v>0</v>
      </c>
      <c r="R12" s="441">
        <f>SUMPRODUCT(('Prenatal Care'!$H$7:$H$762=R$6)*('Prenatal Care'!$C$7:$C$762&gt;=Lists!$AE6)*('Prenatal Care'!$C$7:$C$762&lt;=Lists!$AF6))</f>
        <v>0</v>
      </c>
      <c r="S12" s="441">
        <f>SUMPRODUCT(('Prenatal Care'!$H$7:$H$762=S$6)*('Prenatal Care'!$C$7:$C$762&gt;=Lists!$AE6)*('Prenatal Care'!$C$7:$C$762&lt;=Lists!$AF6))</f>
        <v>0</v>
      </c>
      <c r="T12" s="441">
        <f>SUMPRODUCT(('Prenatal Care'!$H$7:$H$762=T$6)*('Prenatal Care'!$C$7:$C$762&gt;=Lists!$AE6)*('Prenatal Care'!$C$7:$C$762&lt;=Lists!$AF6))</f>
        <v>0</v>
      </c>
      <c r="U12" s="441">
        <f>SUMPRODUCT(('Prenatal Care'!$H$7:$H$762=U$6)*('Prenatal Care'!$C$7:$C$762&gt;=Lists!$AE6)*('Prenatal Care'!$C$7:$C$762&lt;=Lists!$AF6))</f>
        <v>0</v>
      </c>
      <c r="V12" s="170">
        <f t="shared" si="9"/>
        <v>0</v>
      </c>
      <c r="W12" s="441">
        <f>SUMPRODUCT(('Prenatal Care'!$I$7:$I$762=W$6)*('Prenatal Care'!$C$7:$C$762&gt;=Lists!$AE6)*('Prenatal Care'!$C$7:$C$762&lt;=Lists!$AF6))</f>
        <v>0</v>
      </c>
      <c r="X12" s="441">
        <f>SUMPRODUCT(('Prenatal Care'!$I$7:$I$762=X$6)*('Prenatal Care'!$C$7:$C$762&gt;=Lists!$AE6)*('Prenatal Care'!$C$7:$C$762&lt;=Lists!$AF6))</f>
        <v>0</v>
      </c>
      <c r="Y12" s="441">
        <f>SUMPRODUCT(('Prenatal Care'!$I$7:$I$762=Y$6)*('Prenatal Care'!$C$7:$C$762&gt;=Lists!$AE6)*('Prenatal Care'!$C$7:$C$762&lt;=Lists!$AF6))</f>
        <v>0</v>
      </c>
      <c r="Z12" s="441">
        <f>SUMPRODUCT(('Prenatal Care'!$I$7:$I$762=Z$6)*('Prenatal Care'!$C$7:$C$762&gt;=Lists!$AE6)*('Prenatal Care'!$C$7:$C$762&lt;=Lists!$AF6))</f>
        <v>0</v>
      </c>
      <c r="AA12" s="441">
        <f>SUMPRODUCT(('Prenatal Care'!$I$7:$I$762=AA$6)*('Prenatal Care'!$C$7:$C$762&gt;=Lists!$AE6)*('Prenatal Care'!$C$7:$C$762&lt;=Lists!$AF6))</f>
        <v>0</v>
      </c>
      <c r="AB12" s="441">
        <f>SUMPRODUCT(('Prenatal Care'!$I$7:$I$762=AB$6)*('Prenatal Care'!$C$7:$C$762&gt;=Lists!$AE6)*('Prenatal Care'!$C$7:$C$762&lt;=Lists!$AF6))</f>
        <v>0</v>
      </c>
      <c r="AC12" s="170">
        <f t="shared" si="10"/>
        <v>0</v>
      </c>
      <c r="AD12" s="441">
        <f>SUMPRODUCT(('Prenatal Care'!$J$7:$J$762=AD$6)*('Prenatal Care'!$C$7:$C$762&gt;=Lists!$AE6)*('Prenatal Care'!$C$7:$C$762&lt;=Lists!$AF6))</f>
        <v>0</v>
      </c>
      <c r="AE12" s="441">
        <f>SUMPRODUCT(('Prenatal Care'!$J$7:$J$762=AE$6)*('Prenatal Care'!$C$7:$C$762&gt;=Lists!$AE6)*('Prenatal Care'!$C$7:$C$762&lt;=Lists!$AF6))</f>
        <v>0</v>
      </c>
      <c r="AF12" s="441">
        <f>SUMPRODUCT(('Prenatal Care'!$J$7:$J$762=AF$6)*('Prenatal Care'!$C$7:$C$762&gt;=Lists!$AE6)*('Prenatal Care'!$C$7:$C$762&lt;=Lists!$AF6))</f>
        <v>0</v>
      </c>
      <c r="AG12" s="441">
        <f>SUMPRODUCT(('Prenatal Care'!$J$7:$J$762=AG$6)*('Prenatal Care'!$C$7:$C$762&gt;=Lists!$AE6)*('Prenatal Care'!$C$7:$C$762&lt;=Lists!$AF6))</f>
        <v>0</v>
      </c>
      <c r="AH12" s="170">
        <f t="shared" si="11"/>
        <v>0</v>
      </c>
      <c r="AI12" s="441">
        <f>SUMPRODUCT(('Prenatal Care'!$K$7:$K$762=AI$6)*('Prenatal Care'!$C$7:$C$762&gt;=Lists!$AE6)*('Prenatal Care'!$C$7:$C$762&lt;=Lists!$AF6))</f>
        <v>0</v>
      </c>
      <c r="AJ12" s="441">
        <f>SUMPRODUCT(('Prenatal Care'!$K$7:$K$762=AJ$6)*('Prenatal Care'!$C$7:$C$762&gt;=Lists!$AE6)*('Prenatal Care'!$C$7:$C$762&lt;=Lists!$AF6))</f>
        <v>0</v>
      </c>
      <c r="AK12" s="441">
        <f>SUMPRODUCT(('Prenatal Care'!$K$7:$K$762=AK$6)*('Prenatal Care'!$C$7:$C$762&gt;=Lists!$AE6)*('Prenatal Care'!$C$7:$C$762&lt;=Lists!$AF6))</f>
        <v>0</v>
      </c>
      <c r="AL12" s="441">
        <f>SUMPRODUCT(('Prenatal Care'!$K$7:$K$762=AL$6)*('Prenatal Care'!$C$7:$C$762&gt;=Lists!$AE6)*('Prenatal Care'!$C$7:$C$762&lt;=Lists!$AF6))</f>
        <v>0</v>
      </c>
      <c r="AM12" s="170">
        <f t="shared" si="12"/>
        <v>0</v>
      </c>
      <c r="AN12" s="441">
        <f>SUMPRODUCT(('Prenatal Care'!$L$7:$L$762=AN$6)*('Prenatal Care'!$C$7:$C$762&gt;=Lists!$AE6)*('Prenatal Care'!$C$7:$C$762&lt;=Lists!$AF6))</f>
        <v>0</v>
      </c>
      <c r="AO12" s="441">
        <f>SUMPRODUCT(('Prenatal Care'!$L$7:$L$762=AO$6)*('Prenatal Care'!$C$7:$C$762&gt;=Lists!$AE6)*('Prenatal Care'!$C$7:$C$762&lt;=Lists!$AF6))</f>
        <v>0</v>
      </c>
      <c r="AP12" s="441">
        <f>SUMPRODUCT(('Prenatal Care'!$L$7:$L$762=AP$6)*('Prenatal Care'!$C$7:$C$762&gt;=Lists!$AE6)*('Prenatal Care'!$C$7:$C$762&lt;=Lists!$AF6))</f>
        <v>0</v>
      </c>
      <c r="AQ12" s="441">
        <f>SUMPRODUCT(('Prenatal Care'!$L$7:$L$762=AQ$6)*('Prenatal Care'!$C$7:$C$762&gt;=Lists!$AE6)*('Prenatal Care'!$C$7:$C$762&lt;=Lists!$AF6))</f>
        <v>0</v>
      </c>
      <c r="AR12" s="170">
        <f t="shared" si="13"/>
        <v>0</v>
      </c>
      <c r="AS12" s="466">
        <f>SUMPRODUCT(('Prenatal Care'!$M$7:$M$762=AS$6)*('Prenatal Care'!$C$7:$C$762&gt;=Lists!$AE6)*('Prenatal Care'!$C$7:$C$762&lt;=Lists!$AF6))</f>
        <v>0</v>
      </c>
      <c r="AT12" s="467">
        <f>SUMPRODUCT(('Prenatal Care'!$M$7:$M$762=AT$6)*('Prenatal Care'!$C$7:$C$762&gt;=Lists!$AE6)*('Prenatal Care'!$C$7:$C$762&lt;=Lists!$AF6))</f>
        <v>0</v>
      </c>
      <c r="AU12" s="467">
        <f>SUMPRODUCT(('Prenatal Care'!$M$7:$M$762=AU$6)*('Prenatal Care'!$C$7:$C$762&gt;=Lists!$AE6)*('Prenatal Care'!$C$7:$C$762&lt;=Lists!$AF6))</f>
        <v>0</v>
      </c>
      <c r="AV12" s="498">
        <f>SUMPRODUCT(('Prenatal Care'!$M$7:$M$762=AV$6)*('Prenatal Care'!$C$7:$C$762&gt;=Lists!$AE6)*('Prenatal Care'!$C$7:$C$762&lt;=Lists!$AF6))</f>
        <v>0</v>
      </c>
      <c r="AW12" s="468">
        <f t="shared" si="14"/>
        <v>0</v>
      </c>
      <c r="AX12" s="473">
        <f>SUMPRODUCT(('Prenatal Care'!$N$7:$N$762=AX$6)*('Prenatal Care'!$C$7:$C$762&gt;=Lists!$AE6)*('Prenatal Care'!$C$7:$C$762&lt;=Lists!$AF6))</f>
        <v>0</v>
      </c>
      <c r="AY12" s="470">
        <f>SUMPRODUCT(('Prenatal Care'!$N$7:$N$762=AY$6)*('Prenatal Care'!$C$7:$C$762&gt;=Lists!$AE6)*('Prenatal Care'!$C$7:$C$762&lt;=Lists!$AF6))</f>
        <v>0</v>
      </c>
      <c r="AZ12" s="470">
        <f>SUMPRODUCT(('Prenatal Care'!$N$7:$N$762=AZ$6)*('Prenatal Care'!$C$7:$C$762&gt;=Lists!$AE6)*('Prenatal Care'!$C$7:$C$762&lt;=Lists!$AF6))</f>
        <v>0</v>
      </c>
      <c r="BA12" s="470">
        <f>SUMPRODUCT(('Prenatal Care'!$N$7:$N$762=BA$6)*('Prenatal Care'!$C$7:$C$762&gt;=Lists!$AE6)*('Prenatal Care'!$C$7:$C$762&lt;=Lists!$AF6))</f>
        <v>0</v>
      </c>
      <c r="BB12" s="475">
        <f>SUMPRODUCT(('Prenatal Care'!$N$7:$N$762=BB$6)*('Prenatal Care'!$C$7:$C$762&gt;=Lists!$AE6)*('Prenatal Care'!$C$7:$C$762&lt;=Lists!$AF6))</f>
        <v>0</v>
      </c>
      <c r="BC12" s="471">
        <f t="shared" si="15"/>
        <v>0</v>
      </c>
      <c r="BD12" s="473">
        <f>SUMPRODUCT(('Prenatal Care'!$O$7:$O$762=BD$6)*('Prenatal Care'!$C$7:$C$762&gt;=Lists!$AE6)*('Prenatal Care'!$C$7:$C$762&lt;=Lists!$AF6))</f>
        <v>0</v>
      </c>
      <c r="BE12" s="470">
        <f>SUMPRODUCT(('Prenatal Care'!$O$7:$O$762=BE$6)*('Prenatal Care'!$C$7:$C$762&gt;=Lists!$AE6)*('Prenatal Care'!$C$7:$C$762&lt;=Lists!$AF6))</f>
        <v>0</v>
      </c>
      <c r="BF12" s="470">
        <f>SUMPRODUCT(('Prenatal Care'!$O$7:$O$762=BF$6)*('Prenatal Care'!$C$7:$C$762&gt;=Lists!$AE6)*('Prenatal Care'!$C$7:$C$762&lt;=Lists!$AF6))</f>
        <v>0</v>
      </c>
      <c r="BG12" s="470">
        <f>SUMPRODUCT(('Prenatal Care'!$O$7:$O$762=BG$6)*('Prenatal Care'!$C$7:$C$762&gt;=Lists!$AE6)*('Prenatal Care'!$C$7:$C$762&lt;=Lists!$AF6))</f>
        <v>0</v>
      </c>
      <c r="BH12" s="470">
        <f>SUMPRODUCT(('Prenatal Care'!$O$7:$O$762=BH$6)*('Prenatal Care'!$C$7:$C$762&gt;=Lists!$AE6)*('Prenatal Care'!$C$7:$C$762&lt;=Lists!$AF6))</f>
        <v>0</v>
      </c>
      <c r="BI12" s="475">
        <f>SUMPRODUCT(('Prenatal Care'!$O$7:$O$762=BI$6)*('Prenatal Care'!$C$7:$C$762&gt;=Lists!$AE6)*('Prenatal Care'!$C$7:$C$762&lt;=Lists!$AF6))</f>
        <v>0</v>
      </c>
      <c r="BJ12" s="471">
        <f t="shared" si="16"/>
        <v>0</v>
      </c>
      <c r="BK12" s="473">
        <f>SUMPRODUCT(('Prenatal Care'!$P$7:$P$762=BK$6)*('Prenatal Care'!$C$7:$C$762&gt;=Lists!$AE6)*('Prenatal Care'!$C$7:$C$762&lt;=Lists!$AF6))</f>
        <v>0</v>
      </c>
      <c r="BL12" s="470">
        <f>SUMPRODUCT(('Prenatal Care'!$P$7:$P$762=BL$6)*('Prenatal Care'!$C$7:$C$762&gt;=Lists!$AE6)*('Prenatal Care'!$C$7:$C$762&lt;=Lists!$AF6))</f>
        <v>0</v>
      </c>
      <c r="BM12" s="470">
        <f>SUMPRODUCT(('Prenatal Care'!$P$7:$P$762=BM$6)*('Prenatal Care'!$C$7:$C$762&gt;=Lists!$AE6)*('Prenatal Care'!$C$7:$C$762&lt;=Lists!$AF6))</f>
        <v>0</v>
      </c>
      <c r="BN12" s="470">
        <f>SUMPRODUCT(('Prenatal Care'!$P$7:$P$762=BN$6)*('Prenatal Care'!$C$7:$C$762&gt;=Lists!$AE6)*('Prenatal Care'!$C$7:$C$762&lt;=Lists!$AF6))</f>
        <v>0</v>
      </c>
      <c r="BO12" s="475">
        <f>SUMPRODUCT(('Prenatal Care'!$P$7:$P$762=BO$6)*('Prenatal Care'!$C$7:$C$762&gt;=Lists!$AE6)*('Prenatal Care'!$C$7:$C$762&lt;=Lists!$AF6))</f>
        <v>0</v>
      </c>
      <c r="BP12" s="471">
        <f t="shared" si="0"/>
        <v>0</v>
      </c>
      <c r="BQ12" s="473">
        <f>SUMPRODUCT(('Prenatal Care'!$Q$7:$Q$762=BQ$6)*('Prenatal Care'!$C$7:$C$762&gt;=Lists!$AE6)*('Prenatal Care'!$C$7:$C$762&lt;=Lists!$AF6))</f>
        <v>0</v>
      </c>
      <c r="BR12" s="470">
        <f>SUMPRODUCT(('Prenatal Care'!$Q$7:$Q$762=BR$6)*('Prenatal Care'!$C$7:$C$762&gt;=Lists!$AE6)*('Prenatal Care'!$C$7:$C$762&lt;=Lists!$AF6))</f>
        <v>0</v>
      </c>
      <c r="BS12" s="470">
        <f>SUMPRODUCT(('Prenatal Care'!$Q$7:$Q$762=BS$6)*('Prenatal Care'!$C$7:$C$762&gt;=Lists!$AE6)*('Prenatal Care'!$C$7:$C$762&lt;=Lists!$AF6))</f>
        <v>0</v>
      </c>
      <c r="BT12" s="470">
        <f>SUMPRODUCT(('Prenatal Care'!$Q$7:$Q$762=BT$6)*('Prenatal Care'!$C$7:$C$762&gt;=Lists!$AE6)*('Prenatal Care'!$C$7:$C$762&lt;=Lists!$AF6))</f>
        <v>0</v>
      </c>
      <c r="BU12" s="470">
        <f>SUMPRODUCT(('Prenatal Care'!$Q$7:$Q$762=BU$6)*('Prenatal Care'!$C$7:$C$762&gt;=Lists!$AE6)*('Prenatal Care'!$C$7:$C$762&lt;=Lists!$AF6))</f>
        <v>0</v>
      </c>
      <c r="BV12" s="475">
        <f>SUMPRODUCT(('Prenatal Care'!$Q$7:$Q$762=BV$6)*('Prenatal Care'!$C$7:$C$762&gt;=Lists!$AE6)*('Prenatal Care'!$C$7:$C$762&lt;=Lists!$AF6))</f>
        <v>0</v>
      </c>
      <c r="BW12" s="472">
        <f t="shared" si="1"/>
        <v>0</v>
      </c>
      <c r="BX12" s="473">
        <f>SUMPRODUCT(('Prenatal Care'!$R$7:$R$762=BX$6)*('Prenatal Care'!$C$7:$C$762&gt;=Lists!$AE6)*('Prenatal Care'!$C$7:$C$762&lt;=Lists!$AF6))</f>
        <v>0</v>
      </c>
      <c r="BY12" s="470">
        <f>SUMPRODUCT(('Prenatal Care'!$R$7:$R$762=BY$6)*('Prenatal Care'!$C$7:$C$762&gt;=Lists!$AE6)*('Prenatal Care'!$C$7:$C$762&lt;=Lists!$AF6))</f>
        <v>0</v>
      </c>
      <c r="BZ12" s="470">
        <f>SUMPRODUCT(('Prenatal Care'!$R$7:$R$762=BZ$6)*('Prenatal Care'!$C$7:$C$762&gt;=Lists!$AE6)*('Prenatal Care'!$C$7:$C$762&lt;=Lists!$AF6))</f>
        <v>0</v>
      </c>
      <c r="CA12" s="470">
        <f>SUMPRODUCT(('Prenatal Care'!$R$7:$R$762=CA$6)*('Prenatal Care'!$C$7:$C$762&gt;=Lists!$AE6)*('Prenatal Care'!$C$7:$C$762&lt;=Lists!$AF6))</f>
        <v>0</v>
      </c>
      <c r="CB12" s="475">
        <f>SUMPRODUCT(('Prenatal Care'!$R$7:$R$762=CB$6)*('Prenatal Care'!$C$7:$C$762&gt;=Lists!$AE6)*('Prenatal Care'!$C$7:$C$762&lt;=Lists!$AF6))</f>
        <v>0</v>
      </c>
      <c r="CC12" s="471">
        <f t="shared" si="17"/>
        <v>0</v>
      </c>
      <c r="CD12" s="469">
        <f>SUMPRODUCT(('Prenatal Care'!$S$7:$S$762=CD$6)*('Prenatal Care'!$C$7:$C$762&gt;=Lists!$AE6)*('Prenatal Care'!$C$7:$C$762&lt;=Lists!$AF6))</f>
        <v>0</v>
      </c>
      <c r="CE12" s="473">
        <f>SUMPRODUCT(('Prenatal Care'!$S$7:$S$762=CE$6)*('Prenatal Care'!$C$7:$C$762&gt;=Lists!$AE6)*('Prenatal Care'!$C$7:$C$762&lt;=Lists!$AF6))</f>
        <v>0</v>
      </c>
      <c r="CF12" s="470">
        <f>SUMPRODUCT(('Prenatal Care'!$S$7:$S$762=CF$6)*('Prenatal Care'!$C$7:$C$762&gt;=Lists!$AE6)*('Prenatal Care'!$C$7:$C$762&lt;=Lists!$AF6))</f>
        <v>0</v>
      </c>
      <c r="CG12" s="470">
        <f>SUMPRODUCT(('Prenatal Care'!$S$7:$S$762=CG$6)*('Prenatal Care'!$C$7:$C$762&gt;=Lists!$AE6)*('Prenatal Care'!$C$7:$C$762&lt;=Lists!$AF6))</f>
        <v>0</v>
      </c>
      <c r="CH12" s="470">
        <f>SUMPRODUCT(('Prenatal Care'!$S$7:$S$762=CH$6)*('Prenatal Care'!$C$7:$C$762&gt;=Lists!$AE6)*('Prenatal Care'!$C$7:$C$762&lt;=Lists!$AF6))</f>
        <v>0</v>
      </c>
      <c r="CI12" s="470">
        <f>SUMPRODUCT(('Prenatal Care'!$S$7:$S$762=CI$6)*('Prenatal Care'!$C$7:$C$762&gt;=Lists!$AE6)*('Prenatal Care'!$C$7:$C$762&lt;=Lists!$AF6))</f>
        <v>0</v>
      </c>
      <c r="CJ12" s="470">
        <f>SUMPRODUCT(('Prenatal Care'!$S$7:$S$762=CJ$6)*('Prenatal Care'!$C$7:$C$762&gt;=Lists!$AE6)*('Prenatal Care'!$C$7:$C$762&lt;=Lists!$AF6))</f>
        <v>0</v>
      </c>
      <c r="CK12" s="470">
        <f>SUMPRODUCT(('Prenatal Care'!$S$7:$S$762=CK$6)*('Prenatal Care'!$C$7:$C$762&gt;=Lists!$AE6)*('Prenatal Care'!$C$7:$C$762&lt;=Lists!$AF6))</f>
        <v>0</v>
      </c>
      <c r="CL12" s="470">
        <f>SUMPRODUCT(('Prenatal Care'!$S$7:$S$762=CL$6)*('Prenatal Care'!$C$7:$C$762&gt;=Lists!$AE6)*('Prenatal Care'!$C$7:$C$762&lt;=Lists!$AF6))</f>
        <v>0</v>
      </c>
      <c r="CM12" s="475">
        <f>SUMPRODUCT(('Prenatal Care'!$S$7:$S$762=CM$6)*('Prenatal Care'!$C$7:$C$762&gt;=Lists!$AE6)*('Prenatal Care'!$C$7:$C$762&lt;=Lists!$AF6))</f>
        <v>0</v>
      </c>
      <c r="CN12" s="471">
        <f t="shared" si="18"/>
        <v>0</v>
      </c>
      <c r="CO12" s="473">
        <f>SUMPRODUCT(('Prenatal Care'!$T$7:$T$762=CO$6)*('Prenatal Care'!$C$7:$C$762&gt;=Lists!$AE6)*('Prenatal Care'!$C$7:$C$762&lt;=Lists!$AF6))</f>
        <v>0</v>
      </c>
      <c r="CP12" s="470">
        <f>SUMPRODUCT(('Prenatal Care'!$T$7:$T$762=CP$6)*('Prenatal Care'!$C$7:$C$762&gt;=Lists!$AE6)*('Prenatal Care'!$C$7:$C$762&lt;=Lists!$AF6))</f>
        <v>0</v>
      </c>
      <c r="CQ12" s="475">
        <f>SUMPRODUCT(('Prenatal Care'!$T$7:$T$762=CQ$6)*('Prenatal Care'!$C$7:$C$762&gt;=Lists!$AE6)*('Prenatal Care'!$C$7:$C$762&lt;=Lists!$AF6))</f>
        <v>0</v>
      </c>
      <c r="CR12" s="471">
        <f t="shared" si="19"/>
        <v>0</v>
      </c>
      <c r="CS12" s="505">
        <f>SUMPRODUCT(('Prenatal Care'!$U$7:$U$762=CS$6)*('Prenatal Care'!$C$7:$C$762&gt;=Lists!$AE6)*('Prenatal Care'!$C$7:$C$762&lt;=Lists!$AF6))</f>
        <v>0</v>
      </c>
      <c r="CT12" s="506">
        <f>SUMPRODUCT(('Prenatal Care'!$U$7:$U$762=CT$6)*('Prenatal Care'!$C$7:$C$762&gt;=Lists!$AE6)*('Prenatal Care'!$C$7:$C$762&lt;=Lists!$AF6))</f>
        <v>0</v>
      </c>
      <c r="CU12" s="506">
        <f>SUMPRODUCT(('Prenatal Care'!$U$7:$U$762=CU$6)*('Prenatal Care'!$C$7:$C$762&gt;=Lists!$AE6)*('Prenatal Care'!$C$7:$C$762&lt;=Lists!$AF6))</f>
        <v>0</v>
      </c>
      <c r="CV12" s="506">
        <f>SUMPRODUCT(('Prenatal Care'!$U$7:$U$762=CV$6)*('Prenatal Care'!$C$7:$C$762&gt;=Lists!$AE6)*('Prenatal Care'!$C$7:$C$762&lt;=Lists!$AF6))</f>
        <v>0</v>
      </c>
      <c r="CW12" s="506">
        <f>SUMPRODUCT(('Prenatal Care'!$U$7:$U$762=CW$6)*('Prenatal Care'!$C$7:$C$762&gt;=Lists!$AE6)*('Prenatal Care'!$C$7:$C$762&lt;=Lists!$AF6))</f>
        <v>0</v>
      </c>
      <c r="CX12" s="506">
        <f>SUMPRODUCT(('Prenatal Care'!$U$7:$U$762=CX$6)*('Prenatal Care'!$C$7:$C$762&gt;=Lists!$AE6)*('Prenatal Care'!$C$7:$C$762&lt;=Lists!$AF6))</f>
        <v>0</v>
      </c>
      <c r="CY12" s="506">
        <f>SUMPRODUCT(('Prenatal Care'!$U$7:$U$762=CY$6)*('Prenatal Care'!$C$7:$C$762&gt;=Lists!$AE6)*('Prenatal Care'!$C$7:$C$762&lt;=Lists!$AF6))</f>
        <v>0</v>
      </c>
      <c r="CZ12" s="506">
        <f>SUMPRODUCT(('Prenatal Care'!$U$7:$U$762=CZ$6)*('Prenatal Care'!$C$7:$C$762&gt;=Lists!$AE6)*('Prenatal Care'!$C$7:$C$762&lt;=Lists!$AF6))</f>
        <v>0</v>
      </c>
      <c r="DA12" s="506">
        <f>SUMPRODUCT(('Prenatal Care'!$U$7:$U$762=DA$6)*('Prenatal Care'!$C$7:$C$762&gt;=Lists!$AE6)*('Prenatal Care'!$C$7:$C$762&lt;=Lists!$AF6))</f>
        <v>0</v>
      </c>
      <c r="DB12" s="507">
        <f>SUMPRODUCT(('Prenatal Care'!$U$7:$U$762=DB$6)*('Prenatal Care'!$C$7:$C$762&gt;=Lists!$AE6)*('Prenatal Care'!$C$7:$C$762&lt;=Lists!$AF6))</f>
        <v>0</v>
      </c>
      <c r="DC12" s="471">
        <f t="shared" si="20"/>
        <v>0</v>
      </c>
      <c r="DD12" s="469">
        <f>SUMPRODUCT(('Prenatal Care'!$V$7:$V$762=DD$6)*('Prenatal Care'!$C$7:$C$762&gt;=Lists!$AE6)*('Prenatal Care'!$C$7:$C$762&lt;=Lists!$AF6))</f>
        <v>0</v>
      </c>
      <c r="DE12" s="470">
        <f>SUMPRODUCT(('Prenatal Care'!$V$7:$V$762=DE$6)*('Prenatal Care'!$C$7:$C$762&gt;=Lists!$AE6)*('Prenatal Care'!$C$7:$C$762&lt;=Lists!$AF6))</f>
        <v>0</v>
      </c>
      <c r="DF12" s="470">
        <f>SUMPRODUCT(('Prenatal Care'!$V$7:$V$762=DF$6)*('Prenatal Care'!$C$7:$C$762&gt;=Lists!$AE6)*('Prenatal Care'!$C$7:$C$762&lt;=Lists!$AF6))</f>
        <v>0</v>
      </c>
      <c r="DG12" s="475">
        <f>SUMPRODUCT(('Prenatal Care'!$V$7:$V$762=DG$6)*('Prenatal Care'!$C$7:$C$762&gt;=Lists!$AE6)*('Prenatal Care'!$C$7:$C$762&lt;=Lists!$AF6))</f>
        <v>0</v>
      </c>
      <c r="DH12" s="471">
        <f t="shared" si="21"/>
        <v>0</v>
      </c>
      <c r="DI12" s="473">
        <f>SUMPRODUCT(('Prenatal Care'!$W$7:$W$762=DI$6)*('Prenatal Care'!$C$7:$C$762&gt;=Lists!$AE6)*('Prenatal Care'!$C$7:$C$762&lt;=Lists!$AF6))</f>
        <v>0</v>
      </c>
      <c r="DJ12" s="470">
        <f>SUMPRODUCT(('Prenatal Care'!$W$7:$W$762=DJ$6)*('Prenatal Care'!$C$7:$C$762&gt;=Lists!$AE6)*('Prenatal Care'!$C$7:$C$762&lt;=Lists!$AF6))</f>
        <v>0</v>
      </c>
      <c r="DK12" s="470">
        <f>SUMPRODUCT(('Prenatal Care'!$W$7:$W$762=DK$6)*('Prenatal Care'!$C$7:$C$762&gt;=Lists!$AE6)*('Prenatal Care'!$C$7:$C$762&lt;=Lists!$AF6))</f>
        <v>0</v>
      </c>
      <c r="DL12" s="470">
        <f>SUMPRODUCT(('Prenatal Care'!$W$7:$W$762=DL$6)*('Prenatal Care'!$C$7:$C$762&gt;=Lists!$AE6)*('Prenatal Care'!$C$7:$C$762&lt;=Lists!$AF6))</f>
        <v>0</v>
      </c>
      <c r="DM12" s="470">
        <f>SUMPRODUCT(('Prenatal Care'!$W$7:$W$762=DM$6)*('Prenatal Care'!$C$7:$C$762&gt;=Lists!$AE6)*('Prenatal Care'!$C$7:$C$762&lt;=Lists!$AF6))</f>
        <v>0</v>
      </c>
      <c r="DN12" s="470">
        <f>SUMPRODUCT(('Prenatal Care'!$W$7:$W$762=DN$6)*('Prenatal Care'!$C$7:$C$762&gt;=Lists!$AE6)*('Prenatal Care'!$C$7:$C$762&lt;=Lists!$AF6))</f>
        <v>0</v>
      </c>
      <c r="DO12" s="470">
        <f>SUMPRODUCT(('Prenatal Care'!$W$7:$W$762=DO$6)*('Prenatal Care'!$C$7:$C$762&gt;=Lists!$AE6)*('Prenatal Care'!$C$7:$C$762&lt;=Lists!$AF6))</f>
        <v>0</v>
      </c>
      <c r="DP12" s="470">
        <f>SUMPRODUCT(('Prenatal Care'!$W$7:$W$762=DP$6)*('Prenatal Care'!$C$7:$C$762&gt;=Lists!$AE6)*('Prenatal Care'!$C$7:$C$762&lt;=Lists!$AF6))</f>
        <v>0</v>
      </c>
      <c r="DQ12" s="470">
        <f>SUMPRODUCT(('Prenatal Care'!$W$7:$W$762=DQ$6)*('Prenatal Care'!$C$7:$C$762&gt;=Lists!$AE6)*('Prenatal Care'!$C$7:$C$762&lt;=Lists!$AF6))</f>
        <v>0</v>
      </c>
      <c r="DR12" s="470">
        <f>SUMPRODUCT(('Prenatal Care'!$W$7:$W$762=DR$6)*('Prenatal Care'!$C$7:$C$762&gt;=Lists!$AE6)*('Prenatal Care'!$C$7:$C$762&lt;=Lists!$AF6))</f>
        <v>0</v>
      </c>
      <c r="DS12" s="470">
        <f>SUMPRODUCT(('Prenatal Care'!$W$7:$W$762=DS$6)*('Prenatal Care'!$C$7:$C$762&gt;=Lists!$AE6)*('Prenatal Care'!$C$7:$C$762&lt;=Lists!$AF6))</f>
        <v>0</v>
      </c>
      <c r="DT12" s="470">
        <f>SUMPRODUCT(('Prenatal Care'!$W$7:$W$762=DT$6)*('Prenatal Care'!$C$7:$C$762&gt;=Lists!$AE6)*('Prenatal Care'!$C$7:$C$762&lt;=Lists!$AF6))</f>
        <v>0</v>
      </c>
      <c r="DU12" s="470">
        <f>SUMPRODUCT(('Prenatal Care'!$W$7:$W$762=DU$6)*('Prenatal Care'!$C$7:$C$762&gt;=Lists!$AE6)*('Prenatal Care'!$C$7:$C$762&lt;=Lists!$AF6))</f>
        <v>0</v>
      </c>
      <c r="DV12" s="470">
        <f>SUMPRODUCT(('Prenatal Care'!$W$7:$W$762=DV$6)*('Prenatal Care'!$C$7:$C$762&gt;=Lists!$AE6)*('Prenatal Care'!$C$7:$C$762&lt;=Lists!$AF6))</f>
        <v>0</v>
      </c>
      <c r="DW12" s="470">
        <f>SUMPRODUCT(('Prenatal Care'!$W$7:$W$762=DW$6)*('Prenatal Care'!$C$7:$C$762&gt;=Lists!$AE6)*('Prenatal Care'!$C$7:$C$762&lt;=Lists!$AF6))</f>
        <v>0</v>
      </c>
      <c r="DX12" s="470">
        <f>SUMPRODUCT(('Prenatal Care'!$W$7:$W$762=DX$6)*('Prenatal Care'!$C$7:$C$762&gt;=Lists!$AE6)*('Prenatal Care'!$C$7:$C$762&lt;=Lists!$AF6))</f>
        <v>0</v>
      </c>
      <c r="DY12" s="470">
        <f>SUMPRODUCT(('Prenatal Care'!$W$7:$W$762=DY$6)*('Prenatal Care'!$C$7:$C$762&gt;=Lists!$AE6)*('Prenatal Care'!$C$7:$C$762&lt;=Lists!$AF6))</f>
        <v>0</v>
      </c>
      <c r="DZ12" s="470">
        <f>SUMPRODUCT(('Prenatal Care'!$W$7:$W$762=DZ$6)*('Prenatal Care'!$C$7:$C$762&gt;=Lists!$AE6)*('Prenatal Care'!$C$7:$C$762&lt;=Lists!$AF6))</f>
        <v>0</v>
      </c>
      <c r="EA12" s="470">
        <f>SUMPRODUCT(('Prenatal Care'!$W$7:$W$762=EA$6)*('Prenatal Care'!$C$7:$C$762&gt;=Lists!$AE6)*('Prenatal Care'!$C$7:$C$762&lt;=Lists!$AF6))</f>
        <v>0</v>
      </c>
      <c r="EB12" s="470">
        <f>SUMPRODUCT(('Prenatal Care'!$W$7:$W$762=EB$6)*('Prenatal Care'!$C$7:$C$762&gt;=Lists!$AE6)*('Prenatal Care'!$C$7:$C$762&lt;=Lists!$AF6))</f>
        <v>0</v>
      </c>
      <c r="EC12" s="470">
        <f>SUMPRODUCT(('Prenatal Care'!$W$7:$W$762=EC$6)*('Prenatal Care'!$C$7:$C$762&gt;=Lists!$AE6)*('Prenatal Care'!$C$7:$C$762&lt;=Lists!$AF6))</f>
        <v>0</v>
      </c>
      <c r="ED12" s="470">
        <f>SUMPRODUCT(('Prenatal Care'!$W$7:$W$762=ED$6)*('Prenatal Care'!$C$7:$C$762&gt;=Lists!$AE6)*('Prenatal Care'!$C$7:$C$762&lt;=Lists!$AF6))</f>
        <v>0</v>
      </c>
      <c r="EE12" s="470">
        <f>SUMPRODUCT(('Prenatal Care'!$W$7:$W$762=EE$6)*('Prenatal Care'!$C$7:$C$762&gt;=Lists!$AE6)*('Prenatal Care'!$C$7:$C$762&lt;=Lists!$AF6))</f>
        <v>0</v>
      </c>
      <c r="EF12" s="470">
        <f>SUMPRODUCT(('Prenatal Care'!$W$7:$W$762=EF$6)*('Prenatal Care'!$C$7:$C$762&gt;=Lists!$AE6)*('Prenatal Care'!$C$7:$C$762&lt;=Lists!$AF6))</f>
        <v>0</v>
      </c>
      <c r="EG12" s="470">
        <f>SUMPRODUCT(('Prenatal Care'!$W$7:$W$762=EG$6)*('Prenatal Care'!$C$7:$C$762&gt;=Lists!$AE6)*('Prenatal Care'!$C$7:$C$762&lt;=Lists!$AF6))</f>
        <v>0</v>
      </c>
      <c r="EH12" s="475">
        <f>SUMPRODUCT(('Prenatal Care'!$W$7:$W$762=EH$6)*('Prenatal Care'!$C$7:$C$762&gt;=Lists!$AE6)*('Prenatal Care'!$C$7:$C$762&lt;=Lists!$AF6))</f>
        <v>0</v>
      </c>
      <c r="EI12" s="471">
        <f t="shared" si="22"/>
        <v>0</v>
      </c>
      <c r="EJ12" s="473">
        <f>SUMPRODUCT(('Prenatal Care'!$X$7:$X$762=EJ$6)*('Prenatal Care'!$C$7:$C$762&gt;=Lists!$AE6)*('Prenatal Care'!$C$7:$C$762&lt;=Lists!$AF6))</f>
        <v>0</v>
      </c>
      <c r="EK12" s="470">
        <f>SUMPRODUCT(('Prenatal Care'!$X$7:$X$762=EK$6)*('Prenatal Care'!$C$7:$C$762&gt;=Lists!$AE6)*('Prenatal Care'!$C$7:$C$762&lt;=Lists!$AF6))</f>
        <v>0</v>
      </c>
      <c r="EL12" s="470">
        <f>SUMPRODUCT(('Prenatal Care'!$X$7:$X$762=EL$6)*('Prenatal Care'!$C$7:$C$762&gt;=Lists!$AE6)*('Prenatal Care'!$C$7:$C$762&lt;=Lists!$AF6))</f>
        <v>0</v>
      </c>
      <c r="EM12" s="470">
        <f>SUMPRODUCT(('Prenatal Care'!$X$7:$X$762=EM$6)*('Prenatal Care'!$C$7:$C$762&gt;=Lists!$AE6)*('Prenatal Care'!$C$7:$C$762&lt;=Lists!$AF6))</f>
        <v>0</v>
      </c>
      <c r="EN12" s="470">
        <f>SUMPRODUCT(('Prenatal Care'!$X$7:$X$762=EN$6)*('Prenatal Care'!$C$7:$C$762&gt;=Lists!$AE6)*('Prenatal Care'!$C$7:$C$762&lt;=Lists!$AF6))</f>
        <v>0</v>
      </c>
      <c r="EO12" s="470">
        <f>SUMPRODUCT(('Prenatal Care'!$X$7:$X$762=EO$6)*('Prenatal Care'!$C$7:$C$762&gt;=Lists!$AE6)*('Prenatal Care'!$C$7:$C$762&lt;=Lists!$AF6))</f>
        <v>0</v>
      </c>
      <c r="EP12" s="470">
        <f>SUMPRODUCT(('Prenatal Care'!$X$7:$X$762=EP$6)*('Prenatal Care'!$C$7:$C$762&gt;=Lists!$AE6)*('Prenatal Care'!$C$7:$C$762&lt;=Lists!$AF6))</f>
        <v>0</v>
      </c>
      <c r="EQ12" s="470">
        <f>SUMPRODUCT(('Prenatal Care'!$X$7:$X$762=EQ$6)*('Prenatal Care'!$C$7:$C$762&gt;=Lists!$AE6)*('Prenatal Care'!$C$7:$C$762&lt;=Lists!$AF6))</f>
        <v>0</v>
      </c>
      <c r="ER12" s="470">
        <f>SUMPRODUCT(('Prenatal Care'!$X$7:$X$762=ER$6)*('Prenatal Care'!$C$7:$C$762&gt;=Lists!$AE6)*('Prenatal Care'!$C$7:$C$762&lt;=Lists!$AF6))</f>
        <v>0</v>
      </c>
      <c r="ES12" s="470">
        <f>SUMPRODUCT(('Prenatal Care'!$X$7:$X$762=ES$6)*('Prenatal Care'!$C$7:$C$762&gt;=Lists!$AE6)*('Prenatal Care'!$C$7:$C$762&lt;=Lists!$AF6))</f>
        <v>0</v>
      </c>
      <c r="ET12" s="470">
        <f>SUMPRODUCT(('Prenatal Care'!$X$7:$X$762=ET$6)*('Prenatal Care'!$C$7:$C$762&gt;=Lists!$AE6)*('Prenatal Care'!$C$7:$C$762&lt;=Lists!$AF6))</f>
        <v>0</v>
      </c>
      <c r="EU12" s="470">
        <f>SUMPRODUCT(('Prenatal Care'!$X$7:$X$762=EU$6)*('Prenatal Care'!$C$7:$C$762&gt;=Lists!$AE6)*('Prenatal Care'!$C$7:$C$762&lt;=Lists!$AF6))</f>
        <v>0</v>
      </c>
      <c r="EV12" s="470">
        <f>SUMPRODUCT(('Prenatal Care'!$X$7:$X$762=EV$6)*('Prenatal Care'!$C$7:$C$762&gt;=Lists!$AE6)*('Prenatal Care'!$C$7:$C$762&lt;=Lists!$AF6))</f>
        <v>0</v>
      </c>
      <c r="EW12" s="470">
        <f>SUMPRODUCT(('Prenatal Care'!$X$7:$X$762=EW$6)*('Prenatal Care'!$C$7:$C$762&gt;=Lists!$AE6)*('Prenatal Care'!$C$7:$C$762&lt;=Lists!$AF6))</f>
        <v>0</v>
      </c>
      <c r="EX12" s="470">
        <f>SUMPRODUCT(('Prenatal Care'!$X$7:$X$762=EX$6)*('Prenatal Care'!$C$7:$C$762&gt;=Lists!$AE6)*('Prenatal Care'!$C$7:$C$762&lt;=Lists!$AF6))</f>
        <v>0</v>
      </c>
      <c r="EY12" s="470">
        <f>SUMPRODUCT(('Prenatal Care'!$X$7:$X$762=EY$6)*('Prenatal Care'!$C$7:$C$762&gt;=Lists!$AE6)*('Prenatal Care'!$C$7:$C$762&lt;=Lists!$AF6))</f>
        <v>0</v>
      </c>
      <c r="EZ12" s="470">
        <f>SUMPRODUCT(('Prenatal Care'!$X$7:$X$762=EZ$6)*('Prenatal Care'!$C$7:$C$762&gt;=Lists!$AE6)*('Prenatal Care'!$C$7:$C$762&lt;=Lists!$AF6))</f>
        <v>0</v>
      </c>
      <c r="FA12" s="470">
        <f>SUMPRODUCT(('Prenatal Care'!$X$7:$X$762=FA$6)*('Prenatal Care'!$C$7:$C$762&gt;=Lists!$AE6)*('Prenatal Care'!$C$7:$C$762&lt;=Lists!$AF6))</f>
        <v>0</v>
      </c>
      <c r="FB12" s="470">
        <f>SUMPRODUCT(('Prenatal Care'!$X$7:$X$762=FB$6)*('Prenatal Care'!$C$7:$C$762&gt;=Lists!$AE6)*('Prenatal Care'!$C$7:$C$762&lt;=Lists!$AF6))</f>
        <v>0</v>
      </c>
      <c r="FC12" s="470">
        <f>SUMPRODUCT(('Prenatal Care'!$X$7:$X$762=FC$6)*('Prenatal Care'!$C$7:$C$762&gt;=Lists!$AE6)*('Prenatal Care'!$C$7:$C$762&lt;=Lists!$AF6))</f>
        <v>0</v>
      </c>
      <c r="FD12" s="470">
        <f>SUMPRODUCT(('Prenatal Care'!$X$7:$X$762=FD$6)*('Prenatal Care'!$C$7:$C$762&gt;=Lists!$AE6)*('Prenatal Care'!$C$7:$C$762&lt;=Lists!$AF6))</f>
        <v>0</v>
      </c>
      <c r="FE12" s="470">
        <f>SUMPRODUCT(('Prenatal Care'!$X$7:$X$762=FE$6)*('Prenatal Care'!$C$7:$C$762&gt;=Lists!$AE6)*('Prenatal Care'!$C$7:$C$762&lt;=Lists!$AF6))</f>
        <v>0</v>
      </c>
      <c r="FF12" s="470">
        <f>SUMPRODUCT(('Prenatal Care'!$X$7:$X$762=FF$6)*('Prenatal Care'!$C$7:$C$762&gt;=Lists!$AE6)*('Prenatal Care'!$C$7:$C$762&lt;=Lists!$AF6))</f>
        <v>0</v>
      </c>
      <c r="FG12" s="470">
        <f>SUMPRODUCT(('Prenatal Care'!$X$7:$X$762=FG$6)*('Prenatal Care'!$C$7:$C$762&gt;=Lists!$AE6)*('Prenatal Care'!$C$7:$C$762&lt;=Lists!$AF6))</f>
        <v>0</v>
      </c>
      <c r="FH12" s="470">
        <f>SUMPRODUCT(('Prenatal Care'!$X$7:$X$762=FH$6)*('Prenatal Care'!$C$7:$C$762&gt;=Lists!$AE6)*('Prenatal Care'!$C$7:$C$762&lt;=Lists!$AF6))</f>
        <v>0</v>
      </c>
      <c r="FI12" s="475">
        <f>SUMPRODUCT(('Prenatal Care'!$X$7:$X$762=FI$6)*('Prenatal Care'!$C$7:$C$762&gt;=Lists!$AE6)*('Prenatal Care'!$C$7:$C$762&lt;=Lists!$AF6))</f>
        <v>0</v>
      </c>
      <c r="FJ12" s="471">
        <f t="shared" si="23"/>
        <v>0</v>
      </c>
      <c r="FK12" s="473">
        <f>SUMPRODUCT(('Prenatal Care'!$Y$7:$Y$762=FK$6)*('Prenatal Care'!$C$7:$C$762&gt;=Lists!$AE6)*('Prenatal Care'!$C$7:$C$762&lt;=Lists!$AF6))</f>
        <v>0</v>
      </c>
      <c r="FL12" s="470">
        <f>SUMPRODUCT(('Prenatal Care'!$Y$7:$Y$762=FL$6)*('Prenatal Care'!$C$7:$C$762&gt;=Lists!$AE6)*('Prenatal Care'!$C$7:$C$762&lt;=Lists!$AF6))</f>
        <v>0</v>
      </c>
      <c r="FM12" s="470">
        <f>SUMPRODUCT(('Prenatal Care'!$Y$7:$Y$762=FM$6)*('Prenatal Care'!$C$7:$C$762&gt;=Lists!$AE6)*('Prenatal Care'!$C$7:$C$762&lt;=Lists!$AF6))</f>
        <v>0</v>
      </c>
      <c r="FN12" s="470">
        <f>SUMPRODUCT(('Prenatal Care'!$Y$7:$Y$762=FN$6)*('Prenatal Care'!$C$7:$C$762&gt;=Lists!$AE6)*('Prenatal Care'!$C$7:$C$762&lt;=Lists!$AF6))</f>
        <v>0</v>
      </c>
      <c r="FO12" s="470">
        <f>SUMPRODUCT(('Prenatal Care'!$Y$7:$Y$762=FO$6)*('Prenatal Care'!$C$7:$C$762&gt;=Lists!$AE6)*('Prenatal Care'!$C$7:$C$762&lt;=Lists!$AF6))</f>
        <v>0</v>
      </c>
      <c r="FP12" s="470">
        <f>SUMPRODUCT(('Prenatal Care'!$Y$7:$Y$762=FP$6)*('Prenatal Care'!$C$7:$C$762&gt;=Lists!$AE6)*('Prenatal Care'!$C$7:$C$762&lt;=Lists!$AF6))</f>
        <v>0</v>
      </c>
      <c r="FQ12" s="470">
        <f>SUMPRODUCT(('Prenatal Care'!$Y$7:$Y$762=FQ$6)*('Prenatal Care'!$C$7:$C$762&gt;=Lists!$AE6)*('Prenatal Care'!$C$7:$C$762&lt;=Lists!$AF6))</f>
        <v>0</v>
      </c>
      <c r="FR12" s="470">
        <f>SUMPRODUCT(('Prenatal Care'!$Y$7:$Y$762=FR$6)*('Prenatal Care'!$C$7:$C$762&gt;=Lists!$AE6)*('Prenatal Care'!$C$7:$C$762&lt;=Lists!$AF6))</f>
        <v>0</v>
      </c>
      <c r="FS12" s="470">
        <f>SUMPRODUCT(('Prenatal Care'!$Y$7:$Y$762=FS$6)*('Prenatal Care'!$C$7:$C$762&gt;=Lists!$AE6)*('Prenatal Care'!$C$7:$C$762&lt;=Lists!$AF6))</f>
        <v>0</v>
      </c>
      <c r="FT12" s="470">
        <f>SUMPRODUCT(('Prenatal Care'!$Y$7:$Y$762=FT$6)*('Prenatal Care'!$C$7:$C$762&gt;=Lists!$AE6)*('Prenatal Care'!$C$7:$C$762&lt;=Lists!$AF6))</f>
        <v>0</v>
      </c>
      <c r="FU12" s="470">
        <f>SUMPRODUCT(('Prenatal Care'!$Y$7:$Y$762=FU$6)*('Prenatal Care'!$C$7:$C$762&gt;=Lists!$AE6)*('Prenatal Care'!$C$7:$C$762&lt;=Lists!$AF6))</f>
        <v>0</v>
      </c>
      <c r="FV12" s="470">
        <f>SUMPRODUCT(('Prenatal Care'!$Y$7:$Y$762=FV$6)*('Prenatal Care'!$C$7:$C$762&gt;=Lists!$AE6)*('Prenatal Care'!$C$7:$C$762&lt;=Lists!$AF6))</f>
        <v>0</v>
      </c>
      <c r="FW12" s="470">
        <f>SUMPRODUCT(('Prenatal Care'!$Y$7:$Y$762=FW$6)*('Prenatal Care'!$C$7:$C$762&gt;=Lists!$AE6)*('Prenatal Care'!$C$7:$C$762&lt;=Lists!$AF6))</f>
        <v>0</v>
      </c>
      <c r="FX12" s="470">
        <f>SUMPRODUCT(('Prenatal Care'!$Y$7:$Y$762=FX$6)*('Prenatal Care'!$C$7:$C$762&gt;=Lists!$AE6)*('Prenatal Care'!$C$7:$C$762&lt;=Lists!$AF6))</f>
        <v>0</v>
      </c>
      <c r="FY12" s="470">
        <f>SUMPRODUCT(('Prenatal Care'!$Y$7:$Y$762=FY$6)*('Prenatal Care'!$C$7:$C$762&gt;=Lists!$AE6)*('Prenatal Care'!$C$7:$C$762&lt;=Lists!$AF6))</f>
        <v>0</v>
      </c>
      <c r="FZ12" s="470">
        <f>SUMPRODUCT(('Prenatal Care'!$Y$7:$Y$762=FZ$6)*('Prenatal Care'!$C$7:$C$762&gt;=Lists!$AE6)*('Prenatal Care'!$C$7:$C$762&lt;=Lists!$AF6))</f>
        <v>0</v>
      </c>
      <c r="GA12" s="470">
        <f>SUMPRODUCT(('Prenatal Care'!$Y$7:$Y$762=GA$6)*('Prenatal Care'!$C$7:$C$762&gt;=Lists!$AE6)*('Prenatal Care'!$C$7:$C$762&lt;=Lists!$AF6))</f>
        <v>0</v>
      </c>
      <c r="GB12" s="470">
        <f>SUMPRODUCT(('Prenatal Care'!$Y$7:$Y$762=GB$6)*('Prenatal Care'!$C$7:$C$762&gt;=Lists!$AE6)*('Prenatal Care'!$C$7:$C$762&lt;=Lists!$AF6))</f>
        <v>0</v>
      </c>
      <c r="GC12" s="470">
        <f>SUMPRODUCT(('Prenatal Care'!$Y$7:$Y$762=GC$6)*('Prenatal Care'!$C$7:$C$762&gt;=Lists!$AE6)*('Prenatal Care'!$C$7:$C$762&lt;=Lists!$AF6))</f>
        <v>0</v>
      </c>
      <c r="GD12" s="470">
        <f>SUMPRODUCT(('Prenatal Care'!$Y$7:$Y$762=GD$6)*('Prenatal Care'!$C$7:$C$762&gt;=Lists!$AE6)*('Prenatal Care'!$C$7:$C$762&lt;=Lists!$AF6))</f>
        <v>0</v>
      </c>
      <c r="GE12" s="470">
        <f>SUMPRODUCT(('Prenatal Care'!$Y$7:$Y$762=GE$6)*('Prenatal Care'!$C$7:$C$762&gt;=Lists!$AE6)*('Prenatal Care'!$C$7:$C$762&lt;=Lists!$AF6))</f>
        <v>0</v>
      </c>
      <c r="GF12" s="470">
        <f>SUMPRODUCT(('Prenatal Care'!$Y$7:$Y$762=GF$6)*('Prenatal Care'!$C$7:$C$762&gt;=Lists!$AE6)*('Prenatal Care'!$C$7:$C$762&lt;=Lists!$AF6))</f>
        <v>0</v>
      </c>
      <c r="GG12" s="470">
        <f>SUMPRODUCT(('Prenatal Care'!$Y$7:$Y$762=GG$6)*('Prenatal Care'!$C$7:$C$762&gt;=Lists!$AE6)*('Prenatal Care'!$C$7:$C$762&lt;=Lists!$AF6))</f>
        <v>0</v>
      </c>
      <c r="GH12" s="470">
        <f>SUMPRODUCT(('Prenatal Care'!$Y$7:$Y$762=GH$6)*('Prenatal Care'!$C$7:$C$762&gt;=Lists!$AE6)*('Prenatal Care'!$C$7:$C$762&lt;=Lists!$AF6))</f>
        <v>0</v>
      </c>
      <c r="GI12" s="470">
        <f>SUMPRODUCT(('Prenatal Care'!$Y$7:$Y$762=GI$6)*('Prenatal Care'!$C$7:$C$762&gt;=Lists!$AE6)*('Prenatal Care'!$C$7:$C$762&lt;=Lists!$AF6))</f>
        <v>0</v>
      </c>
      <c r="GJ12" s="475">
        <f>SUMPRODUCT(('Prenatal Care'!$Y$7:$Y$762=GJ$6)*('Prenatal Care'!$C$7:$C$762&gt;=Lists!$AE6)*('Prenatal Care'!$C$7:$C$762&lt;=Lists!$AF6))</f>
        <v>0</v>
      </c>
      <c r="GK12" s="471">
        <f t="shared" si="24"/>
        <v>0</v>
      </c>
      <c r="GL12" s="469">
        <f>SUMPRODUCT(('Prenatal Care'!$AA$7:$AA$762=GL$6)*('Prenatal Care'!$C$7:$C$762&gt;=Lists!$AE6)*('Prenatal Care'!$C$7:$C$762&lt;=Lists!$AF6))</f>
        <v>0</v>
      </c>
      <c r="GM12" s="474">
        <f>SUMPRODUCT(('Prenatal Care'!$AA$7:$AA$762=GM$6)*('Prenatal Care'!$C$7:$C$762&gt;=Lists!$AE6)*('Prenatal Care'!$C$7:$C$762&lt;=Lists!$AF6))</f>
        <v>0</v>
      </c>
      <c r="GN12" s="470">
        <f>SUMPRODUCT(('Prenatal Care'!$AA$7:$AA$762=GN$6)*('Prenatal Care'!$C$7:$C$762&gt;=Lists!$AE6)*('Prenatal Care'!$C$7:$C$762&lt;=Lists!$AF6))</f>
        <v>0</v>
      </c>
      <c r="GO12" s="470">
        <f>SUMPRODUCT(('Prenatal Care'!$AA$7:$AA$762=GO$6)*('Prenatal Care'!$C$7:$C$762&gt;=Lists!$AE6)*('Prenatal Care'!$C$7:$C$762&lt;=Lists!$AF6))</f>
        <v>0</v>
      </c>
      <c r="GP12" s="470">
        <f>SUMPRODUCT(('Prenatal Care'!$AA$7:$AA$762=GP$6)*('Prenatal Care'!$C$7:$C$762&gt;=Lists!$AE6)*('Prenatal Care'!$C$7:$C$762&lt;=Lists!$AF6))</f>
        <v>0</v>
      </c>
      <c r="GQ12" s="470">
        <f>SUMPRODUCT(('Prenatal Care'!$AA$7:$AA$762=GQ$6)*('Prenatal Care'!$C$7:$C$762&gt;=Lists!$AE6)*('Prenatal Care'!$C$7:$C$762&lt;=Lists!$AF6))</f>
        <v>0</v>
      </c>
      <c r="GR12" s="470">
        <f>SUMPRODUCT(('Prenatal Care'!$AA$7:$AA$762=GR$6)*('Prenatal Care'!$C$7:$C$762&gt;=Lists!$AE6)*('Prenatal Care'!$C$7:$C$762&lt;=Lists!$AF6))</f>
        <v>0</v>
      </c>
      <c r="GS12" s="470">
        <f>SUMPRODUCT(('Prenatal Care'!$AA$7:$AA$762=GS$6)*('Prenatal Care'!$C$7:$C$762&gt;=Lists!$AE6)*('Prenatal Care'!$C$7:$C$762&lt;=Lists!$AF6))</f>
        <v>0</v>
      </c>
      <c r="GT12" s="470">
        <f>SUMPRODUCT(('Prenatal Care'!$AA$7:$AA$762=GT$6)*('Prenatal Care'!$C$7:$C$762&gt;=Lists!$AE6)*('Prenatal Care'!$C$7:$C$762&lt;=Lists!$AF6))</f>
        <v>0</v>
      </c>
      <c r="GU12" s="470">
        <f>SUMPRODUCT(('Prenatal Care'!$AA$7:$AA$762=GU$6)*('Prenatal Care'!$C$7:$C$762&gt;=Lists!$AE6)*('Prenatal Care'!$C$7:$C$762&lt;=Lists!$AF6))</f>
        <v>0</v>
      </c>
      <c r="GV12" s="470">
        <f>SUMPRODUCT(('Prenatal Care'!$AA$7:$AA$762=GV$6)*('Prenatal Care'!$C$7:$C$762&gt;=Lists!$AE6)*('Prenatal Care'!$C$7:$C$762&lt;=Lists!$AF6))</f>
        <v>0</v>
      </c>
      <c r="GW12" s="470">
        <f>SUMPRODUCT(('Prenatal Care'!$AA$7:$AA$762=GW$6)*('Prenatal Care'!$C$7:$C$762&gt;=Lists!$AE6)*('Prenatal Care'!$C$7:$C$762&lt;=Lists!$AF6))</f>
        <v>0</v>
      </c>
      <c r="GX12" s="475">
        <f>SUMPRODUCT(('Prenatal Care'!$AA$7:$AA$762=GX$6)*('Prenatal Care'!$C$7:$C$762&gt;=Lists!$AE6)*('Prenatal Care'!$C$7:$C$762&lt;=Lists!$AF6))</f>
        <v>0</v>
      </c>
      <c r="GY12" s="471">
        <f t="shared" si="25"/>
        <v>0</v>
      </c>
      <c r="GZ12" s="473">
        <f>SUMPRODUCT(('Prenatal Care'!$AB$7:$AB$762=GZ$6)*('Prenatal Care'!$C$7:$C$762&gt;=Lists!$AE6)*('Prenatal Care'!$C$7:$C$762&lt;=Lists!$AF6))</f>
        <v>0</v>
      </c>
      <c r="HA12" s="470">
        <f>SUMPRODUCT(('Prenatal Care'!$AB$7:$AB$762=HA$6)*('Prenatal Care'!$C$7:$C$762&gt;=Lists!$AE6)*('Prenatal Care'!$C$7:$C$762&lt;=Lists!$AF6))</f>
        <v>0</v>
      </c>
      <c r="HB12" s="470">
        <f>SUMPRODUCT(('Prenatal Care'!$AB$7:$AB$762=HB$6)*('Prenatal Care'!$C$7:$C$762&gt;=Lists!$AE6)*('Prenatal Care'!$C$7:$C$762&lt;=Lists!$AF6))</f>
        <v>0</v>
      </c>
      <c r="HC12" s="470">
        <f>SUMPRODUCT(('Prenatal Care'!$AB$7:$AB$762=HC$6)*('Prenatal Care'!$C$7:$C$762&gt;=Lists!$AE6)*('Prenatal Care'!$C$7:$C$762&lt;=Lists!$AF6))</f>
        <v>0</v>
      </c>
      <c r="HD12" s="470">
        <f>SUMPRODUCT(('Prenatal Care'!$AB$7:$AB$762=HD$6)*('Prenatal Care'!$C$7:$C$762&gt;=Lists!$AE6)*('Prenatal Care'!$C$7:$C$762&lt;=Lists!$AF6))</f>
        <v>0</v>
      </c>
      <c r="HE12" s="470">
        <f>SUMPRODUCT(('Prenatal Care'!$AB$7:$AB$762=HE$6)*('Prenatal Care'!$C$7:$C$762&gt;=Lists!$AE6)*('Prenatal Care'!$C$7:$C$762&lt;=Lists!$AF6))</f>
        <v>0</v>
      </c>
      <c r="HF12" s="470">
        <f>SUMPRODUCT(('Prenatal Care'!$AB$7:$AB$762=HF$6)*('Prenatal Care'!$C$7:$C$762&gt;=Lists!$AE6)*('Prenatal Care'!$C$7:$C$762&lt;=Lists!$AF6))</f>
        <v>0</v>
      </c>
      <c r="HG12" s="470">
        <f>SUMPRODUCT(('Prenatal Care'!$AB$7:$AB$762=HG$6)*('Prenatal Care'!$C$7:$C$762&gt;=Lists!$AE6)*('Prenatal Care'!$C$7:$C$762&lt;=Lists!$AF6))</f>
        <v>0</v>
      </c>
      <c r="HH12" s="470">
        <f>SUMPRODUCT(('Prenatal Care'!$AB$7:$AB$762=HH$6)*('Prenatal Care'!$C$7:$C$762&gt;=Lists!$AE6)*('Prenatal Care'!$C$7:$C$762&lt;=Lists!$AF6))</f>
        <v>0</v>
      </c>
      <c r="HI12" s="470">
        <f>SUMPRODUCT(('Prenatal Care'!$AB$7:$AB$762=HI$6)*('Prenatal Care'!$C$7:$C$762&gt;=Lists!$AE6)*('Prenatal Care'!$C$7:$C$762&lt;=Lists!$AF6))</f>
        <v>0</v>
      </c>
      <c r="HJ12" s="470">
        <f>SUMPRODUCT(('Prenatal Care'!$AB$7:$AB$762=HJ$6)*('Prenatal Care'!$C$7:$C$762&gt;=Lists!$AE6)*('Prenatal Care'!$C$7:$C$762&lt;=Lists!$AF6))</f>
        <v>0</v>
      </c>
      <c r="HK12" s="470">
        <f>SUMPRODUCT(('Prenatal Care'!$AB$7:$AB$762=HK$6)*('Prenatal Care'!$C$7:$C$762&gt;=Lists!$AE6)*('Prenatal Care'!$C$7:$C$762&lt;=Lists!$AF6))</f>
        <v>0</v>
      </c>
      <c r="HL12" s="475">
        <f>SUMPRODUCT(('Prenatal Care'!$AB$7:$AB$762=HL$6)*('Prenatal Care'!$C$7:$C$762&gt;=Lists!$AE6)*('Prenatal Care'!$C$7:$C$762&lt;=Lists!$AF6))</f>
        <v>0</v>
      </c>
      <c r="HM12" s="471">
        <f t="shared" si="26"/>
        <v>0</v>
      </c>
      <c r="HN12" s="458">
        <f>SUMPRODUCT(('Prenatal Care'!$AC$7:$AC$762=HN$6)*('Prenatal Care'!$C$7:$C$762&gt;=Lists!$AE6)*('Prenatal Care'!$C$7:$C$762&lt;=Lists!$AF6))</f>
        <v>0</v>
      </c>
      <c r="HO12" s="459">
        <f>SUMPRODUCT(('Prenatal Care'!$AC$7:$AC$762=HO$6)*('Prenatal Care'!$C$7:$C$762&gt;=Lists!$AE6)*('Prenatal Care'!$C$7:$C$762&lt;=Lists!$AF6))</f>
        <v>0</v>
      </c>
      <c r="HP12" s="459">
        <f>SUMPRODUCT(('Prenatal Care'!$AC$7:$AC$762=HP$6)*('Prenatal Care'!$C$7:$C$762&gt;=Lists!$AE6)*('Prenatal Care'!$C$7:$C$762&lt;=Lists!$AF6))</f>
        <v>0</v>
      </c>
      <c r="HQ12" s="459">
        <f>SUMPRODUCT(('Prenatal Care'!$AC$7:$AC$762=HQ$6)*('Prenatal Care'!$C$7:$C$762&gt;=Lists!$AE6)*('Prenatal Care'!$C$7:$C$762&lt;=Lists!$AF6))</f>
        <v>0</v>
      </c>
      <c r="HR12" s="459">
        <f>SUMPRODUCT(('Prenatal Care'!$AC$7:$AC$762=HR$6)*('Prenatal Care'!$C$7:$C$762&gt;=Lists!$AE6)*('Prenatal Care'!$C$7:$C$762&lt;=Lists!$AF6))</f>
        <v>0</v>
      </c>
      <c r="HS12" s="459">
        <f>SUMPRODUCT(('Prenatal Care'!$AC$7:$AC$762=HS$6)*('Prenatal Care'!$C$7:$C$762&gt;=Lists!$AE6)*('Prenatal Care'!$C$7:$C$762&lt;=Lists!$AF6))</f>
        <v>0</v>
      </c>
      <c r="HT12" s="459">
        <f>SUMPRODUCT(('Prenatal Care'!$AC$7:$AC$762=HT$6)*('Prenatal Care'!$C$7:$C$762&gt;=Lists!$AE6)*('Prenatal Care'!$C$7:$C$762&lt;=Lists!$AF6))</f>
        <v>0</v>
      </c>
      <c r="HU12" s="459">
        <f>SUMPRODUCT(('Prenatal Care'!$AC$7:$AC$762=HU$6)*('Prenatal Care'!$C$7:$C$762&gt;=Lists!$AE6)*('Prenatal Care'!$C$7:$C$762&lt;=Lists!$AF6))</f>
        <v>0</v>
      </c>
      <c r="HV12" s="459">
        <f>SUMPRODUCT(('Prenatal Care'!$AC$7:$AC$762=HV$6)*('Prenatal Care'!$C$7:$C$762&gt;=Lists!$AE6)*('Prenatal Care'!$C$7:$C$762&lt;=Lists!$AF6))</f>
        <v>0</v>
      </c>
      <c r="HW12" s="459">
        <f>SUMPRODUCT(('Prenatal Care'!$AC$7:$AC$762=HW$6)*('Prenatal Care'!$C$7:$C$762&gt;=Lists!$AE6)*('Prenatal Care'!$C$7:$C$762&lt;=Lists!$AF6))</f>
        <v>0</v>
      </c>
      <c r="HX12" s="459">
        <f>SUMPRODUCT(('Prenatal Care'!$AC$7:$AC$762=HX$6)*('Prenatal Care'!$C$7:$C$762&gt;=Lists!$AE6)*('Prenatal Care'!$C$7:$C$762&lt;=Lists!$AF6))</f>
        <v>0</v>
      </c>
      <c r="HY12" s="459">
        <f>SUMPRODUCT(('Prenatal Care'!$AC$7:$AC$762=HY$6)*('Prenatal Care'!$C$7:$C$762&gt;=Lists!$AE6)*('Prenatal Care'!$C$7:$C$762&lt;=Lists!$AF6))</f>
        <v>0</v>
      </c>
      <c r="HZ12" s="460">
        <f>SUMPRODUCT(('Prenatal Care'!$AC$7:$AC$762=HZ$6)*('Prenatal Care'!$C$7:$C$762&gt;=Lists!$AE6)*('Prenatal Care'!$C$7:$C$762&lt;=Lists!$AF6))</f>
        <v>0</v>
      </c>
      <c r="IA12" s="471">
        <f t="shared" si="2"/>
        <v>0</v>
      </c>
      <c r="IB12" s="469">
        <f>SUMPRODUCT(('Prenatal Care'!$AD$7:$AD$762=IB$6)*('Prenatal Care'!$C$7:$C$762&gt;=Lists!$AE6)*('Prenatal Care'!$C$7:$C$762&lt;=Lists!$AF6))</f>
        <v>0</v>
      </c>
      <c r="IC12" s="473">
        <f>SUMPRODUCT(('Prenatal Care'!$AD$7:$AD$762=IC$6)*('Prenatal Care'!$C$7:$C$762&gt;=Lists!$AE6)*('Prenatal Care'!$C$7:$C$762&lt;=Lists!$AF6))</f>
        <v>0</v>
      </c>
      <c r="ID12" s="470">
        <f>SUMPRODUCT(('Prenatal Care'!$AD$7:$AD$762=ID$6)*('Prenatal Care'!$C$7:$C$762&gt;=Lists!$AE6)*('Prenatal Care'!$C$7:$C$762&lt;=Lists!$AF6))</f>
        <v>0</v>
      </c>
      <c r="IE12" s="470">
        <f>SUMPRODUCT(('Prenatal Care'!$AD$7:$AD$762=IE$6)*('Prenatal Care'!$C$7:$C$762&gt;=Lists!$AE6)*('Prenatal Care'!$C$7:$C$762&lt;=Lists!$AF6))</f>
        <v>0</v>
      </c>
      <c r="IF12" s="470">
        <f>SUMPRODUCT(('Prenatal Care'!$AD$7:$AD$762=IF$6)*('Prenatal Care'!$C$7:$C$762&gt;=Lists!$AE6)*('Prenatal Care'!$C$7:$C$762&lt;=Lists!$AF6))</f>
        <v>0</v>
      </c>
      <c r="IG12" s="471">
        <f t="shared" si="3"/>
        <v>0</v>
      </c>
      <c r="IH12" s="464">
        <f>SUMPRODUCT(('Prenatal Care'!$AE$7:$AE$762=IH$6)*('Prenatal Care'!$C$7:$C$762&gt;=Lists!$AE6)*('Prenatal Care'!$C$7:$C$762&lt;=Lists!$AF6))</f>
        <v>0</v>
      </c>
      <c r="II12" s="464">
        <f>SUMPRODUCT(('Prenatal Care'!$AE$7:$AE$762=II$6)*('Prenatal Care'!$C$7:$C$762&gt;=Lists!$AE6)*('Prenatal Care'!$C$7:$C$762&lt;=Lists!$AF6))</f>
        <v>0</v>
      </c>
      <c r="IJ12" s="464">
        <f>SUMPRODUCT(('Prenatal Care'!$AE$7:$AE$762=IJ$6)*('Prenatal Care'!$C$7:$C$762&gt;=Lists!$AE6)*('Prenatal Care'!$C$7:$C$762&lt;=Lists!$AF6))</f>
        <v>0</v>
      </c>
      <c r="IK12" s="464">
        <f>SUMPRODUCT(('Prenatal Care'!$AE$7:$AE$762=IK$6)*('Prenatal Care'!$C$7:$C$762&gt;=Lists!$AE6)*('Prenatal Care'!$C$7:$C$762&lt;=Lists!$AF6))</f>
        <v>0</v>
      </c>
      <c r="IL12" s="464">
        <f>SUMPRODUCT(('Prenatal Care'!$AE$7:$AE$762=IL$6)*('Prenatal Care'!$C$7:$C$762&gt;=Lists!$AE6)*('Prenatal Care'!$C$7:$C$762&lt;=Lists!$AF6))</f>
        <v>0</v>
      </c>
      <c r="IM12" s="464">
        <f>SUMPRODUCT(('Prenatal Care'!$AE$7:$AE$762=IM$6)*('Prenatal Care'!$C$7:$C$762&gt;=Lists!$AE6)*('Prenatal Care'!$C$7:$C$762&lt;=Lists!$AF6))</f>
        <v>0</v>
      </c>
      <c r="IN12" s="464">
        <f>SUMPRODUCT(('Prenatal Care'!$AE$7:$AE$762=IN$6)*('Prenatal Care'!$C$7:$C$762&gt;=Lists!$AE6)*('Prenatal Care'!$C$7:$C$762&lt;=Lists!$AF6))</f>
        <v>0</v>
      </c>
      <c r="IO12" s="464">
        <f>SUMPRODUCT(('Prenatal Care'!$AE$7:$AE$762=IO$6)*('Prenatal Care'!$C$7:$C$762&gt;=Lists!$AE6)*('Prenatal Care'!$C$7:$C$762&lt;=Lists!$AF6))</f>
        <v>0</v>
      </c>
      <c r="IP12" s="464">
        <f>SUMPRODUCT(('Prenatal Care'!$AE$7:$AE$762=IP$6)*('Prenatal Care'!$C$7:$C$762&gt;=Lists!$AE6)*('Prenatal Care'!$C$7:$C$762&lt;=Lists!$AF6))</f>
        <v>0</v>
      </c>
      <c r="IQ12" s="464">
        <f>SUMPRODUCT(('Prenatal Care'!$AE$7:$AE$762=IQ$6)*('Prenatal Care'!$C$7:$C$762&gt;=Lists!$AE6)*('Prenatal Care'!$C$7:$C$762&lt;=Lists!$AF6))</f>
        <v>0</v>
      </c>
      <c r="IR12" s="464">
        <f>SUMPRODUCT(('Prenatal Care'!$AE$7:$AE$762=IR$6)*('Prenatal Care'!$C$7:$C$762&gt;=Lists!$AE6)*('Prenatal Care'!$C$7:$C$762&lt;=Lists!$AF6))</f>
        <v>0</v>
      </c>
      <c r="IS12" s="464">
        <f>SUMPRODUCT(('Prenatal Care'!$AE$7:$AE$762=IS$6)*('Prenatal Care'!$C$7:$C$762&gt;=Lists!$AE6)*('Prenatal Care'!$C$7:$C$762&lt;=Lists!$AF6))</f>
        <v>0</v>
      </c>
      <c r="IT12" s="517">
        <f>SUMPRODUCT(('Prenatal Care'!$AE$7:$AE$762=IT$6)*('Prenatal Care'!$C$7:$C$762&gt;=Lists!$AE6)*('Prenatal Care'!$C$7:$C$762&lt;=Lists!$AF6))</f>
        <v>0</v>
      </c>
      <c r="IU12" s="471">
        <f t="shared" si="27"/>
        <v>0</v>
      </c>
      <c r="IV12" s="473">
        <f>SUMPRODUCT(('Prenatal Care'!$AF$7:$AF$762=IV$6)*('Prenatal Care'!$C$7:$C$762&gt;=Lists!$AE6)*('Prenatal Care'!$C$7:$C$762&lt;=Lists!$AF6))</f>
        <v>0</v>
      </c>
      <c r="IW12" s="470">
        <f>SUMPRODUCT(('Prenatal Care'!$AF$7:$AF$762=IW$6)*('Prenatal Care'!$C$7:$C$762&gt;=Lists!$AE6)*('Prenatal Care'!$C$7:$C$762&lt;=Lists!$AF6))</f>
        <v>0</v>
      </c>
      <c r="IX12" s="470">
        <f>SUMPRODUCT(('Prenatal Care'!$AF$7:$AF$762=IX$6)*('Prenatal Care'!$C$7:$C$762&gt;=Lists!$AE6)*('Prenatal Care'!$C$7:$C$762&lt;=Lists!$AF6))</f>
        <v>0</v>
      </c>
      <c r="IY12" s="470">
        <f>SUMPRODUCT(('Prenatal Care'!$AF$7:$AF$762=IY$6)*('Prenatal Care'!$C$7:$C$762&gt;=Lists!$AE6)*('Prenatal Care'!$C$7:$C$762&lt;=Lists!$AF6))</f>
        <v>0</v>
      </c>
      <c r="IZ12" s="470">
        <f>SUMPRODUCT(('Prenatal Care'!$AF$7:$AF$762=IZ$6)*('Prenatal Care'!$C$7:$C$762&gt;=Lists!$AE6)*('Prenatal Care'!$C$7:$C$762&lt;=Lists!$AF6))</f>
        <v>0</v>
      </c>
      <c r="JA12" s="470">
        <f>SUMPRODUCT(('Prenatal Care'!$AF$7:$AF$762=JA$6)*('Prenatal Care'!$C$7:$C$762&gt;=Lists!$AE6)*('Prenatal Care'!$C$7:$C$762&lt;=Lists!$AF6))</f>
        <v>0</v>
      </c>
      <c r="JB12" s="470">
        <f>SUMPRODUCT(('Prenatal Care'!$AF$7:$AF$762=JB$6)*('Prenatal Care'!$C$7:$C$762&gt;=Lists!$AE6)*('Prenatal Care'!$C$7:$C$762&lt;=Lists!$AF6))</f>
        <v>0</v>
      </c>
      <c r="JC12" s="470">
        <f>SUMPRODUCT(('Prenatal Care'!$AF$7:$AF$762=JC$6)*('Prenatal Care'!$C$7:$C$762&gt;=Lists!$AE6)*('Prenatal Care'!$C$7:$C$762&lt;=Lists!$AF6))</f>
        <v>0</v>
      </c>
      <c r="JD12" s="470">
        <f>SUMPRODUCT(('Prenatal Care'!$AF$7:$AF$762=JD$6)*('Prenatal Care'!$C$7:$C$762&gt;=Lists!$AE6)*('Prenatal Care'!$C$7:$C$762&lt;=Lists!$AF6))</f>
        <v>0</v>
      </c>
      <c r="JE12" s="470">
        <f>SUMPRODUCT(('Prenatal Care'!$AF$7:$AF$762=JE$6)*('Prenatal Care'!$C$7:$C$762&gt;=Lists!$AE6)*('Prenatal Care'!$C$7:$C$762&lt;=Lists!$AF6))</f>
        <v>0</v>
      </c>
      <c r="JF12" s="470">
        <f>SUMPRODUCT(('Prenatal Care'!$AF$7:$AF$762=JF$6)*('Prenatal Care'!$C$7:$C$762&gt;=Lists!$AE6)*('Prenatal Care'!$C$7:$C$762&lt;=Lists!$AF6))</f>
        <v>0</v>
      </c>
      <c r="JG12" s="470">
        <f>SUMPRODUCT(('Prenatal Care'!$AF$7:$AF$762=JG$6)*('Prenatal Care'!$C$7:$C$762&gt;=Lists!$AE6)*('Prenatal Care'!$C$7:$C$762&lt;=Lists!$AF6))</f>
        <v>0</v>
      </c>
      <c r="JH12" s="470">
        <f>SUMPRODUCT(('Prenatal Care'!$AF$7:$AF$762=JH$6)*('Prenatal Care'!$C$7:$C$762&gt;=Lists!$AE6)*('Prenatal Care'!$C$7:$C$762&lt;=Lists!$AF6))</f>
        <v>0</v>
      </c>
      <c r="JI12" s="470">
        <f>SUMPRODUCT(('Prenatal Care'!$AF$7:$AF$762=JI$6)*('Prenatal Care'!$C$7:$C$762&gt;=Lists!$AE6)*('Prenatal Care'!$C$7:$C$762&lt;=Lists!$AF6))</f>
        <v>0</v>
      </c>
      <c r="JJ12" s="470">
        <f>SUMPRODUCT(('Prenatal Care'!$AF$7:$AF$762=JJ$6)*('Prenatal Care'!$C$7:$C$762&gt;=Lists!$AE6)*('Prenatal Care'!$C$7:$C$762&lt;=Lists!$AF6))</f>
        <v>0</v>
      </c>
      <c r="JK12" s="470">
        <f>SUMPRODUCT(('Prenatal Care'!$AF$7:$AF$762=JK$6)*('Prenatal Care'!$C$7:$C$762&gt;=Lists!$AE6)*('Prenatal Care'!$C$7:$C$762&lt;=Lists!$AF6))</f>
        <v>0</v>
      </c>
      <c r="JL12" s="470">
        <f>SUMPRODUCT(('Prenatal Care'!$AF$7:$AF$762=JL$6)*('Prenatal Care'!$C$7:$C$762&gt;=Lists!$AE6)*('Prenatal Care'!$C$7:$C$762&lt;=Lists!$AF6))</f>
        <v>0</v>
      </c>
      <c r="JM12" s="470">
        <f>SUMPRODUCT(('Prenatal Care'!$AF$7:$AF$762=JM$6)*('Prenatal Care'!$C$7:$C$762&gt;=Lists!$AE6)*('Prenatal Care'!$C$7:$C$762&lt;=Lists!$AF6))</f>
        <v>0</v>
      </c>
      <c r="JN12" s="470">
        <f>SUMPRODUCT(('Prenatal Care'!$AF$7:$AF$762=JN$6)*('Prenatal Care'!$C$7:$C$762&gt;=Lists!$AE6)*('Prenatal Care'!$C$7:$C$762&lt;=Lists!$AF6))</f>
        <v>0</v>
      </c>
      <c r="JO12" s="470">
        <f>SUMPRODUCT(('Prenatal Care'!$AF$7:$AF$762=JO$6)*('Prenatal Care'!$C$7:$C$762&gt;=Lists!$AE6)*('Prenatal Care'!$C$7:$C$762&lt;=Lists!$AF6))</f>
        <v>0</v>
      </c>
      <c r="JP12" s="470">
        <f>SUMPRODUCT(('Prenatal Care'!$AF$7:$AF$762=JP$6)*('Prenatal Care'!$C$7:$C$762&gt;=Lists!$AE6)*('Prenatal Care'!$C$7:$C$762&lt;=Lists!$AF6))</f>
        <v>0</v>
      </c>
      <c r="JQ12" s="475">
        <f>SUMPRODUCT(('Prenatal Care'!$AF$7:$AF$762=JQ$6)*('Prenatal Care'!$C$7:$C$762&gt;=Lists!$AE6)*('Prenatal Care'!$C$7:$C$762&lt;=Lists!$AF6))</f>
        <v>0</v>
      </c>
      <c r="JR12" s="471">
        <f t="shared" si="28"/>
        <v>0</v>
      </c>
      <c r="JS12" s="469">
        <f>SUMPRODUCT(('Prenatal Care'!$AH$7:$AH$762=JS$6)*('Prenatal Care'!$C$7:$C$762&gt;=Lists!$AE6)*('Prenatal Care'!$C$7:$C$762&lt;=Lists!$AF6))</f>
        <v>0</v>
      </c>
      <c r="JT12" s="470">
        <f>SUMPRODUCT(('Prenatal Care'!$AH$7:$AH$762=JT$6)*('Prenatal Care'!$C$7:$C$762&gt;=Lists!$AE6)*('Prenatal Care'!$C$7:$C$762&lt;=Lists!$AF6))</f>
        <v>0</v>
      </c>
      <c r="JU12" s="470">
        <f>SUMPRODUCT(('Prenatal Care'!$AH$7:$AH$762=JU$6)*('Prenatal Care'!$C$7:$C$762&gt;=Lists!$AE6)*('Prenatal Care'!$C$7:$C$762&lt;=Lists!$AF6))</f>
        <v>0</v>
      </c>
      <c r="JV12" s="470">
        <f>SUMPRODUCT(('Prenatal Care'!$AH$7:$AH$762=JV$6)*('Prenatal Care'!$C$7:$C$762&gt;=Lists!$AE6)*('Prenatal Care'!$C$7:$C$762&lt;=Lists!$AF6))</f>
        <v>0</v>
      </c>
      <c r="JW12" s="470">
        <f>SUMPRODUCT(('Prenatal Care'!$AH$7:$AH$762=JW$6)*('Prenatal Care'!$C$7:$C$762&gt;=Lists!$AE6)*('Prenatal Care'!$C$7:$C$762&lt;=Lists!$AF6))</f>
        <v>0</v>
      </c>
      <c r="JX12" s="470">
        <f>SUMPRODUCT(('Prenatal Care'!$AH$7:$AH$762=JX$6)*('Prenatal Care'!$C$7:$C$762&gt;=Lists!$AE6)*('Prenatal Care'!$C$7:$C$762&lt;=Lists!$AF6))</f>
        <v>0</v>
      </c>
      <c r="JY12" s="470">
        <f>SUMPRODUCT(('Prenatal Care'!$AH$7:$AH$762=JY$6)*('Prenatal Care'!$C$7:$C$762&gt;=Lists!$AE6)*('Prenatal Care'!$C$7:$C$762&lt;=Lists!$AF6))</f>
        <v>0</v>
      </c>
      <c r="JZ12" s="470">
        <f>SUMPRODUCT(('Prenatal Care'!$AH$7:$AH$762=JZ$6)*('Prenatal Care'!$C$7:$C$762&gt;=Lists!$AE6)*('Prenatal Care'!$C$7:$C$762&lt;=Lists!$AF6))</f>
        <v>0</v>
      </c>
      <c r="KA12" s="470">
        <f>SUMPRODUCT(('Prenatal Care'!$AH$7:$AH$762=KA$6)*('Prenatal Care'!$C$7:$C$762&gt;=Lists!$AE6)*('Prenatal Care'!$C$7:$C$762&lt;=Lists!$AF6))</f>
        <v>0</v>
      </c>
      <c r="KB12" s="470">
        <f>SUMPRODUCT(('Prenatal Care'!$AH$7:$AH$762=KB$6)*('Prenatal Care'!$C$7:$C$762&gt;=Lists!$AE6)*('Prenatal Care'!$C$7:$C$762&lt;=Lists!$AF6))</f>
        <v>0</v>
      </c>
      <c r="KC12" s="475">
        <f>SUMPRODUCT(('Prenatal Care'!$AH$7:$AH$762=KC$6)*('Prenatal Care'!$C$7:$C$762&gt;=Lists!$AE6)*('Prenatal Care'!$C$7:$C$762&lt;=Lists!$AF6))</f>
        <v>0</v>
      </c>
      <c r="KD12" s="471">
        <f t="shared" si="29"/>
        <v>0</v>
      </c>
      <c r="KE12" s="473">
        <f>SUMPRODUCT(('Prenatal Care'!$AI$7:$AI$762=KE$6)*('Prenatal Care'!$C$7:$C$762&gt;=Lists!$AE6)*('Prenatal Care'!$C$7:$C$762&lt;=Lists!$AF6))</f>
        <v>0</v>
      </c>
      <c r="KF12" s="470">
        <f>SUMPRODUCT(('Prenatal Care'!$AI$7:$AI$762=KF$6)*('Prenatal Care'!$C$7:$C$762&gt;=Lists!$AE6)*('Prenatal Care'!$C$7:$C$762&lt;=Lists!$AF6))</f>
        <v>0</v>
      </c>
      <c r="KG12" s="470">
        <f>SUMPRODUCT(('Prenatal Care'!$AI$7:$AI$762=KG$6)*('Prenatal Care'!$C$7:$C$762&gt;=Lists!$AE6)*('Prenatal Care'!$C$7:$C$762&lt;=Lists!$AF6))</f>
        <v>0</v>
      </c>
      <c r="KH12" s="470">
        <f>SUMPRODUCT(('Prenatal Care'!$AI$7:$AI$762=KH$6)*('Prenatal Care'!$C$7:$C$762&gt;=Lists!$AE6)*('Prenatal Care'!$C$7:$C$762&lt;=Lists!$AF6))</f>
        <v>0</v>
      </c>
      <c r="KI12" s="475">
        <f>SUMPRODUCT(('Prenatal Care'!$AI$7:$AI$762=KI$6)*('Prenatal Care'!$C$7:$C$762&gt;=Lists!$AE6)*('Prenatal Care'!$C$7:$C$762&lt;=Lists!$AF6))</f>
        <v>0</v>
      </c>
      <c r="KJ12" s="471">
        <f t="shared" si="5"/>
        <v>0</v>
      </c>
      <c r="KK12" s="518">
        <f t="shared" si="6"/>
        <v>0</v>
      </c>
      <c r="KN12" s="15"/>
      <c r="KO12" s="15"/>
      <c r="KP12" s="15"/>
      <c r="KQ12" s="15"/>
      <c r="KR12" s="15"/>
      <c r="KS12" s="15"/>
      <c r="KT12" s="15"/>
      <c r="KU12" s="16"/>
      <c r="KV12" s="15"/>
      <c r="KW12" s="15"/>
      <c r="KX12" s="15"/>
      <c r="KY12" s="15"/>
      <c r="KZ12" s="15"/>
    </row>
    <row r="13" spans="1:312" ht="15" customHeight="1" x14ac:dyDescent="0.35">
      <c r="A13" s="567">
        <v>45901</v>
      </c>
      <c r="B13" s="448">
        <f>SUMPRODUCT(('Prenatal Care'!$F$7:$F$762=B$6)*('Prenatal Care'!$C$7:$C$762&gt;=Lists!$AE7)*('Prenatal Care'!$C$7:$C$762&lt;=Lists!$AF7))</f>
        <v>0</v>
      </c>
      <c r="C13" s="449">
        <f>SUMPRODUCT(('Prenatal Care'!$F$7:$F$762=C$6)*('Prenatal Care'!$C$7:$C$762&gt;=Lists!$AE7)*('Prenatal Care'!$C$7:$C$762&lt;=Lists!$AF7))</f>
        <v>0</v>
      </c>
      <c r="D13" s="449">
        <f>SUMPRODUCT(('Prenatal Care'!$F$7:$F$762=D$6)*('Prenatal Care'!$C$7:$C$762&gt;=Lists!$AE7)*('Prenatal Care'!$C$7:$C$762&lt;=Lists!$AF7))</f>
        <v>0</v>
      </c>
      <c r="E13" s="450">
        <f>SUMPRODUCT(('Prenatal Care'!$F$7:$F$762=E$6)*('Prenatal Care'!$C$7:$C$762&gt;=Lists!$AE7)*('Prenatal Care'!$C$7:$C$762&lt;=Lists!$AF7))</f>
        <v>0</v>
      </c>
      <c r="F13" s="213">
        <f t="shared" si="7"/>
        <v>0</v>
      </c>
      <c r="G13" s="441">
        <f>SUMPRODUCT(('Prenatal Care'!$G$7:$G$762=G$6)*('Prenatal Care'!$C$7:$C$762&gt;=Lists!$AE7)*('Prenatal Care'!$C$7:$C$762&lt;=Lists!$AF7))</f>
        <v>0</v>
      </c>
      <c r="H13" s="441">
        <f>SUMPRODUCT(('Prenatal Care'!$G$7:$G$762=H$6)*('Prenatal Care'!$C$7:$C$762&gt;=Lists!$AE7)*('Prenatal Care'!$C$7:$C$762&lt;=Lists!$AF7))</f>
        <v>0</v>
      </c>
      <c r="I13" s="441">
        <f>SUMPRODUCT(('Prenatal Care'!$G$7:$G$762=I$6)*('Prenatal Care'!$C$7:$C$762&gt;=Lists!$AE7)*('Prenatal Care'!$C$7:$C$762&lt;=Lists!$AF7))</f>
        <v>0</v>
      </c>
      <c r="J13" s="441">
        <f>SUMPRODUCT(('Prenatal Care'!$G$7:$G$762=J$6)*('Prenatal Care'!$C$7:$C$762&gt;=Lists!$AE7)*('Prenatal Care'!$C$7:$C$762&lt;=Lists!$AF7))</f>
        <v>0</v>
      </c>
      <c r="K13" s="441">
        <f>SUMPRODUCT(('Prenatal Care'!$G$7:$G$762=K$6)*('Prenatal Care'!$C$7:$C$762&gt;=Lists!$AE7)*('Prenatal Care'!$C$7:$C$762&lt;=Lists!$AF7))</f>
        <v>0</v>
      </c>
      <c r="L13" s="441">
        <f>SUMPRODUCT(('Prenatal Care'!$G$7:$G$762=L$6)*('Prenatal Care'!$C$7:$C$762&gt;=Lists!$AE7)*('Prenatal Care'!$C$7:$C$762&lt;=Lists!$AF7))</f>
        <v>0</v>
      </c>
      <c r="M13" s="441">
        <f>SUMPRODUCT(('Prenatal Care'!$G$7:$G$762=M$6)*('Prenatal Care'!$C$7:$C$762&gt;=Lists!$AE7)*('Prenatal Care'!$C$7:$C$762&lt;=Lists!$AF7))</f>
        <v>0</v>
      </c>
      <c r="N13" s="170">
        <f t="shared" si="8"/>
        <v>0</v>
      </c>
      <c r="O13" s="441">
        <f>SUMPRODUCT(('Prenatal Care'!$H$7:$H$762=O$6)*('Prenatal Care'!$C$7:$C$762&gt;=Lists!$AE7)*('Prenatal Care'!$C$7:$C$762&lt;=Lists!$AF7))</f>
        <v>0</v>
      </c>
      <c r="P13" s="441">
        <f>SUMPRODUCT(('Prenatal Care'!$H$7:$H$762=P$6)*('Prenatal Care'!$C$7:$C$762&gt;=Lists!$AE7)*('Prenatal Care'!$C$7:$C$762&lt;=Lists!$AF7))</f>
        <v>0</v>
      </c>
      <c r="Q13" s="441">
        <f>SUMPRODUCT(('Prenatal Care'!$H$7:$H$762=Q$6)*('Prenatal Care'!$C$7:$C$762&gt;=Lists!$AE7)*('Prenatal Care'!$C$7:$C$762&lt;=Lists!$AF7))</f>
        <v>0</v>
      </c>
      <c r="R13" s="441">
        <f>SUMPRODUCT(('Prenatal Care'!$H$7:$H$762=R$6)*('Prenatal Care'!$C$7:$C$762&gt;=Lists!$AE7)*('Prenatal Care'!$C$7:$C$762&lt;=Lists!$AF7))</f>
        <v>0</v>
      </c>
      <c r="S13" s="441">
        <f>SUMPRODUCT(('Prenatal Care'!$H$7:$H$762=S$6)*('Prenatal Care'!$C$7:$C$762&gt;=Lists!$AE7)*('Prenatal Care'!$C$7:$C$762&lt;=Lists!$AF7))</f>
        <v>0</v>
      </c>
      <c r="T13" s="441">
        <f>SUMPRODUCT(('Prenatal Care'!$H$7:$H$762=T$6)*('Prenatal Care'!$C$7:$C$762&gt;=Lists!$AE7)*('Prenatal Care'!$C$7:$C$762&lt;=Lists!$AF7))</f>
        <v>0</v>
      </c>
      <c r="U13" s="441">
        <f>SUMPRODUCT(('Prenatal Care'!$H$7:$H$762=U$6)*('Prenatal Care'!$C$7:$C$762&gt;=Lists!$AE7)*('Prenatal Care'!$C$7:$C$762&lt;=Lists!$AF7))</f>
        <v>0</v>
      </c>
      <c r="V13" s="170">
        <f t="shared" si="9"/>
        <v>0</v>
      </c>
      <c r="W13" s="441">
        <f>SUMPRODUCT(('Prenatal Care'!$I$7:$I$762=W$6)*('Prenatal Care'!$C$7:$C$762&gt;=Lists!$AE7)*('Prenatal Care'!$C$7:$C$762&lt;=Lists!$AF7))</f>
        <v>0</v>
      </c>
      <c r="X13" s="441">
        <f>SUMPRODUCT(('Prenatal Care'!$I$7:$I$762=X$6)*('Prenatal Care'!$C$7:$C$762&gt;=Lists!$AE7)*('Prenatal Care'!$C$7:$C$762&lt;=Lists!$AF7))</f>
        <v>0</v>
      </c>
      <c r="Y13" s="441">
        <f>SUMPRODUCT(('Prenatal Care'!$I$7:$I$762=Y$6)*('Prenatal Care'!$C$7:$C$762&gt;=Lists!$AE7)*('Prenatal Care'!$C$7:$C$762&lt;=Lists!$AF7))</f>
        <v>0</v>
      </c>
      <c r="Z13" s="441">
        <f>SUMPRODUCT(('Prenatal Care'!$I$7:$I$762=Z$6)*('Prenatal Care'!$C$7:$C$762&gt;=Lists!$AE7)*('Prenatal Care'!$C$7:$C$762&lt;=Lists!$AF7))</f>
        <v>0</v>
      </c>
      <c r="AA13" s="441">
        <f>SUMPRODUCT(('Prenatal Care'!$I$7:$I$762=AA$6)*('Prenatal Care'!$C$7:$C$762&gt;=Lists!$AE7)*('Prenatal Care'!$C$7:$C$762&lt;=Lists!$AF7))</f>
        <v>0</v>
      </c>
      <c r="AB13" s="441">
        <f>SUMPRODUCT(('Prenatal Care'!$I$7:$I$762=AB$6)*('Prenatal Care'!$C$7:$C$762&gt;=Lists!$AE7)*('Prenatal Care'!$C$7:$C$762&lt;=Lists!$AF7))</f>
        <v>0</v>
      </c>
      <c r="AC13" s="170">
        <f t="shared" si="10"/>
        <v>0</v>
      </c>
      <c r="AD13" s="441">
        <f>SUMPRODUCT(('Prenatal Care'!$J$7:$J$762=AD$6)*('Prenatal Care'!$C$7:$C$762&gt;=Lists!$AE7)*('Prenatal Care'!$C$7:$C$762&lt;=Lists!$AF7))</f>
        <v>0</v>
      </c>
      <c r="AE13" s="441">
        <f>SUMPRODUCT(('Prenatal Care'!$J$7:$J$762=AE$6)*('Prenatal Care'!$C$7:$C$762&gt;=Lists!$AE7)*('Prenatal Care'!$C$7:$C$762&lt;=Lists!$AF7))</f>
        <v>0</v>
      </c>
      <c r="AF13" s="441">
        <f>SUMPRODUCT(('Prenatal Care'!$J$7:$J$762=AF$6)*('Prenatal Care'!$C$7:$C$762&gt;=Lists!$AE7)*('Prenatal Care'!$C$7:$C$762&lt;=Lists!$AF7))</f>
        <v>0</v>
      </c>
      <c r="AG13" s="441">
        <f>SUMPRODUCT(('Prenatal Care'!$J$7:$J$762=AG$6)*('Prenatal Care'!$C$7:$C$762&gt;=Lists!$AE7)*('Prenatal Care'!$C$7:$C$762&lt;=Lists!$AF7))</f>
        <v>0</v>
      </c>
      <c r="AH13" s="170">
        <f t="shared" si="11"/>
        <v>0</v>
      </c>
      <c r="AI13" s="441">
        <f>SUMPRODUCT(('Prenatal Care'!$K$7:$K$762=AI$6)*('Prenatal Care'!$C$7:$C$762&gt;=Lists!$AE7)*('Prenatal Care'!$C$7:$C$762&lt;=Lists!$AF7))</f>
        <v>0</v>
      </c>
      <c r="AJ13" s="441">
        <f>SUMPRODUCT(('Prenatal Care'!$K$7:$K$762=AJ$6)*('Prenatal Care'!$C$7:$C$762&gt;=Lists!$AE7)*('Prenatal Care'!$C$7:$C$762&lt;=Lists!$AF7))</f>
        <v>0</v>
      </c>
      <c r="AK13" s="441">
        <f>SUMPRODUCT(('Prenatal Care'!$K$7:$K$762=AK$6)*('Prenatal Care'!$C$7:$C$762&gt;=Lists!$AE7)*('Prenatal Care'!$C$7:$C$762&lt;=Lists!$AF7))</f>
        <v>0</v>
      </c>
      <c r="AL13" s="441">
        <f>SUMPRODUCT(('Prenatal Care'!$K$7:$K$762=AL$6)*('Prenatal Care'!$C$7:$C$762&gt;=Lists!$AE7)*('Prenatal Care'!$C$7:$C$762&lt;=Lists!$AF7))</f>
        <v>0</v>
      </c>
      <c r="AM13" s="170">
        <f t="shared" si="12"/>
        <v>0</v>
      </c>
      <c r="AN13" s="441">
        <f>SUMPRODUCT(('Prenatal Care'!$L$7:$L$762=AN$6)*('Prenatal Care'!$C$7:$C$762&gt;=Lists!$AE7)*('Prenatal Care'!$C$7:$C$762&lt;=Lists!$AF7))</f>
        <v>0</v>
      </c>
      <c r="AO13" s="441">
        <f>SUMPRODUCT(('Prenatal Care'!$L$7:$L$762=AO$6)*('Prenatal Care'!$C$7:$C$762&gt;=Lists!$AE7)*('Prenatal Care'!$C$7:$C$762&lt;=Lists!$AF7))</f>
        <v>0</v>
      </c>
      <c r="AP13" s="441">
        <f>SUMPRODUCT(('Prenatal Care'!$L$7:$L$762=AP$6)*('Prenatal Care'!$C$7:$C$762&gt;=Lists!$AE7)*('Prenatal Care'!$C$7:$C$762&lt;=Lists!$AF7))</f>
        <v>0</v>
      </c>
      <c r="AQ13" s="441">
        <f>SUMPRODUCT(('Prenatal Care'!$L$7:$L$762=AQ$6)*('Prenatal Care'!$C$7:$C$762&gt;=Lists!$AE7)*('Prenatal Care'!$C$7:$C$762&lt;=Lists!$AF7))</f>
        <v>0</v>
      </c>
      <c r="AR13" s="170">
        <f t="shared" si="13"/>
        <v>0</v>
      </c>
      <c r="AS13" s="466">
        <f>SUMPRODUCT(('Prenatal Care'!$M$7:$M$762=AS$6)*('Prenatal Care'!$C$7:$C$762&gt;=Lists!$AE7)*('Prenatal Care'!$C$7:$C$762&lt;=Lists!$AF7))</f>
        <v>0</v>
      </c>
      <c r="AT13" s="467">
        <f>SUMPRODUCT(('Prenatal Care'!$M$7:$M$762=AT$6)*('Prenatal Care'!$C$7:$C$762&gt;=Lists!$AE7)*('Prenatal Care'!$C$7:$C$762&lt;=Lists!$AF7))</f>
        <v>0</v>
      </c>
      <c r="AU13" s="467">
        <f>SUMPRODUCT(('Prenatal Care'!$M$7:$M$762=AU$6)*('Prenatal Care'!$C$7:$C$762&gt;=Lists!$AE7)*('Prenatal Care'!$C$7:$C$762&lt;=Lists!$AF7))</f>
        <v>0</v>
      </c>
      <c r="AV13" s="498">
        <f>SUMPRODUCT(('Prenatal Care'!$M$7:$M$762=AV$6)*('Prenatal Care'!$C$7:$C$762&gt;=Lists!$AE7)*('Prenatal Care'!$C$7:$C$762&lt;=Lists!$AF7))</f>
        <v>0</v>
      </c>
      <c r="AW13" s="468">
        <f t="shared" si="14"/>
        <v>0</v>
      </c>
      <c r="AX13" s="473">
        <f>SUMPRODUCT(('Prenatal Care'!$N$7:$N$762=AX$6)*('Prenatal Care'!$C$7:$C$762&gt;=Lists!$AE7)*('Prenatal Care'!$C$7:$C$762&lt;=Lists!$AF7))</f>
        <v>0</v>
      </c>
      <c r="AY13" s="470">
        <f>SUMPRODUCT(('Prenatal Care'!$N$7:$N$762=AY$6)*('Prenatal Care'!$C$7:$C$762&gt;=Lists!$AE7)*('Prenatal Care'!$C$7:$C$762&lt;=Lists!$AF7))</f>
        <v>0</v>
      </c>
      <c r="AZ13" s="470">
        <f>SUMPRODUCT(('Prenatal Care'!$N$7:$N$762=AZ$6)*('Prenatal Care'!$C$7:$C$762&gt;=Lists!$AE7)*('Prenatal Care'!$C$7:$C$762&lt;=Lists!$AF7))</f>
        <v>0</v>
      </c>
      <c r="BA13" s="470">
        <f>SUMPRODUCT(('Prenatal Care'!$N$7:$N$762=BA$6)*('Prenatal Care'!$C$7:$C$762&gt;=Lists!$AE7)*('Prenatal Care'!$C$7:$C$762&lt;=Lists!$AF7))</f>
        <v>0</v>
      </c>
      <c r="BB13" s="475">
        <f>SUMPRODUCT(('Prenatal Care'!$N$7:$N$762=BB$6)*('Prenatal Care'!$C$7:$C$762&gt;=Lists!$AE7)*('Prenatal Care'!$C$7:$C$762&lt;=Lists!$AF7))</f>
        <v>0</v>
      </c>
      <c r="BC13" s="471">
        <f t="shared" si="15"/>
        <v>0</v>
      </c>
      <c r="BD13" s="473">
        <f>SUMPRODUCT(('Prenatal Care'!$O$7:$O$762=BD$6)*('Prenatal Care'!$C$7:$C$762&gt;=Lists!$AE7)*('Prenatal Care'!$C$7:$C$762&lt;=Lists!$AF7))</f>
        <v>0</v>
      </c>
      <c r="BE13" s="470">
        <f>SUMPRODUCT(('Prenatal Care'!$O$7:$O$762=BE$6)*('Prenatal Care'!$C$7:$C$762&gt;=Lists!$AE7)*('Prenatal Care'!$C$7:$C$762&lt;=Lists!$AF7))</f>
        <v>0</v>
      </c>
      <c r="BF13" s="470">
        <f>SUMPRODUCT(('Prenatal Care'!$O$7:$O$762=BF$6)*('Prenatal Care'!$C$7:$C$762&gt;=Lists!$AE7)*('Prenatal Care'!$C$7:$C$762&lt;=Lists!$AF7))</f>
        <v>0</v>
      </c>
      <c r="BG13" s="470">
        <f>SUMPRODUCT(('Prenatal Care'!$O$7:$O$762=BG$6)*('Prenatal Care'!$C$7:$C$762&gt;=Lists!$AE7)*('Prenatal Care'!$C$7:$C$762&lt;=Lists!$AF7))</f>
        <v>0</v>
      </c>
      <c r="BH13" s="470">
        <f>SUMPRODUCT(('Prenatal Care'!$O$7:$O$762=BH$6)*('Prenatal Care'!$C$7:$C$762&gt;=Lists!$AE7)*('Prenatal Care'!$C$7:$C$762&lt;=Lists!$AF7))</f>
        <v>0</v>
      </c>
      <c r="BI13" s="475">
        <f>SUMPRODUCT(('Prenatal Care'!$O$7:$O$762=BI$6)*('Prenatal Care'!$C$7:$C$762&gt;=Lists!$AE7)*('Prenatal Care'!$C$7:$C$762&lt;=Lists!$AF7))</f>
        <v>0</v>
      </c>
      <c r="BJ13" s="471">
        <f t="shared" si="16"/>
        <v>0</v>
      </c>
      <c r="BK13" s="473">
        <f>SUMPRODUCT(('Prenatal Care'!$P$7:$P$762=BK$6)*('Prenatal Care'!$C$7:$C$762&gt;=Lists!$AE7)*('Prenatal Care'!$C$7:$C$762&lt;=Lists!$AF7))</f>
        <v>0</v>
      </c>
      <c r="BL13" s="470">
        <f>SUMPRODUCT(('Prenatal Care'!$P$7:$P$762=BL$6)*('Prenatal Care'!$C$7:$C$762&gt;=Lists!$AE7)*('Prenatal Care'!$C$7:$C$762&lt;=Lists!$AF7))</f>
        <v>0</v>
      </c>
      <c r="BM13" s="470">
        <f>SUMPRODUCT(('Prenatal Care'!$P$7:$P$762=BM$6)*('Prenatal Care'!$C$7:$C$762&gt;=Lists!$AE7)*('Prenatal Care'!$C$7:$C$762&lt;=Lists!$AF7))</f>
        <v>0</v>
      </c>
      <c r="BN13" s="470">
        <f>SUMPRODUCT(('Prenatal Care'!$P$7:$P$762=BN$6)*('Prenatal Care'!$C$7:$C$762&gt;=Lists!$AE7)*('Prenatal Care'!$C$7:$C$762&lt;=Lists!$AF7))</f>
        <v>0</v>
      </c>
      <c r="BO13" s="475">
        <f>SUMPRODUCT(('Prenatal Care'!$P$7:$P$762=BO$6)*('Prenatal Care'!$C$7:$C$762&gt;=Lists!$AE7)*('Prenatal Care'!$C$7:$C$762&lt;=Lists!$AF7))</f>
        <v>0</v>
      </c>
      <c r="BP13" s="471">
        <f t="shared" si="0"/>
        <v>0</v>
      </c>
      <c r="BQ13" s="473">
        <f>SUMPRODUCT(('Prenatal Care'!$Q$7:$Q$762=BQ$6)*('Prenatal Care'!$C$7:$C$762&gt;=Lists!$AE7)*('Prenatal Care'!$C$7:$C$762&lt;=Lists!$AF7))</f>
        <v>0</v>
      </c>
      <c r="BR13" s="470">
        <f>SUMPRODUCT(('Prenatal Care'!$Q$7:$Q$762=BR$6)*('Prenatal Care'!$C$7:$C$762&gt;=Lists!$AE7)*('Prenatal Care'!$C$7:$C$762&lt;=Lists!$AF7))</f>
        <v>0</v>
      </c>
      <c r="BS13" s="470">
        <f>SUMPRODUCT(('Prenatal Care'!$Q$7:$Q$762=BS$6)*('Prenatal Care'!$C$7:$C$762&gt;=Lists!$AE7)*('Prenatal Care'!$C$7:$C$762&lt;=Lists!$AF7))</f>
        <v>0</v>
      </c>
      <c r="BT13" s="470">
        <f>SUMPRODUCT(('Prenatal Care'!$Q$7:$Q$762=BT$6)*('Prenatal Care'!$C$7:$C$762&gt;=Lists!$AE7)*('Prenatal Care'!$C$7:$C$762&lt;=Lists!$AF7))</f>
        <v>0</v>
      </c>
      <c r="BU13" s="470">
        <f>SUMPRODUCT(('Prenatal Care'!$Q$7:$Q$762=BU$6)*('Prenatal Care'!$C$7:$C$762&gt;=Lists!$AE7)*('Prenatal Care'!$C$7:$C$762&lt;=Lists!$AF7))</f>
        <v>0</v>
      </c>
      <c r="BV13" s="475">
        <f>SUMPRODUCT(('Prenatal Care'!$Q$7:$Q$762=BV$6)*('Prenatal Care'!$C$7:$C$762&gt;=Lists!$AE7)*('Prenatal Care'!$C$7:$C$762&lt;=Lists!$AF7))</f>
        <v>0</v>
      </c>
      <c r="BW13" s="472">
        <f t="shared" si="1"/>
        <v>0</v>
      </c>
      <c r="BX13" s="473">
        <f>SUMPRODUCT(('Prenatal Care'!$R$7:$R$762=BX$6)*('Prenatal Care'!$C$7:$C$762&gt;=Lists!$AE7)*('Prenatal Care'!$C$7:$C$762&lt;=Lists!$AF7))</f>
        <v>0</v>
      </c>
      <c r="BY13" s="470">
        <f>SUMPRODUCT(('Prenatal Care'!$R$7:$R$762=BY$6)*('Prenatal Care'!$C$7:$C$762&gt;=Lists!$AE7)*('Prenatal Care'!$C$7:$C$762&lt;=Lists!$AF7))</f>
        <v>0</v>
      </c>
      <c r="BZ13" s="470">
        <f>SUMPRODUCT(('Prenatal Care'!$R$7:$R$762=BZ$6)*('Prenatal Care'!$C$7:$C$762&gt;=Lists!$AE7)*('Prenatal Care'!$C$7:$C$762&lt;=Lists!$AF7))</f>
        <v>0</v>
      </c>
      <c r="CA13" s="470">
        <f>SUMPRODUCT(('Prenatal Care'!$R$7:$R$762=CA$6)*('Prenatal Care'!$C$7:$C$762&gt;=Lists!$AE7)*('Prenatal Care'!$C$7:$C$762&lt;=Lists!$AF7))</f>
        <v>0</v>
      </c>
      <c r="CB13" s="475">
        <f>SUMPRODUCT(('Prenatal Care'!$R$7:$R$762=CB$6)*('Prenatal Care'!$C$7:$C$762&gt;=Lists!$AE7)*('Prenatal Care'!$C$7:$C$762&lt;=Lists!$AF7))</f>
        <v>0</v>
      </c>
      <c r="CC13" s="471">
        <f t="shared" si="17"/>
        <v>0</v>
      </c>
      <c r="CD13" s="469">
        <f>SUMPRODUCT(('Prenatal Care'!$S$7:$S$762=CD$6)*('Prenatal Care'!$C$7:$C$762&gt;=Lists!$AE7)*('Prenatal Care'!$C$7:$C$762&lt;=Lists!$AF7))</f>
        <v>0</v>
      </c>
      <c r="CE13" s="473">
        <f>SUMPRODUCT(('Prenatal Care'!$S$7:$S$762=CE$6)*('Prenatal Care'!$C$7:$C$762&gt;=Lists!$AE7)*('Prenatal Care'!$C$7:$C$762&lt;=Lists!$AF7))</f>
        <v>0</v>
      </c>
      <c r="CF13" s="470">
        <f>SUMPRODUCT(('Prenatal Care'!$S$7:$S$762=CF$6)*('Prenatal Care'!$C$7:$C$762&gt;=Lists!$AE7)*('Prenatal Care'!$C$7:$C$762&lt;=Lists!$AF7))</f>
        <v>0</v>
      </c>
      <c r="CG13" s="470">
        <f>SUMPRODUCT(('Prenatal Care'!$S$7:$S$762=CG$6)*('Prenatal Care'!$C$7:$C$762&gt;=Lists!$AE7)*('Prenatal Care'!$C$7:$C$762&lt;=Lists!$AF7))</f>
        <v>0</v>
      </c>
      <c r="CH13" s="470">
        <f>SUMPRODUCT(('Prenatal Care'!$S$7:$S$762=CH$6)*('Prenatal Care'!$C$7:$C$762&gt;=Lists!$AE7)*('Prenatal Care'!$C$7:$C$762&lt;=Lists!$AF7))</f>
        <v>0</v>
      </c>
      <c r="CI13" s="470">
        <f>SUMPRODUCT(('Prenatal Care'!$S$7:$S$762=CI$6)*('Prenatal Care'!$C$7:$C$762&gt;=Lists!$AE7)*('Prenatal Care'!$C$7:$C$762&lt;=Lists!$AF7))</f>
        <v>0</v>
      </c>
      <c r="CJ13" s="470">
        <f>SUMPRODUCT(('Prenatal Care'!$S$7:$S$762=CJ$6)*('Prenatal Care'!$C$7:$C$762&gt;=Lists!$AE7)*('Prenatal Care'!$C$7:$C$762&lt;=Lists!$AF7))</f>
        <v>0</v>
      </c>
      <c r="CK13" s="470">
        <f>SUMPRODUCT(('Prenatal Care'!$S$7:$S$762=CK$6)*('Prenatal Care'!$C$7:$C$762&gt;=Lists!$AE7)*('Prenatal Care'!$C$7:$C$762&lt;=Lists!$AF7))</f>
        <v>0</v>
      </c>
      <c r="CL13" s="470">
        <f>SUMPRODUCT(('Prenatal Care'!$S$7:$S$762=CL$6)*('Prenatal Care'!$C$7:$C$762&gt;=Lists!$AE7)*('Prenatal Care'!$C$7:$C$762&lt;=Lists!$AF7))</f>
        <v>0</v>
      </c>
      <c r="CM13" s="475">
        <f>SUMPRODUCT(('Prenatal Care'!$S$7:$S$762=CM$6)*('Prenatal Care'!$C$7:$C$762&gt;=Lists!$AE7)*('Prenatal Care'!$C$7:$C$762&lt;=Lists!$AF7))</f>
        <v>0</v>
      </c>
      <c r="CN13" s="471">
        <f t="shared" si="18"/>
        <v>0</v>
      </c>
      <c r="CO13" s="473">
        <f>SUMPRODUCT(('Prenatal Care'!$T$7:$T$762=CO$6)*('Prenatal Care'!$C$7:$C$762&gt;=Lists!$AE7)*('Prenatal Care'!$C$7:$C$762&lt;=Lists!$AF7))</f>
        <v>0</v>
      </c>
      <c r="CP13" s="470">
        <f>SUMPRODUCT(('Prenatal Care'!$T$7:$T$762=CP$6)*('Prenatal Care'!$C$7:$C$762&gt;=Lists!$AE7)*('Prenatal Care'!$C$7:$C$762&lt;=Lists!$AF7))</f>
        <v>0</v>
      </c>
      <c r="CQ13" s="475">
        <f>SUMPRODUCT(('Prenatal Care'!$T$7:$T$762=CQ$6)*('Prenatal Care'!$C$7:$C$762&gt;=Lists!$AE7)*('Prenatal Care'!$C$7:$C$762&lt;=Lists!$AF7))</f>
        <v>0</v>
      </c>
      <c r="CR13" s="471">
        <f t="shared" si="19"/>
        <v>0</v>
      </c>
      <c r="CS13" s="505">
        <f>SUMPRODUCT(('Prenatal Care'!$U$7:$U$762=CS$6)*('Prenatal Care'!$C$7:$C$762&gt;=Lists!$AE7)*('Prenatal Care'!$C$7:$C$762&lt;=Lists!$AF7))</f>
        <v>0</v>
      </c>
      <c r="CT13" s="506">
        <f>SUMPRODUCT(('Prenatal Care'!$U$7:$U$762=CT$6)*('Prenatal Care'!$C$7:$C$762&gt;=Lists!$AE7)*('Prenatal Care'!$C$7:$C$762&lt;=Lists!$AF7))</f>
        <v>0</v>
      </c>
      <c r="CU13" s="506">
        <f>SUMPRODUCT(('Prenatal Care'!$U$7:$U$762=CU$6)*('Prenatal Care'!$C$7:$C$762&gt;=Lists!$AE7)*('Prenatal Care'!$C$7:$C$762&lt;=Lists!$AF7))</f>
        <v>0</v>
      </c>
      <c r="CV13" s="506">
        <f>SUMPRODUCT(('Prenatal Care'!$U$7:$U$762=CV$6)*('Prenatal Care'!$C$7:$C$762&gt;=Lists!$AE7)*('Prenatal Care'!$C$7:$C$762&lt;=Lists!$AF7))</f>
        <v>0</v>
      </c>
      <c r="CW13" s="506">
        <f>SUMPRODUCT(('Prenatal Care'!$U$7:$U$762=CW$6)*('Prenatal Care'!$C$7:$C$762&gt;=Lists!$AE7)*('Prenatal Care'!$C$7:$C$762&lt;=Lists!$AF7))</f>
        <v>0</v>
      </c>
      <c r="CX13" s="506">
        <f>SUMPRODUCT(('Prenatal Care'!$U$7:$U$762=CX$6)*('Prenatal Care'!$C$7:$C$762&gt;=Lists!$AE7)*('Prenatal Care'!$C$7:$C$762&lt;=Lists!$AF7))</f>
        <v>0</v>
      </c>
      <c r="CY13" s="506">
        <f>SUMPRODUCT(('Prenatal Care'!$U$7:$U$762=CY$6)*('Prenatal Care'!$C$7:$C$762&gt;=Lists!$AE7)*('Prenatal Care'!$C$7:$C$762&lt;=Lists!$AF7))</f>
        <v>0</v>
      </c>
      <c r="CZ13" s="506">
        <f>SUMPRODUCT(('Prenatal Care'!$U$7:$U$762=CZ$6)*('Prenatal Care'!$C$7:$C$762&gt;=Lists!$AE7)*('Prenatal Care'!$C$7:$C$762&lt;=Lists!$AF7))</f>
        <v>0</v>
      </c>
      <c r="DA13" s="506">
        <f>SUMPRODUCT(('Prenatal Care'!$U$7:$U$762=DA$6)*('Prenatal Care'!$C$7:$C$762&gt;=Lists!$AE7)*('Prenatal Care'!$C$7:$C$762&lt;=Lists!$AF7))</f>
        <v>0</v>
      </c>
      <c r="DB13" s="507">
        <f>SUMPRODUCT(('Prenatal Care'!$U$7:$U$762=DB$6)*('Prenatal Care'!$C$7:$C$762&gt;=Lists!$AE7)*('Prenatal Care'!$C$7:$C$762&lt;=Lists!$AF7))</f>
        <v>0</v>
      </c>
      <c r="DC13" s="471">
        <f t="shared" si="20"/>
        <v>0</v>
      </c>
      <c r="DD13" s="469">
        <f>SUMPRODUCT(('Prenatal Care'!$V$7:$V$762=DD$6)*('Prenatal Care'!$C$7:$C$762&gt;=Lists!$AE7)*('Prenatal Care'!$C$7:$C$762&lt;=Lists!$AF7))</f>
        <v>0</v>
      </c>
      <c r="DE13" s="470">
        <f>SUMPRODUCT(('Prenatal Care'!$V$7:$V$762=DE$6)*('Prenatal Care'!$C$7:$C$762&gt;=Lists!$AE7)*('Prenatal Care'!$C$7:$C$762&lt;=Lists!$AF7))</f>
        <v>0</v>
      </c>
      <c r="DF13" s="470">
        <f>SUMPRODUCT(('Prenatal Care'!$V$7:$V$762=DF$6)*('Prenatal Care'!$C$7:$C$762&gt;=Lists!$AE7)*('Prenatal Care'!$C$7:$C$762&lt;=Lists!$AF7))</f>
        <v>0</v>
      </c>
      <c r="DG13" s="475">
        <f>SUMPRODUCT(('Prenatal Care'!$V$7:$V$762=DG$6)*('Prenatal Care'!$C$7:$C$762&gt;=Lists!$AE7)*('Prenatal Care'!$C$7:$C$762&lt;=Lists!$AF7))</f>
        <v>0</v>
      </c>
      <c r="DH13" s="471">
        <f t="shared" si="21"/>
        <v>0</v>
      </c>
      <c r="DI13" s="473">
        <f>SUMPRODUCT(('Prenatal Care'!$W$7:$W$762=DI$6)*('Prenatal Care'!$C$7:$C$762&gt;=Lists!$AE7)*('Prenatal Care'!$C$7:$C$762&lt;=Lists!$AF7))</f>
        <v>0</v>
      </c>
      <c r="DJ13" s="470">
        <f>SUMPRODUCT(('Prenatal Care'!$W$7:$W$762=DJ$6)*('Prenatal Care'!$C$7:$C$762&gt;=Lists!$AE7)*('Prenatal Care'!$C$7:$C$762&lt;=Lists!$AF7))</f>
        <v>0</v>
      </c>
      <c r="DK13" s="470">
        <f>SUMPRODUCT(('Prenatal Care'!$W$7:$W$762=DK$6)*('Prenatal Care'!$C$7:$C$762&gt;=Lists!$AE7)*('Prenatal Care'!$C$7:$C$762&lt;=Lists!$AF7))</f>
        <v>0</v>
      </c>
      <c r="DL13" s="470">
        <f>SUMPRODUCT(('Prenatal Care'!$W$7:$W$762=DL$6)*('Prenatal Care'!$C$7:$C$762&gt;=Lists!$AE7)*('Prenatal Care'!$C$7:$C$762&lt;=Lists!$AF7))</f>
        <v>0</v>
      </c>
      <c r="DM13" s="470">
        <f>SUMPRODUCT(('Prenatal Care'!$W$7:$W$762=DM$6)*('Prenatal Care'!$C$7:$C$762&gt;=Lists!$AE7)*('Prenatal Care'!$C$7:$C$762&lt;=Lists!$AF7))</f>
        <v>0</v>
      </c>
      <c r="DN13" s="470">
        <f>SUMPRODUCT(('Prenatal Care'!$W$7:$W$762=DN$6)*('Prenatal Care'!$C$7:$C$762&gt;=Lists!$AE7)*('Prenatal Care'!$C$7:$C$762&lt;=Lists!$AF7))</f>
        <v>0</v>
      </c>
      <c r="DO13" s="470">
        <f>SUMPRODUCT(('Prenatal Care'!$W$7:$W$762=DO$6)*('Prenatal Care'!$C$7:$C$762&gt;=Lists!$AE7)*('Prenatal Care'!$C$7:$C$762&lt;=Lists!$AF7))</f>
        <v>0</v>
      </c>
      <c r="DP13" s="470">
        <f>SUMPRODUCT(('Prenatal Care'!$W$7:$W$762=DP$6)*('Prenatal Care'!$C$7:$C$762&gt;=Lists!$AE7)*('Prenatal Care'!$C$7:$C$762&lt;=Lists!$AF7))</f>
        <v>0</v>
      </c>
      <c r="DQ13" s="470">
        <f>SUMPRODUCT(('Prenatal Care'!$W$7:$W$762=DQ$6)*('Prenatal Care'!$C$7:$C$762&gt;=Lists!$AE7)*('Prenatal Care'!$C$7:$C$762&lt;=Lists!$AF7))</f>
        <v>0</v>
      </c>
      <c r="DR13" s="470">
        <f>SUMPRODUCT(('Prenatal Care'!$W$7:$W$762=DR$6)*('Prenatal Care'!$C$7:$C$762&gt;=Lists!$AE7)*('Prenatal Care'!$C$7:$C$762&lt;=Lists!$AF7))</f>
        <v>0</v>
      </c>
      <c r="DS13" s="470">
        <f>SUMPRODUCT(('Prenatal Care'!$W$7:$W$762=DS$6)*('Prenatal Care'!$C$7:$C$762&gt;=Lists!$AE7)*('Prenatal Care'!$C$7:$C$762&lt;=Lists!$AF7))</f>
        <v>0</v>
      </c>
      <c r="DT13" s="470">
        <f>SUMPRODUCT(('Prenatal Care'!$W$7:$W$762=DT$6)*('Prenatal Care'!$C$7:$C$762&gt;=Lists!$AE7)*('Prenatal Care'!$C$7:$C$762&lt;=Lists!$AF7))</f>
        <v>0</v>
      </c>
      <c r="DU13" s="470">
        <f>SUMPRODUCT(('Prenatal Care'!$W$7:$W$762=DU$6)*('Prenatal Care'!$C$7:$C$762&gt;=Lists!$AE7)*('Prenatal Care'!$C$7:$C$762&lt;=Lists!$AF7))</f>
        <v>0</v>
      </c>
      <c r="DV13" s="470">
        <f>SUMPRODUCT(('Prenatal Care'!$W$7:$W$762=DV$6)*('Prenatal Care'!$C$7:$C$762&gt;=Lists!$AE7)*('Prenatal Care'!$C$7:$C$762&lt;=Lists!$AF7))</f>
        <v>0</v>
      </c>
      <c r="DW13" s="470">
        <f>SUMPRODUCT(('Prenatal Care'!$W$7:$W$762=DW$6)*('Prenatal Care'!$C$7:$C$762&gt;=Lists!$AE7)*('Prenatal Care'!$C$7:$C$762&lt;=Lists!$AF7))</f>
        <v>0</v>
      </c>
      <c r="DX13" s="470">
        <f>SUMPRODUCT(('Prenatal Care'!$W$7:$W$762=DX$6)*('Prenatal Care'!$C$7:$C$762&gt;=Lists!$AE7)*('Prenatal Care'!$C$7:$C$762&lt;=Lists!$AF7))</f>
        <v>0</v>
      </c>
      <c r="DY13" s="470">
        <f>SUMPRODUCT(('Prenatal Care'!$W$7:$W$762=DY$6)*('Prenatal Care'!$C$7:$C$762&gt;=Lists!$AE7)*('Prenatal Care'!$C$7:$C$762&lt;=Lists!$AF7))</f>
        <v>0</v>
      </c>
      <c r="DZ13" s="470">
        <f>SUMPRODUCT(('Prenatal Care'!$W$7:$W$762=DZ$6)*('Prenatal Care'!$C$7:$C$762&gt;=Lists!$AE7)*('Prenatal Care'!$C$7:$C$762&lt;=Lists!$AF7))</f>
        <v>0</v>
      </c>
      <c r="EA13" s="470">
        <f>SUMPRODUCT(('Prenatal Care'!$W$7:$W$762=EA$6)*('Prenatal Care'!$C$7:$C$762&gt;=Lists!$AE7)*('Prenatal Care'!$C$7:$C$762&lt;=Lists!$AF7))</f>
        <v>0</v>
      </c>
      <c r="EB13" s="470">
        <f>SUMPRODUCT(('Prenatal Care'!$W$7:$W$762=EB$6)*('Prenatal Care'!$C$7:$C$762&gt;=Lists!$AE7)*('Prenatal Care'!$C$7:$C$762&lt;=Lists!$AF7))</f>
        <v>0</v>
      </c>
      <c r="EC13" s="470">
        <f>SUMPRODUCT(('Prenatal Care'!$W$7:$W$762=EC$6)*('Prenatal Care'!$C$7:$C$762&gt;=Lists!$AE7)*('Prenatal Care'!$C$7:$C$762&lt;=Lists!$AF7))</f>
        <v>0</v>
      </c>
      <c r="ED13" s="470">
        <f>SUMPRODUCT(('Prenatal Care'!$W$7:$W$762=ED$6)*('Prenatal Care'!$C$7:$C$762&gt;=Lists!$AE7)*('Prenatal Care'!$C$7:$C$762&lt;=Lists!$AF7))</f>
        <v>0</v>
      </c>
      <c r="EE13" s="470">
        <f>SUMPRODUCT(('Prenatal Care'!$W$7:$W$762=EE$6)*('Prenatal Care'!$C$7:$C$762&gt;=Lists!$AE7)*('Prenatal Care'!$C$7:$C$762&lt;=Lists!$AF7))</f>
        <v>0</v>
      </c>
      <c r="EF13" s="470">
        <f>SUMPRODUCT(('Prenatal Care'!$W$7:$W$762=EF$6)*('Prenatal Care'!$C$7:$C$762&gt;=Lists!$AE7)*('Prenatal Care'!$C$7:$C$762&lt;=Lists!$AF7))</f>
        <v>0</v>
      </c>
      <c r="EG13" s="470">
        <f>SUMPRODUCT(('Prenatal Care'!$W$7:$W$762=EG$6)*('Prenatal Care'!$C$7:$C$762&gt;=Lists!$AE7)*('Prenatal Care'!$C$7:$C$762&lt;=Lists!$AF7))</f>
        <v>0</v>
      </c>
      <c r="EH13" s="475">
        <f>SUMPRODUCT(('Prenatal Care'!$W$7:$W$762=EH$6)*('Prenatal Care'!$C$7:$C$762&gt;=Lists!$AE7)*('Prenatal Care'!$C$7:$C$762&lt;=Lists!$AF7))</f>
        <v>0</v>
      </c>
      <c r="EI13" s="471">
        <f t="shared" si="22"/>
        <v>0</v>
      </c>
      <c r="EJ13" s="473">
        <f>SUMPRODUCT(('Prenatal Care'!$X$7:$X$762=EJ$6)*('Prenatal Care'!$C$7:$C$762&gt;=Lists!$AE7)*('Prenatal Care'!$C$7:$C$762&lt;=Lists!$AF7))</f>
        <v>0</v>
      </c>
      <c r="EK13" s="470">
        <f>SUMPRODUCT(('Prenatal Care'!$X$7:$X$762=EK$6)*('Prenatal Care'!$C$7:$C$762&gt;=Lists!$AE7)*('Prenatal Care'!$C$7:$C$762&lt;=Lists!$AF7))</f>
        <v>0</v>
      </c>
      <c r="EL13" s="470">
        <f>SUMPRODUCT(('Prenatal Care'!$X$7:$X$762=EL$6)*('Prenatal Care'!$C$7:$C$762&gt;=Lists!$AE7)*('Prenatal Care'!$C$7:$C$762&lt;=Lists!$AF7))</f>
        <v>0</v>
      </c>
      <c r="EM13" s="470">
        <f>SUMPRODUCT(('Prenatal Care'!$X$7:$X$762=EM$6)*('Prenatal Care'!$C$7:$C$762&gt;=Lists!$AE7)*('Prenatal Care'!$C$7:$C$762&lt;=Lists!$AF7))</f>
        <v>0</v>
      </c>
      <c r="EN13" s="470">
        <f>SUMPRODUCT(('Prenatal Care'!$X$7:$X$762=EN$6)*('Prenatal Care'!$C$7:$C$762&gt;=Lists!$AE7)*('Prenatal Care'!$C$7:$C$762&lt;=Lists!$AF7))</f>
        <v>0</v>
      </c>
      <c r="EO13" s="470">
        <f>SUMPRODUCT(('Prenatal Care'!$X$7:$X$762=EO$6)*('Prenatal Care'!$C$7:$C$762&gt;=Lists!$AE7)*('Prenatal Care'!$C$7:$C$762&lt;=Lists!$AF7))</f>
        <v>0</v>
      </c>
      <c r="EP13" s="470">
        <f>SUMPRODUCT(('Prenatal Care'!$X$7:$X$762=EP$6)*('Prenatal Care'!$C$7:$C$762&gt;=Lists!$AE7)*('Prenatal Care'!$C$7:$C$762&lt;=Lists!$AF7))</f>
        <v>0</v>
      </c>
      <c r="EQ13" s="470">
        <f>SUMPRODUCT(('Prenatal Care'!$X$7:$X$762=EQ$6)*('Prenatal Care'!$C$7:$C$762&gt;=Lists!$AE7)*('Prenatal Care'!$C$7:$C$762&lt;=Lists!$AF7))</f>
        <v>0</v>
      </c>
      <c r="ER13" s="470">
        <f>SUMPRODUCT(('Prenatal Care'!$X$7:$X$762=ER$6)*('Prenatal Care'!$C$7:$C$762&gt;=Lists!$AE7)*('Prenatal Care'!$C$7:$C$762&lt;=Lists!$AF7))</f>
        <v>0</v>
      </c>
      <c r="ES13" s="470">
        <f>SUMPRODUCT(('Prenatal Care'!$X$7:$X$762=ES$6)*('Prenatal Care'!$C$7:$C$762&gt;=Lists!$AE7)*('Prenatal Care'!$C$7:$C$762&lt;=Lists!$AF7))</f>
        <v>0</v>
      </c>
      <c r="ET13" s="470">
        <f>SUMPRODUCT(('Prenatal Care'!$X$7:$X$762=ET$6)*('Prenatal Care'!$C$7:$C$762&gt;=Lists!$AE7)*('Prenatal Care'!$C$7:$C$762&lt;=Lists!$AF7))</f>
        <v>0</v>
      </c>
      <c r="EU13" s="470">
        <f>SUMPRODUCT(('Prenatal Care'!$X$7:$X$762=EU$6)*('Prenatal Care'!$C$7:$C$762&gt;=Lists!$AE7)*('Prenatal Care'!$C$7:$C$762&lt;=Lists!$AF7))</f>
        <v>0</v>
      </c>
      <c r="EV13" s="470">
        <f>SUMPRODUCT(('Prenatal Care'!$X$7:$X$762=EV$6)*('Prenatal Care'!$C$7:$C$762&gt;=Lists!$AE7)*('Prenatal Care'!$C$7:$C$762&lt;=Lists!$AF7))</f>
        <v>0</v>
      </c>
      <c r="EW13" s="470">
        <f>SUMPRODUCT(('Prenatal Care'!$X$7:$X$762=EW$6)*('Prenatal Care'!$C$7:$C$762&gt;=Lists!$AE7)*('Prenatal Care'!$C$7:$C$762&lt;=Lists!$AF7))</f>
        <v>0</v>
      </c>
      <c r="EX13" s="470">
        <f>SUMPRODUCT(('Prenatal Care'!$X$7:$X$762=EX$6)*('Prenatal Care'!$C$7:$C$762&gt;=Lists!$AE7)*('Prenatal Care'!$C$7:$C$762&lt;=Lists!$AF7))</f>
        <v>0</v>
      </c>
      <c r="EY13" s="470">
        <f>SUMPRODUCT(('Prenatal Care'!$X$7:$X$762=EY$6)*('Prenatal Care'!$C$7:$C$762&gt;=Lists!$AE7)*('Prenatal Care'!$C$7:$C$762&lt;=Lists!$AF7))</f>
        <v>0</v>
      </c>
      <c r="EZ13" s="470">
        <f>SUMPRODUCT(('Prenatal Care'!$X$7:$X$762=EZ$6)*('Prenatal Care'!$C$7:$C$762&gt;=Lists!$AE7)*('Prenatal Care'!$C$7:$C$762&lt;=Lists!$AF7))</f>
        <v>0</v>
      </c>
      <c r="FA13" s="470">
        <f>SUMPRODUCT(('Prenatal Care'!$X$7:$X$762=FA$6)*('Prenatal Care'!$C$7:$C$762&gt;=Lists!$AE7)*('Prenatal Care'!$C$7:$C$762&lt;=Lists!$AF7))</f>
        <v>0</v>
      </c>
      <c r="FB13" s="470">
        <f>SUMPRODUCT(('Prenatal Care'!$X$7:$X$762=FB$6)*('Prenatal Care'!$C$7:$C$762&gt;=Lists!$AE7)*('Prenatal Care'!$C$7:$C$762&lt;=Lists!$AF7))</f>
        <v>0</v>
      </c>
      <c r="FC13" s="470">
        <f>SUMPRODUCT(('Prenatal Care'!$X$7:$X$762=FC$6)*('Prenatal Care'!$C$7:$C$762&gt;=Lists!$AE7)*('Prenatal Care'!$C$7:$C$762&lt;=Lists!$AF7))</f>
        <v>0</v>
      </c>
      <c r="FD13" s="470">
        <f>SUMPRODUCT(('Prenatal Care'!$X$7:$X$762=FD$6)*('Prenatal Care'!$C$7:$C$762&gt;=Lists!$AE7)*('Prenatal Care'!$C$7:$C$762&lt;=Lists!$AF7))</f>
        <v>0</v>
      </c>
      <c r="FE13" s="470">
        <f>SUMPRODUCT(('Prenatal Care'!$X$7:$X$762=FE$6)*('Prenatal Care'!$C$7:$C$762&gt;=Lists!$AE7)*('Prenatal Care'!$C$7:$C$762&lt;=Lists!$AF7))</f>
        <v>0</v>
      </c>
      <c r="FF13" s="470">
        <f>SUMPRODUCT(('Prenatal Care'!$X$7:$X$762=FF$6)*('Prenatal Care'!$C$7:$C$762&gt;=Lists!$AE7)*('Prenatal Care'!$C$7:$C$762&lt;=Lists!$AF7))</f>
        <v>0</v>
      </c>
      <c r="FG13" s="470">
        <f>SUMPRODUCT(('Prenatal Care'!$X$7:$X$762=FG$6)*('Prenatal Care'!$C$7:$C$762&gt;=Lists!$AE7)*('Prenatal Care'!$C$7:$C$762&lt;=Lists!$AF7))</f>
        <v>0</v>
      </c>
      <c r="FH13" s="470">
        <f>SUMPRODUCT(('Prenatal Care'!$X$7:$X$762=FH$6)*('Prenatal Care'!$C$7:$C$762&gt;=Lists!$AE7)*('Prenatal Care'!$C$7:$C$762&lt;=Lists!$AF7))</f>
        <v>0</v>
      </c>
      <c r="FI13" s="475">
        <f>SUMPRODUCT(('Prenatal Care'!$X$7:$X$762=FI$6)*('Prenatal Care'!$C$7:$C$762&gt;=Lists!$AE7)*('Prenatal Care'!$C$7:$C$762&lt;=Lists!$AF7))</f>
        <v>0</v>
      </c>
      <c r="FJ13" s="471">
        <f t="shared" si="23"/>
        <v>0</v>
      </c>
      <c r="FK13" s="473">
        <f>SUMPRODUCT(('Prenatal Care'!$Y$7:$Y$762=FK$6)*('Prenatal Care'!$C$7:$C$762&gt;=Lists!$AE7)*('Prenatal Care'!$C$7:$C$762&lt;=Lists!$AF7))</f>
        <v>0</v>
      </c>
      <c r="FL13" s="470">
        <f>SUMPRODUCT(('Prenatal Care'!$Y$7:$Y$762=FL$6)*('Prenatal Care'!$C$7:$C$762&gt;=Lists!$AE7)*('Prenatal Care'!$C$7:$C$762&lt;=Lists!$AF7))</f>
        <v>0</v>
      </c>
      <c r="FM13" s="470">
        <f>SUMPRODUCT(('Prenatal Care'!$Y$7:$Y$762=FM$6)*('Prenatal Care'!$C$7:$C$762&gt;=Lists!$AE7)*('Prenatal Care'!$C$7:$C$762&lt;=Lists!$AF7))</f>
        <v>0</v>
      </c>
      <c r="FN13" s="470">
        <f>SUMPRODUCT(('Prenatal Care'!$Y$7:$Y$762=FN$6)*('Prenatal Care'!$C$7:$C$762&gt;=Lists!$AE7)*('Prenatal Care'!$C$7:$C$762&lt;=Lists!$AF7))</f>
        <v>0</v>
      </c>
      <c r="FO13" s="470">
        <f>SUMPRODUCT(('Prenatal Care'!$Y$7:$Y$762=FO$6)*('Prenatal Care'!$C$7:$C$762&gt;=Lists!$AE7)*('Prenatal Care'!$C$7:$C$762&lt;=Lists!$AF7))</f>
        <v>0</v>
      </c>
      <c r="FP13" s="470">
        <f>SUMPRODUCT(('Prenatal Care'!$Y$7:$Y$762=FP$6)*('Prenatal Care'!$C$7:$C$762&gt;=Lists!$AE7)*('Prenatal Care'!$C$7:$C$762&lt;=Lists!$AF7))</f>
        <v>0</v>
      </c>
      <c r="FQ13" s="470">
        <f>SUMPRODUCT(('Prenatal Care'!$Y$7:$Y$762=FQ$6)*('Prenatal Care'!$C$7:$C$762&gt;=Lists!$AE7)*('Prenatal Care'!$C$7:$C$762&lt;=Lists!$AF7))</f>
        <v>0</v>
      </c>
      <c r="FR13" s="470">
        <f>SUMPRODUCT(('Prenatal Care'!$Y$7:$Y$762=FR$6)*('Prenatal Care'!$C$7:$C$762&gt;=Lists!$AE7)*('Prenatal Care'!$C$7:$C$762&lt;=Lists!$AF7))</f>
        <v>0</v>
      </c>
      <c r="FS13" s="470">
        <f>SUMPRODUCT(('Prenatal Care'!$Y$7:$Y$762=FS$6)*('Prenatal Care'!$C$7:$C$762&gt;=Lists!$AE7)*('Prenatal Care'!$C$7:$C$762&lt;=Lists!$AF7))</f>
        <v>0</v>
      </c>
      <c r="FT13" s="470">
        <f>SUMPRODUCT(('Prenatal Care'!$Y$7:$Y$762=FT$6)*('Prenatal Care'!$C$7:$C$762&gt;=Lists!$AE7)*('Prenatal Care'!$C$7:$C$762&lt;=Lists!$AF7))</f>
        <v>0</v>
      </c>
      <c r="FU13" s="470">
        <f>SUMPRODUCT(('Prenatal Care'!$Y$7:$Y$762=FU$6)*('Prenatal Care'!$C$7:$C$762&gt;=Lists!$AE7)*('Prenatal Care'!$C$7:$C$762&lt;=Lists!$AF7))</f>
        <v>0</v>
      </c>
      <c r="FV13" s="470">
        <f>SUMPRODUCT(('Prenatal Care'!$Y$7:$Y$762=FV$6)*('Prenatal Care'!$C$7:$C$762&gt;=Lists!$AE7)*('Prenatal Care'!$C$7:$C$762&lt;=Lists!$AF7))</f>
        <v>0</v>
      </c>
      <c r="FW13" s="470">
        <f>SUMPRODUCT(('Prenatal Care'!$Y$7:$Y$762=FW$6)*('Prenatal Care'!$C$7:$C$762&gt;=Lists!$AE7)*('Prenatal Care'!$C$7:$C$762&lt;=Lists!$AF7))</f>
        <v>0</v>
      </c>
      <c r="FX13" s="470">
        <f>SUMPRODUCT(('Prenatal Care'!$Y$7:$Y$762=FX$6)*('Prenatal Care'!$C$7:$C$762&gt;=Lists!$AE7)*('Prenatal Care'!$C$7:$C$762&lt;=Lists!$AF7))</f>
        <v>0</v>
      </c>
      <c r="FY13" s="470">
        <f>SUMPRODUCT(('Prenatal Care'!$Y$7:$Y$762=FY$6)*('Prenatal Care'!$C$7:$C$762&gt;=Lists!$AE7)*('Prenatal Care'!$C$7:$C$762&lt;=Lists!$AF7))</f>
        <v>0</v>
      </c>
      <c r="FZ13" s="470">
        <f>SUMPRODUCT(('Prenatal Care'!$Y$7:$Y$762=FZ$6)*('Prenatal Care'!$C$7:$C$762&gt;=Lists!$AE7)*('Prenatal Care'!$C$7:$C$762&lt;=Lists!$AF7))</f>
        <v>0</v>
      </c>
      <c r="GA13" s="470">
        <f>SUMPRODUCT(('Prenatal Care'!$Y$7:$Y$762=GA$6)*('Prenatal Care'!$C$7:$C$762&gt;=Lists!$AE7)*('Prenatal Care'!$C$7:$C$762&lt;=Lists!$AF7))</f>
        <v>0</v>
      </c>
      <c r="GB13" s="470">
        <f>SUMPRODUCT(('Prenatal Care'!$Y$7:$Y$762=GB$6)*('Prenatal Care'!$C$7:$C$762&gt;=Lists!$AE7)*('Prenatal Care'!$C$7:$C$762&lt;=Lists!$AF7))</f>
        <v>0</v>
      </c>
      <c r="GC13" s="470">
        <f>SUMPRODUCT(('Prenatal Care'!$Y$7:$Y$762=GC$6)*('Prenatal Care'!$C$7:$C$762&gt;=Lists!$AE7)*('Prenatal Care'!$C$7:$C$762&lt;=Lists!$AF7))</f>
        <v>0</v>
      </c>
      <c r="GD13" s="470">
        <f>SUMPRODUCT(('Prenatal Care'!$Y$7:$Y$762=GD$6)*('Prenatal Care'!$C$7:$C$762&gt;=Lists!$AE7)*('Prenatal Care'!$C$7:$C$762&lt;=Lists!$AF7))</f>
        <v>0</v>
      </c>
      <c r="GE13" s="470">
        <f>SUMPRODUCT(('Prenatal Care'!$Y$7:$Y$762=GE$6)*('Prenatal Care'!$C$7:$C$762&gt;=Lists!$AE7)*('Prenatal Care'!$C$7:$C$762&lt;=Lists!$AF7))</f>
        <v>0</v>
      </c>
      <c r="GF13" s="470">
        <f>SUMPRODUCT(('Prenatal Care'!$Y$7:$Y$762=GF$6)*('Prenatal Care'!$C$7:$C$762&gt;=Lists!$AE7)*('Prenatal Care'!$C$7:$C$762&lt;=Lists!$AF7))</f>
        <v>0</v>
      </c>
      <c r="GG13" s="470">
        <f>SUMPRODUCT(('Prenatal Care'!$Y$7:$Y$762=GG$6)*('Prenatal Care'!$C$7:$C$762&gt;=Lists!$AE7)*('Prenatal Care'!$C$7:$C$762&lt;=Lists!$AF7))</f>
        <v>0</v>
      </c>
      <c r="GH13" s="470">
        <f>SUMPRODUCT(('Prenatal Care'!$Y$7:$Y$762=GH$6)*('Prenatal Care'!$C$7:$C$762&gt;=Lists!$AE7)*('Prenatal Care'!$C$7:$C$762&lt;=Lists!$AF7))</f>
        <v>0</v>
      </c>
      <c r="GI13" s="470">
        <f>SUMPRODUCT(('Prenatal Care'!$Y$7:$Y$762=GI$6)*('Prenatal Care'!$C$7:$C$762&gt;=Lists!$AE7)*('Prenatal Care'!$C$7:$C$762&lt;=Lists!$AF7))</f>
        <v>0</v>
      </c>
      <c r="GJ13" s="475">
        <f>SUMPRODUCT(('Prenatal Care'!$Y$7:$Y$762=GJ$6)*('Prenatal Care'!$C$7:$C$762&gt;=Lists!$AE7)*('Prenatal Care'!$C$7:$C$762&lt;=Lists!$AF7))</f>
        <v>0</v>
      </c>
      <c r="GK13" s="471">
        <f t="shared" si="24"/>
        <v>0</v>
      </c>
      <c r="GL13" s="469">
        <f>SUMPRODUCT(('Prenatal Care'!$AA$7:$AA$762=GL$6)*('Prenatal Care'!$C$7:$C$762&gt;=Lists!$AE7)*('Prenatal Care'!$C$7:$C$762&lt;=Lists!$AF7))</f>
        <v>0</v>
      </c>
      <c r="GM13" s="474">
        <f>SUMPRODUCT(('Prenatal Care'!$AA$7:$AA$762=GM$6)*('Prenatal Care'!$C$7:$C$762&gt;=Lists!$AE7)*('Prenatal Care'!$C$7:$C$762&lt;=Lists!$AF7))</f>
        <v>0</v>
      </c>
      <c r="GN13" s="470">
        <f>SUMPRODUCT(('Prenatal Care'!$AA$7:$AA$762=GN$6)*('Prenatal Care'!$C$7:$C$762&gt;=Lists!$AE7)*('Prenatal Care'!$C$7:$C$762&lt;=Lists!$AF7))</f>
        <v>0</v>
      </c>
      <c r="GO13" s="470">
        <f>SUMPRODUCT(('Prenatal Care'!$AA$7:$AA$762=GO$6)*('Prenatal Care'!$C$7:$C$762&gt;=Lists!$AE7)*('Prenatal Care'!$C$7:$C$762&lt;=Lists!$AF7))</f>
        <v>0</v>
      </c>
      <c r="GP13" s="470">
        <f>SUMPRODUCT(('Prenatal Care'!$AA$7:$AA$762=GP$6)*('Prenatal Care'!$C$7:$C$762&gt;=Lists!$AE7)*('Prenatal Care'!$C$7:$C$762&lt;=Lists!$AF7))</f>
        <v>0</v>
      </c>
      <c r="GQ13" s="470">
        <f>SUMPRODUCT(('Prenatal Care'!$AA$7:$AA$762=GQ$6)*('Prenatal Care'!$C$7:$C$762&gt;=Lists!$AE7)*('Prenatal Care'!$C$7:$C$762&lt;=Lists!$AF7))</f>
        <v>0</v>
      </c>
      <c r="GR13" s="470">
        <f>SUMPRODUCT(('Prenatal Care'!$AA$7:$AA$762=GR$6)*('Prenatal Care'!$C$7:$C$762&gt;=Lists!$AE7)*('Prenatal Care'!$C$7:$C$762&lt;=Lists!$AF7))</f>
        <v>0</v>
      </c>
      <c r="GS13" s="470">
        <f>SUMPRODUCT(('Prenatal Care'!$AA$7:$AA$762=GS$6)*('Prenatal Care'!$C$7:$C$762&gt;=Lists!$AE7)*('Prenatal Care'!$C$7:$C$762&lt;=Lists!$AF7))</f>
        <v>0</v>
      </c>
      <c r="GT13" s="470">
        <f>SUMPRODUCT(('Prenatal Care'!$AA$7:$AA$762=GT$6)*('Prenatal Care'!$C$7:$C$762&gt;=Lists!$AE7)*('Prenatal Care'!$C$7:$C$762&lt;=Lists!$AF7))</f>
        <v>0</v>
      </c>
      <c r="GU13" s="470">
        <f>SUMPRODUCT(('Prenatal Care'!$AA$7:$AA$762=GU$6)*('Prenatal Care'!$C$7:$C$762&gt;=Lists!$AE7)*('Prenatal Care'!$C$7:$C$762&lt;=Lists!$AF7))</f>
        <v>0</v>
      </c>
      <c r="GV13" s="470">
        <f>SUMPRODUCT(('Prenatal Care'!$AA$7:$AA$762=GV$6)*('Prenatal Care'!$C$7:$C$762&gt;=Lists!$AE7)*('Prenatal Care'!$C$7:$C$762&lt;=Lists!$AF7))</f>
        <v>0</v>
      </c>
      <c r="GW13" s="470">
        <f>SUMPRODUCT(('Prenatal Care'!$AA$7:$AA$762=GW$6)*('Prenatal Care'!$C$7:$C$762&gt;=Lists!$AE7)*('Prenatal Care'!$C$7:$C$762&lt;=Lists!$AF7))</f>
        <v>0</v>
      </c>
      <c r="GX13" s="475">
        <f>SUMPRODUCT(('Prenatal Care'!$AA$7:$AA$762=GX$6)*('Prenatal Care'!$C$7:$C$762&gt;=Lists!$AE7)*('Prenatal Care'!$C$7:$C$762&lt;=Lists!$AF7))</f>
        <v>0</v>
      </c>
      <c r="GY13" s="471">
        <f t="shared" si="25"/>
        <v>0</v>
      </c>
      <c r="GZ13" s="473">
        <f>SUMPRODUCT(('Prenatal Care'!$AB$7:$AB$762=GZ$6)*('Prenatal Care'!$C$7:$C$762&gt;=Lists!$AE7)*('Prenatal Care'!$C$7:$C$762&lt;=Lists!$AF7))</f>
        <v>0</v>
      </c>
      <c r="HA13" s="470">
        <f>SUMPRODUCT(('Prenatal Care'!$AB$7:$AB$762=HA$6)*('Prenatal Care'!$C$7:$C$762&gt;=Lists!$AE7)*('Prenatal Care'!$C$7:$C$762&lt;=Lists!$AF7))</f>
        <v>0</v>
      </c>
      <c r="HB13" s="470">
        <f>SUMPRODUCT(('Prenatal Care'!$AB$7:$AB$762=HB$6)*('Prenatal Care'!$C$7:$C$762&gt;=Lists!$AE7)*('Prenatal Care'!$C$7:$C$762&lt;=Lists!$AF7))</f>
        <v>0</v>
      </c>
      <c r="HC13" s="470">
        <f>SUMPRODUCT(('Prenatal Care'!$AB$7:$AB$762=HC$6)*('Prenatal Care'!$C$7:$C$762&gt;=Lists!$AE7)*('Prenatal Care'!$C$7:$C$762&lt;=Lists!$AF7))</f>
        <v>0</v>
      </c>
      <c r="HD13" s="470">
        <f>SUMPRODUCT(('Prenatal Care'!$AB$7:$AB$762=HD$6)*('Prenatal Care'!$C$7:$C$762&gt;=Lists!$AE7)*('Prenatal Care'!$C$7:$C$762&lt;=Lists!$AF7))</f>
        <v>0</v>
      </c>
      <c r="HE13" s="470">
        <f>SUMPRODUCT(('Prenatal Care'!$AB$7:$AB$762=HE$6)*('Prenatal Care'!$C$7:$C$762&gt;=Lists!$AE7)*('Prenatal Care'!$C$7:$C$762&lt;=Lists!$AF7))</f>
        <v>0</v>
      </c>
      <c r="HF13" s="470">
        <f>SUMPRODUCT(('Prenatal Care'!$AB$7:$AB$762=HF$6)*('Prenatal Care'!$C$7:$C$762&gt;=Lists!$AE7)*('Prenatal Care'!$C$7:$C$762&lt;=Lists!$AF7))</f>
        <v>0</v>
      </c>
      <c r="HG13" s="470">
        <f>SUMPRODUCT(('Prenatal Care'!$AB$7:$AB$762=HG$6)*('Prenatal Care'!$C$7:$C$762&gt;=Lists!$AE7)*('Prenatal Care'!$C$7:$C$762&lt;=Lists!$AF7))</f>
        <v>0</v>
      </c>
      <c r="HH13" s="470">
        <f>SUMPRODUCT(('Prenatal Care'!$AB$7:$AB$762=HH$6)*('Prenatal Care'!$C$7:$C$762&gt;=Lists!$AE7)*('Prenatal Care'!$C$7:$C$762&lt;=Lists!$AF7))</f>
        <v>0</v>
      </c>
      <c r="HI13" s="470">
        <f>SUMPRODUCT(('Prenatal Care'!$AB$7:$AB$762=HI$6)*('Prenatal Care'!$C$7:$C$762&gt;=Lists!$AE7)*('Prenatal Care'!$C$7:$C$762&lt;=Lists!$AF7))</f>
        <v>0</v>
      </c>
      <c r="HJ13" s="470">
        <f>SUMPRODUCT(('Prenatal Care'!$AB$7:$AB$762=HJ$6)*('Prenatal Care'!$C$7:$C$762&gt;=Lists!$AE7)*('Prenatal Care'!$C$7:$C$762&lt;=Lists!$AF7))</f>
        <v>0</v>
      </c>
      <c r="HK13" s="470">
        <f>SUMPRODUCT(('Prenatal Care'!$AB$7:$AB$762=HK$6)*('Prenatal Care'!$C$7:$C$762&gt;=Lists!$AE7)*('Prenatal Care'!$C$7:$C$762&lt;=Lists!$AF7))</f>
        <v>0</v>
      </c>
      <c r="HL13" s="475">
        <f>SUMPRODUCT(('Prenatal Care'!$AB$7:$AB$762=HL$6)*('Prenatal Care'!$C$7:$C$762&gt;=Lists!$AE7)*('Prenatal Care'!$C$7:$C$762&lt;=Lists!$AF7))</f>
        <v>0</v>
      </c>
      <c r="HM13" s="471">
        <f t="shared" si="26"/>
        <v>0</v>
      </c>
      <c r="HN13" s="458">
        <f>SUMPRODUCT(('Prenatal Care'!$AC$7:$AC$762=HN$6)*('Prenatal Care'!$C$7:$C$762&gt;=Lists!$AE7)*('Prenatal Care'!$C$7:$C$762&lt;=Lists!$AF7))</f>
        <v>0</v>
      </c>
      <c r="HO13" s="459">
        <f>SUMPRODUCT(('Prenatal Care'!$AC$7:$AC$762=HO$6)*('Prenatal Care'!$C$7:$C$762&gt;=Lists!$AE7)*('Prenatal Care'!$C$7:$C$762&lt;=Lists!$AF7))</f>
        <v>0</v>
      </c>
      <c r="HP13" s="459">
        <f>SUMPRODUCT(('Prenatal Care'!$AC$7:$AC$762=HP$6)*('Prenatal Care'!$C$7:$C$762&gt;=Lists!$AE7)*('Prenatal Care'!$C$7:$C$762&lt;=Lists!$AF7))</f>
        <v>0</v>
      </c>
      <c r="HQ13" s="459">
        <f>SUMPRODUCT(('Prenatal Care'!$AC$7:$AC$762=HQ$6)*('Prenatal Care'!$C$7:$C$762&gt;=Lists!$AE7)*('Prenatal Care'!$C$7:$C$762&lt;=Lists!$AF7))</f>
        <v>0</v>
      </c>
      <c r="HR13" s="459">
        <f>SUMPRODUCT(('Prenatal Care'!$AC$7:$AC$762=HR$6)*('Prenatal Care'!$C$7:$C$762&gt;=Lists!$AE7)*('Prenatal Care'!$C$7:$C$762&lt;=Lists!$AF7))</f>
        <v>0</v>
      </c>
      <c r="HS13" s="459">
        <f>SUMPRODUCT(('Prenatal Care'!$AC$7:$AC$762=HS$6)*('Prenatal Care'!$C$7:$C$762&gt;=Lists!$AE7)*('Prenatal Care'!$C$7:$C$762&lt;=Lists!$AF7))</f>
        <v>0</v>
      </c>
      <c r="HT13" s="459">
        <f>SUMPRODUCT(('Prenatal Care'!$AC$7:$AC$762=HT$6)*('Prenatal Care'!$C$7:$C$762&gt;=Lists!$AE7)*('Prenatal Care'!$C$7:$C$762&lt;=Lists!$AF7))</f>
        <v>0</v>
      </c>
      <c r="HU13" s="459">
        <f>SUMPRODUCT(('Prenatal Care'!$AC$7:$AC$762=HU$6)*('Prenatal Care'!$C$7:$C$762&gt;=Lists!$AE7)*('Prenatal Care'!$C$7:$C$762&lt;=Lists!$AF7))</f>
        <v>0</v>
      </c>
      <c r="HV13" s="459">
        <f>SUMPRODUCT(('Prenatal Care'!$AC$7:$AC$762=HV$6)*('Prenatal Care'!$C$7:$C$762&gt;=Lists!$AE7)*('Prenatal Care'!$C$7:$C$762&lt;=Lists!$AF7))</f>
        <v>0</v>
      </c>
      <c r="HW13" s="459">
        <f>SUMPRODUCT(('Prenatal Care'!$AC$7:$AC$762=HW$6)*('Prenatal Care'!$C$7:$C$762&gt;=Lists!$AE7)*('Prenatal Care'!$C$7:$C$762&lt;=Lists!$AF7))</f>
        <v>0</v>
      </c>
      <c r="HX13" s="459">
        <f>SUMPRODUCT(('Prenatal Care'!$AC$7:$AC$762=HX$6)*('Prenatal Care'!$C$7:$C$762&gt;=Lists!$AE7)*('Prenatal Care'!$C$7:$C$762&lt;=Lists!$AF7))</f>
        <v>0</v>
      </c>
      <c r="HY13" s="459">
        <f>SUMPRODUCT(('Prenatal Care'!$AC$7:$AC$762=HY$6)*('Prenatal Care'!$C$7:$C$762&gt;=Lists!$AE7)*('Prenatal Care'!$C$7:$C$762&lt;=Lists!$AF7))</f>
        <v>0</v>
      </c>
      <c r="HZ13" s="460">
        <f>SUMPRODUCT(('Prenatal Care'!$AC$7:$AC$762=HZ$6)*('Prenatal Care'!$C$7:$C$762&gt;=Lists!$AE7)*('Prenatal Care'!$C$7:$C$762&lt;=Lists!$AF7))</f>
        <v>0</v>
      </c>
      <c r="IA13" s="471">
        <f t="shared" si="2"/>
        <v>0</v>
      </c>
      <c r="IB13" s="469">
        <f>SUMPRODUCT(('Prenatal Care'!$AD$7:$AD$762=IB$6)*('Prenatal Care'!$C$7:$C$762&gt;=Lists!$AE7)*('Prenatal Care'!$C$7:$C$762&lt;=Lists!$AF7))</f>
        <v>0</v>
      </c>
      <c r="IC13" s="473">
        <f>SUMPRODUCT(('Prenatal Care'!$AD$7:$AD$762=IC$6)*('Prenatal Care'!$C$7:$C$762&gt;=Lists!$AE7)*('Prenatal Care'!$C$7:$C$762&lt;=Lists!$AF7))</f>
        <v>0</v>
      </c>
      <c r="ID13" s="470">
        <f>SUMPRODUCT(('Prenatal Care'!$AD$7:$AD$762=ID$6)*('Prenatal Care'!$C$7:$C$762&gt;=Lists!$AE7)*('Prenatal Care'!$C$7:$C$762&lt;=Lists!$AF7))</f>
        <v>0</v>
      </c>
      <c r="IE13" s="470">
        <f>SUMPRODUCT(('Prenatal Care'!$AD$7:$AD$762=IE$6)*('Prenatal Care'!$C$7:$C$762&gt;=Lists!$AE7)*('Prenatal Care'!$C$7:$C$762&lt;=Lists!$AF7))</f>
        <v>0</v>
      </c>
      <c r="IF13" s="470">
        <f>SUMPRODUCT(('Prenatal Care'!$AD$7:$AD$762=IF$6)*('Prenatal Care'!$C$7:$C$762&gt;=Lists!$AE7)*('Prenatal Care'!$C$7:$C$762&lt;=Lists!$AF7))</f>
        <v>0</v>
      </c>
      <c r="IG13" s="471">
        <f t="shared" si="3"/>
        <v>0</v>
      </c>
      <c r="IH13" s="464">
        <f>SUMPRODUCT(('Prenatal Care'!$AE$7:$AE$762=IH$6)*('Prenatal Care'!$C$7:$C$762&gt;=Lists!$AE7)*('Prenatal Care'!$C$7:$C$762&lt;=Lists!$AF7))</f>
        <v>0</v>
      </c>
      <c r="II13" s="464">
        <f>SUMPRODUCT(('Prenatal Care'!$AE$7:$AE$762=II$6)*('Prenatal Care'!$C$7:$C$762&gt;=Lists!$AE7)*('Prenatal Care'!$C$7:$C$762&lt;=Lists!$AF7))</f>
        <v>0</v>
      </c>
      <c r="IJ13" s="464">
        <f>SUMPRODUCT(('Prenatal Care'!$AE$7:$AE$762=IJ$6)*('Prenatal Care'!$C$7:$C$762&gt;=Lists!$AE7)*('Prenatal Care'!$C$7:$C$762&lt;=Lists!$AF7))</f>
        <v>0</v>
      </c>
      <c r="IK13" s="464">
        <f>SUMPRODUCT(('Prenatal Care'!$AE$7:$AE$762=IK$6)*('Prenatal Care'!$C$7:$C$762&gt;=Lists!$AE7)*('Prenatal Care'!$C$7:$C$762&lt;=Lists!$AF7))</f>
        <v>0</v>
      </c>
      <c r="IL13" s="464">
        <f>SUMPRODUCT(('Prenatal Care'!$AE$7:$AE$762=IL$6)*('Prenatal Care'!$C$7:$C$762&gt;=Lists!$AE7)*('Prenatal Care'!$C$7:$C$762&lt;=Lists!$AF7))</f>
        <v>0</v>
      </c>
      <c r="IM13" s="464">
        <f>SUMPRODUCT(('Prenatal Care'!$AE$7:$AE$762=IM$6)*('Prenatal Care'!$C$7:$C$762&gt;=Lists!$AE7)*('Prenatal Care'!$C$7:$C$762&lt;=Lists!$AF7))</f>
        <v>0</v>
      </c>
      <c r="IN13" s="464">
        <f>SUMPRODUCT(('Prenatal Care'!$AE$7:$AE$762=IN$6)*('Prenatal Care'!$C$7:$C$762&gt;=Lists!$AE7)*('Prenatal Care'!$C$7:$C$762&lt;=Lists!$AF7))</f>
        <v>0</v>
      </c>
      <c r="IO13" s="464">
        <f>SUMPRODUCT(('Prenatal Care'!$AE$7:$AE$762=IO$6)*('Prenatal Care'!$C$7:$C$762&gt;=Lists!$AE7)*('Prenatal Care'!$C$7:$C$762&lt;=Lists!$AF7))</f>
        <v>0</v>
      </c>
      <c r="IP13" s="464">
        <f>SUMPRODUCT(('Prenatal Care'!$AE$7:$AE$762=IP$6)*('Prenatal Care'!$C$7:$C$762&gt;=Lists!$AE7)*('Prenatal Care'!$C$7:$C$762&lt;=Lists!$AF7))</f>
        <v>0</v>
      </c>
      <c r="IQ13" s="464">
        <f>SUMPRODUCT(('Prenatal Care'!$AE$7:$AE$762=IQ$6)*('Prenatal Care'!$C$7:$C$762&gt;=Lists!$AE7)*('Prenatal Care'!$C$7:$C$762&lt;=Lists!$AF7))</f>
        <v>0</v>
      </c>
      <c r="IR13" s="464">
        <f>SUMPRODUCT(('Prenatal Care'!$AE$7:$AE$762=IR$6)*('Prenatal Care'!$C$7:$C$762&gt;=Lists!$AE7)*('Prenatal Care'!$C$7:$C$762&lt;=Lists!$AF7))</f>
        <v>0</v>
      </c>
      <c r="IS13" s="464">
        <f>SUMPRODUCT(('Prenatal Care'!$AE$7:$AE$762=IS$6)*('Prenatal Care'!$C$7:$C$762&gt;=Lists!$AE7)*('Prenatal Care'!$C$7:$C$762&lt;=Lists!$AF7))</f>
        <v>0</v>
      </c>
      <c r="IT13" s="517">
        <f>SUMPRODUCT(('Prenatal Care'!$AE$7:$AE$762=IT$6)*('Prenatal Care'!$C$7:$C$762&gt;=Lists!$AE7)*('Prenatal Care'!$C$7:$C$762&lt;=Lists!$AF7))</f>
        <v>0</v>
      </c>
      <c r="IU13" s="471">
        <f t="shared" si="27"/>
        <v>0</v>
      </c>
      <c r="IV13" s="473">
        <f>SUMPRODUCT(('Prenatal Care'!$AF$7:$AF$762=IV$6)*('Prenatal Care'!$C$7:$C$762&gt;=Lists!$AE7)*('Prenatal Care'!$C$7:$C$762&lt;=Lists!$AF7))</f>
        <v>0</v>
      </c>
      <c r="IW13" s="470">
        <f>SUMPRODUCT(('Prenatal Care'!$AF$7:$AF$762=IW$6)*('Prenatal Care'!$C$7:$C$762&gt;=Lists!$AE7)*('Prenatal Care'!$C$7:$C$762&lt;=Lists!$AF7))</f>
        <v>0</v>
      </c>
      <c r="IX13" s="470">
        <f>SUMPRODUCT(('Prenatal Care'!$AF$7:$AF$762=IX$6)*('Prenatal Care'!$C$7:$C$762&gt;=Lists!$AE7)*('Prenatal Care'!$C$7:$C$762&lt;=Lists!$AF7))</f>
        <v>0</v>
      </c>
      <c r="IY13" s="470">
        <f>SUMPRODUCT(('Prenatal Care'!$AF$7:$AF$762=IY$6)*('Prenatal Care'!$C$7:$C$762&gt;=Lists!$AE7)*('Prenatal Care'!$C$7:$C$762&lt;=Lists!$AF7))</f>
        <v>0</v>
      </c>
      <c r="IZ13" s="470">
        <f>SUMPRODUCT(('Prenatal Care'!$AF$7:$AF$762=IZ$6)*('Prenatal Care'!$C$7:$C$762&gt;=Lists!$AE7)*('Prenatal Care'!$C$7:$C$762&lt;=Lists!$AF7))</f>
        <v>0</v>
      </c>
      <c r="JA13" s="470">
        <f>SUMPRODUCT(('Prenatal Care'!$AF$7:$AF$762=JA$6)*('Prenatal Care'!$C$7:$C$762&gt;=Lists!$AE7)*('Prenatal Care'!$C$7:$C$762&lt;=Lists!$AF7))</f>
        <v>0</v>
      </c>
      <c r="JB13" s="470">
        <f>SUMPRODUCT(('Prenatal Care'!$AF$7:$AF$762=JB$6)*('Prenatal Care'!$C$7:$C$762&gt;=Lists!$AE7)*('Prenatal Care'!$C$7:$C$762&lt;=Lists!$AF7))</f>
        <v>0</v>
      </c>
      <c r="JC13" s="470">
        <f>SUMPRODUCT(('Prenatal Care'!$AF$7:$AF$762=JC$6)*('Prenatal Care'!$C$7:$C$762&gt;=Lists!$AE7)*('Prenatal Care'!$C$7:$C$762&lt;=Lists!$AF7))</f>
        <v>0</v>
      </c>
      <c r="JD13" s="470">
        <f>SUMPRODUCT(('Prenatal Care'!$AF$7:$AF$762=JD$6)*('Prenatal Care'!$C$7:$C$762&gt;=Lists!$AE7)*('Prenatal Care'!$C$7:$C$762&lt;=Lists!$AF7))</f>
        <v>0</v>
      </c>
      <c r="JE13" s="470">
        <f>SUMPRODUCT(('Prenatal Care'!$AF$7:$AF$762=JE$6)*('Prenatal Care'!$C$7:$C$762&gt;=Lists!$AE7)*('Prenatal Care'!$C$7:$C$762&lt;=Lists!$AF7))</f>
        <v>0</v>
      </c>
      <c r="JF13" s="470">
        <f>SUMPRODUCT(('Prenatal Care'!$AF$7:$AF$762=JF$6)*('Prenatal Care'!$C$7:$C$762&gt;=Lists!$AE7)*('Prenatal Care'!$C$7:$C$762&lt;=Lists!$AF7))</f>
        <v>0</v>
      </c>
      <c r="JG13" s="470">
        <f>SUMPRODUCT(('Prenatal Care'!$AF$7:$AF$762=JG$6)*('Prenatal Care'!$C$7:$C$762&gt;=Lists!$AE7)*('Prenatal Care'!$C$7:$C$762&lt;=Lists!$AF7))</f>
        <v>0</v>
      </c>
      <c r="JH13" s="470">
        <f>SUMPRODUCT(('Prenatal Care'!$AF$7:$AF$762=JH$6)*('Prenatal Care'!$C$7:$C$762&gt;=Lists!$AE7)*('Prenatal Care'!$C$7:$C$762&lt;=Lists!$AF7))</f>
        <v>0</v>
      </c>
      <c r="JI13" s="470">
        <f>SUMPRODUCT(('Prenatal Care'!$AF$7:$AF$762=JI$6)*('Prenatal Care'!$C$7:$C$762&gt;=Lists!$AE7)*('Prenatal Care'!$C$7:$C$762&lt;=Lists!$AF7))</f>
        <v>0</v>
      </c>
      <c r="JJ13" s="470">
        <f>SUMPRODUCT(('Prenatal Care'!$AF$7:$AF$762=JJ$6)*('Prenatal Care'!$C$7:$C$762&gt;=Lists!$AE7)*('Prenatal Care'!$C$7:$C$762&lt;=Lists!$AF7))</f>
        <v>0</v>
      </c>
      <c r="JK13" s="470">
        <f>SUMPRODUCT(('Prenatal Care'!$AF$7:$AF$762=JK$6)*('Prenatal Care'!$C$7:$C$762&gt;=Lists!$AE7)*('Prenatal Care'!$C$7:$C$762&lt;=Lists!$AF7))</f>
        <v>0</v>
      </c>
      <c r="JL13" s="470">
        <f>SUMPRODUCT(('Prenatal Care'!$AF$7:$AF$762=JL$6)*('Prenatal Care'!$C$7:$C$762&gt;=Lists!$AE7)*('Prenatal Care'!$C$7:$C$762&lt;=Lists!$AF7))</f>
        <v>0</v>
      </c>
      <c r="JM13" s="470">
        <f>SUMPRODUCT(('Prenatal Care'!$AF$7:$AF$762=JM$6)*('Prenatal Care'!$C$7:$C$762&gt;=Lists!$AE7)*('Prenatal Care'!$C$7:$C$762&lt;=Lists!$AF7))</f>
        <v>0</v>
      </c>
      <c r="JN13" s="470">
        <f>SUMPRODUCT(('Prenatal Care'!$AF$7:$AF$762=JN$6)*('Prenatal Care'!$C$7:$C$762&gt;=Lists!$AE7)*('Prenatal Care'!$C$7:$C$762&lt;=Lists!$AF7))</f>
        <v>0</v>
      </c>
      <c r="JO13" s="470">
        <f>SUMPRODUCT(('Prenatal Care'!$AF$7:$AF$762=JO$6)*('Prenatal Care'!$C$7:$C$762&gt;=Lists!$AE7)*('Prenatal Care'!$C$7:$C$762&lt;=Lists!$AF7))</f>
        <v>0</v>
      </c>
      <c r="JP13" s="470">
        <f>SUMPRODUCT(('Prenatal Care'!$AF$7:$AF$762=JP$6)*('Prenatal Care'!$C$7:$C$762&gt;=Lists!$AE7)*('Prenatal Care'!$C$7:$C$762&lt;=Lists!$AF7))</f>
        <v>0</v>
      </c>
      <c r="JQ13" s="475">
        <f>SUMPRODUCT(('Prenatal Care'!$AF$7:$AF$762=JQ$6)*('Prenatal Care'!$C$7:$C$762&gt;=Lists!$AE7)*('Prenatal Care'!$C$7:$C$762&lt;=Lists!$AF7))</f>
        <v>0</v>
      </c>
      <c r="JR13" s="471">
        <f t="shared" si="28"/>
        <v>0</v>
      </c>
      <c r="JS13" s="469">
        <f>SUMPRODUCT(('Prenatal Care'!$AH$7:$AH$762=JS$6)*('Prenatal Care'!$C$7:$C$762&gt;=Lists!$AE7)*('Prenatal Care'!$C$7:$C$762&lt;=Lists!$AF7))</f>
        <v>0</v>
      </c>
      <c r="JT13" s="470">
        <f>SUMPRODUCT(('Prenatal Care'!$AH$7:$AH$762=JT$6)*('Prenatal Care'!$C$7:$C$762&gt;=Lists!$AE7)*('Prenatal Care'!$C$7:$C$762&lt;=Lists!$AF7))</f>
        <v>0</v>
      </c>
      <c r="JU13" s="470">
        <f>SUMPRODUCT(('Prenatal Care'!$AH$7:$AH$762=JU$6)*('Prenatal Care'!$C$7:$C$762&gt;=Lists!$AE7)*('Prenatal Care'!$C$7:$C$762&lt;=Lists!$AF7))</f>
        <v>0</v>
      </c>
      <c r="JV13" s="470">
        <f>SUMPRODUCT(('Prenatal Care'!$AH$7:$AH$762=JV$6)*('Prenatal Care'!$C$7:$C$762&gt;=Lists!$AE7)*('Prenatal Care'!$C$7:$C$762&lt;=Lists!$AF7))</f>
        <v>0</v>
      </c>
      <c r="JW13" s="470">
        <f>SUMPRODUCT(('Prenatal Care'!$AH$7:$AH$762=JW$6)*('Prenatal Care'!$C$7:$C$762&gt;=Lists!$AE7)*('Prenatal Care'!$C$7:$C$762&lt;=Lists!$AF7))</f>
        <v>0</v>
      </c>
      <c r="JX13" s="470">
        <f>SUMPRODUCT(('Prenatal Care'!$AH$7:$AH$762=JX$6)*('Prenatal Care'!$C$7:$C$762&gt;=Lists!$AE7)*('Prenatal Care'!$C$7:$C$762&lt;=Lists!$AF7))</f>
        <v>0</v>
      </c>
      <c r="JY13" s="470">
        <f>SUMPRODUCT(('Prenatal Care'!$AH$7:$AH$762=JY$6)*('Prenatal Care'!$C$7:$C$762&gt;=Lists!$AE7)*('Prenatal Care'!$C$7:$C$762&lt;=Lists!$AF7))</f>
        <v>0</v>
      </c>
      <c r="JZ13" s="470">
        <f>SUMPRODUCT(('Prenatal Care'!$AH$7:$AH$762=JZ$6)*('Prenatal Care'!$C$7:$C$762&gt;=Lists!$AE7)*('Prenatal Care'!$C$7:$C$762&lt;=Lists!$AF7))</f>
        <v>0</v>
      </c>
      <c r="KA13" s="470">
        <f>SUMPRODUCT(('Prenatal Care'!$AH$7:$AH$762=KA$6)*('Prenatal Care'!$C$7:$C$762&gt;=Lists!$AE7)*('Prenatal Care'!$C$7:$C$762&lt;=Lists!$AF7))</f>
        <v>0</v>
      </c>
      <c r="KB13" s="470">
        <f>SUMPRODUCT(('Prenatal Care'!$AH$7:$AH$762=KB$6)*('Prenatal Care'!$C$7:$C$762&gt;=Lists!$AE7)*('Prenatal Care'!$C$7:$C$762&lt;=Lists!$AF7))</f>
        <v>0</v>
      </c>
      <c r="KC13" s="475">
        <f>SUMPRODUCT(('Prenatal Care'!$AH$7:$AH$762=KC$6)*('Prenatal Care'!$C$7:$C$762&gt;=Lists!$AE7)*('Prenatal Care'!$C$7:$C$762&lt;=Lists!$AF7))</f>
        <v>0</v>
      </c>
      <c r="KD13" s="471">
        <f t="shared" si="29"/>
        <v>0</v>
      </c>
      <c r="KE13" s="473">
        <f>SUMPRODUCT(('Prenatal Care'!$AI$7:$AI$762=KE$6)*('Prenatal Care'!$C$7:$C$762&gt;=Lists!$AE7)*('Prenatal Care'!$C$7:$C$762&lt;=Lists!$AF7))</f>
        <v>0</v>
      </c>
      <c r="KF13" s="470">
        <f>SUMPRODUCT(('Prenatal Care'!$AI$7:$AI$762=KF$6)*('Prenatal Care'!$C$7:$C$762&gt;=Lists!$AE7)*('Prenatal Care'!$C$7:$C$762&lt;=Lists!$AF7))</f>
        <v>0</v>
      </c>
      <c r="KG13" s="470">
        <f>SUMPRODUCT(('Prenatal Care'!$AI$7:$AI$762=KG$6)*('Prenatal Care'!$C$7:$C$762&gt;=Lists!$AE7)*('Prenatal Care'!$C$7:$C$762&lt;=Lists!$AF7))</f>
        <v>0</v>
      </c>
      <c r="KH13" s="470">
        <f>SUMPRODUCT(('Prenatal Care'!$AI$7:$AI$762=KH$6)*('Prenatal Care'!$C$7:$C$762&gt;=Lists!$AE7)*('Prenatal Care'!$C$7:$C$762&lt;=Lists!$AF7))</f>
        <v>0</v>
      </c>
      <c r="KI13" s="475">
        <f>SUMPRODUCT(('Prenatal Care'!$AI$7:$AI$762=KI$6)*('Prenatal Care'!$C$7:$C$762&gt;=Lists!$AE7)*('Prenatal Care'!$C$7:$C$762&lt;=Lists!$AF7))</f>
        <v>0</v>
      </c>
      <c r="KJ13" s="471">
        <f t="shared" si="5"/>
        <v>0</v>
      </c>
      <c r="KK13" s="518">
        <f t="shared" si="6"/>
        <v>0</v>
      </c>
      <c r="KN13" s="15"/>
      <c r="KO13" s="15"/>
      <c r="KP13" s="15"/>
      <c r="KQ13" s="15"/>
      <c r="KR13" s="15"/>
      <c r="KS13" s="15"/>
      <c r="KT13" s="15"/>
      <c r="KU13" s="16"/>
      <c r="KV13" s="15"/>
      <c r="KW13" s="15"/>
      <c r="KX13" s="15"/>
      <c r="KY13" s="15"/>
      <c r="KZ13" s="15"/>
    </row>
    <row r="14" spans="1:312" ht="15" customHeight="1" x14ac:dyDescent="0.35">
      <c r="A14" s="567">
        <v>45931</v>
      </c>
      <c r="B14" s="448">
        <f>SUMPRODUCT(('Prenatal Care'!$F$7:$F$762=B$6)*('Prenatal Care'!$C$7:$C$762&gt;=Lists!$AE8)*('Prenatal Care'!$C$7:$C$762&lt;=Lists!$AF8))</f>
        <v>0</v>
      </c>
      <c r="C14" s="449">
        <f>SUMPRODUCT(('Prenatal Care'!$F$7:$F$762=C$6)*('Prenatal Care'!$C$7:$C$762&gt;=Lists!$AE8)*('Prenatal Care'!$C$7:$C$762&lt;=Lists!$AF8))</f>
        <v>0</v>
      </c>
      <c r="D14" s="449">
        <f>SUMPRODUCT(('Prenatal Care'!$F$7:$F$762=D$6)*('Prenatal Care'!$C$7:$C$762&gt;=Lists!$AE8)*('Prenatal Care'!$C$7:$C$762&lt;=Lists!$AF8))</f>
        <v>0</v>
      </c>
      <c r="E14" s="450">
        <f>SUMPRODUCT(('Prenatal Care'!$F$7:$F$762=E$6)*('Prenatal Care'!$C$7:$C$762&gt;=Lists!$AE8)*('Prenatal Care'!$C$7:$C$762&lt;=Lists!$AF8))</f>
        <v>0</v>
      </c>
      <c r="F14" s="213">
        <f t="shared" si="7"/>
        <v>0</v>
      </c>
      <c r="G14" s="441">
        <f>SUMPRODUCT(('Prenatal Care'!$G$7:$G$762=G$6)*('Prenatal Care'!$C$7:$C$762&gt;=Lists!$AE8)*('Prenatal Care'!$C$7:$C$762&lt;=Lists!$AF8))</f>
        <v>0</v>
      </c>
      <c r="H14" s="441">
        <f>SUMPRODUCT(('Prenatal Care'!$G$7:$G$762=H$6)*('Prenatal Care'!$C$7:$C$762&gt;=Lists!$AE8)*('Prenatal Care'!$C$7:$C$762&lt;=Lists!$AF8))</f>
        <v>0</v>
      </c>
      <c r="I14" s="441">
        <f>SUMPRODUCT(('Prenatal Care'!$G$7:$G$762=I$6)*('Prenatal Care'!$C$7:$C$762&gt;=Lists!$AE8)*('Prenatal Care'!$C$7:$C$762&lt;=Lists!$AF8))</f>
        <v>0</v>
      </c>
      <c r="J14" s="441">
        <f>SUMPRODUCT(('Prenatal Care'!$G$7:$G$762=J$6)*('Prenatal Care'!$C$7:$C$762&gt;=Lists!$AE8)*('Prenatal Care'!$C$7:$C$762&lt;=Lists!$AF8))</f>
        <v>0</v>
      </c>
      <c r="K14" s="441">
        <f>SUMPRODUCT(('Prenatal Care'!$G$7:$G$762=K$6)*('Prenatal Care'!$C$7:$C$762&gt;=Lists!$AE8)*('Prenatal Care'!$C$7:$C$762&lt;=Lists!$AF8))</f>
        <v>0</v>
      </c>
      <c r="L14" s="441">
        <f>SUMPRODUCT(('Prenatal Care'!$G$7:$G$762=L$6)*('Prenatal Care'!$C$7:$C$762&gt;=Lists!$AE8)*('Prenatal Care'!$C$7:$C$762&lt;=Lists!$AF8))</f>
        <v>0</v>
      </c>
      <c r="M14" s="441">
        <f>SUMPRODUCT(('Prenatal Care'!$G$7:$G$762=M$6)*('Prenatal Care'!$C$7:$C$762&gt;=Lists!$AE8)*('Prenatal Care'!$C$7:$C$762&lt;=Lists!$AF8))</f>
        <v>0</v>
      </c>
      <c r="N14" s="170">
        <f t="shared" si="8"/>
        <v>0</v>
      </c>
      <c r="O14" s="441">
        <f>SUMPRODUCT(('Prenatal Care'!$H$7:$H$762=O$6)*('Prenatal Care'!$C$7:$C$762&gt;=Lists!$AE8)*('Prenatal Care'!$C$7:$C$762&lt;=Lists!$AF8))</f>
        <v>0</v>
      </c>
      <c r="P14" s="441">
        <f>SUMPRODUCT(('Prenatal Care'!$H$7:$H$762=P$6)*('Prenatal Care'!$C$7:$C$762&gt;=Lists!$AE8)*('Prenatal Care'!$C$7:$C$762&lt;=Lists!$AF8))</f>
        <v>0</v>
      </c>
      <c r="Q14" s="441">
        <f>SUMPRODUCT(('Prenatal Care'!$H$7:$H$762=Q$6)*('Prenatal Care'!$C$7:$C$762&gt;=Lists!$AE8)*('Prenatal Care'!$C$7:$C$762&lt;=Lists!$AF8))</f>
        <v>0</v>
      </c>
      <c r="R14" s="441">
        <f>SUMPRODUCT(('Prenatal Care'!$H$7:$H$762=R$6)*('Prenatal Care'!$C$7:$C$762&gt;=Lists!$AE8)*('Prenatal Care'!$C$7:$C$762&lt;=Lists!$AF8))</f>
        <v>0</v>
      </c>
      <c r="S14" s="441">
        <f>SUMPRODUCT(('Prenatal Care'!$H$7:$H$762=S$6)*('Prenatal Care'!$C$7:$C$762&gt;=Lists!$AE8)*('Prenatal Care'!$C$7:$C$762&lt;=Lists!$AF8))</f>
        <v>0</v>
      </c>
      <c r="T14" s="441">
        <f>SUMPRODUCT(('Prenatal Care'!$H$7:$H$762=T$6)*('Prenatal Care'!$C$7:$C$762&gt;=Lists!$AE8)*('Prenatal Care'!$C$7:$C$762&lt;=Lists!$AF8))</f>
        <v>0</v>
      </c>
      <c r="U14" s="441">
        <f>SUMPRODUCT(('Prenatal Care'!$H$7:$H$762=U$6)*('Prenatal Care'!$C$7:$C$762&gt;=Lists!$AE8)*('Prenatal Care'!$C$7:$C$762&lt;=Lists!$AF8))</f>
        <v>0</v>
      </c>
      <c r="V14" s="170">
        <f t="shared" si="9"/>
        <v>0</v>
      </c>
      <c r="W14" s="441">
        <f>SUMPRODUCT(('Prenatal Care'!$I$7:$I$762=W$6)*('Prenatal Care'!$C$7:$C$762&gt;=Lists!$AE8)*('Prenatal Care'!$C$7:$C$762&lt;=Lists!$AF8))</f>
        <v>0</v>
      </c>
      <c r="X14" s="441">
        <f>SUMPRODUCT(('Prenatal Care'!$I$7:$I$762=X$6)*('Prenatal Care'!$C$7:$C$762&gt;=Lists!$AE8)*('Prenatal Care'!$C$7:$C$762&lt;=Lists!$AF8))</f>
        <v>0</v>
      </c>
      <c r="Y14" s="441">
        <f>SUMPRODUCT(('Prenatal Care'!$I$7:$I$762=Y$6)*('Prenatal Care'!$C$7:$C$762&gt;=Lists!$AE8)*('Prenatal Care'!$C$7:$C$762&lt;=Lists!$AF8))</f>
        <v>0</v>
      </c>
      <c r="Z14" s="441">
        <f>SUMPRODUCT(('Prenatal Care'!$I$7:$I$762=Z$6)*('Prenatal Care'!$C$7:$C$762&gt;=Lists!$AE8)*('Prenatal Care'!$C$7:$C$762&lt;=Lists!$AF8))</f>
        <v>0</v>
      </c>
      <c r="AA14" s="441">
        <f>SUMPRODUCT(('Prenatal Care'!$I$7:$I$762=AA$6)*('Prenatal Care'!$C$7:$C$762&gt;=Lists!$AE8)*('Prenatal Care'!$C$7:$C$762&lt;=Lists!$AF8))</f>
        <v>0</v>
      </c>
      <c r="AB14" s="441">
        <f>SUMPRODUCT(('Prenatal Care'!$I$7:$I$762=AB$6)*('Prenatal Care'!$C$7:$C$762&gt;=Lists!$AE8)*('Prenatal Care'!$C$7:$C$762&lt;=Lists!$AF8))</f>
        <v>0</v>
      </c>
      <c r="AC14" s="170">
        <f t="shared" si="10"/>
        <v>0</v>
      </c>
      <c r="AD14" s="441">
        <f>SUMPRODUCT(('Prenatal Care'!$J$7:$J$762=AD$6)*('Prenatal Care'!$C$7:$C$762&gt;=Lists!$AE8)*('Prenatal Care'!$C$7:$C$762&lt;=Lists!$AF8))</f>
        <v>0</v>
      </c>
      <c r="AE14" s="441">
        <f>SUMPRODUCT(('Prenatal Care'!$J$7:$J$762=AE$6)*('Prenatal Care'!$C$7:$C$762&gt;=Lists!$AE8)*('Prenatal Care'!$C$7:$C$762&lt;=Lists!$AF8))</f>
        <v>0</v>
      </c>
      <c r="AF14" s="441">
        <f>SUMPRODUCT(('Prenatal Care'!$J$7:$J$762=AF$6)*('Prenatal Care'!$C$7:$C$762&gt;=Lists!$AE8)*('Prenatal Care'!$C$7:$C$762&lt;=Lists!$AF8))</f>
        <v>0</v>
      </c>
      <c r="AG14" s="441">
        <f>SUMPRODUCT(('Prenatal Care'!$J$7:$J$762=AG$6)*('Prenatal Care'!$C$7:$C$762&gt;=Lists!$AE8)*('Prenatal Care'!$C$7:$C$762&lt;=Lists!$AF8))</f>
        <v>0</v>
      </c>
      <c r="AH14" s="170">
        <f t="shared" si="11"/>
        <v>0</v>
      </c>
      <c r="AI14" s="441">
        <f>SUMPRODUCT(('Prenatal Care'!$K$7:$K$762=AI$6)*('Prenatal Care'!$C$7:$C$762&gt;=Lists!$AE8)*('Prenatal Care'!$C$7:$C$762&lt;=Lists!$AF8))</f>
        <v>0</v>
      </c>
      <c r="AJ14" s="441">
        <f>SUMPRODUCT(('Prenatal Care'!$K$7:$K$762=AJ$6)*('Prenatal Care'!$C$7:$C$762&gt;=Lists!$AE8)*('Prenatal Care'!$C$7:$C$762&lt;=Lists!$AF8))</f>
        <v>0</v>
      </c>
      <c r="AK14" s="441">
        <f>SUMPRODUCT(('Prenatal Care'!$K$7:$K$762=AK$6)*('Prenatal Care'!$C$7:$C$762&gt;=Lists!$AE8)*('Prenatal Care'!$C$7:$C$762&lt;=Lists!$AF8))</f>
        <v>0</v>
      </c>
      <c r="AL14" s="441">
        <f>SUMPRODUCT(('Prenatal Care'!$K$7:$K$762=AL$6)*('Prenatal Care'!$C$7:$C$762&gt;=Lists!$AE8)*('Prenatal Care'!$C$7:$C$762&lt;=Lists!$AF8))</f>
        <v>0</v>
      </c>
      <c r="AM14" s="170">
        <f t="shared" si="12"/>
        <v>0</v>
      </c>
      <c r="AN14" s="441">
        <f>SUMPRODUCT(('Prenatal Care'!$L$7:$L$762=AN$6)*('Prenatal Care'!$C$7:$C$762&gt;=Lists!$AE8)*('Prenatal Care'!$C$7:$C$762&lt;=Lists!$AF8))</f>
        <v>0</v>
      </c>
      <c r="AO14" s="441">
        <f>SUMPRODUCT(('Prenatal Care'!$L$7:$L$762=AO$6)*('Prenatal Care'!$C$7:$C$762&gt;=Lists!$AE8)*('Prenatal Care'!$C$7:$C$762&lt;=Lists!$AF8))</f>
        <v>0</v>
      </c>
      <c r="AP14" s="441">
        <f>SUMPRODUCT(('Prenatal Care'!$L$7:$L$762=AP$6)*('Prenatal Care'!$C$7:$C$762&gt;=Lists!$AE8)*('Prenatal Care'!$C$7:$C$762&lt;=Lists!$AF8))</f>
        <v>0</v>
      </c>
      <c r="AQ14" s="441">
        <f>SUMPRODUCT(('Prenatal Care'!$L$7:$L$762=AQ$6)*('Prenatal Care'!$C$7:$C$762&gt;=Lists!$AE8)*('Prenatal Care'!$C$7:$C$762&lt;=Lists!$AF8))</f>
        <v>0</v>
      </c>
      <c r="AR14" s="170">
        <f t="shared" si="13"/>
        <v>0</v>
      </c>
      <c r="AS14" s="466">
        <f>SUMPRODUCT(('Prenatal Care'!$M$7:$M$762=AS$6)*('Prenatal Care'!$C$7:$C$762&gt;=Lists!$AE8)*('Prenatal Care'!$C$7:$C$762&lt;=Lists!$AF8))</f>
        <v>0</v>
      </c>
      <c r="AT14" s="467">
        <f>SUMPRODUCT(('Prenatal Care'!$M$7:$M$762=AT$6)*('Prenatal Care'!$C$7:$C$762&gt;=Lists!$AE8)*('Prenatal Care'!$C$7:$C$762&lt;=Lists!$AF8))</f>
        <v>0</v>
      </c>
      <c r="AU14" s="467">
        <f>SUMPRODUCT(('Prenatal Care'!$M$7:$M$762=AU$6)*('Prenatal Care'!$C$7:$C$762&gt;=Lists!$AE8)*('Prenatal Care'!$C$7:$C$762&lt;=Lists!$AF8))</f>
        <v>0</v>
      </c>
      <c r="AV14" s="498">
        <f>SUMPRODUCT(('Prenatal Care'!$M$7:$M$762=AV$6)*('Prenatal Care'!$C$7:$C$762&gt;=Lists!$AE8)*('Prenatal Care'!$C$7:$C$762&lt;=Lists!$AF8))</f>
        <v>0</v>
      </c>
      <c r="AW14" s="468">
        <f t="shared" si="14"/>
        <v>0</v>
      </c>
      <c r="AX14" s="473">
        <f>SUMPRODUCT(('Prenatal Care'!$N$7:$N$762=AX$6)*('Prenatal Care'!$C$7:$C$762&gt;=Lists!$AE8)*('Prenatal Care'!$C$7:$C$762&lt;=Lists!$AF8))</f>
        <v>0</v>
      </c>
      <c r="AY14" s="470">
        <f>SUMPRODUCT(('Prenatal Care'!$N$7:$N$762=AY$6)*('Prenatal Care'!$C$7:$C$762&gt;=Lists!$AE8)*('Prenatal Care'!$C$7:$C$762&lt;=Lists!$AF8))</f>
        <v>0</v>
      </c>
      <c r="AZ14" s="470">
        <f>SUMPRODUCT(('Prenatal Care'!$N$7:$N$762=AZ$6)*('Prenatal Care'!$C$7:$C$762&gt;=Lists!$AE8)*('Prenatal Care'!$C$7:$C$762&lt;=Lists!$AF8))</f>
        <v>0</v>
      </c>
      <c r="BA14" s="470">
        <f>SUMPRODUCT(('Prenatal Care'!$N$7:$N$762=BA$6)*('Prenatal Care'!$C$7:$C$762&gt;=Lists!$AE8)*('Prenatal Care'!$C$7:$C$762&lt;=Lists!$AF8))</f>
        <v>0</v>
      </c>
      <c r="BB14" s="475">
        <f>SUMPRODUCT(('Prenatal Care'!$N$7:$N$762=BB$6)*('Prenatal Care'!$C$7:$C$762&gt;=Lists!$AE8)*('Prenatal Care'!$C$7:$C$762&lt;=Lists!$AF8))</f>
        <v>0</v>
      </c>
      <c r="BC14" s="471">
        <f t="shared" si="15"/>
        <v>0</v>
      </c>
      <c r="BD14" s="473">
        <f>SUMPRODUCT(('Prenatal Care'!$O$7:$O$762=BD$6)*('Prenatal Care'!$C$7:$C$762&gt;=Lists!$AE8)*('Prenatal Care'!$C$7:$C$762&lt;=Lists!$AF8))</f>
        <v>0</v>
      </c>
      <c r="BE14" s="470">
        <f>SUMPRODUCT(('Prenatal Care'!$O$7:$O$762=BE$6)*('Prenatal Care'!$C$7:$C$762&gt;=Lists!$AE8)*('Prenatal Care'!$C$7:$C$762&lt;=Lists!$AF8))</f>
        <v>0</v>
      </c>
      <c r="BF14" s="470">
        <f>SUMPRODUCT(('Prenatal Care'!$O$7:$O$762=BF$6)*('Prenatal Care'!$C$7:$C$762&gt;=Lists!$AE8)*('Prenatal Care'!$C$7:$C$762&lt;=Lists!$AF8))</f>
        <v>0</v>
      </c>
      <c r="BG14" s="470">
        <f>SUMPRODUCT(('Prenatal Care'!$O$7:$O$762=BG$6)*('Prenatal Care'!$C$7:$C$762&gt;=Lists!$AE8)*('Prenatal Care'!$C$7:$C$762&lt;=Lists!$AF8))</f>
        <v>0</v>
      </c>
      <c r="BH14" s="470">
        <f>SUMPRODUCT(('Prenatal Care'!$O$7:$O$762=BH$6)*('Prenatal Care'!$C$7:$C$762&gt;=Lists!$AE8)*('Prenatal Care'!$C$7:$C$762&lt;=Lists!$AF8))</f>
        <v>0</v>
      </c>
      <c r="BI14" s="475">
        <f>SUMPRODUCT(('Prenatal Care'!$O$7:$O$762=BI$6)*('Prenatal Care'!$C$7:$C$762&gt;=Lists!$AE8)*('Prenatal Care'!$C$7:$C$762&lt;=Lists!$AF8))</f>
        <v>0</v>
      </c>
      <c r="BJ14" s="471">
        <f t="shared" si="16"/>
        <v>0</v>
      </c>
      <c r="BK14" s="473">
        <f>SUMPRODUCT(('Prenatal Care'!$P$7:$P$762=BK$6)*('Prenatal Care'!$C$7:$C$762&gt;=Lists!$AE8)*('Prenatal Care'!$C$7:$C$762&lt;=Lists!$AF8))</f>
        <v>0</v>
      </c>
      <c r="BL14" s="470">
        <f>SUMPRODUCT(('Prenatal Care'!$P$7:$P$762=BL$6)*('Prenatal Care'!$C$7:$C$762&gt;=Lists!$AE8)*('Prenatal Care'!$C$7:$C$762&lt;=Lists!$AF8))</f>
        <v>0</v>
      </c>
      <c r="BM14" s="470">
        <f>SUMPRODUCT(('Prenatal Care'!$P$7:$P$762=BM$6)*('Prenatal Care'!$C$7:$C$762&gt;=Lists!$AE8)*('Prenatal Care'!$C$7:$C$762&lt;=Lists!$AF8))</f>
        <v>0</v>
      </c>
      <c r="BN14" s="470">
        <f>SUMPRODUCT(('Prenatal Care'!$P$7:$P$762=BN$6)*('Prenatal Care'!$C$7:$C$762&gt;=Lists!$AE8)*('Prenatal Care'!$C$7:$C$762&lt;=Lists!$AF8))</f>
        <v>0</v>
      </c>
      <c r="BO14" s="475">
        <f>SUMPRODUCT(('Prenatal Care'!$P$7:$P$762=BO$6)*('Prenatal Care'!$C$7:$C$762&gt;=Lists!$AE8)*('Prenatal Care'!$C$7:$C$762&lt;=Lists!$AF8))</f>
        <v>0</v>
      </c>
      <c r="BP14" s="471">
        <f t="shared" si="0"/>
        <v>0</v>
      </c>
      <c r="BQ14" s="473">
        <f>SUMPRODUCT(('Prenatal Care'!$Q$7:$Q$762=BQ$6)*('Prenatal Care'!$C$7:$C$762&gt;=Lists!$AE8)*('Prenatal Care'!$C$7:$C$762&lt;=Lists!$AF8))</f>
        <v>0</v>
      </c>
      <c r="BR14" s="470">
        <f>SUMPRODUCT(('Prenatal Care'!$Q$7:$Q$762=BR$6)*('Prenatal Care'!$C$7:$C$762&gt;=Lists!$AE8)*('Prenatal Care'!$C$7:$C$762&lt;=Lists!$AF8))</f>
        <v>0</v>
      </c>
      <c r="BS14" s="470">
        <f>SUMPRODUCT(('Prenatal Care'!$Q$7:$Q$762=BS$6)*('Prenatal Care'!$C$7:$C$762&gt;=Lists!$AE8)*('Prenatal Care'!$C$7:$C$762&lt;=Lists!$AF8))</f>
        <v>0</v>
      </c>
      <c r="BT14" s="470">
        <f>SUMPRODUCT(('Prenatal Care'!$Q$7:$Q$762=BT$6)*('Prenatal Care'!$C$7:$C$762&gt;=Lists!$AE8)*('Prenatal Care'!$C$7:$C$762&lt;=Lists!$AF8))</f>
        <v>0</v>
      </c>
      <c r="BU14" s="470">
        <f>SUMPRODUCT(('Prenatal Care'!$Q$7:$Q$762=BU$6)*('Prenatal Care'!$C$7:$C$762&gt;=Lists!$AE8)*('Prenatal Care'!$C$7:$C$762&lt;=Lists!$AF8))</f>
        <v>0</v>
      </c>
      <c r="BV14" s="475">
        <f>SUMPRODUCT(('Prenatal Care'!$Q$7:$Q$762=BV$6)*('Prenatal Care'!$C$7:$C$762&gt;=Lists!$AE8)*('Prenatal Care'!$C$7:$C$762&lt;=Lists!$AF8))</f>
        <v>0</v>
      </c>
      <c r="BW14" s="472">
        <f t="shared" si="1"/>
        <v>0</v>
      </c>
      <c r="BX14" s="473">
        <f>SUMPRODUCT(('Prenatal Care'!$R$7:$R$762=BX$6)*('Prenatal Care'!$C$7:$C$762&gt;=Lists!$AE8)*('Prenatal Care'!$C$7:$C$762&lt;=Lists!$AF8))</f>
        <v>0</v>
      </c>
      <c r="BY14" s="470">
        <f>SUMPRODUCT(('Prenatal Care'!$R$7:$R$762=BY$6)*('Prenatal Care'!$C$7:$C$762&gt;=Lists!$AE8)*('Prenatal Care'!$C$7:$C$762&lt;=Lists!$AF8))</f>
        <v>0</v>
      </c>
      <c r="BZ14" s="470">
        <f>SUMPRODUCT(('Prenatal Care'!$R$7:$R$762=BZ$6)*('Prenatal Care'!$C$7:$C$762&gt;=Lists!$AE8)*('Prenatal Care'!$C$7:$C$762&lt;=Lists!$AF8))</f>
        <v>0</v>
      </c>
      <c r="CA14" s="470">
        <f>SUMPRODUCT(('Prenatal Care'!$R$7:$R$762=CA$6)*('Prenatal Care'!$C$7:$C$762&gt;=Lists!$AE8)*('Prenatal Care'!$C$7:$C$762&lt;=Lists!$AF8))</f>
        <v>0</v>
      </c>
      <c r="CB14" s="475">
        <f>SUMPRODUCT(('Prenatal Care'!$R$7:$R$762=CB$6)*('Prenatal Care'!$C$7:$C$762&gt;=Lists!$AE8)*('Prenatal Care'!$C$7:$C$762&lt;=Lists!$AF8))</f>
        <v>0</v>
      </c>
      <c r="CC14" s="471">
        <f t="shared" si="17"/>
        <v>0</v>
      </c>
      <c r="CD14" s="469">
        <f>SUMPRODUCT(('Prenatal Care'!$S$7:$S$762=CD$6)*('Prenatal Care'!$C$7:$C$762&gt;=Lists!$AE8)*('Prenatal Care'!$C$7:$C$762&lt;=Lists!$AF8))</f>
        <v>0</v>
      </c>
      <c r="CE14" s="473">
        <f>SUMPRODUCT(('Prenatal Care'!$S$7:$S$762=CE$6)*('Prenatal Care'!$C$7:$C$762&gt;=Lists!$AE8)*('Prenatal Care'!$C$7:$C$762&lt;=Lists!$AF8))</f>
        <v>0</v>
      </c>
      <c r="CF14" s="470">
        <f>SUMPRODUCT(('Prenatal Care'!$S$7:$S$762=CF$6)*('Prenatal Care'!$C$7:$C$762&gt;=Lists!$AE8)*('Prenatal Care'!$C$7:$C$762&lt;=Lists!$AF8))</f>
        <v>0</v>
      </c>
      <c r="CG14" s="470">
        <f>SUMPRODUCT(('Prenatal Care'!$S$7:$S$762=CG$6)*('Prenatal Care'!$C$7:$C$762&gt;=Lists!$AE8)*('Prenatal Care'!$C$7:$C$762&lt;=Lists!$AF8))</f>
        <v>0</v>
      </c>
      <c r="CH14" s="470">
        <f>SUMPRODUCT(('Prenatal Care'!$S$7:$S$762=CH$6)*('Prenatal Care'!$C$7:$C$762&gt;=Lists!$AE8)*('Prenatal Care'!$C$7:$C$762&lt;=Lists!$AF8))</f>
        <v>0</v>
      </c>
      <c r="CI14" s="470">
        <f>SUMPRODUCT(('Prenatal Care'!$S$7:$S$762=CI$6)*('Prenatal Care'!$C$7:$C$762&gt;=Lists!$AE8)*('Prenatal Care'!$C$7:$C$762&lt;=Lists!$AF8))</f>
        <v>0</v>
      </c>
      <c r="CJ14" s="470">
        <f>SUMPRODUCT(('Prenatal Care'!$S$7:$S$762=CJ$6)*('Prenatal Care'!$C$7:$C$762&gt;=Lists!$AE8)*('Prenatal Care'!$C$7:$C$762&lt;=Lists!$AF8))</f>
        <v>0</v>
      </c>
      <c r="CK14" s="470">
        <f>SUMPRODUCT(('Prenatal Care'!$S$7:$S$762=CK$6)*('Prenatal Care'!$C$7:$C$762&gt;=Lists!$AE8)*('Prenatal Care'!$C$7:$C$762&lt;=Lists!$AF8))</f>
        <v>0</v>
      </c>
      <c r="CL14" s="470">
        <f>SUMPRODUCT(('Prenatal Care'!$S$7:$S$762=CL$6)*('Prenatal Care'!$C$7:$C$762&gt;=Lists!$AE8)*('Prenatal Care'!$C$7:$C$762&lt;=Lists!$AF8))</f>
        <v>0</v>
      </c>
      <c r="CM14" s="475">
        <f>SUMPRODUCT(('Prenatal Care'!$S$7:$S$762=CM$6)*('Prenatal Care'!$C$7:$C$762&gt;=Lists!$AE8)*('Prenatal Care'!$C$7:$C$762&lt;=Lists!$AF8))</f>
        <v>0</v>
      </c>
      <c r="CN14" s="471">
        <f t="shared" si="18"/>
        <v>0</v>
      </c>
      <c r="CO14" s="473">
        <f>SUMPRODUCT(('Prenatal Care'!$T$7:$T$762=CO$6)*('Prenatal Care'!$C$7:$C$762&gt;=Lists!$AE8)*('Prenatal Care'!$C$7:$C$762&lt;=Lists!$AF8))</f>
        <v>0</v>
      </c>
      <c r="CP14" s="470">
        <f>SUMPRODUCT(('Prenatal Care'!$T$7:$T$762=CP$6)*('Prenatal Care'!$C$7:$C$762&gt;=Lists!$AE8)*('Prenatal Care'!$C$7:$C$762&lt;=Lists!$AF8))</f>
        <v>0</v>
      </c>
      <c r="CQ14" s="475">
        <f>SUMPRODUCT(('Prenatal Care'!$T$7:$T$762=CQ$6)*('Prenatal Care'!$C$7:$C$762&gt;=Lists!$AE8)*('Prenatal Care'!$C$7:$C$762&lt;=Lists!$AF8))</f>
        <v>0</v>
      </c>
      <c r="CR14" s="471">
        <f t="shared" si="19"/>
        <v>0</v>
      </c>
      <c r="CS14" s="505">
        <f>SUMPRODUCT(('Prenatal Care'!$U$7:$U$762=CS$6)*('Prenatal Care'!$C$7:$C$762&gt;=Lists!$AE8)*('Prenatal Care'!$C$7:$C$762&lt;=Lists!$AF8))</f>
        <v>0</v>
      </c>
      <c r="CT14" s="506">
        <f>SUMPRODUCT(('Prenatal Care'!$U$7:$U$762=CT$6)*('Prenatal Care'!$C$7:$C$762&gt;=Lists!$AE8)*('Prenatal Care'!$C$7:$C$762&lt;=Lists!$AF8))</f>
        <v>0</v>
      </c>
      <c r="CU14" s="506">
        <f>SUMPRODUCT(('Prenatal Care'!$U$7:$U$762=CU$6)*('Prenatal Care'!$C$7:$C$762&gt;=Lists!$AE8)*('Prenatal Care'!$C$7:$C$762&lt;=Lists!$AF8))</f>
        <v>0</v>
      </c>
      <c r="CV14" s="506">
        <f>SUMPRODUCT(('Prenatal Care'!$U$7:$U$762=CV$6)*('Prenatal Care'!$C$7:$C$762&gt;=Lists!$AE8)*('Prenatal Care'!$C$7:$C$762&lt;=Lists!$AF8))</f>
        <v>0</v>
      </c>
      <c r="CW14" s="506">
        <f>SUMPRODUCT(('Prenatal Care'!$U$7:$U$762=CW$6)*('Prenatal Care'!$C$7:$C$762&gt;=Lists!$AE8)*('Prenatal Care'!$C$7:$C$762&lt;=Lists!$AF8))</f>
        <v>0</v>
      </c>
      <c r="CX14" s="506">
        <f>SUMPRODUCT(('Prenatal Care'!$U$7:$U$762=CX$6)*('Prenatal Care'!$C$7:$C$762&gt;=Lists!$AE8)*('Prenatal Care'!$C$7:$C$762&lt;=Lists!$AF8))</f>
        <v>0</v>
      </c>
      <c r="CY14" s="506">
        <f>SUMPRODUCT(('Prenatal Care'!$U$7:$U$762=CY$6)*('Prenatal Care'!$C$7:$C$762&gt;=Lists!$AE8)*('Prenatal Care'!$C$7:$C$762&lt;=Lists!$AF8))</f>
        <v>0</v>
      </c>
      <c r="CZ14" s="506">
        <f>SUMPRODUCT(('Prenatal Care'!$U$7:$U$762=CZ$6)*('Prenatal Care'!$C$7:$C$762&gt;=Lists!$AE8)*('Prenatal Care'!$C$7:$C$762&lt;=Lists!$AF8))</f>
        <v>0</v>
      </c>
      <c r="DA14" s="506">
        <f>SUMPRODUCT(('Prenatal Care'!$U$7:$U$762=DA$6)*('Prenatal Care'!$C$7:$C$762&gt;=Lists!$AE8)*('Prenatal Care'!$C$7:$C$762&lt;=Lists!$AF8))</f>
        <v>0</v>
      </c>
      <c r="DB14" s="507">
        <f>SUMPRODUCT(('Prenatal Care'!$U$7:$U$762=DB$6)*('Prenatal Care'!$C$7:$C$762&gt;=Lists!$AE8)*('Prenatal Care'!$C$7:$C$762&lt;=Lists!$AF8))</f>
        <v>0</v>
      </c>
      <c r="DC14" s="471">
        <f t="shared" si="20"/>
        <v>0</v>
      </c>
      <c r="DD14" s="469">
        <f>SUMPRODUCT(('Prenatal Care'!$V$7:$V$762=DD$6)*('Prenatal Care'!$C$7:$C$762&gt;=Lists!$AE8)*('Prenatal Care'!$C$7:$C$762&lt;=Lists!$AF8))</f>
        <v>0</v>
      </c>
      <c r="DE14" s="470">
        <f>SUMPRODUCT(('Prenatal Care'!$V$7:$V$762=DE$6)*('Prenatal Care'!$C$7:$C$762&gt;=Lists!$AE8)*('Prenatal Care'!$C$7:$C$762&lt;=Lists!$AF8))</f>
        <v>0</v>
      </c>
      <c r="DF14" s="470">
        <f>SUMPRODUCT(('Prenatal Care'!$V$7:$V$762=DF$6)*('Prenatal Care'!$C$7:$C$762&gt;=Lists!$AE8)*('Prenatal Care'!$C$7:$C$762&lt;=Lists!$AF8))</f>
        <v>0</v>
      </c>
      <c r="DG14" s="475">
        <f>SUMPRODUCT(('Prenatal Care'!$V$7:$V$762=DG$6)*('Prenatal Care'!$C$7:$C$762&gt;=Lists!$AE8)*('Prenatal Care'!$C$7:$C$762&lt;=Lists!$AF8))</f>
        <v>0</v>
      </c>
      <c r="DH14" s="471">
        <f t="shared" si="21"/>
        <v>0</v>
      </c>
      <c r="DI14" s="473">
        <f>SUMPRODUCT(('Prenatal Care'!$W$7:$W$762=DI$6)*('Prenatal Care'!$C$7:$C$762&gt;=Lists!$AE8)*('Prenatal Care'!$C$7:$C$762&lt;=Lists!$AF8))</f>
        <v>0</v>
      </c>
      <c r="DJ14" s="470">
        <f>SUMPRODUCT(('Prenatal Care'!$W$7:$W$762=DJ$6)*('Prenatal Care'!$C$7:$C$762&gt;=Lists!$AE8)*('Prenatal Care'!$C$7:$C$762&lt;=Lists!$AF8))</f>
        <v>0</v>
      </c>
      <c r="DK14" s="470">
        <f>SUMPRODUCT(('Prenatal Care'!$W$7:$W$762=DK$6)*('Prenatal Care'!$C$7:$C$762&gt;=Lists!$AE8)*('Prenatal Care'!$C$7:$C$762&lt;=Lists!$AF8))</f>
        <v>0</v>
      </c>
      <c r="DL14" s="470">
        <f>SUMPRODUCT(('Prenatal Care'!$W$7:$W$762=DL$6)*('Prenatal Care'!$C$7:$C$762&gt;=Lists!$AE8)*('Prenatal Care'!$C$7:$C$762&lt;=Lists!$AF8))</f>
        <v>0</v>
      </c>
      <c r="DM14" s="470">
        <f>SUMPRODUCT(('Prenatal Care'!$W$7:$W$762=DM$6)*('Prenatal Care'!$C$7:$C$762&gt;=Lists!$AE8)*('Prenatal Care'!$C$7:$C$762&lt;=Lists!$AF8))</f>
        <v>0</v>
      </c>
      <c r="DN14" s="470">
        <f>SUMPRODUCT(('Prenatal Care'!$W$7:$W$762=DN$6)*('Prenatal Care'!$C$7:$C$762&gt;=Lists!$AE8)*('Prenatal Care'!$C$7:$C$762&lt;=Lists!$AF8))</f>
        <v>0</v>
      </c>
      <c r="DO14" s="470">
        <f>SUMPRODUCT(('Prenatal Care'!$W$7:$W$762=DO$6)*('Prenatal Care'!$C$7:$C$762&gt;=Lists!$AE8)*('Prenatal Care'!$C$7:$C$762&lt;=Lists!$AF8))</f>
        <v>0</v>
      </c>
      <c r="DP14" s="470">
        <f>SUMPRODUCT(('Prenatal Care'!$W$7:$W$762=DP$6)*('Prenatal Care'!$C$7:$C$762&gt;=Lists!$AE8)*('Prenatal Care'!$C$7:$C$762&lt;=Lists!$AF8))</f>
        <v>0</v>
      </c>
      <c r="DQ14" s="470">
        <f>SUMPRODUCT(('Prenatal Care'!$W$7:$W$762=DQ$6)*('Prenatal Care'!$C$7:$C$762&gt;=Lists!$AE8)*('Prenatal Care'!$C$7:$C$762&lt;=Lists!$AF8))</f>
        <v>0</v>
      </c>
      <c r="DR14" s="470">
        <f>SUMPRODUCT(('Prenatal Care'!$W$7:$W$762=DR$6)*('Prenatal Care'!$C$7:$C$762&gt;=Lists!$AE8)*('Prenatal Care'!$C$7:$C$762&lt;=Lists!$AF8))</f>
        <v>0</v>
      </c>
      <c r="DS14" s="470">
        <f>SUMPRODUCT(('Prenatal Care'!$W$7:$W$762=DS$6)*('Prenatal Care'!$C$7:$C$762&gt;=Lists!$AE8)*('Prenatal Care'!$C$7:$C$762&lt;=Lists!$AF8))</f>
        <v>0</v>
      </c>
      <c r="DT14" s="470">
        <f>SUMPRODUCT(('Prenatal Care'!$W$7:$W$762=DT$6)*('Prenatal Care'!$C$7:$C$762&gt;=Lists!$AE8)*('Prenatal Care'!$C$7:$C$762&lt;=Lists!$AF8))</f>
        <v>0</v>
      </c>
      <c r="DU14" s="470">
        <f>SUMPRODUCT(('Prenatal Care'!$W$7:$W$762=DU$6)*('Prenatal Care'!$C$7:$C$762&gt;=Lists!$AE8)*('Prenatal Care'!$C$7:$C$762&lt;=Lists!$AF8))</f>
        <v>0</v>
      </c>
      <c r="DV14" s="470">
        <f>SUMPRODUCT(('Prenatal Care'!$W$7:$W$762=DV$6)*('Prenatal Care'!$C$7:$C$762&gt;=Lists!$AE8)*('Prenatal Care'!$C$7:$C$762&lt;=Lists!$AF8))</f>
        <v>0</v>
      </c>
      <c r="DW14" s="470">
        <f>SUMPRODUCT(('Prenatal Care'!$W$7:$W$762=DW$6)*('Prenatal Care'!$C$7:$C$762&gt;=Lists!$AE8)*('Prenatal Care'!$C$7:$C$762&lt;=Lists!$AF8))</f>
        <v>0</v>
      </c>
      <c r="DX14" s="470">
        <f>SUMPRODUCT(('Prenatal Care'!$W$7:$W$762=DX$6)*('Prenatal Care'!$C$7:$C$762&gt;=Lists!$AE8)*('Prenatal Care'!$C$7:$C$762&lt;=Lists!$AF8))</f>
        <v>0</v>
      </c>
      <c r="DY14" s="470">
        <f>SUMPRODUCT(('Prenatal Care'!$W$7:$W$762=DY$6)*('Prenatal Care'!$C$7:$C$762&gt;=Lists!$AE8)*('Prenatal Care'!$C$7:$C$762&lt;=Lists!$AF8))</f>
        <v>0</v>
      </c>
      <c r="DZ14" s="470">
        <f>SUMPRODUCT(('Prenatal Care'!$W$7:$W$762=DZ$6)*('Prenatal Care'!$C$7:$C$762&gt;=Lists!$AE8)*('Prenatal Care'!$C$7:$C$762&lt;=Lists!$AF8))</f>
        <v>0</v>
      </c>
      <c r="EA14" s="470">
        <f>SUMPRODUCT(('Prenatal Care'!$W$7:$W$762=EA$6)*('Prenatal Care'!$C$7:$C$762&gt;=Lists!$AE8)*('Prenatal Care'!$C$7:$C$762&lt;=Lists!$AF8))</f>
        <v>0</v>
      </c>
      <c r="EB14" s="470">
        <f>SUMPRODUCT(('Prenatal Care'!$W$7:$W$762=EB$6)*('Prenatal Care'!$C$7:$C$762&gt;=Lists!$AE8)*('Prenatal Care'!$C$7:$C$762&lt;=Lists!$AF8))</f>
        <v>0</v>
      </c>
      <c r="EC14" s="470">
        <f>SUMPRODUCT(('Prenatal Care'!$W$7:$W$762=EC$6)*('Prenatal Care'!$C$7:$C$762&gt;=Lists!$AE8)*('Prenatal Care'!$C$7:$C$762&lt;=Lists!$AF8))</f>
        <v>0</v>
      </c>
      <c r="ED14" s="470">
        <f>SUMPRODUCT(('Prenatal Care'!$W$7:$W$762=ED$6)*('Prenatal Care'!$C$7:$C$762&gt;=Lists!$AE8)*('Prenatal Care'!$C$7:$C$762&lt;=Lists!$AF8))</f>
        <v>0</v>
      </c>
      <c r="EE14" s="470">
        <f>SUMPRODUCT(('Prenatal Care'!$W$7:$W$762=EE$6)*('Prenatal Care'!$C$7:$C$762&gt;=Lists!$AE8)*('Prenatal Care'!$C$7:$C$762&lt;=Lists!$AF8))</f>
        <v>0</v>
      </c>
      <c r="EF14" s="470">
        <f>SUMPRODUCT(('Prenatal Care'!$W$7:$W$762=EF$6)*('Prenatal Care'!$C$7:$C$762&gt;=Lists!$AE8)*('Prenatal Care'!$C$7:$C$762&lt;=Lists!$AF8))</f>
        <v>0</v>
      </c>
      <c r="EG14" s="470">
        <f>SUMPRODUCT(('Prenatal Care'!$W$7:$W$762=EG$6)*('Prenatal Care'!$C$7:$C$762&gt;=Lists!$AE8)*('Prenatal Care'!$C$7:$C$762&lt;=Lists!$AF8))</f>
        <v>0</v>
      </c>
      <c r="EH14" s="475">
        <f>SUMPRODUCT(('Prenatal Care'!$W$7:$W$762=EH$6)*('Prenatal Care'!$C$7:$C$762&gt;=Lists!$AE8)*('Prenatal Care'!$C$7:$C$762&lt;=Lists!$AF8))</f>
        <v>0</v>
      </c>
      <c r="EI14" s="471">
        <f t="shared" si="22"/>
        <v>0</v>
      </c>
      <c r="EJ14" s="473">
        <f>SUMPRODUCT(('Prenatal Care'!$X$7:$X$762=EJ$6)*('Prenatal Care'!$C$7:$C$762&gt;=Lists!$AE8)*('Prenatal Care'!$C$7:$C$762&lt;=Lists!$AF8))</f>
        <v>0</v>
      </c>
      <c r="EK14" s="470">
        <f>SUMPRODUCT(('Prenatal Care'!$X$7:$X$762=EK$6)*('Prenatal Care'!$C$7:$C$762&gt;=Lists!$AE8)*('Prenatal Care'!$C$7:$C$762&lt;=Lists!$AF8))</f>
        <v>0</v>
      </c>
      <c r="EL14" s="470">
        <f>SUMPRODUCT(('Prenatal Care'!$X$7:$X$762=EL$6)*('Prenatal Care'!$C$7:$C$762&gt;=Lists!$AE8)*('Prenatal Care'!$C$7:$C$762&lt;=Lists!$AF8))</f>
        <v>0</v>
      </c>
      <c r="EM14" s="470">
        <f>SUMPRODUCT(('Prenatal Care'!$X$7:$X$762=EM$6)*('Prenatal Care'!$C$7:$C$762&gt;=Lists!$AE8)*('Prenatal Care'!$C$7:$C$762&lt;=Lists!$AF8))</f>
        <v>0</v>
      </c>
      <c r="EN14" s="470">
        <f>SUMPRODUCT(('Prenatal Care'!$X$7:$X$762=EN$6)*('Prenatal Care'!$C$7:$C$762&gt;=Lists!$AE8)*('Prenatal Care'!$C$7:$C$762&lt;=Lists!$AF8))</f>
        <v>0</v>
      </c>
      <c r="EO14" s="470">
        <f>SUMPRODUCT(('Prenatal Care'!$X$7:$X$762=EO$6)*('Prenatal Care'!$C$7:$C$762&gt;=Lists!$AE8)*('Prenatal Care'!$C$7:$C$762&lt;=Lists!$AF8))</f>
        <v>0</v>
      </c>
      <c r="EP14" s="470">
        <f>SUMPRODUCT(('Prenatal Care'!$X$7:$X$762=EP$6)*('Prenatal Care'!$C$7:$C$762&gt;=Lists!$AE8)*('Prenatal Care'!$C$7:$C$762&lt;=Lists!$AF8))</f>
        <v>0</v>
      </c>
      <c r="EQ14" s="470">
        <f>SUMPRODUCT(('Prenatal Care'!$X$7:$X$762=EQ$6)*('Prenatal Care'!$C$7:$C$762&gt;=Lists!$AE8)*('Prenatal Care'!$C$7:$C$762&lt;=Lists!$AF8))</f>
        <v>0</v>
      </c>
      <c r="ER14" s="470">
        <f>SUMPRODUCT(('Prenatal Care'!$X$7:$X$762=ER$6)*('Prenatal Care'!$C$7:$C$762&gt;=Lists!$AE8)*('Prenatal Care'!$C$7:$C$762&lt;=Lists!$AF8))</f>
        <v>0</v>
      </c>
      <c r="ES14" s="470">
        <f>SUMPRODUCT(('Prenatal Care'!$X$7:$X$762=ES$6)*('Prenatal Care'!$C$7:$C$762&gt;=Lists!$AE8)*('Prenatal Care'!$C$7:$C$762&lt;=Lists!$AF8))</f>
        <v>0</v>
      </c>
      <c r="ET14" s="470">
        <f>SUMPRODUCT(('Prenatal Care'!$X$7:$X$762=ET$6)*('Prenatal Care'!$C$7:$C$762&gt;=Lists!$AE8)*('Prenatal Care'!$C$7:$C$762&lt;=Lists!$AF8))</f>
        <v>0</v>
      </c>
      <c r="EU14" s="470">
        <f>SUMPRODUCT(('Prenatal Care'!$X$7:$X$762=EU$6)*('Prenatal Care'!$C$7:$C$762&gt;=Lists!$AE8)*('Prenatal Care'!$C$7:$C$762&lt;=Lists!$AF8))</f>
        <v>0</v>
      </c>
      <c r="EV14" s="470">
        <f>SUMPRODUCT(('Prenatal Care'!$X$7:$X$762=EV$6)*('Prenatal Care'!$C$7:$C$762&gt;=Lists!$AE8)*('Prenatal Care'!$C$7:$C$762&lt;=Lists!$AF8))</f>
        <v>0</v>
      </c>
      <c r="EW14" s="470">
        <f>SUMPRODUCT(('Prenatal Care'!$X$7:$X$762=EW$6)*('Prenatal Care'!$C$7:$C$762&gt;=Lists!$AE8)*('Prenatal Care'!$C$7:$C$762&lt;=Lists!$AF8))</f>
        <v>0</v>
      </c>
      <c r="EX14" s="470">
        <f>SUMPRODUCT(('Prenatal Care'!$X$7:$X$762=EX$6)*('Prenatal Care'!$C$7:$C$762&gt;=Lists!$AE8)*('Prenatal Care'!$C$7:$C$762&lt;=Lists!$AF8))</f>
        <v>0</v>
      </c>
      <c r="EY14" s="470">
        <f>SUMPRODUCT(('Prenatal Care'!$X$7:$X$762=EY$6)*('Prenatal Care'!$C$7:$C$762&gt;=Lists!$AE8)*('Prenatal Care'!$C$7:$C$762&lt;=Lists!$AF8))</f>
        <v>0</v>
      </c>
      <c r="EZ14" s="470">
        <f>SUMPRODUCT(('Prenatal Care'!$X$7:$X$762=EZ$6)*('Prenatal Care'!$C$7:$C$762&gt;=Lists!$AE8)*('Prenatal Care'!$C$7:$C$762&lt;=Lists!$AF8))</f>
        <v>0</v>
      </c>
      <c r="FA14" s="470">
        <f>SUMPRODUCT(('Prenatal Care'!$X$7:$X$762=FA$6)*('Prenatal Care'!$C$7:$C$762&gt;=Lists!$AE8)*('Prenatal Care'!$C$7:$C$762&lt;=Lists!$AF8))</f>
        <v>0</v>
      </c>
      <c r="FB14" s="470">
        <f>SUMPRODUCT(('Prenatal Care'!$X$7:$X$762=FB$6)*('Prenatal Care'!$C$7:$C$762&gt;=Lists!$AE8)*('Prenatal Care'!$C$7:$C$762&lt;=Lists!$AF8))</f>
        <v>0</v>
      </c>
      <c r="FC14" s="470">
        <f>SUMPRODUCT(('Prenatal Care'!$X$7:$X$762=FC$6)*('Prenatal Care'!$C$7:$C$762&gt;=Lists!$AE8)*('Prenatal Care'!$C$7:$C$762&lt;=Lists!$AF8))</f>
        <v>0</v>
      </c>
      <c r="FD14" s="470">
        <f>SUMPRODUCT(('Prenatal Care'!$X$7:$X$762=FD$6)*('Prenatal Care'!$C$7:$C$762&gt;=Lists!$AE8)*('Prenatal Care'!$C$7:$C$762&lt;=Lists!$AF8))</f>
        <v>0</v>
      </c>
      <c r="FE14" s="470">
        <f>SUMPRODUCT(('Prenatal Care'!$X$7:$X$762=FE$6)*('Prenatal Care'!$C$7:$C$762&gt;=Lists!$AE8)*('Prenatal Care'!$C$7:$C$762&lt;=Lists!$AF8))</f>
        <v>0</v>
      </c>
      <c r="FF14" s="470">
        <f>SUMPRODUCT(('Prenatal Care'!$X$7:$X$762=FF$6)*('Prenatal Care'!$C$7:$C$762&gt;=Lists!$AE8)*('Prenatal Care'!$C$7:$C$762&lt;=Lists!$AF8))</f>
        <v>0</v>
      </c>
      <c r="FG14" s="470">
        <f>SUMPRODUCT(('Prenatal Care'!$X$7:$X$762=FG$6)*('Prenatal Care'!$C$7:$C$762&gt;=Lists!$AE8)*('Prenatal Care'!$C$7:$C$762&lt;=Lists!$AF8))</f>
        <v>0</v>
      </c>
      <c r="FH14" s="470">
        <f>SUMPRODUCT(('Prenatal Care'!$X$7:$X$762=FH$6)*('Prenatal Care'!$C$7:$C$762&gt;=Lists!$AE8)*('Prenatal Care'!$C$7:$C$762&lt;=Lists!$AF8))</f>
        <v>0</v>
      </c>
      <c r="FI14" s="475">
        <f>SUMPRODUCT(('Prenatal Care'!$X$7:$X$762=FI$6)*('Prenatal Care'!$C$7:$C$762&gt;=Lists!$AE8)*('Prenatal Care'!$C$7:$C$762&lt;=Lists!$AF8))</f>
        <v>0</v>
      </c>
      <c r="FJ14" s="471">
        <f t="shared" si="23"/>
        <v>0</v>
      </c>
      <c r="FK14" s="473">
        <f>SUMPRODUCT(('Prenatal Care'!$Y$7:$Y$762=FK$6)*('Prenatal Care'!$C$7:$C$762&gt;=Lists!$AE8)*('Prenatal Care'!$C$7:$C$762&lt;=Lists!$AF8))</f>
        <v>0</v>
      </c>
      <c r="FL14" s="470">
        <f>SUMPRODUCT(('Prenatal Care'!$Y$7:$Y$762=FL$6)*('Prenatal Care'!$C$7:$C$762&gt;=Lists!$AE8)*('Prenatal Care'!$C$7:$C$762&lt;=Lists!$AF8))</f>
        <v>0</v>
      </c>
      <c r="FM14" s="470">
        <f>SUMPRODUCT(('Prenatal Care'!$Y$7:$Y$762=FM$6)*('Prenatal Care'!$C$7:$C$762&gt;=Lists!$AE8)*('Prenatal Care'!$C$7:$C$762&lt;=Lists!$AF8))</f>
        <v>0</v>
      </c>
      <c r="FN14" s="470">
        <f>SUMPRODUCT(('Prenatal Care'!$Y$7:$Y$762=FN$6)*('Prenatal Care'!$C$7:$C$762&gt;=Lists!$AE8)*('Prenatal Care'!$C$7:$C$762&lt;=Lists!$AF8))</f>
        <v>0</v>
      </c>
      <c r="FO14" s="470">
        <f>SUMPRODUCT(('Prenatal Care'!$Y$7:$Y$762=FO$6)*('Prenatal Care'!$C$7:$C$762&gt;=Lists!$AE8)*('Prenatal Care'!$C$7:$C$762&lt;=Lists!$AF8))</f>
        <v>0</v>
      </c>
      <c r="FP14" s="470">
        <f>SUMPRODUCT(('Prenatal Care'!$Y$7:$Y$762=FP$6)*('Prenatal Care'!$C$7:$C$762&gt;=Lists!$AE8)*('Prenatal Care'!$C$7:$C$762&lt;=Lists!$AF8))</f>
        <v>0</v>
      </c>
      <c r="FQ14" s="470">
        <f>SUMPRODUCT(('Prenatal Care'!$Y$7:$Y$762=FQ$6)*('Prenatal Care'!$C$7:$C$762&gt;=Lists!$AE8)*('Prenatal Care'!$C$7:$C$762&lt;=Lists!$AF8))</f>
        <v>0</v>
      </c>
      <c r="FR14" s="470">
        <f>SUMPRODUCT(('Prenatal Care'!$Y$7:$Y$762=FR$6)*('Prenatal Care'!$C$7:$C$762&gt;=Lists!$AE8)*('Prenatal Care'!$C$7:$C$762&lt;=Lists!$AF8))</f>
        <v>0</v>
      </c>
      <c r="FS14" s="470">
        <f>SUMPRODUCT(('Prenatal Care'!$Y$7:$Y$762=FS$6)*('Prenatal Care'!$C$7:$C$762&gt;=Lists!$AE8)*('Prenatal Care'!$C$7:$C$762&lt;=Lists!$AF8))</f>
        <v>0</v>
      </c>
      <c r="FT14" s="470">
        <f>SUMPRODUCT(('Prenatal Care'!$Y$7:$Y$762=FT$6)*('Prenatal Care'!$C$7:$C$762&gt;=Lists!$AE8)*('Prenatal Care'!$C$7:$C$762&lt;=Lists!$AF8))</f>
        <v>0</v>
      </c>
      <c r="FU14" s="470">
        <f>SUMPRODUCT(('Prenatal Care'!$Y$7:$Y$762=FU$6)*('Prenatal Care'!$C$7:$C$762&gt;=Lists!$AE8)*('Prenatal Care'!$C$7:$C$762&lt;=Lists!$AF8))</f>
        <v>0</v>
      </c>
      <c r="FV14" s="470">
        <f>SUMPRODUCT(('Prenatal Care'!$Y$7:$Y$762=FV$6)*('Prenatal Care'!$C$7:$C$762&gt;=Lists!$AE8)*('Prenatal Care'!$C$7:$C$762&lt;=Lists!$AF8))</f>
        <v>0</v>
      </c>
      <c r="FW14" s="470">
        <f>SUMPRODUCT(('Prenatal Care'!$Y$7:$Y$762=FW$6)*('Prenatal Care'!$C$7:$C$762&gt;=Lists!$AE8)*('Prenatal Care'!$C$7:$C$762&lt;=Lists!$AF8))</f>
        <v>0</v>
      </c>
      <c r="FX14" s="470">
        <f>SUMPRODUCT(('Prenatal Care'!$Y$7:$Y$762=FX$6)*('Prenatal Care'!$C$7:$C$762&gt;=Lists!$AE8)*('Prenatal Care'!$C$7:$C$762&lt;=Lists!$AF8))</f>
        <v>0</v>
      </c>
      <c r="FY14" s="470">
        <f>SUMPRODUCT(('Prenatal Care'!$Y$7:$Y$762=FY$6)*('Prenatal Care'!$C$7:$C$762&gt;=Lists!$AE8)*('Prenatal Care'!$C$7:$C$762&lt;=Lists!$AF8))</f>
        <v>0</v>
      </c>
      <c r="FZ14" s="470">
        <f>SUMPRODUCT(('Prenatal Care'!$Y$7:$Y$762=FZ$6)*('Prenatal Care'!$C$7:$C$762&gt;=Lists!$AE8)*('Prenatal Care'!$C$7:$C$762&lt;=Lists!$AF8))</f>
        <v>0</v>
      </c>
      <c r="GA14" s="470">
        <f>SUMPRODUCT(('Prenatal Care'!$Y$7:$Y$762=GA$6)*('Prenatal Care'!$C$7:$C$762&gt;=Lists!$AE8)*('Prenatal Care'!$C$7:$C$762&lt;=Lists!$AF8))</f>
        <v>0</v>
      </c>
      <c r="GB14" s="470">
        <f>SUMPRODUCT(('Prenatal Care'!$Y$7:$Y$762=GB$6)*('Prenatal Care'!$C$7:$C$762&gt;=Lists!$AE8)*('Prenatal Care'!$C$7:$C$762&lt;=Lists!$AF8))</f>
        <v>0</v>
      </c>
      <c r="GC14" s="470">
        <f>SUMPRODUCT(('Prenatal Care'!$Y$7:$Y$762=GC$6)*('Prenatal Care'!$C$7:$C$762&gt;=Lists!$AE8)*('Prenatal Care'!$C$7:$C$762&lt;=Lists!$AF8))</f>
        <v>0</v>
      </c>
      <c r="GD14" s="470">
        <f>SUMPRODUCT(('Prenatal Care'!$Y$7:$Y$762=GD$6)*('Prenatal Care'!$C$7:$C$762&gt;=Lists!$AE8)*('Prenatal Care'!$C$7:$C$762&lt;=Lists!$AF8))</f>
        <v>0</v>
      </c>
      <c r="GE14" s="470">
        <f>SUMPRODUCT(('Prenatal Care'!$Y$7:$Y$762=GE$6)*('Prenatal Care'!$C$7:$C$762&gt;=Lists!$AE8)*('Prenatal Care'!$C$7:$C$762&lt;=Lists!$AF8))</f>
        <v>0</v>
      </c>
      <c r="GF14" s="470">
        <f>SUMPRODUCT(('Prenatal Care'!$Y$7:$Y$762=GF$6)*('Prenatal Care'!$C$7:$C$762&gt;=Lists!$AE8)*('Prenatal Care'!$C$7:$C$762&lt;=Lists!$AF8))</f>
        <v>0</v>
      </c>
      <c r="GG14" s="470">
        <f>SUMPRODUCT(('Prenatal Care'!$Y$7:$Y$762=GG$6)*('Prenatal Care'!$C$7:$C$762&gt;=Lists!$AE8)*('Prenatal Care'!$C$7:$C$762&lt;=Lists!$AF8))</f>
        <v>0</v>
      </c>
      <c r="GH14" s="470">
        <f>SUMPRODUCT(('Prenatal Care'!$Y$7:$Y$762=GH$6)*('Prenatal Care'!$C$7:$C$762&gt;=Lists!$AE8)*('Prenatal Care'!$C$7:$C$762&lt;=Lists!$AF8))</f>
        <v>0</v>
      </c>
      <c r="GI14" s="470">
        <f>SUMPRODUCT(('Prenatal Care'!$Y$7:$Y$762=GI$6)*('Prenatal Care'!$C$7:$C$762&gt;=Lists!$AE8)*('Prenatal Care'!$C$7:$C$762&lt;=Lists!$AF8))</f>
        <v>0</v>
      </c>
      <c r="GJ14" s="475">
        <f>SUMPRODUCT(('Prenatal Care'!$Y$7:$Y$762=GJ$6)*('Prenatal Care'!$C$7:$C$762&gt;=Lists!$AE8)*('Prenatal Care'!$C$7:$C$762&lt;=Lists!$AF8))</f>
        <v>0</v>
      </c>
      <c r="GK14" s="471">
        <f t="shared" si="24"/>
        <v>0</v>
      </c>
      <c r="GL14" s="469">
        <f>SUMPRODUCT(('Prenatal Care'!$AA$7:$AA$762=GL$6)*('Prenatal Care'!$C$7:$C$762&gt;=Lists!$AE8)*('Prenatal Care'!$C$7:$C$762&lt;=Lists!$AF8))</f>
        <v>0</v>
      </c>
      <c r="GM14" s="474">
        <f>SUMPRODUCT(('Prenatal Care'!$AA$7:$AA$762=GM$6)*('Prenatal Care'!$C$7:$C$762&gt;=Lists!$AE8)*('Prenatal Care'!$C$7:$C$762&lt;=Lists!$AF8))</f>
        <v>0</v>
      </c>
      <c r="GN14" s="470">
        <f>SUMPRODUCT(('Prenatal Care'!$AA$7:$AA$762=GN$6)*('Prenatal Care'!$C$7:$C$762&gt;=Lists!$AE8)*('Prenatal Care'!$C$7:$C$762&lt;=Lists!$AF8))</f>
        <v>0</v>
      </c>
      <c r="GO14" s="470">
        <f>SUMPRODUCT(('Prenatal Care'!$AA$7:$AA$762=GO$6)*('Prenatal Care'!$C$7:$C$762&gt;=Lists!$AE8)*('Prenatal Care'!$C$7:$C$762&lt;=Lists!$AF8))</f>
        <v>0</v>
      </c>
      <c r="GP14" s="470">
        <f>SUMPRODUCT(('Prenatal Care'!$AA$7:$AA$762=GP$6)*('Prenatal Care'!$C$7:$C$762&gt;=Lists!$AE8)*('Prenatal Care'!$C$7:$C$762&lt;=Lists!$AF8))</f>
        <v>0</v>
      </c>
      <c r="GQ14" s="470">
        <f>SUMPRODUCT(('Prenatal Care'!$AA$7:$AA$762=GQ$6)*('Prenatal Care'!$C$7:$C$762&gt;=Lists!$AE8)*('Prenatal Care'!$C$7:$C$762&lt;=Lists!$AF8))</f>
        <v>0</v>
      </c>
      <c r="GR14" s="470">
        <f>SUMPRODUCT(('Prenatal Care'!$AA$7:$AA$762=GR$6)*('Prenatal Care'!$C$7:$C$762&gt;=Lists!$AE8)*('Prenatal Care'!$C$7:$C$762&lt;=Lists!$AF8))</f>
        <v>0</v>
      </c>
      <c r="GS14" s="470">
        <f>SUMPRODUCT(('Prenatal Care'!$AA$7:$AA$762=GS$6)*('Prenatal Care'!$C$7:$C$762&gt;=Lists!$AE8)*('Prenatal Care'!$C$7:$C$762&lt;=Lists!$AF8))</f>
        <v>0</v>
      </c>
      <c r="GT14" s="470">
        <f>SUMPRODUCT(('Prenatal Care'!$AA$7:$AA$762=GT$6)*('Prenatal Care'!$C$7:$C$762&gt;=Lists!$AE8)*('Prenatal Care'!$C$7:$C$762&lt;=Lists!$AF8))</f>
        <v>0</v>
      </c>
      <c r="GU14" s="470">
        <f>SUMPRODUCT(('Prenatal Care'!$AA$7:$AA$762=GU$6)*('Prenatal Care'!$C$7:$C$762&gt;=Lists!$AE8)*('Prenatal Care'!$C$7:$C$762&lt;=Lists!$AF8))</f>
        <v>0</v>
      </c>
      <c r="GV14" s="470">
        <f>SUMPRODUCT(('Prenatal Care'!$AA$7:$AA$762=GV$6)*('Prenatal Care'!$C$7:$C$762&gt;=Lists!$AE8)*('Prenatal Care'!$C$7:$C$762&lt;=Lists!$AF8))</f>
        <v>0</v>
      </c>
      <c r="GW14" s="470">
        <f>SUMPRODUCT(('Prenatal Care'!$AA$7:$AA$762=GW$6)*('Prenatal Care'!$C$7:$C$762&gt;=Lists!$AE8)*('Prenatal Care'!$C$7:$C$762&lt;=Lists!$AF8))</f>
        <v>0</v>
      </c>
      <c r="GX14" s="475">
        <f>SUMPRODUCT(('Prenatal Care'!$AA$7:$AA$762=GX$6)*('Prenatal Care'!$C$7:$C$762&gt;=Lists!$AE8)*('Prenatal Care'!$C$7:$C$762&lt;=Lists!$AF8))</f>
        <v>0</v>
      </c>
      <c r="GY14" s="471">
        <f t="shared" si="25"/>
        <v>0</v>
      </c>
      <c r="GZ14" s="473">
        <f>SUMPRODUCT(('Prenatal Care'!$AB$7:$AB$762=GZ$6)*('Prenatal Care'!$C$7:$C$762&gt;=Lists!$AE8)*('Prenatal Care'!$C$7:$C$762&lt;=Lists!$AF8))</f>
        <v>0</v>
      </c>
      <c r="HA14" s="470">
        <f>SUMPRODUCT(('Prenatal Care'!$AB$7:$AB$762=HA$6)*('Prenatal Care'!$C$7:$C$762&gt;=Lists!$AE8)*('Prenatal Care'!$C$7:$C$762&lt;=Lists!$AF8))</f>
        <v>0</v>
      </c>
      <c r="HB14" s="470">
        <f>SUMPRODUCT(('Prenatal Care'!$AB$7:$AB$762=HB$6)*('Prenatal Care'!$C$7:$C$762&gt;=Lists!$AE8)*('Prenatal Care'!$C$7:$C$762&lt;=Lists!$AF8))</f>
        <v>0</v>
      </c>
      <c r="HC14" s="470">
        <f>SUMPRODUCT(('Prenatal Care'!$AB$7:$AB$762=HC$6)*('Prenatal Care'!$C$7:$C$762&gt;=Lists!$AE8)*('Prenatal Care'!$C$7:$C$762&lt;=Lists!$AF8))</f>
        <v>0</v>
      </c>
      <c r="HD14" s="470">
        <f>SUMPRODUCT(('Prenatal Care'!$AB$7:$AB$762=HD$6)*('Prenatal Care'!$C$7:$C$762&gt;=Lists!$AE8)*('Prenatal Care'!$C$7:$C$762&lt;=Lists!$AF8))</f>
        <v>0</v>
      </c>
      <c r="HE14" s="470">
        <f>SUMPRODUCT(('Prenatal Care'!$AB$7:$AB$762=HE$6)*('Prenatal Care'!$C$7:$C$762&gt;=Lists!$AE8)*('Prenatal Care'!$C$7:$C$762&lt;=Lists!$AF8))</f>
        <v>0</v>
      </c>
      <c r="HF14" s="470">
        <f>SUMPRODUCT(('Prenatal Care'!$AB$7:$AB$762=HF$6)*('Prenatal Care'!$C$7:$C$762&gt;=Lists!$AE8)*('Prenatal Care'!$C$7:$C$762&lt;=Lists!$AF8))</f>
        <v>0</v>
      </c>
      <c r="HG14" s="470">
        <f>SUMPRODUCT(('Prenatal Care'!$AB$7:$AB$762=HG$6)*('Prenatal Care'!$C$7:$C$762&gt;=Lists!$AE8)*('Prenatal Care'!$C$7:$C$762&lt;=Lists!$AF8))</f>
        <v>0</v>
      </c>
      <c r="HH14" s="470">
        <f>SUMPRODUCT(('Prenatal Care'!$AB$7:$AB$762=HH$6)*('Prenatal Care'!$C$7:$C$762&gt;=Lists!$AE8)*('Prenatal Care'!$C$7:$C$762&lt;=Lists!$AF8))</f>
        <v>0</v>
      </c>
      <c r="HI14" s="470">
        <f>SUMPRODUCT(('Prenatal Care'!$AB$7:$AB$762=HI$6)*('Prenatal Care'!$C$7:$C$762&gt;=Lists!$AE8)*('Prenatal Care'!$C$7:$C$762&lt;=Lists!$AF8))</f>
        <v>0</v>
      </c>
      <c r="HJ14" s="470">
        <f>SUMPRODUCT(('Prenatal Care'!$AB$7:$AB$762=HJ$6)*('Prenatal Care'!$C$7:$C$762&gt;=Lists!$AE8)*('Prenatal Care'!$C$7:$C$762&lt;=Lists!$AF8))</f>
        <v>0</v>
      </c>
      <c r="HK14" s="470">
        <f>SUMPRODUCT(('Prenatal Care'!$AB$7:$AB$762=HK$6)*('Prenatal Care'!$C$7:$C$762&gt;=Lists!$AE8)*('Prenatal Care'!$C$7:$C$762&lt;=Lists!$AF8))</f>
        <v>0</v>
      </c>
      <c r="HL14" s="475">
        <f>SUMPRODUCT(('Prenatal Care'!$AB$7:$AB$762=HL$6)*('Prenatal Care'!$C$7:$C$762&gt;=Lists!$AE8)*('Prenatal Care'!$C$7:$C$762&lt;=Lists!$AF8))</f>
        <v>0</v>
      </c>
      <c r="HM14" s="471">
        <f t="shared" si="26"/>
        <v>0</v>
      </c>
      <c r="HN14" s="458">
        <f>SUMPRODUCT(('Prenatal Care'!$AC$7:$AC$762=HN$6)*('Prenatal Care'!$C$7:$C$762&gt;=Lists!$AE8)*('Prenatal Care'!$C$7:$C$762&lt;=Lists!$AF8))</f>
        <v>0</v>
      </c>
      <c r="HO14" s="459">
        <f>SUMPRODUCT(('Prenatal Care'!$AC$7:$AC$762=HO$6)*('Prenatal Care'!$C$7:$C$762&gt;=Lists!$AE8)*('Prenatal Care'!$C$7:$C$762&lt;=Lists!$AF8))</f>
        <v>0</v>
      </c>
      <c r="HP14" s="459">
        <f>SUMPRODUCT(('Prenatal Care'!$AC$7:$AC$762=HP$6)*('Prenatal Care'!$C$7:$C$762&gt;=Lists!$AE8)*('Prenatal Care'!$C$7:$C$762&lt;=Lists!$AF8))</f>
        <v>0</v>
      </c>
      <c r="HQ14" s="459">
        <f>SUMPRODUCT(('Prenatal Care'!$AC$7:$AC$762=HQ$6)*('Prenatal Care'!$C$7:$C$762&gt;=Lists!$AE8)*('Prenatal Care'!$C$7:$C$762&lt;=Lists!$AF8))</f>
        <v>0</v>
      </c>
      <c r="HR14" s="459">
        <f>SUMPRODUCT(('Prenatal Care'!$AC$7:$AC$762=HR$6)*('Prenatal Care'!$C$7:$C$762&gt;=Lists!$AE8)*('Prenatal Care'!$C$7:$C$762&lt;=Lists!$AF8))</f>
        <v>0</v>
      </c>
      <c r="HS14" s="459">
        <f>SUMPRODUCT(('Prenatal Care'!$AC$7:$AC$762=HS$6)*('Prenatal Care'!$C$7:$C$762&gt;=Lists!$AE8)*('Prenatal Care'!$C$7:$C$762&lt;=Lists!$AF8))</f>
        <v>0</v>
      </c>
      <c r="HT14" s="459">
        <f>SUMPRODUCT(('Prenatal Care'!$AC$7:$AC$762=HT$6)*('Prenatal Care'!$C$7:$C$762&gt;=Lists!$AE8)*('Prenatal Care'!$C$7:$C$762&lt;=Lists!$AF8))</f>
        <v>0</v>
      </c>
      <c r="HU14" s="459">
        <f>SUMPRODUCT(('Prenatal Care'!$AC$7:$AC$762=HU$6)*('Prenatal Care'!$C$7:$C$762&gt;=Lists!$AE8)*('Prenatal Care'!$C$7:$C$762&lt;=Lists!$AF8))</f>
        <v>0</v>
      </c>
      <c r="HV14" s="459">
        <f>SUMPRODUCT(('Prenatal Care'!$AC$7:$AC$762=HV$6)*('Prenatal Care'!$C$7:$C$762&gt;=Lists!$AE8)*('Prenatal Care'!$C$7:$C$762&lt;=Lists!$AF8))</f>
        <v>0</v>
      </c>
      <c r="HW14" s="459">
        <f>SUMPRODUCT(('Prenatal Care'!$AC$7:$AC$762=HW$6)*('Prenatal Care'!$C$7:$C$762&gt;=Lists!$AE8)*('Prenatal Care'!$C$7:$C$762&lt;=Lists!$AF8))</f>
        <v>0</v>
      </c>
      <c r="HX14" s="459">
        <f>SUMPRODUCT(('Prenatal Care'!$AC$7:$AC$762=HX$6)*('Prenatal Care'!$C$7:$C$762&gt;=Lists!$AE8)*('Prenatal Care'!$C$7:$C$762&lt;=Lists!$AF8))</f>
        <v>0</v>
      </c>
      <c r="HY14" s="459">
        <f>SUMPRODUCT(('Prenatal Care'!$AC$7:$AC$762=HY$6)*('Prenatal Care'!$C$7:$C$762&gt;=Lists!$AE8)*('Prenatal Care'!$C$7:$C$762&lt;=Lists!$AF8))</f>
        <v>0</v>
      </c>
      <c r="HZ14" s="460">
        <f>SUMPRODUCT(('Prenatal Care'!$AC$7:$AC$762=HZ$6)*('Prenatal Care'!$C$7:$C$762&gt;=Lists!$AE8)*('Prenatal Care'!$C$7:$C$762&lt;=Lists!$AF8))</f>
        <v>0</v>
      </c>
      <c r="IA14" s="471">
        <f t="shared" si="2"/>
        <v>0</v>
      </c>
      <c r="IB14" s="469">
        <f>SUMPRODUCT(('Prenatal Care'!$AD$7:$AD$762=IB$6)*('Prenatal Care'!$C$7:$C$762&gt;=Lists!$AE8)*('Prenatal Care'!$C$7:$C$762&lt;=Lists!$AF8))</f>
        <v>0</v>
      </c>
      <c r="IC14" s="473">
        <f>SUMPRODUCT(('Prenatal Care'!$AD$7:$AD$762=IC$6)*('Prenatal Care'!$C$7:$C$762&gt;=Lists!$AE8)*('Prenatal Care'!$C$7:$C$762&lt;=Lists!$AF8))</f>
        <v>0</v>
      </c>
      <c r="ID14" s="470">
        <f>SUMPRODUCT(('Prenatal Care'!$AD$7:$AD$762=ID$6)*('Prenatal Care'!$C$7:$C$762&gt;=Lists!$AE8)*('Prenatal Care'!$C$7:$C$762&lt;=Lists!$AF8))</f>
        <v>0</v>
      </c>
      <c r="IE14" s="470">
        <f>SUMPRODUCT(('Prenatal Care'!$AD$7:$AD$762=IE$6)*('Prenatal Care'!$C$7:$C$762&gt;=Lists!$AE8)*('Prenatal Care'!$C$7:$C$762&lt;=Lists!$AF8))</f>
        <v>0</v>
      </c>
      <c r="IF14" s="470">
        <f>SUMPRODUCT(('Prenatal Care'!$AD$7:$AD$762=IF$6)*('Prenatal Care'!$C$7:$C$762&gt;=Lists!$AE8)*('Prenatal Care'!$C$7:$C$762&lt;=Lists!$AF8))</f>
        <v>0</v>
      </c>
      <c r="IG14" s="471">
        <f t="shared" si="3"/>
        <v>0</v>
      </c>
      <c r="IH14" s="464">
        <f>SUMPRODUCT(('Prenatal Care'!$AE$7:$AE$762=IH$6)*('Prenatal Care'!$C$7:$C$762&gt;=Lists!$AE8)*('Prenatal Care'!$C$7:$C$762&lt;=Lists!$AF8))</f>
        <v>0</v>
      </c>
      <c r="II14" s="464">
        <f>SUMPRODUCT(('Prenatal Care'!$AE$7:$AE$762=II$6)*('Prenatal Care'!$C$7:$C$762&gt;=Lists!$AE8)*('Prenatal Care'!$C$7:$C$762&lt;=Lists!$AF8))</f>
        <v>0</v>
      </c>
      <c r="IJ14" s="464">
        <f>SUMPRODUCT(('Prenatal Care'!$AE$7:$AE$762=IJ$6)*('Prenatal Care'!$C$7:$C$762&gt;=Lists!$AE8)*('Prenatal Care'!$C$7:$C$762&lt;=Lists!$AF8))</f>
        <v>0</v>
      </c>
      <c r="IK14" s="464">
        <f>SUMPRODUCT(('Prenatal Care'!$AE$7:$AE$762=IK$6)*('Prenatal Care'!$C$7:$C$762&gt;=Lists!$AE8)*('Prenatal Care'!$C$7:$C$762&lt;=Lists!$AF8))</f>
        <v>0</v>
      </c>
      <c r="IL14" s="464">
        <f>SUMPRODUCT(('Prenatal Care'!$AE$7:$AE$762=IL$6)*('Prenatal Care'!$C$7:$C$762&gt;=Lists!$AE8)*('Prenatal Care'!$C$7:$C$762&lt;=Lists!$AF8))</f>
        <v>0</v>
      </c>
      <c r="IM14" s="464">
        <f>SUMPRODUCT(('Prenatal Care'!$AE$7:$AE$762=IM$6)*('Prenatal Care'!$C$7:$C$762&gt;=Lists!$AE8)*('Prenatal Care'!$C$7:$C$762&lt;=Lists!$AF8))</f>
        <v>0</v>
      </c>
      <c r="IN14" s="464">
        <f>SUMPRODUCT(('Prenatal Care'!$AE$7:$AE$762=IN$6)*('Prenatal Care'!$C$7:$C$762&gt;=Lists!$AE8)*('Prenatal Care'!$C$7:$C$762&lt;=Lists!$AF8))</f>
        <v>0</v>
      </c>
      <c r="IO14" s="464">
        <f>SUMPRODUCT(('Prenatal Care'!$AE$7:$AE$762=IO$6)*('Prenatal Care'!$C$7:$C$762&gt;=Lists!$AE8)*('Prenatal Care'!$C$7:$C$762&lt;=Lists!$AF8))</f>
        <v>0</v>
      </c>
      <c r="IP14" s="464">
        <f>SUMPRODUCT(('Prenatal Care'!$AE$7:$AE$762=IP$6)*('Prenatal Care'!$C$7:$C$762&gt;=Lists!$AE8)*('Prenatal Care'!$C$7:$C$762&lt;=Lists!$AF8))</f>
        <v>0</v>
      </c>
      <c r="IQ14" s="464">
        <f>SUMPRODUCT(('Prenatal Care'!$AE$7:$AE$762=IQ$6)*('Prenatal Care'!$C$7:$C$762&gt;=Lists!$AE8)*('Prenatal Care'!$C$7:$C$762&lt;=Lists!$AF8))</f>
        <v>0</v>
      </c>
      <c r="IR14" s="464">
        <f>SUMPRODUCT(('Prenatal Care'!$AE$7:$AE$762=IR$6)*('Prenatal Care'!$C$7:$C$762&gt;=Lists!$AE8)*('Prenatal Care'!$C$7:$C$762&lt;=Lists!$AF8))</f>
        <v>0</v>
      </c>
      <c r="IS14" s="464">
        <f>SUMPRODUCT(('Prenatal Care'!$AE$7:$AE$762=IS$6)*('Prenatal Care'!$C$7:$C$762&gt;=Lists!$AE8)*('Prenatal Care'!$C$7:$C$762&lt;=Lists!$AF8))</f>
        <v>0</v>
      </c>
      <c r="IT14" s="517">
        <f>SUMPRODUCT(('Prenatal Care'!$AE$7:$AE$762=IT$6)*('Prenatal Care'!$C$7:$C$762&gt;=Lists!$AE8)*('Prenatal Care'!$C$7:$C$762&lt;=Lists!$AF8))</f>
        <v>0</v>
      </c>
      <c r="IU14" s="471">
        <f t="shared" si="27"/>
        <v>0</v>
      </c>
      <c r="IV14" s="473">
        <f>SUMPRODUCT(('Prenatal Care'!$AF$7:$AF$762=IV$6)*('Prenatal Care'!$C$7:$C$762&gt;=Lists!$AE8)*('Prenatal Care'!$C$7:$C$762&lt;=Lists!$AF8))</f>
        <v>0</v>
      </c>
      <c r="IW14" s="470">
        <f>SUMPRODUCT(('Prenatal Care'!$AF$7:$AF$762=IW$6)*('Prenatal Care'!$C$7:$C$762&gt;=Lists!$AE8)*('Prenatal Care'!$C$7:$C$762&lt;=Lists!$AF8))</f>
        <v>0</v>
      </c>
      <c r="IX14" s="470">
        <f>SUMPRODUCT(('Prenatal Care'!$AF$7:$AF$762=IX$6)*('Prenatal Care'!$C$7:$C$762&gt;=Lists!$AE8)*('Prenatal Care'!$C$7:$C$762&lt;=Lists!$AF8))</f>
        <v>0</v>
      </c>
      <c r="IY14" s="470">
        <f>SUMPRODUCT(('Prenatal Care'!$AF$7:$AF$762=IY$6)*('Prenatal Care'!$C$7:$C$762&gt;=Lists!$AE8)*('Prenatal Care'!$C$7:$C$762&lt;=Lists!$AF8))</f>
        <v>0</v>
      </c>
      <c r="IZ14" s="470">
        <f>SUMPRODUCT(('Prenatal Care'!$AF$7:$AF$762=IZ$6)*('Prenatal Care'!$C$7:$C$762&gt;=Lists!$AE8)*('Prenatal Care'!$C$7:$C$762&lt;=Lists!$AF8))</f>
        <v>0</v>
      </c>
      <c r="JA14" s="470">
        <f>SUMPRODUCT(('Prenatal Care'!$AF$7:$AF$762=JA$6)*('Prenatal Care'!$C$7:$C$762&gt;=Lists!$AE8)*('Prenatal Care'!$C$7:$C$762&lt;=Lists!$AF8))</f>
        <v>0</v>
      </c>
      <c r="JB14" s="470">
        <f>SUMPRODUCT(('Prenatal Care'!$AF$7:$AF$762=JB$6)*('Prenatal Care'!$C$7:$C$762&gt;=Lists!$AE8)*('Prenatal Care'!$C$7:$C$762&lt;=Lists!$AF8))</f>
        <v>0</v>
      </c>
      <c r="JC14" s="470">
        <f>SUMPRODUCT(('Prenatal Care'!$AF$7:$AF$762=JC$6)*('Prenatal Care'!$C$7:$C$762&gt;=Lists!$AE8)*('Prenatal Care'!$C$7:$C$762&lt;=Lists!$AF8))</f>
        <v>0</v>
      </c>
      <c r="JD14" s="470">
        <f>SUMPRODUCT(('Prenatal Care'!$AF$7:$AF$762=JD$6)*('Prenatal Care'!$C$7:$C$762&gt;=Lists!$AE8)*('Prenatal Care'!$C$7:$C$762&lt;=Lists!$AF8))</f>
        <v>0</v>
      </c>
      <c r="JE14" s="470">
        <f>SUMPRODUCT(('Prenatal Care'!$AF$7:$AF$762=JE$6)*('Prenatal Care'!$C$7:$C$762&gt;=Lists!$AE8)*('Prenatal Care'!$C$7:$C$762&lt;=Lists!$AF8))</f>
        <v>0</v>
      </c>
      <c r="JF14" s="470">
        <f>SUMPRODUCT(('Prenatal Care'!$AF$7:$AF$762=JF$6)*('Prenatal Care'!$C$7:$C$762&gt;=Lists!$AE8)*('Prenatal Care'!$C$7:$C$762&lt;=Lists!$AF8))</f>
        <v>0</v>
      </c>
      <c r="JG14" s="470">
        <f>SUMPRODUCT(('Prenatal Care'!$AF$7:$AF$762=JG$6)*('Prenatal Care'!$C$7:$C$762&gt;=Lists!$AE8)*('Prenatal Care'!$C$7:$C$762&lt;=Lists!$AF8))</f>
        <v>0</v>
      </c>
      <c r="JH14" s="470">
        <f>SUMPRODUCT(('Prenatal Care'!$AF$7:$AF$762=JH$6)*('Prenatal Care'!$C$7:$C$762&gt;=Lists!$AE8)*('Prenatal Care'!$C$7:$C$762&lt;=Lists!$AF8))</f>
        <v>0</v>
      </c>
      <c r="JI14" s="470">
        <f>SUMPRODUCT(('Prenatal Care'!$AF$7:$AF$762=JI$6)*('Prenatal Care'!$C$7:$C$762&gt;=Lists!$AE8)*('Prenatal Care'!$C$7:$C$762&lt;=Lists!$AF8))</f>
        <v>0</v>
      </c>
      <c r="JJ14" s="470">
        <f>SUMPRODUCT(('Prenatal Care'!$AF$7:$AF$762=JJ$6)*('Prenatal Care'!$C$7:$C$762&gt;=Lists!$AE8)*('Prenatal Care'!$C$7:$C$762&lt;=Lists!$AF8))</f>
        <v>0</v>
      </c>
      <c r="JK14" s="470">
        <f>SUMPRODUCT(('Prenatal Care'!$AF$7:$AF$762=JK$6)*('Prenatal Care'!$C$7:$C$762&gt;=Lists!$AE8)*('Prenatal Care'!$C$7:$C$762&lt;=Lists!$AF8))</f>
        <v>0</v>
      </c>
      <c r="JL14" s="470">
        <f>SUMPRODUCT(('Prenatal Care'!$AF$7:$AF$762=JL$6)*('Prenatal Care'!$C$7:$C$762&gt;=Lists!$AE8)*('Prenatal Care'!$C$7:$C$762&lt;=Lists!$AF8))</f>
        <v>0</v>
      </c>
      <c r="JM14" s="470">
        <f>SUMPRODUCT(('Prenatal Care'!$AF$7:$AF$762=JM$6)*('Prenatal Care'!$C$7:$C$762&gt;=Lists!$AE8)*('Prenatal Care'!$C$7:$C$762&lt;=Lists!$AF8))</f>
        <v>0</v>
      </c>
      <c r="JN14" s="470">
        <f>SUMPRODUCT(('Prenatal Care'!$AF$7:$AF$762=JN$6)*('Prenatal Care'!$C$7:$C$762&gt;=Lists!$AE8)*('Prenatal Care'!$C$7:$C$762&lt;=Lists!$AF8))</f>
        <v>0</v>
      </c>
      <c r="JO14" s="470">
        <f>SUMPRODUCT(('Prenatal Care'!$AF$7:$AF$762=JO$6)*('Prenatal Care'!$C$7:$C$762&gt;=Lists!$AE8)*('Prenatal Care'!$C$7:$C$762&lt;=Lists!$AF8))</f>
        <v>0</v>
      </c>
      <c r="JP14" s="470">
        <f>SUMPRODUCT(('Prenatal Care'!$AF$7:$AF$762=JP$6)*('Prenatal Care'!$C$7:$C$762&gt;=Lists!$AE8)*('Prenatal Care'!$C$7:$C$762&lt;=Lists!$AF8))</f>
        <v>0</v>
      </c>
      <c r="JQ14" s="475">
        <f>SUMPRODUCT(('Prenatal Care'!$AF$7:$AF$762=JQ$6)*('Prenatal Care'!$C$7:$C$762&gt;=Lists!$AE8)*('Prenatal Care'!$C$7:$C$762&lt;=Lists!$AF8))</f>
        <v>0</v>
      </c>
      <c r="JR14" s="471">
        <f t="shared" si="28"/>
        <v>0</v>
      </c>
      <c r="JS14" s="469">
        <f>SUMPRODUCT(('Prenatal Care'!$AH$7:$AH$762=JS$6)*('Prenatal Care'!$C$7:$C$762&gt;=Lists!$AE8)*('Prenatal Care'!$C$7:$C$762&lt;=Lists!$AF8))</f>
        <v>0</v>
      </c>
      <c r="JT14" s="470">
        <f>SUMPRODUCT(('Prenatal Care'!$AH$7:$AH$762=JT$6)*('Prenatal Care'!$C$7:$C$762&gt;=Lists!$AE8)*('Prenatal Care'!$C$7:$C$762&lt;=Lists!$AF8))</f>
        <v>0</v>
      </c>
      <c r="JU14" s="470">
        <f>SUMPRODUCT(('Prenatal Care'!$AH$7:$AH$762=JU$6)*('Prenatal Care'!$C$7:$C$762&gt;=Lists!$AE8)*('Prenatal Care'!$C$7:$C$762&lt;=Lists!$AF8))</f>
        <v>0</v>
      </c>
      <c r="JV14" s="470">
        <f>SUMPRODUCT(('Prenatal Care'!$AH$7:$AH$762=JV$6)*('Prenatal Care'!$C$7:$C$762&gt;=Lists!$AE8)*('Prenatal Care'!$C$7:$C$762&lt;=Lists!$AF8))</f>
        <v>0</v>
      </c>
      <c r="JW14" s="470">
        <f>SUMPRODUCT(('Prenatal Care'!$AH$7:$AH$762=JW$6)*('Prenatal Care'!$C$7:$C$762&gt;=Lists!$AE8)*('Prenatal Care'!$C$7:$C$762&lt;=Lists!$AF8))</f>
        <v>0</v>
      </c>
      <c r="JX14" s="470">
        <f>SUMPRODUCT(('Prenatal Care'!$AH$7:$AH$762=JX$6)*('Prenatal Care'!$C$7:$C$762&gt;=Lists!$AE8)*('Prenatal Care'!$C$7:$C$762&lt;=Lists!$AF8))</f>
        <v>0</v>
      </c>
      <c r="JY14" s="470">
        <f>SUMPRODUCT(('Prenatal Care'!$AH$7:$AH$762=JY$6)*('Prenatal Care'!$C$7:$C$762&gt;=Lists!$AE8)*('Prenatal Care'!$C$7:$C$762&lt;=Lists!$AF8))</f>
        <v>0</v>
      </c>
      <c r="JZ14" s="470">
        <f>SUMPRODUCT(('Prenatal Care'!$AH$7:$AH$762=JZ$6)*('Prenatal Care'!$C$7:$C$762&gt;=Lists!$AE8)*('Prenatal Care'!$C$7:$C$762&lt;=Lists!$AF8))</f>
        <v>0</v>
      </c>
      <c r="KA14" s="470">
        <f>SUMPRODUCT(('Prenatal Care'!$AH$7:$AH$762=KA$6)*('Prenatal Care'!$C$7:$C$762&gt;=Lists!$AE8)*('Prenatal Care'!$C$7:$C$762&lt;=Lists!$AF8))</f>
        <v>0</v>
      </c>
      <c r="KB14" s="470">
        <f>SUMPRODUCT(('Prenatal Care'!$AH$7:$AH$762=KB$6)*('Prenatal Care'!$C$7:$C$762&gt;=Lists!$AE8)*('Prenatal Care'!$C$7:$C$762&lt;=Lists!$AF8))</f>
        <v>0</v>
      </c>
      <c r="KC14" s="475">
        <f>SUMPRODUCT(('Prenatal Care'!$AH$7:$AH$762=KC$6)*('Prenatal Care'!$C$7:$C$762&gt;=Lists!$AE8)*('Prenatal Care'!$C$7:$C$762&lt;=Lists!$AF8))</f>
        <v>0</v>
      </c>
      <c r="KD14" s="471">
        <f t="shared" si="29"/>
        <v>0</v>
      </c>
      <c r="KE14" s="473">
        <f>SUMPRODUCT(('Prenatal Care'!$AI$7:$AI$762=KE$6)*('Prenatal Care'!$C$7:$C$762&gt;=Lists!$AE8)*('Prenatal Care'!$C$7:$C$762&lt;=Lists!$AF8))</f>
        <v>0</v>
      </c>
      <c r="KF14" s="470">
        <f>SUMPRODUCT(('Prenatal Care'!$AI$7:$AI$762=KF$6)*('Prenatal Care'!$C$7:$C$762&gt;=Lists!$AE8)*('Prenatal Care'!$C$7:$C$762&lt;=Lists!$AF8))</f>
        <v>0</v>
      </c>
      <c r="KG14" s="470">
        <f>SUMPRODUCT(('Prenatal Care'!$AI$7:$AI$762=KG$6)*('Prenatal Care'!$C$7:$C$762&gt;=Lists!$AE8)*('Prenatal Care'!$C$7:$C$762&lt;=Lists!$AF8))</f>
        <v>0</v>
      </c>
      <c r="KH14" s="470">
        <f>SUMPRODUCT(('Prenatal Care'!$AI$7:$AI$762=KH$6)*('Prenatal Care'!$C$7:$C$762&gt;=Lists!$AE8)*('Prenatal Care'!$C$7:$C$762&lt;=Lists!$AF8))</f>
        <v>0</v>
      </c>
      <c r="KI14" s="475">
        <f>SUMPRODUCT(('Prenatal Care'!$AI$7:$AI$762=KI$6)*('Prenatal Care'!$C$7:$C$762&gt;=Lists!$AE8)*('Prenatal Care'!$C$7:$C$762&lt;=Lists!$AF8))</f>
        <v>0</v>
      </c>
      <c r="KJ14" s="471">
        <f t="shared" si="5"/>
        <v>0</v>
      </c>
      <c r="KK14" s="518">
        <f t="shared" si="6"/>
        <v>0</v>
      </c>
      <c r="KN14" s="15"/>
      <c r="KO14" s="15"/>
      <c r="KP14" s="15"/>
      <c r="KQ14" s="15"/>
      <c r="KR14" s="15"/>
      <c r="KS14" s="15"/>
      <c r="KT14" s="15"/>
      <c r="KU14" s="16"/>
      <c r="KV14" s="15"/>
      <c r="KW14" s="15"/>
      <c r="KX14" s="15"/>
      <c r="KY14" s="15"/>
      <c r="KZ14" s="15"/>
    </row>
    <row r="15" spans="1:312" ht="15" customHeight="1" x14ac:dyDescent="0.35">
      <c r="A15" s="567">
        <v>45962</v>
      </c>
      <c r="B15" s="448">
        <f>SUMPRODUCT(('Prenatal Care'!$F$7:$F$762=B$6)*('Prenatal Care'!$C$7:$C$762&gt;=Lists!$AE9)*('Prenatal Care'!$C$7:$C$762&lt;=Lists!$AF9))</f>
        <v>0</v>
      </c>
      <c r="C15" s="449">
        <f>SUMPRODUCT(('Prenatal Care'!$F$7:$F$762=C$6)*('Prenatal Care'!$C$7:$C$762&gt;=Lists!$AE9)*('Prenatal Care'!$C$7:$C$762&lt;=Lists!$AF9))</f>
        <v>0</v>
      </c>
      <c r="D15" s="449">
        <f>SUMPRODUCT(('Prenatal Care'!$F$7:$F$762=D$6)*('Prenatal Care'!$C$7:$C$762&gt;=Lists!$AE9)*('Prenatal Care'!$C$7:$C$762&lt;=Lists!$AF9))</f>
        <v>0</v>
      </c>
      <c r="E15" s="450">
        <f>SUMPRODUCT(('Prenatal Care'!$F$7:$F$762=E$6)*('Prenatal Care'!$C$7:$C$762&gt;=Lists!$AE9)*('Prenatal Care'!$C$7:$C$762&lt;=Lists!$AF9))</f>
        <v>0</v>
      </c>
      <c r="F15" s="213">
        <f t="shared" si="7"/>
        <v>0</v>
      </c>
      <c r="G15" s="441">
        <f>SUMPRODUCT(('Prenatal Care'!$G$7:$G$762=G$6)*('Prenatal Care'!$C$7:$C$762&gt;=Lists!$AE9)*('Prenatal Care'!$C$7:$C$762&lt;=Lists!$AF9))</f>
        <v>0</v>
      </c>
      <c r="H15" s="441">
        <f>SUMPRODUCT(('Prenatal Care'!$G$7:$G$762=H$6)*('Prenatal Care'!$C$7:$C$762&gt;=Lists!$AE9)*('Prenatal Care'!$C$7:$C$762&lt;=Lists!$AF9))</f>
        <v>0</v>
      </c>
      <c r="I15" s="441">
        <f>SUMPRODUCT(('Prenatal Care'!$G$7:$G$762=I$6)*('Prenatal Care'!$C$7:$C$762&gt;=Lists!$AE9)*('Prenatal Care'!$C$7:$C$762&lt;=Lists!$AF9))</f>
        <v>0</v>
      </c>
      <c r="J15" s="441">
        <f>SUMPRODUCT(('Prenatal Care'!$G$7:$G$762=J$6)*('Prenatal Care'!$C$7:$C$762&gt;=Lists!$AE9)*('Prenatal Care'!$C$7:$C$762&lt;=Lists!$AF9))</f>
        <v>0</v>
      </c>
      <c r="K15" s="441">
        <f>SUMPRODUCT(('Prenatal Care'!$G$7:$G$762=K$6)*('Prenatal Care'!$C$7:$C$762&gt;=Lists!$AE9)*('Prenatal Care'!$C$7:$C$762&lt;=Lists!$AF9))</f>
        <v>0</v>
      </c>
      <c r="L15" s="441">
        <f>SUMPRODUCT(('Prenatal Care'!$G$7:$G$762=L$6)*('Prenatal Care'!$C$7:$C$762&gt;=Lists!$AE9)*('Prenatal Care'!$C$7:$C$762&lt;=Lists!$AF9))</f>
        <v>0</v>
      </c>
      <c r="M15" s="441">
        <f>SUMPRODUCT(('Prenatal Care'!$G$7:$G$762=M$6)*('Prenatal Care'!$C$7:$C$762&gt;=Lists!$AE9)*('Prenatal Care'!$C$7:$C$762&lt;=Lists!$AF9))</f>
        <v>0</v>
      </c>
      <c r="N15" s="170">
        <f t="shared" si="8"/>
        <v>0</v>
      </c>
      <c r="O15" s="441">
        <f>SUMPRODUCT(('Prenatal Care'!$H$7:$H$762=O$6)*('Prenatal Care'!$C$7:$C$762&gt;=Lists!$AE9)*('Prenatal Care'!$C$7:$C$762&lt;=Lists!$AF9))</f>
        <v>0</v>
      </c>
      <c r="P15" s="441">
        <f>SUMPRODUCT(('Prenatal Care'!$H$7:$H$762=P$6)*('Prenatal Care'!$C$7:$C$762&gt;=Lists!$AE9)*('Prenatal Care'!$C$7:$C$762&lt;=Lists!$AF9))</f>
        <v>0</v>
      </c>
      <c r="Q15" s="441">
        <f>SUMPRODUCT(('Prenatal Care'!$H$7:$H$762=Q$6)*('Prenatal Care'!$C$7:$C$762&gt;=Lists!$AE9)*('Prenatal Care'!$C$7:$C$762&lt;=Lists!$AF9))</f>
        <v>0</v>
      </c>
      <c r="R15" s="441">
        <f>SUMPRODUCT(('Prenatal Care'!$H$7:$H$762=R$6)*('Prenatal Care'!$C$7:$C$762&gt;=Lists!$AE9)*('Prenatal Care'!$C$7:$C$762&lt;=Lists!$AF9))</f>
        <v>0</v>
      </c>
      <c r="S15" s="441">
        <f>SUMPRODUCT(('Prenatal Care'!$H$7:$H$762=S$6)*('Prenatal Care'!$C$7:$C$762&gt;=Lists!$AE9)*('Prenatal Care'!$C$7:$C$762&lt;=Lists!$AF9))</f>
        <v>0</v>
      </c>
      <c r="T15" s="441">
        <f>SUMPRODUCT(('Prenatal Care'!$H$7:$H$762=T$6)*('Prenatal Care'!$C$7:$C$762&gt;=Lists!$AE9)*('Prenatal Care'!$C$7:$C$762&lt;=Lists!$AF9))</f>
        <v>0</v>
      </c>
      <c r="U15" s="441">
        <f>SUMPRODUCT(('Prenatal Care'!$H$7:$H$762=U$6)*('Prenatal Care'!$C$7:$C$762&gt;=Lists!$AE9)*('Prenatal Care'!$C$7:$C$762&lt;=Lists!$AF9))</f>
        <v>0</v>
      </c>
      <c r="V15" s="170">
        <f t="shared" si="9"/>
        <v>0</v>
      </c>
      <c r="W15" s="441">
        <f>SUMPRODUCT(('Prenatal Care'!$I$7:$I$762=W$6)*('Prenatal Care'!$C$7:$C$762&gt;=Lists!$AE9)*('Prenatal Care'!$C$7:$C$762&lt;=Lists!$AF9))</f>
        <v>0</v>
      </c>
      <c r="X15" s="441">
        <f>SUMPRODUCT(('Prenatal Care'!$I$7:$I$762=X$6)*('Prenatal Care'!$C$7:$C$762&gt;=Lists!$AE9)*('Prenatal Care'!$C$7:$C$762&lt;=Lists!$AF9))</f>
        <v>0</v>
      </c>
      <c r="Y15" s="441">
        <f>SUMPRODUCT(('Prenatal Care'!$I$7:$I$762=Y$6)*('Prenatal Care'!$C$7:$C$762&gt;=Lists!$AE9)*('Prenatal Care'!$C$7:$C$762&lt;=Lists!$AF9))</f>
        <v>0</v>
      </c>
      <c r="Z15" s="441">
        <f>SUMPRODUCT(('Prenatal Care'!$I$7:$I$762=Z$6)*('Prenatal Care'!$C$7:$C$762&gt;=Lists!$AE9)*('Prenatal Care'!$C$7:$C$762&lt;=Lists!$AF9))</f>
        <v>0</v>
      </c>
      <c r="AA15" s="441">
        <f>SUMPRODUCT(('Prenatal Care'!$I$7:$I$762=AA$6)*('Prenatal Care'!$C$7:$C$762&gt;=Lists!$AE9)*('Prenatal Care'!$C$7:$C$762&lt;=Lists!$AF9))</f>
        <v>0</v>
      </c>
      <c r="AB15" s="441">
        <f>SUMPRODUCT(('Prenatal Care'!$I$7:$I$762=AB$6)*('Prenatal Care'!$C$7:$C$762&gt;=Lists!$AE9)*('Prenatal Care'!$C$7:$C$762&lt;=Lists!$AF9))</f>
        <v>0</v>
      </c>
      <c r="AC15" s="170">
        <f t="shared" si="10"/>
        <v>0</v>
      </c>
      <c r="AD15" s="441">
        <f>SUMPRODUCT(('Prenatal Care'!$J$7:$J$762=AD$6)*('Prenatal Care'!$C$7:$C$762&gt;=Lists!$AE9)*('Prenatal Care'!$C$7:$C$762&lt;=Lists!$AF9))</f>
        <v>0</v>
      </c>
      <c r="AE15" s="441">
        <f>SUMPRODUCT(('Prenatal Care'!$J$7:$J$762=AE$6)*('Prenatal Care'!$C$7:$C$762&gt;=Lists!$AE9)*('Prenatal Care'!$C$7:$C$762&lt;=Lists!$AF9))</f>
        <v>0</v>
      </c>
      <c r="AF15" s="441">
        <f>SUMPRODUCT(('Prenatal Care'!$J$7:$J$762=AF$6)*('Prenatal Care'!$C$7:$C$762&gt;=Lists!$AE9)*('Prenatal Care'!$C$7:$C$762&lt;=Lists!$AF9))</f>
        <v>0</v>
      </c>
      <c r="AG15" s="441">
        <f>SUMPRODUCT(('Prenatal Care'!$J$7:$J$762=AG$6)*('Prenatal Care'!$C$7:$C$762&gt;=Lists!$AE9)*('Prenatal Care'!$C$7:$C$762&lt;=Lists!$AF9))</f>
        <v>0</v>
      </c>
      <c r="AH15" s="170">
        <f t="shared" si="11"/>
        <v>0</v>
      </c>
      <c r="AI15" s="441">
        <f>SUMPRODUCT(('Prenatal Care'!$K$7:$K$762=AI$6)*('Prenatal Care'!$C$7:$C$762&gt;=Lists!$AE9)*('Prenatal Care'!$C$7:$C$762&lt;=Lists!$AF9))</f>
        <v>0</v>
      </c>
      <c r="AJ15" s="441">
        <f>SUMPRODUCT(('Prenatal Care'!$K$7:$K$762=AJ$6)*('Prenatal Care'!$C$7:$C$762&gt;=Lists!$AE9)*('Prenatal Care'!$C$7:$C$762&lt;=Lists!$AF9))</f>
        <v>0</v>
      </c>
      <c r="AK15" s="441">
        <f>SUMPRODUCT(('Prenatal Care'!$K$7:$K$762=AK$6)*('Prenatal Care'!$C$7:$C$762&gt;=Lists!$AE9)*('Prenatal Care'!$C$7:$C$762&lt;=Lists!$AF9))</f>
        <v>0</v>
      </c>
      <c r="AL15" s="441">
        <f>SUMPRODUCT(('Prenatal Care'!$K$7:$K$762=AL$6)*('Prenatal Care'!$C$7:$C$762&gt;=Lists!$AE9)*('Prenatal Care'!$C$7:$C$762&lt;=Lists!$AF9))</f>
        <v>0</v>
      </c>
      <c r="AM15" s="170">
        <f t="shared" si="12"/>
        <v>0</v>
      </c>
      <c r="AN15" s="441">
        <f>SUMPRODUCT(('Prenatal Care'!$L$7:$L$762=AN$6)*('Prenatal Care'!$C$7:$C$762&gt;=Lists!$AE9)*('Prenatal Care'!$C$7:$C$762&lt;=Lists!$AF9))</f>
        <v>0</v>
      </c>
      <c r="AO15" s="441">
        <f>SUMPRODUCT(('Prenatal Care'!$L$7:$L$762=AO$6)*('Prenatal Care'!$C$7:$C$762&gt;=Lists!$AE9)*('Prenatal Care'!$C$7:$C$762&lt;=Lists!$AF9))</f>
        <v>0</v>
      </c>
      <c r="AP15" s="441">
        <f>SUMPRODUCT(('Prenatal Care'!$L$7:$L$762=AP$6)*('Prenatal Care'!$C$7:$C$762&gt;=Lists!$AE9)*('Prenatal Care'!$C$7:$C$762&lt;=Lists!$AF9))</f>
        <v>0</v>
      </c>
      <c r="AQ15" s="441">
        <f>SUMPRODUCT(('Prenatal Care'!$L$7:$L$762=AQ$6)*('Prenatal Care'!$C$7:$C$762&gt;=Lists!$AE9)*('Prenatal Care'!$C$7:$C$762&lt;=Lists!$AF9))</f>
        <v>0</v>
      </c>
      <c r="AR15" s="170">
        <f t="shared" si="13"/>
        <v>0</v>
      </c>
      <c r="AS15" s="466">
        <f>SUMPRODUCT(('Prenatal Care'!$M$7:$M$762=AS$6)*('Prenatal Care'!$C$7:$C$762&gt;=Lists!$AE9)*('Prenatal Care'!$C$7:$C$762&lt;=Lists!$AF9))</f>
        <v>0</v>
      </c>
      <c r="AT15" s="467">
        <f>SUMPRODUCT(('Prenatal Care'!$M$7:$M$762=AT$6)*('Prenatal Care'!$C$7:$C$762&gt;=Lists!$AE9)*('Prenatal Care'!$C$7:$C$762&lt;=Lists!$AF9))</f>
        <v>0</v>
      </c>
      <c r="AU15" s="467">
        <f>SUMPRODUCT(('Prenatal Care'!$M$7:$M$762=AU$6)*('Prenatal Care'!$C$7:$C$762&gt;=Lists!$AE9)*('Prenatal Care'!$C$7:$C$762&lt;=Lists!$AF9))</f>
        <v>0</v>
      </c>
      <c r="AV15" s="498">
        <f>SUMPRODUCT(('Prenatal Care'!$M$7:$M$762=AV$6)*('Prenatal Care'!$C$7:$C$762&gt;=Lists!$AE9)*('Prenatal Care'!$C$7:$C$762&lt;=Lists!$AF9))</f>
        <v>0</v>
      </c>
      <c r="AW15" s="468">
        <f t="shared" si="14"/>
        <v>0</v>
      </c>
      <c r="AX15" s="473">
        <f>SUMPRODUCT(('Prenatal Care'!$N$7:$N$762=AX$6)*('Prenatal Care'!$C$7:$C$762&gt;=Lists!$AE9)*('Prenatal Care'!$C$7:$C$762&lt;=Lists!$AF9))</f>
        <v>0</v>
      </c>
      <c r="AY15" s="470">
        <f>SUMPRODUCT(('Prenatal Care'!$N$7:$N$762=AY$6)*('Prenatal Care'!$C$7:$C$762&gt;=Lists!$AE9)*('Prenatal Care'!$C$7:$C$762&lt;=Lists!$AF9))</f>
        <v>0</v>
      </c>
      <c r="AZ15" s="470">
        <f>SUMPRODUCT(('Prenatal Care'!$N$7:$N$762=AZ$6)*('Prenatal Care'!$C$7:$C$762&gt;=Lists!$AE9)*('Prenatal Care'!$C$7:$C$762&lt;=Lists!$AF9))</f>
        <v>0</v>
      </c>
      <c r="BA15" s="470">
        <f>SUMPRODUCT(('Prenatal Care'!$N$7:$N$762=BA$6)*('Prenatal Care'!$C$7:$C$762&gt;=Lists!$AE9)*('Prenatal Care'!$C$7:$C$762&lt;=Lists!$AF9))</f>
        <v>0</v>
      </c>
      <c r="BB15" s="475">
        <f>SUMPRODUCT(('Prenatal Care'!$N$7:$N$762=BB$6)*('Prenatal Care'!$C$7:$C$762&gt;=Lists!$AE9)*('Prenatal Care'!$C$7:$C$762&lt;=Lists!$AF9))</f>
        <v>0</v>
      </c>
      <c r="BC15" s="471">
        <f t="shared" si="15"/>
        <v>0</v>
      </c>
      <c r="BD15" s="473">
        <f>SUMPRODUCT(('Prenatal Care'!$O$7:$O$762=BD$6)*('Prenatal Care'!$C$7:$C$762&gt;=Lists!$AE9)*('Prenatal Care'!$C$7:$C$762&lt;=Lists!$AF9))</f>
        <v>0</v>
      </c>
      <c r="BE15" s="470">
        <f>SUMPRODUCT(('Prenatal Care'!$O$7:$O$762=BE$6)*('Prenatal Care'!$C$7:$C$762&gt;=Lists!$AE9)*('Prenatal Care'!$C$7:$C$762&lt;=Lists!$AF9))</f>
        <v>0</v>
      </c>
      <c r="BF15" s="470">
        <f>SUMPRODUCT(('Prenatal Care'!$O$7:$O$762=BF$6)*('Prenatal Care'!$C$7:$C$762&gt;=Lists!$AE9)*('Prenatal Care'!$C$7:$C$762&lt;=Lists!$AF9))</f>
        <v>0</v>
      </c>
      <c r="BG15" s="470">
        <f>SUMPRODUCT(('Prenatal Care'!$O$7:$O$762=BG$6)*('Prenatal Care'!$C$7:$C$762&gt;=Lists!$AE9)*('Prenatal Care'!$C$7:$C$762&lt;=Lists!$AF9))</f>
        <v>0</v>
      </c>
      <c r="BH15" s="470">
        <f>SUMPRODUCT(('Prenatal Care'!$O$7:$O$762=BH$6)*('Prenatal Care'!$C$7:$C$762&gt;=Lists!$AE9)*('Prenatal Care'!$C$7:$C$762&lt;=Lists!$AF9))</f>
        <v>0</v>
      </c>
      <c r="BI15" s="475">
        <f>SUMPRODUCT(('Prenatal Care'!$O$7:$O$762=BI$6)*('Prenatal Care'!$C$7:$C$762&gt;=Lists!$AE9)*('Prenatal Care'!$C$7:$C$762&lt;=Lists!$AF9))</f>
        <v>0</v>
      </c>
      <c r="BJ15" s="471">
        <f t="shared" si="16"/>
        <v>0</v>
      </c>
      <c r="BK15" s="473">
        <f>SUMPRODUCT(('Prenatal Care'!$P$7:$P$762=BK$6)*('Prenatal Care'!$C$7:$C$762&gt;=Lists!$AE9)*('Prenatal Care'!$C$7:$C$762&lt;=Lists!$AF9))</f>
        <v>0</v>
      </c>
      <c r="BL15" s="470">
        <f>SUMPRODUCT(('Prenatal Care'!$P$7:$P$762=BL$6)*('Prenatal Care'!$C$7:$C$762&gt;=Lists!$AE9)*('Prenatal Care'!$C$7:$C$762&lt;=Lists!$AF9))</f>
        <v>0</v>
      </c>
      <c r="BM15" s="470">
        <f>SUMPRODUCT(('Prenatal Care'!$P$7:$P$762=BM$6)*('Prenatal Care'!$C$7:$C$762&gt;=Lists!$AE9)*('Prenatal Care'!$C$7:$C$762&lt;=Lists!$AF9))</f>
        <v>0</v>
      </c>
      <c r="BN15" s="470">
        <f>SUMPRODUCT(('Prenatal Care'!$P$7:$P$762=BN$6)*('Prenatal Care'!$C$7:$C$762&gt;=Lists!$AE9)*('Prenatal Care'!$C$7:$C$762&lt;=Lists!$AF9))</f>
        <v>0</v>
      </c>
      <c r="BO15" s="475">
        <f>SUMPRODUCT(('Prenatal Care'!$P$7:$P$762=BO$6)*('Prenatal Care'!$C$7:$C$762&gt;=Lists!$AE9)*('Prenatal Care'!$C$7:$C$762&lt;=Lists!$AF9))</f>
        <v>0</v>
      </c>
      <c r="BP15" s="471">
        <f t="shared" si="0"/>
        <v>0</v>
      </c>
      <c r="BQ15" s="473">
        <f>SUMPRODUCT(('Prenatal Care'!$Q$7:$Q$762=BQ$6)*('Prenatal Care'!$C$7:$C$762&gt;=Lists!$AE9)*('Prenatal Care'!$C$7:$C$762&lt;=Lists!$AF9))</f>
        <v>0</v>
      </c>
      <c r="BR15" s="470">
        <f>SUMPRODUCT(('Prenatal Care'!$Q$7:$Q$762=BR$6)*('Prenatal Care'!$C$7:$C$762&gt;=Lists!$AE9)*('Prenatal Care'!$C$7:$C$762&lt;=Lists!$AF9))</f>
        <v>0</v>
      </c>
      <c r="BS15" s="470">
        <f>SUMPRODUCT(('Prenatal Care'!$Q$7:$Q$762=BS$6)*('Prenatal Care'!$C$7:$C$762&gt;=Lists!$AE9)*('Prenatal Care'!$C$7:$C$762&lt;=Lists!$AF9))</f>
        <v>0</v>
      </c>
      <c r="BT15" s="470">
        <f>SUMPRODUCT(('Prenatal Care'!$Q$7:$Q$762=BT$6)*('Prenatal Care'!$C$7:$C$762&gt;=Lists!$AE9)*('Prenatal Care'!$C$7:$C$762&lt;=Lists!$AF9))</f>
        <v>0</v>
      </c>
      <c r="BU15" s="470">
        <f>SUMPRODUCT(('Prenatal Care'!$Q$7:$Q$762=BU$6)*('Prenatal Care'!$C$7:$C$762&gt;=Lists!$AE9)*('Prenatal Care'!$C$7:$C$762&lt;=Lists!$AF9))</f>
        <v>0</v>
      </c>
      <c r="BV15" s="475">
        <f>SUMPRODUCT(('Prenatal Care'!$Q$7:$Q$762=BV$6)*('Prenatal Care'!$C$7:$C$762&gt;=Lists!$AE9)*('Prenatal Care'!$C$7:$C$762&lt;=Lists!$AF9))</f>
        <v>0</v>
      </c>
      <c r="BW15" s="472">
        <f t="shared" si="1"/>
        <v>0</v>
      </c>
      <c r="BX15" s="473">
        <f>SUMPRODUCT(('Prenatal Care'!$R$7:$R$762=BX$6)*('Prenatal Care'!$C$7:$C$762&gt;=Lists!$AE9)*('Prenatal Care'!$C$7:$C$762&lt;=Lists!$AF9))</f>
        <v>0</v>
      </c>
      <c r="BY15" s="470">
        <f>SUMPRODUCT(('Prenatal Care'!$R$7:$R$762=BY$6)*('Prenatal Care'!$C$7:$C$762&gt;=Lists!$AE9)*('Prenatal Care'!$C$7:$C$762&lt;=Lists!$AF9))</f>
        <v>0</v>
      </c>
      <c r="BZ15" s="470">
        <f>SUMPRODUCT(('Prenatal Care'!$R$7:$R$762=BZ$6)*('Prenatal Care'!$C$7:$C$762&gt;=Lists!$AE9)*('Prenatal Care'!$C$7:$C$762&lt;=Lists!$AF9))</f>
        <v>0</v>
      </c>
      <c r="CA15" s="470">
        <f>SUMPRODUCT(('Prenatal Care'!$R$7:$R$762=CA$6)*('Prenatal Care'!$C$7:$C$762&gt;=Lists!$AE9)*('Prenatal Care'!$C$7:$C$762&lt;=Lists!$AF9))</f>
        <v>0</v>
      </c>
      <c r="CB15" s="475">
        <f>SUMPRODUCT(('Prenatal Care'!$R$7:$R$762=CB$6)*('Prenatal Care'!$C$7:$C$762&gt;=Lists!$AE9)*('Prenatal Care'!$C$7:$C$762&lt;=Lists!$AF9))</f>
        <v>0</v>
      </c>
      <c r="CC15" s="471">
        <f t="shared" si="17"/>
        <v>0</v>
      </c>
      <c r="CD15" s="469">
        <f>SUMPRODUCT(('Prenatal Care'!$S$7:$S$762=CD$6)*('Prenatal Care'!$C$7:$C$762&gt;=Lists!$AE9)*('Prenatal Care'!$C$7:$C$762&lt;=Lists!$AF9))</f>
        <v>0</v>
      </c>
      <c r="CE15" s="473">
        <f>SUMPRODUCT(('Prenatal Care'!$S$7:$S$762=CE$6)*('Prenatal Care'!$C$7:$C$762&gt;=Lists!$AE9)*('Prenatal Care'!$C$7:$C$762&lt;=Lists!$AF9))</f>
        <v>0</v>
      </c>
      <c r="CF15" s="470">
        <f>SUMPRODUCT(('Prenatal Care'!$S$7:$S$762=CF$6)*('Prenatal Care'!$C$7:$C$762&gt;=Lists!$AE9)*('Prenatal Care'!$C$7:$C$762&lt;=Lists!$AF9))</f>
        <v>0</v>
      </c>
      <c r="CG15" s="470">
        <f>SUMPRODUCT(('Prenatal Care'!$S$7:$S$762=CG$6)*('Prenatal Care'!$C$7:$C$762&gt;=Lists!$AE9)*('Prenatal Care'!$C$7:$C$762&lt;=Lists!$AF9))</f>
        <v>0</v>
      </c>
      <c r="CH15" s="470">
        <f>SUMPRODUCT(('Prenatal Care'!$S$7:$S$762=CH$6)*('Prenatal Care'!$C$7:$C$762&gt;=Lists!$AE9)*('Prenatal Care'!$C$7:$C$762&lt;=Lists!$AF9))</f>
        <v>0</v>
      </c>
      <c r="CI15" s="470">
        <f>SUMPRODUCT(('Prenatal Care'!$S$7:$S$762=CI$6)*('Prenatal Care'!$C$7:$C$762&gt;=Lists!$AE9)*('Prenatal Care'!$C$7:$C$762&lt;=Lists!$AF9))</f>
        <v>0</v>
      </c>
      <c r="CJ15" s="470">
        <f>SUMPRODUCT(('Prenatal Care'!$S$7:$S$762=CJ$6)*('Prenatal Care'!$C$7:$C$762&gt;=Lists!$AE9)*('Prenatal Care'!$C$7:$C$762&lt;=Lists!$AF9))</f>
        <v>0</v>
      </c>
      <c r="CK15" s="470">
        <f>SUMPRODUCT(('Prenatal Care'!$S$7:$S$762=CK$6)*('Prenatal Care'!$C$7:$C$762&gt;=Lists!$AE9)*('Prenatal Care'!$C$7:$C$762&lt;=Lists!$AF9))</f>
        <v>0</v>
      </c>
      <c r="CL15" s="470">
        <f>SUMPRODUCT(('Prenatal Care'!$S$7:$S$762=CL$6)*('Prenatal Care'!$C$7:$C$762&gt;=Lists!$AE9)*('Prenatal Care'!$C$7:$C$762&lt;=Lists!$AF9))</f>
        <v>0</v>
      </c>
      <c r="CM15" s="475">
        <f>SUMPRODUCT(('Prenatal Care'!$S$7:$S$762=CM$6)*('Prenatal Care'!$C$7:$C$762&gt;=Lists!$AE9)*('Prenatal Care'!$C$7:$C$762&lt;=Lists!$AF9))</f>
        <v>0</v>
      </c>
      <c r="CN15" s="471">
        <f t="shared" si="18"/>
        <v>0</v>
      </c>
      <c r="CO15" s="473">
        <f>SUMPRODUCT(('Prenatal Care'!$T$7:$T$762=CO$6)*('Prenatal Care'!$C$7:$C$762&gt;=Lists!$AE9)*('Prenatal Care'!$C$7:$C$762&lt;=Lists!$AF9))</f>
        <v>0</v>
      </c>
      <c r="CP15" s="470">
        <f>SUMPRODUCT(('Prenatal Care'!$T$7:$T$762=CP$6)*('Prenatal Care'!$C$7:$C$762&gt;=Lists!$AE9)*('Prenatal Care'!$C$7:$C$762&lt;=Lists!$AF9))</f>
        <v>0</v>
      </c>
      <c r="CQ15" s="475">
        <f>SUMPRODUCT(('Prenatal Care'!$T$7:$T$762=CQ$6)*('Prenatal Care'!$C$7:$C$762&gt;=Lists!$AE9)*('Prenatal Care'!$C$7:$C$762&lt;=Lists!$AF9))</f>
        <v>0</v>
      </c>
      <c r="CR15" s="471">
        <f t="shared" si="19"/>
        <v>0</v>
      </c>
      <c r="CS15" s="505">
        <f>SUMPRODUCT(('Prenatal Care'!$U$7:$U$762=CS$6)*('Prenatal Care'!$C$7:$C$762&gt;=Lists!$AE9)*('Prenatal Care'!$C$7:$C$762&lt;=Lists!$AF9))</f>
        <v>0</v>
      </c>
      <c r="CT15" s="506">
        <f>SUMPRODUCT(('Prenatal Care'!$U$7:$U$762=CT$6)*('Prenatal Care'!$C$7:$C$762&gt;=Lists!$AE9)*('Prenatal Care'!$C$7:$C$762&lt;=Lists!$AF9))</f>
        <v>0</v>
      </c>
      <c r="CU15" s="506">
        <f>SUMPRODUCT(('Prenatal Care'!$U$7:$U$762=CU$6)*('Prenatal Care'!$C$7:$C$762&gt;=Lists!$AE9)*('Prenatal Care'!$C$7:$C$762&lt;=Lists!$AF9))</f>
        <v>0</v>
      </c>
      <c r="CV15" s="506">
        <f>SUMPRODUCT(('Prenatal Care'!$U$7:$U$762=CV$6)*('Prenatal Care'!$C$7:$C$762&gt;=Lists!$AE9)*('Prenatal Care'!$C$7:$C$762&lt;=Lists!$AF9))</f>
        <v>0</v>
      </c>
      <c r="CW15" s="506">
        <f>SUMPRODUCT(('Prenatal Care'!$U$7:$U$762=CW$6)*('Prenatal Care'!$C$7:$C$762&gt;=Lists!$AE9)*('Prenatal Care'!$C$7:$C$762&lt;=Lists!$AF9))</f>
        <v>0</v>
      </c>
      <c r="CX15" s="506">
        <f>SUMPRODUCT(('Prenatal Care'!$U$7:$U$762=CX$6)*('Prenatal Care'!$C$7:$C$762&gt;=Lists!$AE9)*('Prenatal Care'!$C$7:$C$762&lt;=Lists!$AF9))</f>
        <v>0</v>
      </c>
      <c r="CY15" s="506">
        <f>SUMPRODUCT(('Prenatal Care'!$U$7:$U$762=CY$6)*('Prenatal Care'!$C$7:$C$762&gt;=Lists!$AE9)*('Prenatal Care'!$C$7:$C$762&lt;=Lists!$AF9))</f>
        <v>0</v>
      </c>
      <c r="CZ15" s="506">
        <f>SUMPRODUCT(('Prenatal Care'!$U$7:$U$762=CZ$6)*('Prenatal Care'!$C$7:$C$762&gt;=Lists!$AE9)*('Prenatal Care'!$C$7:$C$762&lt;=Lists!$AF9))</f>
        <v>0</v>
      </c>
      <c r="DA15" s="506">
        <f>SUMPRODUCT(('Prenatal Care'!$U$7:$U$762=DA$6)*('Prenatal Care'!$C$7:$C$762&gt;=Lists!$AE9)*('Prenatal Care'!$C$7:$C$762&lt;=Lists!$AF9))</f>
        <v>0</v>
      </c>
      <c r="DB15" s="507">
        <f>SUMPRODUCT(('Prenatal Care'!$U$7:$U$762=DB$6)*('Prenatal Care'!$C$7:$C$762&gt;=Lists!$AE9)*('Prenatal Care'!$C$7:$C$762&lt;=Lists!$AF9))</f>
        <v>0</v>
      </c>
      <c r="DC15" s="471">
        <f t="shared" si="20"/>
        <v>0</v>
      </c>
      <c r="DD15" s="469">
        <f>SUMPRODUCT(('Prenatal Care'!$V$7:$V$762=DD$6)*('Prenatal Care'!$C$7:$C$762&gt;=Lists!$AE9)*('Prenatal Care'!$C$7:$C$762&lt;=Lists!$AF9))</f>
        <v>0</v>
      </c>
      <c r="DE15" s="470">
        <f>SUMPRODUCT(('Prenatal Care'!$V$7:$V$762=DE$6)*('Prenatal Care'!$C$7:$C$762&gt;=Lists!$AE9)*('Prenatal Care'!$C$7:$C$762&lt;=Lists!$AF9))</f>
        <v>0</v>
      </c>
      <c r="DF15" s="470">
        <f>SUMPRODUCT(('Prenatal Care'!$V$7:$V$762=DF$6)*('Prenatal Care'!$C$7:$C$762&gt;=Lists!$AE9)*('Prenatal Care'!$C$7:$C$762&lt;=Lists!$AF9))</f>
        <v>0</v>
      </c>
      <c r="DG15" s="475">
        <f>SUMPRODUCT(('Prenatal Care'!$V$7:$V$762=DG$6)*('Prenatal Care'!$C$7:$C$762&gt;=Lists!$AE9)*('Prenatal Care'!$C$7:$C$762&lt;=Lists!$AF9))</f>
        <v>0</v>
      </c>
      <c r="DH15" s="471">
        <f t="shared" si="21"/>
        <v>0</v>
      </c>
      <c r="DI15" s="473">
        <f>SUMPRODUCT(('Prenatal Care'!$W$7:$W$762=DI$6)*('Prenatal Care'!$C$7:$C$762&gt;=Lists!$AE9)*('Prenatal Care'!$C$7:$C$762&lt;=Lists!$AF9))</f>
        <v>0</v>
      </c>
      <c r="DJ15" s="470">
        <f>SUMPRODUCT(('Prenatal Care'!$W$7:$W$762=DJ$6)*('Prenatal Care'!$C$7:$C$762&gt;=Lists!$AE9)*('Prenatal Care'!$C$7:$C$762&lt;=Lists!$AF9))</f>
        <v>0</v>
      </c>
      <c r="DK15" s="470">
        <f>SUMPRODUCT(('Prenatal Care'!$W$7:$W$762=DK$6)*('Prenatal Care'!$C$7:$C$762&gt;=Lists!$AE9)*('Prenatal Care'!$C$7:$C$762&lt;=Lists!$AF9))</f>
        <v>0</v>
      </c>
      <c r="DL15" s="470">
        <f>SUMPRODUCT(('Prenatal Care'!$W$7:$W$762=DL$6)*('Prenatal Care'!$C$7:$C$762&gt;=Lists!$AE9)*('Prenatal Care'!$C$7:$C$762&lt;=Lists!$AF9))</f>
        <v>0</v>
      </c>
      <c r="DM15" s="470">
        <f>SUMPRODUCT(('Prenatal Care'!$W$7:$W$762=DM$6)*('Prenatal Care'!$C$7:$C$762&gt;=Lists!$AE9)*('Prenatal Care'!$C$7:$C$762&lt;=Lists!$AF9))</f>
        <v>0</v>
      </c>
      <c r="DN15" s="470">
        <f>SUMPRODUCT(('Prenatal Care'!$W$7:$W$762=DN$6)*('Prenatal Care'!$C$7:$C$762&gt;=Lists!$AE9)*('Prenatal Care'!$C$7:$C$762&lt;=Lists!$AF9))</f>
        <v>0</v>
      </c>
      <c r="DO15" s="470">
        <f>SUMPRODUCT(('Prenatal Care'!$W$7:$W$762=DO$6)*('Prenatal Care'!$C$7:$C$762&gt;=Lists!$AE9)*('Prenatal Care'!$C$7:$C$762&lt;=Lists!$AF9))</f>
        <v>0</v>
      </c>
      <c r="DP15" s="470">
        <f>SUMPRODUCT(('Prenatal Care'!$W$7:$W$762=DP$6)*('Prenatal Care'!$C$7:$C$762&gt;=Lists!$AE9)*('Prenatal Care'!$C$7:$C$762&lt;=Lists!$AF9))</f>
        <v>0</v>
      </c>
      <c r="DQ15" s="470">
        <f>SUMPRODUCT(('Prenatal Care'!$W$7:$W$762=DQ$6)*('Prenatal Care'!$C$7:$C$762&gt;=Lists!$AE9)*('Prenatal Care'!$C$7:$C$762&lt;=Lists!$AF9))</f>
        <v>0</v>
      </c>
      <c r="DR15" s="470">
        <f>SUMPRODUCT(('Prenatal Care'!$W$7:$W$762=DR$6)*('Prenatal Care'!$C$7:$C$762&gt;=Lists!$AE9)*('Prenatal Care'!$C$7:$C$762&lt;=Lists!$AF9))</f>
        <v>0</v>
      </c>
      <c r="DS15" s="470">
        <f>SUMPRODUCT(('Prenatal Care'!$W$7:$W$762=DS$6)*('Prenatal Care'!$C$7:$C$762&gt;=Lists!$AE9)*('Prenatal Care'!$C$7:$C$762&lt;=Lists!$AF9))</f>
        <v>0</v>
      </c>
      <c r="DT15" s="470">
        <f>SUMPRODUCT(('Prenatal Care'!$W$7:$W$762=DT$6)*('Prenatal Care'!$C$7:$C$762&gt;=Lists!$AE9)*('Prenatal Care'!$C$7:$C$762&lt;=Lists!$AF9))</f>
        <v>0</v>
      </c>
      <c r="DU15" s="470">
        <f>SUMPRODUCT(('Prenatal Care'!$W$7:$W$762=DU$6)*('Prenatal Care'!$C$7:$C$762&gt;=Lists!$AE9)*('Prenatal Care'!$C$7:$C$762&lt;=Lists!$AF9))</f>
        <v>0</v>
      </c>
      <c r="DV15" s="470">
        <f>SUMPRODUCT(('Prenatal Care'!$W$7:$W$762=DV$6)*('Prenatal Care'!$C$7:$C$762&gt;=Lists!$AE9)*('Prenatal Care'!$C$7:$C$762&lt;=Lists!$AF9))</f>
        <v>0</v>
      </c>
      <c r="DW15" s="470">
        <f>SUMPRODUCT(('Prenatal Care'!$W$7:$W$762=DW$6)*('Prenatal Care'!$C$7:$C$762&gt;=Lists!$AE9)*('Prenatal Care'!$C$7:$C$762&lt;=Lists!$AF9))</f>
        <v>0</v>
      </c>
      <c r="DX15" s="470">
        <f>SUMPRODUCT(('Prenatal Care'!$W$7:$W$762=DX$6)*('Prenatal Care'!$C$7:$C$762&gt;=Lists!$AE9)*('Prenatal Care'!$C$7:$C$762&lt;=Lists!$AF9))</f>
        <v>0</v>
      </c>
      <c r="DY15" s="470">
        <f>SUMPRODUCT(('Prenatal Care'!$W$7:$W$762=DY$6)*('Prenatal Care'!$C$7:$C$762&gt;=Lists!$AE9)*('Prenatal Care'!$C$7:$C$762&lt;=Lists!$AF9))</f>
        <v>0</v>
      </c>
      <c r="DZ15" s="470">
        <f>SUMPRODUCT(('Prenatal Care'!$W$7:$W$762=DZ$6)*('Prenatal Care'!$C$7:$C$762&gt;=Lists!$AE9)*('Prenatal Care'!$C$7:$C$762&lt;=Lists!$AF9))</f>
        <v>0</v>
      </c>
      <c r="EA15" s="470">
        <f>SUMPRODUCT(('Prenatal Care'!$W$7:$W$762=EA$6)*('Prenatal Care'!$C$7:$C$762&gt;=Lists!$AE9)*('Prenatal Care'!$C$7:$C$762&lt;=Lists!$AF9))</f>
        <v>0</v>
      </c>
      <c r="EB15" s="470">
        <f>SUMPRODUCT(('Prenatal Care'!$W$7:$W$762=EB$6)*('Prenatal Care'!$C$7:$C$762&gt;=Lists!$AE9)*('Prenatal Care'!$C$7:$C$762&lt;=Lists!$AF9))</f>
        <v>0</v>
      </c>
      <c r="EC15" s="470">
        <f>SUMPRODUCT(('Prenatal Care'!$W$7:$W$762=EC$6)*('Prenatal Care'!$C$7:$C$762&gt;=Lists!$AE9)*('Prenatal Care'!$C$7:$C$762&lt;=Lists!$AF9))</f>
        <v>0</v>
      </c>
      <c r="ED15" s="470">
        <f>SUMPRODUCT(('Prenatal Care'!$W$7:$W$762=ED$6)*('Prenatal Care'!$C$7:$C$762&gt;=Lists!$AE9)*('Prenatal Care'!$C$7:$C$762&lt;=Lists!$AF9))</f>
        <v>0</v>
      </c>
      <c r="EE15" s="470">
        <f>SUMPRODUCT(('Prenatal Care'!$W$7:$W$762=EE$6)*('Prenatal Care'!$C$7:$C$762&gt;=Lists!$AE9)*('Prenatal Care'!$C$7:$C$762&lt;=Lists!$AF9))</f>
        <v>0</v>
      </c>
      <c r="EF15" s="470">
        <f>SUMPRODUCT(('Prenatal Care'!$W$7:$W$762=EF$6)*('Prenatal Care'!$C$7:$C$762&gt;=Lists!$AE9)*('Prenatal Care'!$C$7:$C$762&lt;=Lists!$AF9))</f>
        <v>0</v>
      </c>
      <c r="EG15" s="470">
        <f>SUMPRODUCT(('Prenatal Care'!$W$7:$W$762=EG$6)*('Prenatal Care'!$C$7:$C$762&gt;=Lists!$AE9)*('Prenatal Care'!$C$7:$C$762&lt;=Lists!$AF9))</f>
        <v>0</v>
      </c>
      <c r="EH15" s="475">
        <f>SUMPRODUCT(('Prenatal Care'!$W$7:$W$762=EH$6)*('Prenatal Care'!$C$7:$C$762&gt;=Lists!$AE9)*('Prenatal Care'!$C$7:$C$762&lt;=Lists!$AF9))</f>
        <v>0</v>
      </c>
      <c r="EI15" s="471">
        <f t="shared" si="22"/>
        <v>0</v>
      </c>
      <c r="EJ15" s="473">
        <f>SUMPRODUCT(('Prenatal Care'!$X$7:$X$762=EJ$6)*('Prenatal Care'!$C$7:$C$762&gt;=Lists!$AE9)*('Prenatal Care'!$C$7:$C$762&lt;=Lists!$AF9))</f>
        <v>0</v>
      </c>
      <c r="EK15" s="470">
        <f>SUMPRODUCT(('Prenatal Care'!$X$7:$X$762=EK$6)*('Prenatal Care'!$C$7:$C$762&gt;=Lists!$AE9)*('Prenatal Care'!$C$7:$C$762&lt;=Lists!$AF9))</f>
        <v>0</v>
      </c>
      <c r="EL15" s="470">
        <f>SUMPRODUCT(('Prenatal Care'!$X$7:$X$762=EL$6)*('Prenatal Care'!$C$7:$C$762&gt;=Lists!$AE9)*('Prenatal Care'!$C$7:$C$762&lt;=Lists!$AF9))</f>
        <v>0</v>
      </c>
      <c r="EM15" s="470">
        <f>SUMPRODUCT(('Prenatal Care'!$X$7:$X$762=EM$6)*('Prenatal Care'!$C$7:$C$762&gt;=Lists!$AE9)*('Prenatal Care'!$C$7:$C$762&lt;=Lists!$AF9))</f>
        <v>0</v>
      </c>
      <c r="EN15" s="470">
        <f>SUMPRODUCT(('Prenatal Care'!$X$7:$X$762=EN$6)*('Prenatal Care'!$C$7:$C$762&gt;=Lists!$AE9)*('Prenatal Care'!$C$7:$C$762&lt;=Lists!$AF9))</f>
        <v>0</v>
      </c>
      <c r="EO15" s="470">
        <f>SUMPRODUCT(('Prenatal Care'!$X$7:$X$762=EO$6)*('Prenatal Care'!$C$7:$C$762&gt;=Lists!$AE9)*('Prenatal Care'!$C$7:$C$762&lt;=Lists!$AF9))</f>
        <v>0</v>
      </c>
      <c r="EP15" s="470">
        <f>SUMPRODUCT(('Prenatal Care'!$X$7:$X$762=EP$6)*('Prenatal Care'!$C$7:$C$762&gt;=Lists!$AE9)*('Prenatal Care'!$C$7:$C$762&lt;=Lists!$AF9))</f>
        <v>0</v>
      </c>
      <c r="EQ15" s="470">
        <f>SUMPRODUCT(('Prenatal Care'!$X$7:$X$762=EQ$6)*('Prenatal Care'!$C$7:$C$762&gt;=Lists!$AE9)*('Prenatal Care'!$C$7:$C$762&lt;=Lists!$AF9))</f>
        <v>0</v>
      </c>
      <c r="ER15" s="470">
        <f>SUMPRODUCT(('Prenatal Care'!$X$7:$X$762=ER$6)*('Prenatal Care'!$C$7:$C$762&gt;=Lists!$AE9)*('Prenatal Care'!$C$7:$C$762&lt;=Lists!$AF9))</f>
        <v>0</v>
      </c>
      <c r="ES15" s="470">
        <f>SUMPRODUCT(('Prenatal Care'!$X$7:$X$762=ES$6)*('Prenatal Care'!$C$7:$C$762&gt;=Lists!$AE9)*('Prenatal Care'!$C$7:$C$762&lt;=Lists!$AF9))</f>
        <v>0</v>
      </c>
      <c r="ET15" s="470">
        <f>SUMPRODUCT(('Prenatal Care'!$X$7:$X$762=ET$6)*('Prenatal Care'!$C$7:$C$762&gt;=Lists!$AE9)*('Prenatal Care'!$C$7:$C$762&lt;=Lists!$AF9))</f>
        <v>0</v>
      </c>
      <c r="EU15" s="470">
        <f>SUMPRODUCT(('Prenatal Care'!$X$7:$X$762=EU$6)*('Prenatal Care'!$C$7:$C$762&gt;=Lists!$AE9)*('Prenatal Care'!$C$7:$C$762&lt;=Lists!$AF9))</f>
        <v>0</v>
      </c>
      <c r="EV15" s="470">
        <f>SUMPRODUCT(('Prenatal Care'!$X$7:$X$762=EV$6)*('Prenatal Care'!$C$7:$C$762&gt;=Lists!$AE9)*('Prenatal Care'!$C$7:$C$762&lt;=Lists!$AF9))</f>
        <v>0</v>
      </c>
      <c r="EW15" s="470">
        <f>SUMPRODUCT(('Prenatal Care'!$X$7:$X$762=EW$6)*('Prenatal Care'!$C$7:$C$762&gt;=Lists!$AE9)*('Prenatal Care'!$C$7:$C$762&lt;=Lists!$AF9))</f>
        <v>0</v>
      </c>
      <c r="EX15" s="470">
        <f>SUMPRODUCT(('Prenatal Care'!$X$7:$X$762=EX$6)*('Prenatal Care'!$C$7:$C$762&gt;=Lists!$AE9)*('Prenatal Care'!$C$7:$C$762&lt;=Lists!$AF9))</f>
        <v>0</v>
      </c>
      <c r="EY15" s="470">
        <f>SUMPRODUCT(('Prenatal Care'!$X$7:$X$762=EY$6)*('Prenatal Care'!$C$7:$C$762&gt;=Lists!$AE9)*('Prenatal Care'!$C$7:$C$762&lt;=Lists!$AF9))</f>
        <v>0</v>
      </c>
      <c r="EZ15" s="470">
        <f>SUMPRODUCT(('Prenatal Care'!$X$7:$X$762=EZ$6)*('Prenatal Care'!$C$7:$C$762&gt;=Lists!$AE9)*('Prenatal Care'!$C$7:$C$762&lt;=Lists!$AF9))</f>
        <v>0</v>
      </c>
      <c r="FA15" s="470">
        <f>SUMPRODUCT(('Prenatal Care'!$X$7:$X$762=FA$6)*('Prenatal Care'!$C$7:$C$762&gt;=Lists!$AE9)*('Prenatal Care'!$C$7:$C$762&lt;=Lists!$AF9))</f>
        <v>0</v>
      </c>
      <c r="FB15" s="470">
        <f>SUMPRODUCT(('Prenatal Care'!$X$7:$X$762=FB$6)*('Prenatal Care'!$C$7:$C$762&gt;=Lists!$AE9)*('Prenatal Care'!$C$7:$C$762&lt;=Lists!$AF9))</f>
        <v>0</v>
      </c>
      <c r="FC15" s="470">
        <f>SUMPRODUCT(('Prenatal Care'!$X$7:$X$762=FC$6)*('Prenatal Care'!$C$7:$C$762&gt;=Lists!$AE9)*('Prenatal Care'!$C$7:$C$762&lt;=Lists!$AF9))</f>
        <v>0</v>
      </c>
      <c r="FD15" s="470">
        <f>SUMPRODUCT(('Prenatal Care'!$X$7:$X$762=FD$6)*('Prenatal Care'!$C$7:$C$762&gt;=Lists!$AE9)*('Prenatal Care'!$C$7:$C$762&lt;=Lists!$AF9))</f>
        <v>0</v>
      </c>
      <c r="FE15" s="470">
        <f>SUMPRODUCT(('Prenatal Care'!$X$7:$X$762=FE$6)*('Prenatal Care'!$C$7:$C$762&gt;=Lists!$AE9)*('Prenatal Care'!$C$7:$C$762&lt;=Lists!$AF9))</f>
        <v>0</v>
      </c>
      <c r="FF15" s="470">
        <f>SUMPRODUCT(('Prenatal Care'!$X$7:$X$762=FF$6)*('Prenatal Care'!$C$7:$C$762&gt;=Lists!$AE9)*('Prenatal Care'!$C$7:$C$762&lt;=Lists!$AF9))</f>
        <v>0</v>
      </c>
      <c r="FG15" s="470">
        <f>SUMPRODUCT(('Prenatal Care'!$X$7:$X$762=FG$6)*('Prenatal Care'!$C$7:$C$762&gt;=Lists!$AE9)*('Prenatal Care'!$C$7:$C$762&lt;=Lists!$AF9))</f>
        <v>0</v>
      </c>
      <c r="FH15" s="470">
        <f>SUMPRODUCT(('Prenatal Care'!$X$7:$X$762=FH$6)*('Prenatal Care'!$C$7:$C$762&gt;=Lists!$AE9)*('Prenatal Care'!$C$7:$C$762&lt;=Lists!$AF9))</f>
        <v>0</v>
      </c>
      <c r="FI15" s="475">
        <f>SUMPRODUCT(('Prenatal Care'!$X$7:$X$762=FI$6)*('Prenatal Care'!$C$7:$C$762&gt;=Lists!$AE9)*('Prenatal Care'!$C$7:$C$762&lt;=Lists!$AF9))</f>
        <v>0</v>
      </c>
      <c r="FJ15" s="471">
        <f t="shared" si="23"/>
        <v>0</v>
      </c>
      <c r="FK15" s="473">
        <f>SUMPRODUCT(('Prenatal Care'!$Y$7:$Y$762=FK$6)*('Prenatal Care'!$C$7:$C$762&gt;=Lists!$AE9)*('Prenatal Care'!$C$7:$C$762&lt;=Lists!$AF9))</f>
        <v>0</v>
      </c>
      <c r="FL15" s="470">
        <f>SUMPRODUCT(('Prenatal Care'!$Y$7:$Y$762=FL$6)*('Prenatal Care'!$C$7:$C$762&gt;=Lists!$AE9)*('Prenatal Care'!$C$7:$C$762&lt;=Lists!$AF9))</f>
        <v>0</v>
      </c>
      <c r="FM15" s="470">
        <f>SUMPRODUCT(('Prenatal Care'!$Y$7:$Y$762=FM$6)*('Prenatal Care'!$C$7:$C$762&gt;=Lists!$AE9)*('Prenatal Care'!$C$7:$C$762&lt;=Lists!$AF9))</f>
        <v>0</v>
      </c>
      <c r="FN15" s="470">
        <f>SUMPRODUCT(('Prenatal Care'!$Y$7:$Y$762=FN$6)*('Prenatal Care'!$C$7:$C$762&gt;=Lists!$AE9)*('Prenatal Care'!$C$7:$C$762&lt;=Lists!$AF9))</f>
        <v>0</v>
      </c>
      <c r="FO15" s="470">
        <f>SUMPRODUCT(('Prenatal Care'!$Y$7:$Y$762=FO$6)*('Prenatal Care'!$C$7:$C$762&gt;=Lists!$AE9)*('Prenatal Care'!$C$7:$C$762&lt;=Lists!$AF9))</f>
        <v>0</v>
      </c>
      <c r="FP15" s="470">
        <f>SUMPRODUCT(('Prenatal Care'!$Y$7:$Y$762=FP$6)*('Prenatal Care'!$C$7:$C$762&gt;=Lists!$AE9)*('Prenatal Care'!$C$7:$C$762&lt;=Lists!$AF9))</f>
        <v>0</v>
      </c>
      <c r="FQ15" s="470">
        <f>SUMPRODUCT(('Prenatal Care'!$Y$7:$Y$762=FQ$6)*('Prenatal Care'!$C$7:$C$762&gt;=Lists!$AE9)*('Prenatal Care'!$C$7:$C$762&lt;=Lists!$AF9))</f>
        <v>0</v>
      </c>
      <c r="FR15" s="470">
        <f>SUMPRODUCT(('Prenatal Care'!$Y$7:$Y$762=FR$6)*('Prenatal Care'!$C$7:$C$762&gt;=Lists!$AE9)*('Prenatal Care'!$C$7:$C$762&lt;=Lists!$AF9))</f>
        <v>0</v>
      </c>
      <c r="FS15" s="470">
        <f>SUMPRODUCT(('Prenatal Care'!$Y$7:$Y$762=FS$6)*('Prenatal Care'!$C$7:$C$762&gt;=Lists!$AE9)*('Prenatal Care'!$C$7:$C$762&lt;=Lists!$AF9))</f>
        <v>0</v>
      </c>
      <c r="FT15" s="470">
        <f>SUMPRODUCT(('Prenatal Care'!$Y$7:$Y$762=FT$6)*('Prenatal Care'!$C$7:$C$762&gt;=Lists!$AE9)*('Prenatal Care'!$C$7:$C$762&lt;=Lists!$AF9))</f>
        <v>0</v>
      </c>
      <c r="FU15" s="470">
        <f>SUMPRODUCT(('Prenatal Care'!$Y$7:$Y$762=FU$6)*('Prenatal Care'!$C$7:$C$762&gt;=Lists!$AE9)*('Prenatal Care'!$C$7:$C$762&lt;=Lists!$AF9))</f>
        <v>0</v>
      </c>
      <c r="FV15" s="470">
        <f>SUMPRODUCT(('Prenatal Care'!$Y$7:$Y$762=FV$6)*('Prenatal Care'!$C$7:$C$762&gt;=Lists!$AE9)*('Prenatal Care'!$C$7:$C$762&lt;=Lists!$AF9))</f>
        <v>0</v>
      </c>
      <c r="FW15" s="470">
        <f>SUMPRODUCT(('Prenatal Care'!$Y$7:$Y$762=FW$6)*('Prenatal Care'!$C$7:$C$762&gt;=Lists!$AE9)*('Prenatal Care'!$C$7:$C$762&lt;=Lists!$AF9))</f>
        <v>0</v>
      </c>
      <c r="FX15" s="470">
        <f>SUMPRODUCT(('Prenatal Care'!$Y$7:$Y$762=FX$6)*('Prenatal Care'!$C$7:$C$762&gt;=Lists!$AE9)*('Prenatal Care'!$C$7:$C$762&lt;=Lists!$AF9))</f>
        <v>0</v>
      </c>
      <c r="FY15" s="470">
        <f>SUMPRODUCT(('Prenatal Care'!$Y$7:$Y$762=FY$6)*('Prenatal Care'!$C$7:$C$762&gt;=Lists!$AE9)*('Prenatal Care'!$C$7:$C$762&lt;=Lists!$AF9))</f>
        <v>0</v>
      </c>
      <c r="FZ15" s="470">
        <f>SUMPRODUCT(('Prenatal Care'!$Y$7:$Y$762=FZ$6)*('Prenatal Care'!$C$7:$C$762&gt;=Lists!$AE9)*('Prenatal Care'!$C$7:$C$762&lt;=Lists!$AF9))</f>
        <v>0</v>
      </c>
      <c r="GA15" s="470">
        <f>SUMPRODUCT(('Prenatal Care'!$Y$7:$Y$762=GA$6)*('Prenatal Care'!$C$7:$C$762&gt;=Lists!$AE9)*('Prenatal Care'!$C$7:$C$762&lt;=Lists!$AF9))</f>
        <v>0</v>
      </c>
      <c r="GB15" s="470">
        <f>SUMPRODUCT(('Prenatal Care'!$Y$7:$Y$762=GB$6)*('Prenatal Care'!$C$7:$C$762&gt;=Lists!$AE9)*('Prenatal Care'!$C$7:$C$762&lt;=Lists!$AF9))</f>
        <v>0</v>
      </c>
      <c r="GC15" s="470">
        <f>SUMPRODUCT(('Prenatal Care'!$Y$7:$Y$762=GC$6)*('Prenatal Care'!$C$7:$C$762&gt;=Lists!$AE9)*('Prenatal Care'!$C$7:$C$762&lt;=Lists!$AF9))</f>
        <v>0</v>
      </c>
      <c r="GD15" s="470">
        <f>SUMPRODUCT(('Prenatal Care'!$Y$7:$Y$762=GD$6)*('Prenatal Care'!$C$7:$C$762&gt;=Lists!$AE9)*('Prenatal Care'!$C$7:$C$762&lt;=Lists!$AF9))</f>
        <v>0</v>
      </c>
      <c r="GE15" s="470">
        <f>SUMPRODUCT(('Prenatal Care'!$Y$7:$Y$762=GE$6)*('Prenatal Care'!$C$7:$C$762&gt;=Lists!$AE9)*('Prenatal Care'!$C$7:$C$762&lt;=Lists!$AF9))</f>
        <v>0</v>
      </c>
      <c r="GF15" s="470">
        <f>SUMPRODUCT(('Prenatal Care'!$Y$7:$Y$762=GF$6)*('Prenatal Care'!$C$7:$C$762&gt;=Lists!$AE9)*('Prenatal Care'!$C$7:$C$762&lt;=Lists!$AF9))</f>
        <v>0</v>
      </c>
      <c r="GG15" s="470">
        <f>SUMPRODUCT(('Prenatal Care'!$Y$7:$Y$762=GG$6)*('Prenatal Care'!$C$7:$C$762&gt;=Lists!$AE9)*('Prenatal Care'!$C$7:$C$762&lt;=Lists!$AF9))</f>
        <v>0</v>
      </c>
      <c r="GH15" s="470">
        <f>SUMPRODUCT(('Prenatal Care'!$Y$7:$Y$762=GH$6)*('Prenatal Care'!$C$7:$C$762&gt;=Lists!$AE9)*('Prenatal Care'!$C$7:$C$762&lt;=Lists!$AF9))</f>
        <v>0</v>
      </c>
      <c r="GI15" s="470">
        <f>SUMPRODUCT(('Prenatal Care'!$Y$7:$Y$762=GI$6)*('Prenatal Care'!$C$7:$C$762&gt;=Lists!$AE9)*('Prenatal Care'!$C$7:$C$762&lt;=Lists!$AF9))</f>
        <v>0</v>
      </c>
      <c r="GJ15" s="475">
        <f>SUMPRODUCT(('Prenatal Care'!$Y$7:$Y$762=GJ$6)*('Prenatal Care'!$C$7:$C$762&gt;=Lists!$AE9)*('Prenatal Care'!$C$7:$C$762&lt;=Lists!$AF9))</f>
        <v>0</v>
      </c>
      <c r="GK15" s="471">
        <f t="shared" si="24"/>
        <v>0</v>
      </c>
      <c r="GL15" s="469">
        <f>SUMPRODUCT(('Prenatal Care'!$AA$7:$AA$762=GL$6)*('Prenatal Care'!$C$7:$C$762&gt;=Lists!$AE9)*('Prenatal Care'!$C$7:$C$762&lt;=Lists!$AF9))</f>
        <v>0</v>
      </c>
      <c r="GM15" s="474">
        <f>SUMPRODUCT(('Prenatal Care'!$AA$7:$AA$762=GM$6)*('Prenatal Care'!$C$7:$C$762&gt;=Lists!$AE9)*('Prenatal Care'!$C$7:$C$762&lt;=Lists!$AF9))</f>
        <v>0</v>
      </c>
      <c r="GN15" s="470">
        <f>SUMPRODUCT(('Prenatal Care'!$AA$7:$AA$762=GN$6)*('Prenatal Care'!$C$7:$C$762&gt;=Lists!$AE9)*('Prenatal Care'!$C$7:$C$762&lt;=Lists!$AF9))</f>
        <v>0</v>
      </c>
      <c r="GO15" s="470">
        <f>SUMPRODUCT(('Prenatal Care'!$AA$7:$AA$762=GO$6)*('Prenatal Care'!$C$7:$C$762&gt;=Lists!$AE9)*('Prenatal Care'!$C$7:$C$762&lt;=Lists!$AF9))</f>
        <v>0</v>
      </c>
      <c r="GP15" s="470">
        <f>SUMPRODUCT(('Prenatal Care'!$AA$7:$AA$762=GP$6)*('Prenatal Care'!$C$7:$C$762&gt;=Lists!$AE9)*('Prenatal Care'!$C$7:$C$762&lt;=Lists!$AF9))</f>
        <v>0</v>
      </c>
      <c r="GQ15" s="470">
        <f>SUMPRODUCT(('Prenatal Care'!$AA$7:$AA$762=GQ$6)*('Prenatal Care'!$C$7:$C$762&gt;=Lists!$AE9)*('Prenatal Care'!$C$7:$C$762&lt;=Lists!$AF9))</f>
        <v>0</v>
      </c>
      <c r="GR15" s="470">
        <f>SUMPRODUCT(('Prenatal Care'!$AA$7:$AA$762=GR$6)*('Prenatal Care'!$C$7:$C$762&gt;=Lists!$AE9)*('Prenatal Care'!$C$7:$C$762&lt;=Lists!$AF9))</f>
        <v>0</v>
      </c>
      <c r="GS15" s="470">
        <f>SUMPRODUCT(('Prenatal Care'!$AA$7:$AA$762=GS$6)*('Prenatal Care'!$C$7:$C$762&gt;=Lists!$AE9)*('Prenatal Care'!$C$7:$C$762&lt;=Lists!$AF9))</f>
        <v>0</v>
      </c>
      <c r="GT15" s="470">
        <f>SUMPRODUCT(('Prenatal Care'!$AA$7:$AA$762=GT$6)*('Prenatal Care'!$C$7:$C$762&gt;=Lists!$AE9)*('Prenatal Care'!$C$7:$C$762&lt;=Lists!$AF9))</f>
        <v>0</v>
      </c>
      <c r="GU15" s="470">
        <f>SUMPRODUCT(('Prenatal Care'!$AA$7:$AA$762=GU$6)*('Prenatal Care'!$C$7:$C$762&gt;=Lists!$AE9)*('Prenatal Care'!$C$7:$C$762&lt;=Lists!$AF9))</f>
        <v>0</v>
      </c>
      <c r="GV15" s="470">
        <f>SUMPRODUCT(('Prenatal Care'!$AA$7:$AA$762=GV$6)*('Prenatal Care'!$C$7:$C$762&gt;=Lists!$AE9)*('Prenatal Care'!$C$7:$C$762&lt;=Lists!$AF9))</f>
        <v>0</v>
      </c>
      <c r="GW15" s="470">
        <f>SUMPRODUCT(('Prenatal Care'!$AA$7:$AA$762=GW$6)*('Prenatal Care'!$C$7:$C$762&gt;=Lists!$AE9)*('Prenatal Care'!$C$7:$C$762&lt;=Lists!$AF9))</f>
        <v>0</v>
      </c>
      <c r="GX15" s="475">
        <f>SUMPRODUCT(('Prenatal Care'!$AA$7:$AA$762=GX$6)*('Prenatal Care'!$C$7:$C$762&gt;=Lists!$AE9)*('Prenatal Care'!$C$7:$C$762&lt;=Lists!$AF9))</f>
        <v>0</v>
      </c>
      <c r="GY15" s="471">
        <f t="shared" si="25"/>
        <v>0</v>
      </c>
      <c r="GZ15" s="473">
        <f>SUMPRODUCT(('Prenatal Care'!$AB$7:$AB$762=GZ$6)*('Prenatal Care'!$C$7:$C$762&gt;=Lists!$AE9)*('Prenatal Care'!$C$7:$C$762&lt;=Lists!$AF9))</f>
        <v>0</v>
      </c>
      <c r="HA15" s="470">
        <f>SUMPRODUCT(('Prenatal Care'!$AB$7:$AB$762=HA$6)*('Prenatal Care'!$C$7:$C$762&gt;=Lists!$AE9)*('Prenatal Care'!$C$7:$C$762&lt;=Lists!$AF9))</f>
        <v>0</v>
      </c>
      <c r="HB15" s="470">
        <f>SUMPRODUCT(('Prenatal Care'!$AB$7:$AB$762=HB$6)*('Prenatal Care'!$C$7:$C$762&gt;=Lists!$AE9)*('Prenatal Care'!$C$7:$C$762&lt;=Lists!$AF9))</f>
        <v>0</v>
      </c>
      <c r="HC15" s="470">
        <f>SUMPRODUCT(('Prenatal Care'!$AB$7:$AB$762=HC$6)*('Prenatal Care'!$C$7:$C$762&gt;=Lists!$AE9)*('Prenatal Care'!$C$7:$C$762&lt;=Lists!$AF9))</f>
        <v>0</v>
      </c>
      <c r="HD15" s="470">
        <f>SUMPRODUCT(('Prenatal Care'!$AB$7:$AB$762=HD$6)*('Prenatal Care'!$C$7:$C$762&gt;=Lists!$AE9)*('Prenatal Care'!$C$7:$C$762&lt;=Lists!$AF9))</f>
        <v>0</v>
      </c>
      <c r="HE15" s="470">
        <f>SUMPRODUCT(('Prenatal Care'!$AB$7:$AB$762=HE$6)*('Prenatal Care'!$C$7:$C$762&gt;=Lists!$AE9)*('Prenatal Care'!$C$7:$C$762&lt;=Lists!$AF9))</f>
        <v>0</v>
      </c>
      <c r="HF15" s="470">
        <f>SUMPRODUCT(('Prenatal Care'!$AB$7:$AB$762=HF$6)*('Prenatal Care'!$C$7:$C$762&gt;=Lists!$AE9)*('Prenatal Care'!$C$7:$C$762&lt;=Lists!$AF9))</f>
        <v>0</v>
      </c>
      <c r="HG15" s="470">
        <f>SUMPRODUCT(('Prenatal Care'!$AB$7:$AB$762=HG$6)*('Prenatal Care'!$C$7:$C$762&gt;=Lists!$AE9)*('Prenatal Care'!$C$7:$C$762&lt;=Lists!$AF9))</f>
        <v>0</v>
      </c>
      <c r="HH15" s="470">
        <f>SUMPRODUCT(('Prenatal Care'!$AB$7:$AB$762=HH$6)*('Prenatal Care'!$C$7:$C$762&gt;=Lists!$AE9)*('Prenatal Care'!$C$7:$C$762&lt;=Lists!$AF9))</f>
        <v>0</v>
      </c>
      <c r="HI15" s="470">
        <f>SUMPRODUCT(('Prenatal Care'!$AB$7:$AB$762=HI$6)*('Prenatal Care'!$C$7:$C$762&gt;=Lists!$AE9)*('Prenatal Care'!$C$7:$C$762&lt;=Lists!$AF9))</f>
        <v>0</v>
      </c>
      <c r="HJ15" s="470">
        <f>SUMPRODUCT(('Prenatal Care'!$AB$7:$AB$762=HJ$6)*('Prenatal Care'!$C$7:$C$762&gt;=Lists!$AE9)*('Prenatal Care'!$C$7:$C$762&lt;=Lists!$AF9))</f>
        <v>0</v>
      </c>
      <c r="HK15" s="470">
        <f>SUMPRODUCT(('Prenatal Care'!$AB$7:$AB$762=HK$6)*('Prenatal Care'!$C$7:$C$762&gt;=Lists!$AE9)*('Prenatal Care'!$C$7:$C$762&lt;=Lists!$AF9))</f>
        <v>0</v>
      </c>
      <c r="HL15" s="475">
        <f>SUMPRODUCT(('Prenatal Care'!$AB$7:$AB$762=HL$6)*('Prenatal Care'!$C$7:$C$762&gt;=Lists!$AE9)*('Prenatal Care'!$C$7:$C$762&lt;=Lists!$AF9))</f>
        <v>0</v>
      </c>
      <c r="HM15" s="471">
        <f t="shared" si="26"/>
        <v>0</v>
      </c>
      <c r="HN15" s="458">
        <f>SUMPRODUCT(('Prenatal Care'!$AC$7:$AC$762=HN$6)*('Prenatal Care'!$C$7:$C$762&gt;=Lists!$AE9)*('Prenatal Care'!$C$7:$C$762&lt;=Lists!$AF9))</f>
        <v>0</v>
      </c>
      <c r="HO15" s="459">
        <f>SUMPRODUCT(('Prenatal Care'!$AC$7:$AC$762=HO$6)*('Prenatal Care'!$C$7:$C$762&gt;=Lists!$AE9)*('Prenatal Care'!$C$7:$C$762&lt;=Lists!$AF9))</f>
        <v>0</v>
      </c>
      <c r="HP15" s="459">
        <f>SUMPRODUCT(('Prenatal Care'!$AC$7:$AC$762=HP$6)*('Prenatal Care'!$C$7:$C$762&gt;=Lists!$AE9)*('Prenatal Care'!$C$7:$C$762&lt;=Lists!$AF9))</f>
        <v>0</v>
      </c>
      <c r="HQ15" s="459">
        <f>SUMPRODUCT(('Prenatal Care'!$AC$7:$AC$762=HQ$6)*('Prenatal Care'!$C$7:$C$762&gt;=Lists!$AE9)*('Prenatal Care'!$C$7:$C$762&lt;=Lists!$AF9))</f>
        <v>0</v>
      </c>
      <c r="HR15" s="459">
        <f>SUMPRODUCT(('Prenatal Care'!$AC$7:$AC$762=HR$6)*('Prenatal Care'!$C$7:$C$762&gt;=Lists!$AE9)*('Prenatal Care'!$C$7:$C$762&lt;=Lists!$AF9))</f>
        <v>0</v>
      </c>
      <c r="HS15" s="459">
        <f>SUMPRODUCT(('Prenatal Care'!$AC$7:$AC$762=HS$6)*('Prenatal Care'!$C$7:$C$762&gt;=Lists!$AE9)*('Prenatal Care'!$C$7:$C$762&lt;=Lists!$AF9))</f>
        <v>0</v>
      </c>
      <c r="HT15" s="459">
        <f>SUMPRODUCT(('Prenatal Care'!$AC$7:$AC$762=HT$6)*('Prenatal Care'!$C$7:$C$762&gt;=Lists!$AE9)*('Prenatal Care'!$C$7:$C$762&lt;=Lists!$AF9))</f>
        <v>0</v>
      </c>
      <c r="HU15" s="459">
        <f>SUMPRODUCT(('Prenatal Care'!$AC$7:$AC$762=HU$6)*('Prenatal Care'!$C$7:$C$762&gt;=Lists!$AE9)*('Prenatal Care'!$C$7:$C$762&lt;=Lists!$AF9))</f>
        <v>0</v>
      </c>
      <c r="HV15" s="459">
        <f>SUMPRODUCT(('Prenatal Care'!$AC$7:$AC$762=HV$6)*('Prenatal Care'!$C$7:$C$762&gt;=Lists!$AE9)*('Prenatal Care'!$C$7:$C$762&lt;=Lists!$AF9))</f>
        <v>0</v>
      </c>
      <c r="HW15" s="459">
        <f>SUMPRODUCT(('Prenatal Care'!$AC$7:$AC$762=HW$6)*('Prenatal Care'!$C$7:$C$762&gt;=Lists!$AE9)*('Prenatal Care'!$C$7:$C$762&lt;=Lists!$AF9))</f>
        <v>0</v>
      </c>
      <c r="HX15" s="459">
        <f>SUMPRODUCT(('Prenatal Care'!$AC$7:$AC$762=HX$6)*('Prenatal Care'!$C$7:$C$762&gt;=Lists!$AE9)*('Prenatal Care'!$C$7:$C$762&lt;=Lists!$AF9))</f>
        <v>0</v>
      </c>
      <c r="HY15" s="459">
        <f>SUMPRODUCT(('Prenatal Care'!$AC$7:$AC$762=HY$6)*('Prenatal Care'!$C$7:$C$762&gt;=Lists!$AE9)*('Prenatal Care'!$C$7:$C$762&lt;=Lists!$AF9))</f>
        <v>0</v>
      </c>
      <c r="HZ15" s="460">
        <f>SUMPRODUCT(('Prenatal Care'!$AC$7:$AC$762=HZ$6)*('Prenatal Care'!$C$7:$C$762&gt;=Lists!$AE9)*('Prenatal Care'!$C$7:$C$762&lt;=Lists!$AF9))</f>
        <v>0</v>
      </c>
      <c r="IA15" s="471">
        <f t="shared" si="2"/>
        <v>0</v>
      </c>
      <c r="IB15" s="469">
        <f>SUMPRODUCT(('Prenatal Care'!$AD$7:$AD$762=IB$6)*('Prenatal Care'!$C$7:$C$762&gt;=Lists!$AE9)*('Prenatal Care'!$C$7:$C$762&lt;=Lists!$AF9))</f>
        <v>0</v>
      </c>
      <c r="IC15" s="473">
        <f>SUMPRODUCT(('Prenatal Care'!$AD$7:$AD$762=IC$6)*('Prenatal Care'!$C$7:$C$762&gt;=Lists!$AE9)*('Prenatal Care'!$C$7:$C$762&lt;=Lists!$AF9))</f>
        <v>0</v>
      </c>
      <c r="ID15" s="470">
        <f>SUMPRODUCT(('Prenatal Care'!$AD$7:$AD$762=ID$6)*('Prenatal Care'!$C$7:$C$762&gt;=Lists!$AE9)*('Prenatal Care'!$C$7:$C$762&lt;=Lists!$AF9))</f>
        <v>0</v>
      </c>
      <c r="IE15" s="470">
        <f>SUMPRODUCT(('Prenatal Care'!$AD$7:$AD$762=IE$6)*('Prenatal Care'!$C$7:$C$762&gt;=Lists!$AE9)*('Prenatal Care'!$C$7:$C$762&lt;=Lists!$AF9))</f>
        <v>0</v>
      </c>
      <c r="IF15" s="470">
        <f>SUMPRODUCT(('Prenatal Care'!$AD$7:$AD$762=IF$6)*('Prenatal Care'!$C$7:$C$762&gt;=Lists!$AE9)*('Prenatal Care'!$C$7:$C$762&lt;=Lists!$AF9))</f>
        <v>0</v>
      </c>
      <c r="IG15" s="471">
        <f t="shared" si="3"/>
        <v>0</v>
      </c>
      <c r="IH15" s="464">
        <f>SUMPRODUCT(('Prenatal Care'!$AE$7:$AE$762=IH$6)*('Prenatal Care'!$C$7:$C$762&gt;=Lists!$AE9)*('Prenatal Care'!$C$7:$C$762&lt;=Lists!$AF9))</f>
        <v>0</v>
      </c>
      <c r="II15" s="464">
        <f>SUMPRODUCT(('Prenatal Care'!$AE$7:$AE$762=II$6)*('Prenatal Care'!$C$7:$C$762&gt;=Lists!$AE9)*('Prenatal Care'!$C$7:$C$762&lt;=Lists!$AF9))</f>
        <v>0</v>
      </c>
      <c r="IJ15" s="464">
        <f>SUMPRODUCT(('Prenatal Care'!$AE$7:$AE$762=IJ$6)*('Prenatal Care'!$C$7:$C$762&gt;=Lists!$AE9)*('Prenatal Care'!$C$7:$C$762&lt;=Lists!$AF9))</f>
        <v>0</v>
      </c>
      <c r="IK15" s="464">
        <f>SUMPRODUCT(('Prenatal Care'!$AE$7:$AE$762=IK$6)*('Prenatal Care'!$C$7:$C$762&gt;=Lists!$AE9)*('Prenatal Care'!$C$7:$C$762&lt;=Lists!$AF9))</f>
        <v>0</v>
      </c>
      <c r="IL15" s="464">
        <f>SUMPRODUCT(('Prenatal Care'!$AE$7:$AE$762=IL$6)*('Prenatal Care'!$C$7:$C$762&gt;=Lists!$AE9)*('Prenatal Care'!$C$7:$C$762&lt;=Lists!$AF9))</f>
        <v>0</v>
      </c>
      <c r="IM15" s="464">
        <f>SUMPRODUCT(('Prenatal Care'!$AE$7:$AE$762=IM$6)*('Prenatal Care'!$C$7:$C$762&gt;=Lists!$AE9)*('Prenatal Care'!$C$7:$C$762&lt;=Lists!$AF9))</f>
        <v>0</v>
      </c>
      <c r="IN15" s="464">
        <f>SUMPRODUCT(('Prenatal Care'!$AE$7:$AE$762=IN$6)*('Prenatal Care'!$C$7:$C$762&gt;=Lists!$AE9)*('Prenatal Care'!$C$7:$C$762&lt;=Lists!$AF9))</f>
        <v>0</v>
      </c>
      <c r="IO15" s="464">
        <f>SUMPRODUCT(('Prenatal Care'!$AE$7:$AE$762=IO$6)*('Prenatal Care'!$C$7:$C$762&gt;=Lists!$AE9)*('Prenatal Care'!$C$7:$C$762&lt;=Lists!$AF9))</f>
        <v>0</v>
      </c>
      <c r="IP15" s="464">
        <f>SUMPRODUCT(('Prenatal Care'!$AE$7:$AE$762=IP$6)*('Prenatal Care'!$C$7:$C$762&gt;=Lists!$AE9)*('Prenatal Care'!$C$7:$C$762&lt;=Lists!$AF9))</f>
        <v>0</v>
      </c>
      <c r="IQ15" s="464">
        <f>SUMPRODUCT(('Prenatal Care'!$AE$7:$AE$762=IQ$6)*('Prenatal Care'!$C$7:$C$762&gt;=Lists!$AE9)*('Prenatal Care'!$C$7:$C$762&lt;=Lists!$AF9))</f>
        <v>0</v>
      </c>
      <c r="IR15" s="464">
        <f>SUMPRODUCT(('Prenatal Care'!$AE$7:$AE$762=IR$6)*('Prenatal Care'!$C$7:$C$762&gt;=Lists!$AE9)*('Prenatal Care'!$C$7:$C$762&lt;=Lists!$AF9))</f>
        <v>0</v>
      </c>
      <c r="IS15" s="464">
        <f>SUMPRODUCT(('Prenatal Care'!$AE$7:$AE$762=IS$6)*('Prenatal Care'!$C$7:$C$762&gt;=Lists!$AE9)*('Prenatal Care'!$C$7:$C$762&lt;=Lists!$AF9))</f>
        <v>0</v>
      </c>
      <c r="IT15" s="517">
        <f>SUMPRODUCT(('Prenatal Care'!$AE$7:$AE$762=IT$6)*('Prenatal Care'!$C$7:$C$762&gt;=Lists!$AE9)*('Prenatal Care'!$C$7:$C$762&lt;=Lists!$AF9))</f>
        <v>0</v>
      </c>
      <c r="IU15" s="471">
        <f t="shared" si="27"/>
        <v>0</v>
      </c>
      <c r="IV15" s="473">
        <f>SUMPRODUCT(('Prenatal Care'!$AF$7:$AF$762=IV$6)*('Prenatal Care'!$C$7:$C$762&gt;=Lists!$AE9)*('Prenatal Care'!$C$7:$C$762&lt;=Lists!$AF9))</f>
        <v>0</v>
      </c>
      <c r="IW15" s="470">
        <f>SUMPRODUCT(('Prenatal Care'!$AF$7:$AF$762=IW$6)*('Prenatal Care'!$C$7:$C$762&gt;=Lists!$AE9)*('Prenatal Care'!$C$7:$C$762&lt;=Lists!$AF9))</f>
        <v>0</v>
      </c>
      <c r="IX15" s="470">
        <f>SUMPRODUCT(('Prenatal Care'!$AF$7:$AF$762=IX$6)*('Prenatal Care'!$C$7:$C$762&gt;=Lists!$AE9)*('Prenatal Care'!$C$7:$C$762&lt;=Lists!$AF9))</f>
        <v>0</v>
      </c>
      <c r="IY15" s="470">
        <f>SUMPRODUCT(('Prenatal Care'!$AF$7:$AF$762=IY$6)*('Prenatal Care'!$C$7:$C$762&gt;=Lists!$AE9)*('Prenatal Care'!$C$7:$C$762&lt;=Lists!$AF9))</f>
        <v>0</v>
      </c>
      <c r="IZ15" s="470">
        <f>SUMPRODUCT(('Prenatal Care'!$AF$7:$AF$762=IZ$6)*('Prenatal Care'!$C$7:$C$762&gt;=Lists!$AE9)*('Prenatal Care'!$C$7:$C$762&lt;=Lists!$AF9))</f>
        <v>0</v>
      </c>
      <c r="JA15" s="470">
        <f>SUMPRODUCT(('Prenatal Care'!$AF$7:$AF$762=JA$6)*('Prenatal Care'!$C$7:$C$762&gt;=Lists!$AE9)*('Prenatal Care'!$C$7:$C$762&lt;=Lists!$AF9))</f>
        <v>0</v>
      </c>
      <c r="JB15" s="470">
        <f>SUMPRODUCT(('Prenatal Care'!$AF$7:$AF$762=JB$6)*('Prenatal Care'!$C$7:$C$762&gt;=Lists!$AE9)*('Prenatal Care'!$C$7:$C$762&lt;=Lists!$AF9))</f>
        <v>0</v>
      </c>
      <c r="JC15" s="470">
        <f>SUMPRODUCT(('Prenatal Care'!$AF$7:$AF$762=JC$6)*('Prenatal Care'!$C$7:$C$762&gt;=Lists!$AE9)*('Prenatal Care'!$C$7:$C$762&lt;=Lists!$AF9))</f>
        <v>0</v>
      </c>
      <c r="JD15" s="470">
        <f>SUMPRODUCT(('Prenatal Care'!$AF$7:$AF$762=JD$6)*('Prenatal Care'!$C$7:$C$762&gt;=Lists!$AE9)*('Prenatal Care'!$C$7:$C$762&lt;=Lists!$AF9))</f>
        <v>0</v>
      </c>
      <c r="JE15" s="470">
        <f>SUMPRODUCT(('Prenatal Care'!$AF$7:$AF$762=JE$6)*('Prenatal Care'!$C$7:$C$762&gt;=Lists!$AE9)*('Prenatal Care'!$C$7:$C$762&lt;=Lists!$AF9))</f>
        <v>0</v>
      </c>
      <c r="JF15" s="470">
        <f>SUMPRODUCT(('Prenatal Care'!$AF$7:$AF$762=JF$6)*('Prenatal Care'!$C$7:$C$762&gt;=Lists!$AE9)*('Prenatal Care'!$C$7:$C$762&lt;=Lists!$AF9))</f>
        <v>0</v>
      </c>
      <c r="JG15" s="470">
        <f>SUMPRODUCT(('Prenatal Care'!$AF$7:$AF$762=JG$6)*('Prenatal Care'!$C$7:$C$762&gt;=Lists!$AE9)*('Prenatal Care'!$C$7:$C$762&lt;=Lists!$AF9))</f>
        <v>0</v>
      </c>
      <c r="JH15" s="470">
        <f>SUMPRODUCT(('Prenatal Care'!$AF$7:$AF$762=JH$6)*('Prenatal Care'!$C$7:$C$762&gt;=Lists!$AE9)*('Prenatal Care'!$C$7:$C$762&lt;=Lists!$AF9))</f>
        <v>0</v>
      </c>
      <c r="JI15" s="470">
        <f>SUMPRODUCT(('Prenatal Care'!$AF$7:$AF$762=JI$6)*('Prenatal Care'!$C$7:$C$762&gt;=Lists!$AE9)*('Prenatal Care'!$C$7:$C$762&lt;=Lists!$AF9))</f>
        <v>0</v>
      </c>
      <c r="JJ15" s="470">
        <f>SUMPRODUCT(('Prenatal Care'!$AF$7:$AF$762=JJ$6)*('Prenatal Care'!$C$7:$C$762&gt;=Lists!$AE9)*('Prenatal Care'!$C$7:$C$762&lt;=Lists!$AF9))</f>
        <v>0</v>
      </c>
      <c r="JK15" s="470">
        <f>SUMPRODUCT(('Prenatal Care'!$AF$7:$AF$762=JK$6)*('Prenatal Care'!$C$7:$C$762&gt;=Lists!$AE9)*('Prenatal Care'!$C$7:$C$762&lt;=Lists!$AF9))</f>
        <v>0</v>
      </c>
      <c r="JL15" s="470">
        <f>SUMPRODUCT(('Prenatal Care'!$AF$7:$AF$762=JL$6)*('Prenatal Care'!$C$7:$C$762&gt;=Lists!$AE9)*('Prenatal Care'!$C$7:$C$762&lt;=Lists!$AF9))</f>
        <v>0</v>
      </c>
      <c r="JM15" s="470">
        <f>SUMPRODUCT(('Prenatal Care'!$AF$7:$AF$762=JM$6)*('Prenatal Care'!$C$7:$C$762&gt;=Lists!$AE9)*('Prenatal Care'!$C$7:$C$762&lt;=Lists!$AF9))</f>
        <v>0</v>
      </c>
      <c r="JN15" s="470">
        <f>SUMPRODUCT(('Prenatal Care'!$AF$7:$AF$762=JN$6)*('Prenatal Care'!$C$7:$C$762&gt;=Lists!$AE9)*('Prenatal Care'!$C$7:$C$762&lt;=Lists!$AF9))</f>
        <v>0</v>
      </c>
      <c r="JO15" s="470">
        <f>SUMPRODUCT(('Prenatal Care'!$AF$7:$AF$762=JO$6)*('Prenatal Care'!$C$7:$C$762&gt;=Lists!$AE9)*('Prenatal Care'!$C$7:$C$762&lt;=Lists!$AF9))</f>
        <v>0</v>
      </c>
      <c r="JP15" s="470">
        <f>SUMPRODUCT(('Prenatal Care'!$AF$7:$AF$762=JP$6)*('Prenatal Care'!$C$7:$C$762&gt;=Lists!$AE9)*('Prenatal Care'!$C$7:$C$762&lt;=Lists!$AF9))</f>
        <v>0</v>
      </c>
      <c r="JQ15" s="475">
        <f>SUMPRODUCT(('Prenatal Care'!$AF$7:$AF$762=JQ$6)*('Prenatal Care'!$C$7:$C$762&gt;=Lists!$AE9)*('Prenatal Care'!$C$7:$C$762&lt;=Lists!$AF9))</f>
        <v>0</v>
      </c>
      <c r="JR15" s="471">
        <f t="shared" si="28"/>
        <v>0</v>
      </c>
      <c r="JS15" s="469">
        <f>SUMPRODUCT(('Prenatal Care'!$AH$7:$AH$762=JS$6)*('Prenatal Care'!$C$7:$C$762&gt;=Lists!$AE9)*('Prenatal Care'!$C$7:$C$762&lt;=Lists!$AF9))</f>
        <v>0</v>
      </c>
      <c r="JT15" s="470">
        <f>SUMPRODUCT(('Prenatal Care'!$AH$7:$AH$762=JT$6)*('Prenatal Care'!$C$7:$C$762&gt;=Lists!$AE9)*('Prenatal Care'!$C$7:$C$762&lt;=Lists!$AF9))</f>
        <v>0</v>
      </c>
      <c r="JU15" s="470">
        <f>SUMPRODUCT(('Prenatal Care'!$AH$7:$AH$762=JU$6)*('Prenatal Care'!$C$7:$C$762&gt;=Lists!$AE9)*('Prenatal Care'!$C$7:$C$762&lt;=Lists!$AF9))</f>
        <v>0</v>
      </c>
      <c r="JV15" s="470">
        <f>SUMPRODUCT(('Prenatal Care'!$AH$7:$AH$762=JV$6)*('Prenatal Care'!$C$7:$C$762&gt;=Lists!$AE9)*('Prenatal Care'!$C$7:$C$762&lt;=Lists!$AF9))</f>
        <v>0</v>
      </c>
      <c r="JW15" s="470">
        <f>SUMPRODUCT(('Prenatal Care'!$AH$7:$AH$762=JW$6)*('Prenatal Care'!$C$7:$C$762&gt;=Lists!$AE9)*('Prenatal Care'!$C$7:$C$762&lt;=Lists!$AF9))</f>
        <v>0</v>
      </c>
      <c r="JX15" s="470">
        <f>SUMPRODUCT(('Prenatal Care'!$AH$7:$AH$762=JX$6)*('Prenatal Care'!$C$7:$C$762&gt;=Lists!$AE9)*('Prenatal Care'!$C$7:$C$762&lt;=Lists!$AF9))</f>
        <v>0</v>
      </c>
      <c r="JY15" s="470">
        <f>SUMPRODUCT(('Prenatal Care'!$AH$7:$AH$762=JY$6)*('Prenatal Care'!$C$7:$C$762&gt;=Lists!$AE9)*('Prenatal Care'!$C$7:$C$762&lt;=Lists!$AF9))</f>
        <v>0</v>
      </c>
      <c r="JZ15" s="470">
        <f>SUMPRODUCT(('Prenatal Care'!$AH$7:$AH$762=JZ$6)*('Prenatal Care'!$C$7:$C$762&gt;=Lists!$AE9)*('Prenatal Care'!$C$7:$C$762&lt;=Lists!$AF9))</f>
        <v>0</v>
      </c>
      <c r="KA15" s="470">
        <f>SUMPRODUCT(('Prenatal Care'!$AH$7:$AH$762=KA$6)*('Prenatal Care'!$C$7:$C$762&gt;=Lists!$AE9)*('Prenatal Care'!$C$7:$C$762&lt;=Lists!$AF9))</f>
        <v>0</v>
      </c>
      <c r="KB15" s="470">
        <f>SUMPRODUCT(('Prenatal Care'!$AH$7:$AH$762=KB$6)*('Prenatal Care'!$C$7:$C$762&gt;=Lists!$AE9)*('Prenatal Care'!$C$7:$C$762&lt;=Lists!$AF9))</f>
        <v>0</v>
      </c>
      <c r="KC15" s="475">
        <f>SUMPRODUCT(('Prenatal Care'!$AH$7:$AH$762=KC$6)*('Prenatal Care'!$C$7:$C$762&gt;=Lists!$AE9)*('Prenatal Care'!$C$7:$C$762&lt;=Lists!$AF9))</f>
        <v>0</v>
      </c>
      <c r="KD15" s="471">
        <f t="shared" si="29"/>
        <v>0</v>
      </c>
      <c r="KE15" s="473">
        <f>SUMPRODUCT(('Prenatal Care'!$AI$7:$AI$762=KE$6)*('Prenatal Care'!$C$7:$C$762&gt;=Lists!$AE9)*('Prenatal Care'!$C$7:$C$762&lt;=Lists!$AF9))</f>
        <v>0</v>
      </c>
      <c r="KF15" s="470">
        <f>SUMPRODUCT(('Prenatal Care'!$AI$7:$AI$762=KF$6)*('Prenatal Care'!$C$7:$C$762&gt;=Lists!$AE9)*('Prenatal Care'!$C$7:$C$762&lt;=Lists!$AF9))</f>
        <v>0</v>
      </c>
      <c r="KG15" s="470">
        <f>SUMPRODUCT(('Prenatal Care'!$AI$7:$AI$762=KG$6)*('Prenatal Care'!$C$7:$C$762&gt;=Lists!$AE9)*('Prenatal Care'!$C$7:$C$762&lt;=Lists!$AF9))</f>
        <v>0</v>
      </c>
      <c r="KH15" s="470">
        <f>SUMPRODUCT(('Prenatal Care'!$AI$7:$AI$762=KH$6)*('Prenatal Care'!$C$7:$C$762&gt;=Lists!$AE9)*('Prenatal Care'!$C$7:$C$762&lt;=Lists!$AF9))</f>
        <v>0</v>
      </c>
      <c r="KI15" s="475">
        <f>SUMPRODUCT(('Prenatal Care'!$AI$7:$AI$762=KI$6)*('Prenatal Care'!$C$7:$C$762&gt;=Lists!$AE9)*('Prenatal Care'!$C$7:$C$762&lt;=Lists!$AF9))</f>
        <v>0</v>
      </c>
      <c r="KJ15" s="471">
        <f t="shared" si="5"/>
        <v>0</v>
      </c>
      <c r="KK15" s="518">
        <f t="shared" si="6"/>
        <v>0</v>
      </c>
      <c r="KN15" s="15"/>
      <c r="KO15" s="15"/>
      <c r="KP15" s="15"/>
      <c r="KQ15" s="15"/>
      <c r="KR15" s="15"/>
      <c r="KS15" s="15"/>
      <c r="KT15" s="15"/>
      <c r="KU15" s="16"/>
      <c r="KV15" s="15"/>
      <c r="KW15" s="15"/>
      <c r="KX15" s="15"/>
      <c r="KY15" s="15"/>
      <c r="KZ15" s="15"/>
    </row>
    <row r="16" spans="1:312" ht="15" customHeight="1" x14ac:dyDescent="0.35">
      <c r="A16" s="567">
        <v>45992</v>
      </c>
      <c r="B16" s="448">
        <f>SUMPRODUCT(('Prenatal Care'!$F$7:$F$762=B$6)*('Prenatal Care'!$C$7:$C$762&gt;=Lists!$AE10)*('Prenatal Care'!$C$7:$C$762&lt;=Lists!$AF10))</f>
        <v>0</v>
      </c>
      <c r="C16" s="449">
        <f>SUMPRODUCT(('Prenatal Care'!$F$7:$F$762=C$6)*('Prenatal Care'!$C$7:$C$762&gt;=Lists!$AE10)*('Prenatal Care'!$C$7:$C$762&lt;=Lists!$AF10))</f>
        <v>0</v>
      </c>
      <c r="D16" s="449">
        <f>SUMPRODUCT(('Prenatal Care'!$F$7:$F$762=D$6)*('Prenatal Care'!$C$7:$C$762&gt;=Lists!$AE10)*('Prenatal Care'!$C$7:$C$762&lt;=Lists!$AF10))</f>
        <v>0</v>
      </c>
      <c r="E16" s="450">
        <f>SUMPRODUCT(('Prenatal Care'!$F$7:$F$762=E$6)*('Prenatal Care'!$C$7:$C$762&gt;=Lists!$AE10)*('Prenatal Care'!$C$7:$C$762&lt;=Lists!$AF10))</f>
        <v>0</v>
      </c>
      <c r="F16" s="213">
        <f t="shared" si="7"/>
        <v>0</v>
      </c>
      <c r="G16" s="441">
        <f>SUMPRODUCT(('Prenatal Care'!$G$7:$G$762=G$6)*('Prenatal Care'!$C$7:$C$762&gt;=Lists!$AE10)*('Prenatal Care'!$C$7:$C$762&lt;=Lists!$AF10))</f>
        <v>0</v>
      </c>
      <c r="H16" s="441">
        <f>SUMPRODUCT(('Prenatal Care'!$G$7:$G$762=H$6)*('Prenatal Care'!$C$7:$C$762&gt;=Lists!$AE10)*('Prenatal Care'!$C$7:$C$762&lt;=Lists!$AF10))</f>
        <v>0</v>
      </c>
      <c r="I16" s="441">
        <f>SUMPRODUCT(('Prenatal Care'!$G$7:$G$762=I$6)*('Prenatal Care'!$C$7:$C$762&gt;=Lists!$AE10)*('Prenatal Care'!$C$7:$C$762&lt;=Lists!$AF10))</f>
        <v>0</v>
      </c>
      <c r="J16" s="441">
        <f>SUMPRODUCT(('Prenatal Care'!$G$7:$G$762=J$6)*('Prenatal Care'!$C$7:$C$762&gt;=Lists!$AE10)*('Prenatal Care'!$C$7:$C$762&lt;=Lists!$AF10))</f>
        <v>0</v>
      </c>
      <c r="K16" s="441">
        <f>SUMPRODUCT(('Prenatal Care'!$G$7:$G$762=K$6)*('Prenatal Care'!$C$7:$C$762&gt;=Lists!$AE10)*('Prenatal Care'!$C$7:$C$762&lt;=Lists!$AF10))</f>
        <v>0</v>
      </c>
      <c r="L16" s="441">
        <f>SUMPRODUCT(('Prenatal Care'!$G$7:$G$762=L$6)*('Prenatal Care'!$C$7:$C$762&gt;=Lists!$AE10)*('Prenatal Care'!$C$7:$C$762&lt;=Lists!$AF10))</f>
        <v>0</v>
      </c>
      <c r="M16" s="441">
        <f>SUMPRODUCT(('Prenatal Care'!$G$7:$G$762=M$6)*('Prenatal Care'!$C$7:$C$762&gt;=Lists!$AE10)*('Prenatal Care'!$C$7:$C$762&lt;=Lists!$AF10))</f>
        <v>0</v>
      </c>
      <c r="N16" s="170">
        <f t="shared" si="8"/>
        <v>0</v>
      </c>
      <c r="O16" s="441">
        <f>SUMPRODUCT(('Prenatal Care'!$H$7:$H$762=O$6)*('Prenatal Care'!$C$7:$C$762&gt;=Lists!$AE10)*('Prenatal Care'!$C$7:$C$762&lt;=Lists!$AF10))</f>
        <v>0</v>
      </c>
      <c r="P16" s="441">
        <f>SUMPRODUCT(('Prenatal Care'!$H$7:$H$762=P$6)*('Prenatal Care'!$C$7:$C$762&gt;=Lists!$AE10)*('Prenatal Care'!$C$7:$C$762&lt;=Lists!$AF10))</f>
        <v>0</v>
      </c>
      <c r="Q16" s="441">
        <f>SUMPRODUCT(('Prenatal Care'!$H$7:$H$762=Q$6)*('Prenatal Care'!$C$7:$C$762&gt;=Lists!$AE10)*('Prenatal Care'!$C$7:$C$762&lt;=Lists!$AF10))</f>
        <v>0</v>
      </c>
      <c r="R16" s="441">
        <f>SUMPRODUCT(('Prenatal Care'!$H$7:$H$762=R$6)*('Prenatal Care'!$C$7:$C$762&gt;=Lists!$AE10)*('Prenatal Care'!$C$7:$C$762&lt;=Lists!$AF10))</f>
        <v>0</v>
      </c>
      <c r="S16" s="441">
        <f>SUMPRODUCT(('Prenatal Care'!$H$7:$H$762=S$6)*('Prenatal Care'!$C$7:$C$762&gt;=Lists!$AE10)*('Prenatal Care'!$C$7:$C$762&lt;=Lists!$AF10))</f>
        <v>0</v>
      </c>
      <c r="T16" s="441">
        <f>SUMPRODUCT(('Prenatal Care'!$H$7:$H$762=T$6)*('Prenatal Care'!$C$7:$C$762&gt;=Lists!$AE10)*('Prenatal Care'!$C$7:$C$762&lt;=Lists!$AF10))</f>
        <v>0</v>
      </c>
      <c r="U16" s="441">
        <f>SUMPRODUCT(('Prenatal Care'!$H$7:$H$762=U$6)*('Prenatal Care'!$C$7:$C$762&gt;=Lists!$AE10)*('Prenatal Care'!$C$7:$C$762&lt;=Lists!$AF10))</f>
        <v>0</v>
      </c>
      <c r="V16" s="170">
        <f t="shared" si="9"/>
        <v>0</v>
      </c>
      <c r="W16" s="441">
        <f>SUMPRODUCT(('Prenatal Care'!$I$7:$I$762=W$6)*('Prenatal Care'!$C$7:$C$762&gt;=Lists!$AE10)*('Prenatal Care'!$C$7:$C$762&lt;=Lists!$AF10))</f>
        <v>0</v>
      </c>
      <c r="X16" s="441">
        <f>SUMPRODUCT(('Prenatal Care'!$I$7:$I$762=X$6)*('Prenatal Care'!$C$7:$C$762&gt;=Lists!$AE10)*('Prenatal Care'!$C$7:$C$762&lt;=Lists!$AF10))</f>
        <v>0</v>
      </c>
      <c r="Y16" s="441">
        <f>SUMPRODUCT(('Prenatal Care'!$I$7:$I$762=Y$6)*('Prenatal Care'!$C$7:$C$762&gt;=Lists!$AE10)*('Prenatal Care'!$C$7:$C$762&lt;=Lists!$AF10))</f>
        <v>0</v>
      </c>
      <c r="Z16" s="441">
        <f>SUMPRODUCT(('Prenatal Care'!$I$7:$I$762=Z$6)*('Prenatal Care'!$C$7:$C$762&gt;=Lists!$AE10)*('Prenatal Care'!$C$7:$C$762&lt;=Lists!$AF10))</f>
        <v>0</v>
      </c>
      <c r="AA16" s="441">
        <f>SUMPRODUCT(('Prenatal Care'!$I$7:$I$762=AA$6)*('Prenatal Care'!$C$7:$C$762&gt;=Lists!$AE10)*('Prenatal Care'!$C$7:$C$762&lt;=Lists!$AF10))</f>
        <v>0</v>
      </c>
      <c r="AB16" s="441">
        <f>SUMPRODUCT(('Prenatal Care'!$I$7:$I$762=AB$6)*('Prenatal Care'!$C$7:$C$762&gt;=Lists!$AE10)*('Prenatal Care'!$C$7:$C$762&lt;=Lists!$AF10))</f>
        <v>0</v>
      </c>
      <c r="AC16" s="170">
        <f t="shared" si="10"/>
        <v>0</v>
      </c>
      <c r="AD16" s="441">
        <f>SUMPRODUCT(('Prenatal Care'!$J$7:$J$762=AD$6)*('Prenatal Care'!$C$7:$C$762&gt;=Lists!$AE10)*('Prenatal Care'!$C$7:$C$762&lt;=Lists!$AF10))</f>
        <v>0</v>
      </c>
      <c r="AE16" s="441">
        <f>SUMPRODUCT(('Prenatal Care'!$J$7:$J$762=AE$6)*('Prenatal Care'!$C$7:$C$762&gt;=Lists!$AE10)*('Prenatal Care'!$C$7:$C$762&lt;=Lists!$AF10))</f>
        <v>0</v>
      </c>
      <c r="AF16" s="441">
        <f>SUMPRODUCT(('Prenatal Care'!$J$7:$J$762=AF$6)*('Prenatal Care'!$C$7:$C$762&gt;=Lists!$AE10)*('Prenatal Care'!$C$7:$C$762&lt;=Lists!$AF10))</f>
        <v>0</v>
      </c>
      <c r="AG16" s="441">
        <f>SUMPRODUCT(('Prenatal Care'!$J$7:$J$762=AG$6)*('Prenatal Care'!$C$7:$C$762&gt;=Lists!$AE10)*('Prenatal Care'!$C$7:$C$762&lt;=Lists!$AF10))</f>
        <v>0</v>
      </c>
      <c r="AH16" s="170">
        <f t="shared" si="11"/>
        <v>0</v>
      </c>
      <c r="AI16" s="441">
        <f>SUMPRODUCT(('Prenatal Care'!$K$7:$K$762=AI$6)*('Prenatal Care'!$C$7:$C$762&gt;=Lists!$AE10)*('Prenatal Care'!$C$7:$C$762&lt;=Lists!$AF10))</f>
        <v>0</v>
      </c>
      <c r="AJ16" s="441">
        <f>SUMPRODUCT(('Prenatal Care'!$K$7:$K$762=AJ$6)*('Prenatal Care'!$C$7:$C$762&gt;=Lists!$AE10)*('Prenatal Care'!$C$7:$C$762&lt;=Lists!$AF10))</f>
        <v>0</v>
      </c>
      <c r="AK16" s="441">
        <f>SUMPRODUCT(('Prenatal Care'!$K$7:$K$762=AK$6)*('Prenatal Care'!$C$7:$C$762&gt;=Lists!$AE10)*('Prenatal Care'!$C$7:$C$762&lt;=Lists!$AF10))</f>
        <v>0</v>
      </c>
      <c r="AL16" s="441">
        <f>SUMPRODUCT(('Prenatal Care'!$K$7:$K$762=AL$6)*('Prenatal Care'!$C$7:$C$762&gt;=Lists!$AE10)*('Prenatal Care'!$C$7:$C$762&lt;=Lists!$AF10))</f>
        <v>0</v>
      </c>
      <c r="AM16" s="170">
        <f t="shared" si="12"/>
        <v>0</v>
      </c>
      <c r="AN16" s="441">
        <f>SUMPRODUCT(('Prenatal Care'!$L$7:$L$762=AN$6)*('Prenatal Care'!$C$7:$C$762&gt;=Lists!$AE10)*('Prenatal Care'!$C$7:$C$762&lt;=Lists!$AF10))</f>
        <v>0</v>
      </c>
      <c r="AO16" s="441">
        <f>SUMPRODUCT(('Prenatal Care'!$L$7:$L$762=AO$6)*('Prenatal Care'!$C$7:$C$762&gt;=Lists!$AE10)*('Prenatal Care'!$C$7:$C$762&lt;=Lists!$AF10))</f>
        <v>0</v>
      </c>
      <c r="AP16" s="441">
        <f>SUMPRODUCT(('Prenatal Care'!$L$7:$L$762=AP$6)*('Prenatal Care'!$C$7:$C$762&gt;=Lists!$AE10)*('Prenatal Care'!$C$7:$C$762&lt;=Lists!$AF10))</f>
        <v>0</v>
      </c>
      <c r="AQ16" s="441">
        <f>SUMPRODUCT(('Prenatal Care'!$L$7:$L$762=AQ$6)*('Prenatal Care'!$C$7:$C$762&gt;=Lists!$AE10)*('Prenatal Care'!$C$7:$C$762&lt;=Lists!$AF10))</f>
        <v>0</v>
      </c>
      <c r="AR16" s="170">
        <f t="shared" si="13"/>
        <v>0</v>
      </c>
      <c r="AS16" s="466">
        <f>SUMPRODUCT(('Prenatal Care'!$M$7:$M$762=AS$6)*('Prenatal Care'!$C$7:$C$762&gt;=Lists!$AE10)*('Prenatal Care'!$C$7:$C$762&lt;=Lists!$AF10))</f>
        <v>0</v>
      </c>
      <c r="AT16" s="467">
        <f>SUMPRODUCT(('Prenatal Care'!$M$7:$M$762=AT$6)*('Prenatal Care'!$C$7:$C$762&gt;=Lists!$AE10)*('Prenatal Care'!$C$7:$C$762&lt;=Lists!$AF10))</f>
        <v>0</v>
      </c>
      <c r="AU16" s="467">
        <f>SUMPRODUCT(('Prenatal Care'!$M$7:$M$762=AU$6)*('Prenatal Care'!$C$7:$C$762&gt;=Lists!$AE10)*('Prenatal Care'!$C$7:$C$762&lt;=Lists!$AF10))</f>
        <v>0</v>
      </c>
      <c r="AV16" s="498">
        <f>SUMPRODUCT(('Prenatal Care'!$M$7:$M$762=AV$6)*('Prenatal Care'!$C$7:$C$762&gt;=Lists!$AE10)*('Prenatal Care'!$C$7:$C$762&lt;=Lists!$AF10))</f>
        <v>0</v>
      </c>
      <c r="AW16" s="468">
        <f t="shared" si="14"/>
        <v>0</v>
      </c>
      <c r="AX16" s="473">
        <f>SUMPRODUCT(('Prenatal Care'!$N$7:$N$762=AX$6)*('Prenatal Care'!$C$7:$C$762&gt;=Lists!$AE10)*('Prenatal Care'!$C$7:$C$762&lt;=Lists!$AF10))</f>
        <v>0</v>
      </c>
      <c r="AY16" s="470">
        <f>SUMPRODUCT(('Prenatal Care'!$N$7:$N$762=AY$6)*('Prenatal Care'!$C$7:$C$762&gt;=Lists!$AE10)*('Prenatal Care'!$C$7:$C$762&lt;=Lists!$AF10))</f>
        <v>0</v>
      </c>
      <c r="AZ16" s="470">
        <f>SUMPRODUCT(('Prenatal Care'!$N$7:$N$762=AZ$6)*('Prenatal Care'!$C$7:$C$762&gt;=Lists!$AE10)*('Prenatal Care'!$C$7:$C$762&lt;=Lists!$AF10))</f>
        <v>0</v>
      </c>
      <c r="BA16" s="470">
        <f>SUMPRODUCT(('Prenatal Care'!$N$7:$N$762=BA$6)*('Prenatal Care'!$C$7:$C$762&gt;=Lists!$AE10)*('Prenatal Care'!$C$7:$C$762&lt;=Lists!$AF10))</f>
        <v>0</v>
      </c>
      <c r="BB16" s="475">
        <f>SUMPRODUCT(('Prenatal Care'!$N$7:$N$762=BB$6)*('Prenatal Care'!$C$7:$C$762&gt;=Lists!$AE10)*('Prenatal Care'!$C$7:$C$762&lt;=Lists!$AF10))</f>
        <v>0</v>
      </c>
      <c r="BC16" s="471">
        <f t="shared" si="15"/>
        <v>0</v>
      </c>
      <c r="BD16" s="473">
        <f>SUMPRODUCT(('Prenatal Care'!$O$7:$O$762=BD$6)*('Prenatal Care'!$C$7:$C$762&gt;=Lists!$AE10)*('Prenatal Care'!$C$7:$C$762&lt;=Lists!$AF10))</f>
        <v>0</v>
      </c>
      <c r="BE16" s="470">
        <f>SUMPRODUCT(('Prenatal Care'!$O$7:$O$762=BE$6)*('Prenatal Care'!$C$7:$C$762&gt;=Lists!$AE10)*('Prenatal Care'!$C$7:$C$762&lt;=Lists!$AF10))</f>
        <v>0</v>
      </c>
      <c r="BF16" s="470">
        <f>SUMPRODUCT(('Prenatal Care'!$O$7:$O$762=BF$6)*('Prenatal Care'!$C$7:$C$762&gt;=Lists!$AE10)*('Prenatal Care'!$C$7:$C$762&lt;=Lists!$AF10))</f>
        <v>0</v>
      </c>
      <c r="BG16" s="470">
        <f>SUMPRODUCT(('Prenatal Care'!$O$7:$O$762=BG$6)*('Prenatal Care'!$C$7:$C$762&gt;=Lists!$AE10)*('Prenatal Care'!$C$7:$C$762&lt;=Lists!$AF10))</f>
        <v>0</v>
      </c>
      <c r="BH16" s="470">
        <f>SUMPRODUCT(('Prenatal Care'!$O$7:$O$762=BH$6)*('Prenatal Care'!$C$7:$C$762&gt;=Lists!$AE10)*('Prenatal Care'!$C$7:$C$762&lt;=Lists!$AF10))</f>
        <v>0</v>
      </c>
      <c r="BI16" s="475">
        <f>SUMPRODUCT(('Prenatal Care'!$O$7:$O$762=BI$6)*('Prenatal Care'!$C$7:$C$762&gt;=Lists!$AE10)*('Prenatal Care'!$C$7:$C$762&lt;=Lists!$AF10))</f>
        <v>0</v>
      </c>
      <c r="BJ16" s="471">
        <f t="shared" si="16"/>
        <v>0</v>
      </c>
      <c r="BK16" s="473">
        <f>SUMPRODUCT(('Prenatal Care'!$P$7:$P$762=BK$6)*('Prenatal Care'!$C$7:$C$762&gt;=Lists!$AE10)*('Prenatal Care'!$C$7:$C$762&lt;=Lists!$AF10))</f>
        <v>0</v>
      </c>
      <c r="BL16" s="470">
        <f>SUMPRODUCT(('Prenatal Care'!$P$7:$P$762=BL$6)*('Prenatal Care'!$C$7:$C$762&gt;=Lists!$AE10)*('Prenatal Care'!$C$7:$C$762&lt;=Lists!$AF10))</f>
        <v>0</v>
      </c>
      <c r="BM16" s="470">
        <f>SUMPRODUCT(('Prenatal Care'!$P$7:$P$762=BM$6)*('Prenatal Care'!$C$7:$C$762&gt;=Lists!$AE10)*('Prenatal Care'!$C$7:$C$762&lt;=Lists!$AF10))</f>
        <v>0</v>
      </c>
      <c r="BN16" s="470">
        <f>SUMPRODUCT(('Prenatal Care'!$P$7:$P$762=BN$6)*('Prenatal Care'!$C$7:$C$762&gt;=Lists!$AE10)*('Prenatal Care'!$C$7:$C$762&lt;=Lists!$AF10))</f>
        <v>0</v>
      </c>
      <c r="BO16" s="475">
        <f>SUMPRODUCT(('Prenatal Care'!$P$7:$P$762=BO$6)*('Prenatal Care'!$C$7:$C$762&gt;=Lists!$AE10)*('Prenatal Care'!$C$7:$C$762&lt;=Lists!$AF10))</f>
        <v>0</v>
      </c>
      <c r="BP16" s="471">
        <f t="shared" si="0"/>
        <v>0</v>
      </c>
      <c r="BQ16" s="473">
        <f>SUMPRODUCT(('Prenatal Care'!$Q$7:$Q$762=BQ$6)*('Prenatal Care'!$C$7:$C$762&gt;=Lists!$AE10)*('Prenatal Care'!$C$7:$C$762&lt;=Lists!$AF10))</f>
        <v>0</v>
      </c>
      <c r="BR16" s="470">
        <f>SUMPRODUCT(('Prenatal Care'!$Q$7:$Q$762=BR$6)*('Prenatal Care'!$C$7:$C$762&gt;=Lists!$AE10)*('Prenatal Care'!$C$7:$C$762&lt;=Lists!$AF10))</f>
        <v>0</v>
      </c>
      <c r="BS16" s="470">
        <f>SUMPRODUCT(('Prenatal Care'!$Q$7:$Q$762=BS$6)*('Prenatal Care'!$C$7:$C$762&gt;=Lists!$AE10)*('Prenatal Care'!$C$7:$C$762&lt;=Lists!$AF10))</f>
        <v>0</v>
      </c>
      <c r="BT16" s="470">
        <f>SUMPRODUCT(('Prenatal Care'!$Q$7:$Q$762=BT$6)*('Prenatal Care'!$C$7:$C$762&gt;=Lists!$AE10)*('Prenatal Care'!$C$7:$C$762&lt;=Lists!$AF10))</f>
        <v>0</v>
      </c>
      <c r="BU16" s="470">
        <f>SUMPRODUCT(('Prenatal Care'!$Q$7:$Q$762=BU$6)*('Prenatal Care'!$C$7:$C$762&gt;=Lists!$AE10)*('Prenatal Care'!$C$7:$C$762&lt;=Lists!$AF10))</f>
        <v>0</v>
      </c>
      <c r="BV16" s="475">
        <f>SUMPRODUCT(('Prenatal Care'!$Q$7:$Q$762=BV$6)*('Prenatal Care'!$C$7:$C$762&gt;=Lists!$AE10)*('Prenatal Care'!$C$7:$C$762&lt;=Lists!$AF10))</f>
        <v>0</v>
      </c>
      <c r="BW16" s="472">
        <f t="shared" si="1"/>
        <v>0</v>
      </c>
      <c r="BX16" s="473">
        <f>SUMPRODUCT(('Prenatal Care'!$R$7:$R$762=BX$6)*('Prenatal Care'!$C$7:$C$762&gt;=Lists!$AE10)*('Prenatal Care'!$C$7:$C$762&lt;=Lists!$AF10))</f>
        <v>0</v>
      </c>
      <c r="BY16" s="470">
        <f>SUMPRODUCT(('Prenatal Care'!$R$7:$R$762=BY$6)*('Prenatal Care'!$C$7:$C$762&gt;=Lists!$AE10)*('Prenatal Care'!$C$7:$C$762&lt;=Lists!$AF10))</f>
        <v>0</v>
      </c>
      <c r="BZ16" s="470">
        <f>SUMPRODUCT(('Prenatal Care'!$R$7:$R$762=BZ$6)*('Prenatal Care'!$C$7:$C$762&gt;=Lists!$AE10)*('Prenatal Care'!$C$7:$C$762&lt;=Lists!$AF10))</f>
        <v>0</v>
      </c>
      <c r="CA16" s="470">
        <f>SUMPRODUCT(('Prenatal Care'!$R$7:$R$762=CA$6)*('Prenatal Care'!$C$7:$C$762&gt;=Lists!$AE10)*('Prenatal Care'!$C$7:$C$762&lt;=Lists!$AF10))</f>
        <v>0</v>
      </c>
      <c r="CB16" s="475">
        <f>SUMPRODUCT(('Prenatal Care'!$R$7:$R$762=CB$6)*('Prenatal Care'!$C$7:$C$762&gt;=Lists!$AE10)*('Prenatal Care'!$C$7:$C$762&lt;=Lists!$AF10))</f>
        <v>0</v>
      </c>
      <c r="CC16" s="471">
        <f t="shared" si="17"/>
        <v>0</v>
      </c>
      <c r="CD16" s="469">
        <f>SUMPRODUCT(('Prenatal Care'!$S$7:$S$762=CD$6)*('Prenatal Care'!$C$7:$C$762&gt;=Lists!$AE10)*('Prenatal Care'!$C$7:$C$762&lt;=Lists!$AF10))</f>
        <v>0</v>
      </c>
      <c r="CE16" s="473">
        <f>SUMPRODUCT(('Prenatal Care'!$S$7:$S$762=CE$6)*('Prenatal Care'!$C$7:$C$762&gt;=Lists!$AE10)*('Prenatal Care'!$C$7:$C$762&lt;=Lists!$AF10))</f>
        <v>0</v>
      </c>
      <c r="CF16" s="470">
        <f>SUMPRODUCT(('Prenatal Care'!$S$7:$S$762=CF$6)*('Prenatal Care'!$C$7:$C$762&gt;=Lists!$AE10)*('Prenatal Care'!$C$7:$C$762&lt;=Lists!$AF10))</f>
        <v>0</v>
      </c>
      <c r="CG16" s="470">
        <f>SUMPRODUCT(('Prenatal Care'!$S$7:$S$762=CG$6)*('Prenatal Care'!$C$7:$C$762&gt;=Lists!$AE10)*('Prenatal Care'!$C$7:$C$762&lt;=Lists!$AF10))</f>
        <v>0</v>
      </c>
      <c r="CH16" s="470">
        <f>SUMPRODUCT(('Prenatal Care'!$S$7:$S$762=CH$6)*('Prenatal Care'!$C$7:$C$762&gt;=Lists!$AE10)*('Prenatal Care'!$C$7:$C$762&lt;=Lists!$AF10))</f>
        <v>0</v>
      </c>
      <c r="CI16" s="470">
        <f>SUMPRODUCT(('Prenatal Care'!$S$7:$S$762=CI$6)*('Prenatal Care'!$C$7:$C$762&gt;=Lists!$AE10)*('Prenatal Care'!$C$7:$C$762&lt;=Lists!$AF10))</f>
        <v>0</v>
      </c>
      <c r="CJ16" s="470">
        <f>SUMPRODUCT(('Prenatal Care'!$S$7:$S$762=CJ$6)*('Prenatal Care'!$C$7:$C$762&gt;=Lists!$AE10)*('Prenatal Care'!$C$7:$C$762&lt;=Lists!$AF10))</f>
        <v>0</v>
      </c>
      <c r="CK16" s="470">
        <f>SUMPRODUCT(('Prenatal Care'!$S$7:$S$762=CK$6)*('Prenatal Care'!$C$7:$C$762&gt;=Lists!$AE10)*('Prenatal Care'!$C$7:$C$762&lt;=Lists!$AF10))</f>
        <v>0</v>
      </c>
      <c r="CL16" s="470">
        <f>SUMPRODUCT(('Prenatal Care'!$S$7:$S$762=CL$6)*('Prenatal Care'!$C$7:$C$762&gt;=Lists!$AE10)*('Prenatal Care'!$C$7:$C$762&lt;=Lists!$AF10))</f>
        <v>0</v>
      </c>
      <c r="CM16" s="475">
        <f>SUMPRODUCT(('Prenatal Care'!$S$7:$S$762=CM$6)*('Prenatal Care'!$C$7:$C$762&gt;=Lists!$AE10)*('Prenatal Care'!$C$7:$C$762&lt;=Lists!$AF10))</f>
        <v>0</v>
      </c>
      <c r="CN16" s="471">
        <f t="shared" si="18"/>
        <v>0</v>
      </c>
      <c r="CO16" s="473">
        <f>SUMPRODUCT(('Prenatal Care'!$T$7:$T$762=CO$6)*('Prenatal Care'!$C$7:$C$762&gt;=Lists!$AE10)*('Prenatal Care'!$C$7:$C$762&lt;=Lists!$AF10))</f>
        <v>0</v>
      </c>
      <c r="CP16" s="470">
        <f>SUMPRODUCT(('Prenatal Care'!$T$7:$T$762=CP$6)*('Prenatal Care'!$C$7:$C$762&gt;=Lists!$AE10)*('Prenatal Care'!$C$7:$C$762&lt;=Lists!$AF10))</f>
        <v>0</v>
      </c>
      <c r="CQ16" s="475">
        <f>SUMPRODUCT(('Prenatal Care'!$T$7:$T$762=CQ$6)*('Prenatal Care'!$C$7:$C$762&gt;=Lists!$AE10)*('Prenatal Care'!$C$7:$C$762&lt;=Lists!$AF10))</f>
        <v>0</v>
      </c>
      <c r="CR16" s="471">
        <f t="shared" si="19"/>
        <v>0</v>
      </c>
      <c r="CS16" s="505">
        <f>SUMPRODUCT(('Prenatal Care'!$U$7:$U$762=CS$6)*('Prenatal Care'!$C$7:$C$762&gt;=Lists!$AE10)*('Prenatal Care'!$C$7:$C$762&lt;=Lists!$AF10))</f>
        <v>0</v>
      </c>
      <c r="CT16" s="506">
        <f>SUMPRODUCT(('Prenatal Care'!$U$7:$U$762=CT$6)*('Prenatal Care'!$C$7:$C$762&gt;=Lists!$AE10)*('Prenatal Care'!$C$7:$C$762&lt;=Lists!$AF10))</f>
        <v>0</v>
      </c>
      <c r="CU16" s="506">
        <f>SUMPRODUCT(('Prenatal Care'!$U$7:$U$762=CU$6)*('Prenatal Care'!$C$7:$C$762&gt;=Lists!$AE10)*('Prenatal Care'!$C$7:$C$762&lt;=Lists!$AF10))</f>
        <v>0</v>
      </c>
      <c r="CV16" s="506">
        <f>SUMPRODUCT(('Prenatal Care'!$U$7:$U$762=CV$6)*('Prenatal Care'!$C$7:$C$762&gt;=Lists!$AE10)*('Prenatal Care'!$C$7:$C$762&lt;=Lists!$AF10))</f>
        <v>0</v>
      </c>
      <c r="CW16" s="506">
        <f>SUMPRODUCT(('Prenatal Care'!$U$7:$U$762=CW$6)*('Prenatal Care'!$C$7:$C$762&gt;=Lists!$AE10)*('Prenatal Care'!$C$7:$C$762&lt;=Lists!$AF10))</f>
        <v>0</v>
      </c>
      <c r="CX16" s="506">
        <f>SUMPRODUCT(('Prenatal Care'!$U$7:$U$762=CX$6)*('Prenatal Care'!$C$7:$C$762&gt;=Lists!$AE10)*('Prenatal Care'!$C$7:$C$762&lt;=Lists!$AF10))</f>
        <v>0</v>
      </c>
      <c r="CY16" s="506">
        <f>SUMPRODUCT(('Prenatal Care'!$U$7:$U$762=CY$6)*('Prenatal Care'!$C$7:$C$762&gt;=Lists!$AE10)*('Prenatal Care'!$C$7:$C$762&lt;=Lists!$AF10))</f>
        <v>0</v>
      </c>
      <c r="CZ16" s="506">
        <f>SUMPRODUCT(('Prenatal Care'!$U$7:$U$762=CZ$6)*('Prenatal Care'!$C$7:$C$762&gt;=Lists!$AE10)*('Prenatal Care'!$C$7:$C$762&lt;=Lists!$AF10))</f>
        <v>0</v>
      </c>
      <c r="DA16" s="506">
        <f>SUMPRODUCT(('Prenatal Care'!$U$7:$U$762=DA$6)*('Prenatal Care'!$C$7:$C$762&gt;=Lists!$AE10)*('Prenatal Care'!$C$7:$C$762&lt;=Lists!$AF10))</f>
        <v>0</v>
      </c>
      <c r="DB16" s="507">
        <f>SUMPRODUCT(('Prenatal Care'!$U$7:$U$762=DB$6)*('Prenatal Care'!$C$7:$C$762&gt;=Lists!$AE10)*('Prenatal Care'!$C$7:$C$762&lt;=Lists!$AF10))</f>
        <v>0</v>
      </c>
      <c r="DC16" s="471">
        <f t="shared" si="20"/>
        <v>0</v>
      </c>
      <c r="DD16" s="469">
        <f>SUMPRODUCT(('Prenatal Care'!$V$7:$V$762=DD$6)*('Prenatal Care'!$C$7:$C$762&gt;=Lists!$AE10)*('Prenatal Care'!$C$7:$C$762&lt;=Lists!$AF10))</f>
        <v>0</v>
      </c>
      <c r="DE16" s="470">
        <f>SUMPRODUCT(('Prenatal Care'!$V$7:$V$762=DE$6)*('Prenatal Care'!$C$7:$C$762&gt;=Lists!$AE10)*('Prenatal Care'!$C$7:$C$762&lt;=Lists!$AF10))</f>
        <v>0</v>
      </c>
      <c r="DF16" s="470">
        <f>SUMPRODUCT(('Prenatal Care'!$V$7:$V$762=DF$6)*('Prenatal Care'!$C$7:$C$762&gt;=Lists!$AE10)*('Prenatal Care'!$C$7:$C$762&lt;=Lists!$AF10))</f>
        <v>0</v>
      </c>
      <c r="DG16" s="475">
        <f>SUMPRODUCT(('Prenatal Care'!$V$7:$V$762=DG$6)*('Prenatal Care'!$C$7:$C$762&gt;=Lists!$AE10)*('Prenatal Care'!$C$7:$C$762&lt;=Lists!$AF10))</f>
        <v>0</v>
      </c>
      <c r="DH16" s="471">
        <f t="shared" si="21"/>
        <v>0</v>
      </c>
      <c r="DI16" s="473">
        <f>SUMPRODUCT(('Prenatal Care'!$W$7:$W$762=DI$6)*('Prenatal Care'!$C$7:$C$762&gt;=Lists!$AE10)*('Prenatal Care'!$C$7:$C$762&lt;=Lists!$AF10))</f>
        <v>0</v>
      </c>
      <c r="DJ16" s="470">
        <f>SUMPRODUCT(('Prenatal Care'!$W$7:$W$762=DJ$6)*('Prenatal Care'!$C$7:$C$762&gt;=Lists!$AE10)*('Prenatal Care'!$C$7:$C$762&lt;=Lists!$AF10))</f>
        <v>0</v>
      </c>
      <c r="DK16" s="470">
        <f>SUMPRODUCT(('Prenatal Care'!$W$7:$W$762=DK$6)*('Prenatal Care'!$C$7:$C$762&gt;=Lists!$AE10)*('Prenatal Care'!$C$7:$C$762&lt;=Lists!$AF10))</f>
        <v>0</v>
      </c>
      <c r="DL16" s="470">
        <f>SUMPRODUCT(('Prenatal Care'!$W$7:$W$762=DL$6)*('Prenatal Care'!$C$7:$C$762&gt;=Lists!$AE10)*('Prenatal Care'!$C$7:$C$762&lt;=Lists!$AF10))</f>
        <v>0</v>
      </c>
      <c r="DM16" s="470">
        <f>SUMPRODUCT(('Prenatal Care'!$W$7:$W$762=DM$6)*('Prenatal Care'!$C$7:$C$762&gt;=Lists!$AE10)*('Prenatal Care'!$C$7:$C$762&lt;=Lists!$AF10))</f>
        <v>0</v>
      </c>
      <c r="DN16" s="470">
        <f>SUMPRODUCT(('Prenatal Care'!$W$7:$W$762=DN$6)*('Prenatal Care'!$C$7:$C$762&gt;=Lists!$AE10)*('Prenatal Care'!$C$7:$C$762&lt;=Lists!$AF10))</f>
        <v>0</v>
      </c>
      <c r="DO16" s="470">
        <f>SUMPRODUCT(('Prenatal Care'!$W$7:$W$762=DO$6)*('Prenatal Care'!$C$7:$C$762&gt;=Lists!$AE10)*('Prenatal Care'!$C$7:$C$762&lt;=Lists!$AF10))</f>
        <v>0</v>
      </c>
      <c r="DP16" s="470">
        <f>SUMPRODUCT(('Prenatal Care'!$W$7:$W$762=DP$6)*('Prenatal Care'!$C$7:$C$762&gt;=Lists!$AE10)*('Prenatal Care'!$C$7:$C$762&lt;=Lists!$AF10))</f>
        <v>0</v>
      </c>
      <c r="DQ16" s="470">
        <f>SUMPRODUCT(('Prenatal Care'!$W$7:$W$762=DQ$6)*('Prenatal Care'!$C$7:$C$762&gt;=Lists!$AE10)*('Prenatal Care'!$C$7:$C$762&lt;=Lists!$AF10))</f>
        <v>0</v>
      </c>
      <c r="DR16" s="470">
        <f>SUMPRODUCT(('Prenatal Care'!$W$7:$W$762=DR$6)*('Prenatal Care'!$C$7:$C$762&gt;=Lists!$AE10)*('Prenatal Care'!$C$7:$C$762&lt;=Lists!$AF10))</f>
        <v>0</v>
      </c>
      <c r="DS16" s="470">
        <f>SUMPRODUCT(('Prenatal Care'!$W$7:$W$762=DS$6)*('Prenatal Care'!$C$7:$C$762&gt;=Lists!$AE10)*('Prenatal Care'!$C$7:$C$762&lt;=Lists!$AF10))</f>
        <v>0</v>
      </c>
      <c r="DT16" s="470">
        <f>SUMPRODUCT(('Prenatal Care'!$W$7:$W$762=DT$6)*('Prenatal Care'!$C$7:$C$762&gt;=Lists!$AE10)*('Prenatal Care'!$C$7:$C$762&lt;=Lists!$AF10))</f>
        <v>0</v>
      </c>
      <c r="DU16" s="470">
        <f>SUMPRODUCT(('Prenatal Care'!$W$7:$W$762=DU$6)*('Prenatal Care'!$C$7:$C$762&gt;=Lists!$AE10)*('Prenatal Care'!$C$7:$C$762&lt;=Lists!$AF10))</f>
        <v>0</v>
      </c>
      <c r="DV16" s="470">
        <f>SUMPRODUCT(('Prenatal Care'!$W$7:$W$762=DV$6)*('Prenatal Care'!$C$7:$C$762&gt;=Lists!$AE10)*('Prenatal Care'!$C$7:$C$762&lt;=Lists!$AF10))</f>
        <v>0</v>
      </c>
      <c r="DW16" s="470">
        <f>SUMPRODUCT(('Prenatal Care'!$W$7:$W$762=DW$6)*('Prenatal Care'!$C$7:$C$762&gt;=Lists!$AE10)*('Prenatal Care'!$C$7:$C$762&lt;=Lists!$AF10))</f>
        <v>0</v>
      </c>
      <c r="DX16" s="470">
        <f>SUMPRODUCT(('Prenatal Care'!$W$7:$W$762=DX$6)*('Prenatal Care'!$C$7:$C$762&gt;=Lists!$AE10)*('Prenatal Care'!$C$7:$C$762&lt;=Lists!$AF10))</f>
        <v>0</v>
      </c>
      <c r="DY16" s="470">
        <f>SUMPRODUCT(('Prenatal Care'!$W$7:$W$762=DY$6)*('Prenatal Care'!$C$7:$C$762&gt;=Lists!$AE10)*('Prenatal Care'!$C$7:$C$762&lt;=Lists!$AF10))</f>
        <v>0</v>
      </c>
      <c r="DZ16" s="470">
        <f>SUMPRODUCT(('Prenatal Care'!$W$7:$W$762=DZ$6)*('Prenatal Care'!$C$7:$C$762&gt;=Lists!$AE10)*('Prenatal Care'!$C$7:$C$762&lt;=Lists!$AF10))</f>
        <v>0</v>
      </c>
      <c r="EA16" s="470">
        <f>SUMPRODUCT(('Prenatal Care'!$W$7:$W$762=EA$6)*('Prenatal Care'!$C$7:$C$762&gt;=Lists!$AE10)*('Prenatal Care'!$C$7:$C$762&lt;=Lists!$AF10))</f>
        <v>0</v>
      </c>
      <c r="EB16" s="470">
        <f>SUMPRODUCT(('Prenatal Care'!$W$7:$W$762=EB$6)*('Prenatal Care'!$C$7:$C$762&gt;=Lists!$AE10)*('Prenatal Care'!$C$7:$C$762&lt;=Lists!$AF10))</f>
        <v>0</v>
      </c>
      <c r="EC16" s="470">
        <f>SUMPRODUCT(('Prenatal Care'!$W$7:$W$762=EC$6)*('Prenatal Care'!$C$7:$C$762&gt;=Lists!$AE10)*('Prenatal Care'!$C$7:$C$762&lt;=Lists!$AF10))</f>
        <v>0</v>
      </c>
      <c r="ED16" s="470">
        <f>SUMPRODUCT(('Prenatal Care'!$W$7:$W$762=ED$6)*('Prenatal Care'!$C$7:$C$762&gt;=Lists!$AE10)*('Prenatal Care'!$C$7:$C$762&lt;=Lists!$AF10))</f>
        <v>0</v>
      </c>
      <c r="EE16" s="470">
        <f>SUMPRODUCT(('Prenatal Care'!$W$7:$W$762=EE$6)*('Prenatal Care'!$C$7:$C$762&gt;=Lists!$AE10)*('Prenatal Care'!$C$7:$C$762&lt;=Lists!$AF10))</f>
        <v>0</v>
      </c>
      <c r="EF16" s="470">
        <f>SUMPRODUCT(('Prenatal Care'!$W$7:$W$762=EF$6)*('Prenatal Care'!$C$7:$C$762&gt;=Lists!$AE10)*('Prenatal Care'!$C$7:$C$762&lt;=Lists!$AF10))</f>
        <v>0</v>
      </c>
      <c r="EG16" s="470">
        <f>SUMPRODUCT(('Prenatal Care'!$W$7:$W$762=EG$6)*('Prenatal Care'!$C$7:$C$762&gt;=Lists!$AE10)*('Prenatal Care'!$C$7:$C$762&lt;=Lists!$AF10))</f>
        <v>0</v>
      </c>
      <c r="EH16" s="475">
        <f>SUMPRODUCT(('Prenatal Care'!$W$7:$W$762=EH$6)*('Prenatal Care'!$C$7:$C$762&gt;=Lists!$AE10)*('Prenatal Care'!$C$7:$C$762&lt;=Lists!$AF10))</f>
        <v>0</v>
      </c>
      <c r="EI16" s="471">
        <f t="shared" si="22"/>
        <v>0</v>
      </c>
      <c r="EJ16" s="473">
        <f>SUMPRODUCT(('Prenatal Care'!$X$7:$X$762=EJ$6)*('Prenatal Care'!$C$7:$C$762&gt;=Lists!$AE10)*('Prenatal Care'!$C$7:$C$762&lt;=Lists!$AF10))</f>
        <v>0</v>
      </c>
      <c r="EK16" s="470">
        <f>SUMPRODUCT(('Prenatal Care'!$X$7:$X$762=EK$6)*('Prenatal Care'!$C$7:$C$762&gt;=Lists!$AE10)*('Prenatal Care'!$C$7:$C$762&lt;=Lists!$AF10))</f>
        <v>0</v>
      </c>
      <c r="EL16" s="470">
        <f>SUMPRODUCT(('Prenatal Care'!$X$7:$X$762=EL$6)*('Prenatal Care'!$C$7:$C$762&gt;=Lists!$AE10)*('Prenatal Care'!$C$7:$C$762&lt;=Lists!$AF10))</f>
        <v>0</v>
      </c>
      <c r="EM16" s="470">
        <f>SUMPRODUCT(('Prenatal Care'!$X$7:$X$762=EM$6)*('Prenatal Care'!$C$7:$C$762&gt;=Lists!$AE10)*('Prenatal Care'!$C$7:$C$762&lt;=Lists!$AF10))</f>
        <v>0</v>
      </c>
      <c r="EN16" s="470">
        <f>SUMPRODUCT(('Prenatal Care'!$X$7:$X$762=EN$6)*('Prenatal Care'!$C$7:$C$762&gt;=Lists!$AE10)*('Prenatal Care'!$C$7:$C$762&lt;=Lists!$AF10))</f>
        <v>0</v>
      </c>
      <c r="EO16" s="470">
        <f>SUMPRODUCT(('Prenatal Care'!$X$7:$X$762=EO$6)*('Prenatal Care'!$C$7:$C$762&gt;=Lists!$AE10)*('Prenatal Care'!$C$7:$C$762&lt;=Lists!$AF10))</f>
        <v>0</v>
      </c>
      <c r="EP16" s="470">
        <f>SUMPRODUCT(('Prenatal Care'!$X$7:$X$762=EP$6)*('Prenatal Care'!$C$7:$C$762&gt;=Lists!$AE10)*('Prenatal Care'!$C$7:$C$762&lt;=Lists!$AF10))</f>
        <v>0</v>
      </c>
      <c r="EQ16" s="470">
        <f>SUMPRODUCT(('Prenatal Care'!$X$7:$X$762=EQ$6)*('Prenatal Care'!$C$7:$C$762&gt;=Lists!$AE10)*('Prenatal Care'!$C$7:$C$762&lt;=Lists!$AF10))</f>
        <v>0</v>
      </c>
      <c r="ER16" s="470">
        <f>SUMPRODUCT(('Prenatal Care'!$X$7:$X$762=ER$6)*('Prenatal Care'!$C$7:$C$762&gt;=Lists!$AE10)*('Prenatal Care'!$C$7:$C$762&lt;=Lists!$AF10))</f>
        <v>0</v>
      </c>
      <c r="ES16" s="470">
        <f>SUMPRODUCT(('Prenatal Care'!$X$7:$X$762=ES$6)*('Prenatal Care'!$C$7:$C$762&gt;=Lists!$AE10)*('Prenatal Care'!$C$7:$C$762&lt;=Lists!$AF10))</f>
        <v>0</v>
      </c>
      <c r="ET16" s="470">
        <f>SUMPRODUCT(('Prenatal Care'!$X$7:$X$762=ET$6)*('Prenatal Care'!$C$7:$C$762&gt;=Lists!$AE10)*('Prenatal Care'!$C$7:$C$762&lt;=Lists!$AF10))</f>
        <v>0</v>
      </c>
      <c r="EU16" s="470">
        <f>SUMPRODUCT(('Prenatal Care'!$X$7:$X$762=EU$6)*('Prenatal Care'!$C$7:$C$762&gt;=Lists!$AE10)*('Prenatal Care'!$C$7:$C$762&lt;=Lists!$AF10))</f>
        <v>0</v>
      </c>
      <c r="EV16" s="470">
        <f>SUMPRODUCT(('Prenatal Care'!$X$7:$X$762=EV$6)*('Prenatal Care'!$C$7:$C$762&gt;=Lists!$AE10)*('Prenatal Care'!$C$7:$C$762&lt;=Lists!$AF10))</f>
        <v>0</v>
      </c>
      <c r="EW16" s="470">
        <f>SUMPRODUCT(('Prenatal Care'!$X$7:$X$762=EW$6)*('Prenatal Care'!$C$7:$C$762&gt;=Lists!$AE10)*('Prenatal Care'!$C$7:$C$762&lt;=Lists!$AF10))</f>
        <v>0</v>
      </c>
      <c r="EX16" s="470">
        <f>SUMPRODUCT(('Prenatal Care'!$X$7:$X$762=EX$6)*('Prenatal Care'!$C$7:$C$762&gt;=Lists!$AE10)*('Prenatal Care'!$C$7:$C$762&lt;=Lists!$AF10))</f>
        <v>0</v>
      </c>
      <c r="EY16" s="470">
        <f>SUMPRODUCT(('Prenatal Care'!$X$7:$X$762=EY$6)*('Prenatal Care'!$C$7:$C$762&gt;=Lists!$AE10)*('Prenatal Care'!$C$7:$C$762&lt;=Lists!$AF10))</f>
        <v>0</v>
      </c>
      <c r="EZ16" s="470">
        <f>SUMPRODUCT(('Prenatal Care'!$X$7:$X$762=EZ$6)*('Prenatal Care'!$C$7:$C$762&gt;=Lists!$AE10)*('Prenatal Care'!$C$7:$C$762&lt;=Lists!$AF10))</f>
        <v>0</v>
      </c>
      <c r="FA16" s="470">
        <f>SUMPRODUCT(('Prenatal Care'!$X$7:$X$762=FA$6)*('Prenatal Care'!$C$7:$C$762&gt;=Lists!$AE10)*('Prenatal Care'!$C$7:$C$762&lt;=Lists!$AF10))</f>
        <v>0</v>
      </c>
      <c r="FB16" s="470">
        <f>SUMPRODUCT(('Prenatal Care'!$X$7:$X$762=FB$6)*('Prenatal Care'!$C$7:$C$762&gt;=Lists!$AE10)*('Prenatal Care'!$C$7:$C$762&lt;=Lists!$AF10))</f>
        <v>0</v>
      </c>
      <c r="FC16" s="470">
        <f>SUMPRODUCT(('Prenatal Care'!$X$7:$X$762=FC$6)*('Prenatal Care'!$C$7:$C$762&gt;=Lists!$AE10)*('Prenatal Care'!$C$7:$C$762&lt;=Lists!$AF10))</f>
        <v>0</v>
      </c>
      <c r="FD16" s="470">
        <f>SUMPRODUCT(('Prenatal Care'!$X$7:$X$762=FD$6)*('Prenatal Care'!$C$7:$C$762&gt;=Lists!$AE10)*('Prenatal Care'!$C$7:$C$762&lt;=Lists!$AF10))</f>
        <v>0</v>
      </c>
      <c r="FE16" s="470">
        <f>SUMPRODUCT(('Prenatal Care'!$X$7:$X$762=FE$6)*('Prenatal Care'!$C$7:$C$762&gt;=Lists!$AE10)*('Prenatal Care'!$C$7:$C$762&lt;=Lists!$AF10))</f>
        <v>0</v>
      </c>
      <c r="FF16" s="470">
        <f>SUMPRODUCT(('Prenatal Care'!$X$7:$X$762=FF$6)*('Prenatal Care'!$C$7:$C$762&gt;=Lists!$AE10)*('Prenatal Care'!$C$7:$C$762&lt;=Lists!$AF10))</f>
        <v>0</v>
      </c>
      <c r="FG16" s="470">
        <f>SUMPRODUCT(('Prenatal Care'!$X$7:$X$762=FG$6)*('Prenatal Care'!$C$7:$C$762&gt;=Lists!$AE10)*('Prenatal Care'!$C$7:$C$762&lt;=Lists!$AF10))</f>
        <v>0</v>
      </c>
      <c r="FH16" s="470">
        <f>SUMPRODUCT(('Prenatal Care'!$X$7:$X$762=FH$6)*('Prenatal Care'!$C$7:$C$762&gt;=Lists!$AE10)*('Prenatal Care'!$C$7:$C$762&lt;=Lists!$AF10))</f>
        <v>0</v>
      </c>
      <c r="FI16" s="475">
        <f>SUMPRODUCT(('Prenatal Care'!$X$7:$X$762=FI$6)*('Prenatal Care'!$C$7:$C$762&gt;=Lists!$AE10)*('Prenatal Care'!$C$7:$C$762&lt;=Lists!$AF10))</f>
        <v>0</v>
      </c>
      <c r="FJ16" s="471">
        <f t="shared" si="23"/>
        <v>0</v>
      </c>
      <c r="FK16" s="473">
        <f>SUMPRODUCT(('Prenatal Care'!$Y$7:$Y$762=FK$6)*('Prenatal Care'!$C$7:$C$762&gt;=Lists!$AE10)*('Prenatal Care'!$C$7:$C$762&lt;=Lists!$AF10))</f>
        <v>0</v>
      </c>
      <c r="FL16" s="470">
        <f>SUMPRODUCT(('Prenatal Care'!$Y$7:$Y$762=FL$6)*('Prenatal Care'!$C$7:$C$762&gt;=Lists!$AE10)*('Prenatal Care'!$C$7:$C$762&lt;=Lists!$AF10))</f>
        <v>0</v>
      </c>
      <c r="FM16" s="470">
        <f>SUMPRODUCT(('Prenatal Care'!$Y$7:$Y$762=FM$6)*('Prenatal Care'!$C$7:$C$762&gt;=Lists!$AE10)*('Prenatal Care'!$C$7:$C$762&lt;=Lists!$AF10))</f>
        <v>0</v>
      </c>
      <c r="FN16" s="470">
        <f>SUMPRODUCT(('Prenatal Care'!$Y$7:$Y$762=FN$6)*('Prenatal Care'!$C$7:$C$762&gt;=Lists!$AE10)*('Prenatal Care'!$C$7:$C$762&lt;=Lists!$AF10))</f>
        <v>0</v>
      </c>
      <c r="FO16" s="470">
        <f>SUMPRODUCT(('Prenatal Care'!$Y$7:$Y$762=FO$6)*('Prenatal Care'!$C$7:$C$762&gt;=Lists!$AE10)*('Prenatal Care'!$C$7:$C$762&lt;=Lists!$AF10))</f>
        <v>0</v>
      </c>
      <c r="FP16" s="470">
        <f>SUMPRODUCT(('Prenatal Care'!$Y$7:$Y$762=FP$6)*('Prenatal Care'!$C$7:$C$762&gt;=Lists!$AE10)*('Prenatal Care'!$C$7:$C$762&lt;=Lists!$AF10))</f>
        <v>0</v>
      </c>
      <c r="FQ16" s="470">
        <f>SUMPRODUCT(('Prenatal Care'!$Y$7:$Y$762=FQ$6)*('Prenatal Care'!$C$7:$C$762&gt;=Lists!$AE10)*('Prenatal Care'!$C$7:$C$762&lt;=Lists!$AF10))</f>
        <v>0</v>
      </c>
      <c r="FR16" s="470">
        <f>SUMPRODUCT(('Prenatal Care'!$Y$7:$Y$762=FR$6)*('Prenatal Care'!$C$7:$C$762&gt;=Lists!$AE10)*('Prenatal Care'!$C$7:$C$762&lt;=Lists!$AF10))</f>
        <v>0</v>
      </c>
      <c r="FS16" s="470">
        <f>SUMPRODUCT(('Prenatal Care'!$Y$7:$Y$762=FS$6)*('Prenatal Care'!$C$7:$C$762&gt;=Lists!$AE10)*('Prenatal Care'!$C$7:$C$762&lt;=Lists!$AF10))</f>
        <v>0</v>
      </c>
      <c r="FT16" s="470">
        <f>SUMPRODUCT(('Prenatal Care'!$Y$7:$Y$762=FT$6)*('Prenatal Care'!$C$7:$C$762&gt;=Lists!$AE10)*('Prenatal Care'!$C$7:$C$762&lt;=Lists!$AF10))</f>
        <v>0</v>
      </c>
      <c r="FU16" s="470">
        <f>SUMPRODUCT(('Prenatal Care'!$Y$7:$Y$762=FU$6)*('Prenatal Care'!$C$7:$C$762&gt;=Lists!$AE10)*('Prenatal Care'!$C$7:$C$762&lt;=Lists!$AF10))</f>
        <v>0</v>
      </c>
      <c r="FV16" s="470">
        <f>SUMPRODUCT(('Prenatal Care'!$Y$7:$Y$762=FV$6)*('Prenatal Care'!$C$7:$C$762&gt;=Lists!$AE10)*('Prenatal Care'!$C$7:$C$762&lt;=Lists!$AF10))</f>
        <v>0</v>
      </c>
      <c r="FW16" s="470">
        <f>SUMPRODUCT(('Prenatal Care'!$Y$7:$Y$762=FW$6)*('Prenatal Care'!$C$7:$C$762&gt;=Lists!$AE10)*('Prenatal Care'!$C$7:$C$762&lt;=Lists!$AF10))</f>
        <v>0</v>
      </c>
      <c r="FX16" s="470">
        <f>SUMPRODUCT(('Prenatal Care'!$Y$7:$Y$762=FX$6)*('Prenatal Care'!$C$7:$C$762&gt;=Lists!$AE10)*('Prenatal Care'!$C$7:$C$762&lt;=Lists!$AF10))</f>
        <v>0</v>
      </c>
      <c r="FY16" s="470">
        <f>SUMPRODUCT(('Prenatal Care'!$Y$7:$Y$762=FY$6)*('Prenatal Care'!$C$7:$C$762&gt;=Lists!$AE10)*('Prenatal Care'!$C$7:$C$762&lt;=Lists!$AF10))</f>
        <v>0</v>
      </c>
      <c r="FZ16" s="470">
        <f>SUMPRODUCT(('Prenatal Care'!$Y$7:$Y$762=FZ$6)*('Prenatal Care'!$C$7:$C$762&gt;=Lists!$AE10)*('Prenatal Care'!$C$7:$C$762&lt;=Lists!$AF10))</f>
        <v>0</v>
      </c>
      <c r="GA16" s="470">
        <f>SUMPRODUCT(('Prenatal Care'!$Y$7:$Y$762=GA$6)*('Prenatal Care'!$C$7:$C$762&gt;=Lists!$AE10)*('Prenatal Care'!$C$7:$C$762&lt;=Lists!$AF10))</f>
        <v>0</v>
      </c>
      <c r="GB16" s="470">
        <f>SUMPRODUCT(('Prenatal Care'!$Y$7:$Y$762=GB$6)*('Prenatal Care'!$C$7:$C$762&gt;=Lists!$AE10)*('Prenatal Care'!$C$7:$C$762&lt;=Lists!$AF10))</f>
        <v>0</v>
      </c>
      <c r="GC16" s="470">
        <f>SUMPRODUCT(('Prenatal Care'!$Y$7:$Y$762=GC$6)*('Prenatal Care'!$C$7:$C$762&gt;=Lists!$AE10)*('Prenatal Care'!$C$7:$C$762&lt;=Lists!$AF10))</f>
        <v>0</v>
      </c>
      <c r="GD16" s="470">
        <f>SUMPRODUCT(('Prenatal Care'!$Y$7:$Y$762=GD$6)*('Prenatal Care'!$C$7:$C$762&gt;=Lists!$AE10)*('Prenatal Care'!$C$7:$C$762&lt;=Lists!$AF10))</f>
        <v>0</v>
      </c>
      <c r="GE16" s="470">
        <f>SUMPRODUCT(('Prenatal Care'!$Y$7:$Y$762=GE$6)*('Prenatal Care'!$C$7:$C$762&gt;=Lists!$AE10)*('Prenatal Care'!$C$7:$C$762&lt;=Lists!$AF10))</f>
        <v>0</v>
      </c>
      <c r="GF16" s="470">
        <f>SUMPRODUCT(('Prenatal Care'!$Y$7:$Y$762=GF$6)*('Prenatal Care'!$C$7:$C$762&gt;=Lists!$AE10)*('Prenatal Care'!$C$7:$C$762&lt;=Lists!$AF10))</f>
        <v>0</v>
      </c>
      <c r="GG16" s="470">
        <f>SUMPRODUCT(('Prenatal Care'!$Y$7:$Y$762=GG$6)*('Prenatal Care'!$C$7:$C$762&gt;=Lists!$AE10)*('Prenatal Care'!$C$7:$C$762&lt;=Lists!$AF10))</f>
        <v>0</v>
      </c>
      <c r="GH16" s="470">
        <f>SUMPRODUCT(('Prenatal Care'!$Y$7:$Y$762=GH$6)*('Prenatal Care'!$C$7:$C$762&gt;=Lists!$AE10)*('Prenatal Care'!$C$7:$C$762&lt;=Lists!$AF10))</f>
        <v>0</v>
      </c>
      <c r="GI16" s="470">
        <f>SUMPRODUCT(('Prenatal Care'!$Y$7:$Y$762=GI$6)*('Prenatal Care'!$C$7:$C$762&gt;=Lists!$AE10)*('Prenatal Care'!$C$7:$C$762&lt;=Lists!$AF10))</f>
        <v>0</v>
      </c>
      <c r="GJ16" s="475">
        <f>SUMPRODUCT(('Prenatal Care'!$Y$7:$Y$762=GJ$6)*('Prenatal Care'!$C$7:$C$762&gt;=Lists!$AE10)*('Prenatal Care'!$C$7:$C$762&lt;=Lists!$AF10))</f>
        <v>0</v>
      </c>
      <c r="GK16" s="471">
        <f t="shared" si="24"/>
        <v>0</v>
      </c>
      <c r="GL16" s="469">
        <f>SUMPRODUCT(('Prenatal Care'!$AA$7:$AA$762=GL$6)*('Prenatal Care'!$C$7:$C$762&gt;=Lists!$AE10)*('Prenatal Care'!$C$7:$C$762&lt;=Lists!$AF10))</f>
        <v>0</v>
      </c>
      <c r="GM16" s="474">
        <f>SUMPRODUCT(('Prenatal Care'!$AA$7:$AA$762=GM$6)*('Prenatal Care'!$C$7:$C$762&gt;=Lists!$AE10)*('Prenatal Care'!$C$7:$C$762&lt;=Lists!$AF10))</f>
        <v>0</v>
      </c>
      <c r="GN16" s="470">
        <f>SUMPRODUCT(('Prenatal Care'!$AA$7:$AA$762=GN$6)*('Prenatal Care'!$C$7:$C$762&gt;=Lists!$AE10)*('Prenatal Care'!$C$7:$C$762&lt;=Lists!$AF10))</f>
        <v>0</v>
      </c>
      <c r="GO16" s="470">
        <f>SUMPRODUCT(('Prenatal Care'!$AA$7:$AA$762=GO$6)*('Prenatal Care'!$C$7:$C$762&gt;=Lists!$AE10)*('Prenatal Care'!$C$7:$C$762&lt;=Lists!$AF10))</f>
        <v>0</v>
      </c>
      <c r="GP16" s="470">
        <f>SUMPRODUCT(('Prenatal Care'!$AA$7:$AA$762=GP$6)*('Prenatal Care'!$C$7:$C$762&gt;=Lists!$AE10)*('Prenatal Care'!$C$7:$C$762&lt;=Lists!$AF10))</f>
        <v>0</v>
      </c>
      <c r="GQ16" s="470">
        <f>SUMPRODUCT(('Prenatal Care'!$AA$7:$AA$762=GQ$6)*('Prenatal Care'!$C$7:$C$762&gt;=Lists!$AE10)*('Prenatal Care'!$C$7:$C$762&lt;=Lists!$AF10))</f>
        <v>0</v>
      </c>
      <c r="GR16" s="470">
        <f>SUMPRODUCT(('Prenatal Care'!$AA$7:$AA$762=GR$6)*('Prenatal Care'!$C$7:$C$762&gt;=Lists!$AE10)*('Prenatal Care'!$C$7:$C$762&lt;=Lists!$AF10))</f>
        <v>0</v>
      </c>
      <c r="GS16" s="470">
        <f>SUMPRODUCT(('Prenatal Care'!$AA$7:$AA$762=GS$6)*('Prenatal Care'!$C$7:$C$762&gt;=Lists!$AE10)*('Prenatal Care'!$C$7:$C$762&lt;=Lists!$AF10))</f>
        <v>0</v>
      </c>
      <c r="GT16" s="470">
        <f>SUMPRODUCT(('Prenatal Care'!$AA$7:$AA$762=GT$6)*('Prenatal Care'!$C$7:$C$762&gt;=Lists!$AE10)*('Prenatal Care'!$C$7:$C$762&lt;=Lists!$AF10))</f>
        <v>0</v>
      </c>
      <c r="GU16" s="470">
        <f>SUMPRODUCT(('Prenatal Care'!$AA$7:$AA$762=GU$6)*('Prenatal Care'!$C$7:$C$762&gt;=Lists!$AE10)*('Prenatal Care'!$C$7:$C$762&lt;=Lists!$AF10))</f>
        <v>0</v>
      </c>
      <c r="GV16" s="470">
        <f>SUMPRODUCT(('Prenatal Care'!$AA$7:$AA$762=GV$6)*('Prenatal Care'!$C$7:$C$762&gt;=Lists!$AE10)*('Prenatal Care'!$C$7:$C$762&lt;=Lists!$AF10))</f>
        <v>0</v>
      </c>
      <c r="GW16" s="470">
        <f>SUMPRODUCT(('Prenatal Care'!$AA$7:$AA$762=GW$6)*('Prenatal Care'!$C$7:$C$762&gt;=Lists!$AE10)*('Prenatal Care'!$C$7:$C$762&lt;=Lists!$AF10))</f>
        <v>0</v>
      </c>
      <c r="GX16" s="475">
        <f>SUMPRODUCT(('Prenatal Care'!$AA$7:$AA$762=GX$6)*('Prenatal Care'!$C$7:$C$762&gt;=Lists!$AE10)*('Prenatal Care'!$C$7:$C$762&lt;=Lists!$AF10))</f>
        <v>0</v>
      </c>
      <c r="GY16" s="471">
        <f t="shared" si="25"/>
        <v>0</v>
      </c>
      <c r="GZ16" s="473">
        <f>SUMPRODUCT(('Prenatal Care'!$AB$7:$AB$762=GZ$6)*('Prenatal Care'!$C$7:$C$762&gt;=Lists!$AE10)*('Prenatal Care'!$C$7:$C$762&lt;=Lists!$AF10))</f>
        <v>0</v>
      </c>
      <c r="HA16" s="470">
        <f>SUMPRODUCT(('Prenatal Care'!$AB$7:$AB$762=HA$6)*('Prenatal Care'!$C$7:$C$762&gt;=Lists!$AE10)*('Prenatal Care'!$C$7:$C$762&lt;=Lists!$AF10))</f>
        <v>0</v>
      </c>
      <c r="HB16" s="470">
        <f>SUMPRODUCT(('Prenatal Care'!$AB$7:$AB$762=HB$6)*('Prenatal Care'!$C$7:$C$762&gt;=Lists!$AE10)*('Prenatal Care'!$C$7:$C$762&lt;=Lists!$AF10))</f>
        <v>0</v>
      </c>
      <c r="HC16" s="470">
        <f>SUMPRODUCT(('Prenatal Care'!$AB$7:$AB$762=HC$6)*('Prenatal Care'!$C$7:$C$762&gt;=Lists!$AE10)*('Prenatal Care'!$C$7:$C$762&lt;=Lists!$AF10))</f>
        <v>0</v>
      </c>
      <c r="HD16" s="470">
        <f>SUMPRODUCT(('Prenatal Care'!$AB$7:$AB$762=HD$6)*('Prenatal Care'!$C$7:$C$762&gt;=Lists!$AE10)*('Prenatal Care'!$C$7:$C$762&lt;=Lists!$AF10))</f>
        <v>0</v>
      </c>
      <c r="HE16" s="470">
        <f>SUMPRODUCT(('Prenatal Care'!$AB$7:$AB$762=HE$6)*('Prenatal Care'!$C$7:$C$762&gt;=Lists!$AE10)*('Prenatal Care'!$C$7:$C$762&lt;=Lists!$AF10))</f>
        <v>0</v>
      </c>
      <c r="HF16" s="470">
        <f>SUMPRODUCT(('Prenatal Care'!$AB$7:$AB$762=HF$6)*('Prenatal Care'!$C$7:$C$762&gt;=Lists!$AE10)*('Prenatal Care'!$C$7:$C$762&lt;=Lists!$AF10))</f>
        <v>0</v>
      </c>
      <c r="HG16" s="470">
        <f>SUMPRODUCT(('Prenatal Care'!$AB$7:$AB$762=HG$6)*('Prenatal Care'!$C$7:$C$762&gt;=Lists!$AE10)*('Prenatal Care'!$C$7:$C$762&lt;=Lists!$AF10))</f>
        <v>0</v>
      </c>
      <c r="HH16" s="470">
        <f>SUMPRODUCT(('Prenatal Care'!$AB$7:$AB$762=HH$6)*('Prenatal Care'!$C$7:$C$762&gt;=Lists!$AE10)*('Prenatal Care'!$C$7:$C$762&lt;=Lists!$AF10))</f>
        <v>0</v>
      </c>
      <c r="HI16" s="470">
        <f>SUMPRODUCT(('Prenatal Care'!$AB$7:$AB$762=HI$6)*('Prenatal Care'!$C$7:$C$762&gt;=Lists!$AE10)*('Prenatal Care'!$C$7:$C$762&lt;=Lists!$AF10))</f>
        <v>0</v>
      </c>
      <c r="HJ16" s="470">
        <f>SUMPRODUCT(('Prenatal Care'!$AB$7:$AB$762=HJ$6)*('Prenatal Care'!$C$7:$C$762&gt;=Lists!$AE10)*('Prenatal Care'!$C$7:$C$762&lt;=Lists!$AF10))</f>
        <v>0</v>
      </c>
      <c r="HK16" s="470">
        <f>SUMPRODUCT(('Prenatal Care'!$AB$7:$AB$762=HK$6)*('Prenatal Care'!$C$7:$C$762&gt;=Lists!$AE10)*('Prenatal Care'!$C$7:$C$762&lt;=Lists!$AF10))</f>
        <v>0</v>
      </c>
      <c r="HL16" s="475">
        <f>SUMPRODUCT(('Prenatal Care'!$AB$7:$AB$762=HL$6)*('Prenatal Care'!$C$7:$C$762&gt;=Lists!$AE10)*('Prenatal Care'!$C$7:$C$762&lt;=Lists!$AF10))</f>
        <v>0</v>
      </c>
      <c r="HM16" s="471">
        <f t="shared" si="26"/>
        <v>0</v>
      </c>
      <c r="HN16" s="458">
        <f>SUMPRODUCT(('Prenatal Care'!$AC$7:$AC$762=HN$6)*('Prenatal Care'!$C$7:$C$762&gt;=Lists!$AE10)*('Prenatal Care'!$C$7:$C$762&lt;=Lists!$AF10))</f>
        <v>0</v>
      </c>
      <c r="HO16" s="459">
        <f>SUMPRODUCT(('Prenatal Care'!$AC$7:$AC$762=HO$6)*('Prenatal Care'!$C$7:$C$762&gt;=Lists!$AE10)*('Prenatal Care'!$C$7:$C$762&lt;=Lists!$AF10))</f>
        <v>0</v>
      </c>
      <c r="HP16" s="459">
        <f>SUMPRODUCT(('Prenatal Care'!$AC$7:$AC$762=HP$6)*('Prenatal Care'!$C$7:$C$762&gt;=Lists!$AE10)*('Prenatal Care'!$C$7:$C$762&lt;=Lists!$AF10))</f>
        <v>0</v>
      </c>
      <c r="HQ16" s="459">
        <f>SUMPRODUCT(('Prenatal Care'!$AC$7:$AC$762=HQ$6)*('Prenatal Care'!$C$7:$C$762&gt;=Lists!$AE10)*('Prenatal Care'!$C$7:$C$762&lt;=Lists!$AF10))</f>
        <v>0</v>
      </c>
      <c r="HR16" s="459">
        <f>SUMPRODUCT(('Prenatal Care'!$AC$7:$AC$762=HR$6)*('Prenatal Care'!$C$7:$C$762&gt;=Lists!$AE10)*('Prenatal Care'!$C$7:$C$762&lt;=Lists!$AF10))</f>
        <v>0</v>
      </c>
      <c r="HS16" s="459">
        <f>SUMPRODUCT(('Prenatal Care'!$AC$7:$AC$762=HS$6)*('Prenatal Care'!$C$7:$C$762&gt;=Lists!$AE10)*('Prenatal Care'!$C$7:$C$762&lt;=Lists!$AF10))</f>
        <v>0</v>
      </c>
      <c r="HT16" s="459">
        <f>SUMPRODUCT(('Prenatal Care'!$AC$7:$AC$762=HT$6)*('Prenatal Care'!$C$7:$C$762&gt;=Lists!$AE10)*('Prenatal Care'!$C$7:$C$762&lt;=Lists!$AF10))</f>
        <v>0</v>
      </c>
      <c r="HU16" s="459">
        <f>SUMPRODUCT(('Prenatal Care'!$AC$7:$AC$762=HU$6)*('Prenatal Care'!$C$7:$C$762&gt;=Lists!$AE10)*('Prenatal Care'!$C$7:$C$762&lt;=Lists!$AF10))</f>
        <v>0</v>
      </c>
      <c r="HV16" s="459">
        <f>SUMPRODUCT(('Prenatal Care'!$AC$7:$AC$762=HV$6)*('Prenatal Care'!$C$7:$C$762&gt;=Lists!$AE10)*('Prenatal Care'!$C$7:$C$762&lt;=Lists!$AF10))</f>
        <v>0</v>
      </c>
      <c r="HW16" s="459">
        <f>SUMPRODUCT(('Prenatal Care'!$AC$7:$AC$762=HW$6)*('Prenatal Care'!$C$7:$C$762&gt;=Lists!$AE10)*('Prenatal Care'!$C$7:$C$762&lt;=Lists!$AF10))</f>
        <v>0</v>
      </c>
      <c r="HX16" s="459">
        <f>SUMPRODUCT(('Prenatal Care'!$AC$7:$AC$762=HX$6)*('Prenatal Care'!$C$7:$C$762&gt;=Lists!$AE10)*('Prenatal Care'!$C$7:$C$762&lt;=Lists!$AF10))</f>
        <v>0</v>
      </c>
      <c r="HY16" s="459">
        <f>SUMPRODUCT(('Prenatal Care'!$AC$7:$AC$762=HY$6)*('Prenatal Care'!$C$7:$C$762&gt;=Lists!$AE10)*('Prenatal Care'!$C$7:$C$762&lt;=Lists!$AF10))</f>
        <v>0</v>
      </c>
      <c r="HZ16" s="460">
        <f>SUMPRODUCT(('Prenatal Care'!$AC$7:$AC$762=HZ$6)*('Prenatal Care'!$C$7:$C$762&gt;=Lists!$AE10)*('Prenatal Care'!$C$7:$C$762&lt;=Lists!$AF10))</f>
        <v>0</v>
      </c>
      <c r="IA16" s="471">
        <f t="shared" si="2"/>
        <v>0</v>
      </c>
      <c r="IB16" s="469">
        <f>SUMPRODUCT(('Prenatal Care'!$AD$7:$AD$762=IB$6)*('Prenatal Care'!$C$7:$C$762&gt;=Lists!$AE10)*('Prenatal Care'!$C$7:$C$762&lt;=Lists!$AF10))</f>
        <v>0</v>
      </c>
      <c r="IC16" s="473">
        <f>SUMPRODUCT(('Prenatal Care'!$AD$7:$AD$762=IC$6)*('Prenatal Care'!$C$7:$C$762&gt;=Lists!$AE10)*('Prenatal Care'!$C$7:$C$762&lt;=Lists!$AF10))</f>
        <v>0</v>
      </c>
      <c r="ID16" s="470">
        <f>SUMPRODUCT(('Prenatal Care'!$AD$7:$AD$762=ID$6)*('Prenatal Care'!$C$7:$C$762&gt;=Lists!$AE10)*('Prenatal Care'!$C$7:$C$762&lt;=Lists!$AF10))</f>
        <v>0</v>
      </c>
      <c r="IE16" s="470">
        <f>SUMPRODUCT(('Prenatal Care'!$AD$7:$AD$762=IE$6)*('Prenatal Care'!$C$7:$C$762&gt;=Lists!$AE10)*('Prenatal Care'!$C$7:$C$762&lt;=Lists!$AF10))</f>
        <v>0</v>
      </c>
      <c r="IF16" s="470">
        <f>SUMPRODUCT(('Prenatal Care'!$AD$7:$AD$762=IF$6)*('Prenatal Care'!$C$7:$C$762&gt;=Lists!$AE10)*('Prenatal Care'!$C$7:$C$762&lt;=Lists!$AF10))</f>
        <v>0</v>
      </c>
      <c r="IG16" s="471">
        <f t="shared" si="3"/>
        <v>0</v>
      </c>
      <c r="IH16" s="464">
        <f>SUMPRODUCT(('Prenatal Care'!$AE$7:$AE$762=IH$6)*('Prenatal Care'!$C$7:$C$762&gt;=Lists!$AE10)*('Prenatal Care'!$C$7:$C$762&lt;=Lists!$AF10))</f>
        <v>0</v>
      </c>
      <c r="II16" s="464">
        <f>SUMPRODUCT(('Prenatal Care'!$AE$7:$AE$762=II$6)*('Prenatal Care'!$C$7:$C$762&gt;=Lists!$AE10)*('Prenatal Care'!$C$7:$C$762&lt;=Lists!$AF10))</f>
        <v>0</v>
      </c>
      <c r="IJ16" s="464">
        <f>SUMPRODUCT(('Prenatal Care'!$AE$7:$AE$762=IJ$6)*('Prenatal Care'!$C$7:$C$762&gt;=Lists!$AE10)*('Prenatal Care'!$C$7:$C$762&lt;=Lists!$AF10))</f>
        <v>0</v>
      </c>
      <c r="IK16" s="464">
        <f>SUMPRODUCT(('Prenatal Care'!$AE$7:$AE$762=IK$6)*('Prenatal Care'!$C$7:$C$762&gt;=Lists!$AE10)*('Prenatal Care'!$C$7:$C$762&lt;=Lists!$AF10))</f>
        <v>0</v>
      </c>
      <c r="IL16" s="464">
        <f>SUMPRODUCT(('Prenatal Care'!$AE$7:$AE$762=IL$6)*('Prenatal Care'!$C$7:$C$762&gt;=Lists!$AE10)*('Prenatal Care'!$C$7:$C$762&lt;=Lists!$AF10))</f>
        <v>0</v>
      </c>
      <c r="IM16" s="464">
        <f>SUMPRODUCT(('Prenatal Care'!$AE$7:$AE$762=IM$6)*('Prenatal Care'!$C$7:$C$762&gt;=Lists!$AE10)*('Prenatal Care'!$C$7:$C$762&lt;=Lists!$AF10))</f>
        <v>0</v>
      </c>
      <c r="IN16" s="464">
        <f>SUMPRODUCT(('Prenatal Care'!$AE$7:$AE$762=IN$6)*('Prenatal Care'!$C$7:$C$762&gt;=Lists!$AE10)*('Prenatal Care'!$C$7:$C$762&lt;=Lists!$AF10))</f>
        <v>0</v>
      </c>
      <c r="IO16" s="464">
        <f>SUMPRODUCT(('Prenatal Care'!$AE$7:$AE$762=IO$6)*('Prenatal Care'!$C$7:$C$762&gt;=Lists!$AE10)*('Prenatal Care'!$C$7:$C$762&lt;=Lists!$AF10))</f>
        <v>0</v>
      </c>
      <c r="IP16" s="464">
        <f>SUMPRODUCT(('Prenatal Care'!$AE$7:$AE$762=IP$6)*('Prenatal Care'!$C$7:$C$762&gt;=Lists!$AE10)*('Prenatal Care'!$C$7:$C$762&lt;=Lists!$AF10))</f>
        <v>0</v>
      </c>
      <c r="IQ16" s="464">
        <f>SUMPRODUCT(('Prenatal Care'!$AE$7:$AE$762=IQ$6)*('Prenatal Care'!$C$7:$C$762&gt;=Lists!$AE10)*('Prenatal Care'!$C$7:$C$762&lt;=Lists!$AF10))</f>
        <v>0</v>
      </c>
      <c r="IR16" s="464">
        <f>SUMPRODUCT(('Prenatal Care'!$AE$7:$AE$762=IR$6)*('Prenatal Care'!$C$7:$C$762&gt;=Lists!$AE10)*('Prenatal Care'!$C$7:$C$762&lt;=Lists!$AF10))</f>
        <v>0</v>
      </c>
      <c r="IS16" s="464">
        <f>SUMPRODUCT(('Prenatal Care'!$AE$7:$AE$762=IS$6)*('Prenatal Care'!$C$7:$C$762&gt;=Lists!$AE10)*('Prenatal Care'!$C$7:$C$762&lt;=Lists!$AF10))</f>
        <v>0</v>
      </c>
      <c r="IT16" s="517">
        <f>SUMPRODUCT(('Prenatal Care'!$AE$7:$AE$762=IT$6)*('Prenatal Care'!$C$7:$C$762&gt;=Lists!$AE10)*('Prenatal Care'!$C$7:$C$762&lt;=Lists!$AF10))</f>
        <v>0</v>
      </c>
      <c r="IU16" s="471">
        <f t="shared" si="27"/>
        <v>0</v>
      </c>
      <c r="IV16" s="473">
        <f>SUMPRODUCT(('Prenatal Care'!$AF$7:$AF$762=IV$6)*('Prenatal Care'!$C$7:$C$762&gt;=Lists!$AE10)*('Prenatal Care'!$C$7:$C$762&lt;=Lists!$AF10))</f>
        <v>0</v>
      </c>
      <c r="IW16" s="470">
        <f>SUMPRODUCT(('Prenatal Care'!$AF$7:$AF$762=IW$6)*('Prenatal Care'!$C$7:$C$762&gt;=Lists!$AE10)*('Prenatal Care'!$C$7:$C$762&lt;=Lists!$AF10))</f>
        <v>0</v>
      </c>
      <c r="IX16" s="470">
        <f>SUMPRODUCT(('Prenatal Care'!$AF$7:$AF$762=IX$6)*('Prenatal Care'!$C$7:$C$762&gt;=Lists!$AE10)*('Prenatal Care'!$C$7:$C$762&lt;=Lists!$AF10))</f>
        <v>0</v>
      </c>
      <c r="IY16" s="470">
        <f>SUMPRODUCT(('Prenatal Care'!$AF$7:$AF$762=IY$6)*('Prenatal Care'!$C$7:$C$762&gt;=Lists!$AE10)*('Prenatal Care'!$C$7:$C$762&lt;=Lists!$AF10))</f>
        <v>0</v>
      </c>
      <c r="IZ16" s="470">
        <f>SUMPRODUCT(('Prenatal Care'!$AF$7:$AF$762=IZ$6)*('Prenatal Care'!$C$7:$C$762&gt;=Lists!$AE10)*('Prenatal Care'!$C$7:$C$762&lt;=Lists!$AF10))</f>
        <v>0</v>
      </c>
      <c r="JA16" s="470">
        <f>SUMPRODUCT(('Prenatal Care'!$AF$7:$AF$762=JA$6)*('Prenatal Care'!$C$7:$C$762&gt;=Lists!$AE10)*('Prenatal Care'!$C$7:$C$762&lt;=Lists!$AF10))</f>
        <v>0</v>
      </c>
      <c r="JB16" s="470">
        <f>SUMPRODUCT(('Prenatal Care'!$AF$7:$AF$762=JB$6)*('Prenatal Care'!$C$7:$C$762&gt;=Lists!$AE10)*('Prenatal Care'!$C$7:$C$762&lt;=Lists!$AF10))</f>
        <v>0</v>
      </c>
      <c r="JC16" s="470">
        <f>SUMPRODUCT(('Prenatal Care'!$AF$7:$AF$762=JC$6)*('Prenatal Care'!$C$7:$C$762&gt;=Lists!$AE10)*('Prenatal Care'!$C$7:$C$762&lt;=Lists!$AF10))</f>
        <v>0</v>
      </c>
      <c r="JD16" s="470">
        <f>SUMPRODUCT(('Prenatal Care'!$AF$7:$AF$762=JD$6)*('Prenatal Care'!$C$7:$C$762&gt;=Lists!$AE10)*('Prenatal Care'!$C$7:$C$762&lt;=Lists!$AF10))</f>
        <v>0</v>
      </c>
      <c r="JE16" s="470">
        <f>SUMPRODUCT(('Prenatal Care'!$AF$7:$AF$762=JE$6)*('Prenatal Care'!$C$7:$C$762&gt;=Lists!$AE10)*('Prenatal Care'!$C$7:$C$762&lt;=Lists!$AF10))</f>
        <v>0</v>
      </c>
      <c r="JF16" s="470">
        <f>SUMPRODUCT(('Prenatal Care'!$AF$7:$AF$762=JF$6)*('Prenatal Care'!$C$7:$C$762&gt;=Lists!$AE10)*('Prenatal Care'!$C$7:$C$762&lt;=Lists!$AF10))</f>
        <v>0</v>
      </c>
      <c r="JG16" s="470">
        <f>SUMPRODUCT(('Prenatal Care'!$AF$7:$AF$762=JG$6)*('Prenatal Care'!$C$7:$C$762&gt;=Lists!$AE10)*('Prenatal Care'!$C$7:$C$762&lt;=Lists!$AF10))</f>
        <v>0</v>
      </c>
      <c r="JH16" s="470">
        <f>SUMPRODUCT(('Prenatal Care'!$AF$7:$AF$762=JH$6)*('Prenatal Care'!$C$7:$C$762&gt;=Lists!$AE10)*('Prenatal Care'!$C$7:$C$762&lt;=Lists!$AF10))</f>
        <v>0</v>
      </c>
      <c r="JI16" s="470">
        <f>SUMPRODUCT(('Prenatal Care'!$AF$7:$AF$762=JI$6)*('Prenatal Care'!$C$7:$C$762&gt;=Lists!$AE10)*('Prenatal Care'!$C$7:$C$762&lt;=Lists!$AF10))</f>
        <v>0</v>
      </c>
      <c r="JJ16" s="470">
        <f>SUMPRODUCT(('Prenatal Care'!$AF$7:$AF$762=JJ$6)*('Prenatal Care'!$C$7:$C$762&gt;=Lists!$AE10)*('Prenatal Care'!$C$7:$C$762&lt;=Lists!$AF10))</f>
        <v>0</v>
      </c>
      <c r="JK16" s="470">
        <f>SUMPRODUCT(('Prenatal Care'!$AF$7:$AF$762=JK$6)*('Prenatal Care'!$C$7:$C$762&gt;=Lists!$AE10)*('Prenatal Care'!$C$7:$C$762&lt;=Lists!$AF10))</f>
        <v>0</v>
      </c>
      <c r="JL16" s="470">
        <f>SUMPRODUCT(('Prenatal Care'!$AF$7:$AF$762=JL$6)*('Prenatal Care'!$C$7:$C$762&gt;=Lists!$AE10)*('Prenatal Care'!$C$7:$C$762&lt;=Lists!$AF10))</f>
        <v>0</v>
      </c>
      <c r="JM16" s="470">
        <f>SUMPRODUCT(('Prenatal Care'!$AF$7:$AF$762=JM$6)*('Prenatal Care'!$C$7:$C$762&gt;=Lists!$AE10)*('Prenatal Care'!$C$7:$C$762&lt;=Lists!$AF10))</f>
        <v>0</v>
      </c>
      <c r="JN16" s="470">
        <f>SUMPRODUCT(('Prenatal Care'!$AF$7:$AF$762=JN$6)*('Prenatal Care'!$C$7:$C$762&gt;=Lists!$AE10)*('Prenatal Care'!$C$7:$C$762&lt;=Lists!$AF10))</f>
        <v>0</v>
      </c>
      <c r="JO16" s="470">
        <f>SUMPRODUCT(('Prenatal Care'!$AF$7:$AF$762=JO$6)*('Prenatal Care'!$C$7:$C$762&gt;=Lists!$AE10)*('Prenatal Care'!$C$7:$C$762&lt;=Lists!$AF10))</f>
        <v>0</v>
      </c>
      <c r="JP16" s="470">
        <f>SUMPRODUCT(('Prenatal Care'!$AF$7:$AF$762=JP$6)*('Prenatal Care'!$C$7:$C$762&gt;=Lists!$AE10)*('Prenatal Care'!$C$7:$C$762&lt;=Lists!$AF10))</f>
        <v>0</v>
      </c>
      <c r="JQ16" s="475">
        <f>SUMPRODUCT(('Prenatal Care'!$AF$7:$AF$762=JQ$6)*('Prenatal Care'!$C$7:$C$762&gt;=Lists!$AE10)*('Prenatal Care'!$C$7:$C$762&lt;=Lists!$AF10))</f>
        <v>0</v>
      </c>
      <c r="JR16" s="471">
        <f t="shared" si="28"/>
        <v>0</v>
      </c>
      <c r="JS16" s="469">
        <f>SUMPRODUCT(('Prenatal Care'!$AH$7:$AH$762=JS$6)*('Prenatal Care'!$C$7:$C$762&gt;=Lists!$AE10)*('Prenatal Care'!$C$7:$C$762&lt;=Lists!$AF10))</f>
        <v>0</v>
      </c>
      <c r="JT16" s="470">
        <f>SUMPRODUCT(('Prenatal Care'!$AH$7:$AH$762=JT$6)*('Prenatal Care'!$C$7:$C$762&gt;=Lists!$AE10)*('Prenatal Care'!$C$7:$C$762&lt;=Lists!$AF10))</f>
        <v>0</v>
      </c>
      <c r="JU16" s="470">
        <f>SUMPRODUCT(('Prenatal Care'!$AH$7:$AH$762=JU$6)*('Prenatal Care'!$C$7:$C$762&gt;=Lists!$AE10)*('Prenatal Care'!$C$7:$C$762&lt;=Lists!$AF10))</f>
        <v>0</v>
      </c>
      <c r="JV16" s="470">
        <f>SUMPRODUCT(('Prenatal Care'!$AH$7:$AH$762=JV$6)*('Prenatal Care'!$C$7:$C$762&gt;=Lists!$AE10)*('Prenatal Care'!$C$7:$C$762&lt;=Lists!$AF10))</f>
        <v>0</v>
      </c>
      <c r="JW16" s="470">
        <f>SUMPRODUCT(('Prenatal Care'!$AH$7:$AH$762=JW$6)*('Prenatal Care'!$C$7:$C$762&gt;=Lists!$AE10)*('Prenatal Care'!$C$7:$C$762&lt;=Lists!$AF10))</f>
        <v>0</v>
      </c>
      <c r="JX16" s="470">
        <f>SUMPRODUCT(('Prenatal Care'!$AH$7:$AH$762=JX$6)*('Prenatal Care'!$C$7:$C$762&gt;=Lists!$AE10)*('Prenatal Care'!$C$7:$C$762&lt;=Lists!$AF10))</f>
        <v>0</v>
      </c>
      <c r="JY16" s="470">
        <f>SUMPRODUCT(('Prenatal Care'!$AH$7:$AH$762=JY$6)*('Prenatal Care'!$C$7:$C$762&gt;=Lists!$AE10)*('Prenatal Care'!$C$7:$C$762&lt;=Lists!$AF10))</f>
        <v>0</v>
      </c>
      <c r="JZ16" s="470">
        <f>SUMPRODUCT(('Prenatal Care'!$AH$7:$AH$762=JZ$6)*('Prenatal Care'!$C$7:$C$762&gt;=Lists!$AE10)*('Prenatal Care'!$C$7:$C$762&lt;=Lists!$AF10))</f>
        <v>0</v>
      </c>
      <c r="KA16" s="470">
        <f>SUMPRODUCT(('Prenatal Care'!$AH$7:$AH$762=KA$6)*('Prenatal Care'!$C$7:$C$762&gt;=Lists!$AE10)*('Prenatal Care'!$C$7:$C$762&lt;=Lists!$AF10))</f>
        <v>0</v>
      </c>
      <c r="KB16" s="470">
        <f>SUMPRODUCT(('Prenatal Care'!$AH$7:$AH$762=KB$6)*('Prenatal Care'!$C$7:$C$762&gt;=Lists!$AE10)*('Prenatal Care'!$C$7:$C$762&lt;=Lists!$AF10))</f>
        <v>0</v>
      </c>
      <c r="KC16" s="475">
        <f>SUMPRODUCT(('Prenatal Care'!$AH$7:$AH$762=KC$6)*('Prenatal Care'!$C$7:$C$762&gt;=Lists!$AE10)*('Prenatal Care'!$C$7:$C$762&lt;=Lists!$AF10))</f>
        <v>0</v>
      </c>
      <c r="KD16" s="471">
        <f t="shared" si="29"/>
        <v>0</v>
      </c>
      <c r="KE16" s="473">
        <f>SUMPRODUCT(('Prenatal Care'!$AI$7:$AI$762=KE$6)*('Prenatal Care'!$C$7:$C$762&gt;=Lists!$AE10)*('Prenatal Care'!$C$7:$C$762&lt;=Lists!$AF10))</f>
        <v>0</v>
      </c>
      <c r="KF16" s="470">
        <f>SUMPRODUCT(('Prenatal Care'!$AI$7:$AI$762=KF$6)*('Prenatal Care'!$C$7:$C$762&gt;=Lists!$AE10)*('Prenatal Care'!$C$7:$C$762&lt;=Lists!$AF10))</f>
        <v>0</v>
      </c>
      <c r="KG16" s="470">
        <f>SUMPRODUCT(('Prenatal Care'!$AI$7:$AI$762=KG$6)*('Prenatal Care'!$C$7:$C$762&gt;=Lists!$AE10)*('Prenatal Care'!$C$7:$C$762&lt;=Lists!$AF10))</f>
        <v>0</v>
      </c>
      <c r="KH16" s="470">
        <f>SUMPRODUCT(('Prenatal Care'!$AI$7:$AI$762=KH$6)*('Prenatal Care'!$C$7:$C$762&gt;=Lists!$AE10)*('Prenatal Care'!$C$7:$C$762&lt;=Lists!$AF10))</f>
        <v>0</v>
      </c>
      <c r="KI16" s="475">
        <f>SUMPRODUCT(('Prenatal Care'!$AI$7:$AI$762=KI$6)*('Prenatal Care'!$C$7:$C$762&gt;=Lists!$AE10)*('Prenatal Care'!$C$7:$C$762&lt;=Lists!$AF10))</f>
        <v>0</v>
      </c>
      <c r="KJ16" s="471">
        <f t="shared" si="5"/>
        <v>0</v>
      </c>
      <c r="KK16" s="518">
        <f t="shared" si="6"/>
        <v>0</v>
      </c>
      <c r="KN16" s="15"/>
      <c r="KO16" s="15"/>
      <c r="KP16" s="15"/>
      <c r="KQ16" s="15"/>
      <c r="KR16" s="15"/>
      <c r="KS16" s="15"/>
      <c r="KT16" s="15"/>
      <c r="KU16" s="16"/>
      <c r="KV16" s="15"/>
      <c r="KW16" s="15"/>
      <c r="KX16" s="15"/>
      <c r="KY16" s="15"/>
      <c r="KZ16" s="15"/>
    </row>
    <row r="17" spans="1:312" ht="15" customHeight="1" x14ac:dyDescent="0.35">
      <c r="A17" s="567">
        <v>46023</v>
      </c>
      <c r="B17" s="448">
        <f>SUMPRODUCT(('Prenatal Care'!$F$7:$F$762=B$6)*('Prenatal Care'!$C$7:$C$762&gt;=Lists!$AE11)*('Prenatal Care'!$C$7:$C$762&lt;=Lists!$AF11))</f>
        <v>0</v>
      </c>
      <c r="C17" s="449">
        <f>SUMPRODUCT(('Prenatal Care'!$F$7:$F$762=C$6)*('Prenatal Care'!$C$7:$C$762&gt;=Lists!$AE11)*('Prenatal Care'!$C$7:$C$762&lt;=Lists!$AF11))</f>
        <v>0</v>
      </c>
      <c r="D17" s="449">
        <f>SUMPRODUCT(('Prenatal Care'!$F$7:$F$762=D$6)*('Prenatal Care'!$C$7:$C$762&gt;=Lists!$AE11)*('Prenatal Care'!$C$7:$C$762&lt;=Lists!$AF11))</f>
        <v>0</v>
      </c>
      <c r="E17" s="450">
        <f>SUMPRODUCT(('Prenatal Care'!$F$7:$F$762=E$6)*('Prenatal Care'!$C$7:$C$762&gt;=Lists!$AE11)*('Prenatal Care'!$C$7:$C$762&lt;=Lists!$AF11))</f>
        <v>0</v>
      </c>
      <c r="F17" s="213">
        <f t="shared" si="7"/>
        <v>0</v>
      </c>
      <c r="G17" s="441">
        <f>SUMPRODUCT(('Prenatal Care'!$G$7:$G$762=G$6)*('Prenatal Care'!$C$7:$C$762&gt;=Lists!$AE11)*('Prenatal Care'!$C$7:$C$762&lt;=Lists!$AF11))</f>
        <v>0</v>
      </c>
      <c r="H17" s="441">
        <f>SUMPRODUCT(('Prenatal Care'!$G$7:$G$762=H$6)*('Prenatal Care'!$C$7:$C$762&gt;=Lists!$AE11)*('Prenatal Care'!$C$7:$C$762&lt;=Lists!$AF11))</f>
        <v>0</v>
      </c>
      <c r="I17" s="441">
        <f>SUMPRODUCT(('Prenatal Care'!$G$7:$G$762=I$6)*('Prenatal Care'!$C$7:$C$762&gt;=Lists!$AE11)*('Prenatal Care'!$C$7:$C$762&lt;=Lists!$AF11))</f>
        <v>0</v>
      </c>
      <c r="J17" s="441">
        <f>SUMPRODUCT(('Prenatal Care'!$G$7:$G$762=J$6)*('Prenatal Care'!$C$7:$C$762&gt;=Lists!$AE11)*('Prenatal Care'!$C$7:$C$762&lt;=Lists!$AF11))</f>
        <v>0</v>
      </c>
      <c r="K17" s="441">
        <f>SUMPRODUCT(('Prenatal Care'!$G$7:$G$762=K$6)*('Prenatal Care'!$C$7:$C$762&gt;=Lists!$AE11)*('Prenatal Care'!$C$7:$C$762&lt;=Lists!$AF11))</f>
        <v>0</v>
      </c>
      <c r="L17" s="441">
        <f>SUMPRODUCT(('Prenatal Care'!$G$7:$G$762=L$6)*('Prenatal Care'!$C$7:$C$762&gt;=Lists!$AE11)*('Prenatal Care'!$C$7:$C$762&lt;=Lists!$AF11))</f>
        <v>0</v>
      </c>
      <c r="M17" s="441">
        <f>SUMPRODUCT(('Prenatal Care'!$G$7:$G$762=M$6)*('Prenatal Care'!$C$7:$C$762&gt;=Lists!$AE11)*('Prenatal Care'!$C$7:$C$762&lt;=Lists!$AF11))</f>
        <v>0</v>
      </c>
      <c r="N17" s="170">
        <f t="shared" si="8"/>
        <v>0</v>
      </c>
      <c r="O17" s="441">
        <f>SUMPRODUCT(('Prenatal Care'!$H$7:$H$762=O$6)*('Prenatal Care'!$C$7:$C$762&gt;=Lists!$AE11)*('Prenatal Care'!$C$7:$C$762&lt;=Lists!$AF11))</f>
        <v>0</v>
      </c>
      <c r="P17" s="441">
        <f>SUMPRODUCT(('Prenatal Care'!$H$7:$H$762=P$6)*('Prenatal Care'!$C$7:$C$762&gt;=Lists!$AE11)*('Prenatal Care'!$C$7:$C$762&lt;=Lists!$AF11))</f>
        <v>0</v>
      </c>
      <c r="Q17" s="441">
        <f>SUMPRODUCT(('Prenatal Care'!$H$7:$H$762=Q$6)*('Prenatal Care'!$C$7:$C$762&gt;=Lists!$AE11)*('Prenatal Care'!$C$7:$C$762&lt;=Lists!$AF11))</f>
        <v>0</v>
      </c>
      <c r="R17" s="441">
        <f>SUMPRODUCT(('Prenatal Care'!$H$7:$H$762=R$6)*('Prenatal Care'!$C$7:$C$762&gt;=Lists!$AE11)*('Prenatal Care'!$C$7:$C$762&lt;=Lists!$AF11))</f>
        <v>0</v>
      </c>
      <c r="S17" s="441">
        <f>SUMPRODUCT(('Prenatal Care'!$H$7:$H$762=S$6)*('Prenatal Care'!$C$7:$C$762&gt;=Lists!$AE11)*('Prenatal Care'!$C$7:$C$762&lt;=Lists!$AF11))</f>
        <v>0</v>
      </c>
      <c r="T17" s="441">
        <f>SUMPRODUCT(('Prenatal Care'!$H$7:$H$762=T$6)*('Prenatal Care'!$C$7:$C$762&gt;=Lists!$AE11)*('Prenatal Care'!$C$7:$C$762&lt;=Lists!$AF11))</f>
        <v>0</v>
      </c>
      <c r="U17" s="441">
        <f>SUMPRODUCT(('Prenatal Care'!$H$7:$H$762=U$6)*('Prenatal Care'!$C$7:$C$762&gt;=Lists!$AE11)*('Prenatal Care'!$C$7:$C$762&lt;=Lists!$AF11))</f>
        <v>0</v>
      </c>
      <c r="V17" s="170">
        <f t="shared" si="9"/>
        <v>0</v>
      </c>
      <c r="W17" s="441">
        <f>SUMPRODUCT(('Prenatal Care'!$I$7:$I$762=W$6)*('Prenatal Care'!$C$7:$C$762&gt;=Lists!$AE11)*('Prenatal Care'!$C$7:$C$762&lt;=Lists!$AF11))</f>
        <v>0</v>
      </c>
      <c r="X17" s="441">
        <f>SUMPRODUCT(('Prenatal Care'!$I$7:$I$762=X$6)*('Prenatal Care'!$C$7:$C$762&gt;=Lists!$AE11)*('Prenatal Care'!$C$7:$C$762&lt;=Lists!$AF11))</f>
        <v>0</v>
      </c>
      <c r="Y17" s="441">
        <f>SUMPRODUCT(('Prenatal Care'!$I$7:$I$762=Y$6)*('Prenatal Care'!$C$7:$C$762&gt;=Lists!$AE11)*('Prenatal Care'!$C$7:$C$762&lt;=Lists!$AF11))</f>
        <v>0</v>
      </c>
      <c r="Z17" s="441">
        <f>SUMPRODUCT(('Prenatal Care'!$I$7:$I$762=Z$6)*('Prenatal Care'!$C$7:$C$762&gt;=Lists!$AE11)*('Prenatal Care'!$C$7:$C$762&lt;=Lists!$AF11))</f>
        <v>0</v>
      </c>
      <c r="AA17" s="441">
        <f>SUMPRODUCT(('Prenatal Care'!$I$7:$I$762=AA$6)*('Prenatal Care'!$C$7:$C$762&gt;=Lists!$AE11)*('Prenatal Care'!$C$7:$C$762&lt;=Lists!$AF11))</f>
        <v>0</v>
      </c>
      <c r="AB17" s="441">
        <f>SUMPRODUCT(('Prenatal Care'!$I$7:$I$762=AB$6)*('Prenatal Care'!$C$7:$C$762&gt;=Lists!$AE11)*('Prenatal Care'!$C$7:$C$762&lt;=Lists!$AF11))</f>
        <v>0</v>
      </c>
      <c r="AC17" s="170">
        <f t="shared" si="10"/>
        <v>0</v>
      </c>
      <c r="AD17" s="441">
        <f>SUMPRODUCT(('Prenatal Care'!$J$7:$J$762=AD$6)*('Prenatal Care'!$C$7:$C$762&gt;=Lists!$AE11)*('Prenatal Care'!$C$7:$C$762&lt;=Lists!$AF11))</f>
        <v>0</v>
      </c>
      <c r="AE17" s="441">
        <f>SUMPRODUCT(('Prenatal Care'!$J$7:$J$762=AE$6)*('Prenatal Care'!$C$7:$C$762&gt;=Lists!$AE11)*('Prenatal Care'!$C$7:$C$762&lt;=Lists!$AF11))</f>
        <v>0</v>
      </c>
      <c r="AF17" s="441">
        <f>SUMPRODUCT(('Prenatal Care'!$J$7:$J$762=AF$6)*('Prenatal Care'!$C$7:$C$762&gt;=Lists!$AE11)*('Prenatal Care'!$C$7:$C$762&lt;=Lists!$AF11))</f>
        <v>0</v>
      </c>
      <c r="AG17" s="441">
        <f>SUMPRODUCT(('Prenatal Care'!$J$7:$J$762=AG$6)*('Prenatal Care'!$C$7:$C$762&gt;=Lists!$AE11)*('Prenatal Care'!$C$7:$C$762&lt;=Lists!$AF11))</f>
        <v>0</v>
      </c>
      <c r="AH17" s="170">
        <f t="shared" si="11"/>
        <v>0</v>
      </c>
      <c r="AI17" s="441">
        <f>SUMPRODUCT(('Prenatal Care'!$K$7:$K$762=AI$6)*('Prenatal Care'!$C$7:$C$762&gt;=Lists!$AE11)*('Prenatal Care'!$C$7:$C$762&lt;=Lists!$AF11))</f>
        <v>0</v>
      </c>
      <c r="AJ17" s="441">
        <f>SUMPRODUCT(('Prenatal Care'!$K$7:$K$762=AJ$6)*('Prenatal Care'!$C$7:$C$762&gt;=Lists!$AE11)*('Prenatal Care'!$C$7:$C$762&lt;=Lists!$AF11))</f>
        <v>0</v>
      </c>
      <c r="AK17" s="441">
        <f>SUMPRODUCT(('Prenatal Care'!$K$7:$K$762=AK$6)*('Prenatal Care'!$C$7:$C$762&gt;=Lists!$AE11)*('Prenatal Care'!$C$7:$C$762&lt;=Lists!$AF11))</f>
        <v>0</v>
      </c>
      <c r="AL17" s="441">
        <f>SUMPRODUCT(('Prenatal Care'!$K$7:$K$762=AL$6)*('Prenatal Care'!$C$7:$C$762&gt;=Lists!$AE11)*('Prenatal Care'!$C$7:$C$762&lt;=Lists!$AF11))</f>
        <v>0</v>
      </c>
      <c r="AM17" s="170">
        <f t="shared" si="12"/>
        <v>0</v>
      </c>
      <c r="AN17" s="441">
        <f>SUMPRODUCT(('Prenatal Care'!$L$7:$L$762=AN$6)*('Prenatal Care'!$C$7:$C$762&gt;=Lists!$AE11)*('Prenatal Care'!$C$7:$C$762&lt;=Lists!$AF11))</f>
        <v>0</v>
      </c>
      <c r="AO17" s="441">
        <f>SUMPRODUCT(('Prenatal Care'!$L$7:$L$762=AO$6)*('Prenatal Care'!$C$7:$C$762&gt;=Lists!$AE11)*('Prenatal Care'!$C$7:$C$762&lt;=Lists!$AF11))</f>
        <v>0</v>
      </c>
      <c r="AP17" s="441">
        <f>SUMPRODUCT(('Prenatal Care'!$L$7:$L$762=AP$6)*('Prenatal Care'!$C$7:$C$762&gt;=Lists!$AE11)*('Prenatal Care'!$C$7:$C$762&lt;=Lists!$AF11))</f>
        <v>0</v>
      </c>
      <c r="AQ17" s="441">
        <f>SUMPRODUCT(('Prenatal Care'!$L$7:$L$762=AQ$6)*('Prenatal Care'!$C$7:$C$762&gt;=Lists!$AE11)*('Prenatal Care'!$C$7:$C$762&lt;=Lists!$AF11))</f>
        <v>0</v>
      </c>
      <c r="AR17" s="170">
        <f t="shared" si="13"/>
        <v>0</v>
      </c>
      <c r="AS17" s="466">
        <f>SUMPRODUCT(('Prenatal Care'!$M$7:$M$762=AS$6)*('Prenatal Care'!$C$7:$C$762&gt;=Lists!$AE11)*('Prenatal Care'!$C$7:$C$762&lt;=Lists!$AF11))</f>
        <v>0</v>
      </c>
      <c r="AT17" s="467">
        <f>SUMPRODUCT(('Prenatal Care'!$M$7:$M$762=AT$6)*('Prenatal Care'!$C$7:$C$762&gt;=Lists!$AE11)*('Prenatal Care'!$C$7:$C$762&lt;=Lists!$AF11))</f>
        <v>0</v>
      </c>
      <c r="AU17" s="467">
        <f>SUMPRODUCT(('Prenatal Care'!$M$7:$M$762=AU$6)*('Prenatal Care'!$C$7:$C$762&gt;=Lists!$AE11)*('Prenatal Care'!$C$7:$C$762&lt;=Lists!$AF11))</f>
        <v>0</v>
      </c>
      <c r="AV17" s="498">
        <f>SUMPRODUCT(('Prenatal Care'!$M$7:$M$762=AV$6)*('Prenatal Care'!$C$7:$C$762&gt;=Lists!$AE11)*('Prenatal Care'!$C$7:$C$762&lt;=Lists!$AF11))</f>
        <v>0</v>
      </c>
      <c r="AW17" s="468">
        <f t="shared" si="14"/>
        <v>0</v>
      </c>
      <c r="AX17" s="473">
        <f>SUMPRODUCT(('Prenatal Care'!$N$7:$N$762=AX$6)*('Prenatal Care'!$C$7:$C$762&gt;=Lists!$AE11)*('Prenatal Care'!$C$7:$C$762&lt;=Lists!$AF11))</f>
        <v>0</v>
      </c>
      <c r="AY17" s="470">
        <f>SUMPRODUCT(('Prenatal Care'!$N$7:$N$762=AY$6)*('Prenatal Care'!$C$7:$C$762&gt;=Lists!$AE11)*('Prenatal Care'!$C$7:$C$762&lt;=Lists!$AF11))</f>
        <v>0</v>
      </c>
      <c r="AZ17" s="470">
        <f>SUMPRODUCT(('Prenatal Care'!$N$7:$N$762=AZ$6)*('Prenatal Care'!$C$7:$C$762&gt;=Lists!$AE11)*('Prenatal Care'!$C$7:$C$762&lt;=Lists!$AF11))</f>
        <v>0</v>
      </c>
      <c r="BA17" s="470">
        <f>SUMPRODUCT(('Prenatal Care'!$N$7:$N$762=BA$6)*('Prenatal Care'!$C$7:$C$762&gt;=Lists!$AE11)*('Prenatal Care'!$C$7:$C$762&lt;=Lists!$AF11))</f>
        <v>0</v>
      </c>
      <c r="BB17" s="475">
        <f>SUMPRODUCT(('Prenatal Care'!$N$7:$N$762=BB$6)*('Prenatal Care'!$C$7:$C$762&gt;=Lists!$AE11)*('Prenatal Care'!$C$7:$C$762&lt;=Lists!$AF11))</f>
        <v>0</v>
      </c>
      <c r="BC17" s="471">
        <f t="shared" si="15"/>
        <v>0</v>
      </c>
      <c r="BD17" s="473">
        <f>SUMPRODUCT(('Prenatal Care'!$O$7:$O$762=BD$6)*('Prenatal Care'!$C$7:$C$762&gt;=Lists!$AE11)*('Prenatal Care'!$C$7:$C$762&lt;=Lists!$AF11))</f>
        <v>0</v>
      </c>
      <c r="BE17" s="470">
        <f>SUMPRODUCT(('Prenatal Care'!$O$7:$O$762=BE$6)*('Prenatal Care'!$C$7:$C$762&gt;=Lists!$AE11)*('Prenatal Care'!$C$7:$C$762&lt;=Lists!$AF11))</f>
        <v>0</v>
      </c>
      <c r="BF17" s="470">
        <f>SUMPRODUCT(('Prenatal Care'!$O$7:$O$762=BF$6)*('Prenatal Care'!$C$7:$C$762&gt;=Lists!$AE11)*('Prenatal Care'!$C$7:$C$762&lt;=Lists!$AF11))</f>
        <v>0</v>
      </c>
      <c r="BG17" s="470">
        <f>SUMPRODUCT(('Prenatal Care'!$O$7:$O$762=BG$6)*('Prenatal Care'!$C$7:$C$762&gt;=Lists!$AE11)*('Prenatal Care'!$C$7:$C$762&lt;=Lists!$AF11))</f>
        <v>0</v>
      </c>
      <c r="BH17" s="470">
        <f>SUMPRODUCT(('Prenatal Care'!$O$7:$O$762=BH$6)*('Prenatal Care'!$C$7:$C$762&gt;=Lists!$AE11)*('Prenatal Care'!$C$7:$C$762&lt;=Lists!$AF11))</f>
        <v>0</v>
      </c>
      <c r="BI17" s="475">
        <f>SUMPRODUCT(('Prenatal Care'!$O$7:$O$762=BI$6)*('Prenatal Care'!$C$7:$C$762&gt;=Lists!$AE11)*('Prenatal Care'!$C$7:$C$762&lt;=Lists!$AF11))</f>
        <v>0</v>
      </c>
      <c r="BJ17" s="471">
        <f t="shared" si="16"/>
        <v>0</v>
      </c>
      <c r="BK17" s="473">
        <f>SUMPRODUCT(('Prenatal Care'!$P$7:$P$762=BK$6)*('Prenatal Care'!$C$7:$C$762&gt;=Lists!$AE11)*('Prenatal Care'!$C$7:$C$762&lt;=Lists!$AF11))</f>
        <v>0</v>
      </c>
      <c r="BL17" s="470">
        <f>SUMPRODUCT(('Prenatal Care'!$P$7:$P$762=BL$6)*('Prenatal Care'!$C$7:$C$762&gt;=Lists!$AE11)*('Prenatal Care'!$C$7:$C$762&lt;=Lists!$AF11))</f>
        <v>0</v>
      </c>
      <c r="BM17" s="470">
        <f>SUMPRODUCT(('Prenatal Care'!$P$7:$P$762=BM$6)*('Prenatal Care'!$C$7:$C$762&gt;=Lists!$AE11)*('Prenatal Care'!$C$7:$C$762&lt;=Lists!$AF11))</f>
        <v>0</v>
      </c>
      <c r="BN17" s="470">
        <f>SUMPRODUCT(('Prenatal Care'!$P$7:$P$762=BN$6)*('Prenatal Care'!$C$7:$C$762&gt;=Lists!$AE11)*('Prenatal Care'!$C$7:$C$762&lt;=Lists!$AF11))</f>
        <v>0</v>
      </c>
      <c r="BO17" s="475">
        <f>SUMPRODUCT(('Prenatal Care'!$P$7:$P$762=BO$6)*('Prenatal Care'!$C$7:$C$762&gt;=Lists!$AE11)*('Prenatal Care'!$C$7:$C$762&lt;=Lists!$AF11))</f>
        <v>0</v>
      </c>
      <c r="BP17" s="471">
        <f t="shared" si="0"/>
        <v>0</v>
      </c>
      <c r="BQ17" s="473">
        <f>SUMPRODUCT(('Prenatal Care'!$Q$7:$Q$762=BQ$6)*('Prenatal Care'!$C$7:$C$762&gt;=Lists!$AE11)*('Prenatal Care'!$C$7:$C$762&lt;=Lists!$AF11))</f>
        <v>0</v>
      </c>
      <c r="BR17" s="470">
        <f>SUMPRODUCT(('Prenatal Care'!$Q$7:$Q$762=BR$6)*('Prenatal Care'!$C$7:$C$762&gt;=Lists!$AE11)*('Prenatal Care'!$C$7:$C$762&lt;=Lists!$AF11))</f>
        <v>0</v>
      </c>
      <c r="BS17" s="470">
        <f>SUMPRODUCT(('Prenatal Care'!$Q$7:$Q$762=BS$6)*('Prenatal Care'!$C$7:$C$762&gt;=Lists!$AE11)*('Prenatal Care'!$C$7:$C$762&lt;=Lists!$AF11))</f>
        <v>0</v>
      </c>
      <c r="BT17" s="470">
        <f>SUMPRODUCT(('Prenatal Care'!$Q$7:$Q$762=BT$6)*('Prenatal Care'!$C$7:$C$762&gt;=Lists!$AE11)*('Prenatal Care'!$C$7:$C$762&lt;=Lists!$AF11))</f>
        <v>0</v>
      </c>
      <c r="BU17" s="470">
        <f>SUMPRODUCT(('Prenatal Care'!$Q$7:$Q$762=BU$6)*('Prenatal Care'!$C$7:$C$762&gt;=Lists!$AE11)*('Prenatal Care'!$C$7:$C$762&lt;=Lists!$AF11))</f>
        <v>0</v>
      </c>
      <c r="BV17" s="475">
        <f>SUMPRODUCT(('Prenatal Care'!$Q$7:$Q$762=BV$6)*('Prenatal Care'!$C$7:$C$762&gt;=Lists!$AE11)*('Prenatal Care'!$C$7:$C$762&lt;=Lists!$AF11))</f>
        <v>0</v>
      </c>
      <c r="BW17" s="472">
        <f t="shared" si="1"/>
        <v>0</v>
      </c>
      <c r="BX17" s="473">
        <f>SUMPRODUCT(('Prenatal Care'!$R$7:$R$762=BX$6)*('Prenatal Care'!$C$7:$C$762&gt;=Lists!$AE11)*('Prenatal Care'!$C$7:$C$762&lt;=Lists!$AF11))</f>
        <v>0</v>
      </c>
      <c r="BY17" s="470">
        <f>SUMPRODUCT(('Prenatal Care'!$R$7:$R$762=BY$6)*('Prenatal Care'!$C$7:$C$762&gt;=Lists!$AE11)*('Prenatal Care'!$C$7:$C$762&lt;=Lists!$AF11))</f>
        <v>0</v>
      </c>
      <c r="BZ17" s="470">
        <f>SUMPRODUCT(('Prenatal Care'!$R$7:$R$762=BZ$6)*('Prenatal Care'!$C$7:$C$762&gt;=Lists!$AE11)*('Prenatal Care'!$C$7:$C$762&lt;=Lists!$AF11))</f>
        <v>0</v>
      </c>
      <c r="CA17" s="470">
        <f>SUMPRODUCT(('Prenatal Care'!$R$7:$R$762=CA$6)*('Prenatal Care'!$C$7:$C$762&gt;=Lists!$AE11)*('Prenatal Care'!$C$7:$C$762&lt;=Lists!$AF11))</f>
        <v>0</v>
      </c>
      <c r="CB17" s="475">
        <f>SUMPRODUCT(('Prenatal Care'!$R$7:$R$762=CB$6)*('Prenatal Care'!$C$7:$C$762&gt;=Lists!$AE11)*('Prenatal Care'!$C$7:$C$762&lt;=Lists!$AF11))</f>
        <v>0</v>
      </c>
      <c r="CC17" s="471">
        <f t="shared" si="17"/>
        <v>0</v>
      </c>
      <c r="CD17" s="469">
        <f>SUMPRODUCT(('Prenatal Care'!$S$7:$S$762=CD$6)*('Prenatal Care'!$C$7:$C$762&gt;=Lists!$AE11)*('Prenatal Care'!$C$7:$C$762&lt;=Lists!$AF11))</f>
        <v>0</v>
      </c>
      <c r="CE17" s="473">
        <f>SUMPRODUCT(('Prenatal Care'!$S$7:$S$762=CE$6)*('Prenatal Care'!$C$7:$C$762&gt;=Lists!$AE11)*('Prenatal Care'!$C$7:$C$762&lt;=Lists!$AF11))</f>
        <v>0</v>
      </c>
      <c r="CF17" s="470">
        <f>SUMPRODUCT(('Prenatal Care'!$S$7:$S$762=CF$6)*('Prenatal Care'!$C$7:$C$762&gt;=Lists!$AE11)*('Prenatal Care'!$C$7:$C$762&lt;=Lists!$AF11))</f>
        <v>0</v>
      </c>
      <c r="CG17" s="470">
        <f>SUMPRODUCT(('Prenatal Care'!$S$7:$S$762=CG$6)*('Prenatal Care'!$C$7:$C$762&gt;=Lists!$AE11)*('Prenatal Care'!$C$7:$C$762&lt;=Lists!$AF11))</f>
        <v>0</v>
      </c>
      <c r="CH17" s="470">
        <f>SUMPRODUCT(('Prenatal Care'!$S$7:$S$762=CH$6)*('Prenatal Care'!$C$7:$C$762&gt;=Lists!$AE11)*('Prenatal Care'!$C$7:$C$762&lt;=Lists!$AF11))</f>
        <v>0</v>
      </c>
      <c r="CI17" s="470">
        <f>SUMPRODUCT(('Prenatal Care'!$S$7:$S$762=CI$6)*('Prenatal Care'!$C$7:$C$762&gt;=Lists!$AE11)*('Prenatal Care'!$C$7:$C$762&lt;=Lists!$AF11))</f>
        <v>0</v>
      </c>
      <c r="CJ17" s="470">
        <f>SUMPRODUCT(('Prenatal Care'!$S$7:$S$762=CJ$6)*('Prenatal Care'!$C$7:$C$762&gt;=Lists!$AE11)*('Prenatal Care'!$C$7:$C$762&lt;=Lists!$AF11))</f>
        <v>0</v>
      </c>
      <c r="CK17" s="470">
        <f>SUMPRODUCT(('Prenatal Care'!$S$7:$S$762=CK$6)*('Prenatal Care'!$C$7:$C$762&gt;=Lists!$AE11)*('Prenatal Care'!$C$7:$C$762&lt;=Lists!$AF11))</f>
        <v>0</v>
      </c>
      <c r="CL17" s="470">
        <f>SUMPRODUCT(('Prenatal Care'!$S$7:$S$762=CL$6)*('Prenatal Care'!$C$7:$C$762&gt;=Lists!$AE11)*('Prenatal Care'!$C$7:$C$762&lt;=Lists!$AF11))</f>
        <v>0</v>
      </c>
      <c r="CM17" s="475">
        <f>SUMPRODUCT(('Prenatal Care'!$S$7:$S$762=CM$6)*('Prenatal Care'!$C$7:$C$762&gt;=Lists!$AE11)*('Prenatal Care'!$C$7:$C$762&lt;=Lists!$AF11))</f>
        <v>0</v>
      </c>
      <c r="CN17" s="471">
        <f t="shared" si="18"/>
        <v>0</v>
      </c>
      <c r="CO17" s="473">
        <f>SUMPRODUCT(('Prenatal Care'!$T$7:$T$762=CO$6)*('Prenatal Care'!$C$7:$C$762&gt;=Lists!$AE11)*('Prenatal Care'!$C$7:$C$762&lt;=Lists!$AF11))</f>
        <v>0</v>
      </c>
      <c r="CP17" s="470">
        <f>SUMPRODUCT(('Prenatal Care'!$T$7:$T$762=CP$6)*('Prenatal Care'!$C$7:$C$762&gt;=Lists!$AE11)*('Prenatal Care'!$C$7:$C$762&lt;=Lists!$AF11))</f>
        <v>0</v>
      </c>
      <c r="CQ17" s="475">
        <f>SUMPRODUCT(('Prenatal Care'!$T$7:$T$762=CQ$6)*('Prenatal Care'!$C$7:$C$762&gt;=Lists!$AE11)*('Prenatal Care'!$C$7:$C$762&lt;=Lists!$AF11))</f>
        <v>0</v>
      </c>
      <c r="CR17" s="471">
        <f t="shared" si="19"/>
        <v>0</v>
      </c>
      <c r="CS17" s="505">
        <f>SUMPRODUCT(('Prenatal Care'!$U$7:$U$762=CS$6)*('Prenatal Care'!$C$7:$C$762&gt;=Lists!$AE11)*('Prenatal Care'!$C$7:$C$762&lt;=Lists!$AF11))</f>
        <v>0</v>
      </c>
      <c r="CT17" s="506">
        <f>SUMPRODUCT(('Prenatal Care'!$U$7:$U$762=CT$6)*('Prenatal Care'!$C$7:$C$762&gt;=Lists!$AE11)*('Prenatal Care'!$C$7:$C$762&lt;=Lists!$AF11))</f>
        <v>0</v>
      </c>
      <c r="CU17" s="506">
        <f>SUMPRODUCT(('Prenatal Care'!$U$7:$U$762=CU$6)*('Prenatal Care'!$C$7:$C$762&gt;=Lists!$AE11)*('Prenatal Care'!$C$7:$C$762&lt;=Lists!$AF11))</f>
        <v>0</v>
      </c>
      <c r="CV17" s="506">
        <f>SUMPRODUCT(('Prenatal Care'!$U$7:$U$762=CV$6)*('Prenatal Care'!$C$7:$C$762&gt;=Lists!$AE11)*('Prenatal Care'!$C$7:$C$762&lt;=Lists!$AF11))</f>
        <v>0</v>
      </c>
      <c r="CW17" s="506">
        <f>SUMPRODUCT(('Prenatal Care'!$U$7:$U$762=CW$6)*('Prenatal Care'!$C$7:$C$762&gt;=Lists!$AE11)*('Prenatal Care'!$C$7:$C$762&lt;=Lists!$AF11))</f>
        <v>0</v>
      </c>
      <c r="CX17" s="506">
        <f>SUMPRODUCT(('Prenatal Care'!$U$7:$U$762=CX$6)*('Prenatal Care'!$C$7:$C$762&gt;=Lists!$AE11)*('Prenatal Care'!$C$7:$C$762&lt;=Lists!$AF11))</f>
        <v>0</v>
      </c>
      <c r="CY17" s="506">
        <f>SUMPRODUCT(('Prenatal Care'!$U$7:$U$762=CY$6)*('Prenatal Care'!$C$7:$C$762&gt;=Lists!$AE11)*('Prenatal Care'!$C$7:$C$762&lt;=Lists!$AF11))</f>
        <v>0</v>
      </c>
      <c r="CZ17" s="506">
        <f>SUMPRODUCT(('Prenatal Care'!$U$7:$U$762=CZ$6)*('Prenatal Care'!$C$7:$C$762&gt;=Lists!$AE11)*('Prenatal Care'!$C$7:$C$762&lt;=Lists!$AF11))</f>
        <v>0</v>
      </c>
      <c r="DA17" s="506">
        <f>SUMPRODUCT(('Prenatal Care'!$U$7:$U$762=DA$6)*('Prenatal Care'!$C$7:$C$762&gt;=Lists!$AE11)*('Prenatal Care'!$C$7:$C$762&lt;=Lists!$AF11))</f>
        <v>0</v>
      </c>
      <c r="DB17" s="507">
        <f>SUMPRODUCT(('Prenatal Care'!$U$7:$U$762=DB$6)*('Prenatal Care'!$C$7:$C$762&gt;=Lists!$AE11)*('Prenatal Care'!$C$7:$C$762&lt;=Lists!$AF11))</f>
        <v>0</v>
      </c>
      <c r="DC17" s="471">
        <f t="shared" si="20"/>
        <v>0</v>
      </c>
      <c r="DD17" s="469">
        <f>SUMPRODUCT(('Prenatal Care'!$V$7:$V$762=DD$6)*('Prenatal Care'!$C$7:$C$762&gt;=Lists!$AE11)*('Prenatal Care'!$C$7:$C$762&lt;=Lists!$AF11))</f>
        <v>0</v>
      </c>
      <c r="DE17" s="470">
        <f>SUMPRODUCT(('Prenatal Care'!$V$7:$V$762=DE$6)*('Prenatal Care'!$C$7:$C$762&gt;=Lists!$AE11)*('Prenatal Care'!$C$7:$C$762&lt;=Lists!$AF11))</f>
        <v>0</v>
      </c>
      <c r="DF17" s="470">
        <f>SUMPRODUCT(('Prenatal Care'!$V$7:$V$762=DF$6)*('Prenatal Care'!$C$7:$C$762&gt;=Lists!$AE11)*('Prenatal Care'!$C$7:$C$762&lt;=Lists!$AF11))</f>
        <v>0</v>
      </c>
      <c r="DG17" s="475">
        <f>SUMPRODUCT(('Prenatal Care'!$V$7:$V$762=DG$6)*('Prenatal Care'!$C$7:$C$762&gt;=Lists!$AE11)*('Prenatal Care'!$C$7:$C$762&lt;=Lists!$AF11))</f>
        <v>0</v>
      </c>
      <c r="DH17" s="471">
        <f t="shared" si="21"/>
        <v>0</v>
      </c>
      <c r="DI17" s="473">
        <f>SUMPRODUCT(('Prenatal Care'!$W$7:$W$762=DI$6)*('Prenatal Care'!$C$7:$C$762&gt;=Lists!$AE11)*('Prenatal Care'!$C$7:$C$762&lt;=Lists!$AF11))</f>
        <v>0</v>
      </c>
      <c r="DJ17" s="470">
        <f>SUMPRODUCT(('Prenatal Care'!$W$7:$W$762=DJ$6)*('Prenatal Care'!$C$7:$C$762&gt;=Lists!$AE11)*('Prenatal Care'!$C$7:$C$762&lt;=Lists!$AF11))</f>
        <v>0</v>
      </c>
      <c r="DK17" s="470">
        <f>SUMPRODUCT(('Prenatal Care'!$W$7:$W$762=DK$6)*('Prenatal Care'!$C$7:$C$762&gt;=Lists!$AE11)*('Prenatal Care'!$C$7:$C$762&lt;=Lists!$AF11))</f>
        <v>0</v>
      </c>
      <c r="DL17" s="470">
        <f>SUMPRODUCT(('Prenatal Care'!$W$7:$W$762=DL$6)*('Prenatal Care'!$C$7:$C$762&gt;=Lists!$AE11)*('Prenatal Care'!$C$7:$C$762&lt;=Lists!$AF11))</f>
        <v>0</v>
      </c>
      <c r="DM17" s="470">
        <f>SUMPRODUCT(('Prenatal Care'!$W$7:$W$762=DM$6)*('Prenatal Care'!$C$7:$C$762&gt;=Lists!$AE11)*('Prenatal Care'!$C$7:$C$762&lt;=Lists!$AF11))</f>
        <v>0</v>
      </c>
      <c r="DN17" s="470">
        <f>SUMPRODUCT(('Prenatal Care'!$W$7:$W$762=DN$6)*('Prenatal Care'!$C$7:$C$762&gt;=Lists!$AE11)*('Prenatal Care'!$C$7:$C$762&lt;=Lists!$AF11))</f>
        <v>0</v>
      </c>
      <c r="DO17" s="470">
        <f>SUMPRODUCT(('Prenatal Care'!$W$7:$W$762=DO$6)*('Prenatal Care'!$C$7:$C$762&gt;=Lists!$AE11)*('Prenatal Care'!$C$7:$C$762&lt;=Lists!$AF11))</f>
        <v>0</v>
      </c>
      <c r="DP17" s="470">
        <f>SUMPRODUCT(('Prenatal Care'!$W$7:$W$762=DP$6)*('Prenatal Care'!$C$7:$C$762&gt;=Lists!$AE11)*('Prenatal Care'!$C$7:$C$762&lt;=Lists!$AF11))</f>
        <v>0</v>
      </c>
      <c r="DQ17" s="470">
        <f>SUMPRODUCT(('Prenatal Care'!$W$7:$W$762=DQ$6)*('Prenatal Care'!$C$7:$C$762&gt;=Lists!$AE11)*('Prenatal Care'!$C$7:$C$762&lt;=Lists!$AF11))</f>
        <v>0</v>
      </c>
      <c r="DR17" s="470">
        <f>SUMPRODUCT(('Prenatal Care'!$W$7:$W$762=DR$6)*('Prenatal Care'!$C$7:$C$762&gt;=Lists!$AE11)*('Prenatal Care'!$C$7:$C$762&lt;=Lists!$AF11))</f>
        <v>0</v>
      </c>
      <c r="DS17" s="470">
        <f>SUMPRODUCT(('Prenatal Care'!$W$7:$W$762=DS$6)*('Prenatal Care'!$C$7:$C$762&gt;=Lists!$AE11)*('Prenatal Care'!$C$7:$C$762&lt;=Lists!$AF11))</f>
        <v>0</v>
      </c>
      <c r="DT17" s="470">
        <f>SUMPRODUCT(('Prenatal Care'!$W$7:$W$762=DT$6)*('Prenatal Care'!$C$7:$C$762&gt;=Lists!$AE11)*('Prenatal Care'!$C$7:$C$762&lt;=Lists!$AF11))</f>
        <v>0</v>
      </c>
      <c r="DU17" s="470">
        <f>SUMPRODUCT(('Prenatal Care'!$W$7:$W$762=DU$6)*('Prenatal Care'!$C$7:$C$762&gt;=Lists!$AE11)*('Prenatal Care'!$C$7:$C$762&lt;=Lists!$AF11))</f>
        <v>0</v>
      </c>
      <c r="DV17" s="470">
        <f>SUMPRODUCT(('Prenatal Care'!$W$7:$W$762=DV$6)*('Prenatal Care'!$C$7:$C$762&gt;=Lists!$AE11)*('Prenatal Care'!$C$7:$C$762&lt;=Lists!$AF11))</f>
        <v>0</v>
      </c>
      <c r="DW17" s="470">
        <f>SUMPRODUCT(('Prenatal Care'!$W$7:$W$762=DW$6)*('Prenatal Care'!$C$7:$C$762&gt;=Lists!$AE11)*('Prenatal Care'!$C$7:$C$762&lt;=Lists!$AF11))</f>
        <v>0</v>
      </c>
      <c r="DX17" s="470">
        <f>SUMPRODUCT(('Prenatal Care'!$W$7:$W$762=DX$6)*('Prenatal Care'!$C$7:$C$762&gt;=Lists!$AE11)*('Prenatal Care'!$C$7:$C$762&lt;=Lists!$AF11))</f>
        <v>0</v>
      </c>
      <c r="DY17" s="470">
        <f>SUMPRODUCT(('Prenatal Care'!$W$7:$W$762=DY$6)*('Prenatal Care'!$C$7:$C$762&gt;=Lists!$AE11)*('Prenatal Care'!$C$7:$C$762&lt;=Lists!$AF11))</f>
        <v>0</v>
      </c>
      <c r="DZ17" s="470">
        <f>SUMPRODUCT(('Prenatal Care'!$W$7:$W$762=DZ$6)*('Prenatal Care'!$C$7:$C$762&gt;=Lists!$AE11)*('Prenatal Care'!$C$7:$C$762&lt;=Lists!$AF11))</f>
        <v>0</v>
      </c>
      <c r="EA17" s="470">
        <f>SUMPRODUCT(('Prenatal Care'!$W$7:$W$762=EA$6)*('Prenatal Care'!$C$7:$C$762&gt;=Lists!$AE11)*('Prenatal Care'!$C$7:$C$762&lt;=Lists!$AF11))</f>
        <v>0</v>
      </c>
      <c r="EB17" s="470">
        <f>SUMPRODUCT(('Prenatal Care'!$W$7:$W$762=EB$6)*('Prenatal Care'!$C$7:$C$762&gt;=Lists!$AE11)*('Prenatal Care'!$C$7:$C$762&lt;=Lists!$AF11))</f>
        <v>0</v>
      </c>
      <c r="EC17" s="470">
        <f>SUMPRODUCT(('Prenatal Care'!$W$7:$W$762=EC$6)*('Prenatal Care'!$C$7:$C$762&gt;=Lists!$AE11)*('Prenatal Care'!$C$7:$C$762&lt;=Lists!$AF11))</f>
        <v>0</v>
      </c>
      <c r="ED17" s="470">
        <f>SUMPRODUCT(('Prenatal Care'!$W$7:$W$762=ED$6)*('Prenatal Care'!$C$7:$C$762&gt;=Lists!$AE11)*('Prenatal Care'!$C$7:$C$762&lt;=Lists!$AF11))</f>
        <v>0</v>
      </c>
      <c r="EE17" s="470">
        <f>SUMPRODUCT(('Prenatal Care'!$W$7:$W$762=EE$6)*('Prenatal Care'!$C$7:$C$762&gt;=Lists!$AE11)*('Prenatal Care'!$C$7:$C$762&lt;=Lists!$AF11))</f>
        <v>0</v>
      </c>
      <c r="EF17" s="470">
        <f>SUMPRODUCT(('Prenatal Care'!$W$7:$W$762=EF$6)*('Prenatal Care'!$C$7:$C$762&gt;=Lists!$AE11)*('Prenatal Care'!$C$7:$C$762&lt;=Lists!$AF11))</f>
        <v>0</v>
      </c>
      <c r="EG17" s="470">
        <f>SUMPRODUCT(('Prenatal Care'!$W$7:$W$762=EG$6)*('Prenatal Care'!$C$7:$C$762&gt;=Lists!$AE11)*('Prenatal Care'!$C$7:$C$762&lt;=Lists!$AF11))</f>
        <v>0</v>
      </c>
      <c r="EH17" s="475">
        <f>SUMPRODUCT(('Prenatal Care'!$W$7:$W$762=EH$6)*('Prenatal Care'!$C$7:$C$762&gt;=Lists!$AE11)*('Prenatal Care'!$C$7:$C$762&lt;=Lists!$AF11))</f>
        <v>0</v>
      </c>
      <c r="EI17" s="471">
        <f t="shared" si="22"/>
        <v>0</v>
      </c>
      <c r="EJ17" s="473">
        <f>SUMPRODUCT(('Prenatal Care'!$X$7:$X$762=EJ$6)*('Prenatal Care'!$C$7:$C$762&gt;=Lists!$AE11)*('Prenatal Care'!$C$7:$C$762&lt;=Lists!$AF11))</f>
        <v>0</v>
      </c>
      <c r="EK17" s="470">
        <f>SUMPRODUCT(('Prenatal Care'!$X$7:$X$762=EK$6)*('Prenatal Care'!$C$7:$C$762&gt;=Lists!$AE11)*('Prenatal Care'!$C$7:$C$762&lt;=Lists!$AF11))</f>
        <v>0</v>
      </c>
      <c r="EL17" s="470">
        <f>SUMPRODUCT(('Prenatal Care'!$X$7:$X$762=EL$6)*('Prenatal Care'!$C$7:$C$762&gt;=Lists!$AE11)*('Prenatal Care'!$C$7:$C$762&lt;=Lists!$AF11))</f>
        <v>0</v>
      </c>
      <c r="EM17" s="470">
        <f>SUMPRODUCT(('Prenatal Care'!$X$7:$X$762=EM$6)*('Prenatal Care'!$C$7:$C$762&gt;=Lists!$AE11)*('Prenatal Care'!$C$7:$C$762&lt;=Lists!$AF11))</f>
        <v>0</v>
      </c>
      <c r="EN17" s="470">
        <f>SUMPRODUCT(('Prenatal Care'!$X$7:$X$762=EN$6)*('Prenatal Care'!$C$7:$C$762&gt;=Lists!$AE11)*('Prenatal Care'!$C$7:$C$762&lt;=Lists!$AF11))</f>
        <v>0</v>
      </c>
      <c r="EO17" s="470">
        <f>SUMPRODUCT(('Prenatal Care'!$X$7:$X$762=EO$6)*('Prenatal Care'!$C$7:$C$762&gt;=Lists!$AE11)*('Prenatal Care'!$C$7:$C$762&lt;=Lists!$AF11))</f>
        <v>0</v>
      </c>
      <c r="EP17" s="470">
        <f>SUMPRODUCT(('Prenatal Care'!$X$7:$X$762=EP$6)*('Prenatal Care'!$C$7:$C$762&gt;=Lists!$AE11)*('Prenatal Care'!$C$7:$C$762&lt;=Lists!$AF11))</f>
        <v>0</v>
      </c>
      <c r="EQ17" s="470">
        <f>SUMPRODUCT(('Prenatal Care'!$X$7:$X$762=EQ$6)*('Prenatal Care'!$C$7:$C$762&gt;=Lists!$AE11)*('Prenatal Care'!$C$7:$C$762&lt;=Lists!$AF11))</f>
        <v>0</v>
      </c>
      <c r="ER17" s="470">
        <f>SUMPRODUCT(('Prenatal Care'!$X$7:$X$762=ER$6)*('Prenatal Care'!$C$7:$C$762&gt;=Lists!$AE11)*('Prenatal Care'!$C$7:$C$762&lt;=Lists!$AF11))</f>
        <v>0</v>
      </c>
      <c r="ES17" s="470">
        <f>SUMPRODUCT(('Prenatal Care'!$X$7:$X$762=ES$6)*('Prenatal Care'!$C$7:$C$762&gt;=Lists!$AE11)*('Prenatal Care'!$C$7:$C$762&lt;=Lists!$AF11))</f>
        <v>0</v>
      </c>
      <c r="ET17" s="470">
        <f>SUMPRODUCT(('Prenatal Care'!$X$7:$X$762=ET$6)*('Prenatal Care'!$C$7:$C$762&gt;=Lists!$AE11)*('Prenatal Care'!$C$7:$C$762&lt;=Lists!$AF11))</f>
        <v>0</v>
      </c>
      <c r="EU17" s="470">
        <f>SUMPRODUCT(('Prenatal Care'!$X$7:$X$762=EU$6)*('Prenatal Care'!$C$7:$C$762&gt;=Lists!$AE11)*('Prenatal Care'!$C$7:$C$762&lt;=Lists!$AF11))</f>
        <v>0</v>
      </c>
      <c r="EV17" s="470">
        <f>SUMPRODUCT(('Prenatal Care'!$X$7:$X$762=EV$6)*('Prenatal Care'!$C$7:$C$762&gt;=Lists!$AE11)*('Prenatal Care'!$C$7:$C$762&lt;=Lists!$AF11))</f>
        <v>0</v>
      </c>
      <c r="EW17" s="470">
        <f>SUMPRODUCT(('Prenatal Care'!$X$7:$X$762=EW$6)*('Prenatal Care'!$C$7:$C$762&gt;=Lists!$AE11)*('Prenatal Care'!$C$7:$C$762&lt;=Lists!$AF11))</f>
        <v>0</v>
      </c>
      <c r="EX17" s="470">
        <f>SUMPRODUCT(('Prenatal Care'!$X$7:$X$762=EX$6)*('Prenatal Care'!$C$7:$C$762&gt;=Lists!$AE11)*('Prenatal Care'!$C$7:$C$762&lt;=Lists!$AF11))</f>
        <v>0</v>
      </c>
      <c r="EY17" s="470">
        <f>SUMPRODUCT(('Prenatal Care'!$X$7:$X$762=EY$6)*('Prenatal Care'!$C$7:$C$762&gt;=Lists!$AE11)*('Prenatal Care'!$C$7:$C$762&lt;=Lists!$AF11))</f>
        <v>0</v>
      </c>
      <c r="EZ17" s="470">
        <f>SUMPRODUCT(('Prenatal Care'!$X$7:$X$762=EZ$6)*('Prenatal Care'!$C$7:$C$762&gt;=Lists!$AE11)*('Prenatal Care'!$C$7:$C$762&lt;=Lists!$AF11))</f>
        <v>0</v>
      </c>
      <c r="FA17" s="470">
        <f>SUMPRODUCT(('Prenatal Care'!$X$7:$X$762=FA$6)*('Prenatal Care'!$C$7:$C$762&gt;=Lists!$AE11)*('Prenatal Care'!$C$7:$C$762&lt;=Lists!$AF11))</f>
        <v>0</v>
      </c>
      <c r="FB17" s="470">
        <f>SUMPRODUCT(('Prenatal Care'!$X$7:$X$762=FB$6)*('Prenatal Care'!$C$7:$C$762&gt;=Lists!$AE11)*('Prenatal Care'!$C$7:$C$762&lt;=Lists!$AF11))</f>
        <v>0</v>
      </c>
      <c r="FC17" s="470">
        <f>SUMPRODUCT(('Prenatal Care'!$X$7:$X$762=FC$6)*('Prenatal Care'!$C$7:$C$762&gt;=Lists!$AE11)*('Prenatal Care'!$C$7:$C$762&lt;=Lists!$AF11))</f>
        <v>0</v>
      </c>
      <c r="FD17" s="470">
        <f>SUMPRODUCT(('Prenatal Care'!$X$7:$X$762=FD$6)*('Prenatal Care'!$C$7:$C$762&gt;=Lists!$AE11)*('Prenatal Care'!$C$7:$C$762&lt;=Lists!$AF11))</f>
        <v>0</v>
      </c>
      <c r="FE17" s="470">
        <f>SUMPRODUCT(('Prenatal Care'!$X$7:$X$762=FE$6)*('Prenatal Care'!$C$7:$C$762&gt;=Lists!$AE11)*('Prenatal Care'!$C$7:$C$762&lt;=Lists!$AF11))</f>
        <v>0</v>
      </c>
      <c r="FF17" s="470">
        <f>SUMPRODUCT(('Prenatal Care'!$X$7:$X$762=FF$6)*('Prenatal Care'!$C$7:$C$762&gt;=Lists!$AE11)*('Prenatal Care'!$C$7:$C$762&lt;=Lists!$AF11))</f>
        <v>0</v>
      </c>
      <c r="FG17" s="470">
        <f>SUMPRODUCT(('Prenatal Care'!$X$7:$X$762=FG$6)*('Prenatal Care'!$C$7:$C$762&gt;=Lists!$AE11)*('Prenatal Care'!$C$7:$C$762&lt;=Lists!$AF11))</f>
        <v>0</v>
      </c>
      <c r="FH17" s="470">
        <f>SUMPRODUCT(('Prenatal Care'!$X$7:$X$762=FH$6)*('Prenatal Care'!$C$7:$C$762&gt;=Lists!$AE11)*('Prenatal Care'!$C$7:$C$762&lt;=Lists!$AF11))</f>
        <v>0</v>
      </c>
      <c r="FI17" s="475">
        <f>SUMPRODUCT(('Prenatal Care'!$X$7:$X$762=FI$6)*('Prenatal Care'!$C$7:$C$762&gt;=Lists!$AE11)*('Prenatal Care'!$C$7:$C$762&lt;=Lists!$AF11))</f>
        <v>0</v>
      </c>
      <c r="FJ17" s="471">
        <f t="shared" si="23"/>
        <v>0</v>
      </c>
      <c r="FK17" s="473">
        <f>SUMPRODUCT(('Prenatal Care'!$Y$7:$Y$762=FK$6)*('Prenatal Care'!$C$7:$C$762&gt;=Lists!$AE11)*('Prenatal Care'!$C$7:$C$762&lt;=Lists!$AF11))</f>
        <v>0</v>
      </c>
      <c r="FL17" s="470">
        <f>SUMPRODUCT(('Prenatal Care'!$Y$7:$Y$762=FL$6)*('Prenatal Care'!$C$7:$C$762&gt;=Lists!$AE11)*('Prenatal Care'!$C$7:$C$762&lt;=Lists!$AF11))</f>
        <v>0</v>
      </c>
      <c r="FM17" s="470">
        <f>SUMPRODUCT(('Prenatal Care'!$Y$7:$Y$762=FM$6)*('Prenatal Care'!$C$7:$C$762&gt;=Lists!$AE11)*('Prenatal Care'!$C$7:$C$762&lt;=Lists!$AF11))</f>
        <v>0</v>
      </c>
      <c r="FN17" s="470">
        <f>SUMPRODUCT(('Prenatal Care'!$Y$7:$Y$762=FN$6)*('Prenatal Care'!$C$7:$C$762&gt;=Lists!$AE11)*('Prenatal Care'!$C$7:$C$762&lt;=Lists!$AF11))</f>
        <v>0</v>
      </c>
      <c r="FO17" s="470">
        <f>SUMPRODUCT(('Prenatal Care'!$Y$7:$Y$762=FO$6)*('Prenatal Care'!$C$7:$C$762&gt;=Lists!$AE11)*('Prenatal Care'!$C$7:$C$762&lt;=Lists!$AF11))</f>
        <v>0</v>
      </c>
      <c r="FP17" s="470">
        <f>SUMPRODUCT(('Prenatal Care'!$Y$7:$Y$762=FP$6)*('Prenatal Care'!$C$7:$C$762&gt;=Lists!$AE11)*('Prenatal Care'!$C$7:$C$762&lt;=Lists!$AF11))</f>
        <v>0</v>
      </c>
      <c r="FQ17" s="470">
        <f>SUMPRODUCT(('Prenatal Care'!$Y$7:$Y$762=FQ$6)*('Prenatal Care'!$C$7:$C$762&gt;=Lists!$AE11)*('Prenatal Care'!$C$7:$C$762&lt;=Lists!$AF11))</f>
        <v>0</v>
      </c>
      <c r="FR17" s="470">
        <f>SUMPRODUCT(('Prenatal Care'!$Y$7:$Y$762=FR$6)*('Prenatal Care'!$C$7:$C$762&gt;=Lists!$AE11)*('Prenatal Care'!$C$7:$C$762&lt;=Lists!$AF11))</f>
        <v>0</v>
      </c>
      <c r="FS17" s="470">
        <f>SUMPRODUCT(('Prenatal Care'!$Y$7:$Y$762=FS$6)*('Prenatal Care'!$C$7:$C$762&gt;=Lists!$AE11)*('Prenatal Care'!$C$7:$C$762&lt;=Lists!$AF11))</f>
        <v>0</v>
      </c>
      <c r="FT17" s="470">
        <f>SUMPRODUCT(('Prenatal Care'!$Y$7:$Y$762=FT$6)*('Prenatal Care'!$C$7:$C$762&gt;=Lists!$AE11)*('Prenatal Care'!$C$7:$C$762&lt;=Lists!$AF11))</f>
        <v>0</v>
      </c>
      <c r="FU17" s="470">
        <f>SUMPRODUCT(('Prenatal Care'!$Y$7:$Y$762=FU$6)*('Prenatal Care'!$C$7:$C$762&gt;=Lists!$AE11)*('Prenatal Care'!$C$7:$C$762&lt;=Lists!$AF11))</f>
        <v>0</v>
      </c>
      <c r="FV17" s="470">
        <f>SUMPRODUCT(('Prenatal Care'!$Y$7:$Y$762=FV$6)*('Prenatal Care'!$C$7:$C$762&gt;=Lists!$AE11)*('Prenatal Care'!$C$7:$C$762&lt;=Lists!$AF11))</f>
        <v>0</v>
      </c>
      <c r="FW17" s="470">
        <f>SUMPRODUCT(('Prenatal Care'!$Y$7:$Y$762=FW$6)*('Prenatal Care'!$C$7:$C$762&gt;=Lists!$AE11)*('Prenatal Care'!$C$7:$C$762&lt;=Lists!$AF11))</f>
        <v>0</v>
      </c>
      <c r="FX17" s="470">
        <f>SUMPRODUCT(('Prenatal Care'!$Y$7:$Y$762=FX$6)*('Prenatal Care'!$C$7:$C$762&gt;=Lists!$AE11)*('Prenatal Care'!$C$7:$C$762&lt;=Lists!$AF11))</f>
        <v>0</v>
      </c>
      <c r="FY17" s="470">
        <f>SUMPRODUCT(('Prenatal Care'!$Y$7:$Y$762=FY$6)*('Prenatal Care'!$C$7:$C$762&gt;=Lists!$AE11)*('Prenatal Care'!$C$7:$C$762&lt;=Lists!$AF11))</f>
        <v>0</v>
      </c>
      <c r="FZ17" s="470">
        <f>SUMPRODUCT(('Prenatal Care'!$Y$7:$Y$762=FZ$6)*('Prenatal Care'!$C$7:$C$762&gt;=Lists!$AE11)*('Prenatal Care'!$C$7:$C$762&lt;=Lists!$AF11))</f>
        <v>0</v>
      </c>
      <c r="GA17" s="470">
        <f>SUMPRODUCT(('Prenatal Care'!$Y$7:$Y$762=GA$6)*('Prenatal Care'!$C$7:$C$762&gt;=Lists!$AE11)*('Prenatal Care'!$C$7:$C$762&lt;=Lists!$AF11))</f>
        <v>0</v>
      </c>
      <c r="GB17" s="470">
        <f>SUMPRODUCT(('Prenatal Care'!$Y$7:$Y$762=GB$6)*('Prenatal Care'!$C$7:$C$762&gt;=Lists!$AE11)*('Prenatal Care'!$C$7:$C$762&lt;=Lists!$AF11))</f>
        <v>0</v>
      </c>
      <c r="GC17" s="470">
        <f>SUMPRODUCT(('Prenatal Care'!$Y$7:$Y$762=GC$6)*('Prenatal Care'!$C$7:$C$762&gt;=Lists!$AE11)*('Prenatal Care'!$C$7:$C$762&lt;=Lists!$AF11))</f>
        <v>0</v>
      </c>
      <c r="GD17" s="470">
        <f>SUMPRODUCT(('Prenatal Care'!$Y$7:$Y$762=GD$6)*('Prenatal Care'!$C$7:$C$762&gt;=Lists!$AE11)*('Prenatal Care'!$C$7:$C$762&lt;=Lists!$AF11))</f>
        <v>0</v>
      </c>
      <c r="GE17" s="470">
        <f>SUMPRODUCT(('Prenatal Care'!$Y$7:$Y$762=GE$6)*('Prenatal Care'!$C$7:$C$762&gt;=Lists!$AE11)*('Prenatal Care'!$C$7:$C$762&lt;=Lists!$AF11))</f>
        <v>0</v>
      </c>
      <c r="GF17" s="470">
        <f>SUMPRODUCT(('Prenatal Care'!$Y$7:$Y$762=GF$6)*('Prenatal Care'!$C$7:$C$762&gt;=Lists!$AE11)*('Prenatal Care'!$C$7:$C$762&lt;=Lists!$AF11))</f>
        <v>0</v>
      </c>
      <c r="GG17" s="470">
        <f>SUMPRODUCT(('Prenatal Care'!$Y$7:$Y$762=GG$6)*('Prenatal Care'!$C$7:$C$762&gt;=Lists!$AE11)*('Prenatal Care'!$C$7:$C$762&lt;=Lists!$AF11))</f>
        <v>0</v>
      </c>
      <c r="GH17" s="470">
        <f>SUMPRODUCT(('Prenatal Care'!$Y$7:$Y$762=GH$6)*('Prenatal Care'!$C$7:$C$762&gt;=Lists!$AE11)*('Prenatal Care'!$C$7:$C$762&lt;=Lists!$AF11))</f>
        <v>0</v>
      </c>
      <c r="GI17" s="470">
        <f>SUMPRODUCT(('Prenatal Care'!$Y$7:$Y$762=GI$6)*('Prenatal Care'!$C$7:$C$762&gt;=Lists!$AE11)*('Prenatal Care'!$C$7:$C$762&lt;=Lists!$AF11))</f>
        <v>0</v>
      </c>
      <c r="GJ17" s="475">
        <f>SUMPRODUCT(('Prenatal Care'!$Y$7:$Y$762=GJ$6)*('Prenatal Care'!$C$7:$C$762&gt;=Lists!$AE11)*('Prenatal Care'!$C$7:$C$762&lt;=Lists!$AF11))</f>
        <v>0</v>
      </c>
      <c r="GK17" s="471">
        <f t="shared" si="24"/>
        <v>0</v>
      </c>
      <c r="GL17" s="469">
        <f>SUMPRODUCT(('Prenatal Care'!$AA$7:$AA$762=GL$6)*('Prenatal Care'!$C$7:$C$762&gt;=Lists!$AE11)*('Prenatal Care'!$C$7:$C$762&lt;=Lists!$AF11))</f>
        <v>0</v>
      </c>
      <c r="GM17" s="474">
        <f>SUMPRODUCT(('Prenatal Care'!$AA$7:$AA$762=GM$6)*('Prenatal Care'!$C$7:$C$762&gt;=Lists!$AE11)*('Prenatal Care'!$C$7:$C$762&lt;=Lists!$AF11))</f>
        <v>0</v>
      </c>
      <c r="GN17" s="470">
        <f>SUMPRODUCT(('Prenatal Care'!$AA$7:$AA$762=GN$6)*('Prenatal Care'!$C$7:$C$762&gt;=Lists!$AE11)*('Prenatal Care'!$C$7:$C$762&lt;=Lists!$AF11))</f>
        <v>0</v>
      </c>
      <c r="GO17" s="470">
        <f>SUMPRODUCT(('Prenatal Care'!$AA$7:$AA$762=GO$6)*('Prenatal Care'!$C$7:$C$762&gt;=Lists!$AE11)*('Prenatal Care'!$C$7:$C$762&lt;=Lists!$AF11))</f>
        <v>0</v>
      </c>
      <c r="GP17" s="470">
        <f>SUMPRODUCT(('Prenatal Care'!$AA$7:$AA$762=GP$6)*('Prenatal Care'!$C$7:$C$762&gt;=Lists!$AE11)*('Prenatal Care'!$C$7:$C$762&lt;=Lists!$AF11))</f>
        <v>0</v>
      </c>
      <c r="GQ17" s="470">
        <f>SUMPRODUCT(('Prenatal Care'!$AA$7:$AA$762=GQ$6)*('Prenatal Care'!$C$7:$C$762&gt;=Lists!$AE11)*('Prenatal Care'!$C$7:$C$762&lt;=Lists!$AF11))</f>
        <v>0</v>
      </c>
      <c r="GR17" s="470">
        <f>SUMPRODUCT(('Prenatal Care'!$AA$7:$AA$762=GR$6)*('Prenatal Care'!$C$7:$C$762&gt;=Lists!$AE11)*('Prenatal Care'!$C$7:$C$762&lt;=Lists!$AF11))</f>
        <v>0</v>
      </c>
      <c r="GS17" s="470">
        <f>SUMPRODUCT(('Prenatal Care'!$AA$7:$AA$762=GS$6)*('Prenatal Care'!$C$7:$C$762&gt;=Lists!$AE11)*('Prenatal Care'!$C$7:$C$762&lt;=Lists!$AF11))</f>
        <v>0</v>
      </c>
      <c r="GT17" s="470">
        <f>SUMPRODUCT(('Prenatal Care'!$AA$7:$AA$762=GT$6)*('Prenatal Care'!$C$7:$C$762&gt;=Lists!$AE11)*('Prenatal Care'!$C$7:$C$762&lt;=Lists!$AF11))</f>
        <v>0</v>
      </c>
      <c r="GU17" s="470">
        <f>SUMPRODUCT(('Prenatal Care'!$AA$7:$AA$762=GU$6)*('Prenatal Care'!$C$7:$C$762&gt;=Lists!$AE11)*('Prenatal Care'!$C$7:$C$762&lt;=Lists!$AF11))</f>
        <v>0</v>
      </c>
      <c r="GV17" s="470">
        <f>SUMPRODUCT(('Prenatal Care'!$AA$7:$AA$762=GV$6)*('Prenatal Care'!$C$7:$C$762&gt;=Lists!$AE11)*('Prenatal Care'!$C$7:$C$762&lt;=Lists!$AF11))</f>
        <v>0</v>
      </c>
      <c r="GW17" s="470">
        <f>SUMPRODUCT(('Prenatal Care'!$AA$7:$AA$762=GW$6)*('Prenatal Care'!$C$7:$C$762&gt;=Lists!$AE11)*('Prenatal Care'!$C$7:$C$762&lt;=Lists!$AF11))</f>
        <v>0</v>
      </c>
      <c r="GX17" s="475">
        <f>SUMPRODUCT(('Prenatal Care'!$AA$7:$AA$762=GX$6)*('Prenatal Care'!$C$7:$C$762&gt;=Lists!$AE11)*('Prenatal Care'!$C$7:$C$762&lt;=Lists!$AF11))</f>
        <v>0</v>
      </c>
      <c r="GY17" s="471">
        <f t="shared" si="25"/>
        <v>0</v>
      </c>
      <c r="GZ17" s="473">
        <f>SUMPRODUCT(('Prenatal Care'!$AB$7:$AB$762=GZ$6)*('Prenatal Care'!$C$7:$C$762&gt;=Lists!$AE11)*('Prenatal Care'!$C$7:$C$762&lt;=Lists!$AF11))</f>
        <v>0</v>
      </c>
      <c r="HA17" s="470">
        <f>SUMPRODUCT(('Prenatal Care'!$AB$7:$AB$762=HA$6)*('Prenatal Care'!$C$7:$C$762&gt;=Lists!$AE11)*('Prenatal Care'!$C$7:$C$762&lt;=Lists!$AF11))</f>
        <v>0</v>
      </c>
      <c r="HB17" s="470">
        <f>SUMPRODUCT(('Prenatal Care'!$AB$7:$AB$762=HB$6)*('Prenatal Care'!$C$7:$C$762&gt;=Lists!$AE11)*('Prenatal Care'!$C$7:$C$762&lt;=Lists!$AF11))</f>
        <v>0</v>
      </c>
      <c r="HC17" s="470">
        <f>SUMPRODUCT(('Prenatal Care'!$AB$7:$AB$762=HC$6)*('Prenatal Care'!$C$7:$C$762&gt;=Lists!$AE11)*('Prenatal Care'!$C$7:$C$762&lt;=Lists!$AF11))</f>
        <v>0</v>
      </c>
      <c r="HD17" s="470">
        <f>SUMPRODUCT(('Prenatal Care'!$AB$7:$AB$762=HD$6)*('Prenatal Care'!$C$7:$C$762&gt;=Lists!$AE11)*('Prenatal Care'!$C$7:$C$762&lt;=Lists!$AF11))</f>
        <v>0</v>
      </c>
      <c r="HE17" s="470">
        <f>SUMPRODUCT(('Prenatal Care'!$AB$7:$AB$762=HE$6)*('Prenatal Care'!$C$7:$C$762&gt;=Lists!$AE11)*('Prenatal Care'!$C$7:$C$762&lt;=Lists!$AF11))</f>
        <v>0</v>
      </c>
      <c r="HF17" s="470">
        <f>SUMPRODUCT(('Prenatal Care'!$AB$7:$AB$762=HF$6)*('Prenatal Care'!$C$7:$C$762&gt;=Lists!$AE11)*('Prenatal Care'!$C$7:$C$762&lt;=Lists!$AF11))</f>
        <v>0</v>
      </c>
      <c r="HG17" s="470">
        <f>SUMPRODUCT(('Prenatal Care'!$AB$7:$AB$762=HG$6)*('Prenatal Care'!$C$7:$C$762&gt;=Lists!$AE11)*('Prenatal Care'!$C$7:$C$762&lt;=Lists!$AF11))</f>
        <v>0</v>
      </c>
      <c r="HH17" s="470">
        <f>SUMPRODUCT(('Prenatal Care'!$AB$7:$AB$762=HH$6)*('Prenatal Care'!$C$7:$C$762&gt;=Lists!$AE11)*('Prenatal Care'!$C$7:$C$762&lt;=Lists!$AF11))</f>
        <v>0</v>
      </c>
      <c r="HI17" s="470">
        <f>SUMPRODUCT(('Prenatal Care'!$AB$7:$AB$762=HI$6)*('Prenatal Care'!$C$7:$C$762&gt;=Lists!$AE11)*('Prenatal Care'!$C$7:$C$762&lt;=Lists!$AF11))</f>
        <v>0</v>
      </c>
      <c r="HJ17" s="470">
        <f>SUMPRODUCT(('Prenatal Care'!$AB$7:$AB$762=HJ$6)*('Prenatal Care'!$C$7:$C$762&gt;=Lists!$AE11)*('Prenatal Care'!$C$7:$C$762&lt;=Lists!$AF11))</f>
        <v>0</v>
      </c>
      <c r="HK17" s="470">
        <f>SUMPRODUCT(('Prenatal Care'!$AB$7:$AB$762=HK$6)*('Prenatal Care'!$C$7:$C$762&gt;=Lists!$AE11)*('Prenatal Care'!$C$7:$C$762&lt;=Lists!$AF11))</f>
        <v>0</v>
      </c>
      <c r="HL17" s="475">
        <f>SUMPRODUCT(('Prenatal Care'!$AB$7:$AB$762=HL$6)*('Prenatal Care'!$C$7:$C$762&gt;=Lists!$AE11)*('Prenatal Care'!$C$7:$C$762&lt;=Lists!$AF11))</f>
        <v>0</v>
      </c>
      <c r="HM17" s="471">
        <f t="shared" si="26"/>
        <v>0</v>
      </c>
      <c r="HN17" s="458">
        <f>SUMPRODUCT(('Prenatal Care'!$AC$7:$AC$762=HN$6)*('Prenatal Care'!$C$7:$C$762&gt;=Lists!$AE11)*('Prenatal Care'!$C$7:$C$762&lt;=Lists!$AF11))</f>
        <v>0</v>
      </c>
      <c r="HO17" s="459">
        <f>SUMPRODUCT(('Prenatal Care'!$AC$7:$AC$762=HO$6)*('Prenatal Care'!$C$7:$C$762&gt;=Lists!$AE11)*('Prenatal Care'!$C$7:$C$762&lt;=Lists!$AF11))</f>
        <v>0</v>
      </c>
      <c r="HP17" s="459">
        <f>SUMPRODUCT(('Prenatal Care'!$AC$7:$AC$762=HP$6)*('Prenatal Care'!$C$7:$C$762&gt;=Lists!$AE11)*('Prenatal Care'!$C$7:$C$762&lt;=Lists!$AF11))</f>
        <v>0</v>
      </c>
      <c r="HQ17" s="459">
        <f>SUMPRODUCT(('Prenatal Care'!$AC$7:$AC$762=HQ$6)*('Prenatal Care'!$C$7:$C$762&gt;=Lists!$AE11)*('Prenatal Care'!$C$7:$C$762&lt;=Lists!$AF11))</f>
        <v>0</v>
      </c>
      <c r="HR17" s="459">
        <f>SUMPRODUCT(('Prenatal Care'!$AC$7:$AC$762=HR$6)*('Prenatal Care'!$C$7:$C$762&gt;=Lists!$AE11)*('Prenatal Care'!$C$7:$C$762&lt;=Lists!$AF11))</f>
        <v>0</v>
      </c>
      <c r="HS17" s="459">
        <f>SUMPRODUCT(('Prenatal Care'!$AC$7:$AC$762=HS$6)*('Prenatal Care'!$C$7:$C$762&gt;=Lists!$AE11)*('Prenatal Care'!$C$7:$C$762&lt;=Lists!$AF11))</f>
        <v>0</v>
      </c>
      <c r="HT17" s="459">
        <f>SUMPRODUCT(('Prenatal Care'!$AC$7:$AC$762=HT$6)*('Prenatal Care'!$C$7:$C$762&gt;=Lists!$AE11)*('Prenatal Care'!$C$7:$C$762&lt;=Lists!$AF11))</f>
        <v>0</v>
      </c>
      <c r="HU17" s="459">
        <f>SUMPRODUCT(('Prenatal Care'!$AC$7:$AC$762=HU$6)*('Prenatal Care'!$C$7:$C$762&gt;=Lists!$AE11)*('Prenatal Care'!$C$7:$C$762&lt;=Lists!$AF11))</f>
        <v>0</v>
      </c>
      <c r="HV17" s="459">
        <f>SUMPRODUCT(('Prenatal Care'!$AC$7:$AC$762=HV$6)*('Prenatal Care'!$C$7:$C$762&gt;=Lists!$AE11)*('Prenatal Care'!$C$7:$C$762&lt;=Lists!$AF11))</f>
        <v>0</v>
      </c>
      <c r="HW17" s="459">
        <f>SUMPRODUCT(('Prenatal Care'!$AC$7:$AC$762=HW$6)*('Prenatal Care'!$C$7:$C$762&gt;=Lists!$AE11)*('Prenatal Care'!$C$7:$C$762&lt;=Lists!$AF11))</f>
        <v>0</v>
      </c>
      <c r="HX17" s="459">
        <f>SUMPRODUCT(('Prenatal Care'!$AC$7:$AC$762=HX$6)*('Prenatal Care'!$C$7:$C$762&gt;=Lists!$AE11)*('Prenatal Care'!$C$7:$C$762&lt;=Lists!$AF11))</f>
        <v>0</v>
      </c>
      <c r="HY17" s="459">
        <f>SUMPRODUCT(('Prenatal Care'!$AC$7:$AC$762=HY$6)*('Prenatal Care'!$C$7:$C$762&gt;=Lists!$AE11)*('Prenatal Care'!$C$7:$C$762&lt;=Lists!$AF11))</f>
        <v>0</v>
      </c>
      <c r="HZ17" s="460">
        <f>SUMPRODUCT(('Prenatal Care'!$AC$7:$AC$762=HZ$6)*('Prenatal Care'!$C$7:$C$762&gt;=Lists!$AE11)*('Prenatal Care'!$C$7:$C$762&lt;=Lists!$AF11))</f>
        <v>0</v>
      </c>
      <c r="IA17" s="471">
        <f t="shared" si="2"/>
        <v>0</v>
      </c>
      <c r="IB17" s="469">
        <f>SUMPRODUCT(('Prenatal Care'!$AD$7:$AD$762=IB$6)*('Prenatal Care'!$C$7:$C$762&gt;=Lists!$AE11)*('Prenatal Care'!$C$7:$C$762&lt;=Lists!$AF11))</f>
        <v>0</v>
      </c>
      <c r="IC17" s="473">
        <f>SUMPRODUCT(('Prenatal Care'!$AD$7:$AD$762=IC$6)*('Prenatal Care'!$C$7:$C$762&gt;=Lists!$AE11)*('Prenatal Care'!$C$7:$C$762&lt;=Lists!$AF11))</f>
        <v>0</v>
      </c>
      <c r="ID17" s="470">
        <f>SUMPRODUCT(('Prenatal Care'!$AD$7:$AD$762=ID$6)*('Prenatal Care'!$C$7:$C$762&gt;=Lists!$AE11)*('Prenatal Care'!$C$7:$C$762&lt;=Lists!$AF11))</f>
        <v>0</v>
      </c>
      <c r="IE17" s="470">
        <f>SUMPRODUCT(('Prenatal Care'!$AD$7:$AD$762=IE$6)*('Prenatal Care'!$C$7:$C$762&gt;=Lists!$AE11)*('Prenatal Care'!$C$7:$C$762&lt;=Lists!$AF11))</f>
        <v>0</v>
      </c>
      <c r="IF17" s="470">
        <f>SUMPRODUCT(('Prenatal Care'!$AD$7:$AD$762=IF$6)*('Prenatal Care'!$C$7:$C$762&gt;=Lists!$AE11)*('Prenatal Care'!$C$7:$C$762&lt;=Lists!$AF11))</f>
        <v>0</v>
      </c>
      <c r="IG17" s="471">
        <f t="shared" si="3"/>
        <v>0</v>
      </c>
      <c r="IH17" s="464">
        <f>SUMPRODUCT(('Prenatal Care'!$AE$7:$AE$762=IH$6)*('Prenatal Care'!$C$7:$C$762&gt;=Lists!$AE11)*('Prenatal Care'!$C$7:$C$762&lt;=Lists!$AF11))</f>
        <v>0</v>
      </c>
      <c r="II17" s="464">
        <f>SUMPRODUCT(('Prenatal Care'!$AE$7:$AE$762=II$6)*('Prenatal Care'!$C$7:$C$762&gt;=Lists!$AE11)*('Prenatal Care'!$C$7:$C$762&lt;=Lists!$AF11))</f>
        <v>0</v>
      </c>
      <c r="IJ17" s="464">
        <f>SUMPRODUCT(('Prenatal Care'!$AE$7:$AE$762=IJ$6)*('Prenatal Care'!$C$7:$C$762&gt;=Lists!$AE11)*('Prenatal Care'!$C$7:$C$762&lt;=Lists!$AF11))</f>
        <v>0</v>
      </c>
      <c r="IK17" s="464">
        <f>SUMPRODUCT(('Prenatal Care'!$AE$7:$AE$762=IK$6)*('Prenatal Care'!$C$7:$C$762&gt;=Lists!$AE11)*('Prenatal Care'!$C$7:$C$762&lt;=Lists!$AF11))</f>
        <v>0</v>
      </c>
      <c r="IL17" s="464">
        <f>SUMPRODUCT(('Prenatal Care'!$AE$7:$AE$762=IL$6)*('Prenatal Care'!$C$7:$C$762&gt;=Lists!$AE11)*('Prenatal Care'!$C$7:$C$762&lt;=Lists!$AF11))</f>
        <v>0</v>
      </c>
      <c r="IM17" s="464">
        <f>SUMPRODUCT(('Prenatal Care'!$AE$7:$AE$762=IM$6)*('Prenatal Care'!$C$7:$C$762&gt;=Lists!$AE11)*('Prenatal Care'!$C$7:$C$762&lt;=Lists!$AF11))</f>
        <v>0</v>
      </c>
      <c r="IN17" s="464">
        <f>SUMPRODUCT(('Prenatal Care'!$AE$7:$AE$762=IN$6)*('Prenatal Care'!$C$7:$C$762&gt;=Lists!$AE11)*('Prenatal Care'!$C$7:$C$762&lt;=Lists!$AF11))</f>
        <v>0</v>
      </c>
      <c r="IO17" s="464">
        <f>SUMPRODUCT(('Prenatal Care'!$AE$7:$AE$762=IO$6)*('Prenatal Care'!$C$7:$C$762&gt;=Lists!$AE11)*('Prenatal Care'!$C$7:$C$762&lt;=Lists!$AF11))</f>
        <v>0</v>
      </c>
      <c r="IP17" s="464">
        <f>SUMPRODUCT(('Prenatal Care'!$AE$7:$AE$762=IP$6)*('Prenatal Care'!$C$7:$C$762&gt;=Lists!$AE11)*('Prenatal Care'!$C$7:$C$762&lt;=Lists!$AF11))</f>
        <v>0</v>
      </c>
      <c r="IQ17" s="464">
        <f>SUMPRODUCT(('Prenatal Care'!$AE$7:$AE$762=IQ$6)*('Prenatal Care'!$C$7:$C$762&gt;=Lists!$AE11)*('Prenatal Care'!$C$7:$C$762&lt;=Lists!$AF11))</f>
        <v>0</v>
      </c>
      <c r="IR17" s="464">
        <f>SUMPRODUCT(('Prenatal Care'!$AE$7:$AE$762=IR$6)*('Prenatal Care'!$C$7:$C$762&gt;=Lists!$AE11)*('Prenatal Care'!$C$7:$C$762&lt;=Lists!$AF11))</f>
        <v>0</v>
      </c>
      <c r="IS17" s="464">
        <f>SUMPRODUCT(('Prenatal Care'!$AE$7:$AE$762=IS$6)*('Prenatal Care'!$C$7:$C$762&gt;=Lists!$AE11)*('Prenatal Care'!$C$7:$C$762&lt;=Lists!$AF11))</f>
        <v>0</v>
      </c>
      <c r="IT17" s="517">
        <f>SUMPRODUCT(('Prenatal Care'!$AE$7:$AE$762=IT$6)*('Prenatal Care'!$C$7:$C$762&gt;=Lists!$AE11)*('Prenatal Care'!$C$7:$C$762&lt;=Lists!$AF11))</f>
        <v>0</v>
      </c>
      <c r="IU17" s="471">
        <f t="shared" si="27"/>
        <v>0</v>
      </c>
      <c r="IV17" s="473">
        <f>SUMPRODUCT(('Prenatal Care'!$AF$7:$AF$762=IV$6)*('Prenatal Care'!$C$7:$C$762&gt;=Lists!$AE11)*('Prenatal Care'!$C$7:$C$762&lt;=Lists!$AF11))</f>
        <v>0</v>
      </c>
      <c r="IW17" s="470">
        <f>SUMPRODUCT(('Prenatal Care'!$AF$7:$AF$762=IW$6)*('Prenatal Care'!$C$7:$C$762&gt;=Lists!$AE11)*('Prenatal Care'!$C$7:$C$762&lt;=Lists!$AF11))</f>
        <v>0</v>
      </c>
      <c r="IX17" s="470">
        <f>SUMPRODUCT(('Prenatal Care'!$AF$7:$AF$762=IX$6)*('Prenatal Care'!$C$7:$C$762&gt;=Lists!$AE11)*('Prenatal Care'!$C$7:$C$762&lt;=Lists!$AF11))</f>
        <v>0</v>
      </c>
      <c r="IY17" s="470">
        <f>SUMPRODUCT(('Prenatal Care'!$AF$7:$AF$762=IY$6)*('Prenatal Care'!$C$7:$C$762&gt;=Lists!$AE11)*('Prenatal Care'!$C$7:$C$762&lt;=Lists!$AF11))</f>
        <v>0</v>
      </c>
      <c r="IZ17" s="470">
        <f>SUMPRODUCT(('Prenatal Care'!$AF$7:$AF$762=IZ$6)*('Prenatal Care'!$C$7:$C$762&gt;=Lists!$AE11)*('Prenatal Care'!$C$7:$C$762&lt;=Lists!$AF11))</f>
        <v>0</v>
      </c>
      <c r="JA17" s="470">
        <f>SUMPRODUCT(('Prenatal Care'!$AF$7:$AF$762=JA$6)*('Prenatal Care'!$C$7:$C$762&gt;=Lists!$AE11)*('Prenatal Care'!$C$7:$C$762&lt;=Lists!$AF11))</f>
        <v>0</v>
      </c>
      <c r="JB17" s="470">
        <f>SUMPRODUCT(('Prenatal Care'!$AF$7:$AF$762=JB$6)*('Prenatal Care'!$C$7:$C$762&gt;=Lists!$AE11)*('Prenatal Care'!$C$7:$C$762&lt;=Lists!$AF11))</f>
        <v>0</v>
      </c>
      <c r="JC17" s="470">
        <f>SUMPRODUCT(('Prenatal Care'!$AF$7:$AF$762=JC$6)*('Prenatal Care'!$C$7:$C$762&gt;=Lists!$AE11)*('Prenatal Care'!$C$7:$C$762&lt;=Lists!$AF11))</f>
        <v>0</v>
      </c>
      <c r="JD17" s="470">
        <f>SUMPRODUCT(('Prenatal Care'!$AF$7:$AF$762=JD$6)*('Prenatal Care'!$C$7:$C$762&gt;=Lists!$AE11)*('Prenatal Care'!$C$7:$C$762&lt;=Lists!$AF11))</f>
        <v>0</v>
      </c>
      <c r="JE17" s="470">
        <f>SUMPRODUCT(('Prenatal Care'!$AF$7:$AF$762=JE$6)*('Prenatal Care'!$C$7:$C$762&gt;=Lists!$AE11)*('Prenatal Care'!$C$7:$C$762&lt;=Lists!$AF11))</f>
        <v>0</v>
      </c>
      <c r="JF17" s="470">
        <f>SUMPRODUCT(('Prenatal Care'!$AF$7:$AF$762=JF$6)*('Prenatal Care'!$C$7:$C$762&gt;=Lists!$AE11)*('Prenatal Care'!$C$7:$C$762&lt;=Lists!$AF11))</f>
        <v>0</v>
      </c>
      <c r="JG17" s="470">
        <f>SUMPRODUCT(('Prenatal Care'!$AF$7:$AF$762=JG$6)*('Prenatal Care'!$C$7:$C$762&gt;=Lists!$AE11)*('Prenatal Care'!$C$7:$C$762&lt;=Lists!$AF11))</f>
        <v>0</v>
      </c>
      <c r="JH17" s="470">
        <f>SUMPRODUCT(('Prenatal Care'!$AF$7:$AF$762=JH$6)*('Prenatal Care'!$C$7:$C$762&gt;=Lists!$AE11)*('Prenatal Care'!$C$7:$C$762&lt;=Lists!$AF11))</f>
        <v>0</v>
      </c>
      <c r="JI17" s="470">
        <f>SUMPRODUCT(('Prenatal Care'!$AF$7:$AF$762=JI$6)*('Prenatal Care'!$C$7:$C$762&gt;=Lists!$AE11)*('Prenatal Care'!$C$7:$C$762&lt;=Lists!$AF11))</f>
        <v>0</v>
      </c>
      <c r="JJ17" s="470">
        <f>SUMPRODUCT(('Prenatal Care'!$AF$7:$AF$762=JJ$6)*('Prenatal Care'!$C$7:$C$762&gt;=Lists!$AE11)*('Prenatal Care'!$C$7:$C$762&lt;=Lists!$AF11))</f>
        <v>0</v>
      </c>
      <c r="JK17" s="470">
        <f>SUMPRODUCT(('Prenatal Care'!$AF$7:$AF$762=JK$6)*('Prenatal Care'!$C$7:$C$762&gt;=Lists!$AE11)*('Prenatal Care'!$C$7:$C$762&lt;=Lists!$AF11))</f>
        <v>0</v>
      </c>
      <c r="JL17" s="470">
        <f>SUMPRODUCT(('Prenatal Care'!$AF$7:$AF$762=JL$6)*('Prenatal Care'!$C$7:$C$762&gt;=Lists!$AE11)*('Prenatal Care'!$C$7:$C$762&lt;=Lists!$AF11))</f>
        <v>0</v>
      </c>
      <c r="JM17" s="470">
        <f>SUMPRODUCT(('Prenatal Care'!$AF$7:$AF$762=JM$6)*('Prenatal Care'!$C$7:$C$762&gt;=Lists!$AE11)*('Prenatal Care'!$C$7:$C$762&lt;=Lists!$AF11))</f>
        <v>0</v>
      </c>
      <c r="JN17" s="470">
        <f>SUMPRODUCT(('Prenatal Care'!$AF$7:$AF$762=JN$6)*('Prenatal Care'!$C$7:$C$762&gt;=Lists!$AE11)*('Prenatal Care'!$C$7:$C$762&lt;=Lists!$AF11))</f>
        <v>0</v>
      </c>
      <c r="JO17" s="470">
        <f>SUMPRODUCT(('Prenatal Care'!$AF$7:$AF$762=JO$6)*('Prenatal Care'!$C$7:$C$762&gt;=Lists!$AE11)*('Prenatal Care'!$C$7:$C$762&lt;=Lists!$AF11))</f>
        <v>0</v>
      </c>
      <c r="JP17" s="470">
        <f>SUMPRODUCT(('Prenatal Care'!$AF$7:$AF$762=JP$6)*('Prenatal Care'!$C$7:$C$762&gt;=Lists!$AE11)*('Prenatal Care'!$C$7:$C$762&lt;=Lists!$AF11))</f>
        <v>0</v>
      </c>
      <c r="JQ17" s="475">
        <f>SUMPRODUCT(('Prenatal Care'!$AF$7:$AF$762=JQ$6)*('Prenatal Care'!$C$7:$C$762&gt;=Lists!$AE11)*('Prenatal Care'!$C$7:$C$762&lt;=Lists!$AF11))</f>
        <v>0</v>
      </c>
      <c r="JR17" s="471">
        <f t="shared" si="28"/>
        <v>0</v>
      </c>
      <c r="JS17" s="469">
        <f>SUMPRODUCT(('Prenatal Care'!$AH$7:$AH$762=JS$6)*('Prenatal Care'!$C$7:$C$762&gt;=Lists!$AE11)*('Prenatal Care'!$C$7:$C$762&lt;=Lists!$AF11))</f>
        <v>0</v>
      </c>
      <c r="JT17" s="470">
        <f>SUMPRODUCT(('Prenatal Care'!$AH$7:$AH$762=JT$6)*('Prenatal Care'!$C$7:$C$762&gt;=Lists!$AE11)*('Prenatal Care'!$C$7:$C$762&lt;=Lists!$AF11))</f>
        <v>0</v>
      </c>
      <c r="JU17" s="470">
        <f>SUMPRODUCT(('Prenatal Care'!$AH$7:$AH$762=JU$6)*('Prenatal Care'!$C$7:$C$762&gt;=Lists!$AE11)*('Prenatal Care'!$C$7:$C$762&lt;=Lists!$AF11))</f>
        <v>0</v>
      </c>
      <c r="JV17" s="470">
        <f>SUMPRODUCT(('Prenatal Care'!$AH$7:$AH$762=JV$6)*('Prenatal Care'!$C$7:$C$762&gt;=Lists!$AE11)*('Prenatal Care'!$C$7:$C$762&lt;=Lists!$AF11))</f>
        <v>0</v>
      </c>
      <c r="JW17" s="470">
        <f>SUMPRODUCT(('Prenatal Care'!$AH$7:$AH$762=JW$6)*('Prenatal Care'!$C$7:$C$762&gt;=Lists!$AE11)*('Prenatal Care'!$C$7:$C$762&lt;=Lists!$AF11))</f>
        <v>0</v>
      </c>
      <c r="JX17" s="470">
        <f>SUMPRODUCT(('Prenatal Care'!$AH$7:$AH$762=JX$6)*('Prenatal Care'!$C$7:$C$762&gt;=Lists!$AE11)*('Prenatal Care'!$C$7:$C$762&lt;=Lists!$AF11))</f>
        <v>0</v>
      </c>
      <c r="JY17" s="470">
        <f>SUMPRODUCT(('Prenatal Care'!$AH$7:$AH$762=JY$6)*('Prenatal Care'!$C$7:$C$762&gt;=Lists!$AE11)*('Prenatal Care'!$C$7:$C$762&lt;=Lists!$AF11))</f>
        <v>0</v>
      </c>
      <c r="JZ17" s="470">
        <f>SUMPRODUCT(('Prenatal Care'!$AH$7:$AH$762=JZ$6)*('Prenatal Care'!$C$7:$C$762&gt;=Lists!$AE11)*('Prenatal Care'!$C$7:$C$762&lt;=Lists!$AF11))</f>
        <v>0</v>
      </c>
      <c r="KA17" s="470">
        <f>SUMPRODUCT(('Prenatal Care'!$AH$7:$AH$762=KA$6)*('Prenatal Care'!$C$7:$C$762&gt;=Lists!$AE11)*('Prenatal Care'!$C$7:$C$762&lt;=Lists!$AF11))</f>
        <v>0</v>
      </c>
      <c r="KB17" s="470">
        <f>SUMPRODUCT(('Prenatal Care'!$AH$7:$AH$762=KB$6)*('Prenatal Care'!$C$7:$C$762&gt;=Lists!$AE11)*('Prenatal Care'!$C$7:$C$762&lt;=Lists!$AF11))</f>
        <v>0</v>
      </c>
      <c r="KC17" s="475">
        <f>SUMPRODUCT(('Prenatal Care'!$AH$7:$AH$762=KC$6)*('Prenatal Care'!$C$7:$C$762&gt;=Lists!$AE11)*('Prenatal Care'!$C$7:$C$762&lt;=Lists!$AF11))</f>
        <v>0</v>
      </c>
      <c r="KD17" s="471">
        <f t="shared" si="29"/>
        <v>0</v>
      </c>
      <c r="KE17" s="473">
        <f>SUMPRODUCT(('Prenatal Care'!$AI$7:$AI$762=KE$6)*('Prenatal Care'!$C$7:$C$762&gt;=Lists!$AE11)*('Prenatal Care'!$C$7:$C$762&lt;=Lists!$AF11))</f>
        <v>0</v>
      </c>
      <c r="KF17" s="470">
        <f>SUMPRODUCT(('Prenatal Care'!$AI$7:$AI$762=KF$6)*('Prenatal Care'!$C$7:$C$762&gt;=Lists!$AE11)*('Prenatal Care'!$C$7:$C$762&lt;=Lists!$AF11))</f>
        <v>0</v>
      </c>
      <c r="KG17" s="470">
        <f>SUMPRODUCT(('Prenatal Care'!$AI$7:$AI$762=KG$6)*('Prenatal Care'!$C$7:$C$762&gt;=Lists!$AE11)*('Prenatal Care'!$C$7:$C$762&lt;=Lists!$AF11))</f>
        <v>0</v>
      </c>
      <c r="KH17" s="470">
        <f>SUMPRODUCT(('Prenatal Care'!$AI$7:$AI$762=KH$6)*('Prenatal Care'!$C$7:$C$762&gt;=Lists!$AE11)*('Prenatal Care'!$C$7:$C$762&lt;=Lists!$AF11))</f>
        <v>0</v>
      </c>
      <c r="KI17" s="475">
        <f>SUMPRODUCT(('Prenatal Care'!$AI$7:$AI$762=KI$6)*('Prenatal Care'!$C$7:$C$762&gt;=Lists!$AE11)*('Prenatal Care'!$C$7:$C$762&lt;=Lists!$AF11))</f>
        <v>0</v>
      </c>
      <c r="KJ17" s="471">
        <f t="shared" si="5"/>
        <v>0</v>
      </c>
      <c r="KK17" s="518">
        <f t="shared" si="6"/>
        <v>0</v>
      </c>
      <c r="KN17" s="15"/>
      <c r="KO17" s="15"/>
      <c r="KP17" s="15"/>
      <c r="KQ17" s="15"/>
      <c r="KR17" s="15"/>
      <c r="KS17" s="15"/>
      <c r="KT17" s="15"/>
      <c r="KU17" s="16"/>
      <c r="KV17" s="15"/>
      <c r="KW17" s="15"/>
      <c r="KX17" s="15"/>
      <c r="KY17" s="15"/>
      <c r="KZ17" s="15"/>
    </row>
    <row r="18" spans="1:312" ht="15" customHeight="1" x14ac:dyDescent="0.35">
      <c r="A18" s="567">
        <v>46054</v>
      </c>
      <c r="B18" s="448">
        <f>SUMPRODUCT(('Prenatal Care'!$F$7:$F$762=B$6)*('Prenatal Care'!$C$7:$C$762&gt;=Lists!$AE12)*('Prenatal Care'!$C$7:$C$762&lt;=Lists!$AF12))</f>
        <v>0</v>
      </c>
      <c r="C18" s="449">
        <f>SUMPRODUCT(('Prenatal Care'!$F$7:$F$762=C$6)*('Prenatal Care'!$C$7:$C$762&gt;=Lists!$AE12)*('Prenatal Care'!$C$7:$C$762&lt;=Lists!$AF12))</f>
        <v>0</v>
      </c>
      <c r="D18" s="449">
        <f>SUMPRODUCT(('Prenatal Care'!$F$7:$F$762=D$6)*('Prenatal Care'!$C$7:$C$762&gt;=Lists!$AE12)*('Prenatal Care'!$C$7:$C$762&lt;=Lists!$AF12))</f>
        <v>0</v>
      </c>
      <c r="E18" s="450">
        <f>SUMPRODUCT(('Prenatal Care'!$F$7:$F$762=E$6)*('Prenatal Care'!$C$7:$C$762&gt;=Lists!$AE12)*('Prenatal Care'!$C$7:$C$762&lt;=Lists!$AF12))</f>
        <v>0</v>
      </c>
      <c r="F18" s="213">
        <f t="shared" si="7"/>
        <v>0</v>
      </c>
      <c r="G18" s="441">
        <f>SUMPRODUCT(('Prenatal Care'!$G$7:$G$762=G$6)*('Prenatal Care'!$C$7:$C$762&gt;=Lists!$AE12)*('Prenatal Care'!$C$7:$C$762&lt;=Lists!$AF12))</f>
        <v>0</v>
      </c>
      <c r="H18" s="441">
        <f>SUMPRODUCT(('Prenatal Care'!$G$7:$G$762=H$6)*('Prenatal Care'!$C$7:$C$762&gt;=Lists!$AE12)*('Prenatal Care'!$C$7:$C$762&lt;=Lists!$AF12))</f>
        <v>0</v>
      </c>
      <c r="I18" s="441">
        <f>SUMPRODUCT(('Prenatal Care'!$G$7:$G$762=I$6)*('Prenatal Care'!$C$7:$C$762&gt;=Lists!$AE12)*('Prenatal Care'!$C$7:$C$762&lt;=Lists!$AF12))</f>
        <v>0</v>
      </c>
      <c r="J18" s="441">
        <f>SUMPRODUCT(('Prenatal Care'!$G$7:$G$762=J$6)*('Prenatal Care'!$C$7:$C$762&gt;=Lists!$AE12)*('Prenatal Care'!$C$7:$C$762&lt;=Lists!$AF12))</f>
        <v>0</v>
      </c>
      <c r="K18" s="441">
        <f>SUMPRODUCT(('Prenatal Care'!$G$7:$G$762=K$6)*('Prenatal Care'!$C$7:$C$762&gt;=Lists!$AE12)*('Prenatal Care'!$C$7:$C$762&lt;=Lists!$AF12))</f>
        <v>0</v>
      </c>
      <c r="L18" s="441">
        <f>SUMPRODUCT(('Prenatal Care'!$G$7:$G$762=L$6)*('Prenatal Care'!$C$7:$C$762&gt;=Lists!$AE12)*('Prenatal Care'!$C$7:$C$762&lt;=Lists!$AF12))</f>
        <v>0</v>
      </c>
      <c r="M18" s="441">
        <f>SUMPRODUCT(('Prenatal Care'!$G$7:$G$762=M$6)*('Prenatal Care'!$C$7:$C$762&gt;=Lists!$AE12)*('Prenatal Care'!$C$7:$C$762&lt;=Lists!$AF12))</f>
        <v>0</v>
      </c>
      <c r="N18" s="170">
        <f t="shared" si="8"/>
        <v>0</v>
      </c>
      <c r="O18" s="441">
        <f>SUMPRODUCT(('Prenatal Care'!$H$7:$H$762=O$6)*('Prenatal Care'!$C$7:$C$762&gt;=Lists!$AE12)*('Prenatal Care'!$C$7:$C$762&lt;=Lists!$AF12))</f>
        <v>0</v>
      </c>
      <c r="P18" s="441">
        <f>SUMPRODUCT(('Prenatal Care'!$H$7:$H$762=P$6)*('Prenatal Care'!$C$7:$C$762&gt;=Lists!$AE12)*('Prenatal Care'!$C$7:$C$762&lt;=Lists!$AF12))</f>
        <v>0</v>
      </c>
      <c r="Q18" s="441">
        <f>SUMPRODUCT(('Prenatal Care'!$H$7:$H$762=Q$6)*('Prenatal Care'!$C$7:$C$762&gt;=Lists!$AE12)*('Prenatal Care'!$C$7:$C$762&lt;=Lists!$AF12))</f>
        <v>0</v>
      </c>
      <c r="R18" s="441">
        <f>SUMPRODUCT(('Prenatal Care'!$H$7:$H$762=R$6)*('Prenatal Care'!$C$7:$C$762&gt;=Lists!$AE12)*('Prenatal Care'!$C$7:$C$762&lt;=Lists!$AF12))</f>
        <v>0</v>
      </c>
      <c r="S18" s="441">
        <f>SUMPRODUCT(('Prenatal Care'!$H$7:$H$762=S$6)*('Prenatal Care'!$C$7:$C$762&gt;=Lists!$AE12)*('Prenatal Care'!$C$7:$C$762&lt;=Lists!$AF12))</f>
        <v>0</v>
      </c>
      <c r="T18" s="441">
        <f>SUMPRODUCT(('Prenatal Care'!$H$7:$H$762=T$6)*('Prenatal Care'!$C$7:$C$762&gt;=Lists!$AE12)*('Prenatal Care'!$C$7:$C$762&lt;=Lists!$AF12))</f>
        <v>0</v>
      </c>
      <c r="U18" s="441">
        <f>SUMPRODUCT(('Prenatal Care'!$H$7:$H$762=U$6)*('Prenatal Care'!$C$7:$C$762&gt;=Lists!$AE12)*('Prenatal Care'!$C$7:$C$762&lt;=Lists!$AF12))</f>
        <v>0</v>
      </c>
      <c r="V18" s="170">
        <f t="shared" si="9"/>
        <v>0</v>
      </c>
      <c r="W18" s="441">
        <f>SUMPRODUCT(('Prenatal Care'!$I$7:$I$762=W$6)*('Prenatal Care'!$C$7:$C$762&gt;=Lists!$AE12)*('Prenatal Care'!$C$7:$C$762&lt;=Lists!$AF12))</f>
        <v>0</v>
      </c>
      <c r="X18" s="441">
        <f>SUMPRODUCT(('Prenatal Care'!$I$7:$I$762=X$6)*('Prenatal Care'!$C$7:$C$762&gt;=Lists!$AE12)*('Prenatal Care'!$C$7:$C$762&lt;=Lists!$AF12))</f>
        <v>0</v>
      </c>
      <c r="Y18" s="441">
        <f>SUMPRODUCT(('Prenatal Care'!$I$7:$I$762=Y$6)*('Prenatal Care'!$C$7:$C$762&gt;=Lists!$AE12)*('Prenatal Care'!$C$7:$C$762&lt;=Lists!$AF12))</f>
        <v>0</v>
      </c>
      <c r="Z18" s="441">
        <f>SUMPRODUCT(('Prenatal Care'!$I$7:$I$762=Z$6)*('Prenatal Care'!$C$7:$C$762&gt;=Lists!$AE12)*('Prenatal Care'!$C$7:$C$762&lt;=Lists!$AF12))</f>
        <v>0</v>
      </c>
      <c r="AA18" s="441">
        <f>SUMPRODUCT(('Prenatal Care'!$I$7:$I$762=AA$6)*('Prenatal Care'!$C$7:$C$762&gt;=Lists!$AE12)*('Prenatal Care'!$C$7:$C$762&lt;=Lists!$AF12))</f>
        <v>0</v>
      </c>
      <c r="AB18" s="441">
        <f>SUMPRODUCT(('Prenatal Care'!$I$7:$I$762=AB$6)*('Prenatal Care'!$C$7:$C$762&gt;=Lists!$AE12)*('Prenatal Care'!$C$7:$C$762&lt;=Lists!$AF12))</f>
        <v>0</v>
      </c>
      <c r="AC18" s="170">
        <f t="shared" si="10"/>
        <v>0</v>
      </c>
      <c r="AD18" s="441">
        <f>SUMPRODUCT(('Prenatal Care'!$J$7:$J$762=AD$6)*('Prenatal Care'!$C$7:$C$762&gt;=Lists!$AE12)*('Prenatal Care'!$C$7:$C$762&lt;=Lists!$AF12))</f>
        <v>0</v>
      </c>
      <c r="AE18" s="441">
        <f>SUMPRODUCT(('Prenatal Care'!$J$7:$J$762=AE$6)*('Prenatal Care'!$C$7:$C$762&gt;=Lists!$AE12)*('Prenatal Care'!$C$7:$C$762&lt;=Lists!$AF12))</f>
        <v>0</v>
      </c>
      <c r="AF18" s="441">
        <f>SUMPRODUCT(('Prenatal Care'!$J$7:$J$762=AF$6)*('Prenatal Care'!$C$7:$C$762&gt;=Lists!$AE12)*('Prenatal Care'!$C$7:$C$762&lt;=Lists!$AF12))</f>
        <v>0</v>
      </c>
      <c r="AG18" s="441">
        <f>SUMPRODUCT(('Prenatal Care'!$J$7:$J$762=AG$6)*('Prenatal Care'!$C$7:$C$762&gt;=Lists!$AE12)*('Prenatal Care'!$C$7:$C$762&lt;=Lists!$AF12))</f>
        <v>0</v>
      </c>
      <c r="AH18" s="170">
        <f t="shared" si="11"/>
        <v>0</v>
      </c>
      <c r="AI18" s="441">
        <f>SUMPRODUCT(('Prenatal Care'!$K$7:$K$762=AI$6)*('Prenatal Care'!$C$7:$C$762&gt;=Lists!$AE12)*('Prenatal Care'!$C$7:$C$762&lt;=Lists!$AF12))</f>
        <v>0</v>
      </c>
      <c r="AJ18" s="441">
        <f>SUMPRODUCT(('Prenatal Care'!$K$7:$K$762=AJ$6)*('Prenatal Care'!$C$7:$C$762&gt;=Lists!$AE12)*('Prenatal Care'!$C$7:$C$762&lt;=Lists!$AF12))</f>
        <v>0</v>
      </c>
      <c r="AK18" s="441">
        <f>SUMPRODUCT(('Prenatal Care'!$K$7:$K$762=AK$6)*('Prenatal Care'!$C$7:$C$762&gt;=Lists!$AE12)*('Prenatal Care'!$C$7:$C$762&lt;=Lists!$AF12))</f>
        <v>0</v>
      </c>
      <c r="AL18" s="441">
        <f>SUMPRODUCT(('Prenatal Care'!$K$7:$K$762=AL$6)*('Prenatal Care'!$C$7:$C$762&gt;=Lists!$AE12)*('Prenatal Care'!$C$7:$C$762&lt;=Lists!$AF12))</f>
        <v>0</v>
      </c>
      <c r="AM18" s="170">
        <f t="shared" si="12"/>
        <v>0</v>
      </c>
      <c r="AN18" s="441">
        <f>SUMPRODUCT(('Prenatal Care'!$L$7:$L$762=AN$6)*('Prenatal Care'!$C$7:$C$762&gt;=Lists!$AE12)*('Prenatal Care'!$C$7:$C$762&lt;=Lists!$AF12))</f>
        <v>0</v>
      </c>
      <c r="AO18" s="441">
        <f>SUMPRODUCT(('Prenatal Care'!$L$7:$L$762=AO$6)*('Prenatal Care'!$C$7:$C$762&gt;=Lists!$AE12)*('Prenatal Care'!$C$7:$C$762&lt;=Lists!$AF12))</f>
        <v>0</v>
      </c>
      <c r="AP18" s="441">
        <f>SUMPRODUCT(('Prenatal Care'!$L$7:$L$762=AP$6)*('Prenatal Care'!$C$7:$C$762&gt;=Lists!$AE12)*('Prenatal Care'!$C$7:$C$762&lt;=Lists!$AF12))</f>
        <v>0</v>
      </c>
      <c r="AQ18" s="441">
        <f>SUMPRODUCT(('Prenatal Care'!$L$7:$L$762=AQ$6)*('Prenatal Care'!$C$7:$C$762&gt;=Lists!$AE12)*('Prenatal Care'!$C$7:$C$762&lt;=Lists!$AF12))</f>
        <v>0</v>
      </c>
      <c r="AR18" s="170">
        <f t="shared" si="13"/>
        <v>0</v>
      </c>
      <c r="AS18" s="466">
        <f>SUMPRODUCT(('Prenatal Care'!$M$7:$M$762=AS$6)*('Prenatal Care'!$C$7:$C$762&gt;=Lists!$AE12)*('Prenatal Care'!$C$7:$C$762&lt;=Lists!$AF12))</f>
        <v>0</v>
      </c>
      <c r="AT18" s="467">
        <f>SUMPRODUCT(('Prenatal Care'!$M$7:$M$762=AT$6)*('Prenatal Care'!$C$7:$C$762&gt;=Lists!$AE12)*('Prenatal Care'!$C$7:$C$762&lt;=Lists!$AF12))</f>
        <v>0</v>
      </c>
      <c r="AU18" s="467">
        <f>SUMPRODUCT(('Prenatal Care'!$M$7:$M$762=AU$6)*('Prenatal Care'!$C$7:$C$762&gt;=Lists!$AE12)*('Prenatal Care'!$C$7:$C$762&lt;=Lists!$AF12))</f>
        <v>0</v>
      </c>
      <c r="AV18" s="498">
        <f>SUMPRODUCT(('Prenatal Care'!$M$7:$M$762=AV$6)*('Prenatal Care'!$C$7:$C$762&gt;=Lists!$AE12)*('Prenatal Care'!$C$7:$C$762&lt;=Lists!$AF12))</f>
        <v>0</v>
      </c>
      <c r="AW18" s="468">
        <f t="shared" si="14"/>
        <v>0</v>
      </c>
      <c r="AX18" s="473">
        <f>SUMPRODUCT(('Prenatal Care'!$N$7:$N$762=AX$6)*('Prenatal Care'!$C$7:$C$762&gt;=Lists!$AE12)*('Prenatal Care'!$C$7:$C$762&lt;=Lists!$AF12))</f>
        <v>0</v>
      </c>
      <c r="AY18" s="470">
        <f>SUMPRODUCT(('Prenatal Care'!$N$7:$N$762=AY$6)*('Prenatal Care'!$C$7:$C$762&gt;=Lists!$AE12)*('Prenatal Care'!$C$7:$C$762&lt;=Lists!$AF12))</f>
        <v>0</v>
      </c>
      <c r="AZ18" s="470">
        <f>SUMPRODUCT(('Prenatal Care'!$N$7:$N$762=AZ$6)*('Prenatal Care'!$C$7:$C$762&gt;=Lists!$AE12)*('Prenatal Care'!$C$7:$C$762&lt;=Lists!$AF12))</f>
        <v>0</v>
      </c>
      <c r="BA18" s="470">
        <f>SUMPRODUCT(('Prenatal Care'!$N$7:$N$762=BA$6)*('Prenatal Care'!$C$7:$C$762&gt;=Lists!$AE12)*('Prenatal Care'!$C$7:$C$762&lt;=Lists!$AF12))</f>
        <v>0</v>
      </c>
      <c r="BB18" s="475">
        <f>SUMPRODUCT(('Prenatal Care'!$N$7:$N$762=BB$6)*('Prenatal Care'!$C$7:$C$762&gt;=Lists!$AE12)*('Prenatal Care'!$C$7:$C$762&lt;=Lists!$AF12))</f>
        <v>0</v>
      </c>
      <c r="BC18" s="471">
        <f t="shared" si="15"/>
        <v>0</v>
      </c>
      <c r="BD18" s="473">
        <f>SUMPRODUCT(('Prenatal Care'!$O$7:$O$762=BD$6)*('Prenatal Care'!$C$7:$C$762&gt;=Lists!$AE12)*('Prenatal Care'!$C$7:$C$762&lt;=Lists!$AF12))</f>
        <v>0</v>
      </c>
      <c r="BE18" s="470">
        <f>SUMPRODUCT(('Prenatal Care'!$O$7:$O$762=BE$6)*('Prenatal Care'!$C$7:$C$762&gt;=Lists!$AE12)*('Prenatal Care'!$C$7:$C$762&lt;=Lists!$AF12))</f>
        <v>0</v>
      </c>
      <c r="BF18" s="470">
        <f>SUMPRODUCT(('Prenatal Care'!$O$7:$O$762=BF$6)*('Prenatal Care'!$C$7:$C$762&gt;=Lists!$AE12)*('Prenatal Care'!$C$7:$C$762&lt;=Lists!$AF12))</f>
        <v>0</v>
      </c>
      <c r="BG18" s="470">
        <f>SUMPRODUCT(('Prenatal Care'!$O$7:$O$762=BG$6)*('Prenatal Care'!$C$7:$C$762&gt;=Lists!$AE12)*('Prenatal Care'!$C$7:$C$762&lt;=Lists!$AF12))</f>
        <v>0</v>
      </c>
      <c r="BH18" s="470">
        <f>SUMPRODUCT(('Prenatal Care'!$O$7:$O$762=BH$6)*('Prenatal Care'!$C$7:$C$762&gt;=Lists!$AE12)*('Prenatal Care'!$C$7:$C$762&lt;=Lists!$AF12))</f>
        <v>0</v>
      </c>
      <c r="BI18" s="475">
        <f>SUMPRODUCT(('Prenatal Care'!$O$7:$O$762=BI$6)*('Prenatal Care'!$C$7:$C$762&gt;=Lists!$AE12)*('Prenatal Care'!$C$7:$C$762&lt;=Lists!$AF12))</f>
        <v>0</v>
      </c>
      <c r="BJ18" s="471">
        <f t="shared" si="16"/>
        <v>0</v>
      </c>
      <c r="BK18" s="473">
        <f>SUMPRODUCT(('Prenatal Care'!$P$7:$P$762=BK$6)*('Prenatal Care'!$C$7:$C$762&gt;=Lists!$AE12)*('Prenatal Care'!$C$7:$C$762&lt;=Lists!$AF12))</f>
        <v>0</v>
      </c>
      <c r="BL18" s="470">
        <f>SUMPRODUCT(('Prenatal Care'!$P$7:$P$762=BL$6)*('Prenatal Care'!$C$7:$C$762&gt;=Lists!$AE12)*('Prenatal Care'!$C$7:$C$762&lt;=Lists!$AF12))</f>
        <v>0</v>
      </c>
      <c r="BM18" s="470">
        <f>SUMPRODUCT(('Prenatal Care'!$P$7:$P$762=BM$6)*('Prenatal Care'!$C$7:$C$762&gt;=Lists!$AE12)*('Prenatal Care'!$C$7:$C$762&lt;=Lists!$AF12))</f>
        <v>0</v>
      </c>
      <c r="BN18" s="470">
        <f>SUMPRODUCT(('Prenatal Care'!$P$7:$P$762=BN$6)*('Prenatal Care'!$C$7:$C$762&gt;=Lists!$AE12)*('Prenatal Care'!$C$7:$C$762&lt;=Lists!$AF12))</f>
        <v>0</v>
      </c>
      <c r="BO18" s="475">
        <f>SUMPRODUCT(('Prenatal Care'!$P$7:$P$762=BO$6)*('Prenatal Care'!$C$7:$C$762&gt;=Lists!$AE12)*('Prenatal Care'!$C$7:$C$762&lt;=Lists!$AF12))</f>
        <v>0</v>
      </c>
      <c r="BP18" s="471">
        <f t="shared" si="0"/>
        <v>0</v>
      </c>
      <c r="BQ18" s="473">
        <f>SUMPRODUCT(('Prenatal Care'!$Q$7:$Q$762=BQ$6)*('Prenatal Care'!$C$7:$C$762&gt;=Lists!$AE12)*('Prenatal Care'!$C$7:$C$762&lt;=Lists!$AF12))</f>
        <v>0</v>
      </c>
      <c r="BR18" s="470">
        <f>SUMPRODUCT(('Prenatal Care'!$Q$7:$Q$762=BR$6)*('Prenatal Care'!$C$7:$C$762&gt;=Lists!$AE12)*('Prenatal Care'!$C$7:$C$762&lt;=Lists!$AF12))</f>
        <v>0</v>
      </c>
      <c r="BS18" s="470">
        <f>SUMPRODUCT(('Prenatal Care'!$Q$7:$Q$762=BS$6)*('Prenatal Care'!$C$7:$C$762&gt;=Lists!$AE12)*('Prenatal Care'!$C$7:$C$762&lt;=Lists!$AF12))</f>
        <v>0</v>
      </c>
      <c r="BT18" s="470">
        <f>SUMPRODUCT(('Prenatal Care'!$Q$7:$Q$762=BT$6)*('Prenatal Care'!$C$7:$C$762&gt;=Lists!$AE12)*('Prenatal Care'!$C$7:$C$762&lt;=Lists!$AF12))</f>
        <v>0</v>
      </c>
      <c r="BU18" s="470">
        <f>SUMPRODUCT(('Prenatal Care'!$Q$7:$Q$762=BU$6)*('Prenatal Care'!$C$7:$C$762&gt;=Lists!$AE12)*('Prenatal Care'!$C$7:$C$762&lt;=Lists!$AF12))</f>
        <v>0</v>
      </c>
      <c r="BV18" s="475">
        <f>SUMPRODUCT(('Prenatal Care'!$Q$7:$Q$762=BV$6)*('Prenatal Care'!$C$7:$C$762&gt;=Lists!$AE12)*('Prenatal Care'!$C$7:$C$762&lt;=Lists!$AF12))</f>
        <v>0</v>
      </c>
      <c r="BW18" s="472">
        <f t="shared" si="1"/>
        <v>0</v>
      </c>
      <c r="BX18" s="473">
        <f>SUMPRODUCT(('Prenatal Care'!$R$7:$R$762=BX$6)*('Prenatal Care'!$C$7:$C$762&gt;=Lists!$AE12)*('Prenatal Care'!$C$7:$C$762&lt;=Lists!$AF12))</f>
        <v>0</v>
      </c>
      <c r="BY18" s="470">
        <f>SUMPRODUCT(('Prenatal Care'!$R$7:$R$762=BY$6)*('Prenatal Care'!$C$7:$C$762&gt;=Lists!$AE12)*('Prenatal Care'!$C$7:$C$762&lt;=Lists!$AF12))</f>
        <v>0</v>
      </c>
      <c r="BZ18" s="470">
        <f>SUMPRODUCT(('Prenatal Care'!$R$7:$R$762=BZ$6)*('Prenatal Care'!$C$7:$C$762&gt;=Lists!$AE12)*('Prenatal Care'!$C$7:$C$762&lt;=Lists!$AF12))</f>
        <v>0</v>
      </c>
      <c r="CA18" s="470">
        <f>SUMPRODUCT(('Prenatal Care'!$R$7:$R$762=CA$6)*('Prenatal Care'!$C$7:$C$762&gt;=Lists!$AE12)*('Prenatal Care'!$C$7:$C$762&lt;=Lists!$AF12))</f>
        <v>0</v>
      </c>
      <c r="CB18" s="475">
        <f>SUMPRODUCT(('Prenatal Care'!$R$7:$R$762=CB$6)*('Prenatal Care'!$C$7:$C$762&gt;=Lists!$AE12)*('Prenatal Care'!$C$7:$C$762&lt;=Lists!$AF12))</f>
        <v>0</v>
      </c>
      <c r="CC18" s="471">
        <f t="shared" si="17"/>
        <v>0</v>
      </c>
      <c r="CD18" s="469">
        <f>SUMPRODUCT(('Prenatal Care'!$S$7:$S$762=CD$6)*('Prenatal Care'!$C$7:$C$762&gt;=Lists!$AE12)*('Prenatal Care'!$C$7:$C$762&lt;=Lists!$AF12))</f>
        <v>0</v>
      </c>
      <c r="CE18" s="473">
        <f>SUMPRODUCT(('Prenatal Care'!$S$7:$S$762=CE$6)*('Prenatal Care'!$C$7:$C$762&gt;=Lists!$AE12)*('Prenatal Care'!$C$7:$C$762&lt;=Lists!$AF12))</f>
        <v>0</v>
      </c>
      <c r="CF18" s="470">
        <f>SUMPRODUCT(('Prenatal Care'!$S$7:$S$762=CF$6)*('Prenatal Care'!$C$7:$C$762&gt;=Lists!$AE12)*('Prenatal Care'!$C$7:$C$762&lt;=Lists!$AF12))</f>
        <v>0</v>
      </c>
      <c r="CG18" s="470">
        <f>SUMPRODUCT(('Prenatal Care'!$S$7:$S$762=CG$6)*('Prenatal Care'!$C$7:$C$762&gt;=Lists!$AE12)*('Prenatal Care'!$C$7:$C$762&lt;=Lists!$AF12))</f>
        <v>0</v>
      </c>
      <c r="CH18" s="470">
        <f>SUMPRODUCT(('Prenatal Care'!$S$7:$S$762=CH$6)*('Prenatal Care'!$C$7:$C$762&gt;=Lists!$AE12)*('Prenatal Care'!$C$7:$C$762&lt;=Lists!$AF12))</f>
        <v>0</v>
      </c>
      <c r="CI18" s="470">
        <f>SUMPRODUCT(('Prenatal Care'!$S$7:$S$762=CI$6)*('Prenatal Care'!$C$7:$C$762&gt;=Lists!$AE12)*('Prenatal Care'!$C$7:$C$762&lt;=Lists!$AF12))</f>
        <v>0</v>
      </c>
      <c r="CJ18" s="470">
        <f>SUMPRODUCT(('Prenatal Care'!$S$7:$S$762=CJ$6)*('Prenatal Care'!$C$7:$C$762&gt;=Lists!$AE12)*('Prenatal Care'!$C$7:$C$762&lt;=Lists!$AF12))</f>
        <v>0</v>
      </c>
      <c r="CK18" s="470">
        <f>SUMPRODUCT(('Prenatal Care'!$S$7:$S$762=CK$6)*('Prenatal Care'!$C$7:$C$762&gt;=Lists!$AE12)*('Prenatal Care'!$C$7:$C$762&lt;=Lists!$AF12))</f>
        <v>0</v>
      </c>
      <c r="CL18" s="470">
        <f>SUMPRODUCT(('Prenatal Care'!$S$7:$S$762=CL$6)*('Prenatal Care'!$C$7:$C$762&gt;=Lists!$AE12)*('Prenatal Care'!$C$7:$C$762&lt;=Lists!$AF12))</f>
        <v>0</v>
      </c>
      <c r="CM18" s="475">
        <f>SUMPRODUCT(('Prenatal Care'!$S$7:$S$762=CM$6)*('Prenatal Care'!$C$7:$C$762&gt;=Lists!$AE12)*('Prenatal Care'!$C$7:$C$762&lt;=Lists!$AF12))</f>
        <v>0</v>
      </c>
      <c r="CN18" s="471">
        <f t="shared" si="18"/>
        <v>0</v>
      </c>
      <c r="CO18" s="473">
        <f>SUMPRODUCT(('Prenatal Care'!$T$7:$T$762=CO$6)*('Prenatal Care'!$C$7:$C$762&gt;=Lists!$AE12)*('Prenatal Care'!$C$7:$C$762&lt;=Lists!$AF12))</f>
        <v>0</v>
      </c>
      <c r="CP18" s="470">
        <f>SUMPRODUCT(('Prenatal Care'!$T$7:$T$762=CP$6)*('Prenatal Care'!$C$7:$C$762&gt;=Lists!$AE12)*('Prenatal Care'!$C$7:$C$762&lt;=Lists!$AF12))</f>
        <v>0</v>
      </c>
      <c r="CQ18" s="475">
        <f>SUMPRODUCT(('Prenatal Care'!$T$7:$T$762=CQ$6)*('Prenatal Care'!$C$7:$C$762&gt;=Lists!$AE12)*('Prenatal Care'!$C$7:$C$762&lt;=Lists!$AF12))</f>
        <v>0</v>
      </c>
      <c r="CR18" s="471">
        <f t="shared" si="19"/>
        <v>0</v>
      </c>
      <c r="CS18" s="505">
        <f>SUMPRODUCT(('Prenatal Care'!$U$7:$U$762=CS$6)*('Prenatal Care'!$C$7:$C$762&gt;=Lists!$AE12)*('Prenatal Care'!$C$7:$C$762&lt;=Lists!$AF12))</f>
        <v>0</v>
      </c>
      <c r="CT18" s="506">
        <f>SUMPRODUCT(('Prenatal Care'!$U$7:$U$762=CT$6)*('Prenatal Care'!$C$7:$C$762&gt;=Lists!$AE12)*('Prenatal Care'!$C$7:$C$762&lt;=Lists!$AF12))</f>
        <v>0</v>
      </c>
      <c r="CU18" s="506">
        <f>SUMPRODUCT(('Prenatal Care'!$U$7:$U$762=CU$6)*('Prenatal Care'!$C$7:$C$762&gt;=Lists!$AE12)*('Prenatal Care'!$C$7:$C$762&lt;=Lists!$AF12))</f>
        <v>0</v>
      </c>
      <c r="CV18" s="506">
        <f>SUMPRODUCT(('Prenatal Care'!$U$7:$U$762=CV$6)*('Prenatal Care'!$C$7:$C$762&gt;=Lists!$AE12)*('Prenatal Care'!$C$7:$C$762&lt;=Lists!$AF12))</f>
        <v>0</v>
      </c>
      <c r="CW18" s="506">
        <f>SUMPRODUCT(('Prenatal Care'!$U$7:$U$762=CW$6)*('Prenatal Care'!$C$7:$C$762&gt;=Lists!$AE12)*('Prenatal Care'!$C$7:$C$762&lt;=Lists!$AF12))</f>
        <v>0</v>
      </c>
      <c r="CX18" s="506">
        <f>SUMPRODUCT(('Prenatal Care'!$U$7:$U$762=CX$6)*('Prenatal Care'!$C$7:$C$762&gt;=Lists!$AE12)*('Prenatal Care'!$C$7:$C$762&lt;=Lists!$AF12))</f>
        <v>0</v>
      </c>
      <c r="CY18" s="506">
        <f>SUMPRODUCT(('Prenatal Care'!$U$7:$U$762=CY$6)*('Prenatal Care'!$C$7:$C$762&gt;=Lists!$AE12)*('Prenatal Care'!$C$7:$C$762&lt;=Lists!$AF12))</f>
        <v>0</v>
      </c>
      <c r="CZ18" s="506">
        <f>SUMPRODUCT(('Prenatal Care'!$U$7:$U$762=CZ$6)*('Prenatal Care'!$C$7:$C$762&gt;=Lists!$AE12)*('Prenatal Care'!$C$7:$C$762&lt;=Lists!$AF12))</f>
        <v>0</v>
      </c>
      <c r="DA18" s="506">
        <f>SUMPRODUCT(('Prenatal Care'!$U$7:$U$762=DA$6)*('Prenatal Care'!$C$7:$C$762&gt;=Lists!$AE12)*('Prenatal Care'!$C$7:$C$762&lt;=Lists!$AF12))</f>
        <v>0</v>
      </c>
      <c r="DB18" s="507">
        <f>SUMPRODUCT(('Prenatal Care'!$U$7:$U$762=DB$6)*('Prenatal Care'!$C$7:$C$762&gt;=Lists!$AE12)*('Prenatal Care'!$C$7:$C$762&lt;=Lists!$AF12))</f>
        <v>0</v>
      </c>
      <c r="DC18" s="471">
        <f t="shared" si="20"/>
        <v>0</v>
      </c>
      <c r="DD18" s="469">
        <f>SUMPRODUCT(('Prenatal Care'!$V$7:$V$762=DD$6)*('Prenatal Care'!$C$7:$C$762&gt;=Lists!$AE12)*('Prenatal Care'!$C$7:$C$762&lt;=Lists!$AF12))</f>
        <v>0</v>
      </c>
      <c r="DE18" s="470">
        <f>SUMPRODUCT(('Prenatal Care'!$V$7:$V$762=DE$6)*('Prenatal Care'!$C$7:$C$762&gt;=Lists!$AE12)*('Prenatal Care'!$C$7:$C$762&lt;=Lists!$AF12))</f>
        <v>0</v>
      </c>
      <c r="DF18" s="470">
        <f>SUMPRODUCT(('Prenatal Care'!$V$7:$V$762=DF$6)*('Prenatal Care'!$C$7:$C$762&gt;=Lists!$AE12)*('Prenatal Care'!$C$7:$C$762&lt;=Lists!$AF12))</f>
        <v>0</v>
      </c>
      <c r="DG18" s="475">
        <f>SUMPRODUCT(('Prenatal Care'!$V$7:$V$762=DG$6)*('Prenatal Care'!$C$7:$C$762&gt;=Lists!$AE12)*('Prenatal Care'!$C$7:$C$762&lt;=Lists!$AF12))</f>
        <v>0</v>
      </c>
      <c r="DH18" s="471">
        <f t="shared" si="21"/>
        <v>0</v>
      </c>
      <c r="DI18" s="473">
        <f>SUMPRODUCT(('Prenatal Care'!$W$7:$W$762=DI$6)*('Prenatal Care'!$C$7:$C$762&gt;=Lists!$AE12)*('Prenatal Care'!$C$7:$C$762&lt;=Lists!$AF12))</f>
        <v>0</v>
      </c>
      <c r="DJ18" s="470">
        <f>SUMPRODUCT(('Prenatal Care'!$W$7:$W$762=DJ$6)*('Prenatal Care'!$C$7:$C$762&gt;=Lists!$AE12)*('Prenatal Care'!$C$7:$C$762&lt;=Lists!$AF12))</f>
        <v>0</v>
      </c>
      <c r="DK18" s="470">
        <f>SUMPRODUCT(('Prenatal Care'!$W$7:$W$762=DK$6)*('Prenatal Care'!$C$7:$C$762&gt;=Lists!$AE12)*('Prenatal Care'!$C$7:$C$762&lt;=Lists!$AF12))</f>
        <v>0</v>
      </c>
      <c r="DL18" s="470">
        <f>SUMPRODUCT(('Prenatal Care'!$W$7:$W$762=DL$6)*('Prenatal Care'!$C$7:$C$762&gt;=Lists!$AE12)*('Prenatal Care'!$C$7:$C$762&lt;=Lists!$AF12))</f>
        <v>0</v>
      </c>
      <c r="DM18" s="470">
        <f>SUMPRODUCT(('Prenatal Care'!$W$7:$W$762=DM$6)*('Prenatal Care'!$C$7:$C$762&gt;=Lists!$AE12)*('Prenatal Care'!$C$7:$C$762&lt;=Lists!$AF12))</f>
        <v>0</v>
      </c>
      <c r="DN18" s="470">
        <f>SUMPRODUCT(('Prenatal Care'!$W$7:$W$762=DN$6)*('Prenatal Care'!$C$7:$C$762&gt;=Lists!$AE12)*('Prenatal Care'!$C$7:$C$762&lt;=Lists!$AF12))</f>
        <v>0</v>
      </c>
      <c r="DO18" s="470">
        <f>SUMPRODUCT(('Prenatal Care'!$W$7:$W$762=DO$6)*('Prenatal Care'!$C$7:$C$762&gt;=Lists!$AE12)*('Prenatal Care'!$C$7:$C$762&lt;=Lists!$AF12))</f>
        <v>0</v>
      </c>
      <c r="DP18" s="470">
        <f>SUMPRODUCT(('Prenatal Care'!$W$7:$W$762=DP$6)*('Prenatal Care'!$C$7:$C$762&gt;=Lists!$AE12)*('Prenatal Care'!$C$7:$C$762&lt;=Lists!$AF12))</f>
        <v>0</v>
      </c>
      <c r="DQ18" s="470">
        <f>SUMPRODUCT(('Prenatal Care'!$W$7:$W$762=DQ$6)*('Prenatal Care'!$C$7:$C$762&gt;=Lists!$AE12)*('Prenatal Care'!$C$7:$C$762&lt;=Lists!$AF12))</f>
        <v>0</v>
      </c>
      <c r="DR18" s="470">
        <f>SUMPRODUCT(('Prenatal Care'!$W$7:$W$762=DR$6)*('Prenatal Care'!$C$7:$C$762&gt;=Lists!$AE12)*('Prenatal Care'!$C$7:$C$762&lt;=Lists!$AF12))</f>
        <v>0</v>
      </c>
      <c r="DS18" s="470">
        <f>SUMPRODUCT(('Prenatal Care'!$W$7:$W$762=DS$6)*('Prenatal Care'!$C$7:$C$762&gt;=Lists!$AE12)*('Prenatal Care'!$C$7:$C$762&lt;=Lists!$AF12))</f>
        <v>0</v>
      </c>
      <c r="DT18" s="470">
        <f>SUMPRODUCT(('Prenatal Care'!$W$7:$W$762=DT$6)*('Prenatal Care'!$C$7:$C$762&gt;=Lists!$AE12)*('Prenatal Care'!$C$7:$C$762&lt;=Lists!$AF12))</f>
        <v>0</v>
      </c>
      <c r="DU18" s="470">
        <f>SUMPRODUCT(('Prenatal Care'!$W$7:$W$762=DU$6)*('Prenatal Care'!$C$7:$C$762&gt;=Lists!$AE12)*('Prenatal Care'!$C$7:$C$762&lt;=Lists!$AF12))</f>
        <v>0</v>
      </c>
      <c r="DV18" s="470">
        <f>SUMPRODUCT(('Prenatal Care'!$W$7:$W$762=DV$6)*('Prenatal Care'!$C$7:$C$762&gt;=Lists!$AE12)*('Prenatal Care'!$C$7:$C$762&lt;=Lists!$AF12))</f>
        <v>0</v>
      </c>
      <c r="DW18" s="470">
        <f>SUMPRODUCT(('Prenatal Care'!$W$7:$W$762=DW$6)*('Prenatal Care'!$C$7:$C$762&gt;=Lists!$AE12)*('Prenatal Care'!$C$7:$C$762&lt;=Lists!$AF12))</f>
        <v>0</v>
      </c>
      <c r="DX18" s="470">
        <f>SUMPRODUCT(('Prenatal Care'!$W$7:$W$762=DX$6)*('Prenatal Care'!$C$7:$C$762&gt;=Lists!$AE12)*('Prenatal Care'!$C$7:$C$762&lt;=Lists!$AF12))</f>
        <v>0</v>
      </c>
      <c r="DY18" s="470">
        <f>SUMPRODUCT(('Prenatal Care'!$W$7:$W$762=DY$6)*('Prenatal Care'!$C$7:$C$762&gt;=Lists!$AE12)*('Prenatal Care'!$C$7:$C$762&lt;=Lists!$AF12))</f>
        <v>0</v>
      </c>
      <c r="DZ18" s="470">
        <f>SUMPRODUCT(('Prenatal Care'!$W$7:$W$762=DZ$6)*('Prenatal Care'!$C$7:$C$762&gt;=Lists!$AE12)*('Prenatal Care'!$C$7:$C$762&lt;=Lists!$AF12))</f>
        <v>0</v>
      </c>
      <c r="EA18" s="470">
        <f>SUMPRODUCT(('Prenatal Care'!$W$7:$W$762=EA$6)*('Prenatal Care'!$C$7:$C$762&gt;=Lists!$AE12)*('Prenatal Care'!$C$7:$C$762&lt;=Lists!$AF12))</f>
        <v>0</v>
      </c>
      <c r="EB18" s="470">
        <f>SUMPRODUCT(('Prenatal Care'!$W$7:$W$762=EB$6)*('Prenatal Care'!$C$7:$C$762&gt;=Lists!$AE12)*('Prenatal Care'!$C$7:$C$762&lt;=Lists!$AF12))</f>
        <v>0</v>
      </c>
      <c r="EC18" s="470">
        <f>SUMPRODUCT(('Prenatal Care'!$W$7:$W$762=EC$6)*('Prenatal Care'!$C$7:$C$762&gt;=Lists!$AE12)*('Prenatal Care'!$C$7:$C$762&lt;=Lists!$AF12))</f>
        <v>0</v>
      </c>
      <c r="ED18" s="470">
        <f>SUMPRODUCT(('Prenatal Care'!$W$7:$W$762=ED$6)*('Prenatal Care'!$C$7:$C$762&gt;=Lists!$AE12)*('Prenatal Care'!$C$7:$C$762&lt;=Lists!$AF12))</f>
        <v>0</v>
      </c>
      <c r="EE18" s="470">
        <f>SUMPRODUCT(('Prenatal Care'!$W$7:$W$762=EE$6)*('Prenatal Care'!$C$7:$C$762&gt;=Lists!$AE12)*('Prenatal Care'!$C$7:$C$762&lt;=Lists!$AF12))</f>
        <v>0</v>
      </c>
      <c r="EF18" s="470">
        <f>SUMPRODUCT(('Prenatal Care'!$W$7:$W$762=EF$6)*('Prenatal Care'!$C$7:$C$762&gt;=Lists!$AE12)*('Prenatal Care'!$C$7:$C$762&lt;=Lists!$AF12))</f>
        <v>0</v>
      </c>
      <c r="EG18" s="470">
        <f>SUMPRODUCT(('Prenatal Care'!$W$7:$W$762=EG$6)*('Prenatal Care'!$C$7:$C$762&gt;=Lists!$AE12)*('Prenatal Care'!$C$7:$C$762&lt;=Lists!$AF12))</f>
        <v>0</v>
      </c>
      <c r="EH18" s="475">
        <f>SUMPRODUCT(('Prenatal Care'!$W$7:$W$762=EH$6)*('Prenatal Care'!$C$7:$C$762&gt;=Lists!$AE12)*('Prenatal Care'!$C$7:$C$762&lt;=Lists!$AF12))</f>
        <v>0</v>
      </c>
      <c r="EI18" s="471">
        <f t="shared" si="22"/>
        <v>0</v>
      </c>
      <c r="EJ18" s="473">
        <f>SUMPRODUCT(('Prenatal Care'!$X$7:$X$762=EJ$6)*('Prenatal Care'!$C$7:$C$762&gt;=Lists!$AE12)*('Prenatal Care'!$C$7:$C$762&lt;=Lists!$AF12))</f>
        <v>0</v>
      </c>
      <c r="EK18" s="470">
        <f>SUMPRODUCT(('Prenatal Care'!$X$7:$X$762=EK$6)*('Prenatal Care'!$C$7:$C$762&gt;=Lists!$AE12)*('Prenatal Care'!$C$7:$C$762&lt;=Lists!$AF12))</f>
        <v>0</v>
      </c>
      <c r="EL18" s="470">
        <f>SUMPRODUCT(('Prenatal Care'!$X$7:$X$762=EL$6)*('Prenatal Care'!$C$7:$C$762&gt;=Lists!$AE12)*('Prenatal Care'!$C$7:$C$762&lt;=Lists!$AF12))</f>
        <v>0</v>
      </c>
      <c r="EM18" s="470">
        <f>SUMPRODUCT(('Prenatal Care'!$X$7:$X$762=EM$6)*('Prenatal Care'!$C$7:$C$762&gt;=Lists!$AE12)*('Prenatal Care'!$C$7:$C$762&lt;=Lists!$AF12))</f>
        <v>0</v>
      </c>
      <c r="EN18" s="470">
        <f>SUMPRODUCT(('Prenatal Care'!$X$7:$X$762=EN$6)*('Prenatal Care'!$C$7:$C$762&gt;=Lists!$AE12)*('Prenatal Care'!$C$7:$C$762&lt;=Lists!$AF12))</f>
        <v>0</v>
      </c>
      <c r="EO18" s="470">
        <f>SUMPRODUCT(('Prenatal Care'!$X$7:$X$762=EO$6)*('Prenatal Care'!$C$7:$C$762&gt;=Lists!$AE12)*('Prenatal Care'!$C$7:$C$762&lt;=Lists!$AF12))</f>
        <v>0</v>
      </c>
      <c r="EP18" s="470">
        <f>SUMPRODUCT(('Prenatal Care'!$X$7:$X$762=EP$6)*('Prenatal Care'!$C$7:$C$762&gt;=Lists!$AE12)*('Prenatal Care'!$C$7:$C$762&lt;=Lists!$AF12))</f>
        <v>0</v>
      </c>
      <c r="EQ18" s="470">
        <f>SUMPRODUCT(('Prenatal Care'!$X$7:$X$762=EQ$6)*('Prenatal Care'!$C$7:$C$762&gt;=Lists!$AE12)*('Prenatal Care'!$C$7:$C$762&lt;=Lists!$AF12))</f>
        <v>0</v>
      </c>
      <c r="ER18" s="470">
        <f>SUMPRODUCT(('Prenatal Care'!$X$7:$X$762=ER$6)*('Prenatal Care'!$C$7:$C$762&gt;=Lists!$AE12)*('Prenatal Care'!$C$7:$C$762&lt;=Lists!$AF12))</f>
        <v>0</v>
      </c>
      <c r="ES18" s="470">
        <f>SUMPRODUCT(('Prenatal Care'!$X$7:$X$762=ES$6)*('Prenatal Care'!$C$7:$C$762&gt;=Lists!$AE12)*('Prenatal Care'!$C$7:$C$762&lt;=Lists!$AF12))</f>
        <v>0</v>
      </c>
      <c r="ET18" s="470">
        <f>SUMPRODUCT(('Prenatal Care'!$X$7:$X$762=ET$6)*('Prenatal Care'!$C$7:$C$762&gt;=Lists!$AE12)*('Prenatal Care'!$C$7:$C$762&lt;=Lists!$AF12))</f>
        <v>0</v>
      </c>
      <c r="EU18" s="470">
        <f>SUMPRODUCT(('Prenatal Care'!$X$7:$X$762=EU$6)*('Prenatal Care'!$C$7:$C$762&gt;=Lists!$AE12)*('Prenatal Care'!$C$7:$C$762&lt;=Lists!$AF12))</f>
        <v>0</v>
      </c>
      <c r="EV18" s="470">
        <f>SUMPRODUCT(('Prenatal Care'!$X$7:$X$762=EV$6)*('Prenatal Care'!$C$7:$C$762&gt;=Lists!$AE12)*('Prenatal Care'!$C$7:$C$762&lt;=Lists!$AF12))</f>
        <v>0</v>
      </c>
      <c r="EW18" s="470">
        <f>SUMPRODUCT(('Prenatal Care'!$X$7:$X$762=EW$6)*('Prenatal Care'!$C$7:$C$762&gt;=Lists!$AE12)*('Prenatal Care'!$C$7:$C$762&lt;=Lists!$AF12))</f>
        <v>0</v>
      </c>
      <c r="EX18" s="470">
        <f>SUMPRODUCT(('Prenatal Care'!$X$7:$X$762=EX$6)*('Prenatal Care'!$C$7:$C$762&gt;=Lists!$AE12)*('Prenatal Care'!$C$7:$C$762&lt;=Lists!$AF12))</f>
        <v>0</v>
      </c>
      <c r="EY18" s="470">
        <f>SUMPRODUCT(('Prenatal Care'!$X$7:$X$762=EY$6)*('Prenatal Care'!$C$7:$C$762&gt;=Lists!$AE12)*('Prenatal Care'!$C$7:$C$762&lt;=Lists!$AF12))</f>
        <v>0</v>
      </c>
      <c r="EZ18" s="470">
        <f>SUMPRODUCT(('Prenatal Care'!$X$7:$X$762=EZ$6)*('Prenatal Care'!$C$7:$C$762&gt;=Lists!$AE12)*('Prenatal Care'!$C$7:$C$762&lt;=Lists!$AF12))</f>
        <v>0</v>
      </c>
      <c r="FA18" s="470">
        <f>SUMPRODUCT(('Prenatal Care'!$X$7:$X$762=FA$6)*('Prenatal Care'!$C$7:$C$762&gt;=Lists!$AE12)*('Prenatal Care'!$C$7:$C$762&lt;=Lists!$AF12))</f>
        <v>0</v>
      </c>
      <c r="FB18" s="470">
        <f>SUMPRODUCT(('Prenatal Care'!$X$7:$X$762=FB$6)*('Prenatal Care'!$C$7:$C$762&gt;=Lists!$AE12)*('Prenatal Care'!$C$7:$C$762&lt;=Lists!$AF12))</f>
        <v>0</v>
      </c>
      <c r="FC18" s="470">
        <f>SUMPRODUCT(('Prenatal Care'!$X$7:$X$762=FC$6)*('Prenatal Care'!$C$7:$C$762&gt;=Lists!$AE12)*('Prenatal Care'!$C$7:$C$762&lt;=Lists!$AF12))</f>
        <v>0</v>
      </c>
      <c r="FD18" s="470">
        <f>SUMPRODUCT(('Prenatal Care'!$X$7:$X$762=FD$6)*('Prenatal Care'!$C$7:$C$762&gt;=Lists!$AE12)*('Prenatal Care'!$C$7:$C$762&lt;=Lists!$AF12))</f>
        <v>0</v>
      </c>
      <c r="FE18" s="470">
        <f>SUMPRODUCT(('Prenatal Care'!$X$7:$X$762=FE$6)*('Prenatal Care'!$C$7:$C$762&gt;=Lists!$AE12)*('Prenatal Care'!$C$7:$C$762&lt;=Lists!$AF12))</f>
        <v>0</v>
      </c>
      <c r="FF18" s="470">
        <f>SUMPRODUCT(('Prenatal Care'!$X$7:$X$762=FF$6)*('Prenatal Care'!$C$7:$C$762&gt;=Lists!$AE12)*('Prenatal Care'!$C$7:$C$762&lt;=Lists!$AF12))</f>
        <v>0</v>
      </c>
      <c r="FG18" s="470">
        <f>SUMPRODUCT(('Prenatal Care'!$X$7:$X$762=FG$6)*('Prenatal Care'!$C$7:$C$762&gt;=Lists!$AE12)*('Prenatal Care'!$C$7:$C$762&lt;=Lists!$AF12))</f>
        <v>0</v>
      </c>
      <c r="FH18" s="470">
        <f>SUMPRODUCT(('Prenatal Care'!$X$7:$X$762=FH$6)*('Prenatal Care'!$C$7:$C$762&gt;=Lists!$AE12)*('Prenatal Care'!$C$7:$C$762&lt;=Lists!$AF12))</f>
        <v>0</v>
      </c>
      <c r="FI18" s="475">
        <f>SUMPRODUCT(('Prenatal Care'!$X$7:$X$762=FI$6)*('Prenatal Care'!$C$7:$C$762&gt;=Lists!$AE12)*('Prenatal Care'!$C$7:$C$762&lt;=Lists!$AF12))</f>
        <v>0</v>
      </c>
      <c r="FJ18" s="471">
        <f t="shared" si="23"/>
        <v>0</v>
      </c>
      <c r="FK18" s="473">
        <f>SUMPRODUCT(('Prenatal Care'!$Y$7:$Y$762=FK$6)*('Prenatal Care'!$C$7:$C$762&gt;=Lists!$AE12)*('Prenatal Care'!$C$7:$C$762&lt;=Lists!$AF12))</f>
        <v>0</v>
      </c>
      <c r="FL18" s="470">
        <f>SUMPRODUCT(('Prenatal Care'!$Y$7:$Y$762=FL$6)*('Prenatal Care'!$C$7:$C$762&gt;=Lists!$AE12)*('Prenatal Care'!$C$7:$C$762&lt;=Lists!$AF12))</f>
        <v>0</v>
      </c>
      <c r="FM18" s="470">
        <f>SUMPRODUCT(('Prenatal Care'!$Y$7:$Y$762=FM$6)*('Prenatal Care'!$C$7:$C$762&gt;=Lists!$AE12)*('Prenatal Care'!$C$7:$C$762&lt;=Lists!$AF12))</f>
        <v>0</v>
      </c>
      <c r="FN18" s="470">
        <f>SUMPRODUCT(('Prenatal Care'!$Y$7:$Y$762=FN$6)*('Prenatal Care'!$C$7:$C$762&gt;=Lists!$AE12)*('Prenatal Care'!$C$7:$C$762&lt;=Lists!$AF12))</f>
        <v>0</v>
      </c>
      <c r="FO18" s="470">
        <f>SUMPRODUCT(('Prenatal Care'!$Y$7:$Y$762=FO$6)*('Prenatal Care'!$C$7:$C$762&gt;=Lists!$AE12)*('Prenatal Care'!$C$7:$C$762&lt;=Lists!$AF12))</f>
        <v>0</v>
      </c>
      <c r="FP18" s="470">
        <f>SUMPRODUCT(('Prenatal Care'!$Y$7:$Y$762=FP$6)*('Prenatal Care'!$C$7:$C$762&gt;=Lists!$AE12)*('Prenatal Care'!$C$7:$C$762&lt;=Lists!$AF12))</f>
        <v>0</v>
      </c>
      <c r="FQ18" s="470">
        <f>SUMPRODUCT(('Prenatal Care'!$Y$7:$Y$762=FQ$6)*('Prenatal Care'!$C$7:$C$762&gt;=Lists!$AE12)*('Prenatal Care'!$C$7:$C$762&lt;=Lists!$AF12))</f>
        <v>0</v>
      </c>
      <c r="FR18" s="470">
        <f>SUMPRODUCT(('Prenatal Care'!$Y$7:$Y$762=FR$6)*('Prenatal Care'!$C$7:$C$762&gt;=Lists!$AE12)*('Prenatal Care'!$C$7:$C$762&lt;=Lists!$AF12))</f>
        <v>0</v>
      </c>
      <c r="FS18" s="470">
        <f>SUMPRODUCT(('Prenatal Care'!$Y$7:$Y$762=FS$6)*('Prenatal Care'!$C$7:$C$762&gt;=Lists!$AE12)*('Prenatal Care'!$C$7:$C$762&lt;=Lists!$AF12))</f>
        <v>0</v>
      </c>
      <c r="FT18" s="470">
        <f>SUMPRODUCT(('Prenatal Care'!$Y$7:$Y$762=FT$6)*('Prenatal Care'!$C$7:$C$762&gt;=Lists!$AE12)*('Prenatal Care'!$C$7:$C$762&lt;=Lists!$AF12))</f>
        <v>0</v>
      </c>
      <c r="FU18" s="470">
        <f>SUMPRODUCT(('Prenatal Care'!$Y$7:$Y$762=FU$6)*('Prenatal Care'!$C$7:$C$762&gt;=Lists!$AE12)*('Prenatal Care'!$C$7:$C$762&lt;=Lists!$AF12))</f>
        <v>0</v>
      </c>
      <c r="FV18" s="470">
        <f>SUMPRODUCT(('Prenatal Care'!$Y$7:$Y$762=FV$6)*('Prenatal Care'!$C$7:$C$762&gt;=Lists!$AE12)*('Prenatal Care'!$C$7:$C$762&lt;=Lists!$AF12))</f>
        <v>0</v>
      </c>
      <c r="FW18" s="470">
        <f>SUMPRODUCT(('Prenatal Care'!$Y$7:$Y$762=FW$6)*('Prenatal Care'!$C$7:$C$762&gt;=Lists!$AE12)*('Prenatal Care'!$C$7:$C$762&lt;=Lists!$AF12))</f>
        <v>0</v>
      </c>
      <c r="FX18" s="470">
        <f>SUMPRODUCT(('Prenatal Care'!$Y$7:$Y$762=FX$6)*('Prenatal Care'!$C$7:$C$762&gt;=Lists!$AE12)*('Prenatal Care'!$C$7:$C$762&lt;=Lists!$AF12))</f>
        <v>0</v>
      </c>
      <c r="FY18" s="470">
        <f>SUMPRODUCT(('Prenatal Care'!$Y$7:$Y$762=FY$6)*('Prenatal Care'!$C$7:$C$762&gt;=Lists!$AE12)*('Prenatal Care'!$C$7:$C$762&lt;=Lists!$AF12))</f>
        <v>0</v>
      </c>
      <c r="FZ18" s="470">
        <f>SUMPRODUCT(('Prenatal Care'!$Y$7:$Y$762=FZ$6)*('Prenatal Care'!$C$7:$C$762&gt;=Lists!$AE12)*('Prenatal Care'!$C$7:$C$762&lt;=Lists!$AF12))</f>
        <v>0</v>
      </c>
      <c r="GA18" s="470">
        <f>SUMPRODUCT(('Prenatal Care'!$Y$7:$Y$762=GA$6)*('Prenatal Care'!$C$7:$C$762&gt;=Lists!$AE12)*('Prenatal Care'!$C$7:$C$762&lt;=Lists!$AF12))</f>
        <v>0</v>
      </c>
      <c r="GB18" s="470">
        <f>SUMPRODUCT(('Prenatal Care'!$Y$7:$Y$762=GB$6)*('Prenatal Care'!$C$7:$C$762&gt;=Lists!$AE12)*('Prenatal Care'!$C$7:$C$762&lt;=Lists!$AF12))</f>
        <v>0</v>
      </c>
      <c r="GC18" s="470">
        <f>SUMPRODUCT(('Prenatal Care'!$Y$7:$Y$762=GC$6)*('Prenatal Care'!$C$7:$C$762&gt;=Lists!$AE12)*('Prenatal Care'!$C$7:$C$762&lt;=Lists!$AF12))</f>
        <v>0</v>
      </c>
      <c r="GD18" s="470">
        <f>SUMPRODUCT(('Prenatal Care'!$Y$7:$Y$762=GD$6)*('Prenatal Care'!$C$7:$C$762&gt;=Lists!$AE12)*('Prenatal Care'!$C$7:$C$762&lt;=Lists!$AF12))</f>
        <v>0</v>
      </c>
      <c r="GE18" s="470">
        <f>SUMPRODUCT(('Prenatal Care'!$Y$7:$Y$762=GE$6)*('Prenatal Care'!$C$7:$C$762&gt;=Lists!$AE12)*('Prenatal Care'!$C$7:$C$762&lt;=Lists!$AF12))</f>
        <v>0</v>
      </c>
      <c r="GF18" s="470">
        <f>SUMPRODUCT(('Prenatal Care'!$Y$7:$Y$762=GF$6)*('Prenatal Care'!$C$7:$C$762&gt;=Lists!$AE12)*('Prenatal Care'!$C$7:$C$762&lt;=Lists!$AF12))</f>
        <v>0</v>
      </c>
      <c r="GG18" s="470">
        <f>SUMPRODUCT(('Prenatal Care'!$Y$7:$Y$762=GG$6)*('Prenatal Care'!$C$7:$C$762&gt;=Lists!$AE12)*('Prenatal Care'!$C$7:$C$762&lt;=Lists!$AF12))</f>
        <v>0</v>
      </c>
      <c r="GH18" s="470">
        <f>SUMPRODUCT(('Prenatal Care'!$Y$7:$Y$762=GH$6)*('Prenatal Care'!$C$7:$C$762&gt;=Lists!$AE12)*('Prenatal Care'!$C$7:$C$762&lt;=Lists!$AF12))</f>
        <v>0</v>
      </c>
      <c r="GI18" s="470">
        <f>SUMPRODUCT(('Prenatal Care'!$Y$7:$Y$762=GI$6)*('Prenatal Care'!$C$7:$C$762&gt;=Lists!$AE12)*('Prenatal Care'!$C$7:$C$762&lt;=Lists!$AF12))</f>
        <v>0</v>
      </c>
      <c r="GJ18" s="475">
        <f>SUMPRODUCT(('Prenatal Care'!$Y$7:$Y$762=GJ$6)*('Prenatal Care'!$C$7:$C$762&gt;=Lists!$AE12)*('Prenatal Care'!$C$7:$C$762&lt;=Lists!$AF12))</f>
        <v>0</v>
      </c>
      <c r="GK18" s="471">
        <f t="shared" si="24"/>
        <v>0</v>
      </c>
      <c r="GL18" s="469">
        <f>SUMPRODUCT(('Prenatal Care'!$AA$7:$AA$762=GL$6)*('Prenatal Care'!$C$7:$C$762&gt;=Lists!$AE12)*('Prenatal Care'!$C$7:$C$762&lt;=Lists!$AF12))</f>
        <v>0</v>
      </c>
      <c r="GM18" s="474">
        <f>SUMPRODUCT(('Prenatal Care'!$AA$7:$AA$762=GM$6)*('Prenatal Care'!$C$7:$C$762&gt;=Lists!$AE12)*('Prenatal Care'!$C$7:$C$762&lt;=Lists!$AF12))</f>
        <v>0</v>
      </c>
      <c r="GN18" s="470">
        <f>SUMPRODUCT(('Prenatal Care'!$AA$7:$AA$762=GN$6)*('Prenatal Care'!$C$7:$C$762&gt;=Lists!$AE12)*('Prenatal Care'!$C$7:$C$762&lt;=Lists!$AF12))</f>
        <v>0</v>
      </c>
      <c r="GO18" s="470">
        <f>SUMPRODUCT(('Prenatal Care'!$AA$7:$AA$762=GO$6)*('Prenatal Care'!$C$7:$C$762&gt;=Lists!$AE12)*('Prenatal Care'!$C$7:$C$762&lt;=Lists!$AF12))</f>
        <v>0</v>
      </c>
      <c r="GP18" s="470">
        <f>SUMPRODUCT(('Prenatal Care'!$AA$7:$AA$762=GP$6)*('Prenatal Care'!$C$7:$C$762&gt;=Lists!$AE12)*('Prenatal Care'!$C$7:$C$762&lt;=Lists!$AF12))</f>
        <v>0</v>
      </c>
      <c r="GQ18" s="470">
        <f>SUMPRODUCT(('Prenatal Care'!$AA$7:$AA$762=GQ$6)*('Prenatal Care'!$C$7:$C$762&gt;=Lists!$AE12)*('Prenatal Care'!$C$7:$C$762&lt;=Lists!$AF12))</f>
        <v>0</v>
      </c>
      <c r="GR18" s="470">
        <f>SUMPRODUCT(('Prenatal Care'!$AA$7:$AA$762=GR$6)*('Prenatal Care'!$C$7:$C$762&gt;=Lists!$AE12)*('Prenatal Care'!$C$7:$C$762&lt;=Lists!$AF12))</f>
        <v>0</v>
      </c>
      <c r="GS18" s="470">
        <f>SUMPRODUCT(('Prenatal Care'!$AA$7:$AA$762=GS$6)*('Prenatal Care'!$C$7:$C$762&gt;=Lists!$AE12)*('Prenatal Care'!$C$7:$C$762&lt;=Lists!$AF12))</f>
        <v>0</v>
      </c>
      <c r="GT18" s="470">
        <f>SUMPRODUCT(('Prenatal Care'!$AA$7:$AA$762=GT$6)*('Prenatal Care'!$C$7:$C$762&gt;=Lists!$AE12)*('Prenatal Care'!$C$7:$C$762&lt;=Lists!$AF12))</f>
        <v>0</v>
      </c>
      <c r="GU18" s="470">
        <f>SUMPRODUCT(('Prenatal Care'!$AA$7:$AA$762=GU$6)*('Prenatal Care'!$C$7:$C$762&gt;=Lists!$AE12)*('Prenatal Care'!$C$7:$C$762&lt;=Lists!$AF12))</f>
        <v>0</v>
      </c>
      <c r="GV18" s="470">
        <f>SUMPRODUCT(('Prenatal Care'!$AA$7:$AA$762=GV$6)*('Prenatal Care'!$C$7:$C$762&gt;=Lists!$AE12)*('Prenatal Care'!$C$7:$C$762&lt;=Lists!$AF12))</f>
        <v>0</v>
      </c>
      <c r="GW18" s="470">
        <f>SUMPRODUCT(('Prenatal Care'!$AA$7:$AA$762=GW$6)*('Prenatal Care'!$C$7:$C$762&gt;=Lists!$AE12)*('Prenatal Care'!$C$7:$C$762&lt;=Lists!$AF12))</f>
        <v>0</v>
      </c>
      <c r="GX18" s="475">
        <f>SUMPRODUCT(('Prenatal Care'!$AA$7:$AA$762=GX$6)*('Prenatal Care'!$C$7:$C$762&gt;=Lists!$AE12)*('Prenatal Care'!$C$7:$C$762&lt;=Lists!$AF12))</f>
        <v>0</v>
      </c>
      <c r="GY18" s="471">
        <f t="shared" si="25"/>
        <v>0</v>
      </c>
      <c r="GZ18" s="473">
        <f>SUMPRODUCT(('Prenatal Care'!$AB$7:$AB$762=GZ$6)*('Prenatal Care'!$C$7:$C$762&gt;=Lists!$AE12)*('Prenatal Care'!$C$7:$C$762&lt;=Lists!$AF12))</f>
        <v>0</v>
      </c>
      <c r="HA18" s="470">
        <f>SUMPRODUCT(('Prenatal Care'!$AB$7:$AB$762=HA$6)*('Prenatal Care'!$C$7:$C$762&gt;=Lists!$AE12)*('Prenatal Care'!$C$7:$C$762&lt;=Lists!$AF12))</f>
        <v>0</v>
      </c>
      <c r="HB18" s="470">
        <f>SUMPRODUCT(('Prenatal Care'!$AB$7:$AB$762=HB$6)*('Prenatal Care'!$C$7:$C$762&gt;=Lists!$AE12)*('Prenatal Care'!$C$7:$C$762&lt;=Lists!$AF12))</f>
        <v>0</v>
      </c>
      <c r="HC18" s="470">
        <f>SUMPRODUCT(('Prenatal Care'!$AB$7:$AB$762=HC$6)*('Prenatal Care'!$C$7:$C$762&gt;=Lists!$AE12)*('Prenatal Care'!$C$7:$C$762&lt;=Lists!$AF12))</f>
        <v>0</v>
      </c>
      <c r="HD18" s="470">
        <f>SUMPRODUCT(('Prenatal Care'!$AB$7:$AB$762=HD$6)*('Prenatal Care'!$C$7:$C$762&gt;=Lists!$AE12)*('Prenatal Care'!$C$7:$C$762&lt;=Lists!$AF12))</f>
        <v>0</v>
      </c>
      <c r="HE18" s="470">
        <f>SUMPRODUCT(('Prenatal Care'!$AB$7:$AB$762=HE$6)*('Prenatal Care'!$C$7:$C$762&gt;=Lists!$AE12)*('Prenatal Care'!$C$7:$C$762&lt;=Lists!$AF12))</f>
        <v>0</v>
      </c>
      <c r="HF18" s="470">
        <f>SUMPRODUCT(('Prenatal Care'!$AB$7:$AB$762=HF$6)*('Prenatal Care'!$C$7:$C$762&gt;=Lists!$AE12)*('Prenatal Care'!$C$7:$C$762&lt;=Lists!$AF12))</f>
        <v>0</v>
      </c>
      <c r="HG18" s="470">
        <f>SUMPRODUCT(('Prenatal Care'!$AB$7:$AB$762=HG$6)*('Prenatal Care'!$C$7:$C$762&gt;=Lists!$AE12)*('Prenatal Care'!$C$7:$C$762&lt;=Lists!$AF12))</f>
        <v>0</v>
      </c>
      <c r="HH18" s="470">
        <f>SUMPRODUCT(('Prenatal Care'!$AB$7:$AB$762=HH$6)*('Prenatal Care'!$C$7:$C$762&gt;=Lists!$AE12)*('Prenatal Care'!$C$7:$C$762&lt;=Lists!$AF12))</f>
        <v>0</v>
      </c>
      <c r="HI18" s="470">
        <f>SUMPRODUCT(('Prenatal Care'!$AB$7:$AB$762=HI$6)*('Prenatal Care'!$C$7:$C$762&gt;=Lists!$AE12)*('Prenatal Care'!$C$7:$C$762&lt;=Lists!$AF12))</f>
        <v>0</v>
      </c>
      <c r="HJ18" s="470">
        <f>SUMPRODUCT(('Prenatal Care'!$AB$7:$AB$762=HJ$6)*('Prenatal Care'!$C$7:$C$762&gt;=Lists!$AE12)*('Prenatal Care'!$C$7:$C$762&lt;=Lists!$AF12))</f>
        <v>0</v>
      </c>
      <c r="HK18" s="470">
        <f>SUMPRODUCT(('Prenatal Care'!$AB$7:$AB$762=HK$6)*('Prenatal Care'!$C$7:$C$762&gt;=Lists!$AE12)*('Prenatal Care'!$C$7:$C$762&lt;=Lists!$AF12))</f>
        <v>0</v>
      </c>
      <c r="HL18" s="475">
        <f>SUMPRODUCT(('Prenatal Care'!$AB$7:$AB$762=HL$6)*('Prenatal Care'!$C$7:$C$762&gt;=Lists!$AE12)*('Prenatal Care'!$C$7:$C$762&lt;=Lists!$AF12))</f>
        <v>0</v>
      </c>
      <c r="HM18" s="471">
        <f t="shared" si="26"/>
        <v>0</v>
      </c>
      <c r="HN18" s="458">
        <f>SUMPRODUCT(('Prenatal Care'!$AC$7:$AC$762=HN$6)*('Prenatal Care'!$C$7:$C$762&gt;=Lists!$AE12)*('Prenatal Care'!$C$7:$C$762&lt;=Lists!$AF12))</f>
        <v>0</v>
      </c>
      <c r="HO18" s="459">
        <f>SUMPRODUCT(('Prenatal Care'!$AC$7:$AC$762=HO$6)*('Prenatal Care'!$C$7:$C$762&gt;=Lists!$AE12)*('Prenatal Care'!$C$7:$C$762&lt;=Lists!$AF12))</f>
        <v>0</v>
      </c>
      <c r="HP18" s="459">
        <f>SUMPRODUCT(('Prenatal Care'!$AC$7:$AC$762=HP$6)*('Prenatal Care'!$C$7:$C$762&gt;=Lists!$AE12)*('Prenatal Care'!$C$7:$C$762&lt;=Lists!$AF12))</f>
        <v>0</v>
      </c>
      <c r="HQ18" s="459">
        <f>SUMPRODUCT(('Prenatal Care'!$AC$7:$AC$762=HQ$6)*('Prenatal Care'!$C$7:$C$762&gt;=Lists!$AE12)*('Prenatal Care'!$C$7:$C$762&lt;=Lists!$AF12))</f>
        <v>0</v>
      </c>
      <c r="HR18" s="459">
        <f>SUMPRODUCT(('Prenatal Care'!$AC$7:$AC$762=HR$6)*('Prenatal Care'!$C$7:$C$762&gt;=Lists!$AE12)*('Prenatal Care'!$C$7:$C$762&lt;=Lists!$AF12))</f>
        <v>0</v>
      </c>
      <c r="HS18" s="459">
        <f>SUMPRODUCT(('Prenatal Care'!$AC$7:$AC$762=HS$6)*('Prenatal Care'!$C$7:$C$762&gt;=Lists!$AE12)*('Prenatal Care'!$C$7:$C$762&lt;=Lists!$AF12))</f>
        <v>0</v>
      </c>
      <c r="HT18" s="459">
        <f>SUMPRODUCT(('Prenatal Care'!$AC$7:$AC$762=HT$6)*('Prenatal Care'!$C$7:$C$762&gt;=Lists!$AE12)*('Prenatal Care'!$C$7:$C$762&lt;=Lists!$AF12))</f>
        <v>0</v>
      </c>
      <c r="HU18" s="459">
        <f>SUMPRODUCT(('Prenatal Care'!$AC$7:$AC$762=HU$6)*('Prenatal Care'!$C$7:$C$762&gt;=Lists!$AE12)*('Prenatal Care'!$C$7:$C$762&lt;=Lists!$AF12))</f>
        <v>0</v>
      </c>
      <c r="HV18" s="459">
        <f>SUMPRODUCT(('Prenatal Care'!$AC$7:$AC$762=HV$6)*('Prenatal Care'!$C$7:$C$762&gt;=Lists!$AE12)*('Prenatal Care'!$C$7:$C$762&lt;=Lists!$AF12))</f>
        <v>0</v>
      </c>
      <c r="HW18" s="459">
        <f>SUMPRODUCT(('Prenatal Care'!$AC$7:$AC$762=HW$6)*('Prenatal Care'!$C$7:$C$762&gt;=Lists!$AE12)*('Prenatal Care'!$C$7:$C$762&lt;=Lists!$AF12))</f>
        <v>0</v>
      </c>
      <c r="HX18" s="459">
        <f>SUMPRODUCT(('Prenatal Care'!$AC$7:$AC$762=HX$6)*('Prenatal Care'!$C$7:$C$762&gt;=Lists!$AE12)*('Prenatal Care'!$C$7:$C$762&lt;=Lists!$AF12))</f>
        <v>0</v>
      </c>
      <c r="HY18" s="459">
        <f>SUMPRODUCT(('Prenatal Care'!$AC$7:$AC$762=HY$6)*('Prenatal Care'!$C$7:$C$762&gt;=Lists!$AE12)*('Prenatal Care'!$C$7:$C$762&lt;=Lists!$AF12))</f>
        <v>0</v>
      </c>
      <c r="HZ18" s="460">
        <f>SUMPRODUCT(('Prenatal Care'!$AC$7:$AC$762=HZ$6)*('Prenatal Care'!$C$7:$C$762&gt;=Lists!$AE12)*('Prenatal Care'!$C$7:$C$762&lt;=Lists!$AF12))</f>
        <v>0</v>
      </c>
      <c r="IA18" s="471">
        <f t="shared" si="2"/>
        <v>0</v>
      </c>
      <c r="IB18" s="469">
        <f>SUMPRODUCT(('Prenatal Care'!$AD$7:$AD$762=IB$6)*('Prenatal Care'!$C$7:$C$762&gt;=Lists!$AE12)*('Prenatal Care'!$C$7:$C$762&lt;=Lists!$AF12))</f>
        <v>0</v>
      </c>
      <c r="IC18" s="473">
        <f>SUMPRODUCT(('Prenatal Care'!$AD$7:$AD$762=IC$6)*('Prenatal Care'!$C$7:$C$762&gt;=Lists!$AE12)*('Prenatal Care'!$C$7:$C$762&lt;=Lists!$AF12))</f>
        <v>0</v>
      </c>
      <c r="ID18" s="470">
        <f>SUMPRODUCT(('Prenatal Care'!$AD$7:$AD$762=ID$6)*('Prenatal Care'!$C$7:$C$762&gt;=Lists!$AE12)*('Prenatal Care'!$C$7:$C$762&lt;=Lists!$AF12))</f>
        <v>0</v>
      </c>
      <c r="IE18" s="470">
        <f>SUMPRODUCT(('Prenatal Care'!$AD$7:$AD$762=IE$6)*('Prenatal Care'!$C$7:$C$762&gt;=Lists!$AE12)*('Prenatal Care'!$C$7:$C$762&lt;=Lists!$AF12))</f>
        <v>0</v>
      </c>
      <c r="IF18" s="470">
        <f>SUMPRODUCT(('Prenatal Care'!$AD$7:$AD$762=IF$6)*('Prenatal Care'!$C$7:$C$762&gt;=Lists!$AE12)*('Prenatal Care'!$C$7:$C$762&lt;=Lists!$AF12))</f>
        <v>0</v>
      </c>
      <c r="IG18" s="471">
        <f t="shared" si="3"/>
        <v>0</v>
      </c>
      <c r="IH18" s="464">
        <f>SUMPRODUCT(('Prenatal Care'!$AE$7:$AE$762=IH$6)*('Prenatal Care'!$C$7:$C$762&gt;=Lists!$AE12)*('Prenatal Care'!$C$7:$C$762&lt;=Lists!$AF12))</f>
        <v>0</v>
      </c>
      <c r="II18" s="464">
        <f>SUMPRODUCT(('Prenatal Care'!$AE$7:$AE$762=II$6)*('Prenatal Care'!$C$7:$C$762&gt;=Lists!$AE12)*('Prenatal Care'!$C$7:$C$762&lt;=Lists!$AF12))</f>
        <v>0</v>
      </c>
      <c r="IJ18" s="464">
        <f>SUMPRODUCT(('Prenatal Care'!$AE$7:$AE$762=IJ$6)*('Prenatal Care'!$C$7:$C$762&gt;=Lists!$AE12)*('Prenatal Care'!$C$7:$C$762&lt;=Lists!$AF12))</f>
        <v>0</v>
      </c>
      <c r="IK18" s="464">
        <f>SUMPRODUCT(('Prenatal Care'!$AE$7:$AE$762=IK$6)*('Prenatal Care'!$C$7:$C$762&gt;=Lists!$AE12)*('Prenatal Care'!$C$7:$C$762&lt;=Lists!$AF12))</f>
        <v>0</v>
      </c>
      <c r="IL18" s="464">
        <f>SUMPRODUCT(('Prenatal Care'!$AE$7:$AE$762=IL$6)*('Prenatal Care'!$C$7:$C$762&gt;=Lists!$AE12)*('Prenatal Care'!$C$7:$C$762&lt;=Lists!$AF12))</f>
        <v>0</v>
      </c>
      <c r="IM18" s="464">
        <f>SUMPRODUCT(('Prenatal Care'!$AE$7:$AE$762=IM$6)*('Prenatal Care'!$C$7:$C$762&gt;=Lists!$AE12)*('Prenatal Care'!$C$7:$C$762&lt;=Lists!$AF12))</f>
        <v>0</v>
      </c>
      <c r="IN18" s="464">
        <f>SUMPRODUCT(('Prenatal Care'!$AE$7:$AE$762=IN$6)*('Prenatal Care'!$C$7:$C$762&gt;=Lists!$AE12)*('Prenatal Care'!$C$7:$C$762&lt;=Lists!$AF12))</f>
        <v>0</v>
      </c>
      <c r="IO18" s="464">
        <f>SUMPRODUCT(('Prenatal Care'!$AE$7:$AE$762=IO$6)*('Prenatal Care'!$C$7:$C$762&gt;=Lists!$AE12)*('Prenatal Care'!$C$7:$C$762&lt;=Lists!$AF12))</f>
        <v>0</v>
      </c>
      <c r="IP18" s="464">
        <f>SUMPRODUCT(('Prenatal Care'!$AE$7:$AE$762=IP$6)*('Prenatal Care'!$C$7:$C$762&gt;=Lists!$AE12)*('Prenatal Care'!$C$7:$C$762&lt;=Lists!$AF12))</f>
        <v>0</v>
      </c>
      <c r="IQ18" s="464">
        <f>SUMPRODUCT(('Prenatal Care'!$AE$7:$AE$762=IQ$6)*('Prenatal Care'!$C$7:$C$762&gt;=Lists!$AE12)*('Prenatal Care'!$C$7:$C$762&lt;=Lists!$AF12))</f>
        <v>0</v>
      </c>
      <c r="IR18" s="464">
        <f>SUMPRODUCT(('Prenatal Care'!$AE$7:$AE$762=IR$6)*('Prenatal Care'!$C$7:$C$762&gt;=Lists!$AE12)*('Prenatal Care'!$C$7:$C$762&lt;=Lists!$AF12))</f>
        <v>0</v>
      </c>
      <c r="IS18" s="464">
        <f>SUMPRODUCT(('Prenatal Care'!$AE$7:$AE$762=IS$6)*('Prenatal Care'!$C$7:$C$762&gt;=Lists!$AE12)*('Prenatal Care'!$C$7:$C$762&lt;=Lists!$AF12))</f>
        <v>0</v>
      </c>
      <c r="IT18" s="517">
        <f>SUMPRODUCT(('Prenatal Care'!$AE$7:$AE$762=IT$6)*('Prenatal Care'!$C$7:$C$762&gt;=Lists!$AE12)*('Prenatal Care'!$C$7:$C$762&lt;=Lists!$AF12))</f>
        <v>0</v>
      </c>
      <c r="IU18" s="471">
        <f t="shared" si="27"/>
        <v>0</v>
      </c>
      <c r="IV18" s="473">
        <f>SUMPRODUCT(('Prenatal Care'!$AF$7:$AF$762=IV$6)*('Prenatal Care'!$C$7:$C$762&gt;=Lists!$AE12)*('Prenatal Care'!$C$7:$C$762&lt;=Lists!$AF12))</f>
        <v>0</v>
      </c>
      <c r="IW18" s="470">
        <f>SUMPRODUCT(('Prenatal Care'!$AF$7:$AF$762=IW$6)*('Prenatal Care'!$C$7:$C$762&gt;=Lists!$AE12)*('Prenatal Care'!$C$7:$C$762&lt;=Lists!$AF12))</f>
        <v>0</v>
      </c>
      <c r="IX18" s="470">
        <f>SUMPRODUCT(('Prenatal Care'!$AF$7:$AF$762=IX$6)*('Prenatal Care'!$C$7:$C$762&gt;=Lists!$AE12)*('Prenatal Care'!$C$7:$C$762&lt;=Lists!$AF12))</f>
        <v>0</v>
      </c>
      <c r="IY18" s="470">
        <f>SUMPRODUCT(('Prenatal Care'!$AF$7:$AF$762=IY$6)*('Prenatal Care'!$C$7:$C$762&gt;=Lists!$AE12)*('Prenatal Care'!$C$7:$C$762&lt;=Lists!$AF12))</f>
        <v>0</v>
      </c>
      <c r="IZ18" s="470">
        <f>SUMPRODUCT(('Prenatal Care'!$AF$7:$AF$762=IZ$6)*('Prenatal Care'!$C$7:$C$762&gt;=Lists!$AE12)*('Prenatal Care'!$C$7:$C$762&lt;=Lists!$AF12))</f>
        <v>0</v>
      </c>
      <c r="JA18" s="470">
        <f>SUMPRODUCT(('Prenatal Care'!$AF$7:$AF$762=JA$6)*('Prenatal Care'!$C$7:$C$762&gt;=Lists!$AE12)*('Prenatal Care'!$C$7:$C$762&lt;=Lists!$AF12))</f>
        <v>0</v>
      </c>
      <c r="JB18" s="470">
        <f>SUMPRODUCT(('Prenatal Care'!$AF$7:$AF$762=JB$6)*('Prenatal Care'!$C$7:$C$762&gt;=Lists!$AE12)*('Prenatal Care'!$C$7:$C$762&lt;=Lists!$AF12))</f>
        <v>0</v>
      </c>
      <c r="JC18" s="470">
        <f>SUMPRODUCT(('Prenatal Care'!$AF$7:$AF$762=JC$6)*('Prenatal Care'!$C$7:$C$762&gt;=Lists!$AE12)*('Prenatal Care'!$C$7:$C$762&lt;=Lists!$AF12))</f>
        <v>0</v>
      </c>
      <c r="JD18" s="470">
        <f>SUMPRODUCT(('Prenatal Care'!$AF$7:$AF$762=JD$6)*('Prenatal Care'!$C$7:$C$762&gt;=Lists!$AE12)*('Prenatal Care'!$C$7:$C$762&lt;=Lists!$AF12))</f>
        <v>0</v>
      </c>
      <c r="JE18" s="470">
        <f>SUMPRODUCT(('Prenatal Care'!$AF$7:$AF$762=JE$6)*('Prenatal Care'!$C$7:$C$762&gt;=Lists!$AE12)*('Prenatal Care'!$C$7:$C$762&lt;=Lists!$AF12))</f>
        <v>0</v>
      </c>
      <c r="JF18" s="470">
        <f>SUMPRODUCT(('Prenatal Care'!$AF$7:$AF$762=JF$6)*('Prenatal Care'!$C$7:$C$762&gt;=Lists!$AE12)*('Prenatal Care'!$C$7:$C$762&lt;=Lists!$AF12))</f>
        <v>0</v>
      </c>
      <c r="JG18" s="470">
        <f>SUMPRODUCT(('Prenatal Care'!$AF$7:$AF$762=JG$6)*('Prenatal Care'!$C$7:$C$762&gt;=Lists!$AE12)*('Prenatal Care'!$C$7:$C$762&lt;=Lists!$AF12))</f>
        <v>0</v>
      </c>
      <c r="JH18" s="470">
        <f>SUMPRODUCT(('Prenatal Care'!$AF$7:$AF$762=JH$6)*('Prenatal Care'!$C$7:$C$762&gt;=Lists!$AE12)*('Prenatal Care'!$C$7:$C$762&lt;=Lists!$AF12))</f>
        <v>0</v>
      </c>
      <c r="JI18" s="470">
        <f>SUMPRODUCT(('Prenatal Care'!$AF$7:$AF$762=JI$6)*('Prenatal Care'!$C$7:$C$762&gt;=Lists!$AE12)*('Prenatal Care'!$C$7:$C$762&lt;=Lists!$AF12))</f>
        <v>0</v>
      </c>
      <c r="JJ18" s="470">
        <f>SUMPRODUCT(('Prenatal Care'!$AF$7:$AF$762=JJ$6)*('Prenatal Care'!$C$7:$C$762&gt;=Lists!$AE12)*('Prenatal Care'!$C$7:$C$762&lt;=Lists!$AF12))</f>
        <v>0</v>
      </c>
      <c r="JK18" s="470">
        <f>SUMPRODUCT(('Prenatal Care'!$AF$7:$AF$762=JK$6)*('Prenatal Care'!$C$7:$C$762&gt;=Lists!$AE12)*('Prenatal Care'!$C$7:$C$762&lt;=Lists!$AF12))</f>
        <v>0</v>
      </c>
      <c r="JL18" s="470">
        <f>SUMPRODUCT(('Prenatal Care'!$AF$7:$AF$762=JL$6)*('Prenatal Care'!$C$7:$C$762&gt;=Lists!$AE12)*('Prenatal Care'!$C$7:$C$762&lt;=Lists!$AF12))</f>
        <v>0</v>
      </c>
      <c r="JM18" s="470">
        <f>SUMPRODUCT(('Prenatal Care'!$AF$7:$AF$762=JM$6)*('Prenatal Care'!$C$7:$C$762&gt;=Lists!$AE12)*('Prenatal Care'!$C$7:$C$762&lt;=Lists!$AF12))</f>
        <v>0</v>
      </c>
      <c r="JN18" s="470">
        <f>SUMPRODUCT(('Prenatal Care'!$AF$7:$AF$762=JN$6)*('Prenatal Care'!$C$7:$C$762&gt;=Lists!$AE12)*('Prenatal Care'!$C$7:$C$762&lt;=Lists!$AF12))</f>
        <v>0</v>
      </c>
      <c r="JO18" s="470">
        <f>SUMPRODUCT(('Prenatal Care'!$AF$7:$AF$762=JO$6)*('Prenatal Care'!$C$7:$C$762&gt;=Lists!$AE12)*('Prenatal Care'!$C$7:$C$762&lt;=Lists!$AF12))</f>
        <v>0</v>
      </c>
      <c r="JP18" s="470">
        <f>SUMPRODUCT(('Prenatal Care'!$AF$7:$AF$762=JP$6)*('Prenatal Care'!$C$7:$C$762&gt;=Lists!$AE12)*('Prenatal Care'!$C$7:$C$762&lt;=Lists!$AF12))</f>
        <v>0</v>
      </c>
      <c r="JQ18" s="475">
        <f>SUMPRODUCT(('Prenatal Care'!$AF$7:$AF$762=JQ$6)*('Prenatal Care'!$C$7:$C$762&gt;=Lists!$AE12)*('Prenatal Care'!$C$7:$C$762&lt;=Lists!$AF12))</f>
        <v>0</v>
      </c>
      <c r="JR18" s="471">
        <f t="shared" si="28"/>
        <v>0</v>
      </c>
      <c r="JS18" s="469">
        <f>SUMPRODUCT(('Prenatal Care'!$AH$7:$AH$762=JS$6)*('Prenatal Care'!$C$7:$C$762&gt;=Lists!$AE12)*('Prenatal Care'!$C$7:$C$762&lt;=Lists!$AF12))</f>
        <v>0</v>
      </c>
      <c r="JT18" s="470">
        <f>SUMPRODUCT(('Prenatal Care'!$AH$7:$AH$762=JT$6)*('Prenatal Care'!$C$7:$C$762&gt;=Lists!$AE12)*('Prenatal Care'!$C$7:$C$762&lt;=Lists!$AF12))</f>
        <v>0</v>
      </c>
      <c r="JU18" s="470">
        <f>SUMPRODUCT(('Prenatal Care'!$AH$7:$AH$762=JU$6)*('Prenatal Care'!$C$7:$C$762&gt;=Lists!$AE12)*('Prenatal Care'!$C$7:$C$762&lt;=Lists!$AF12))</f>
        <v>0</v>
      </c>
      <c r="JV18" s="470">
        <f>SUMPRODUCT(('Prenatal Care'!$AH$7:$AH$762=JV$6)*('Prenatal Care'!$C$7:$C$762&gt;=Lists!$AE12)*('Prenatal Care'!$C$7:$C$762&lt;=Lists!$AF12))</f>
        <v>0</v>
      </c>
      <c r="JW18" s="470">
        <f>SUMPRODUCT(('Prenatal Care'!$AH$7:$AH$762=JW$6)*('Prenatal Care'!$C$7:$C$762&gt;=Lists!$AE12)*('Prenatal Care'!$C$7:$C$762&lt;=Lists!$AF12))</f>
        <v>0</v>
      </c>
      <c r="JX18" s="470">
        <f>SUMPRODUCT(('Prenatal Care'!$AH$7:$AH$762=JX$6)*('Prenatal Care'!$C$7:$C$762&gt;=Lists!$AE12)*('Prenatal Care'!$C$7:$C$762&lt;=Lists!$AF12))</f>
        <v>0</v>
      </c>
      <c r="JY18" s="470">
        <f>SUMPRODUCT(('Prenatal Care'!$AH$7:$AH$762=JY$6)*('Prenatal Care'!$C$7:$C$762&gt;=Lists!$AE12)*('Prenatal Care'!$C$7:$C$762&lt;=Lists!$AF12))</f>
        <v>0</v>
      </c>
      <c r="JZ18" s="470">
        <f>SUMPRODUCT(('Prenatal Care'!$AH$7:$AH$762=JZ$6)*('Prenatal Care'!$C$7:$C$762&gt;=Lists!$AE12)*('Prenatal Care'!$C$7:$C$762&lt;=Lists!$AF12))</f>
        <v>0</v>
      </c>
      <c r="KA18" s="470">
        <f>SUMPRODUCT(('Prenatal Care'!$AH$7:$AH$762=KA$6)*('Prenatal Care'!$C$7:$C$762&gt;=Lists!$AE12)*('Prenatal Care'!$C$7:$C$762&lt;=Lists!$AF12))</f>
        <v>0</v>
      </c>
      <c r="KB18" s="470">
        <f>SUMPRODUCT(('Prenatal Care'!$AH$7:$AH$762=KB$6)*('Prenatal Care'!$C$7:$C$762&gt;=Lists!$AE12)*('Prenatal Care'!$C$7:$C$762&lt;=Lists!$AF12))</f>
        <v>0</v>
      </c>
      <c r="KC18" s="475">
        <f>SUMPRODUCT(('Prenatal Care'!$AH$7:$AH$762=KC$6)*('Prenatal Care'!$C$7:$C$762&gt;=Lists!$AE12)*('Prenatal Care'!$C$7:$C$762&lt;=Lists!$AF12))</f>
        <v>0</v>
      </c>
      <c r="KD18" s="471">
        <f t="shared" si="29"/>
        <v>0</v>
      </c>
      <c r="KE18" s="473">
        <f>SUMPRODUCT(('Prenatal Care'!$AI$7:$AI$762=KE$6)*('Prenatal Care'!$C$7:$C$762&gt;=Lists!$AE12)*('Prenatal Care'!$C$7:$C$762&lt;=Lists!$AF12))</f>
        <v>0</v>
      </c>
      <c r="KF18" s="470">
        <f>SUMPRODUCT(('Prenatal Care'!$AI$7:$AI$762=KF$6)*('Prenatal Care'!$C$7:$C$762&gt;=Lists!$AE12)*('Prenatal Care'!$C$7:$C$762&lt;=Lists!$AF12))</f>
        <v>0</v>
      </c>
      <c r="KG18" s="470">
        <f>SUMPRODUCT(('Prenatal Care'!$AI$7:$AI$762=KG$6)*('Prenatal Care'!$C$7:$C$762&gt;=Lists!$AE12)*('Prenatal Care'!$C$7:$C$762&lt;=Lists!$AF12))</f>
        <v>0</v>
      </c>
      <c r="KH18" s="470">
        <f>SUMPRODUCT(('Prenatal Care'!$AI$7:$AI$762=KH$6)*('Prenatal Care'!$C$7:$C$762&gt;=Lists!$AE12)*('Prenatal Care'!$C$7:$C$762&lt;=Lists!$AF12))</f>
        <v>0</v>
      </c>
      <c r="KI18" s="475">
        <f>SUMPRODUCT(('Prenatal Care'!$AI$7:$AI$762=KI$6)*('Prenatal Care'!$C$7:$C$762&gt;=Lists!$AE12)*('Prenatal Care'!$C$7:$C$762&lt;=Lists!$AF12))</f>
        <v>0</v>
      </c>
      <c r="KJ18" s="471">
        <f t="shared" si="5"/>
        <v>0</v>
      </c>
      <c r="KK18" s="518">
        <f t="shared" si="6"/>
        <v>0</v>
      </c>
      <c r="KN18" s="15"/>
      <c r="KO18" s="15"/>
      <c r="KP18" s="15"/>
      <c r="KQ18" s="15"/>
      <c r="KR18" s="15"/>
      <c r="KS18" s="15"/>
      <c r="KT18" s="15"/>
      <c r="KU18" s="16"/>
      <c r="KV18" s="15"/>
      <c r="KW18" s="15"/>
      <c r="KX18" s="15"/>
      <c r="KY18" s="15"/>
      <c r="KZ18" s="15"/>
    </row>
    <row r="19" spans="1:312" ht="15" customHeight="1" thickBot="1" x14ac:dyDescent="0.4">
      <c r="A19" s="568">
        <v>46082</v>
      </c>
      <c r="B19" s="451">
        <f>SUMPRODUCT(('Prenatal Care'!$F$7:$F$762=B$6)*('Prenatal Care'!$C$7:$C$762&gt;=Lists!$AE13)*('Prenatal Care'!$C$7:$C$762&lt;=Lists!$AF13))</f>
        <v>0</v>
      </c>
      <c r="C19" s="452">
        <f>SUMPRODUCT(('Prenatal Care'!$F$7:$F$762=C$6)*('Prenatal Care'!$C$7:$C$762&gt;=Lists!$AE13)*('Prenatal Care'!$C$7:$C$762&lt;=Lists!$AF13))</f>
        <v>0</v>
      </c>
      <c r="D19" s="452">
        <f>SUMPRODUCT(('Prenatal Care'!$F$7:$F$762=D$6)*('Prenatal Care'!$C$7:$C$762&gt;=Lists!$AE13)*('Prenatal Care'!$C$7:$C$762&lt;=Lists!$AF13))</f>
        <v>0</v>
      </c>
      <c r="E19" s="453">
        <f>SUMPRODUCT(('Prenatal Care'!$F$7:$F$762=E$6)*('Prenatal Care'!$C$7:$C$762&gt;=Lists!$AE13)*('Prenatal Care'!$C$7:$C$762&lt;=Lists!$AF13))</f>
        <v>0</v>
      </c>
      <c r="F19" s="214">
        <f t="shared" si="7"/>
        <v>0</v>
      </c>
      <c r="G19" s="441">
        <f>SUMPRODUCT(('Prenatal Care'!$G$7:$G$762=G$6)*('Prenatal Care'!$C$7:$C$762&gt;=Lists!$AE13)*('Prenatal Care'!$C$7:$C$762&lt;=Lists!$AF13))</f>
        <v>0</v>
      </c>
      <c r="H19" s="441">
        <f>SUMPRODUCT(('Prenatal Care'!$G$7:$G$762=H$6)*('Prenatal Care'!$C$7:$C$762&gt;=Lists!$AE13)*('Prenatal Care'!$C$7:$C$762&lt;=Lists!$AF13))</f>
        <v>0</v>
      </c>
      <c r="I19" s="441">
        <f>SUMPRODUCT(('Prenatal Care'!$G$7:$G$762=I$6)*('Prenatal Care'!$C$7:$C$762&gt;=Lists!$AE13)*('Prenatal Care'!$C$7:$C$762&lt;=Lists!$AF13))</f>
        <v>0</v>
      </c>
      <c r="J19" s="441">
        <f>SUMPRODUCT(('Prenatal Care'!$G$7:$G$762=J$6)*('Prenatal Care'!$C$7:$C$762&gt;=Lists!$AE13)*('Prenatal Care'!$C$7:$C$762&lt;=Lists!$AF13))</f>
        <v>0</v>
      </c>
      <c r="K19" s="441">
        <f>SUMPRODUCT(('Prenatal Care'!$G$7:$G$762=K$6)*('Prenatal Care'!$C$7:$C$762&gt;=Lists!$AE13)*('Prenatal Care'!$C$7:$C$762&lt;=Lists!$AF13))</f>
        <v>0</v>
      </c>
      <c r="L19" s="441">
        <f>SUMPRODUCT(('Prenatal Care'!$G$7:$G$762=L$6)*('Prenatal Care'!$C$7:$C$762&gt;=Lists!$AE13)*('Prenatal Care'!$C$7:$C$762&lt;=Lists!$AF13))</f>
        <v>0</v>
      </c>
      <c r="M19" s="441">
        <f>SUMPRODUCT(('Prenatal Care'!$G$7:$G$762=M$6)*('Prenatal Care'!$C$7:$C$762&gt;=Lists!$AE13)*('Prenatal Care'!$C$7:$C$762&lt;=Lists!$AF13))</f>
        <v>0</v>
      </c>
      <c r="N19" s="217">
        <f t="shared" si="8"/>
        <v>0</v>
      </c>
      <c r="O19" s="441">
        <f>SUMPRODUCT(('Prenatal Care'!$H$7:$H$762=O$6)*('Prenatal Care'!$C$7:$C$762&gt;=Lists!$AE13)*('Prenatal Care'!$C$7:$C$762&lt;=Lists!$AF13))</f>
        <v>0</v>
      </c>
      <c r="P19" s="441">
        <f>SUMPRODUCT(('Prenatal Care'!$H$7:$H$762=P$6)*('Prenatal Care'!$C$7:$C$762&gt;=Lists!$AE13)*('Prenatal Care'!$C$7:$C$762&lt;=Lists!$AF13))</f>
        <v>0</v>
      </c>
      <c r="Q19" s="441">
        <f>SUMPRODUCT(('Prenatal Care'!$H$7:$H$762=Q$6)*('Prenatal Care'!$C$7:$C$762&gt;=Lists!$AE13)*('Prenatal Care'!$C$7:$C$762&lt;=Lists!$AF13))</f>
        <v>0</v>
      </c>
      <c r="R19" s="441">
        <f>SUMPRODUCT(('Prenatal Care'!$H$7:$H$762=R$6)*('Prenatal Care'!$C$7:$C$762&gt;=Lists!$AE13)*('Prenatal Care'!$C$7:$C$762&lt;=Lists!$AF13))</f>
        <v>0</v>
      </c>
      <c r="S19" s="441">
        <f>SUMPRODUCT(('Prenatal Care'!$H$7:$H$762=S$6)*('Prenatal Care'!$C$7:$C$762&gt;=Lists!$AE13)*('Prenatal Care'!$C$7:$C$762&lt;=Lists!$AF13))</f>
        <v>0</v>
      </c>
      <c r="T19" s="441">
        <f>SUMPRODUCT(('Prenatal Care'!$H$7:$H$762=T$6)*('Prenatal Care'!$C$7:$C$762&gt;=Lists!$AE13)*('Prenatal Care'!$C$7:$C$762&lt;=Lists!$AF13))</f>
        <v>0</v>
      </c>
      <c r="U19" s="441">
        <f>SUMPRODUCT(('Prenatal Care'!$H$7:$H$762=U$6)*('Prenatal Care'!$C$7:$C$762&gt;=Lists!$AE13)*('Prenatal Care'!$C$7:$C$762&lt;=Lists!$AF13))</f>
        <v>0</v>
      </c>
      <c r="V19" s="217">
        <f t="shared" si="9"/>
        <v>0</v>
      </c>
      <c r="W19" s="441">
        <f>SUMPRODUCT(('Prenatal Care'!$I$7:$I$762=W$6)*('Prenatal Care'!$C$7:$C$762&gt;=Lists!$AE13)*('Prenatal Care'!$C$7:$C$762&lt;=Lists!$AF13))</f>
        <v>0</v>
      </c>
      <c r="X19" s="441">
        <f>SUMPRODUCT(('Prenatal Care'!$I$7:$I$762=X$6)*('Prenatal Care'!$C$7:$C$762&gt;=Lists!$AE13)*('Prenatal Care'!$C$7:$C$762&lt;=Lists!$AF13))</f>
        <v>0</v>
      </c>
      <c r="Y19" s="441">
        <f>SUMPRODUCT(('Prenatal Care'!$I$7:$I$762=Y$6)*('Prenatal Care'!$C$7:$C$762&gt;=Lists!$AE13)*('Prenatal Care'!$C$7:$C$762&lt;=Lists!$AF13))</f>
        <v>0</v>
      </c>
      <c r="Z19" s="441">
        <f>SUMPRODUCT(('Prenatal Care'!$I$7:$I$762=Z$6)*('Prenatal Care'!$C$7:$C$762&gt;=Lists!$AE13)*('Prenatal Care'!$C$7:$C$762&lt;=Lists!$AF13))</f>
        <v>0</v>
      </c>
      <c r="AA19" s="441">
        <f>SUMPRODUCT(('Prenatal Care'!$I$7:$I$762=AA$6)*('Prenatal Care'!$C$7:$C$762&gt;=Lists!$AE13)*('Prenatal Care'!$C$7:$C$762&lt;=Lists!$AF13))</f>
        <v>0</v>
      </c>
      <c r="AB19" s="441">
        <f>SUMPRODUCT(('Prenatal Care'!$I$7:$I$762=AB$6)*('Prenatal Care'!$C$7:$C$762&gt;=Lists!$AE13)*('Prenatal Care'!$C$7:$C$762&lt;=Lists!$AF13))</f>
        <v>0</v>
      </c>
      <c r="AC19" s="217">
        <f t="shared" si="10"/>
        <v>0</v>
      </c>
      <c r="AD19" s="441">
        <f>SUMPRODUCT(('Prenatal Care'!$J$7:$J$762=AD$6)*('Prenatal Care'!$C$7:$C$762&gt;=Lists!$AE13)*('Prenatal Care'!$C$7:$C$762&lt;=Lists!$AF13))</f>
        <v>0</v>
      </c>
      <c r="AE19" s="441">
        <f>SUMPRODUCT(('Prenatal Care'!$J$7:$J$762=AE$6)*('Prenatal Care'!$C$7:$C$762&gt;=Lists!$AE13)*('Prenatal Care'!$C$7:$C$762&lt;=Lists!$AF13))</f>
        <v>0</v>
      </c>
      <c r="AF19" s="441">
        <f>SUMPRODUCT(('Prenatal Care'!$J$7:$J$762=AF$6)*('Prenatal Care'!$C$7:$C$762&gt;=Lists!$AE13)*('Prenatal Care'!$C$7:$C$762&lt;=Lists!$AF13))</f>
        <v>0</v>
      </c>
      <c r="AG19" s="441">
        <f>SUMPRODUCT(('Prenatal Care'!$J$7:$J$762=AG$6)*('Prenatal Care'!$C$7:$C$762&gt;=Lists!$AE13)*('Prenatal Care'!$C$7:$C$762&lt;=Lists!$AF13))</f>
        <v>0</v>
      </c>
      <c r="AH19" s="217">
        <f t="shared" si="11"/>
        <v>0</v>
      </c>
      <c r="AI19" s="441">
        <f>SUMPRODUCT(('Prenatal Care'!$K$7:$K$762=AI$6)*('Prenatal Care'!$C$7:$C$762&gt;=Lists!$AE13)*('Prenatal Care'!$C$7:$C$762&lt;=Lists!$AF13))</f>
        <v>0</v>
      </c>
      <c r="AJ19" s="441">
        <f>SUMPRODUCT(('Prenatal Care'!$K$7:$K$762=AJ$6)*('Prenatal Care'!$C$7:$C$762&gt;=Lists!$AE13)*('Prenatal Care'!$C$7:$C$762&lt;=Lists!$AF13))</f>
        <v>0</v>
      </c>
      <c r="AK19" s="441">
        <f>SUMPRODUCT(('Prenatal Care'!$K$7:$K$762=AK$6)*('Prenatal Care'!$C$7:$C$762&gt;=Lists!$AE13)*('Prenatal Care'!$C$7:$C$762&lt;=Lists!$AF13))</f>
        <v>0</v>
      </c>
      <c r="AL19" s="441">
        <f>SUMPRODUCT(('Prenatal Care'!$K$7:$K$762=AL$6)*('Prenatal Care'!$C$7:$C$762&gt;=Lists!$AE13)*('Prenatal Care'!$C$7:$C$762&lt;=Lists!$AF13))</f>
        <v>0</v>
      </c>
      <c r="AM19" s="217">
        <f t="shared" si="12"/>
        <v>0</v>
      </c>
      <c r="AN19" s="441">
        <f>SUMPRODUCT(('Prenatal Care'!$L$7:$L$762=AN$6)*('Prenatal Care'!$C$7:$C$762&gt;=Lists!$AE13)*('Prenatal Care'!$C$7:$C$762&lt;=Lists!$AF13))</f>
        <v>0</v>
      </c>
      <c r="AO19" s="441">
        <f>SUMPRODUCT(('Prenatal Care'!$L$7:$L$762=AO$6)*('Prenatal Care'!$C$7:$C$762&gt;=Lists!$AE13)*('Prenatal Care'!$C$7:$C$762&lt;=Lists!$AF13))</f>
        <v>0</v>
      </c>
      <c r="AP19" s="441">
        <f>SUMPRODUCT(('Prenatal Care'!$L$7:$L$762=AP$6)*('Prenatal Care'!$C$7:$C$762&gt;=Lists!$AE13)*('Prenatal Care'!$C$7:$C$762&lt;=Lists!$AF13))</f>
        <v>0</v>
      </c>
      <c r="AQ19" s="441">
        <f>SUMPRODUCT(('Prenatal Care'!$L$7:$L$762=AQ$6)*('Prenatal Care'!$C$7:$C$762&gt;=Lists!$AE13)*('Prenatal Care'!$C$7:$C$762&lt;=Lists!$AF13))</f>
        <v>0</v>
      </c>
      <c r="AR19" s="217">
        <f t="shared" si="13"/>
        <v>0</v>
      </c>
      <c r="AS19" s="476">
        <f>SUMPRODUCT(('Prenatal Care'!$M$7:$M$762=AS$6)*('Prenatal Care'!$C$7:$C$762&gt;=Lists!$AE13)*('Prenatal Care'!$C$7:$C$762&lt;=Lists!$AF13))</f>
        <v>0</v>
      </c>
      <c r="AT19" s="477">
        <f>SUMPRODUCT(('Prenatal Care'!$M$7:$M$762=AT$6)*('Prenatal Care'!$C$7:$C$762&gt;=Lists!$AE13)*('Prenatal Care'!$C$7:$C$762&lt;=Lists!$AF13))</f>
        <v>0</v>
      </c>
      <c r="AU19" s="477">
        <f>SUMPRODUCT(('Prenatal Care'!$M$7:$M$762=AU$6)*('Prenatal Care'!$C$7:$C$762&gt;=Lists!$AE13)*('Prenatal Care'!$C$7:$C$762&lt;=Lists!$AF13))</f>
        <v>0</v>
      </c>
      <c r="AV19" s="499">
        <f>SUMPRODUCT(('Prenatal Care'!$M$7:$M$762=AV$6)*('Prenatal Care'!$C$7:$C$762&gt;=Lists!$AE13)*('Prenatal Care'!$C$7:$C$762&lt;=Lists!$AF13))</f>
        <v>0</v>
      </c>
      <c r="AW19" s="478">
        <f t="shared" si="14"/>
        <v>0</v>
      </c>
      <c r="AX19" s="484">
        <f>SUMPRODUCT(('Prenatal Care'!$N$7:$N$762=AX$6)*('Prenatal Care'!$C$7:$C$762&gt;=Lists!$AE13)*('Prenatal Care'!$C$7:$C$762&lt;=Lists!$AF13))</f>
        <v>0</v>
      </c>
      <c r="AY19" s="480">
        <f>SUMPRODUCT(('Prenatal Care'!$N$7:$N$762=AY$6)*('Prenatal Care'!$C$7:$C$762&gt;=Lists!$AE13)*('Prenatal Care'!$C$7:$C$762&lt;=Lists!$AF13))</f>
        <v>0</v>
      </c>
      <c r="AZ19" s="480">
        <f>SUMPRODUCT(('Prenatal Care'!$N$7:$N$762=AZ$6)*('Prenatal Care'!$C$7:$C$762&gt;=Lists!$AE13)*('Prenatal Care'!$C$7:$C$762&lt;=Lists!$AF13))</f>
        <v>0</v>
      </c>
      <c r="BA19" s="480">
        <f>SUMPRODUCT(('Prenatal Care'!$N$7:$N$762=BA$6)*('Prenatal Care'!$C$7:$C$762&gt;=Lists!$AE13)*('Prenatal Care'!$C$7:$C$762&lt;=Lists!$AF13))</f>
        <v>0</v>
      </c>
      <c r="BB19" s="486">
        <f>SUMPRODUCT(('Prenatal Care'!$N$7:$N$762=BB$6)*('Prenatal Care'!$C$7:$C$762&gt;=Lists!$AE13)*('Prenatal Care'!$C$7:$C$762&lt;=Lists!$AF13))</f>
        <v>0</v>
      </c>
      <c r="BC19" s="481">
        <f t="shared" si="15"/>
        <v>0</v>
      </c>
      <c r="BD19" s="484">
        <f>SUMPRODUCT(('Prenatal Care'!$O$7:$O$762=BD$6)*('Prenatal Care'!$C$7:$C$762&gt;=Lists!$AE13)*('Prenatal Care'!$C$7:$C$762&lt;=Lists!$AF13))</f>
        <v>0</v>
      </c>
      <c r="BE19" s="480">
        <f>SUMPRODUCT(('Prenatal Care'!$O$7:$O$762=BE$6)*('Prenatal Care'!$C$7:$C$762&gt;=Lists!$AE13)*('Prenatal Care'!$C$7:$C$762&lt;=Lists!$AF13))</f>
        <v>0</v>
      </c>
      <c r="BF19" s="480">
        <f>SUMPRODUCT(('Prenatal Care'!$O$7:$O$762=BF$6)*('Prenatal Care'!$C$7:$C$762&gt;=Lists!$AE13)*('Prenatal Care'!$C$7:$C$762&lt;=Lists!$AF13))</f>
        <v>0</v>
      </c>
      <c r="BG19" s="480">
        <f>SUMPRODUCT(('Prenatal Care'!$O$7:$O$762=BG$6)*('Prenatal Care'!$C$7:$C$762&gt;=Lists!$AE13)*('Prenatal Care'!$C$7:$C$762&lt;=Lists!$AF13))</f>
        <v>0</v>
      </c>
      <c r="BH19" s="480">
        <f>SUMPRODUCT(('Prenatal Care'!$O$7:$O$762=BH$6)*('Prenatal Care'!$C$7:$C$762&gt;=Lists!$AE13)*('Prenatal Care'!$C$7:$C$762&lt;=Lists!$AF13))</f>
        <v>0</v>
      </c>
      <c r="BI19" s="486">
        <f>SUMPRODUCT(('Prenatal Care'!$O$7:$O$762=BI$6)*('Prenatal Care'!$C$7:$C$762&gt;=Lists!$AE13)*('Prenatal Care'!$C$7:$C$762&lt;=Lists!$AF13))</f>
        <v>0</v>
      </c>
      <c r="BJ19" s="481">
        <f t="shared" si="16"/>
        <v>0</v>
      </c>
      <c r="BK19" s="484">
        <f>SUMPRODUCT(('Prenatal Care'!$P$7:$P$762=BK$6)*('Prenatal Care'!$C$7:$C$762&gt;=Lists!$AE13)*('Prenatal Care'!$C$7:$C$762&lt;=Lists!$AF13))</f>
        <v>0</v>
      </c>
      <c r="BL19" s="480">
        <f>SUMPRODUCT(('Prenatal Care'!$P$7:$P$762=BL$6)*('Prenatal Care'!$C$7:$C$762&gt;=Lists!$AE13)*('Prenatal Care'!$C$7:$C$762&lt;=Lists!$AF13))</f>
        <v>0</v>
      </c>
      <c r="BM19" s="480">
        <f>SUMPRODUCT(('Prenatal Care'!$P$7:$P$762=BM$6)*('Prenatal Care'!$C$7:$C$762&gt;=Lists!$AE13)*('Prenatal Care'!$C$7:$C$762&lt;=Lists!$AF13))</f>
        <v>0</v>
      </c>
      <c r="BN19" s="480">
        <f>SUMPRODUCT(('Prenatal Care'!$P$7:$P$762=BN$6)*('Prenatal Care'!$C$7:$C$762&gt;=Lists!$AE13)*('Prenatal Care'!$C$7:$C$762&lt;=Lists!$AF13))</f>
        <v>0</v>
      </c>
      <c r="BO19" s="486">
        <f>SUMPRODUCT(('Prenatal Care'!$P$7:$P$762=BO$6)*('Prenatal Care'!$C$7:$C$762&gt;=Lists!$AE13)*('Prenatal Care'!$C$7:$C$762&lt;=Lists!$AF13))</f>
        <v>0</v>
      </c>
      <c r="BP19" s="481">
        <f t="shared" si="0"/>
        <v>0</v>
      </c>
      <c r="BQ19" s="484">
        <f>SUMPRODUCT(('Prenatal Care'!$Q$7:$Q$762=BQ$6)*('Prenatal Care'!$C$7:$C$762&gt;=Lists!$AE13)*('Prenatal Care'!$C$7:$C$762&lt;=Lists!$AF13))</f>
        <v>0</v>
      </c>
      <c r="BR19" s="480">
        <f>SUMPRODUCT(('Prenatal Care'!$Q$7:$Q$762=BR$6)*('Prenatal Care'!$C$7:$C$762&gt;=Lists!$AE13)*('Prenatal Care'!$C$7:$C$762&lt;=Lists!$AF13))</f>
        <v>0</v>
      </c>
      <c r="BS19" s="480">
        <f>SUMPRODUCT(('Prenatal Care'!$Q$7:$Q$762=BS$6)*('Prenatal Care'!$C$7:$C$762&gt;=Lists!$AE13)*('Prenatal Care'!$C$7:$C$762&lt;=Lists!$AF13))</f>
        <v>0</v>
      </c>
      <c r="BT19" s="480">
        <f>SUMPRODUCT(('Prenatal Care'!$Q$7:$Q$762=BT$6)*('Prenatal Care'!$C$7:$C$762&gt;=Lists!$AE13)*('Prenatal Care'!$C$7:$C$762&lt;=Lists!$AF13))</f>
        <v>0</v>
      </c>
      <c r="BU19" s="480">
        <f>SUMPRODUCT(('Prenatal Care'!$Q$7:$Q$762=BU$6)*('Prenatal Care'!$C$7:$C$762&gt;=Lists!$AE13)*('Prenatal Care'!$C$7:$C$762&lt;=Lists!$AF13))</f>
        <v>0</v>
      </c>
      <c r="BV19" s="486">
        <f>SUMPRODUCT(('Prenatal Care'!$Q$7:$Q$762=BV$6)*('Prenatal Care'!$C$7:$C$762&gt;=Lists!$AE13)*('Prenatal Care'!$C$7:$C$762&lt;=Lists!$AF13))</f>
        <v>0</v>
      </c>
      <c r="BW19" s="482">
        <f t="shared" si="1"/>
        <v>0</v>
      </c>
      <c r="BX19" s="484">
        <f>SUMPRODUCT(('Prenatal Care'!$R$7:$R$762=BX$6)*('Prenatal Care'!$C$7:$C$762&gt;=Lists!$AE13)*('Prenatal Care'!$C$7:$C$762&lt;=Lists!$AF13))</f>
        <v>0</v>
      </c>
      <c r="BY19" s="480">
        <f>SUMPRODUCT(('Prenatal Care'!$R$7:$R$762=BY$6)*('Prenatal Care'!$C$7:$C$762&gt;=Lists!$AE13)*('Prenatal Care'!$C$7:$C$762&lt;=Lists!$AF13))</f>
        <v>0</v>
      </c>
      <c r="BZ19" s="480">
        <f>SUMPRODUCT(('Prenatal Care'!$R$7:$R$762=BZ$6)*('Prenatal Care'!$C$7:$C$762&gt;=Lists!$AE13)*('Prenatal Care'!$C$7:$C$762&lt;=Lists!$AF13))</f>
        <v>0</v>
      </c>
      <c r="CA19" s="480">
        <f>SUMPRODUCT(('Prenatal Care'!$R$7:$R$762=CA$6)*('Prenatal Care'!$C$7:$C$762&gt;=Lists!$AE13)*('Prenatal Care'!$C$7:$C$762&lt;=Lists!$AF13))</f>
        <v>0</v>
      </c>
      <c r="CB19" s="486">
        <f>SUMPRODUCT(('Prenatal Care'!$R$7:$R$762=CB$6)*('Prenatal Care'!$C$7:$C$762&gt;=Lists!$AE13)*('Prenatal Care'!$C$7:$C$762&lt;=Lists!$AF13))</f>
        <v>0</v>
      </c>
      <c r="CC19" s="481">
        <f t="shared" si="17"/>
        <v>0</v>
      </c>
      <c r="CD19" s="479">
        <f>SUMPRODUCT(('Prenatal Care'!$S$7:$S$762=CD$6)*('Prenatal Care'!$C$7:$C$762&gt;=Lists!$AE13)*('Prenatal Care'!$C$7:$C$762&lt;=Lists!$AF13))</f>
        <v>0</v>
      </c>
      <c r="CE19" s="484">
        <f>SUMPRODUCT(('Prenatal Care'!$S$7:$S$762=CE$6)*('Prenatal Care'!$C$7:$C$762&gt;=Lists!$AE13)*('Prenatal Care'!$C$7:$C$762&lt;=Lists!$AF13))</f>
        <v>0</v>
      </c>
      <c r="CF19" s="480">
        <f>SUMPRODUCT(('Prenatal Care'!$S$7:$S$762=CF$6)*('Prenatal Care'!$C$7:$C$762&gt;=Lists!$AE13)*('Prenatal Care'!$C$7:$C$762&lt;=Lists!$AF13))</f>
        <v>0</v>
      </c>
      <c r="CG19" s="480">
        <f>SUMPRODUCT(('Prenatal Care'!$S$7:$S$762=CG$6)*('Prenatal Care'!$C$7:$C$762&gt;=Lists!$AE13)*('Prenatal Care'!$C$7:$C$762&lt;=Lists!$AF13))</f>
        <v>0</v>
      </c>
      <c r="CH19" s="480">
        <f>SUMPRODUCT(('Prenatal Care'!$S$7:$S$762=CH$6)*('Prenatal Care'!$C$7:$C$762&gt;=Lists!$AE13)*('Prenatal Care'!$C$7:$C$762&lt;=Lists!$AF13))</f>
        <v>0</v>
      </c>
      <c r="CI19" s="480">
        <f>SUMPRODUCT(('Prenatal Care'!$S$7:$S$762=CI$6)*('Prenatal Care'!$C$7:$C$762&gt;=Lists!$AE13)*('Prenatal Care'!$C$7:$C$762&lt;=Lists!$AF13))</f>
        <v>0</v>
      </c>
      <c r="CJ19" s="480">
        <f>SUMPRODUCT(('Prenatal Care'!$S$7:$S$762=CJ$6)*('Prenatal Care'!$C$7:$C$762&gt;=Lists!$AE13)*('Prenatal Care'!$C$7:$C$762&lt;=Lists!$AF13))</f>
        <v>0</v>
      </c>
      <c r="CK19" s="480">
        <f>SUMPRODUCT(('Prenatal Care'!$S$7:$S$762=CK$6)*('Prenatal Care'!$C$7:$C$762&gt;=Lists!$AE13)*('Prenatal Care'!$C$7:$C$762&lt;=Lists!$AF13))</f>
        <v>0</v>
      </c>
      <c r="CL19" s="480">
        <f>SUMPRODUCT(('Prenatal Care'!$S$7:$S$762=CL$6)*('Prenatal Care'!$C$7:$C$762&gt;=Lists!$AE13)*('Prenatal Care'!$C$7:$C$762&lt;=Lists!$AF13))</f>
        <v>0</v>
      </c>
      <c r="CM19" s="486">
        <f>SUMPRODUCT(('Prenatal Care'!$S$7:$S$762=CM$6)*('Prenatal Care'!$C$7:$C$762&gt;=Lists!$AE13)*('Prenatal Care'!$C$7:$C$762&lt;=Lists!$AF13))</f>
        <v>0</v>
      </c>
      <c r="CN19" s="483">
        <f t="shared" si="18"/>
        <v>0</v>
      </c>
      <c r="CO19" s="484">
        <f>SUMPRODUCT(('Prenatal Care'!$T$7:$T$762=CO$6)*('Prenatal Care'!$C$7:$C$762&gt;=Lists!$AE13)*('Prenatal Care'!$C$7:$C$762&lt;=Lists!$AF13))</f>
        <v>0</v>
      </c>
      <c r="CP19" s="480">
        <f>SUMPRODUCT(('Prenatal Care'!$T$7:$T$762=CP$6)*('Prenatal Care'!$C$7:$C$762&gt;=Lists!$AE13)*('Prenatal Care'!$C$7:$C$762&lt;=Lists!$AF13))</f>
        <v>0</v>
      </c>
      <c r="CQ19" s="486">
        <f>SUMPRODUCT(('Prenatal Care'!$T$7:$T$762=CQ$6)*('Prenatal Care'!$C$7:$C$762&gt;=Lists!$AE13)*('Prenatal Care'!$C$7:$C$762&lt;=Lists!$AF13))</f>
        <v>0</v>
      </c>
      <c r="CR19" s="483">
        <f>SUM(CO19:CQ19)</f>
        <v>0</v>
      </c>
      <c r="CS19" s="508">
        <f>SUMPRODUCT(('Prenatal Care'!$U$7:$U$762=CS$6)*('Prenatal Care'!$C$7:$C$762&gt;=Lists!$AE13)*('Prenatal Care'!$C$7:$C$762&lt;=Lists!$AF13))</f>
        <v>0</v>
      </c>
      <c r="CT19" s="509">
        <f>SUMPRODUCT(('Prenatal Care'!$U$7:$U$762=CT$6)*('Prenatal Care'!$C$7:$C$762&gt;=Lists!$AE13)*('Prenatal Care'!$C$7:$C$762&lt;=Lists!$AF13))</f>
        <v>0</v>
      </c>
      <c r="CU19" s="509">
        <f>SUMPRODUCT(('Prenatal Care'!$U$7:$U$762=CU$6)*('Prenatal Care'!$C$7:$C$762&gt;=Lists!$AE13)*('Prenatal Care'!$C$7:$C$762&lt;=Lists!$AF13))</f>
        <v>0</v>
      </c>
      <c r="CV19" s="509">
        <f>SUMPRODUCT(('Prenatal Care'!$U$7:$U$762=CV$6)*('Prenatal Care'!$C$7:$C$762&gt;=Lists!$AE13)*('Prenatal Care'!$C$7:$C$762&lt;=Lists!$AF13))</f>
        <v>0</v>
      </c>
      <c r="CW19" s="509">
        <f>SUMPRODUCT(('Prenatal Care'!$U$7:$U$762=CW$6)*('Prenatal Care'!$C$7:$C$762&gt;=Lists!$AE13)*('Prenatal Care'!$C$7:$C$762&lt;=Lists!$AF13))</f>
        <v>0</v>
      </c>
      <c r="CX19" s="509">
        <f>SUMPRODUCT(('Prenatal Care'!$U$7:$U$762=CX$6)*('Prenatal Care'!$C$7:$C$762&gt;=Lists!$AE13)*('Prenatal Care'!$C$7:$C$762&lt;=Lists!$AF13))</f>
        <v>0</v>
      </c>
      <c r="CY19" s="509">
        <f>SUMPRODUCT(('Prenatal Care'!$U$7:$U$762=CY$6)*('Prenatal Care'!$C$7:$C$762&gt;=Lists!$AE13)*('Prenatal Care'!$C$7:$C$762&lt;=Lists!$AF13))</f>
        <v>0</v>
      </c>
      <c r="CZ19" s="509">
        <f>SUMPRODUCT(('Prenatal Care'!$U$7:$U$762=CZ$6)*('Prenatal Care'!$C$7:$C$762&gt;=Lists!$AE13)*('Prenatal Care'!$C$7:$C$762&lt;=Lists!$AF13))</f>
        <v>0</v>
      </c>
      <c r="DA19" s="509">
        <f>SUMPRODUCT(('Prenatal Care'!$U$7:$U$762=DA$6)*('Prenatal Care'!$C$7:$C$762&gt;=Lists!$AE13)*('Prenatal Care'!$C$7:$C$762&lt;=Lists!$AF13))</f>
        <v>0</v>
      </c>
      <c r="DB19" s="510">
        <f>SUMPRODUCT(('Prenatal Care'!$U$7:$U$762=DB$6)*('Prenatal Care'!$C$7:$C$762&gt;=Lists!$AE13)*('Prenatal Care'!$C$7:$C$762&lt;=Lists!$AF13))</f>
        <v>0</v>
      </c>
      <c r="DC19" s="483">
        <f t="shared" si="20"/>
        <v>0</v>
      </c>
      <c r="DD19" s="511">
        <f>SUMPRODUCT(('Prenatal Care'!$V$7:$V$762=DD$6)*('Prenatal Care'!$C$7:$C$762&gt;=Lists!$AE13)*('Prenatal Care'!$C$7:$C$762&lt;=Lists!$AF13))</f>
        <v>0</v>
      </c>
      <c r="DE19" s="512">
        <f>SUMPRODUCT(('Prenatal Care'!$V$7:$V$762=DE$6)*('Prenatal Care'!$C$7:$C$762&gt;=Lists!$AE13)*('Prenatal Care'!$C$7:$C$762&lt;=Lists!$AF13))</f>
        <v>0</v>
      </c>
      <c r="DF19" s="512">
        <f>SUMPRODUCT(('Prenatal Care'!$V$7:$V$762=DF$6)*('Prenatal Care'!$C$7:$C$762&gt;=Lists!$AE13)*('Prenatal Care'!$C$7:$C$762&lt;=Lists!$AF13))</f>
        <v>0</v>
      </c>
      <c r="DG19" s="513">
        <f>SUMPRODUCT(('Prenatal Care'!$V$7:$V$762=DG$6)*('Prenatal Care'!$C$7:$C$762&gt;=Lists!$AE13)*('Prenatal Care'!$C$7:$C$762&lt;=Lists!$AF13))</f>
        <v>0</v>
      </c>
      <c r="DH19" s="483">
        <f t="shared" si="21"/>
        <v>0</v>
      </c>
      <c r="DI19" s="484">
        <f>SUMPRODUCT(('Prenatal Care'!$W$7:$W$762=DI$6)*('Prenatal Care'!$C$7:$C$762&gt;=Lists!$AE13)*('Prenatal Care'!$C$7:$C$762&lt;=Lists!$AF13))</f>
        <v>0</v>
      </c>
      <c r="DJ19" s="480">
        <f>SUMPRODUCT(('Prenatal Care'!$W$7:$W$762=DJ$6)*('Prenatal Care'!$C$7:$C$762&gt;=Lists!$AE13)*('Prenatal Care'!$C$7:$C$762&lt;=Lists!$AF13))</f>
        <v>0</v>
      </c>
      <c r="DK19" s="480">
        <f>SUMPRODUCT(('Prenatal Care'!$W$7:$W$762=DK$6)*('Prenatal Care'!$C$7:$C$762&gt;=Lists!$AE13)*('Prenatal Care'!$C$7:$C$762&lt;=Lists!$AF13))</f>
        <v>0</v>
      </c>
      <c r="DL19" s="480">
        <f>SUMPRODUCT(('Prenatal Care'!$W$7:$W$762=DL$6)*('Prenatal Care'!$C$7:$C$762&gt;=Lists!$AE13)*('Prenatal Care'!$C$7:$C$762&lt;=Lists!$AF13))</f>
        <v>0</v>
      </c>
      <c r="DM19" s="480">
        <f>SUMPRODUCT(('Prenatal Care'!$W$7:$W$762=DM$6)*('Prenatal Care'!$C$7:$C$762&gt;=Lists!$AE13)*('Prenatal Care'!$C$7:$C$762&lt;=Lists!$AF13))</f>
        <v>0</v>
      </c>
      <c r="DN19" s="480">
        <f>SUMPRODUCT(('Prenatal Care'!$W$7:$W$762=DN$6)*('Prenatal Care'!$C$7:$C$762&gt;=Lists!$AE13)*('Prenatal Care'!$C$7:$C$762&lt;=Lists!$AF13))</f>
        <v>0</v>
      </c>
      <c r="DO19" s="480">
        <f>SUMPRODUCT(('Prenatal Care'!$W$7:$W$762=DO$6)*('Prenatal Care'!$C$7:$C$762&gt;=Lists!$AE13)*('Prenatal Care'!$C$7:$C$762&lt;=Lists!$AF13))</f>
        <v>0</v>
      </c>
      <c r="DP19" s="480">
        <f>SUMPRODUCT(('Prenatal Care'!$W$7:$W$762=DP$6)*('Prenatal Care'!$C$7:$C$762&gt;=Lists!$AE13)*('Prenatal Care'!$C$7:$C$762&lt;=Lists!$AF13))</f>
        <v>0</v>
      </c>
      <c r="DQ19" s="480">
        <f>SUMPRODUCT(('Prenatal Care'!$W$7:$W$762=DQ$6)*('Prenatal Care'!$C$7:$C$762&gt;=Lists!$AE13)*('Prenatal Care'!$C$7:$C$762&lt;=Lists!$AF13))</f>
        <v>0</v>
      </c>
      <c r="DR19" s="480">
        <f>SUMPRODUCT(('Prenatal Care'!$W$7:$W$762=DR$6)*('Prenatal Care'!$C$7:$C$762&gt;=Lists!$AE13)*('Prenatal Care'!$C$7:$C$762&lt;=Lists!$AF13))</f>
        <v>0</v>
      </c>
      <c r="DS19" s="480">
        <f>SUMPRODUCT(('Prenatal Care'!$W$7:$W$762=DS$6)*('Prenatal Care'!$C$7:$C$762&gt;=Lists!$AE13)*('Prenatal Care'!$C$7:$C$762&lt;=Lists!$AF13))</f>
        <v>0</v>
      </c>
      <c r="DT19" s="480">
        <f>SUMPRODUCT(('Prenatal Care'!$W$7:$W$762=DT$6)*('Prenatal Care'!$C$7:$C$762&gt;=Lists!$AE13)*('Prenatal Care'!$C$7:$C$762&lt;=Lists!$AF13))</f>
        <v>0</v>
      </c>
      <c r="DU19" s="480">
        <f>SUMPRODUCT(('Prenatal Care'!$W$7:$W$762=DU$6)*('Prenatal Care'!$C$7:$C$762&gt;=Lists!$AE13)*('Prenatal Care'!$C$7:$C$762&lt;=Lists!$AF13))</f>
        <v>0</v>
      </c>
      <c r="DV19" s="480">
        <f>SUMPRODUCT(('Prenatal Care'!$W$7:$W$762=DV$6)*('Prenatal Care'!$C$7:$C$762&gt;=Lists!$AE13)*('Prenatal Care'!$C$7:$C$762&lt;=Lists!$AF13))</f>
        <v>0</v>
      </c>
      <c r="DW19" s="480">
        <f>SUMPRODUCT(('Prenatal Care'!$W$7:$W$762=DW$6)*('Prenatal Care'!$C$7:$C$762&gt;=Lists!$AE13)*('Prenatal Care'!$C$7:$C$762&lt;=Lists!$AF13))</f>
        <v>0</v>
      </c>
      <c r="DX19" s="480">
        <f>SUMPRODUCT(('Prenatal Care'!$W$7:$W$762=DX$6)*('Prenatal Care'!$C$7:$C$762&gt;=Lists!$AE13)*('Prenatal Care'!$C$7:$C$762&lt;=Lists!$AF13))</f>
        <v>0</v>
      </c>
      <c r="DY19" s="480">
        <f>SUMPRODUCT(('Prenatal Care'!$W$7:$W$762=DY$6)*('Prenatal Care'!$C$7:$C$762&gt;=Lists!$AE13)*('Prenatal Care'!$C$7:$C$762&lt;=Lists!$AF13))</f>
        <v>0</v>
      </c>
      <c r="DZ19" s="480">
        <f>SUMPRODUCT(('Prenatal Care'!$W$7:$W$762=DZ$6)*('Prenatal Care'!$C$7:$C$762&gt;=Lists!$AE13)*('Prenatal Care'!$C$7:$C$762&lt;=Lists!$AF13))</f>
        <v>0</v>
      </c>
      <c r="EA19" s="480">
        <f>SUMPRODUCT(('Prenatal Care'!$W$7:$W$762=EA$6)*('Prenatal Care'!$C$7:$C$762&gt;=Lists!$AE13)*('Prenatal Care'!$C$7:$C$762&lt;=Lists!$AF13))</f>
        <v>0</v>
      </c>
      <c r="EB19" s="480">
        <f>SUMPRODUCT(('Prenatal Care'!$W$7:$W$762=EB$6)*('Prenatal Care'!$C$7:$C$762&gt;=Lists!$AE13)*('Prenatal Care'!$C$7:$C$762&lt;=Lists!$AF13))</f>
        <v>0</v>
      </c>
      <c r="EC19" s="480">
        <f>SUMPRODUCT(('Prenatal Care'!$W$7:$W$762=EC$6)*('Prenatal Care'!$C$7:$C$762&gt;=Lists!$AE13)*('Prenatal Care'!$C$7:$C$762&lt;=Lists!$AF13))</f>
        <v>0</v>
      </c>
      <c r="ED19" s="480">
        <f>SUMPRODUCT(('Prenatal Care'!$W$7:$W$762=ED$6)*('Prenatal Care'!$C$7:$C$762&gt;=Lists!$AE13)*('Prenatal Care'!$C$7:$C$762&lt;=Lists!$AF13))</f>
        <v>0</v>
      </c>
      <c r="EE19" s="480">
        <f>SUMPRODUCT(('Prenatal Care'!$W$7:$W$762=EE$6)*('Prenatal Care'!$C$7:$C$762&gt;=Lists!$AE13)*('Prenatal Care'!$C$7:$C$762&lt;=Lists!$AF13))</f>
        <v>0</v>
      </c>
      <c r="EF19" s="480">
        <f>SUMPRODUCT(('Prenatal Care'!$W$7:$W$762=EF$6)*('Prenatal Care'!$C$7:$C$762&gt;=Lists!$AE13)*('Prenatal Care'!$C$7:$C$762&lt;=Lists!$AF13))</f>
        <v>0</v>
      </c>
      <c r="EG19" s="480">
        <f>SUMPRODUCT(('Prenatal Care'!$W$7:$W$762=EG$6)*('Prenatal Care'!$C$7:$C$762&gt;=Lists!$AE13)*('Prenatal Care'!$C$7:$C$762&lt;=Lists!$AF13))</f>
        <v>0</v>
      </c>
      <c r="EH19" s="486">
        <f>SUMPRODUCT(('Prenatal Care'!$W$7:$W$762=EH$6)*('Prenatal Care'!$C$7:$C$762&gt;=Lists!$AE13)*('Prenatal Care'!$C$7:$C$762&lt;=Lists!$AF13))</f>
        <v>0</v>
      </c>
      <c r="EI19" s="481">
        <f t="shared" si="22"/>
        <v>0</v>
      </c>
      <c r="EJ19" s="484">
        <f>SUMPRODUCT(('Prenatal Care'!$X$7:$X$762=EJ$6)*('Prenatal Care'!$C$7:$C$762&gt;=Lists!$AE13)*('Prenatal Care'!$C$7:$C$762&lt;=Lists!$AF13))</f>
        <v>0</v>
      </c>
      <c r="EK19" s="480">
        <f>SUMPRODUCT(('Prenatal Care'!$X$7:$X$762=EK$6)*('Prenatal Care'!$C$7:$C$762&gt;=Lists!$AE13)*('Prenatal Care'!$C$7:$C$762&lt;=Lists!$AF13))</f>
        <v>0</v>
      </c>
      <c r="EL19" s="480">
        <f>SUMPRODUCT(('Prenatal Care'!$X$7:$X$762=EL$6)*('Prenatal Care'!$C$7:$C$762&gt;=Lists!$AE13)*('Prenatal Care'!$C$7:$C$762&lt;=Lists!$AF13))</f>
        <v>0</v>
      </c>
      <c r="EM19" s="480">
        <f>SUMPRODUCT(('Prenatal Care'!$X$7:$X$762=EM$6)*('Prenatal Care'!$C$7:$C$762&gt;=Lists!$AE13)*('Prenatal Care'!$C$7:$C$762&lt;=Lists!$AF13))</f>
        <v>0</v>
      </c>
      <c r="EN19" s="480">
        <f>SUMPRODUCT(('Prenatal Care'!$X$7:$X$762=EN$6)*('Prenatal Care'!$C$7:$C$762&gt;=Lists!$AE13)*('Prenatal Care'!$C$7:$C$762&lt;=Lists!$AF13))</f>
        <v>0</v>
      </c>
      <c r="EO19" s="480">
        <f>SUMPRODUCT(('Prenatal Care'!$X$7:$X$762=EO$6)*('Prenatal Care'!$C$7:$C$762&gt;=Lists!$AE13)*('Prenatal Care'!$C$7:$C$762&lt;=Lists!$AF13))</f>
        <v>0</v>
      </c>
      <c r="EP19" s="480">
        <f>SUMPRODUCT(('Prenatal Care'!$X$7:$X$762=EP$6)*('Prenatal Care'!$C$7:$C$762&gt;=Lists!$AE13)*('Prenatal Care'!$C$7:$C$762&lt;=Lists!$AF13))</f>
        <v>0</v>
      </c>
      <c r="EQ19" s="480">
        <f>SUMPRODUCT(('Prenatal Care'!$X$7:$X$762=EQ$6)*('Prenatal Care'!$C$7:$C$762&gt;=Lists!$AE13)*('Prenatal Care'!$C$7:$C$762&lt;=Lists!$AF13))</f>
        <v>0</v>
      </c>
      <c r="ER19" s="480">
        <f>SUMPRODUCT(('Prenatal Care'!$X$7:$X$762=ER$6)*('Prenatal Care'!$C$7:$C$762&gt;=Lists!$AE13)*('Prenatal Care'!$C$7:$C$762&lt;=Lists!$AF13))</f>
        <v>0</v>
      </c>
      <c r="ES19" s="480">
        <f>SUMPRODUCT(('Prenatal Care'!$X$7:$X$762=ES$6)*('Prenatal Care'!$C$7:$C$762&gt;=Lists!$AE13)*('Prenatal Care'!$C$7:$C$762&lt;=Lists!$AF13))</f>
        <v>0</v>
      </c>
      <c r="ET19" s="480">
        <f>SUMPRODUCT(('Prenatal Care'!$X$7:$X$762=ET$6)*('Prenatal Care'!$C$7:$C$762&gt;=Lists!$AE13)*('Prenatal Care'!$C$7:$C$762&lt;=Lists!$AF13))</f>
        <v>0</v>
      </c>
      <c r="EU19" s="480">
        <f>SUMPRODUCT(('Prenatal Care'!$X$7:$X$762=EU$6)*('Prenatal Care'!$C$7:$C$762&gt;=Lists!$AE13)*('Prenatal Care'!$C$7:$C$762&lt;=Lists!$AF13))</f>
        <v>0</v>
      </c>
      <c r="EV19" s="480">
        <f>SUMPRODUCT(('Prenatal Care'!$X$7:$X$762=EV$6)*('Prenatal Care'!$C$7:$C$762&gt;=Lists!$AE13)*('Prenatal Care'!$C$7:$C$762&lt;=Lists!$AF13))</f>
        <v>0</v>
      </c>
      <c r="EW19" s="480">
        <f>SUMPRODUCT(('Prenatal Care'!$X$7:$X$762=EW$6)*('Prenatal Care'!$C$7:$C$762&gt;=Lists!$AE13)*('Prenatal Care'!$C$7:$C$762&lt;=Lists!$AF13))</f>
        <v>0</v>
      </c>
      <c r="EX19" s="480">
        <f>SUMPRODUCT(('Prenatal Care'!$X$7:$X$762=EX$6)*('Prenatal Care'!$C$7:$C$762&gt;=Lists!$AE13)*('Prenatal Care'!$C$7:$C$762&lt;=Lists!$AF13))</f>
        <v>0</v>
      </c>
      <c r="EY19" s="480">
        <f>SUMPRODUCT(('Prenatal Care'!$X$7:$X$762=EY$6)*('Prenatal Care'!$C$7:$C$762&gt;=Lists!$AE13)*('Prenatal Care'!$C$7:$C$762&lt;=Lists!$AF13))</f>
        <v>0</v>
      </c>
      <c r="EZ19" s="480">
        <f>SUMPRODUCT(('Prenatal Care'!$X$7:$X$762=EZ$6)*('Prenatal Care'!$C$7:$C$762&gt;=Lists!$AE13)*('Prenatal Care'!$C$7:$C$762&lt;=Lists!$AF13))</f>
        <v>0</v>
      </c>
      <c r="FA19" s="480">
        <f>SUMPRODUCT(('Prenatal Care'!$X$7:$X$762=FA$6)*('Prenatal Care'!$C$7:$C$762&gt;=Lists!$AE13)*('Prenatal Care'!$C$7:$C$762&lt;=Lists!$AF13))</f>
        <v>0</v>
      </c>
      <c r="FB19" s="480">
        <f>SUMPRODUCT(('Prenatal Care'!$X$7:$X$762=FB$6)*('Prenatal Care'!$C$7:$C$762&gt;=Lists!$AE13)*('Prenatal Care'!$C$7:$C$762&lt;=Lists!$AF13))</f>
        <v>0</v>
      </c>
      <c r="FC19" s="480">
        <f>SUMPRODUCT(('Prenatal Care'!$X$7:$X$762=FC$6)*('Prenatal Care'!$C$7:$C$762&gt;=Lists!$AE13)*('Prenatal Care'!$C$7:$C$762&lt;=Lists!$AF13))</f>
        <v>0</v>
      </c>
      <c r="FD19" s="480">
        <f>SUMPRODUCT(('Prenatal Care'!$X$7:$X$762=FD$6)*('Prenatal Care'!$C$7:$C$762&gt;=Lists!$AE13)*('Prenatal Care'!$C$7:$C$762&lt;=Lists!$AF13))</f>
        <v>0</v>
      </c>
      <c r="FE19" s="480">
        <f>SUMPRODUCT(('Prenatal Care'!$X$7:$X$762=FE$6)*('Prenatal Care'!$C$7:$C$762&gt;=Lists!$AE13)*('Prenatal Care'!$C$7:$C$762&lt;=Lists!$AF13))</f>
        <v>0</v>
      </c>
      <c r="FF19" s="480">
        <f>SUMPRODUCT(('Prenatal Care'!$X$7:$X$762=FF$6)*('Prenatal Care'!$C$7:$C$762&gt;=Lists!$AE13)*('Prenatal Care'!$C$7:$C$762&lt;=Lists!$AF13))</f>
        <v>0</v>
      </c>
      <c r="FG19" s="480">
        <f>SUMPRODUCT(('Prenatal Care'!$X$7:$X$762=FG$6)*('Prenatal Care'!$C$7:$C$762&gt;=Lists!$AE13)*('Prenatal Care'!$C$7:$C$762&lt;=Lists!$AF13))</f>
        <v>0</v>
      </c>
      <c r="FH19" s="480">
        <f>SUMPRODUCT(('Prenatal Care'!$X$7:$X$762=FH$6)*('Prenatal Care'!$C$7:$C$762&gt;=Lists!$AE13)*('Prenatal Care'!$C$7:$C$762&lt;=Lists!$AF13))</f>
        <v>0</v>
      </c>
      <c r="FI19" s="486">
        <f>SUMPRODUCT(('Prenatal Care'!$X$7:$X$762=FI$6)*('Prenatal Care'!$C$7:$C$762&gt;=Lists!$AE13)*('Prenatal Care'!$C$7:$C$762&lt;=Lists!$AF13))</f>
        <v>0</v>
      </c>
      <c r="FJ19" s="471">
        <f t="shared" si="23"/>
        <v>0</v>
      </c>
      <c r="FK19" s="484">
        <f>SUMPRODUCT(('Prenatal Care'!$Y$7:$Y$762=FK$6)*('Prenatal Care'!$C$7:$C$762&gt;=Lists!$AE13)*('Prenatal Care'!$C$7:$C$762&lt;=Lists!$AF13))</f>
        <v>0</v>
      </c>
      <c r="FL19" s="480">
        <f>SUMPRODUCT(('Prenatal Care'!$Y$7:$Y$762=FL$6)*('Prenatal Care'!$C$7:$C$762&gt;=Lists!$AE13)*('Prenatal Care'!$C$7:$C$762&lt;=Lists!$AF13))</f>
        <v>0</v>
      </c>
      <c r="FM19" s="480">
        <f>SUMPRODUCT(('Prenatal Care'!$Y$7:$Y$762=FM$6)*('Prenatal Care'!$C$7:$C$762&gt;=Lists!$AE13)*('Prenatal Care'!$C$7:$C$762&lt;=Lists!$AF13))</f>
        <v>0</v>
      </c>
      <c r="FN19" s="480">
        <f>SUMPRODUCT(('Prenatal Care'!$Y$7:$Y$762=FN$6)*('Prenatal Care'!$C$7:$C$762&gt;=Lists!$AE13)*('Prenatal Care'!$C$7:$C$762&lt;=Lists!$AF13))</f>
        <v>0</v>
      </c>
      <c r="FO19" s="480">
        <f>SUMPRODUCT(('Prenatal Care'!$Y$7:$Y$762=FO$6)*('Prenatal Care'!$C$7:$C$762&gt;=Lists!$AE13)*('Prenatal Care'!$C$7:$C$762&lt;=Lists!$AF13))</f>
        <v>0</v>
      </c>
      <c r="FP19" s="480">
        <f>SUMPRODUCT(('Prenatal Care'!$Y$7:$Y$762=FP$6)*('Prenatal Care'!$C$7:$C$762&gt;=Lists!$AE13)*('Prenatal Care'!$C$7:$C$762&lt;=Lists!$AF13))</f>
        <v>0</v>
      </c>
      <c r="FQ19" s="480">
        <f>SUMPRODUCT(('Prenatal Care'!$Y$7:$Y$762=FQ$6)*('Prenatal Care'!$C$7:$C$762&gt;=Lists!$AE13)*('Prenatal Care'!$C$7:$C$762&lt;=Lists!$AF13))</f>
        <v>0</v>
      </c>
      <c r="FR19" s="480">
        <f>SUMPRODUCT(('Prenatal Care'!$Y$7:$Y$762=FR$6)*('Prenatal Care'!$C$7:$C$762&gt;=Lists!$AE13)*('Prenatal Care'!$C$7:$C$762&lt;=Lists!$AF13))</f>
        <v>0</v>
      </c>
      <c r="FS19" s="480">
        <f>SUMPRODUCT(('Prenatal Care'!$Y$7:$Y$762=FS$6)*('Prenatal Care'!$C$7:$C$762&gt;=Lists!$AE13)*('Prenatal Care'!$C$7:$C$762&lt;=Lists!$AF13))</f>
        <v>0</v>
      </c>
      <c r="FT19" s="480">
        <f>SUMPRODUCT(('Prenatal Care'!$Y$7:$Y$762=FT$6)*('Prenatal Care'!$C$7:$C$762&gt;=Lists!$AE13)*('Prenatal Care'!$C$7:$C$762&lt;=Lists!$AF13))</f>
        <v>0</v>
      </c>
      <c r="FU19" s="480">
        <f>SUMPRODUCT(('Prenatal Care'!$Y$7:$Y$762=FU$6)*('Prenatal Care'!$C$7:$C$762&gt;=Lists!$AE13)*('Prenatal Care'!$C$7:$C$762&lt;=Lists!$AF13))</f>
        <v>0</v>
      </c>
      <c r="FV19" s="480">
        <f>SUMPRODUCT(('Prenatal Care'!$Y$7:$Y$762=FV$6)*('Prenatal Care'!$C$7:$C$762&gt;=Lists!$AE13)*('Prenatal Care'!$C$7:$C$762&lt;=Lists!$AF13))</f>
        <v>0</v>
      </c>
      <c r="FW19" s="480">
        <f>SUMPRODUCT(('Prenatal Care'!$Y$7:$Y$762=FW$6)*('Prenatal Care'!$C$7:$C$762&gt;=Lists!$AE13)*('Prenatal Care'!$C$7:$C$762&lt;=Lists!$AF13))</f>
        <v>0</v>
      </c>
      <c r="FX19" s="480">
        <f>SUMPRODUCT(('Prenatal Care'!$Y$7:$Y$762=FX$6)*('Prenatal Care'!$C$7:$C$762&gt;=Lists!$AE13)*('Prenatal Care'!$C$7:$C$762&lt;=Lists!$AF13))</f>
        <v>0</v>
      </c>
      <c r="FY19" s="480">
        <f>SUMPRODUCT(('Prenatal Care'!$Y$7:$Y$762=FY$6)*('Prenatal Care'!$C$7:$C$762&gt;=Lists!$AE13)*('Prenatal Care'!$C$7:$C$762&lt;=Lists!$AF13))</f>
        <v>0</v>
      </c>
      <c r="FZ19" s="480">
        <f>SUMPRODUCT(('Prenatal Care'!$Y$7:$Y$762=FZ$6)*('Prenatal Care'!$C$7:$C$762&gt;=Lists!$AE13)*('Prenatal Care'!$C$7:$C$762&lt;=Lists!$AF13))</f>
        <v>0</v>
      </c>
      <c r="GA19" s="480">
        <f>SUMPRODUCT(('Prenatal Care'!$Y$7:$Y$762=GA$6)*('Prenatal Care'!$C$7:$C$762&gt;=Lists!$AE13)*('Prenatal Care'!$C$7:$C$762&lt;=Lists!$AF13))</f>
        <v>0</v>
      </c>
      <c r="GB19" s="480">
        <f>SUMPRODUCT(('Prenatal Care'!$Y$7:$Y$762=GB$6)*('Prenatal Care'!$C$7:$C$762&gt;=Lists!$AE13)*('Prenatal Care'!$C$7:$C$762&lt;=Lists!$AF13))</f>
        <v>0</v>
      </c>
      <c r="GC19" s="480">
        <f>SUMPRODUCT(('Prenatal Care'!$Y$7:$Y$762=GC$6)*('Prenatal Care'!$C$7:$C$762&gt;=Lists!$AE13)*('Prenatal Care'!$C$7:$C$762&lt;=Lists!$AF13))</f>
        <v>0</v>
      </c>
      <c r="GD19" s="480">
        <f>SUMPRODUCT(('Prenatal Care'!$Y$7:$Y$762=GD$6)*('Prenatal Care'!$C$7:$C$762&gt;=Lists!$AE13)*('Prenatal Care'!$C$7:$C$762&lt;=Lists!$AF13))</f>
        <v>0</v>
      </c>
      <c r="GE19" s="480">
        <f>SUMPRODUCT(('Prenatal Care'!$Y$7:$Y$762=GE$6)*('Prenatal Care'!$C$7:$C$762&gt;=Lists!$AE13)*('Prenatal Care'!$C$7:$C$762&lt;=Lists!$AF13))</f>
        <v>0</v>
      </c>
      <c r="GF19" s="480">
        <f>SUMPRODUCT(('Prenatal Care'!$Y$7:$Y$762=GF$6)*('Prenatal Care'!$C$7:$C$762&gt;=Lists!$AE13)*('Prenatal Care'!$C$7:$C$762&lt;=Lists!$AF13))</f>
        <v>0</v>
      </c>
      <c r="GG19" s="480">
        <f>SUMPRODUCT(('Prenatal Care'!$Y$7:$Y$762=GG$6)*('Prenatal Care'!$C$7:$C$762&gt;=Lists!$AE13)*('Prenatal Care'!$C$7:$C$762&lt;=Lists!$AF13))</f>
        <v>0</v>
      </c>
      <c r="GH19" s="480">
        <f>SUMPRODUCT(('Prenatal Care'!$Y$7:$Y$762=GH$6)*('Prenatal Care'!$C$7:$C$762&gt;=Lists!$AE13)*('Prenatal Care'!$C$7:$C$762&lt;=Lists!$AF13))</f>
        <v>0</v>
      </c>
      <c r="GI19" s="480">
        <f>SUMPRODUCT(('Prenatal Care'!$Y$7:$Y$762=GI$6)*('Prenatal Care'!$C$7:$C$762&gt;=Lists!$AE13)*('Prenatal Care'!$C$7:$C$762&lt;=Lists!$AF13))</f>
        <v>0</v>
      </c>
      <c r="GJ19" s="486">
        <f>SUMPRODUCT(('Prenatal Care'!$Y$7:$Y$762=GJ$6)*('Prenatal Care'!$C$7:$C$762&gt;=Lists!$AE13)*('Prenatal Care'!$C$7:$C$762&lt;=Lists!$AF13))</f>
        <v>0</v>
      </c>
      <c r="GK19" s="483">
        <f t="shared" si="24"/>
        <v>0</v>
      </c>
      <c r="GL19" s="479">
        <f>SUMPRODUCT(('Prenatal Care'!$AA$7:$AA$762=GL$6)*('Prenatal Care'!$C$7:$C$762&gt;=Lists!$AE13)*('Prenatal Care'!$C$7:$C$762&lt;=Lists!$AF13))</f>
        <v>0</v>
      </c>
      <c r="GM19" s="485">
        <f>SUMPRODUCT(('Prenatal Care'!$AA$7:$AA$762=GM$6)*('Prenatal Care'!$C$7:$C$762&gt;=Lists!$AE13)*('Prenatal Care'!$C$7:$C$762&lt;=Lists!$AF13))</f>
        <v>0</v>
      </c>
      <c r="GN19" s="480">
        <f>SUMPRODUCT(('Prenatal Care'!$AA$7:$AA$762=GN$6)*('Prenatal Care'!$C$7:$C$762&gt;=Lists!$AE13)*('Prenatal Care'!$C$7:$C$762&lt;=Lists!$AF13))</f>
        <v>0</v>
      </c>
      <c r="GO19" s="480">
        <f>SUMPRODUCT(('Prenatal Care'!$AA$7:$AA$762=GO$6)*('Prenatal Care'!$C$7:$C$762&gt;=Lists!$AE13)*('Prenatal Care'!$C$7:$C$762&lt;=Lists!$AF13))</f>
        <v>0</v>
      </c>
      <c r="GP19" s="480">
        <f>SUMPRODUCT(('Prenatal Care'!$AA$7:$AA$762=GP$6)*('Prenatal Care'!$C$7:$C$762&gt;=Lists!$AE13)*('Prenatal Care'!$C$7:$C$762&lt;=Lists!$AF13))</f>
        <v>0</v>
      </c>
      <c r="GQ19" s="480">
        <f>SUMPRODUCT(('Prenatal Care'!$AA$7:$AA$762=GQ$6)*('Prenatal Care'!$C$7:$C$762&gt;=Lists!$AE13)*('Prenatal Care'!$C$7:$C$762&lt;=Lists!$AF13))</f>
        <v>0</v>
      </c>
      <c r="GR19" s="480">
        <f>SUMPRODUCT(('Prenatal Care'!$AA$7:$AA$762=GR$6)*('Prenatal Care'!$C$7:$C$762&gt;=Lists!$AE13)*('Prenatal Care'!$C$7:$C$762&lt;=Lists!$AF13))</f>
        <v>0</v>
      </c>
      <c r="GS19" s="480">
        <f>SUMPRODUCT(('Prenatal Care'!$AA$7:$AA$762=GS$6)*('Prenatal Care'!$C$7:$C$762&gt;=Lists!$AE13)*('Prenatal Care'!$C$7:$C$762&lt;=Lists!$AF13))</f>
        <v>0</v>
      </c>
      <c r="GT19" s="480">
        <f>SUMPRODUCT(('Prenatal Care'!$AA$7:$AA$762=GT$6)*('Prenatal Care'!$C$7:$C$762&gt;=Lists!$AE13)*('Prenatal Care'!$C$7:$C$762&lt;=Lists!$AF13))</f>
        <v>0</v>
      </c>
      <c r="GU19" s="480">
        <f>SUMPRODUCT(('Prenatal Care'!$AA$7:$AA$762=GU$6)*('Prenatal Care'!$C$7:$C$762&gt;=Lists!$AE13)*('Prenatal Care'!$C$7:$C$762&lt;=Lists!$AF13))</f>
        <v>0</v>
      </c>
      <c r="GV19" s="480">
        <f>SUMPRODUCT(('Prenatal Care'!$AA$7:$AA$762=GV$6)*('Prenatal Care'!$C$7:$C$762&gt;=Lists!$AE13)*('Prenatal Care'!$C$7:$C$762&lt;=Lists!$AF13))</f>
        <v>0</v>
      </c>
      <c r="GW19" s="480">
        <f>SUMPRODUCT(('Prenatal Care'!$AA$7:$AA$762=GW$6)*('Prenatal Care'!$C$7:$C$762&gt;=Lists!$AE13)*('Prenatal Care'!$C$7:$C$762&lt;=Lists!$AF13))</f>
        <v>0</v>
      </c>
      <c r="GX19" s="486">
        <f>SUMPRODUCT(('Prenatal Care'!$AA$7:$AA$762=GX$6)*('Prenatal Care'!$C$7:$C$762&gt;=Lists!$AE13)*('Prenatal Care'!$C$7:$C$762&lt;=Lists!$AF13))</f>
        <v>0</v>
      </c>
      <c r="GY19" s="483">
        <f t="shared" si="25"/>
        <v>0</v>
      </c>
      <c r="GZ19" s="484">
        <f>SUMPRODUCT(('Prenatal Care'!$AB$7:$AB$762=GZ$6)*('Prenatal Care'!$C$7:$C$762&gt;=Lists!$AE13)*('Prenatal Care'!$C$7:$C$762&lt;=Lists!$AF13))</f>
        <v>0</v>
      </c>
      <c r="HA19" s="480">
        <f>SUMPRODUCT(('Prenatal Care'!$AB$7:$AB$762=HA$6)*('Prenatal Care'!$C$7:$C$762&gt;=Lists!$AE13)*('Prenatal Care'!$C$7:$C$762&lt;=Lists!$AF13))</f>
        <v>0</v>
      </c>
      <c r="HB19" s="480">
        <f>SUMPRODUCT(('Prenatal Care'!$AB$7:$AB$762=HB$6)*('Prenatal Care'!$C$7:$C$762&gt;=Lists!$AE13)*('Prenatal Care'!$C$7:$C$762&lt;=Lists!$AF13))</f>
        <v>0</v>
      </c>
      <c r="HC19" s="480">
        <f>SUMPRODUCT(('Prenatal Care'!$AB$7:$AB$762=HC$6)*('Prenatal Care'!$C$7:$C$762&gt;=Lists!$AE13)*('Prenatal Care'!$C$7:$C$762&lt;=Lists!$AF13))</f>
        <v>0</v>
      </c>
      <c r="HD19" s="480">
        <f>SUMPRODUCT(('Prenatal Care'!$AB$7:$AB$762=HD$6)*('Prenatal Care'!$C$7:$C$762&gt;=Lists!$AE13)*('Prenatal Care'!$C$7:$C$762&lt;=Lists!$AF13))</f>
        <v>0</v>
      </c>
      <c r="HE19" s="480">
        <f>SUMPRODUCT(('Prenatal Care'!$AB$7:$AB$762=HE$6)*('Prenatal Care'!$C$7:$C$762&gt;=Lists!$AE13)*('Prenatal Care'!$C$7:$C$762&lt;=Lists!$AF13))</f>
        <v>0</v>
      </c>
      <c r="HF19" s="480">
        <f>SUMPRODUCT(('Prenatal Care'!$AB$7:$AB$762=HF$6)*('Prenatal Care'!$C$7:$C$762&gt;=Lists!$AE13)*('Prenatal Care'!$C$7:$C$762&lt;=Lists!$AF13))</f>
        <v>0</v>
      </c>
      <c r="HG19" s="480">
        <f>SUMPRODUCT(('Prenatal Care'!$AB$7:$AB$762=HG$6)*('Prenatal Care'!$C$7:$C$762&gt;=Lists!$AE13)*('Prenatal Care'!$C$7:$C$762&lt;=Lists!$AF13))</f>
        <v>0</v>
      </c>
      <c r="HH19" s="480">
        <f>SUMPRODUCT(('Prenatal Care'!$AB$7:$AB$762=HH$6)*('Prenatal Care'!$C$7:$C$762&gt;=Lists!$AE13)*('Prenatal Care'!$C$7:$C$762&lt;=Lists!$AF13))</f>
        <v>0</v>
      </c>
      <c r="HI19" s="480">
        <f>SUMPRODUCT(('Prenatal Care'!$AB$7:$AB$762=HI$6)*('Prenatal Care'!$C$7:$C$762&gt;=Lists!$AE13)*('Prenatal Care'!$C$7:$C$762&lt;=Lists!$AF13))</f>
        <v>0</v>
      </c>
      <c r="HJ19" s="480">
        <f>SUMPRODUCT(('Prenatal Care'!$AB$7:$AB$762=HJ$6)*('Prenatal Care'!$C$7:$C$762&gt;=Lists!$AE13)*('Prenatal Care'!$C$7:$C$762&lt;=Lists!$AF13))</f>
        <v>0</v>
      </c>
      <c r="HK19" s="480">
        <f>SUMPRODUCT(('Prenatal Care'!$AB$7:$AB$762=HK$6)*('Prenatal Care'!$C$7:$C$762&gt;=Lists!$AE13)*('Prenatal Care'!$C$7:$C$762&lt;=Lists!$AF13))</f>
        <v>0</v>
      </c>
      <c r="HL19" s="486">
        <f>SUMPRODUCT(('Prenatal Care'!$AB$7:$AB$762=HL$6)*('Prenatal Care'!$C$7:$C$762&gt;=Lists!$AE13)*('Prenatal Care'!$C$7:$C$762&lt;=Lists!$AF13))</f>
        <v>0</v>
      </c>
      <c r="HM19" s="483">
        <f t="shared" si="26"/>
        <v>0</v>
      </c>
      <c r="HN19" s="514">
        <f>SUMPRODUCT(('Prenatal Care'!$AC$7:$AC$762=HN$6)*('Prenatal Care'!$C$7:$C$762&gt;=Lists!$AE13)*('Prenatal Care'!$C$7:$C$762&lt;=Lists!$AF13))</f>
        <v>0</v>
      </c>
      <c r="HO19" s="515">
        <f>SUMPRODUCT(('Prenatal Care'!$AC$7:$AC$762=HO$6)*('Prenatal Care'!$C$7:$C$762&gt;=Lists!$AE13)*('Prenatal Care'!$C$7:$C$762&lt;=Lists!$AF13))</f>
        <v>0</v>
      </c>
      <c r="HP19" s="515">
        <f>SUMPRODUCT(('Prenatal Care'!$AC$7:$AC$762=HP$6)*('Prenatal Care'!$C$7:$C$762&gt;=Lists!$AE13)*('Prenatal Care'!$C$7:$C$762&lt;=Lists!$AF13))</f>
        <v>0</v>
      </c>
      <c r="HQ19" s="515">
        <f>SUMPRODUCT(('Prenatal Care'!$AC$7:$AC$762=HQ$6)*('Prenatal Care'!$C$7:$C$762&gt;=Lists!$AE13)*('Prenatal Care'!$C$7:$C$762&lt;=Lists!$AF13))</f>
        <v>0</v>
      </c>
      <c r="HR19" s="515">
        <f>SUMPRODUCT(('Prenatal Care'!$AC$7:$AC$762=HR$6)*('Prenatal Care'!$C$7:$C$762&gt;=Lists!$AE13)*('Prenatal Care'!$C$7:$C$762&lt;=Lists!$AF13))</f>
        <v>0</v>
      </c>
      <c r="HS19" s="515">
        <f>SUMPRODUCT(('Prenatal Care'!$AC$7:$AC$762=HS$6)*('Prenatal Care'!$C$7:$C$762&gt;=Lists!$AE13)*('Prenatal Care'!$C$7:$C$762&lt;=Lists!$AF13))</f>
        <v>0</v>
      </c>
      <c r="HT19" s="515">
        <f>SUMPRODUCT(('Prenatal Care'!$AC$7:$AC$762=HT$6)*('Prenatal Care'!$C$7:$C$762&gt;=Lists!$AE13)*('Prenatal Care'!$C$7:$C$762&lt;=Lists!$AF13))</f>
        <v>0</v>
      </c>
      <c r="HU19" s="515">
        <f>SUMPRODUCT(('Prenatal Care'!$AC$7:$AC$762=HU$6)*('Prenatal Care'!$C$7:$C$762&gt;=Lists!$AE13)*('Prenatal Care'!$C$7:$C$762&lt;=Lists!$AF13))</f>
        <v>0</v>
      </c>
      <c r="HV19" s="515">
        <f>SUMPRODUCT(('Prenatal Care'!$AC$7:$AC$762=HV$6)*('Prenatal Care'!$C$7:$C$762&gt;=Lists!$AE13)*('Prenatal Care'!$C$7:$C$762&lt;=Lists!$AF13))</f>
        <v>0</v>
      </c>
      <c r="HW19" s="515">
        <f>SUMPRODUCT(('Prenatal Care'!$AC$7:$AC$762=HW$6)*('Prenatal Care'!$C$7:$C$762&gt;=Lists!$AE13)*('Prenatal Care'!$C$7:$C$762&lt;=Lists!$AF13))</f>
        <v>0</v>
      </c>
      <c r="HX19" s="515">
        <f>SUMPRODUCT(('Prenatal Care'!$AC$7:$AC$762=HX$6)*('Prenatal Care'!$C$7:$C$762&gt;=Lists!$AE13)*('Prenatal Care'!$C$7:$C$762&lt;=Lists!$AF13))</f>
        <v>0</v>
      </c>
      <c r="HY19" s="515">
        <f>SUMPRODUCT(('Prenatal Care'!$AC$7:$AC$762=HY$6)*('Prenatal Care'!$C$7:$C$762&gt;=Lists!$AE13)*('Prenatal Care'!$C$7:$C$762&lt;=Lists!$AF13))</f>
        <v>0</v>
      </c>
      <c r="HZ19" s="516">
        <f>SUMPRODUCT(('Prenatal Care'!$AC$7:$AC$762=HZ$6)*('Prenatal Care'!$C$7:$C$762&gt;=Lists!$AE13)*('Prenatal Care'!$C$7:$C$762&lt;=Lists!$AF13))</f>
        <v>0</v>
      </c>
      <c r="IA19" s="483">
        <f t="shared" si="2"/>
        <v>0</v>
      </c>
      <c r="IB19" s="479">
        <f>SUMPRODUCT(('Prenatal Care'!$AD$7:$AD$762=IB$6)*('Prenatal Care'!$C$7:$C$762&gt;=Lists!$AE13)*('Prenatal Care'!$C$7:$C$762&lt;=Lists!$AF13))</f>
        <v>0</v>
      </c>
      <c r="IC19" s="484">
        <f>SUMPRODUCT(('Prenatal Care'!$AD$7:$AD$762=IC$6)*('Prenatal Care'!$C$7:$C$762&gt;=Lists!$AE13)*('Prenatal Care'!$C$7:$C$762&lt;=Lists!$AF13))</f>
        <v>0</v>
      </c>
      <c r="ID19" s="480">
        <f>SUMPRODUCT(('Prenatal Care'!$AD$7:$AD$762=ID$6)*('Prenatal Care'!$C$7:$C$762&gt;=Lists!$AE13)*('Prenatal Care'!$C$7:$C$762&lt;=Lists!$AF13))</f>
        <v>0</v>
      </c>
      <c r="IE19" s="480">
        <f>SUMPRODUCT(('Prenatal Care'!$AD$7:$AD$762=IE$6)*('Prenatal Care'!$C$7:$C$762&gt;=Lists!$AE13)*('Prenatal Care'!$C$7:$C$762&lt;=Lists!$AF13))</f>
        <v>0</v>
      </c>
      <c r="IF19" s="480">
        <f>SUMPRODUCT(('Prenatal Care'!$AD$7:$AD$762=IF$6)*('Prenatal Care'!$C$7:$C$762&gt;=Lists!$AE13)*('Prenatal Care'!$C$7:$C$762&lt;=Lists!$AF13))</f>
        <v>0</v>
      </c>
      <c r="IG19" s="483">
        <f t="shared" si="3"/>
        <v>0</v>
      </c>
      <c r="IH19" s="464">
        <f>SUMPRODUCT(('Prenatal Care'!$AE$7:$AE$762=IH$6)*('Prenatal Care'!$C$7:$C$762&gt;=Lists!$AE13)*('Prenatal Care'!$C$7:$C$762&lt;=Lists!$AF13))</f>
        <v>0</v>
      </c>
      <c r="II19" s="464">
        <f>SUMPRODUCT(('Prenatal Care'!$AE$7:$AE$762=II$6)*('Prenatal Care'!$C$7:$C$762&gt;=Lists!$AE13)*('Prenatal Care'!$C$7:$C$762&lt;=Lists!$AF13))</f>
        <v>0</v>
      </c>
      <c r="IJ19" s="464">
        <f>SUMPRODUCT(('Prenatal Care'!$AE$7:$AE$762=IJ$6)*('Prenatal Care'!$C$7:$C$762&gt;=Lists!$AE13)*('Prenatal Care'!$C$7:$C$762&lt;=Lists!$AF13))</f>
        <v>0</v>
      </c>
      <c r="IK19" s="464">
        <f>SUMPRODUCT(('Prenatal Care'!$AE$7:$AE$762=IK$6)*('Prenatal Care'!$C$7:$C$762&gt;=Lists!$AE13)*('Prenatal Care'!$C$7:$C$762&lt;=Lists!$AF13))</f>
        <v>0</v>
      </c>
      <c r="IL19" s="464">
        <f>SUMPRODUCT(('Prenatal Care'!$AE$7:$AE$762=IL$6)*('Prenatal Care'!$C$7:$C$762&gt;=Lists!$AE13)*('Prenatal Care'!$C$7:$C$762&lt;=Lists!$AF13))</f>
        <v>0</v>
      </c>
      <c r="IM19" s="464">
        <f>SUMPRODUCT(('Prenatal Care'!$AE$7:$AE$762=IM$6)*('Prenatal Care'!$C$7:$C$762&gt;=Lists!$AE13)*('Prenatal Care'!$C$7:$C$762&lt;=Lists!$AF13))</f>
        <v>0</v>
      </c>
      <c r="IN19" s="464">
        <f>SUMPRODUCT(('Prenatal Care'!$AE$7:$AE$762=IN$6)*('Prenatal Care'!$C$7:$C$762&gt;=Lists!$AE13)*('Prenatal Care'!$C$7:$C$762&lt;=Lists!$AF13))</f>
        <v>0</v>
      </c>
      <c r="IO19" s="464">
        <f>SUMPRODUCT(('Prenatal Care'!$AE$7:$AE$762=IO$6)*('Prenatal Care'!$C$7:$C$762&gt;=Lists!$AE13)*('Prenatal Care'!$C$7:$C$762&lt;=Lists!$AF13))</f>
        <v>0</v>
      </c>
      <c r="IP19" s="464">
        <f>SUMPRODUCT(('Prenatal Care'!$AE$7:$AE$762=IP$6)*('Prenatal Care'!$C$7:$C$762&gt;=Lists!$AE13)*('Prenatal Care'!$C$7:$C$762&lt;=Lists!$AF13))</f>
        <v>0</v>
      </c>
      <c r="IQ19" s="464">
        <f>SUMPRODUCT(('Prenatal Care'!$AE$7:$AE$762=IQ$6)*('Prenatal Care'!$C$7:$C$762&gt;=Lists!$AE13)*('Prenatal Care'!$C$7:$C$762&lt;=Lists!$AF13))</f>
        <v>0</v>
      </c>
      <c r="IR19" s="464">
        <f>SUMPRODUCT(('Prenatal Care'!$AE$7:$AE$762=IR$6)*('Prenatal Care'!$C$7:$C$762&gt;=Lists!$AE13)*('Prenatal Care'!$C$7:$C$762&lt;=Lists!$AF13))</f>
        <v>0</v>
      </c>
      <c r="IS19" s="464">
        <f>SUMPRODUCT(('Prenatal Care'!$AE$7:$AE$762=IS$6)*('Prenatal Care'!$C$7:$C$762&gt;=Lists!$AE13)*('Prenatal Care'!$C$7:$C$762&lt;=Lists!$AF13))</f>
        <v>0</v>
      </c>
      <c r="IT19" s="517">
        <f>SUMPRODUCT(('Prenatal Care'!$AE$7:$AE$762=IT$6)*('Prenatal Care'!$C$7:$C$762&gt;=Lists!$AE13)*('Prenatal Care'!$C$7:$C$762&lt;=Lists!$AF13))</f>
        <v>0</v>
      </c>
      <c r="IU19" s="483">
        <f t="shared" si="27"/>
        <v>0</v>
      </c>
      <c r="IV19" s="484">
        <f>SUMPRODUCT(('Prenatal Care'!$AF$7:$AF$762=IV$6)*('Prenatal Care'!$C$7:$C$762&gt;=Lists!$AE13)*('Prenatal Care'!$C$7:$C$762&lt;=Lists!$AF13))</f>
        <v>0</v>
      </c>
      <c r="IW19" s="480">
        <f>SUMPRODUCT(('Prenatal Care'!$AF$7:$AF$762=IW$6)*('Prenatal Care'!$C$7:$C$762&gt;=Lists!$AE13)*('Prenatal Care'!$C$7:$C$762&lt;=Lists!$AF13))</f>
        <v>0</v>
      </c>
      <c r="IX19" s="480">
        <f>SUMPRODUCT(('Prenatal Care'!$AF$7:$AF$762=IX$6)*('Prenatal Care'!$C$7:$C$762&gt;=Lists!$AE13)*('Prenatal Care'!$C$7:$C$762&lt;=Lists!$AF13))</f>
        <v>0</v>
      </c>
      <c r="IY19" s="480">
        <f>SUMPRODUCT(('Prenatal Care'!$AF$7:$AF$762=IY$6)*('Prenatal Care'!$C$7:$C$762&gt;=Lists!$AE13)*('Prenatal Care'!$C$7:$C$762&lt;=Lists!$AF13))</f>
        <v>0</v>
      </c>
      <c r="IZ19" s="480">
        <f>SUMPRODUCT(('Prenatal Care'!$AF$7:$AF$762=IZ$6)*('Prenatal Care'!$C$7:$C$762&gt;=Lists!$AE13)*('Prenatal Care'!$C$7:$C$762&lt;=Lists!$AF13))</f>
        <v>0</v>
      </c>
      <c r="JA19" s="480">
        <f>SUMPRODUCT(('Prenatal Care'!$AF$7:$AF$762=JA$6)*('Prenatal Care'!$C$7:$C$762&gt;=Lists!$AE13)*('Prenatal Care'!$C$7:$C$762&lt;=Lists!$AF13))</f>
        <v>0</v>
      </c>
      <c r="JB19" s="480">
        <f>SUMPRODUCT(('Prenatal Care'!$AF$7:$AF$762=JB$6)*('Prenatal Care'!$C$7:$C$762&gt;=Lists!$AE13)*('Prenatal Care'!$C$7:$C$762&lt;=Lists!$AF13))</f>
        <v>0</v>
      </c>
      <c r="JC19" s="480">
        <f>SUMPRODUCT(('Prenatal Care'!$AF$7:$AF$762=JC$6)*('Prenatal Care'!$C$7:$C$762&gt;=Lists!$AE13)*('Prenatal Care'!$C$7:$C$762&lt;=Lists!$AF13))</f>
        <v>0</v>
      </c>
      <c r="JD19" s="480">
        <f>SUMPRODUCT(('Prenatal Care'!$AF$7:$AF$762=JD$6)*('Prenatal Care'!$C$7:$C$762&gt;=Lists!$AE13)*('Prenatal Care'!$C$7:$C$762&lt;=Lists!$AF13))</f>
        <v>0</v>
      </c>
      <c r="JE19" s="480">
        <f>SUMPRODUCT(('Prenatal Care'!$AF$7:$AF$762=JE$6)*('Prenatal Care'!$C$7:$C$762&gt;=Lists!$AE13)*('Prenatal Care'!$C$7:$C$762&lt;=Lists!$AF13))</f>
        <v>0</v>
      </c>
      <c r="JF19" s="480">
        <f>SUMPRODUCT(('Prenatal Care'!$AF$7:$AF$762=JF$6)*('Prenatal Care'!$C$7:$C$762&gt;=Lists!$AE13)*('Prenatal Care'!$C$7:$C$762&lt;=Lists!$AF13))</f>
        <v>0</v>
      </c>
      <c r="JG19" s="480">
        <f>SUMPRODUCT(('Prenatal Care'!$AF$7:$AF$762=JG$6)*('Prenatal Care'!$C$7:$C$762&gt;=Lists!$AE13)*('Prenatal Care'!$C$7:$C$762&lt;=Lists!$AF13))</f>
        <v>0</v>
      </c>
      <c r="JH19" s="480">
        <f>SUMPRODUCT(('Prenatal Care'!$AF$7:$AF$762=JH$6)*('Prenatal Care'!$C$7:$C$762&gt;=Lists!$AE13)*('Prenatal Care'!$C$7:$C$762&lt;=Lists!$AF13))</f>
        <v>0</v>
      </c>
      <c r="JI19" s="480">
        <f>SUMPRODUCT(('Prenatal Care'!$AF$7:$AF$762=JI$6)*('Prenatal Care'!$C$7:$C$762&gt;=Lists!$AE13)*('Prenatal Care'!$C$7:$C$762&lt;=Lists!$AF13))</f>
        <v>0</v>
      </c>
      <c r="JJ19" s="480">
        <f>SUMPRODUCT(('Prenatal Care'!$AF$7:$AF$762=JJ$6)*('Prenatal Care'!$C$7:$C$762&gt;=Lists!$AE13)*('Prenatal Care'!$C$7:$C$762&lt;=Lists!$AF13))</f>
        <v>0</v>
      </c>
      <c r="JK19" s="480">
        <f>SUMPRODUCT(('Prenatal Care'!$AF$7:$AF$762=JK$6)*('Prenatal Care'!$C$7:$C$762&gt;=Lists!$AE13)*('Prenatal Care'!$C$7:$C$762&lt;=Lists!$AF13))</f>
        <v>0</v>
      </c>
      <c r="JL19" s="480">
        <f>SUMPRODUCT(('Prenatal Care'!$AF$7:$AF$762=JL$6)*('Prenatal Care'!$C$7:$C$762&gt;=Lists!$AE13)*('Prenatal Care'!$C$7:$C$762&lt;=Lists!$AF13))</f>
        <v>0</v>
      </c>
      <c r="JM19" s="480">
        <f>SUMPRODUCT(('Prenatal Care'!$AF$7:$AF$762=JM$6)*('Prenatal Care'!$C$7:$C$762&gt;=Lists!$AE13)*('Prenatal Care'!$C$7:$C$762&lt;=Lists!$AF13))</f>
        <v>0</v>
      </c>
      <c r="JN19" s="480">
        <f>SUMPRODUCT(('Prenatal Care'!$AF$7:$AF$762=JN$6)*('Prenatal Care'!$C$7:$C$762&gt;=Lists!$AE13)*('Prenatal Care'!$C$7:$C$762&lt;=Lists!$AF13))</f>
        <v>0</v>
      </c>
      <c r="JO19" s="480">
        <f>SUMPRODUCT(('Prenatal Care'!$AF$7:$AF$762=JO$6)*('Prenatal Care'!$C$7:$C$762&gt;=Lists!$AE13)*('Prenatal Care'!$C$7:$C$762&lt;=Lists!$AF13))</f>
        <v>0</v>
      </c>
      <c r="JP19" s="480">
        <f>SUMPRODUCT(('Prenatal Care'!$AF$7:$AF$762=JP$6)*('Prenatal Care'!$C$7:$C$762&gt;=Lists!$AE13)*('Prenatal Care'!$C$7:$C$762&lt;=Lists!$AF13))</f>
        <v>0</v>
      </c>
      <c r="JQ19" s="486">
        <f>SUMPRODUCT(('Prenatal Care'!$AF$7:$AF$762=JQ$6)*('Prenatal Care'!$C$7:$C$762&gt;=Lists!$AE13)*('Prenatal Care'!$C$7:$C$762&lt;=Lists!$AF13))</f>
        <v>0</v>
      </c>
      <c r="JR19" s="483">
        <f t="shared" si="28"/>
        <v>0</v>
      </c>
      <c r="JS19" s="479">
        <f>SUMPRODUCT(('Prenatal Care'!$AH$7:$AH$762=JS$6)*('Prenatal Care'!$C$7:$C$762&gt;=Lists!$AE13)*('Prenatal Care'!$C$7:$C$762&lt;=Lists!$AF13))</f>
        <v>0</v>
      </c>
      <c r="JT19" s="480">
        <f>SUMPRODUCT(('Prenatal Care'!$AH$7:$AH$762=JT$6)*('Prenatal Care'!$C$7:$C$762&gt;=Lists!$AE13)*('Prenatal Care'!$C$7:$C$762&lt;=Lists!$AF13))</f>
        <v>0</v>
      </c>
      <c r="JU19" s="480">
        <f>SUMPRODUCT(('Prenatal Care'!$AH$7:$AH$762=JU$6)*('Prenatal Care'!$C$7:$C$762&gt;=Lists!$AE13)*('Prenatal Care'!$C$7:$C$762&lt;=Lists!$AF13))</f>
        <v>0</v>
      </c>
      <c r="JV19" s="480">
        <f>SUMPRODUCT(('Prenatal Care'!$AH$7:$AH$762=JV$6)*('Prenatal Care'!$C$7:$C$762&gt;=Lists!$AE13)*('Prenatal Care'!$C$7:$C$762&lt;=Lists!$AF13))</f>
        <v>0</v>
      </c>
      <c r="JW19" s="480">
        <f>SUMPRODUCT(('Prenatal Care'!$AH$7:$AH$762=JW$6)*('Prenatal Care'!$C$7:$C$762&gt;=Lists!$AE13)*('Prenatal Care'!$C$7:$C$762&lt;=Lists!$AF13))</f>
        <v>0</v>
      </c>
      <c r="JX19" s="480">
        <f>SUMPRODUCT(('Prenatal Care'!$AH$7:$AH$762=JX$6)*('Prenatal Care'!$C$7:$C$762&gt;=Lists!$AE13)*('Prenatal Care'!$C$7:$C$762&lt;=Lists!$AF13))</f>
        <v>0</v>
      </c>
      <c r="JY19" s="480">
        <f>SUMPRODUCT(('Prenatal Care'!$AH$7:$AH$762=JY$6)*('Prenatal Care'!$C$7:$C$762&gt;=Lists!$AE13)*('Prenatal Care'!$C$7:$C$762&lt;=Lists!$AF13))</f>
        <v>0</v>
      </c>
      <c r="JZ19" s="480">
        <f>SUMPRODUCT(('Prenatal Care'!$AH$7:$AH$762=JZ$6)*('Prenatal Care'!$C$7:$C$762&gt;=Lists!$AE13)*('Prenatal Care'!$C$7:$C$762&lt;=Lists!$AF13))</f>
        <v>0</v>
      </c>
      <c r="KA19" s="480">
        <f>SUMPRODUCT(('Prenatal Care'!$AH$7:$AH$762=KA$6)*('Prenatal Care'!$C$7:$C$762&gt;=Lists!$AE13)*('Prenatal Care'!$C$7:$C$762&lt;=Lists!$AF13))</f>
        <v>0</v>
      </c>
      <c r="KB19" s="480">
        <f>SUMPRODUCT(('Prenatal Care'!$AH$7:$AH$762=KB$6)*('Prenatal Care'!$C$7:$C$762&gt;=Lists!$AE13)*('Prenatal Care'!$C$7:$C$762&lt;=Lists!$AF13))</f>
        <v>0</v>
      </c>
      <c r="KC19" s="486">
        <f>SUMPRODUCT(('Prenatal Care'!$AH$7:$AH$762=KC$6)*('Prenatal Care'!$C$7:$C$762&gt;=Lists!$AE13)*('Prenatal Care'!$C$7:$C$762&lt;=Lists!$AF13))</f>
        <v>0</v>
      </c>
      <c r="KD19" s="483">
        <f t="shared" si="29"/>
        <v>0</v>
      </c>
      <c r="KE19" s="484">
        <f>SUMPRODUCT(('Prenatal Care'!$AI$7:$AI$762=KE$6)*('Prenatal Care'!$C$7:$C$762&gt;=Lists!$AE13)*('Prenatal Care'!$C$7:$C$762&lt;=Lists!$AF13))</f>
        <v>0</v>
      </c>
      <c r="KF19" s="480">
        <f>SUMPRODUCT(('Prenatal Care'!$AI$7:$AI$762=KF$6)*('Prenatal Care'!$C$7:$C$762&gt;=Lists!$AE13)*('Prenatal Care'!$C$7:$C$762&lt;=Lists!$AF13))</f>
        <v>0</v>
      </c>
      <c r="KG19" s="480">
        <f>SUMPRODUCT(('Prenatal Care'!$AI$7:$AI$762=KG$6)*('Prenatal Care'!$C$7:$C$762&gt;=Lists!$AE13)*('Prenatal Care'!$C$7:$C$762&lt;=Lists!$AF13))</f>
        <v>0</v>
      </c>
      <c r="KH19" s="480">
        <f>SUMPRODUCT(('Prenatal Care'!$AI$7:$AI$762=KH$6)*('Prenatal Care'!$C$7:$C$762&gt;=Lists!$AE13)*('Prenatal Care'!$C$7:$C$762&lt;=Lists!$AF13))</f>
        <v>0</v>
      </c>
      <c r="KI19" s="486">
        <f>SUMPRODUCT(('Prenatal Care'!$AI$7:$AI$762=KI$6)*('Prenatal Care'!$C$7:$C$762&gt;=Lists!$AE13)*('Prenatal Care'!$C$7:$C$762&lt;=Lists!$AF13))</f>
        <v>0</v>
      </c>
      <c r="KJ19" s="520">
        <f t="shared" si="5"/>
        <v>0</v>
      </c>
      <c r="KK19" s="518">
        <f t="shared" si="6"/>
        <v>0</v>
      </c>
      <c r="KN19" s="15"/>
      <c r="KO19" s="15"/>
      <c r="KP19" s="15"/>
      <c r="KQ19" s="15"/>
      <c r="KR19" s="15"/>
      <c r="KS19" s="15"/>
      <c r="KT19" s="15"/>
      <c r="KU19" s="16"/>
      <c r="KV19" s="15"/>
      <c r="KW19" s="15"/>
      <c r="KX19" s="15"/>
      <c r="KY19" s="15"/>
      <c r="KZ19" s="15"/>
    </row>
    <row r="20" spans="1:312" ht="21.6" thickTop="1" thickBot="1" x14ac:dyDescent="0.4">
      <c r="A20" s="215" t="s">
        <v>688</v>
      </c>
      <c r="B20" s="442">
        <f t="shared" ref="B20:M20" si="30">SUM(B8:B19)</f>
        <v>0</v>
      </c>
      <c r="C20" s="443">
        <f t="shared" si="30"/>
        <v>0</v>
      </c>
      <c r="D20" s="443">
        <f t="shared" si="30"/>
        <v>0</v>
      </c>
      <c r="E20" s="444">
        <f t="shared" si="30"/>
        <v>0</v>
      </c>
      <c r="F20" s="216">
        <f t="shared" ref="F20" si="31">SUM(F8:F19)</f>
        <v>0</v>
      </c>
      <c r="G20" s="488">
        <f t="shared" si="30"/>
        <v>0</v>
      </c>
      <c r="H20" s="489">
        <f t="shared" si="30"/>
        <v>0</v>
      </c>
      <c r="I20" s="489">
        <f t="shared" si="30"/>
        <v>0</v>
      </c>
      <c r="J20" s="489">
        <f t="shared" si="30"/>
        <v>0</v>
      </c>
      <c r="K20" s="489">
        <f t="shared" si="30"/>
        <v>0</v>
      </c>
      <c r="L20" s="489">
        <f t="shared" si="30"/>
        <v>0</v>
      </c>
      <c r="M20" s="490">
        <f t="shared" si="30"/>
        <v>0</v>
      </c>
      <c r="N20" s="216">
        <f t="shared" ref="N20:BL20" si="32">SUM(N8:N19)</f>
        <v>0</v>
      </c>
      <c r="O20" s="488">
        <f t="shared" si="32"/>
        <v>0</v>
      </c>
      <c r="P20" s="489">
        <f t="shared" si="32"/>
        <v>0</v>
      </c>
      <c r="Q20" s="489">
        <f t="shared" si="32"/>
        <v>0</v>
      </c>
      <c r="R20" s="489">
        <f t="shared" si="32"/>
        <v>0</v>
      </c>
      <c r="S20" s="489">
        <f t="shared" si="32"/>
        <v>0</v>
      </c>
      <c r="T20" s="489">
        <f t="shared" si="32"/>
        <v>0</v>
      </c>
      <c r="U20" s="490">
        <f t="shared" si="32"/>
        <v>0</v>
      </c>
      <c r="V20" s="216">
        <f t="shared" ref="V20" si="33">SUM(V8:V19)</f>
        <v>0</v>
      </c>
      <c r="W20" s="488">
        <f t="shared" si="32"/>
        <v>0</v>
      </c>
      <c r="X20" s="489">
        <f t="shared" si="32"/>
        <v>0</v>
      </c>
      <c r="Y20" s="489">
        <f t="shared" si="32"/>
        <v>0</v>
      </c>
      <c r="Z20" s="489">
        <f t="shared" si="32"/>
        <v>0</v>
      </c>
      <c r="AA20" s="489">
        <f t="shared" si="32"/>
        <v>0</v>
      </c>
      <c r="AB20" s="489">
        <f t="shared" si="32"/>
        <v>0</v>
      </c>
      <c r="AC20" s="216">
        <f t="shared" si="32"/>
        <v>0</v>
      </c>
      <c r="AD20" s="489">
        <f t="shared" si="32"/>
        <v>0</v>
      </c>
      <c r="AE20" s="489">
        <f t="shared" si="32"/>
        <v>0</v>
      </c>
      <c r="AF20" s="489">
        <f t="shared" si="32"/>
        <v>0</v>
      </c>
      <c r="AG20" s="489">
        <f t="shared" si="32"/>
        <v>0</v>
      </c>
      <c r="AH20" s="216">
        <f t="shared" ref="AH20:AL20" si="34">SUM(AH8:AH19)</f>
        <v>0</v>
      </c>
      <c r="AI20" s="489">
        <f t="shared" si="34"/>
        <v>0</v>
      </c>
      <c r="AJ20" s="489">
        <f t="shared" si="34"/>
        <v>0</v>
      </c>
      <c r="AK20" s="489">
        <f t="shared" si="34"/>
        <v>0</v>
      </c>
      <c r="AL20" s="489">
        <f t="shared" si="34"/>
        <v>0</v>
      </c>
      <c r="AM20" s="216">
        <f t="shared" ref="AM20:AR20" si="35">SUM(AM8:AM19)</f>
        <v>0</v>
      </c>
      <c r="AN20" s="489">
        <f t="shared" si="35"/>
        <v>0</v>
      </c>
      <c r="AO20" s="489">
        <f t="shared" si="35"/>
        <v>0</v>
      </c>
      <c r="AP20" s="489">
        <f t="shared" si="35"/>
        <v>0</v>
      </c>
      <c r="AQ20" s="489">
        <f t="shared" si="35"/>
        <v>0</v>
      </c>
      <c r="AR20" s="216">
        <f t="shared" si="35"/>
        <v>0</v>
      </c>
      <c r="AS20" s="489">
        <f t="shared" si="32"/>
        <v>0</v>
      </c>
      <c r="AT20" s="489">
        <f t="shared" si="32"/>
        <v>0</v>
      </c>
      <c r="AU20" s="489">
        <f t="shared" si="32"/>
        <v>0</v>
      </c>
      <c r="AV20" s="492">
        <f t="shared" si="32"/>
        <v>0</v>
      </c>
      <c r="AW20" s="487">
        <f t="shared" si="32"/>
        <v>0</v>
      </c>
      <c r="AX20" s="493">
        <f t="shared" si="32"/>
        <v>0</v>
      </c>
      <c r="AY20" s="489">
        <f t="shared" si="32"/>
        <v>0</v>
      </c>
      <c r="AZ20" s="489">
        <f t="shared" si="32"/>
        <v>0</v>
      </c>
      <c r="BA20" s="489">
        <f t="shared" si="32"/>
        <v>0</v>
      </c>
      <c r="BB20" s="492">
        <f t="shared" si="32"/>
        <v>0</v>
      </c>
      <c r="BC20" s="487">
        <f t="shared" si="32"/>
        <v>0</v>
      </c>
      <c r="BD20" s="493">
        <f t="shared" si="32"/>
        <v>0</v>
      </c>
      <c r="BE20" s="489">
        <f t="shared" si="32"/>
        <v>0</v>
      </c>
      <c r="BF20" s="489">
        <f t="shared" si="32"/>
        <v>0</v>
      </c>
      <c r="BG20" s="489">
        <f t="shared" si="32"/>
        <v>0</v>
      </c>
      <c r="BH20" s="489">
        <f t="shared" si="32"/>
        <v>0</v>
      </c>
      <c r="BI20" s="492">
        <f t="shared" si="32"/>
        <v>0</v>
      </c>
      <c r="BJ20" s="487">
        <f t="shared" si="32"/>
        <v>0</v>
      </c>
      <c r="BK20" s="493">
        <f t="shared" si="32"/>
        <v>0</v>
      </c>
      <c r="BL20" s="489">
        <f t="shared" si="32"/>
        <v>0</v>
      </c>
      <c r="BM20" s="489">
        <f t="shared" ref="BM20:EJ20" si="36">SUM(BM8:BM19)</f>
        <v>0</v>
      </c>
      <c r="BN20" s="489">
        <f t="shared" si="36"/>
        <v>0</v>
      </c>
      <c r="BO20" s="492">
        <f t="shared" si="36"/>
        <v>0</v>
      </c>
      <c r="BP20" s="487">
        <f t="shared" si="36"/>
        <v>0</v>
      </c>
      <c r="BQ20" s="493">
        <f t="shared" si="36"/>
        <v>0</v>
      </c>
      <c r="BR20" s="489">
        <f t="shared" si="36"/>
        <v>0</v>
      </c>
      <c r="BS20" s="489">
        <f t="shared" si="36"/>
        <v>0</v>
      </c>
      <c r="BT20" s="489">
        <f t="shared" si="36"/>
        <v>0</v>
      </c>
      <c r="BU20" s="489">
        <f t="shared" si="36"/>
        <v>0</v>
      </c>
      <c r="BV20" s="492">
        <f t="shared" si="36"/>
        <v>0</v>
      </c>
      <c r="BW20" s="487">
        <f t="shared" si="36"/>
        <v>0</v>
      </c>
      <c r="BX20" s="493">
        <f t="shared" si="36"/>
        <v>0</v>
      </c>
      <c r="BY20" s="489">
        <f t="shared" si="36"/>
        <v>0</v>
      </c>
      <c r="BZ20" s="489">
        <f t="shared" si="36"/>
        <v>0</v>
      </c>
      <c r="CA20" s="489">
        <f t="shared" si="36"/>
        <v>0</v>
      </c>
      <c r="CB20" s="492">
        <f t="shared" si="36"/>
        <v>0</v>
      </c>
      <c r="CC20" s="487">
        <f t="shared" si="36"/>
        <v>0</v>
      </c>
      <c r="CD20" s="493">
        <f t="shared" si="36"/>
        <v>0</v>
      </c>
      <c r="CE20" s="493">
        <f t="shared" si="36"/>
        <v>0</v>
      </c>
      <c r="CF20" s="489">
        <f t="shared" si="36"/>
        <v>0</v>
      </c>
      <c r="CG20" s="489">
        <f t="shared" si="36"/>
        <v>0</v>
      </c>
      <c r="CH20" s="489">
        <f t="shared" si="36"/>
        <v>0</v>
      </c>
      <c r="CI20" s="489">
        <f t="shared" si="36"/>
        <v>0</v>
      </c>
      <c r="CJ20" s="489">
        <f t="shared" si="36"/>
        <v>0</v>
      </c>
      <c r="CK20" s="489">
        <f t="shared" si="36"/>
        <v>0</v>
      </c>
      <c r="CL20" s="489">
        <f t="shared" si="36"/>
        <v>0</v>
      </c>
      <c r="CM20" s="492">
        <f t="shared" si="36"/>
        <v>0</v>
      </c>
      <c r="CN20" s="487">
        <f t="shared" si="36"/>
        <v>0</v>
      </c>
      <c r="CO20" s="493">
        <f t="shared" si="36"/>
        <v>0</v>
      </c>
      <c r="CP20" s="489">
        <f t="shared" si="36"/>
        <v>0</v>
      </c>
      <c r="CQ20" s="492">
        <f t="shared" si="36"/>
        <v>0</v>
      </c>
      <c r="CR20" s="487">
        <f t="shared" si="36"/>
        <v>0</v>
      </c>
      <c r="CS20" s="488">
        <f t="shared" si="36"/>
        <v>0</v>
      </c>
      <c r="CT20" s="489">
        <f t="shared" si="36"/>
        <v>0</v>
      </c>
      <c r="CU20" s="489">
        <f t="shared" si="36"/>
        <v>0</v>
      </c>
      <c r="CV20" s="489">
        <f t="shared" si="36"/>
        <v>0</v>
      </c>
      <c r="CW20" s="489">
        <f t="shared" si="36"/>
        <v>0</v>
      </c>
      <c r="CX20" s="489">
        <f t="shared" si="36"/>
        <v>0</v>
      </c>
      <c r="CY20" s="489">
        <f t="shared" si="36"/>
        <v>0</v>
      </c>
      <c r="CZ20" s="489">
        <f t="shared" si="36"/>
        <v>0</v>
      </c>
      <c r="DA20" s="489">
        <f t="shared" si="36"/>
        <v>0</v>
      </c>
      <c r="DB20" s="490">
        <f t="shared" si="36"/>
        <v>0</v>
      </c>
      <c r="DC20" s="487">
        <f t="shared" si="36"/>
        <v>0</v>
      </c>
      <c r="DD20" s="488">
        <f t="shared" si="36"/>
        <v>0</v>
      </c>
      <c r="DE20" s="489">
        <f t="shared" si="36"/>
        <v>0</v>
      </c>
      <c r="DF20" s="489">
        <f t="shared" si="36"/>
        <v>0</v>
      </c>
      <c r="DG20" s="492">
        <f t="shared" si="36"/>
        <v>0</v>
      </c>
      <c r="DH20" s="487">
        <f t="shared" si="36"/>
        <v>0</v>
      </c>
      <c r="DI20" s="493">
        <f t="shared" si="36"/>
        <v>0</v>
      </c>
      <c r="DJ20" s="489">
        <f t="shared" si="36"/>
        <v>0</v>
      </c>
      <c r="DK20" s="489">
        <f t="shared" si="36"/>
        <v>0</v>
      </c>
      <c r="DL20" s="489">
        <f t="shared" si="36"/>
        <v>0</v>
      </c>
      <c r="DM20" s="489">
        <f t="shared" si="36"/>
        <v>0</v>
      </c>
      <c r="DN20" s="489">
        <f t="shared" si="36"/>
        <v>0</v>
      </c>
      <c r="DO20" s="489">
        <f t="shared" si="36"/>
        <v>0</v>
      </c>
      <c r="DP20" s="489">
        <f t="shared" si="36"/>
        <v>0</v>
      </c>
      <c r="DQ20" s="489">
        <f t="shared" si="36"/>
        <v>0</v>
      </c>
      <c r="DR20" s="489">
        <f t="shared" si="36"/>
        <v>0</v>
      </c>
      <c r="DS20" s="489">
        <f t="shared" si="36"/>
        <v>0</v>
      </c>
      <c r="DT20" s="489">
        <f t="shared" si="36"/>
        <v>0</v>
      </c>
      <c r="DU20" s="489">
        <f t="shared" si="36"/>
        <v>0</v>
      </c>
      <c r="DV20" s="489">
        <f t="shared" si="36"/>
        <v>0</v>
      </c>
      <c r="DW20" s="489">
        <f t="shared" si="36"/>
        <v>0</v>
      </c>
      <c r="DX20" s="489">
        <f t="shared" si="36"/>
        <v>0</v>
      </c>
      <c r="DY20" s="489">
        <f t="shared" si="36"/>
        <v>0</v>
      </c>
      <c r="DZ20" s="489">
        <f t="shared" si="36"/>
        <v>0</v>
      </c>
      <c r="EA20" s="489">
        <f t="shared" si="36"/>
        <v>0</v>
      </c>
      <c r="EB20" s="489">
        <f t="shared" si="36"/>
        <v>0</v>
      </c>
      <c r="EC20" s="489">
        <f t="shared" si="36"/>
        <v>0</v>
      </c>
      <c r="ED20" s="489">
        <f t="shared" si="36"/>
        <v>0</v>
      </c>
      <c r="EE20" s="489">
        <f t="shared" si="36"/>
        <v>0</v>
      </c>
      <c r="EF20" s="489">
        <f t="shared" si="36"/>
        <v>0</v>
      </c>
      <c r="EG20" s="489">
        <f t="shared" si="36"/>
        <v>0</v>
      </c>
      <c r="EH20" s="492">
        <f t="shared" si="36"/>
        <v>0</v>
      </c>
      <c r="EI20" s="487">
        <f t="shared" si="36"/>
        <v>0</v>
      </c>
      <c r="EJ20" s="493">
        <f t="shared" si="36"/>
        <v>0</v>
      </c>
      <c r="EK20" s="489">
        <f t="shared" ref="EK20:GV20" si="37">SUM(EK8:EK19)</f>
        <v>0</v>
      </c>
      <c r="EL20" s="489">
        <f t="shared" si="37"/>
        <v>0</v>
      </c>
      <c r="EM20" s="489">
        <f t="shared" si="37"/>
        <v>0</v>
      </c>
      <c r="EN20" s="489">
        <f t="shared" si="37"/>
        <v>0</v>
      </c>
      <c r="EO20" s="489">
        <f t="shared" si="37"/>
        <v>0</v>
      </c>
      <c r="EP20" s="489">
        <f t="shared" si="37"/>
        <v>0</v>
      </c>
      <c r="EQ20" s="489">
        <f t="shared" si="37"/>
        <v>0</v>
      </c>
      <c r="ER20" s="489">
        <f t="shared" si="37"/>
        <v>0</v>
      </c>
      <c r="ES20" s="489">
        <f t="shared" si="37"/>
        <v>0</v>
      </c>
      <c r="ET20" s="489">
        <f t="shared" si="37"/>
        <v>0</v>
      </c>
      <c r="EU20" s="489">
        <f t="shared" si="37"/>
        <v>0</v>
      </c>
      <c r="EV20" s="489">
        <f t="shared" si="37"/>
        <v>0</v>
      </c>
      <c r="EW20" s="489">
        <f t="shared" si="37"/>
        <v>0</v>
      </c>
      <c r="EX20" s="489">
        <f t="shared" si="37"/>
        <v>0</v>
      </c>
      <c r="EY20" s="489">
        <f t="shared" si="37"/>
        <v>0</v>
      </c>
      <c r="EZ20" s="489">
        <f t="shared" si="37"/>
        <v>0</v>
      </c>
      <c r="FA20" s="489">
        <f t="shared" si="37"/>
        <v>0</v>
      </c>
      <c r="FB20" s="489">
        <f t="shared" si="37"/>
        <v>0</v>
      </c>
      <c r="FC20" s="489">
        <f t="shared" si="37"/>
        <v>0</v>
      </c>
      <c r="FD20" s="489">
        <f t="shared" si="37"/>
        <v>0</v>
      </c>
      <c r="FE20" s="489">
        <f t="shared" si="37"/>
        <v>0</v>
      </c>
      <c r="FF20" s="489">
        <f t="shared" si="37"/>
        <v>0</v>
      </c>
      <c r="FG20" s="489">
        <f t="shared" si="37"/>
        <v>0</v>
      </c>
      <c r="FH20" s="489">
        <f t="shared" si="37"/>
        <v>0</v>
      </c>
      <c r="FI20" s="492">
        <f t="shared" si="37"/>
        <v>0</v>
      </c>
      <c r="FJ20" s="487">
        <f t="shared" si="37"/>
        <v>0</v>
      </c>
      <c r="FK20" s="493">
        <f t="shared" si="37"/>
        <v>0</v>
      </c>
      <c r="FL20" s="489">
        <f t="shared" si="37"/>
        <v>0</v>
      </c>
      <c r="FM20" s="489">
        <f t="shared" si="37"/>
        <v>0</v>
      </c>
      <c r="FN20" s="489">
        <f t="shared" si="37"/>
        <v>0</v>
      </c>
      <c r="FO20" s="489">
        <f t="shared" si="37"/>
        <v>0</v>
      </c>
      <c r="FP20" s="489">
        <f t="shared" si="37"/>
        <v>0</v>
      </c>
      <c r="FQ20" s="489">
        <f t="shared" si="37"/>
        <v>0</v>
      </c>
      <c r="FR20" s="489">
        <f t="shared" si="37"/>
        <v>0</v>
      </c>
      <c r="FS20" s="489">
        <f t="shared" si="37"/>
        <v>0</v>
      </c>
      <c r="FT20" s="489">
        <f t="shared" si="37"/>
        <v>0</v>
      </c>
      <c r="FU20" s="489">
        <f t="shared" si="37"/>
        <v>0</v>
      </c>
      <c r="FV20" s="489">
        <f t="shared" si="37"/>
        <v>0</v>
      </c>
      <c r="FW20" s="489">
        <f t="shared" si="37"/>
        <v>0</v>
      </c>
      <c r="FX20" s="489">
        <f t="shared" si="37"/>
        <v>0</v>
      </c>
      <c r="FY20" s="489">
        <f t="shared" si="37"/>
        <v>0</v>
      </c>
      <c r="FZ20" s="489">
        <f t="shared" si="37"/>
        <v>0</v>
      </c>
      <c r="GA20" s="489">
        <f t="shared" si="37"/>
        <v>0</v>
      </c>
      <c r="GB20" s="489">
        <f t="shared" si="37"/>
        <v>0</v>
      </c>
      <c r="GC20" s="489">
        <f t="shared" si="37"/>
        <v>0</v>
      </c>
      <c r="GD20" s="489">
        <f t="shared" si="37"/>
        <v>0</v>
      </c>
      <c r="GE20" s="489">
        <f t="shared" si="37"/>
        <v>0</v>
      </c>
      <c r="GF20" s="489">
        <f t="shared" si="37"/>
        <v>0</v>
      </c>
      <c r="GG20" s="489">
        <f t="shared" si="37"/>
        <v>0</v>
      </c>
      <c r="GH20" s="489">
        <f t="shared" si="37"/>
        <v>0</v>
      </c>
      <c r="GI20" s="489">
        <f t="shared" si="37"/>
        <v>0</v>
      </c>
      <c r="GJ20" s="492">
        <f t="shared" si="37"/>
        <v>0</v>
      </c>
      <c r="GK20" s="487">
        <f t="shared" si="37"/>
        <v>0</v>
      </c>
      <c r="GL20" s="493">
        <f t="shared" si="37"/>
        <v>0</v>
      </c>
      <c r="GM20" s="493">
        <f t="shared" si="37"/>
        <v>0</v>
      </c>
      <c r="GN20" s="489">
        <f t="shared" si="37"/>
        <v>0</v>
      </c>
      <c r="GO20" s="489">
        <f t="shared" si="37"/>
        <v>0</v>
      </c>
      <c r="GP20" s="489">
        <f t="shared" si="37"/>
        <v>0</v>
      </c>
      <c r="GQ20" s="489">
        <f t="shared" si="37"/>
        <v>0</v>
      </c>
      <c r="GR20" s="489">
        <f t="shared" si="37"/>
        <v>0</v>
      </c>
      <c r="GS20" s="489">
        <f t="shared" si="37"/>
        <v>0</v>
      </c>
      <c r="GT20" s="489">
        <f t="shared" si="37"/>
        <v>0</v>
      </c>
      <c r="GU20" s="489">
        <f t="shared" si="37"/>
        <v>0</v>
      </c>
      <c r="GV20" s="489">
        <f t="shared" si="37"/>
        <v>0</v>
      </c>
      <c r="GW20" s="489">
        <f t="shared" ref="GW20:IO20" si="38">SUM(GW8:GW19)</f>
        <v>0</v>
      </c>
      <c r="GX20" s="492">
        <f t="shared" si="38"/>
        <v>0</v>
      </c>
      <c r="GY20" s="487">
        <f t="shared" si="38"/>
        <v>0</v>
      </c>
      <c r="GZ20" s="493">
        <f t="shared" si="38"/>
        <v>0</v>
      </c>
      <c r="HA20" s="489">
        <f t="shared" si="38"/>
        <v>0</v>
      </c>
      <c r="HB20" s="489">
        <f t="shared" si="38"/>
        <v>0</v>
      </c>
      <c r="HC20" s="489">
        <f t="shared" si="38"/>
        <v>0</v>
      </c>
      <c r="HD20" s="489">
        <f t="shared" si="38"/>
        <v>0</v>
      </c>
      <c r="HE20" s="489">
        <f t="shared" si="38"/>
        <v>0</v>
      </c>
      <c r="HF20" s="489">
        <f t="shared" si="38"/>
        <v>0</v>
      </c>
      <c r="HG20" s="489">
        <f t="shared" si="38"/>
        <v>0</v>
      </c>
      <c r="HH20" s="489">
        <f t="shared" si="38"/>
        <v>0</v>
      </c>
      <c r="HI20" s="489">
        <f t="shared" si="38"/>
        <v>0</v>
      </c>
      <c r="HJ20" s="489">
        <f t="shared" si="38"/>
        <v>0</v>
      </c>
      <c r="HK20" s="489">
        <f t="shared" si="38"/>
        <v>0</v>
      </c>
      <c r="HL20" s="492">
        <f t="shared" si="38"/>
        <v>0</v>
      </c>
      <c r="HM20" s="487">
        <f t="shared" si="38"/>
        <v>0</v>
      </c>
      <c r="HN20" s="493">
        <f t="shared" si="38"/>
        <v>0</v>
      </c>
      <c r="HO20" s="493">
        <f t="shared" si="38"/>
        <v>0</v>
      </c>
      <c r="HP20" s="489">
        <f t="shared" si="38"/>
        <v>0</v>
      </c>
      <c r="HQ20" s="489">
        <f t="shared" si="38"/>
        <v>0</v>
      </c>
      <c r="HR20" s="489">
        <f t="shared" si="38"/>
        <v>0</v>
      </c>
      <c r="HS20" s="489">
        <f t="shared" si="38"/>
        <v>0</v>
      </c>
      <c r="HT20" s="489">
        <f t="shared" si="38"/>
        <v>0</v>
      </c>
      <c r="HU20" s="489">
        <f t="shared" si="38"/>
        <v>0</v>
      </c>
      <c r="HV20" s="489">
        <f t="shared" si="38"/>
        <v>0</v>
      </c>
      <c r="HW20" s="489">
        <f t="shared" si="38"/>
        <v>0</v>
      </c>
      <c r="HX20" s="489">
        <f t="shared" si="38"/>
        <v>0</v>
      </c>
      <c r="HY20" s="489">
        <f t="shared" si="38"/>
        <v>0</v>
      </c>
      <c r="HZ20" s="492">
        <f t="shared" si="38"/>
        <v>0</v>
      </c>
      <c r="IA20" s="487">
        <f t="shared" si="38"/>
        <v>0</v>
      </c>
      <c r="IB20" s="493">
        <f t="shared" si="38"/>
        <v>0</v>
      </c>
      <c r="IC20" s="493">
        <f t="shared" si="38"/>
        <v>0</v>
      </c>
      <c r="ID20" s="489">
        <f t="shared" si="38"/>
        <v>0</v>
      </c>
      <c r="IE20" s="489">
        <f t="shared" si="38"/>
        <v>0</v>
      </c>
      <c r="IF20" s="489">
        <f t="shared" si="38"/>
        <v>0</v>
      </c>
      <c r="IG20" s="487">
        <f t="shared" si="38"/>
        <v>0</v>
      </c>
      <c r="IH20" s="493">
        <f t="shared" si="38"/>
        <v>0</v>
      </c>
      <c r="II20" s="493">
        <f t="shared" si="38"/>
        <v>0</v>
      </c>
      <c r="IJ20" s="493">
        <f t="shared" si="38"/>
        <v>0</v>
      </c>
      <c r="IK20" s="489">
        <f t="shared" si="38"/>
        <v>0</v>
      </c>
      <c r="IL20" s="489">
        <f t="shared" si="38"/>
        <v>0</v>
      </c>
      <c r="IM20" s="489">
        <f t="shared" si="38"/>
        <v>0</v>
      </c>
      <c r="IN20" s="489">
        <f t="shared" si="38"/>
        <v>0</v>
      </c>
      <c r="IO20" s="489">
        <f t="shared" si="38"/>
        <v>0</v>
      </c>
      <c r="IP20" s="489">
        <f t="shared" ref="IP20:KJ20" si="39">SUM(IP8:IP19)</f>
        <v>0</v>
      </c>
      <c r="IQ20" s="489">
        <f t="shared" si="39"/>
        <v>0</v>
      </c>
      <c r="IR20" s="489">
        <f t="shared" si="39"/>
        <v>0</v>
      </c>
      <c r="IS20" s="489">
        <f t="shared" si="39"/>
        <v>0</v>
      </c>
      <c r="IT20" s="492">
        <f>SUM(IT8:IT19)</f>
        <v>0</v>
      </c>
      <c r="IU20" s="487">
        <f t="shared" si="39"/>
        <v>0</v>
      </c>
      <c r="IV20" s="493">
        <f t="shared" si="39"/>
        <v>0</v>
      </c>
      <c r="IW20" s="489">
        <f t="shared" si="39"/>
        <v>0</v>
      </c>
      <c r="IX20" s="489">
        <f t="shared" si="39"/>
        <v>0</v>
      </c>
      <c r="IY20" s="489">
        <f t="shared" si="39"/>
        <v>0</v>
      </c>
      <c r="IZ20" s="489">
        <f t="shared" si="39"/>
        <v>0</v>
      </c>
      <c r="JA20" s="489">
        <f t="shared" si="39"/>
        <v>0</v>
      </c>
      <c r="JB20" s="489">
        <f t="shared" si="39"/>
        <v>0</v>
      </c>
      <c r="JC20" s="489">
        <f t="shared" si="39"/>
        <v>0</v>
      </c>
      <c r="JD20" s="489">
        <f t="shared" si="39"/>
        <v>0</v>
      </c>
      <c r="JE20" s="489">
        <f t="shared" si="39"/>
        <v>0</v>
      </c>
      <c r="JF20" s="489">
        <f t="shared" si="39"/>
        <v>0</v>
      </c>
      <c r="JG20" s="489">
        <f t="shared" si="39"/>
        <v>0</v>
      </c>
      <c r="JH20" s="489">
        <f t="shared" si="39"/>
        <v>0</v>
      </c>
      <c r="JI20" s="489">
        <f t="shared" si="39"/>
        <v>0</v>
      </c>
      <c r="JJ20" s="489">
        <f t="shared" si="39"/>
        <v>0</v>
      </c>
      <c r="JK20" s="489">
        <f t="shared" si="39"/>
        <v>0</v>
      </c>
      <c r="JL20" s="489">
        <f t="shared" si="39"/>
        <v>0</v>
      </c>
      <c r="JM20" s="489">
        <f t="shared" si="39"/>
        <v>0</v>
      </c>
      <c r="JN20" s="489">
        <f t="shared" si="39"/>
        <v>0</v>
      </c>
      <c r="JO20" s="489">
        <f t="shared" si="39"/>
        <v>0</v>
      </c>
      <c r="JP20" s="489">
        <f t="shared" si="39"/>
        <v>0</v>
      </c>
      <c r="JQ20" s="492">
        <f t="shared" si="39"/>
        <v>0</v>
      </c>
      <c r="JR20" s="487">
        <f t="shared" si="39"/>
        <v>0</v>
      </c>
      <c r="JS20" s="489">
        <f t="shared" si="39"/>
        <v>0</v>
      </c>
      <c r="JT20" s="489">
        <f t="shared" si="39"/>
        <v>0</v>
      </c>
      <c r="JU20" s="489">
        <f t="shared" si="39"/>
        <v>0</v>
      </c>
      <c r="JV20" s="489">
        <f t="shared" si="39"/>
        <v>0</v>
      </c>
      <c r="JW20" s="489">
        <f t="shared" si="39"/>
        <v>0</v>
      </c>
      <c r="JX20" s="489">
        <f t="shared" si="39"/>
        <v>0</v>
      </c>
      <c r="JY20" s="489">
        <f t="shared" si="39"/>
        <v>0</v>
      </c>
      <c r="JZ20" s="489">
        <f t="shared" si="39"/>
        <v>0</v>
      </c>
      <c r="KA20" s="489">
        <f t="shared" si="39"/>
        <v>0</v>
      </c>
      <c r="KB20" s="489">
        <f t="shared" si="39"/>
        <v>0</v>
      </c>
      <c r="KC20" s="492">
        <f t="shared" si="39"/>
        <v>0</v>
      </c>
      <c r="KD20" s="487">
        <f t="shared" si="39"/>
        <v>0</v>
      </c>
      <c r="KE20" s="493">
        <f t="shared" si="39"/>
        <v>0</v>
      </c>
      <c r="KF20" s="489">
        <f t="shared" si="39"/>
        <v>0</v>
      </c>
      <c r="KG20" s="489">
        <f t="shared" si="39"/>
        <v>0</v>
      </c>
      <c r="KH20" s="489">
        <f t="shared" si="39"/>
        <v>0</v>
      </c>
      <c r="KI20" s="492">
        <f t="shared" si="39"/>
        <v>0</v>
      </c>
      <c r="KJ20" s="487">
        <f t="shared" si="39"/>
        <v>0</v>
      </c>
      <c r="KK20" s="563">
        <f>SUM(KK8:KK18)</f>
        <v>0</v>
      </c>
      <c r="KL20" s="366"/>
      <c r="KN20" s="15"/>
      <c r="KO20" s="15"/>
      <c r="KP20" s="15"/>
      <c r="KQ20" s="15"/>
      <c r="KR20" s="15"/>
      <c r="KS20" s="15"/>
      <c r="KT20" s="15"/>
      <c r="KU20" s="16"/>
      <c r="KV20" s="15"/>
      <c r="KW20" s="15"/>
      <c r="KX20" s="15"/>
      <c r="KY20" s="15"/>
      <c r="KZ20" s="15"/>
    </row>
    <row r="21" spans="1:312" ht="20.399999999999999" x14ac:dyDescent="0.3">
      <c r="A21" s="347"/>
      <c r="DX21" s="223"/>
      <c r="DY21" s="223"/>
      <c r="DZ21" s="223"/>
      <c r="EA21" s="223"/>
      <c r="EB21" s="223"/>
      <c r="EC21" s="223"/>
      <c r="ED21" s="223"/>
      <c r="EE21" s="223"/>
      <c r="EF21" s="223"/>
      <c r="EG21" s="223"/>
      <c r="EH21" s="223"/>
      <c r="EI21" s="223"/>
      <c r="EJ21" s="223"/>
      <c r="EK21" s="223"/>
      <c r="EL21" s="223"/>
      <c r="EM21" s="223"/>
      <c r="EN21" s="223"/>
      <c r="EO21" s="223"/>
      <c r="EP21" s="223"/>
      <c r="EQ21" s="223"/>
      <c r="ER21" s="223"/>
      <c r="ES21" s="223"/>
      <c r="ET21" s="223"/>
      <c r="EU21" s="223"/>
      <c r="EV21" s="223"/>
      <c r="EW21" s="223"/>
      <c r="EX21" s="223"/>
      <c r="EY21" s="223"/>
      <c r="EZ21" s="223"/>
      <c r="FA21" s="223"/>
      <c r="FB21" s="223"/>
      <c r="FC21" s="223"/>
      <c r="FD21" s="223"/>
      <c r="FE21" s="223"/>
      <c r="FF21" s="223"/>
      <c r="FG21" s="223"/>
      <c r="FH21" s="223"/>
      <c r="FI21" s="223"/>
      <c r="FJ21" s="223"/>
      <c r="FK21" s="223"/>
      <c r="FL21" s="223"/>
      <c r="FM21" s="223"/>
      <c r="FN21" s="223"/>
      <c r="FO21" s="223"/>
      <c r="FP21" s="223"/>
      <c r="FQ21" s="223"/>
      <c r="FR21" s="223"/>
      <c r="FS21" s="223"/>
      <c r="FT21" s="223"/>
      <c r="FU21" s="223"/>
      <c r="FV21" s="223"/>
      <c r="FW21" s="223"/>
      <c r="FX21" s="223"/>
      <c r="FY21" s="223"/>
      <c r="FZ21" s="223"/>
      <c r="GA21" s="223"/>
      <c r="GB21" s="223"/>
      <c r="GC21" s="223"/>
      <c r="GD21" s="223"/>
      <c r="GE21" s="223"/>
      <c r="GF21" s="223"/>
      <c r="GG21" s="223"/>
      <c r="GH21" s="223"/>
      <c r="GI21" s="223"/>
      <c r="GJ21" s="223"/>
      <c r="GK21" s="223"/>
      <c r="GL21" s="223"/>
      <c r="GM21" s="223"/>
      <c r="GN21" s="223"/>
      <c r="GO21" s="223"/>
      <c r="GP21" s="223"/>
      <c r="GQ21" s="223"/>
      <c r="GR21" s="223"/>
      <c r="KN21" s="15"/>
      <c r="KO21" s="15"/>
      <c r="KP21" s="15"/>
      <c r="KQ21" s="15"/>
      <c r="KR21" s="15"/>
      <c r="KS21" s="15"/>
      <c r="KT21" s="15"/>
      <c r="KU21" s="16"/>
      <c r="KV21" s="15"/>
      <c r="KW21" s="15"/>
      <c r="KX21" s="15"/>
      <c r="KY21" s="15"/>
      <c r="KZ21" s="15"/>
    </row>
    <row r="22" spans="1:312" ht="20.399999999999999" x14ac:dyDescent="0.3">
      <c r="DX22" s="223"/>
      <c r="DY22" s="223"/>
      <c r="DZ22" s="223"/>
      <c r="EA22" s="223"/>
      <c r="EB22" s="223"/>
      <c r="EC22" s="223"/>
      <c r="ED22" s="223"/>
      <c r="EE22" s="223"/>
      <c r="EF22" s="223"/>
      <c r="EG22" s="223"/>
      <c r="EH22" s="223"/>
      <c r="EI22" s="223"/>
      <c r="EJ22" s="223"/>
      <c r="EK22" s="223"/>
      <c r="EL22" s="223"/>
      <c r="EM22" s="223"/>
      <c r="EN22" s="223"/>
      <c r="EO22" s="223"/>
      <c r="EP22" s="223"/>
      <c r="EQ22" s="223"/>
      <c r="ER22" s="223"/>
      <c r="ES22" s="223"/>
      <c r="ET22" s="223"/>
      <c r="EU22" s="223"/>
      <c r="EV22" s="223"/>
      <c r="EW22" s="223"/>
      <c r="EX22" s="223"/>
      <c r="EY22" s="223"/>
      <c r="EZ22" s="223"/>
      <c r="FA22" s="223"/>
      <c r="FB22" s="223"/>
      <c r="FC22" s="223"/>
      <c r="FD22" s="223"/>
      <c r="FE22" s="223"/>
      <c r="FF22" s="223"/>
      <c r="FG22" s="223"/>
      <c r="FH22" s="223"/>
      <c r="FI22" s="223"/>
      <c r="FJ22" s="223"/>
      <c r="FK22" s="223"/>
      <c r="FL22" s="223"/>
      <c r="FM22" s="223"/>
      <c r="FN22" s="223"/>
      <c r="FO22" s="223"/>
      <c r="FP22" s="223"/>
      <c r="FQ22" s="223"/>
      <c r="FR22" s="223"/>
      <c r="FS22" s="223"/>
      <c r="FT22" s="223"/>
      <c r="FU22" s="223"/>
      <c r="FV22" s="223"/>
      <c r="FW22" s="223"/>
      <c r="FX22" s="223"/>
      <c r="FY22" s="223"/>
      <c r="FZ22" s="223"/>
      <c r="GA22" s="223"/>
      <c r="GB22" s="223"/>
      <c r="GC22" s="223"/>
      <c r="GD22" s="223"/>
      <c r="GE22" s="223"/>
      <c r="GF22" s="223"/>
      <c r="GG22" s="223"/>
      <c r="GH22" s="223"/>
      <c r="GI22" s="223"/>
      <c r="GJ22" s="223"/>
      <c r="GK22" s="223"/>
      <c r="GL22" s="223"/>
      <c r="GM22" s="223"/>
      <c r="GN22" s="223"/>
      <c r="GO22" s="223"/>
      <c r="GP22" s="223"/>
      <c r="GQ22" s="223"/>
      <c r="GR22" s="223"/>
      <c r="KN22" s="15"/>
      <c r="KO22" s="15"/>
      <c r="KP22" s="15"/>
      <c r="KQ22" s="15"/>
      <c r="KR22" s="15"/>
      <c r="KS22" s="15"/>
      <c r="KT22" s="15"/>
      <c r="KU22" s="16"/>
      <c r="KV22" s="15"/>
      <c r="KW22" s="15"/>
      <c r="KX22" s="15"/>
      <c r="KY22" s="15"/>
      <c r="KZ22" s="15"/>
    </row>
    <row r="23" spans="1:312" ht="20.399999999999999" x14ac:dyDescent="0.3">
      <c r="KN23" s="15"/>
      <c r="KO23" s="15"/>
      <c r="KP23" s="15"/>
      <c r="KQ23" s="15"/>
      <c r="KR23" s="15"/>
      <c r="KS23" s="15"/>
      <c r="KT23" s="15"/>
      <c r="KU23" s="16"/>
      <c r="KV23" s="15"/>
      <c r="KW23" s="15"/>
      <c r="KX23" s="15"/>
      <c r="KY23" s="15"/>
      <c r="KZ23" s="15"/>
    </row>
    <row r="24" spans="1:312" ht="20.399999999999999" x14ac:dyDescent="0.3">
      <c r="KN24" s="15"/>
      <c r="KO24" s="15"/>
      <c r="KP24" s="15"/>
      <c r="KQ24" s="15"/>
      <c r="KR24" s="15"/>
      <c r="KS24" s="15"/>
      <c r="KT24" s="15"/>
      <c r="KU24" s="16"/>
      <c r="KV24" s="15"/>
      <c r="KW24" s="15"/>
      <c r="KX24" s="15"/>
      <c r="KY24" s="15"/>
      <c r="KZ24" s="15"/>
    </row>
    <row r="25" spans="1:312" ht="20.399999999999999" x14ac:dyDescent="0.3">
      <c r="KN25" s="15"/>
      <c r="KO25" s="15"/>
      <c r="KP25" s="15"/>
      <c r="KQ25" s="15"/>
      <c r="KR25" s="15"/>
      <c r="KS25" s="15"/>
      <c r="KT25" s="15"/>
      <c r="KU25" s="16"/>
      <c r="KV25" s="15"/>
      <c r="KW25" s="15"/>
      <c r="KX25" s="15"/>
      <c r="KY25" s="15"/>
      <c r="KZ25" s="15"/>
    </row>
    <row r="26" spans="1:312" ht="20.399999999999999" x14ac:dyDescent="0.3">
      <c r="KN26" s="15"/>
      <c r="KO26" s="15"/>
      <c r="KP26" s="15"/>
      <c r="KQ26" s="15"/>
      <c r="KR26" s="15"/>
      <c r="KS26" s="15"/>
      <c r="KT26" s="15"/>
      <c r="KU26" s="16"/>
      <c r="KV26" s="15"/>
      <c r="KW26" s="15"/>
      <c r="KX26" s="15"/>
      <c r="KY26" s="15"/>
      <c r="KZ26" s="15"/>
    </row>
    <row r="27" spans="1:312" ht="20.399999999999999" x14ac:dyDescent="0.3">
      <c r="KN27" s="15"/>
      <c r="KO27" s="15"/>
      <c r="KP27" s="15"/>
      <c r="KQ27" s="15"/>
      <c r="KR27" s="15"/>
      <c r="KS27" s="15"/>
      <c r="KT27" s="15"/>
      <c r="KU27" s="16"/>
      <c r="KV27" s="15"/>
      <c r="KW27" s="15"/>
      <c r="KX27" s="15"/>
      <c r="KY27" s="15"/>
      <c r="KZ27" s="15"/>
    </row>
    <row r="28" spans="1:312" ht="20.399999999999999" x14ac:dyDescent="0.3">
      <c r="KN28" s="15"/>
      <c r="KO28" s="15"/>
      <c r="KP28" s="15"/>
      <c r="KQ28" s="15"/>
      <c r="KR28" s="15"/>
      <c r="KS28" s="15"/>
      <c r="KT28" s="15"/>
      <c r="KU28" s="16"/>
      <c r="KV28" s="15"/>
      <c r="KW28" s="15"/>
      <c r="KX28" s="15"/>
      <c r="KY28" s="15"/>
      <c r="KZ28" s="15"/>
    </row>
    <row r="29" spans="1:312" ht="20.399999999999999" x14ac:dyDescent="0.3">
      <c r="KN29" s="15"/>
      <c r="KO29" s="15"/>
      <c r="KP29" s="15"/>
      <c r="KQ29" s="15"/>
      <c r="KR29" s="15"/>
      <c r="KS29" s="15"/>
      <c r="KT29" s="15"/>
      <c r="KU29" s="16"/>
      <c r="KV29" s="15"/>
      <c r="KW29" s="15"/>
      <c r="KX29" s="15"/>
      <c r="KY29" s="15"/>
      <c r="KZ29" s="15"/>
    </row>
    <row r="30" spans="1:312" ht="20.399999999999999" x14ac:dyDescent="0.3">
      <c r="KN30" s="15"/>
      <c r="KO30" s="15"/>
      <c r="KP30" s="15"/>
      <c r="KQ30" s="15"/>
      <c r="KR30" s="15"/>
      <c r="KS30" s="15"/>
      <c r="KT30" s="15"/>
      <c r="KU30" s="16"/>
      <c r="KV30" s="15"/>
      <c r="KW30" s="15"/>
      <c r="KX30" s="15"/>
      <c r="KY30" s="15"/>
      <c r="KZ30" s="15"/>
    </row>
    <row r="31" spans="1:312" ht="20.399999999999999" x14ac:dyDescent="0.3">
      <c r="KN31" s="15"/>
      <c r="KO31" s="15"/>
      <c r="KP31" s="15"/>
      <c r="KQ31" s="15"/>
      <c r="KR31" s="15"/>
      <c r="KS31" s="15"/>
      <c r="KT31" s="15"/>
      <c r="KU31" s="16"/>
      <c r="KV31" s="15"/>
      <c r="KW31" s="15"/>
      <c r="KX31" s="15"/>
      <c r="KY31" s="15"/>
      <c r="KZ31" s="15"/>
    </row>
    <row r="32" spans="1:312" ht="20.399999999999999" x14ac:dyDescent="0.3">
      <c r="KN32" s="15"/>
      <c r="KO32" s="15"/>
      <c r="KP32" s="15"/>
      <c r="KQ32" s="15"/>
      <c r="KR32" s="15"/>
      <c r="KS32" s="15"/>
      <c r="KT32" s="15"/>
      <c r="KU32" s="16"/>
      <c r="KV32" s="15"/>
      <c r="KW32" s="15"/>
      <c r="KX32" s="15"/>
      <c r="KY32" s="15"/>
      <c r="KZ32" s="15"/>
    </row>
    <row r="33" spans="300:312" ht="20.399999999999999" x14ac:dyDescent="0.3">
      <c r="KN33" s="15"/>
      <c r="KO33" s="15"/>
      <c r="KP33" s="15"/>
      <c r="KQ33" s="15"/>
      <c r="KR33" s="15"/>
      <c r="KS33" s="15"/>
      <c r="KT33" s="15"/>
      <c r="KU33" s="16"/>
      <c r="KV33" s="15"/>
      <c r="KW33" s="15"/>
      <c r="KX33" s="15"/>
      <c r="KY33" s="15"/>
      <c r="KZ33" s="15"/>
    </row>
    <row r="34" spans="300:312" ht="20.399999999999999" x14ac:dyDescent="0.3">
      <c r="KN34" s="15"/>
      <c r="KO34" s="15"/>
      <c r="KP34" s="15"/>
      <c r="KQ34" s="15"/>
      <c r="KR34" s="15"/>
      <c r="KS34" s="15"/>
      <c r="KT34" s="15"/>
      <c r="KU34" s="16"/>
      <c r="KV34" s="15"/>
      <c r="KW34" s="15"/>
      <c r="KX34" s="15"/>
      <c r="KY34" s="15"/>
      <c r="KZ34" s="15"/>
    </row>
    <row r="35" spans="300:312" ht="20.399999999999999" x14ac:dyDescent="0.3">
      <c r="KN35" s="15"/>
      <c r="KO35" s="15"/>
      <c r="KP35" s="15"/>
      <c r="KQ35" s="15"/>
      <c r="KR35" s="15"/>
      <c r="KS35" s="15"/>
      <c r="KT35" s="15"/>
      <c r="KU35" s="16"/>
      <c r="KV35" s="15"/>
      <c r="KW35" s="15"/>
      <c r="KX35" s="15"/>
      <c r="KY35" s="15"/>
      <c r="KZ35" s="15"/>
    </row>
    <row r="36" spans="300:312" ht="20.399999999999999" x14ac:dyDescent="0.3">
      <c r="KN36" s="15"/>
      <c r="KO36" s="15"/>
      <c r="KP36" s="15"/>
      <c r="KQ36" s="15"/>
      <c r="KR36" s="15"/>
      <c r="KS36" s="15"/>
      <c r="KT36" s="15"/>
      <c r="KU36" s="16"/>
      <c r="KV36" s="15"/>
      <c r="KW36" s="15"/>
      <c r="KX36" s="15"/>
      <c r="KY36" s="15"/>
      <c r="KZ36" s="15"/>
    </row>
    <row r="37" spans="300:312" ht="20.399999999999999" x14ac:dyDescent="0.3">
      <c r="KN37" s="15"/>
      <c r="KO37" s="15"/>
      <c r="KP37" s="15"/>
      <c r="KQ37" s="15"/>
      <c r="KR37" s="15"/>
      <c r="KS37" s="15"/>
      <c r="KT37" s="15"/>
      <c r="KU37" s="16"/>
      <c r="KV37" s="15"/>
      <c r="KW37" s="15"/>
      <c r="KX37" s="15"/>
      <c r="KY37" s="15"/>
      <c r="KZ37" s="15"/>
    </row>
    <row r="38" spans="300:312" ht="20.399999999999999" x14ac:dyDescent="0.3">
      <c r="KN38" s="15"/>
      <c r="KO38" s="15"/>
      <c r="KP38" s="15"/>
      <c r="KQ38" s="15"/>
      <c r="KR38" s="15"/>
      <c r="KS38" s="15"/>
      <c r="KT38" s="15"/>
      <c r="KU38" s="16"/>
      <c r="KV38" s="15"/>
      <c r="KW38" s="15"/>
      <c r="KX38" s="15"/>
      <c r="KY38" s="15"/>
      <c r="KZ38" s="15"/>
    </row>
    <row r="39" spans="300:312" ht="20.399999999999999" x14ac:dyDescent="0.3">
      <c r="KN39" s="15"/>
      <c r="KO39" s="15"/>
      <c r="KP39" s="15"/>
      <c r="KQ39" s="15"/>
      <c r="KR39" s="15"/>
      <c r="KS39" s="15"/>
      <c r="KT39" s="15"/>
      <c r="KU39" s="16"/>
      <c r="KV39" s="15"/>
      <c r="KW39" s="15"/>
      <c r="KX39" s="15"/>
      <c r="KY39" s="15"/>
      <c r="KZ39" s="15"/>
    </row>
    <row r="40" spans="300:312" ht="20.399999999999999" x14ac:dyDescent="0.3">
      <c r="KN40" s="15"/>
      <c r="KO40" s="15"/>
      <c r="KP40" s="15"/>
      <c r="KQ40" s="15"/>
      <c r="KR40" s="15"/>
      <c r="KS40" s="15"/>
      <c r="KT40" s="15"/>
      <c r="KU40" s="16"/>
      <c r="KV40" s="15"/>
      <c r="KW40" s="15"/>
      <c r="KX40" s="15"/>
      <c r="KY40" s="15"/>
      <c r="KZ40" s="15"/>
    </row>
    <row r="41" spans="300:312" ht="20.399999999999999" x14ac:dyDescent="0.3">
      <c r="KN41" s="15"/>
      <c r="KO41" s="15"/>
      <c r="KP41" s="15"/>
      <c r="KQ41" s="15"/>
      <c r="KR41" s="15"/>
      <c r="KS41" s="15"/>
      <c r="KT41" s="15"/>
      <c r="KU41" s="16"/>
      <c r="KV41" s="15"/>
      <c r="KW41" s="15"/>
      <c r="KX41" s="15"/>
      <c r="KY41" s="15"/>
      <c r="KZ41" s="15"/>
    </row>
    <row r="42" spans="300:312" ht="20.399999999999999" x14ac:dyDescent="0.3">
      <c r="KN42" s="15"/>
      <c r="KO42" s="15"/>
      <c r="KP42" s="15"/>
      <c r="KQ42" s="15"/>
      <c r="KR42" s="15"/>
      <c r="KS42" s="15"/>
      <c r="KT42" s="15"/>
      <c r="KU42" s="16"/>
      <c r="KV42" s="15"/>
      <c r="KW42" s="15"/>
      <c r="KX42" s="15"/>
      <c r="KY42" s="15"/>
      <c r="KZ42" s="15"/>
    </row>
    <row r="43" spans="300:312" ht="20.399999999999999" x14ac:dyDescent="0.3">
      <c r="KN43" s="15"/>
      <c r="KO43" s="15"/>
      <c r="KP43" s="15"/>
      <c r="KQ43" s="15"/>
      <c r="KR43" s="15"/>
      <c r="KS43" s="15"/>
      <c r="KT43" s="15"/>
      <c r="KU43" s="16"/>
      <c r="KV43" s="15"/>
      <c r="KW43" s="15"/>
      <c r="KX43" s="15"/>
      <c r="KY43" s="15"/>
      <c r="KZ43" s="15"/>
    </row>
    <row r="44" spans="300:312" ht="20.399999999999999" x14ac:dyDescent="0.3">
      <c r="KN44" s="15"/>
      <c r="KO44" s="15"/>
      <c r="KP44" s="15"/>
      <c r="KQ44" s="15"/>
      <c r="KR44" s="15"/>
      <c r="KS44" s="15"/>
      <c r="KT44" s="15"/>
      <c r="KU44" s="16"/>
      <c r="KV44" s="15"/>
      <c r="KW44" s="15"/>
      <c r="KX44" s="15"/>
      <c r="KY44" s="15"/>
      <c r="KZ44" s="15"/>
    </row>
    <row r="45" spans="300:312" ht="20.399999999999999" x14ac:dyDescent="0.3">
      <c r="KN45" s="15"/>
      <c r="KO45" s="15"/>
      <c r="KP45" s="15"/>
      <c r="KQ45" s="15"/>
      <c r="KR45" s="15"/>
      <c r="KS45" s="15"/>
      <c r="KT45" s="15"/>
      <c r="KU45" s="16"/>
      <c r="KV45" s="15"/>
      <c r="KW45" s="15"/>
      <c r="KX45" s="15"/>
      <c r="KY45" s="15"/>
      <c r="KZ45" s="15"/>
    </row>
    <row r="46" spans="300:312" ht="20.399999999999999" x14ac:dyDescent="0.3">
      <c r="KN46" s="15"/>
      <c r="KO46" s="15"/>
      <c r="KP46" s="15"/>
      <c r="KQ46" s="15"/>
      <c r="KR46" s="15"/>
      <c r="KS46" s="15"/>
      <c r="KT46" s="15"/>
      <c r="KU46" s="16"/>
      <c r="KV46" s="15"/>
      <c r="KW46" s="15"/>
      <c r="KX46" s="15"/>
      <c r="KY46" s="15"/>
      <c r="KZ46" s="15"/>
    </row>
    <row r="47" spans="300:312" ht="20.399999999999999" x14ac:dyDescent="0.3">
      <c r="KN47" s="15"/>
      <c r="KO47" s="15"/>
      <c r="KP47" s="15"/>
      <c r="KQ47" s="15"/>
      <c r="KR47" s="15"/>
      <c r="KS47" s="15"/>
      <c r="KT47" s="15"/>
      <c r="KU47" s="16"/>
      <c r="KV47" s="15"/>
      <c r="KW47" s="15"/>
      <c r="KX47" s="15"/>
      <c r="KY47" s="15"/>
      <c r="KZ47" s="15"/>
    </row>
    <row r="48" spans="300:312" ht="20.399999999999999" x14ac:dyDescent="0.3">
      <c r="KN48" s="15"/>
      <c r="KO48" s="15"/>
      <c r="KP48" s="15"/>
      <c r="KQ48" s="15"/>
      <c r="KR48" s="15"/>
      <c r="KS48" s="15"/>
      <c r="KT48" s="15"/>
      <c r="KU48" s="16"/>
      <c r="KV48" s="15"/>
      <c r="KW48" s="15"/>
      <c r="KX48" s="15"/>
      <c r="KY48" s="15"/>
      <c r="KZ48" s="15"/>
    </row>
    <row r="49" spans="300:312" ht="20.399999999999999" x14ac:dyDescent="0.3">
      <c r="KN49" s="15"/>
      <c r="KO49" s="15"/>
      <c r="KP49" s="15"/>
      <c r="KQ49" s="15"/>
      <c r="KR49" s="15"/>
      <c r="KS49" s="15"/>
      <c r="KT49" s="15"/>
      <c r="KU49" s="16"/>
      <c r="KV49" s="15"/>
      <c r="KW49" s="15"/>
      <c r="KX49" s="15"/>
      <c r="KY49" s="15"/>
      <c r="KZ49" s="15"/>
    </row>
    <row r="50" spans="300:312" ht="20.399999999999999" x14ac:dyDescent="0.3">
      <c r="KN50" s="15"/>
      <c r="KO50" s="15"/>
      <c r="KP50" s="15"/>
      <c r="KQ50" s="15"/>
      <c r="KR50" s="15"/>
      <c r="KS50" s="15"/>
      <c r="KT50" s="15"/>
      <c r="KU50" s="16"/>
      <c r="KV50" s="15"/>
      <c r="KW50" s="15"/>
      <c r="KX50" s="15"/>
      <c r="KY50" s="15"/>
      <c r="KZ50" s="15"/>
    </row>
    <row r="51" spans="300:312" ht="20.399999999999999" x14ac:dyDescent="0.3">
      <c r="KN51" s="15"/>
      <c r="KO51" s="15"/>
      <c r="KP51" s="15"/>
      <c r="KQ51" s="15"/>
      <c r="KR51" s="15"/>
      <c r="KS51" s="15"/>
      <c r="KT51" s="15"/>
      <c r="KU51" s="16"/>
      <c r="KV51" s="15"/>
      <c r="KW51" s="15"/>
      <c r="KX51" s="15"/>
      <c r="KY51" s="15"/>
      <c r="KZ51" s="15"/>
    </row>
    <row r="52" spans="300:312" ht="20.399999999999999" x14ac:dyDescent="0.3">
      <c r="KN52" s="15"/>
      <c r="KO52" s="15"/>
      <c r="KP52" s="15"/>
      <c r="KQ52" s="15"/>
      <c r="KR52" s="15"/>
      <c r="KS52" s="15"/>
      <c r="KT52" s="15"/>
      <c r="KU52" s="16"/>
      <c r="KV52" s="15"/>
      <c r="KW52" s="15"/>
      <c r="KX52" s="15"/>
      <c r="KY52" s="15"/>
      <c r="KZ52" s="15"/>
    </row>
    <row r="53" spans="300:312" ht="20.399999999999999" x14ac:dyDescent="0.3">
      <c r="KN53" s="15"/>
      <c r="KO53" s="15"/>
      <c r="KP53" s="15"/>
      <c r="KQ53" s="15"/>
      <c r="KR53" s="15"/>
      <c r="KS53" s="15"/>
      <c r="KT53" s="15"/>
      <c r="KU53" s="16"/>
      <c r="KV53" s="15"/>
      <c r="KW53" s="15"/>
      <c r="KX53" s="15"/>
      <c r="KY53" s="15"/>
      <c r="KZ53" s="15"/>
    </row>
    <row r="54" spans="300:312" ht="20.399999999999999" x14ac:dyDescent="0.3">
      <c r="KN54" s="15"/>
      <c r="KO54" s="15"/>
      <c r="KP54" s="15"/>
      <c r="KQ54" s="15"/>
      <c r="KR54" s="15"/>
      <c r="KS54" s="15"/>
      <c r="KT54" s="15"/>
      <c r="KU54" s="16"/>
      <c r="KV54" s="15"/>
      <c r="KW54" s="15"/>
      <c r="KX54" s="15"/>
      <c r="KY54" s="15"/>
      <c r="KZ54" s="15"/>
    </row>
    <row r="55" spans="300:312" ht="20.399999999999999" x14ac:dyDescent="0.3">
      <c r="KN55" s="15"/>
      <c r="KO55" s="15"/>
      <c r="KP55" s="15"/>
      <c r="KQ55" s="15"/>
      <c r="KR55" s="15"/>
      <c r="KS55" s="15"/>
      <c r="KT55" s="15"/>
      <c r="KU55" s="16"/>
      <c r="KV55" s="15"/>
      <c r="KW55" s="15"/>
      <c r="KX55" s="15"/>
      <c r="KY55" s="15"/>
      <c r="KZ55" s="15"/>
    </row>
    <row r="56" spans="300:312" ht="20.399999999999999" x14ac:dyDescent="0.3">
      <c r="KN56" s="15"/>
      <c r="KO56" s="15"/>
      <c r="KP56" s="15"/>
      <c r="KQ56" s="15"/>
      <c r="KR56" s="15"/>
      <c r="KS56" s="15"/>
      <c r="KT56" s="15"/>
      <c r="KU56" s="16"/>
      <c r="KV56" s="15"/>
      <c r="KW56" s="15"/>
      <c r="KX56" s="15"/>
      <c r="KY56" s="15"/>
      <c r="KZ56" s="15"/>
    </row>
    <row r="57" spans="300:312" ht="20.399999999999999" x14ac:dyDescent="0.3">
      <c r="KN57" s="15"/>
      <c r="KO57" s="15"/>
      <c r="KP57" s="15"/>
      <c r="KQ57" s="15"/>
      <c r="KR57" s="15"/>
      <c r="KS57" s="15"/>
      <c r="KT57" s="15"/>
      <c r="KU57" s="16"/>
      <c r="KV57" s="15"/>
      <c r="KW57" s="15"/>
      <c r="KX57" s="15"/>
      <c r="KY57" s="15"/>
      <c r="KZ57" s="15"/>
    </row>
    <row r="58" spans="300:312" ht="20.399999999999999" x14ac:dyDescent="0.3">
      <c r="KN58" s="15"/>
      <c r="KO58" s="15"/>
      <c r="KP58" s="15"/>
      <c r="KQ58" s="15"/>
      <c r="KR58" s="15"/>
      <c r="KS58" s="15"/>
      <c r="KT58" s="15"/>
      <c r="KU58" s="16"/>
      <c r="KV58" s="15"/>
      <c r="KW58" s="15"/>
      <c r="KX58" s="15"/>
      <c r="KY58" s="15"/>
      <c r="KZ58" s="15"/>
    </row>
    <row r="59" spans="300:312" ht="20.399999999999999" x14ac:dyDescent="0.3">
      <c r="KN59" s="15"/>
      <c r="KO59" s="15"/>
      <c r="KP59" s="15"/>
      <c r="KQ59" s="15"/>
      <c r="KR59" s="15"/>
      <c r="KS59" s="15"/>
      <c r="KT59" s="15"/>
      <c r="KU59" s="16"/>
      <c r="KV59" s="15"/>
      <c r="KW59" s="15"/>
      <c r="KX59" s="15"/>
      <c r="KY59" s="15"/>
      <c r="KZ59" s="15"/>
    </row>
    <row r="60" spans="300:312" ht="20.399999999999999" x14ac:dyDescent="0.3">
      <c r="KN60" s="15"/>
      <c r="KO60" s="15"/>
      <c r="KP60" s="15"/>
      <c r="KQ60" s="15"/>
      <c r="KR60" s="15"/>
      <c r="KS60" s="15"/>
      <c r="KT60" s="15"/>
      <c r="KU60" s="16"/>
      <c r="KV60" s="15"/>
      <c r="KW60" s="15"/>
      <c r="KX60" s="15"/>
      <c r="KY60" s="15"/>
      <c r="KZ60" s="15"/>
    </row>
    <row r="61" spans="300:312" ht="20.399999999999999" x14ac:dyDescent="0.3">
      <c r="KN61" s="15"/>
      <c r="KO61" s="15"/>
      <c r="KP61" s="15"/>
      <c r="KQ61" s="15"/>
      <c r="KR61" s="15"/>
      <c r="KS61" s="15"/>
      <c r="KT61" s="15"/>
      <c r="KU61" s="16"/>
      <c r="KV61" s="15"/>
      <c r="KW61" s="15"/>
      <c r="KX61" s="15"/>
      <c r="KY61" s="15"/>
      <c r="KZ61" s="15"/>
    </row>
    <row r="62" spans="300:312" ht="20.399999999999999" x14ac:dyDescent="0.3">
      <c r="KN62" s="15"/>
      <c r="KO62" s="15"/>
      <c r="KP62" s="15"/>
      <c r="KQ62" s="15"/>
      <c r="KR62" s="15"/>
      <c r="KS62" s="15"/>
      <c r="KT62" s="15"/>
      <c r="KU62" s="16"/>
      <c r="KV62" s="15"/>
      <c r="KW62" s="15"/>
      <c r="KX62" s="15"/>
      <c r="KY62" s="15"/>
      <c r="KZ62" s="15"/>
    </row>
    <row r="63" spans="300:312" ht="20.399999999999999" x14ac:dyDescent="0.3">
      <c r="KN63" s="15"/>
      <c r="KO63" s="15"/>
      <c r="KP63" s="15"/>
      <c r="KQ63" s="15"/>
      <c r="KR63" s="15"/>
      <c r="KS63" s="15"/>
      <c r="KT63" s="15"/>
      <c r="KU63" s="16"/>
      <c r="KV63" s="15"/>
      <c r="KW63" s="15"/>
      <c r="KX63" s="15"/>
      <c r="KY63" s="15"/>
      <c r="KZ63" s="15"/>
    </row>
    <row r="64" spans="300:312" ht="20.399999999999999" x14ac:dyDescent="0.3">
      <c r="KN64" s="15"/>
      <c r="KO64" s="15"/>
      <c r="KP64" s="15"/>
      <c r="KQ64" s="15"/>
      <c r="KR64" s="15"/>
      <c r="KS64" s="15"/>
      <c r="KT64" s="15"/>
      <c r="KU64" s="16"/>
      <c r="KV64" s="15"/>
      <c r="KW64" s="15"/>
      <c r="KX64" s="15"/>
      <c r="KY64" s="15"/>
      <c r="KZ64" s="15"/>
    </row>
    <row r="65" spans="300:312" ht="20.399999999999999" x14ac:dyDescent="0.3">
      <c r="KN65" s="15"/>
      <c r="KO65" s="15"/>
      <c r="KP65" s="15"/>
      <c r="KQ65" s="15"/>
      <c r="KR65" s="15"/>
      <c r="KS65" s="15"/>
      <c r="KT65" s="15"/>
      <c r="KU65" s="16"/>
      <c r="KV65" s="15"/>
      <c r="KW65" s="15"/>
      <c r="KX65" s="15"/>
      <c r="KY65" s="15"/>
      <c r="KZ65" s="15"/>
    </row>
    <row r="66" spans="300:312" ht="20.399999999999999" x14ac:dyDescent="0.3">
      <c r="KN66" s="15"/>
      <c r="KO66" s="15"/>
      <c r="KP66" s="15"/>
      <c r="KQ66" s="15"/>
      <c r="KR66" s="15"/>
      <c r="KS66" s="15"/>
      <c r="KT66" s="15"/>
      <c r="KU66" s="16"/>
      <c r="KV66" s="15"/>
      <c r="KW66" s="15"/>
      <c r="KX66" s="15"/>
      <c r="KY66" s="15"/>
      <c r="KZ66" s="15"/>
    </row>
    <row r="67" spans="300:312" ht="20.399999999999999" x14ac:dyDescent="0.3">
      <c r="KN67" s="15"/>
      <c r="KO67" s="15"/>
      <c r="KP67" s="15"/>
      <c r="KQ67" s="15"/>
      <c r="KR67" s="15"/>
      <c r="KS67" s="15"/>
      <c r="KT67" s="15"/>
      <c r="KU67" s="16"/>
      <c r="KV67" s="15"/>
      <c r="KW67" s="15"/>
      <c r="KX67" s="15"/>
      <c r="KY67" s="15"/>
      <c r="KZ67" s="15"/>
    </row>
    <row r="68" spans="300:312" ht="20.399999999999999" x14ac:dyDescent="0.3">
      <c r="KN68" s="15"/>
      <c r="KO68" s="15"/>
      <c r="KP68" s="15"/>
      <c r="KQ68" s="15"/>
      <c r="KR68" s="15"/>
      <c r="KS68" s="15"/>
      <c r="KT68" s="15"/>
      <c r="KU68" s="16"/>
      <c r="KV68" s="15"/>
      <c r="KW68" s="15"/>
      <c r="KX68" s="15"/>
      <c r="KY68" s="15"/>
      <c r="KZ68" s="15"/>
    </row>
    <row r="69" spans="300:312" ht="20.399999999999999" x14ac:dyDescent="0.3">
      <c r="KN69" s="15"/>
      <c r="KO69" s="15"/>
      <c r="KP69" s="15"/>
      <c r="KQ69" s="15"/>
      <c r="KR69" s="15"/>
      <c r="KS69" s="15"/>
      <c r="KT69" s="15"/>
      <c r="KU69" s="16"/>
      <c r="KV69" s="15"/>
      <c r="KW69" s="15"/>
      <c r="KX69" s="15"/>
      <c r="KY69" s="15"/>
      <c r="KZ69" s="15"/>
    </row>
    <row r="70" spans="300:312" ht="20.399999999999999" x14ac:dyDescent="0.3">
      <c r="KN70" s="15"/>
      <c r="KO70" s="15"/>
      <c r="KP70" s="15"/>
      <c r="KQ70" s="15"/>
      <c r="KR70" s="15"/>
      <c r="KS70" s="15"/>
      <c r="KT70" s="15"/>
      <c r="KU70" s="16"/>
      <c r="KV70" s="15"/>
      <c r="KW70" s="15"/>
      <c r="KX70" s="15"/>
      <c r="KY70" s="15"/>
      <c r="KZ70" s="15"/>
    </row>
    <row r="71" spans="300:312" ht="20.399999999999999" x14ac:dyDescent="0.3">
      <c r="KN71" s="15"/>
      <c r="KO71" s="15"/>
      <c r="KP71" s="15"/>
      <c r="KQ71" s="15"/>
      <c r="KR71" s="15"/>
      <c r="KS71" s="15"/>
      <c r="KT71" s="15"/>
      <c r="KU71" s="16"/>
      <c r="KV71" s="15"/>
      <c r="KW71" s="15"/>
      <c r="KX71" s="15"/>
      <c r="KY71" s="15"/>
      <c r="KZ71" s="15"/>
    </row>
    <row r="72" spans="300:312" ht="20.399999999999999" x14ac:dyDescent="0.3">
      <c r="KN72" s="15"/>
      <c r="KO72" s="15"/>
      <c r="KP72" s="15"/>
      <c r="KQ72" s="15"/>
      <c r="KR72" s="15"/>
      <c r="KS72" s="15"/>
      <c r="KT72" s="15"/>
      <c r="KU72" s="16"/>
      <c r="KV72" s="15"/>
      <c r="KW72" s="15"/>
      <c r="KX72" s="15"/>
      <c r="KY72" s="15"/>
      <c r="KZ72" s="15"/>
    </row>
    <row r="73" spans="300:312" ht="20.399999999999999" x14ac:dyDescent="0.3">
      <c r="KN73" s="15"/>
      <c r="KO73" s="15"/>
      <c r="KP73" s="15"/>
      <c r="KQ73" s="15"/>
      <c r="KR73" s="15"/>
      <c r="KS73" s="15"/>
      <c r="KT73" s="15"/>
      <c r="KU73" s="16"/>
      <c r="KV73" s="15"/>
      <c r="KW73" s="15"/>
      <c r="KX73" s="15"/>
      <c r="KY73" s="15"/>
      <c r="KZ73" s="15"/>
    </row>
    <row r="74" spans="300:312" ht="20.399999999999999" x14ac:dyDescent="0.3">
      <c r="KN74" s="15"/>
      <c r="KO74" s="15"/>
      <c r="KP74" s="15"/>
      <c r="KQ74" s="15"/>
      <c r="KR74" s="15"/>
      <c r="KS74" s="15"/>
      <c r="KT74" s="15"/>
      <c r="KU74" s="16"/>
      <c r="KV74" s="15"/>
      <c r="KW74" s="15"/>
      <c r="KX74" s="15"/>
      <c r="KY74" s="15"/>
      <c r="KZ74" s="15"/>
    </row>
    <row r="75" spans="300:312" ht="20.399999999999999" x14ac:dyDescent="0.3">
      <c r="KN75" s="15"/>
      <c r="KO75" s="15"/>
      <c r="KP75" s="15"/>
      <c r="KQ75" s="15"/>
      <c r="KR75" s="15"/>
      <c r="KS75" s="15"/>
      <c r="KT75" s="15"/>
      <c r="KU75" s="16"/>
      <c r="KV75" s="15"/>
      <c r="KW75" s="15"/>
      <c r="KX75" s="15"/>
      <c r="KY75" s="15"/>
      <c r="KZ75" s="15"/>
    </row>
    <row r="76" spans="300:312" ht="20.399999999999999" x14ac:dyDescent="0.3">
      <c r="KN76" s="15"/>
      <c r="KO76" s="15"/>
      <c r="KP76" s="15"/>
      <c r="KQ76" s="15"/>
      <c r="KR76" s="15"/>
      <c r="KS76" s="15"/>
      <c r="KT76" s="15"/>
      <c r="KU76" s="16"/>
      <c r="KV76" s="15"/>
      <c r="KW76" s="15"/>
      <c r="KX76" s="15"/>
      <c r="KY76" s="15"/>
      <c r="KZ76" s="15"/>
    </row>
    <row r="77" spans="300:312" ht="20.399999999999999" x14ac:dyDescent="0.3">
      <c r="KN77" s="15"/>
      <c r="KO77" s="15"/>
      <c r="KP77" s="15"/>
      <c r="KQ77" s="15"/>
      <c r="KR77" s="15"/>
      <c r="KS77" s="15"/>
      <c r="KT77" s="15"/>
      <c r="KU77" s="16"/>
      <c r="KV77" s="15"/>
      <c r="KW77" s="15"/>
      <c r="KX77" s="15"/>
      <c r="KY77" s="15"/>
      <c r="KZ77" s="15"/>
    </row>
    <row r="78" spans="300:312" ht="20.399999999999999" x14ac:dyDescent="0.3">
      <c r="KN78" s="15"/>
      <c r="KO78" s="15"/>
      <c r="KP78" s="15"/>
      <c r="KQ78" s="15"/>
      <c r="KR78" s="15"/>
      <c r="KS78" s="15"/>
      <c r="KT78" s="15"/>
      <c r="KU78" s="16"/>
      <c r="KV78" s="15"/>
      <c r="KW78" s="15"/>
      <c r="KX78" s="15"/>
      <c r="KY78" s="15"/>
      <c r="KZ78" s="15"/>
    </row>
    <row r="79" spans="300:312" ht="20.399999999999999" x14ac:dyDescent="0.3">
      <c r="KN79" s="15"/>
      <c r="KO79" s="15"/>
      <c r="KP79" s="15"/>
      <c r="KQ79" s="15"/>
      <c r="KR79" s="15"/>
      <c r="KS79" s="15"/>
      <c r="KT79" s="15"/>
      <c r="KU79" s="16"/>
      <c r="KV79" s="15"/>
      <c r="KW79" s="15"/>
      <c r="KX79" s="15"/>
      <c r="KY79" s="15"/>
      <c r="KZ79" s="15"/>
    </row>
    <row r="80" spans="300:312" ht="20.399999999999999" x14ac:dyDescent="0.3">
      <c r="KN80" s="15"/>
      <c r="KO80" s="15"/>
      <c r="KP80" s="15"/>
      <c r="KQ80" s="15"/>
      <c r="KR80" s="15"/>
      <c r="KS80" s="15"/>
      <c r="KT80" s="15"/>
      <c r="KU80" s="16"/>
      <c r="KV80" s="15"/>
      <c r="KW80" s="15"/>
      <c r="KX80" s="15"/>
      <c r="KY80" s="15"/>
      <c r="KZ80" s="15"/>
    </row>
    <row r="81" spans="300:312" ht="20.399999999999999" x14ac:dyDescent="0.3">
      <c r="KN81" s="15"/>
      <c r="KO81" s="15"/>
      <c r="KP81" s="15"/>
      <c r="KQ81" s="15"/>
      <c r="KR81" s="15"/>
      <c r="KS81" s="15"/>
      <c r="KT81" s="15"/>
      <c r="KU81" s="16"/>
      <c r="KV81" s="15"/>
      <c r="KW81" s="15"/>
      <c r="KX81" s="15"/>
      <c r="KY81" s="15"/>
      <c r="KZ81" s="15"/>
    </row>
    <row r="82" spans="300:312" ht="20.399999999999999" x14ac:dyDescent="0.3">
      <c r="KN82" s="15"/>
      <c r="KO82" s="15"/>
      <c r="KP82" s="15"/>
      <c r="KQ82" s="15"/>
      <c r="KR82" s="15"/>
      <c r="KS82" s="15"/>
      <c r="KT82" s="15"/>
      <c r="KU82" s="16"/>
      <c r="KV82" s="15"/>
      <c r="KW82" s="15"/>
      <c r="KX82" s="15"/>
      <c r="KY82" s="15"/>
      <c r="KZ82" s="15"/>
    </row>
    <row r="83" spans="300:312" ht="20.399999999999999" x14ac:dyDescent="0.3">
      <c r="KN83" s="15"/>
      <c r="KO83" s="15"/>
      <c r="KP83" s="15"/>
      <c r="KQ83" s="15"/>
      <c r="KR83" s="15"/>
      <c r="KS83" s="15"/>
      <c r="KT83" s="15"/>
      <c r="KU83" s="16"/>
      <c r="KV83" s="15"/>
      <c r="KW83" s="15"/>
      <c r="KX83" s="15"/>
      <c r="KY83" s="15"/>
      <c r="KZ83" s="15"/>
    </row>
    <row r="84" spans="300:312" ht="20.399999999999999" x14ac:dyDescent="0.3">
      <c r="KN84" s="15"/>
      <c r="KO84" s="15"/>
      <c r="KP84" s="15"/>
      <c r="KQ84" s="15"/>
      <c r="KR84" s="15"/>
      <c r="KS84" s="15"/>
      <c r="KT84" s="15"/>
      <c r="KU84" s="16"/>
      <c r="KV84" s="15"/>
      <c r="KW84" s="15"/>
      <c r="KX84" s="15"/>
      <c r="KY84" s="15"/>
      <c r="KZ84" s="15"/>
    </row>
    <row r="85" spans="300:312" ht="20.399999999999999" x14ac:dyDescent="0.3">
      <c r="KN85" s="15"/>
      <c r="KO85" s="15"/>
      <c r="KP85" s="15"/>
      <c r="KQ85" s="15"/>
      <c r="KR85" s="15"/>
      <c r="KS85" s="15"/>
      <c r="KT85" s="15"/>
      <c r="KU85" s="16"/>
      <c r="KV85" s="15"/>
      <c r="KW85" s="15"/>
      <c r="KX85" s="15"/>
      <c r="KY85" s="15"/>
      <c r="KZ85" s="15"/>
    </row>
    <row r="86" spans="300:312" ht="20.399999999999999" x14ac:dyDescent="0.3">
      <c r="KN86" s="15"/>
      <c r="KO86" s="15"/>
      <c r="KP86" s="15"/>
      <c r="KQ86" s="15"/>
      <c r="KR86" s="15"/>
      <c r="KS86" s="15"/>
      <c r="KT86" s="15"/>
      <c r="KU86" s="16"/>
      <c r="KV86" s="15"/>
      <c r="KW86" s="15"/>
      <c r="KX86" s="15"/>
      <c r="KY86" s="15"/>
      <c r="KZ86" s="15"/>
    </row>
    <row r="87" spans="300:312" ht="20.399999999999999" x14ac:dyDescent="0.3">
      <c r="KN87" s="15"/>
      <c r="KO87" s="15"/>
      <c r="KP87" s="15"/>
      <c r="KQ87" s="15"/>
      <c r="KR87" s="15"/>
      <c r="KS87" s="15"/>
      <c r="KT87" s="15"/>
      <c r="KU87" s="16"/>
      <c r="KV87" s="15"/>
      <c r="KW87" s="15"/>
      <c r="KX87" s="15"/>
      <c r="KY87" s="15"/>
      <c r="KZ87" s="15"/>
    </row>
    <row r="88" spans="300:312" ht="20.399999999999999" x14ac:dyDescent="0.3">
      <c r="KN88" s="15"/>
      <c r="KO88" s="15"/>
      <c r="KP88" s="15"/>
      <c r="KQ88" s="15"/>
      <c r="KR88" s="15"/>
      <c r="KS88" s="15"/>
      <c r="KT88" s="15"/>
      <c r="KU88" s="16"/>
      <c r="KV88" s="15"/>
      <c r="KW88" s="15"/>
      <c r="KX88" s="15"/>
      <c r="KY88" s="15"/>
      <c r="KZ88" s="15"/>
    </row>
    <row r="89" spans="300:312" ht="20.399999999999999" x14ac:dyDescent="0.3">
      <c r="KN89" s="15"/>
      <c r="KO89" s="15"/>
      <c r="KP89" s="15"/>
      <c r="KQ89" s="15"/>
      <c r="KR89" s="15"/>
      <c r="KS89" s="15"/>
      <c r="KT89" s="15"/>
      <c r="KU89" s="16"/>
      <c r="KV89" s="15"/>
      <c r="KW89" s="15"/>
      <c r="KX89" s="15"/>
      <c r="KY89" s="15"/>
      <c r="KZ89" s="15"/>
    </row>
    <row r="90" spans="300:312" ht="20.399999999999999" x14ac:dyDescent="0.3">
      <c r="KN90" s="15"/>
      <c r="KO90" s="15"/>
      <c r="KP90" s="15"/>
      <c r="KQ90" s="15"/>
      <c r="KR90" s="15"/>
      <c r="KS90" s="15"/>
      <c r="KT90" s="15"/>
      <c r="KU90" s="16"/>
      <c r="KV90" s="15"/>
      <c r="KW90" s="15"/>
      <c r="KX90" s="15"/>
      <c r="KY90" s="15"/>
      <c r="KZ90" s="15"/>
    </row>
    <row r="91" spans="300:312" ht="20.399999999999999" x14ac:dyDescent="0.3">
      <c r="KN91" s="15"/>
      <c r="KO91" s="15"/>
      <c r="KP91" s="15"/>
      <c r="KQ91" s="15"/>
      <c r="KR91" s="15"/>
      <c r="KS91" s="15"/>
      <c r="KT91" s="15"/>
      <c r="KU91" s="16"/>
      <c r="KV91" s="15"/>
      <c r="KW91" s="15"/>
      <c r="KX91" s="15"/>
      <c r="KY91" s="15"/>
      <c r="KZ91" s="15"/>
    </row>
    <row r="92" spans="300:312" ht="20.399999999999999" x14ac:dyDescent="0.3">
      <c r="KN92" s="15"/>
      <c r="KO92" s="15"/>
      <c r="KP92" s="15"/>
      <c r="KQ92" s="15"/>
      <c r="KR92" s="15"/>
      <c r="KS92" s="15"/>
      <c r="KT92" s="15"/>
      <c r="KU92" s="16"/>
      <c r="KV92" s="15"/>
      <c r="KW92" s="15"/>
      <c r="KX92" s="15"/>
      <c r="KY92" s="15"/>
      <c r="KZ92" s="15"/>
    </row>
    <row r="93" spans="300:312" ht="20.399999999999999" x14ac:dyDescent="0.3">
      <c r="KN93" s="15"/>
      <c r="KO93" s="15"/>
      <c r="KP93" s="15"/>
      <c r="KQ93" s="15"/>
      <c r="KR93" s="15"/>
      <c r="KS93" s="15"/>
      <c r="KT93" s="15"/>
      <c r="KU93" s="16"/>
      <c r="KV93" s="15"/>
      <c r="KW93" s="15"/>
      <c r="KX93" s="15"/>
      <c r="KY93" s="15"/>
      <c r="KZ93" s="15"/>
    </row>
    <row r="94" spans="300:312" ht="20.399999999999999" x14ac:dyDescent="0.3">
      <c r="KN94" s="15"/>
      <c r="KO94" s="15"/>
      <c r="KP94" s="15"/>
      <c r="KQ94" s="15"/>
      <c r="KR94" s="15"/>
      <c r="KS94" s="15"/>
      <c r="KT94" s="15"/>
      <c r="KU94" s="16"/>
      <c r="KV94" s="15"/>
      <c r="KW94" s="15"/>
      <c r="KX94" s="15"/>
      <c r="KY94" s="15"/>
      <c r="KZ94" s="15"/>
    </row>
    <row r="95" spans="300:312" ht="20.399999999999999" x14ac:dyDescent="0.3">
      <c r="KN95" s="15"/>
      <c r="KO95" s="15"/>
      <c r="KP95" s="15"/>
      <c r="KQ95" s="15"/>
      <c r="KR95" s="15"/>
      <c r="KS95" s="15"/>
      <c r="KT95" s="15"/>
      <c r="KU95" s="16"/>
      <c r="KV95" s="15"/>
      <c r="KW95" s="15"/>
      <c r="KX95" s="15"/>
      <c r="KY95" s="15"/>
      <c r="KZ95" s="15"/>
    </row>
    <row r="96" spans="300:312" ht="20.399999999999999" x14ac:dyDescent="0.3">
      <c r="KN96" s="15"/>
      <c r="KO96" s="15"/>
      <c r="KP96" s="15"/>
      <c r="KQ96" s="15"/>
      <c r="KR96" s="15"/>
      <c r="KS96" s="15"/>
      <c r="KT96" s="15"/>
      <c r="KU96" s="16"/>
      <c r="KV96" s="15"/>
      <c r="KW96" s="15"/>
      <c r="KX96" s="15"/>
      <c r="KY96" s="15"/>
      <c r="KZ96" s="15"/>
    </row>
    <row r="97" spans="300:312" ht="20.399999999999999" x14ac:dyDescent="0.3">
      <c r="KN97" s="15"/>
      <c r="KO97" s="15"/>
      <c r="KP97" s="15"/>
      <c r="KQ97" s="15"/>
      <c r="KR97" s="15"/>
      <c r="KS97" s="15"/>
      <c r="KT97" s="15"/>
      <c r="KU97" s="16"/>
      <c r="KV97" s="15"/>
      <c r="KW97" s="15"/>
      <c r="KX97" s="15"/>
      <c r="KY97" s="15"/>
      <c r="KZ97" s="15"/>
    </row>
    <row r="98" spans="300:312" ht="20.399999999999999" x14ac:dyDescent="0.3">
      <c r="KN98" s="15"/>
      <c r="KO98" s="15"/>
      <c r="KP98" s="15"/>
      <c r="KQ98" s="15"/>
      <c r="KR98" s="15"/>
      <c r="KS98" s="15"/>
      <c r="KT98" s="15"/>
      <c r="KU98" s="16"/>
      <c r="KV98" s="15"/>
      <c r="KW98" s="15"/>
      <c r="KX98" s="15"/>
      <c r="KY98" s="15"/>
      <c r="KZ98" s="15"/>
    </row>
    <row r="99" spans="300:312" ht="20.399999999999999" x14ac:dyDescent="0.3">
      <c r="KN99" s="15"/>
      <c r="KO99" s="15"/>
      <c r="KP99" s="15"/>
      <c r="KQ99" s="15"/>
      <c r="KR99" s="15"/>
      <c r="KS99" s="15"/>
      <c r="KT99" s="15"/>
      <c r="KU99" s="16"/>
      <c r="KV99" s="15"/>
      <c r="KW99" s="15"/>
      <c r="KX99" s="15"/>
      <c r="KY99" s="15"/>
      <c r="KZ99" s="15"/>
    </row>
    <row r="100" spans="300:312" ht="20.399999999999999" x14ac:dyDescent="0.3">
      <c r="KN100" s="15"/>
      <c r="KO100" s="15"/>
      <c r="KP100" s="15"/>
      <c r="KQ100" s="15"/>
      <c r="KR100" s="15"/>
      <c r="KS100" s="15"/>
      <c r="KT100" s="15"/>
      <c r="KU100" s="16"/>
      <c r="KV100" s="15"/>
      <c r="KW100" s="15"/>
      <c r="KX100" s="15"/>
      <c r="KY100" s="15"/>
      <c r="KZ100" s="15"/>
    </row>
    <row r="101" spans="300:312" ht="20.399999999999999" x14ac:dyDescent="0.3">
      <c r="KN101" s="15"/>
      <c r="KO101" s="15"/>
      <c r="KP101" s="15"/>
      <c r="KQ101" s="15"/>
      <c r="KR101" s="15"/>
      <c r="KS101" s="15"/>
      <c r="KT101" s="15"/>
      <c r="KU101" s="16"/>
      <c r="KV101" s="15"/>
      <c r="KW101" s="15"/>
      <c r="KX101" s="15"/>
      <c r="KY101" s="15"/>
      <c r="KZ101" s="15"/>
    </row>
    <row r="102" spans="300:312" ht="20.399999999999999" x14ac:dyDescent="0.3">
      <c r="KN102" s="15"/>
      <c r="KO102" s="15"/>
      <c r="KP102" s="15"/>
      <c r="KQ102" s="15"/>
      <c r="KR102" s="15"/>
      <c r="KS102" s="15"/>
      <c r="KT102" s="15"/>
      <c r="KU102" s="16"/>
      <c r="KV102" s="15"/>
      <c r="KW102" s="15"/>
      <c r="KX102" s="15"/>
      <c r="KY102" s="15"/>
      <c r="KZ102" s="15"/>
    </row>
    <row r="103" spans="300:312" ht="20.399999999999999" x14ac:dyDescent="0.3">
      <c r="KN103" s="15"/>
      <c r="KO103" s="15"/>
      <c r="KP103" s="15"/>
      <c r="KQ103" s="15"/>
      <c r="KR103" s="15"/>
      <c r="KS103" s="15"/>
      <c r="KT103" s="15"/>
      <c r="KU103" s="16"/>
      <c r="KV103" s="15"/>
      <c r="KW103" s="15"/>
      <c r="KX103" s="15"/>
      <c r="KY103" s="15"/>
      <c r="KZ103" s="15"/>
    </row>
    <row r="104" spans="300:312" ht="20.399999999999999" x14ac:dyDescent="0.3">
      <c r="KN104" s="15"/>
      <c r="KO104" s="15"/>
      <c r="KP104" s="15"/>
      <c r="KQ104" s="15"/>
      <c r="KR104" s="15"/>
      <c r="KS104" s="15"/>
      <c r="KT104" s="15"/>
      <c r="KU104" s="16"/>
      <c r="KV104" s="15"/>
      <c r="KW104" s="15"/>
      <c r="KX104" s="15"/>
      <c r="KY104" s="15"/>
      <c r="KZ104" s="15"/>
    </row>
    <row r="105" spans="300:312" ht="20.399999999999999" x14ac:dyDescent="0.3">
      <c r="KN105" s="15"/>
      <c r="KO105" s="15"/>
      <c r="KP105" s="15"/>
      <c r="KQ105" s="15"/>
      <c r="KR105" s="15"/>
      <c r="KS105" s="15"/>
      <c r="KT105" s="15"/>
      <c r="KU105" s="16"/>
      <c r="KV105" s="15"/>
      <c r="KW105" s="15"/>
      <c r="KX105" s="15"/>
      <c r="KY105" s="15"/>
      <c r="KZ105" s="15"/>
    </row>
    <row r="106" spans="300:312" ht="20.399999999999999" x14ac:dyDescent="0.3">
      <c r="KN106" s="15"/>
      <c r="KO106" s="15"/>
      <c r="KP106" s="15"/>
      <c r="KQ106" s="15"/>
      <c r="KR106" s="15"/>
      <c r="KS106" s="15"/>
      <c r="KT106" s="15"/>
      <c r="KU106" s="16"/>
      <c r="KV106" s="15"/>
      <c r="KW106" s="15"/>
      <c r="KX106" s="15"/>
      <c r="KY106" s="15"/>
      <c r="KZ106" s="15"/>
    </row>
    <row r="107" spans="300:312" ht="20.399999999999999" x14ac:dyDescent="0.3">
      <c r="KN107" s="15"/>
      <c r="KO107" s="15"/>
      <c r="KP107" s="15"/>
      <c r="KQ107" s="15"/>
      <c r="KR107" s="15"/>
      <c r="KS107" s="15"/>
      <c r="KT107" s="15"/>
      <c r="KU107" s="16"/>
      <c r="KV107" s="15"/>
      <c r="KW107" s="15"/>
      <c r="KX107" s="15"/>
      <c r="KY107" s="15"/>
      <c r="KZ107" s="15"/>
    </row>
    <row r="108" spans="300:312" ht="20.399999999999999" x14ac:dyDescent="0.3">
      <c r="KN108" s="15"/>
      <c r="KO108" s="15"/>
      <c r="KP108" s="15"/>
      <c r="KQ108" s="15"/>
      <c r="KR108" s="15"/>
      <c r="KS108" s="15"/>
      <c r="KT108" s="15"/>
      <c r="KU108" s="16"/>
      <c r="KV108" s="15"/>
      <c r="KW108" s="15"/>
      <c r="KX108" s="15"/>
      <c r="KY108" s="15"/>
      <c r="KZ108" s="15"/>
    </row>
    <row r="109" spans="300:312" ht="20.399999999999999" x14ac:dyDescent="0.3">
      <c r="KN109" s="15"/>
      <c r="KO109" s="15"/>
      <c r="KP109" s="15"/>
      <c r="KQ109" s="15"/>
      <c r="KR109" s="15"/>
      <c r="KS109" s="15"/>
      <c r="KT109" s="15"/>
      <c r="KU109" s="16"/>
      <c r="KV109" s="15"/>
      <c r="KW109" s="15"/>
      <c r="KX109" s="15"/>
      <c r="KY109" s="15"/>
      <c r="KZ109" s="15"/>
    </row>
    <row r="110" spans="300:312" ht="20.399999999999999" x14ac:dyDescent="0.3">
      <c r="KN110" s="15"/>
      <c r="KO110" s="15"/>
      <c r="KP110" s="15"/>
      <c r="KQ110" s="15"/>
      <c r="KR110" s="15"/>
      <c r="KS110" s="15"/>
      <c r="KT110" s="15"/>
      <c r="KU110" s="16"/>
      <c r="KV110" s="15"/>
      <c r="KW110" s="15"/>
      <c r="KX110" s="15"/>
      <c r="KY110" s="15"/>
      <c r="KZ110" s="15"/>
    </row>
    <row r="111" spans="300:312" ht="20.399999999999999" x14ac:dyDescent="0.3">
      <c r="KN111" s="15"/>
      <c r="KO111" s="15"/>
      <c r="KP111" s="15"/>
      <c r="KQ111" s="15"/>
      <c r="KR111" s="15"/>
      <c r="KS111" s="15"/>
      <c r="KT111" s="15"/>
      <c r="KU111" s="16"/>
      <c r="KV111" s="15"/>
      <c r="KW111" s="15"/>
      <c r="KX111" s="15"/>
      <c r="KY111" s="15"/>
      <c r="KZ111" s="15"/>
    </row>
    <row r="112" spans="300:312" ht="20.399999999999999" x14ac:dyDescent="0.3">
      <c r="KN112" s="15"/>
      <c r="KO112" s="15"/>
      <c r="KP112" s="15"/>
      <c r="KQ112" s="15"/>
      <c r="KR112" s="15"/>
      <c r="KS112" s="15"/>
      <c r="KT112" s="15"/>
      <c r="KU112" s="16"/>
      <c r="KV112" s="15"/>
      <c r="KW112" s="15"/>
      <c r="KX112" s="15"/>
      <c r="KY112" s="15"/>
      <c r="KZ112" s="15"/>
    </row>
    <row r="113" spans="300:312" ht="20.399999999999999" x14ac:dyDescent="0.3">
      <c r="KN113" s="15"/>
      <c r="KO113" s="15"/>
      <c r="KP113" s="15"/>
      <c r="KQ113" s="15"/>
      <c r="KR113" s="15"/>
      <c r="KS113" s="15"/>
      <c r="KT113" s="15"/>
      <c r="KU113" s="16"/>
      <c r="KV113" s="15"/>
      <c r="KW113" s="15"/>
      <c r="KX113" s="15"/>
      <c r="KY113" s="15"/>
      <c r="KZ113" s="15"/>
    </row>
    <row r="114" spans="300:312" ht="20.399999999999999" x14ac:dyDescent="0.3">
      <c r="KN114" s="15"/>
      <c r="KO114" s="15"/>
      <c r="KP114" s="15"/>
      <c r="KQ114" s="15"/>
      <c r="KR114" s="15"/>
      <c r="KS114" s="15"/>
      <c r="KT114" s="15"/>
      <c r="KU114" s="16"/>
      <c r="KV114" s="15"/>
      <c r="KW114" s="15"/>
      <c r="KX114" s="15"/>
      <c r="KY114" s="15"/>
      <c r="KZ114" s="15"/>
    </row>
    <row r="115" spans="300:312" ht="20.399999999999999" x14ac:dyDescent="0.3">
      <c r="KN115" s="15"/>
      <c r="KO115" s="15"/>
      <c r="KP115" s="15"/>
      <c r="KQ115" s="15"/>
      <c r="KR115" s="15"/>
      <c r="KS115" s="15"/>
      <c r="KT115" s="15"/>
      <c r="KU115" s="16"/>
      <c r="KV115" s="15"/>
      <c r="KW115" s="15"/>
      <c r="KX115" s="15"/>
      <c r="KY115" s="15"/>
      <c r="KZ115" s="15"/>
    </row>
    <row r="116" spans="300:312" ht="20.399999999999999" x14ac:dyDescent="0.3">
      <c r="KN116" s="15"/>
      <c r="KO116" s="15"/>
      <c r="KP116" s="15"/>
      <c r="KQ116" s="15"/>
      <c r="KR116" s="15"/>
      <c r="KS116" s="15"/>
      <c r="KT116" s="15"/>
      <c r="KU116" s="16"/>
      <c r="KV116" s="15"/>
      <c r="KW116" s="15"/>
      <c r="KX116" s="15"/>
      <c r="KY116" s="15"/>
      <c r="KZ116" s="15"/>
    </row>
    <row r="117" spans="300:312" ht="20.399999999999999" x14ac:dyDescent="0.3">
      <c r="KN117" s="15"/>
      <c r="KO117" s="15"/>
      <c r="KP117" s="15"/>
      <c r="KQ117" s="15"/>
      <c r="KR117" s="15"/>
      <c r="KS117" s="15"/>
      <c r="KT117" s="15"/>
      <c r="KU117" s="16"/>
      <c r="KV117" s="15"/>
      <c r="KW117" s="15"/>
      <c r="KX117" s="15"/>
      <c r="KY117" s="15"/>
      <c r="KZ117" s="15"/>
    </row>
    <row r="118" spans="300:312" ht="20.399999999999999" x14ac:dyDescent="0.3">
      <c r="KN118" s="15"/>
      <c r="KO118" s="15"/>
      <c r="KP118" s="15"/>
      <c r="KQ118" s="15"/>
      <c r="KR118" s="15"/>
      <c r="KS118" s="15"/>
      <c r="KT118" s="15"/>
      <c r="KU118" s="16"/>
      <c r="KV118" s="15"/>
      <c r="KW118" s="15"/>
      <c r="KX118" s="15"/>
      <c r="KY118" s="15"/>
      <c r="KZ118" s="15"/>
    </row>
    <row r="119" spans="300:312" ht="20.399999999999999" x14ac:dyDescent="0.3">
      <c r="KN119" s="15"/>
      <c r="KO119" s="15"/>
      <c r="KP119" s="15"/>
      <c r="KQ119" s="15"/>
      <c r="KR119" s="15"/>
      <c r="KS119" s="15"/>
      <c r="KT119" s="15"/>
      <c r="KU119" s="16"/>
      <c r="KV119" s="15"/>
      <c r="KW119" s="15"/>
      <c r="KX119" s="15"/>
      <c r="KY119" s="15"/>
      <c r="KZ119" s="15"/>
    </row>
    <row r="120" spans="300:312" ht="20.399999999999999" x14ac:dyDescent="0.3">
      <c r="KN120" s="15"/>
      <c r="KO120" s="15"/>
      <c r="KP120" s="15"/>
      <c r="KQ120" s="15"/>
      <c r="KR120" s="15"/>
      <c r="KS120" s="15"/>
      <c r="KT120" s="15"/>
      <c r="KU120" s="16"/>
      <c r="KV120" s="15"/>
      <c r="KW120" s="15"/>
      <c r="KX120" s="15"/>
      <c r="KY120" s="15"/>
      <c r="KZ120" s="15"/>
    </row>
    <row r="121" spans="300:312" ht="20.399999999999999" x14ac:dyDescent="0.3">
      <c r="KN121" s="15"/>
      <c r="KO121" s="15"/>
      <c r="KP121" s="15"/>
      <c r="KQ121" s="15"/>
      <c r="KR121" s="15"/>
      <c r="KS121" s="15"/>
      <c r="KT121" s="15"/>
      <c r="KU121" s="16"/>
      <c r="KV121" s="15"/>
      <c r="KW121" s="15"/>
      <c r="KX121" s="15"/>
      <c r="KY121" s="15"/>
      <c r="KZ121" s="15"/>
    </row>
    <row r="122" spans="300:312" ht="20.399999999999999" x14ac:dyDescent="0.3">
      <c r="KN122" s="15"/>
      <c r="KO122" s="15"/>
      <c r="KP122" s="15"/>
      <c r="KQ122" s="15"/>
      <c r="KR122" s="15"/>
      <c r="KS122" s="15"/>
      <c r="KT122" s="15"/>
      <c r="KU122" s="16"/>
      <c r="KV122" s="15"/>
      <c r="KW122" s="15"/>
      <c r="KX122" s="15"/>
      <c r="KY122" s="15"/>
      <c r="KZ122" s="15"/>
    </row>
    <row r="123" spans="300:312" ht="20.399999999999999" x14ac:dyDescent="0.3">
      <c r="KN123" s="15"/>
      <c r="KO123" s="15"/>
      <c r="KP123" s="15"/>
      <c r="KQ123" s="15"/>
      <c r="KR123" s="15"/>
      <c r="KS123" s="15"/>
      <c r="KT123" s="15"/>
      <c r="KU123" s="16"/>
      <c r="KV123" s="15"/>
      <c r="KW123" s="15"/>
      <c r="KX123" s="15"/>
      <c r="KY123" s="15"/>
      <c r="KZ123" s="15"/>
    </row>
    <row r="124" spans="300:312" ht="20.399999999999999" x14ac:dyDescent="0.3">
      <c r="KN124" s="15"/>
      <c r="KO124" s="15"/>
      <c r="KP124" s="15"/>
      <c r="KQ124" s="15"/>
      <c r="KR124" s="15"/>
      <c r="KS124" s="15"/>
      <c r="KT124" s="15"/>
      <c r="KU124" s="16"/>
      <c r="KV124" s="15"/>
      <c r="KW124" s="15"/>
      <c r="KX124" s="15"/>
      <c r="KY124" s="15"/>
      <c r="KZ124" s="15"/>
    </row>
    <row r="125" spans="300:312" ht="20.399999999999999" x14ac:dyDescent="0.3">
      <c r="KN125" s="15"/>
      <c r="KO125" s="15"/>
      <c r="KP125" s="15"/>
      <c r="KQ125" s="15"/>
      <c r="KR125" s="15"/>
      <c r="KS125" s="15"/>
      <c r="KT125" s="15"/>
      <c r="KU125" s="16"/>
      <c r="KV125" s="15"/>
      <c r="KW125" s="15"/>
      <c r="KX125" s="15"/>
      <c r="KY125" s="15"/>
      <c r="KZ125" s="15"/>
    </row>
    <row r="126" spans="300:312" ht="20.399999999999999" x14ac:dyDescent="0.3">
      <c r="KN126" s="15"/>
      <c r="KO126" s="15"/>
      <c r="KP126" s="15"/>
      <c r="KQ126" s="15"/>
      <c r="KR126" s="15"/>
      <c r="KS126" s="15"/>
      <c r="KT126" s="15"/>
      <c r="KU126" s="16"/>
      <c r="KV126" s="15"/>
      <c r="KW126" s="15"/>
      <c r="KX126" s="15"/>
      <c r="KY126" s="15"/>
      <c r="KZ126" s="15"/>
    </row>
    <row r="127" spans="300:312" ht="20.399999999999999" x14ac:dyDescent="0.3">
      <c r="KN127" s="15"/>
      <c r="KO127" s="15"/>
      <c r="KP127" s="15"/>
      <c r="KQ127" s="15"/>
      <c r="KR127" s="15"/>
      <c r="KS127" s="15"/>
      <c r="KT127" s="15"/>
      <c r="KU127" s="16"/>
      <c r="KV127" s="15"/>
      <c r="KW127" s="15"/>
      <c r="KX127" s="15"/>
      <c r="KY127" s="15"/>
      <c r="KZ127" s="15"/>
    </row>
    <row r="128" spans="300:312" ht="20.399999999999999" x14ac:dyDescent="0.3">
      <c r="KN128" s="15"/>
      <c r="KO128" s="15"/>
      <c r="KP128" s="15"/>
      <c r="KQ128" s="15"/>
      <c r="KR128" s="15"/>
      <c r="KS128" s="15"/>
      <c r="KT128" s="15"/>
      <c r="KU128" s="16"/>
      <c r="KV128" s="15"/>
      <c r="KW128" s="15"/>
      <c r="KX128" s="15"/>
      <c r="KY128" s="15"/>
      <c r="KZ128" s="15"/>
    </row>
    <row r="129" spans="300:312" ht="20.399999999999999" x14ac:dyDescent="0.3">
      <c r="KN129" s="15"/>
      <c r="KO129" s="15"/>
      <c r="KP129" s="15"/>
      <c r="KQ129" s="15"/>
      <c r="KR129" s="15"/>
      <c r="KS129" s="15"/>
      <c r="KT129" s="15"/>
      <c r="KU129" s="16"/>
      <c r="KV129" s="15"/>
      <c r="KW129" s="15"/>
      <c r="KX129" s="15"/>
      <c r="KY129" s="15"/>
      <c r="KZ129" s="15"/>
    </row>
    <row r="130" spans="300:312" ht="20.399999999999999" x14ac:dyDescent="0.3">
      <c r="KN130" s="15"/>
      <c r="KO130" s="15"/>
      <c r="KP130" s="15"/>
      <c r="KQ130" s="15"/>
      <c r="KR130" s="15"/>
      <c r="KS130" s="15"/>
      <c r="KT130" s="15"/>
      <c r="KU130" s="16"/>
      <c r="KV130" s="15"/>
      <c r="KW130" s="15"/>
      <c r="KX130" s="15"/>
      <c r="KY130" s="15"/>
      <c r="KZ130" s="15"/>
    </row>
    <row r="131" spans="300:312" ht="20.399999999999999" x14ac:dyDescent="0.3">
      <c r="KN131" s="15"/>
      <c r="KO131" s="15"/>
      <c r="KP131" s="15"/>
      <c r="KQ131" s="15"/>
      <c r="KR131" s="15"/>
      <c r="KS131" s="15"/>
      <c r="KT131" s="15"/>
      <c r="KU131" s="16"/>
      <c r="KV131" s="15"/>
      <c r="KW131" s="15"/>
      <c r="KX131" s="15"/>
      <c r="KY131" s="15"/>
      <c r="KZ131" s="15"/>
    </row>
    <row r="132" spans="300:312" ht="20.399999999999999" x14ac:dyDescent="0.3">
      <c r="KN132" s="15"/>
      <c r="KO132" s="15"/>
      <c r="KP132" s="15"/>
      <c r="KQ132" s="15"/>
      <c r="KR132" s="15"/>
      <c r="KS132" s="15"/>
      <c r="KT132" s="15"/>
      <c r="KU132" s="16"/>
      <c r="KV132" s="15"/>
      <c r="KW132" s="15"/>
      <c r="KX132" s="15"/>
      <c r="KY132" s="15"/>
      <c r="KZ132" s="15"/>
    </row>
    <row r="133" spans="300:312" ht="20.399999999999999" x14ac:dyDescent="0.3">
      <c r="KN133" s="15"/>
      <c r="KO133" s="15"/>
      <c r="KP133" s="15"/>
      <c r="KQ133" s="15"/>
      <c r="KR133" s="15"/>
      <c r="KS133" s="15"/>
      <c r="KT133" s="15"/>
      <c r="KU133" s="16"/>
      <c r="KV133" s="15"/>
      <c r="KW133" s="15"/>
      <c r="KX133" s="15"/>
      <c r="KY133" s="15"/>
      <c r="KZ133" s="15"/>
    </row>
    <row r="134" spans="300:312" ht="20.399999999999999" x14ac:dyDescent="0.3">
      <c r="KN134" s="15"/>
      <c r="KO134" s="15"/>
      <c r="KP134" s="15"/>
      <c r="KQ134" s="15"/>
      <c r="KR134" s="15"/>
      <c r="KS134" s="15"/>
      <c r="KT134" s="15"/>
      <c r="KU134" s="16"/>
      <c r="KV134" s="15"/>
      <c r="KW134" s="15"/>
      <c r="KX134" s="15"/>
      <c r="KY134" s="15"/>
      <c r="KZ134" s="15"/>
    </row>
    <row r="135" spans="300:312" ht="20.399999999999999" x14ac:dyDescent="0.3">
      <c r="KN135" s="15"/>
      <c r="KO135" s="15"/>
      <c r="KP135" s="15"/>
      <c r="KQ135" s="15"/>
      <c r="KR135" s="15"/>
      <c r="KS135" s="15"/>
      <c r="KT135" s="15"/>
      <c r="KU135" s="16"/>
      <c r="KV135" s="15"/>
      <c r="KW135" s="15"/>
      <c r="KX135" s="15"/>
      <c r="KY135" s="15"/>
      <c r="KZ135" s="15"/>
    </row>
    <row r="136" spans="300:312" ht="20.399999999999999" x14ac:dyDescent="0.3">
      <c r="KN136" s="15"/>
      <c r="KO136" s="15"/>
      <c r="KP136" s="15"/>
      <c r="KQ136" s="15"/>
      <c r="KR136" s="15"/>
      <c r="KS136" s="15"/>
      <c r="KT136" s="15"/>
      <c r="KU136" s="16"/>
      <c r="KV136" s="15"/>
      <c r="KW136" s="15"/>
      <c r="KX136" s="15"/>
      <c r="KY136" s="15"/>
      <c r="KZ136" s="15"/>
    </row>
    <row r="137" spans="300:312" ht="20.399999999999999" x14ac:dyDescent="0.3">
      <c r="KN137" s="15"/>
      <c r="KO137" s="15"/>
      <c r="KP137" s="15"/>
      <c r="KQ137" s="15"/>
      <c r="KR137" s="15"/>
      <c r="KS137" s="15"/>
      <c r="KT137" s="15"/>
      <c r="KU137" s="16"/>
      <c r="KV137" s="15"/>
      <c r="KW137" s="15"/>
      <c r="KX137" s="15"/>
      <c r="KY137" s="15"/>
      <c r="KZ137" s="15"/>
    </row>
    <row r="138" spans="300:312" ht="20.399999999999999" x14ac:dyDescent="0.3">
      <c r="KN138" s="15"/>
      <c r="KO138" s="15"/>
      <c r="KP138" s="15"/>
      <c r="KQ138" s="15"/>
      <c r="KR138" s="15"/>
      <c r="KS138" s="15"/>
      <c r="KT138" s="15"/>
      <c r="KU138" s="16"/>
      <c r="KV138" s="15"/>
      <c r="KW138" s="15"/>
      <c r="KX138" s="15"/>
      <c r="KY138" s="15"/>
      <c r="KZ138" s="15"/>
    </row>
    <row r="139" spans="300:312" ht="20.399999999999999" x14ac:dyDescent="0.3">
      <c r="KN139" s="15"/>
      <c r="KO139" s="15"/>
      <c r="KP139" s="15"/>
      <c r="KQ139" s="15"/>
      <c r="KR139" s="15"/>
      <c r="KS139" s="15"/>
      <c r="KT139" s="15"/>
      <c r="KU139" s="16"/>
      <c r="KV139" s="15"/>
      <c r="KW139" s="15"/>
      <c r="KX139" s="15"/>
      <c r="KY139" s="15"/>
      <c r="KZ139" s="15"/>
    </row>
    <row r="140" spans="300:312" ht="20.399999999999999" x14ac:dyDescent="0.3">
      <c r="KN140" s="15"/>
      <c r="KO140" s="15"/>
      <c r="KP140" s="15"/>
      <c r="KQ140" s="15"/>
      <c r="KR140" s="15"/>
      <c r="KS140" s="15"/>
      <c r="KT140" s="15"/>
      <c r="KU140" s="16"/>
      <c r="KV140" s="15"/>
      <c r="KW140" s="15"/>
      <c r="KX140" s="15"/>
      <c r="KY140" s="15"/>
      <c r="KZ140" s="15"/>
    </row>
    <row r="141" spans="300:312" ht="20.399999999999999" x14ac:dyDescent="0.3">
      <c r="KN141" s="15"/>
      <c r="KO141" s="15"/>
      <c r="KP141" s="15"/>
      <c r="KQ141" s="15"/>
      <c r="KR141" s="15"/>
      <c r="KS141" s="15"/>
      <c r="KT141" s="15"/>
      <c r="KU141" s="16"/>
      <c r="KV141" s="15"/>
      <c r="KW141" s="15"/>
      <c r="KX141" s="15"/>
      <c r="KY141" s="15"/>
      <c r="KZ141" s="15"/>
    </row>
    <row r="142" spans="300:312" ht="20.399999999999999" x14ac:dyDescent="0.3">
      <c r="KN142" s="15"/>
      <c r="KO142" s="15"/>
      <c r="KP142" s="15"/>
      <c r="KQ142" s="15"/>
      <c r="KR142" s="15"/>
      <c r="KS142" s="15"/>
      <c r="KT142" s="15"/>
      <c r="KU142" s="16"/>
      <c r="KV142" s="15"/>
      <c r="KW142" s="15"/>
      <c r="KX142" s="15"/>
      <c r="KY142" s="15"/>
      <c r="KZ142" s="15"/>
    </row>
    <row r="143" spans="300:312" ht="20.399999999999999" x14ac:dyDescent="0.3">
      <c r="KN143" s="15"/>
      <c r="KO143" s="15"/>
      <c r="KP143" s="15"/>
      <c r="KQ143" s="15"/>
      <c r="KR143" s="15"/>
      <c r="KS143" s="15"/>
      <c r="KT143" s="15"/>
      <c r="KU143" s="16"/>
      <c r="KV143" s="15"/>
      <c r="KW143" s="15"/>
      <c r="KX143" s="15"/>
      <c r="KY143" s="15"/>
      <c r="KZ143" s="15"/>
    </row>
    <row r="144" spans="300:312" ht="20.399999999999999" x14ac:dyDescent="0.3">
      <c r="KN144" s="15"/>
      <c r="KO144" s="15"/>
      <c r="KP144" s="15"/>
      <c r="KQ144" s="15"/>
      <c r="KR144" s="15"/>
      <c r="KS144" s="15"/>
      <c r="KT144" s="15"/>
      <c r="KU144" s="16"/>
      <c r="KV144" s="15"/>
      <c r="KW144" s="15"/>
      <c r="KX144" s="15"/>
      <c r="KY144" s="15"/>
      <c r="KZ144" s="15"/>
    </row>
    <row r="145" spans="300:312" ht="20.399999999999999" x14ac:dyDescent="0.3">
      <c r="KN145" s="15"/>
      <c r="KO145" s="15"/>
      <c r="KP145" s="15"/>
      <c r="KQ145" s="15"/>
      <c r="KR145" s="15"/>
      <c r="KS145" s="15"/>
      <c r="KT145" s="15"/>
      <c r="KU145" s="16"/>
      <c r="KV145" s="15"/>
      <c r="KW145" s="15"/>
      <c r="KX145" s="15"/>
      <c r="KY145" s="15"/>
      <c r="KZ145" s="15"/>
    </row>
    <row r="146" spans="300:312" ht="20.399999999999999" x14ac:dyDescent="0.3">
      <c r="KN146" s="15"/>
      <c r="KO146" s="15"/>
      <c r="KP146" s="15"/>
      <c r="KQ146" s="15"/>
      <c r="KR146" s="15"/>
      <c r="KS146" s="15"/>
      <c r="KT146" s="15"/>
      <c r="KU146" s="16"/>
      <c r="KV146" s="15"/>
      <c r="KW146" s="15"/>
      <c r="KX146" s="15"/>
      <c r="KY146" s="15"/>
      <c r="KZ146" s="15"/>
    </row>
    <row r="147" spans="300:312" ht="20.399999999999999" x14ac:dyDescent="0.3">
      <c r="KN147" s="15"/>
      <c r="KO147" s="15"/>
      <c r="KP147" s="15"/>
      <c r="KQ147" s="15"/>
      <c r="KR147" s="15"/>
      <c r="KS147" s="15"/>
      <c r="KT147" s="15"/>
      <c r="KU147" s="16"/>
      <c r="KV147" s="15"/>
      <c r="KW147" s="15"/>
      <c r="KX147" s="15"/>
      <c r="KY147" s="15"/>
      <c r="KZ147" s="15"/>
    </row>
    <row r="148" spans="300:312" ht="20.399999999999999" x14ac:dyDescent="0.3">
      <c r="KN148" s="15"/>
      <c r="KO148" s="15"/>
      <c r="KP148" s="15"/>
      <c r="KQ148" s="15"/>
      <c r="KR148" s="15"/>
      <c r="KS148" s="15"/>
      <c r="KT148" s="15"/>
      <c r="KU148" s="16"/>
      <c r="KV148" s="15"/>
      <c r="KW148" s="15"/>
      <c r="KX148" s="15"/>
      <c r="KY148" s="15"/>
      <c r="KZ148" s="15"/>
    </row>
    <row r="149" spans="300:312" ht="20.399999999999999" x14ac:dyDescent="0.3">
      <c r="KN149" s="15"/>
      <c r="KO149" s="15"/>
      <c r="KP149" s="15"/>
      <c r="KQ149" s="15"/>
      <c r="KR149" s="15"/>
      <c r="KS149" s="15"/>
      <c r="KT149" s="15"/>
      <c r="KU149" s="16"/>
      <c r="KV149" s="15"/>
      <c r="KW149" s="15"/>
      <c r="KX149" s="15"/>
      <c r="KY149" s="15"/>
      <c r="KZ149" s="15"/>
    </row>
    <row r="150" spans="300:312" ht="20.399999999999999" x14ac:dyDescent="0.3">
      <c r="KN150" s="15"/>
      <c r="KO150" s="15"/>
      <c r="KP150" s="15"/>
      <c r="KQ150" s="15"/>
      <c r="KR150" s="15"/>
      <c r="KS150" s="15"/>
      <c r="KT150" s="15"/>
      <c r="KU150" s="16"/>
      <c r="KV150" s="15"/>
      <c r="KW150" s="15"/>
      <c r="KX150" s="15"/>
      <c r="KY150" s="15"/>
      <c r="KZ150" s="15"/>
    </row>
    <row r="151" spans="300:312" ht="20.399999999999999" x14ac:dyDescent="0.3">
      <c r="KN151" s="15"/>
      <c r="KO151" s="15"/>
      <c r="KP151" s="15"/>
      <c r="KQ151" s="15"/>
      <c r="KR151" s="15"/>
      <c r="KS151" s="15"/>
      <c r="KT151" s="15"/>
      <c r="KU151" s="16"/>
      <c r="KV151" s="15"/>
      <c r="KW151" s="15"/>
      <c r="KX151" s="15"/>
      <c r="KY151" s="15"/>
      <c r="KZ151" s="15"/>
    </row>
    <row r="152" spans="300:312" ht="20.399999999999999" x14ac:dyDescent="0.3">
      <c r="KN152" s="15"/>
      <c r="KO152" s="15"/>
      <c r="KP152" s="15"/>
      <c r="KQ152" s="15"/>
      <c r="KR152" s="15"/>
      <c r="KS152" s="15"/>
      <c r="KT152" s="15"/>
      <c r="KU152" s="16"/>
      <c r="KV152" s="15"/>
      <c r="KW152" s="15"/>
      <c r="KX152" s="15"/>
      <c r="KY152" s="15"/>
      <c r="KZ152" s="15"/>
    </row>
    <row r="153" spans="300:312" ht="20.399999999999999" x14ac:dyDescent="0.3">
      <c r="KN153" s="15"/>
      <c r="KO153" s="15"/>
      <c r="KP153" s="15"/>
      <c r="KQ153" s="15"/>
      <c r="KR153" s="15"/>
      <c r="KS153" s="15"/>
      <c r="KT153" s="15"/>
      <c r="KU153" s="16"/>
      <c r="KV153" s="15"/>
      <c r="KW153" s="15"/>
      <c r="KX153" s="15"/>
      <c r="KY153" s="15"/>
      <c r="KZ153" s="15"/>
    </row>
    <row r="154" spans="300:312" ht="20.399999999999999" x14ac:dyDescent="0.3">
      <c r="KN154" s="15"/>
      <c r="KO154" s="15"/>
      <c r="KP154" s="15"/>
      <c r="KQ154" s="15"/>
      <c r="KR154" s="15"/>
      <c r="KS154" s="15"/>
      <c r="KT154" s="15"/>
      <c r="KU154" s="16"/>
      <c r="KV154" s="15"/>
      <c r="KW154" s="15"/>
      <c r="KX154" s="15"/>
      <c r="KY154" s="15"/>
      <c r="KZ154" s="15"/>
    </row>
    <row r="155" spans="300:312" ht="20.399999999999999" x14ac:dyDescent="0.3">
      <c r="KN155" s="15"/>
      <c r="KO155" s="15"/>
      <c r="KP155" s="15"/>
      <c r="KQ155" s="15"/>
      <c r="KR155" s="15"/>
      <c r="KS155" s="15"/>
      <c r="KT155" s="15"/>
      <c r="KU155" s="16"/>
      <c r="KV155" s="15"/>
      <c r="KW155" s="15"/>
      <c r="KX155" s="15"/>
      <c r="KY155" s="15"/>
      <c r="KZ155" s="15"/>
    </row>
    <row r="156" spans="300:312" ht="20.399999999999999" x14ac:dyDescent="0.3">
      <c r="KN156" s="15"/>
      <c r="KO156" s="15"/>
      <c r="KP156" s="15"/>
      <c r="KQ156" s="15"/>
      <c r="KR156" s="15"/>
      <c r="KS156" s="15"/>
      <c r="KT156" s="15"/>
      <c r="KU156" s="16"/>
      <c r="KV156" s="15"/>
      <c r="KW156" s="15"/>
      <c r="KX156" s="15"/>
      <c r="KY156" s="15"/>
      <c r="KZ156" s="15"/>
    </row>
    <row r="157" spans="300:312" ht="20.399999999999999" x14ac:dyDescent="0.3">
      <c r="KN157" s="15"/>
      <c r="KO157" s="15"/>
      <c r="KP157" s="15"/>
      <c r="KQ157" s="15"/>
      <c r="KR157" s="15"/>
      <c r="KS157" s="15"/>
      <c r="KT157" s="15"/>
      <c r="KU157" s="16"/>
      <c r="KV157" s="15"/>
      <c r="KW157" s="15"/>
      <c r="KX157" s="15"/>
      <c r="KY157" s="15"/>
      <c r="KZ157" s="15"/>
    </row>
    <row r="158" spans="300:312" ht="20.399999999999999" x14ac:dyDescent="0.3">
      <c r="KN158" s="15"/>
      <c r="KO158" s="15"/>
      <c r="KP158" s="15"/>
      <c r="KQ158" s="15"/>
      <c r="KR158" s="15"/>
      <c r="KS158" s="15"/>
      <c r="KT158" s="15"/>
      <c r="KU158" s="16"/>
      <c r="KV158" s="15"/>
      <c r="KW158" s="15"/>
      <c r="KX158" s="15"/>
      <c r="KY158" s="15"/>
      <c r="KZ158" s="15"/>
    </row>
    <row r="159" spans="300:312" ht="20.399999999999999" x14ac:dyDescent="0.3">
      <c r="KN159" s="15"/>
      <c r="KO159" s="15"/>
      <c r="KP159" s="15"/>
      <c r="KQ159" s="15"/>
      <c r="KR159" s="15"/>
      <c r="KS159" s="15"/>
      <c r="KT159" s="15"/>
      <c r="KU159" s="16"/>
      <c r="KV159" s="15"/>
      <c r="KW159" s="15"/>
      <c r="KX159" s="15"/>
      <c r="KY159" s="15"/>
      <c r="KZ159" s="15"/>
    </row>
    <row r="160" spans="300:312" ht="20.399999999999999" x14ac:dyDescent="0.3">
      <c r="KN160" s="15"/>
      <c r="KO160" s="15"/>
      <c r="KP160" s="15"/>
      <c r="KQ160" s="15"/>
      <c r="KR160" s="15"/>
      <c r="KS160" s="15"/>
      <c r="KT160" s="15"/>
      <c r="KU160" s="16"/>
      <c r="KV160" s="15"/>
      <c r="KW160" s="15"/>
      <c r="KX160" s="15"/>
      <c r="KY160" s="15"/>
      <c r="KZ160" s="15"/>
    </row>
    <row r="161" spans="300:312" ht="20.399999999999999" x14ac:dyDescent="0.3">
      <c r="KN161" s="15"/>
      <c r="KO161" s="15"/>
      <c r="KP161" s="15"/>
      <c r="KQ161" s="15"/>
      <c r="KR161" s="15"/>
      <c r="KS161" s="15"/>
      <c r="KT161" s="15"/>
      <c r="KU161" s="16"/>
      <c r="KV161" s="15"/>
      <c r="KW161" s="15"/>
      <c r="KX161" s="15"/>
      <c r="KY161" s="15"/>
      <c r="KZ161" s="15"/>
    </row>
    <row r="162" spans="300:312" ht="20.399999999999999" x14ac:dyDescent="0.3">
      <c r="KN162" s="15"/>
      <c r="KO162" s="15"/>
      <c r="KP162" s="15"/>
      <c r="KQ162" s="15"/>
      <c r="KR162" s="15"/>
      <c r="KS162" s="15"/>
      <c r="KT162" s="15"/>
      <c r="KU162" s="16"/>
      <c r="KV162" s="15"/>
      <c r="KW162" s="15"/>
      <c r="KX162" s="15"/>
      <c r="KY162" s="15"/>
      <c r="KZ162" s="15"/>
    </row>
    <row r="163" spans="300:312" ht="20.399999999999999" x14ac:dyDescent="0.3">
      <c r="KN163" s="15"/>
      <c r="KO163" s="15"/>
      <c r="KP163" s="15"/>
      <c r="KQ163" s="15"/>
      <c r="KR163" s="15"/>
      <c r="KS163" s="15"/>
      <c r="KT163" s="15"/>
      <c r="KU163" s="16"/>
      <c r="KV163" s="15"/>
      <c r="KW163" s="15"/>
      <c r="KX163" s="15"/>
      <c r="KY163" s="15"/>
      <c r="KZ163" s="15"/>
    </row>
    <row r="164" spans="300:312" ht="20.399999999999999" x14ac:dyDescent="0.3">
      <c r="KN164" s="15"/>
      <c r="KO164" s="15"/>
      <c r="KP164" s="15"/>
      <c r="KQ164" s="15"/>
      <c r="KR164" s="15"/>
      <c r="KS164" s="15"/>
      <c r="KT164" s="15"/>
      <c r="KU164" s="16"/>
      <c r="KV164" s="15"/>
      <c r="KW164" s="15"/>
      <c r="KX164" s="15"/>
      <c r="KY164" s="15"/>
      <c r="KZ164" s="15"/>
    </row>
    <row r="165" spans="300:312" ht="20.399999999999999" x14ac:dyDescent="0.3">
      <c r="KN165" s="15"/>
      <c r="KO165" s="15"/>
      <c r="KP165" s="15"/>
      <c r="KQ165" s="15"/>
      <c r="KR165" s="15"/>
      <c r="KS165" s="15"/>
      <c r="KT165" s="15"/>
      <c r="KU165" s="16"/>
      <c r="KV165" s="15"/>
      <c r="KW165" s="15"/>
      <c r="KX165" s="15"/>
      <c r="KY165" s="15"/>
      <c r="KZ165" s="15"/>
    </row>
    <row r="166" spans="300:312" ht="20.399999999999999" x14ac:dyDescent="0.3">
      <c r="KN166" s="15"/>
      <c r="KO166" s="15"/>
      <c r="KP166" s="15"/>
      <c r="KQ166" s="15"/>
      <c r="KR166" s="15"/>
      <c r="KS166" s="15"/>
      <c r="KT166" s="15"/>
      <c r="KU166" s="16"/>
      <c r="KV166" s="15"/>
      <c r="KW166" s="15"/>
      <c r="KX166" s="15"/>
      <c r="KY166" s="15"/>
      <c r="KZ166" s="15"/>
    </row>
    <row r="167" spans="300:312" ht="20.399999999999999" x14ac:dyDescent="0.3">
      <c r="KN167" s="15"/>
      <c r="KO167" s="15"/>
      <c r="KP167" s="15"/>
      <c r="KQ167" s="15"/>
      <c r="KR167" s="15"/>
      <c r="KS167" s="15"/>
      <c r="KT167" s="15"/>
      <c r="KU167" s="16"/>
      <c r="KV167" s="15"/>
      <c r="KW167" s="15"/>
      <c r="KX167" s="15"/>
      <c r="KY167" s="15"/>
      <c r="KZ167" s="15"/>
    </row>
    <row r="168" spans="300:312" ht="20.399999999999999" x14ac:dyDescent="0.3">
      <c r="KN168" s="15"/>
      <c r="KO168" s="15"/>
      <c r="KP168" s="15"/>
      <c r="KQ168" s="15"/>
      <c r="KR168" s="15"/>
      <c r="KS168" s="15"/>
      <c r="KT168" s="15"/>
      <c r="KU168" s="16"/>
      <c r="KV168" s="15"/>
      <c r="KW168" s="15"/>
      <c r="KX168" s="15"/>
      <c r="KY168" s="15"/>
      <c r="KZ168" s="15"/>
    </row>
    <row r="169" spans="300:312" ht="20.399999999999999" x14ac:dyDescent="0.3">
      <c r="KN169" s="15"/>
      <c r="KO169" s="15"/>
      <c r="KP169" s="15"/>
      <c r="KQ169" s="15"/>
      <c r="KR169" s="15"/>
      <c r="KS169" s="15"/>
      <c r="KT169" s="15"/>
      <c r="KU169" s="16"/>
      <c r="KV169" s="15"/>
      <c r="KW169" s="15"/>
      <c r="KX169" s="15"/>
      <c r="KY169" s="15"/>
      <c r="KZ169" s="15"/>
    </row>
    <row r="170" spans="300:312" ht="20.399999999999999" x14ac:dyDescent="0.3">
      <c r="KN170" s="15"/>
      <c r="KO170" s="15"/>
      <c r="KP170" s="15"/>
      <c r="KQ170" s="15"/>
      <c r="KR170" s="15"/>
      <c r="KS170" s="15"/>
      <c r="KT170" s="15"/>
      <c r="KU170" s="16"/>
      <c r="KV170" s="15"/>
      <c r="KW170" s="15"/>
      <c r="KX170" s="15"/>
      <c r="KY170" s="15"/>
      <c r="KZ170" s="15"/>
    </row>
    <row r="171" spans="300:312" ht="20.399999999999999" x14ac:dyDescent="0.3">
      <c r="KN171" s="15"/>
      <c r="KO171" s="15"/>
      <c r="KP171" s="15"/>
      <c r="KQ171" s="15"/>
      <c r="KR171" s="15"/>
      <c r="KS171" s="15"/>
      <c r="KT171" s="15"/>
      <c r="KU171" s="16"/>
      <c r="KV171" s="15"/>
      <c r="KW171" s="15"/>
      <c r="KX171" s="15"/>
      <c r="KY171" s="15"/>
      <c r="KZ171" s="15"/>
    </row>
    <row r="172" spans="300:312" ht="20.399999999999999" x14ac:dyDescent="0.3">
      <c r="KN172" s="15"/>
      <c r="KO172" s="15"/>
      <c r="KP172" s="15"/>
      <c r="KQ172" s="15"/>
      <c r="KR172" s="15"/>
      <c r="KS172" s="15"/>
      <c r="KT172" s="15"/>
      <c r="KU172" s="16"/>
      <c r="KV172" s="15"/>
      <c r="KW172" s="15"/>
      <c r="KX172" s="15"/>
      <c r="KY172" s="15"/>
      <c r="KZ172" s="15"/>
    </row>
    <row r="173" spans="300:312" ht="20.399999999999999" x14ac:dyDescent="0.3">
      <c r="KN173" s="15"/>
      <c r="KO173" s="15"/>
      <c r="KP173" s="15"/>
      <c r="KQ173" s="15"/>
      <c r="KR173" s="15"/>
      <c r="KS173" s="15"/>
      <c r="KT173" s="15"/>
      <c r="KU173" s="16"/>
      <c r="KV173" s="15"/>
      <c r="KW173" s="15"/>
      <c r="KX173" s="15"/>
      <c r="KY173" s="15"/>
      <c r="KZ173" s="15"/>
    </row>
    <row r="174" spans="300:312" ht="20.399999999999999" x14ac:dyDescent="0.3">
      <c r="KN174" s="15"/>
      <c r="KO174" s="15"/>
      <c r="KP174" s="15"/>
      <c r="KQ174" s="15"/>
      <c r="KR174" s="15"/>
      <c r="KS174" s="15"/>
      <c r="KT174" s="15"/>
      <c r="KU174" s="16"/>
      <c r="KV174" s="15"/>
      <c r="KW174" s="15"/>
      <c r="KX174" s="15"/>
      <c r="KY174" s="15"/>
      <c r="KZ174" s="15"/>
    </row>
    <row r="175" spans="300:312" ht="20.399999999999999" x14ac:dyDescent="0.3">
      <c r="KN175" s="15"/>
      <c r="KO175" s="15"/>
      <c r="KP175" s="15"/>
      <c r="KQ175" s="15"/>
      <c r="KR175" s="15"/>
      <c r="KS175" s="15"/>
      <c r="KT175" s="15"/>
      <c r="KU175" s="16"/>
      <c r="KV175" s="15"/>
      <c r="KW175" s="15"/>
      <c r="KX175" s="15"/>
      <c r="KY175" s="15"/>
      <c r="KZ175" s="15"/>
    </row>
    <row r="176" spans="300:312" ht="20.399999999999999" x14ac:dyDescent="0.3">
      <c r="KN176" s="15"/>
      <c r="KO176" s="15"/>
      <c r="KP176" s="15"/>
      <c r="KQ176" s="15"/>
      <c r="KR176" s="15"/>
      <c r="KS176" s="15"/>
      <c r="KT176" s="15"/>
      <c r="KU176" s="16"/>
      <c r="KV176" s="15"/>
      <c r="KW176" s="15"/>
      <c r="KX176" s="15"/>
      <c r="KY176" s="15"/>
      <c r="KZ176" s="15"/>
    </row>
    <row r="177" spans="300:312" ht="20.399999999999999" x14ac:dyDescent="0.3">
      <c r="KN177" s="15"/>
      <c r="KO177" s="15"/>
      <c r="KP177" s="15"/>
      <c r="KQ177" s="15"/>
      <c r="KR177" s="15"/>
      <c r="KS177" s="15"/>
      <c r="KT177" s="15"/>
      <c r="KU177" s="16"/>
      <c r="KV177" s="15"/>
      <c r="KW177" s="15"/>
      <c r="KX177" s="15"/>
      <c r="KY177" s="15"/>
      <c r="KZ177" s="15"/>
    </row>
    <row r="178" spans="300:312" ht="20.399999999999999" x14ac:dyDescent="0.3">
      <c r="KN178" s="15"/>
      <c r="KO178" s="15"/>
      <c r="KP178" s="15"/>
      <c r="KQ178" s="15"/>
      <c r="KR178" s="15"/>
      <c r="KS178" s="15"/>
      <c r="KT178" s="15"/>
      <c r="KU178" s="16"/>
      <c r="KV178" s="15"/>
      <c r="KW178" s="15"/>
      <c r="KX178" s="15"/>
      <c r="KY178" s="15"/>
      <c r="KZ178" s="15"/>
    </row>
    <row r="179" spans="300:312" ht="20.399999999999999" x14ac:dyDescent="0.3">
      <c r="KN179" s="15"/>
      <c r="KO179" s="15"/>
      <c r="KP179" s="15"/>
      <c r="KQ179" s="15"/>
      <c r="KR179" s="15"/>
      <c r="KS179" s="15"/>
      <c r="KT179" s="15"/>
      <c r="KU179" s="16"/>
      <c r="KV179" s="15"/>
      <c r="KW179" s="15"/>
      <c r="KX179" s="15"/>
      <c r="KY179" s="15"/>
      <c r="KZ179" s="15"/>
    </row>
    <row r="180" spans="300:312" ht="20.399999999999999" x14ac:dyDescent="0.3">
      <c r="KN180" s="15"/>
      <c r="KO180" s="15"/>
      <c r="KP180" s="15"/>
      <c r="KQ180" s="15"/>
      <c r="KR180" s="15"/>
      <c r="KS180" s="15"/>
      <c r="KT180" s="15"/>
      <c r="KU180" s="16"/>
      <c r="KV180" s="15"/>
      <c r="KW180" s="15"/>
      <c r="KX180" s="15"/>
      <c r="KY180" s="15"/>
      <c r="KZ180" s="15"/>
    </row>
    <row r="181" spans="300:312" ht="20.399999999999999" x14ac:dyDescent="0.3">
      <c r="KN181" s="15"/>
      <c r="KO181" s="15"/>
      <c r="KP181" s="15"/>
      <c r="KQ181" s="15"/>
      <c r="KR181" s="15"/>
      <c r="KS181" s="15"/>
      <c r="KT181" s="15"/>
      <c r="KU181" s="16"/>
      <c r="KV181" s="15"/>
      <c r="KW181" s="15"/>
      <c r="KX181" s="15"/>
      <c r="KY181" s="15"/>
      <c r="KZ181" s="15"/>
    </row>
    <row r="182" spans="300:312" ht="20.399999999999999" x14ac:dyDescent="0.3">
      <c r="KN182" s="15"/>
      <c r="KO182" s="15"/>
      <c r="KP182" s="15"/>
      <c r="KQ182" s="15"/>
      <c r="KR182" s="15"/>
      <c r="KS182" s="15"/>
      <c r="KT182" s="15"/>
      <c r="KU182" s="16"/>
      <c r="KV182" s="15"/>
      <c r="KW182" s="15"/>
      <c r="KX182" s="15"/>
      <c r="KY182" s="15"/>
      <c r="KZ182" s="15"/>
    </row>
    <row r="183" spans="300:312" ht="20.399999999999999" x14ac:dyDescent="0.3">
      <c r="KN183" s="15"/>
      <c r="KO183" s="15"/>
      <c r="KP183" s="15"/>
      <c r="KQ183" s="15"/>
      <c r="KR183" s="15"/>
      <c r="KS183" s="15"/>
      <c r="KT183" s="15"/>
      <c r="KU183" s="16"/>
      <c r="KV183" s="15"/>
      <c r="KW183" s="15"/>
      <c r="KX183" s="15"/>
      <c r="KY183" s="15"/>
      <c r="KZ183" s="15"/>
    </row>
    <row r="184" spans="300:312" ht="20.399999999999999" x14ac:dyDescent="0.3">
      <c r="KN184" s="15"/>
      <c r="KO184" s="15"/>
      <c r="KP184" s="15"/>
      <c r="KQ184" s="15"/>
      <c r="KR184" s="15"/>
      <c r="KS184" s="15"/>
      <c r="KT184" s="15"/>
      <c r="KU184" s="16"/>
      <c r="KV184" s="15"/>
      <c r="KW184" s="15"/>
      <c r="KX184" s="15"/>
      <c r="KY184" s="15"/>
      <c r="KZ184" s="15"/>
    </row>
    <row r="185" spans="300:312" ht="20.399999999999999" x14ac:dyDescent="0.3">
      <c r="KN185" s="15"/>
      <c r="KO185" s="15"/>
      <c r="KP185" s="15"/>
      <c r="KQ185" s="15"/>
      <c r="KR185" s="15"/>
      <c r="KS185" s="15"/>
      <c r="KT185" s="15"/>
      <c r="KU185" s="16"/>
      <c r="KV185" s="15"/>
      <c r="KW185" s="15"/>
      <c r="KX185" s="15"/>
      <c r="KY185" s="15"/>
      <c r="KZ185" s="15"/>
    </row>
    <row r="186" spans="300:312" ht="20.399999999999999" x14ac:dyDescent="0.3">
      <c r="KN186" s="15"/>
      <c r="KO186" s="15"/>
      <c r="KP186" s="15"/>
      <c r="KQ186" s="15"/>
      <c r="KR186" s="15"/>
      <c r="KS186" s="15"/>
      <c r="KT186" s="15"/>
      <c r="KU186" s="16"/>
      <c r="KV186" s="15"/>
      <c r="KW186" s="15"/>
      <c r="KX186" s="15"/>
      <c r="KY186" s="15"/>
      <c r="KZ186" s="15"/>
    </row>
    <row r="187" spans="300:312" ht="20.399999999999999" x14ac:dyDescent="0.3">
      <c r="KN187" s="15"/>
      <c r="KO187" s="15"/>
      <c r="KP187" s="15"/>
      <c r="KQ187" s="15"/>
      <c r="KR187" s="15"/>
      <c r="KS187" s="15"/>
      <c r="KT187" s="15"/>
      <c r="KU187" s="16"/>
      <c r="KV187" s="15"/>
      <c r="KW187" s="15"/>
      <c r="KX187" s="15"/>
      <c r="KY187" s="15"/>
      <c r="KZ187" s="15"/>
    </row>
    <row r="188" spans="300:312" ht="20.399999999999999" x14ac:dyDescent="0.3">
      <c r="KN188" s="15"/>
      <c r="KO188" s="15"/>
      <c r="KP188" s="15"/>
      <c r="KQ188" s="15"/>
      <c r="KR188" s="15"/>
      <c r="KS188" s="15"/>
      <c r="KT188" s="15"/>
      <c r="KU188" s="16"/>
      <c r="KV188" s="15"/>
      <c r="KW188" s="15"/>
      <c r="KX188" s="15"/>
      <c r="KY188" s="15"/>
      <c r="KZ188" s="15"/>
    </row>
    <row r="189" spans="300:312" ht="20.399999999999999" x14ac:dyDescent="0.3">
      <c r="KN189" s="15"/>
      <c r="KO189" s="15"/>
      <c r="KP189" s="15"/>
      <c r="KQ189" s="15"/>
      <c r="KR189" s="15"/>
      <c r="KS189" s="15"/>
      <c r="KT189" s="15"/>
      <c r="KU189" s="16"/>
      <c r="KV189" s="15"/>
      <c r="KW189" s="15"/>
      <c r="KX189" s="15"/>
      <c r="KY189" s="15"/>
      <c r="KZ189" s="15"/>
    </row>
    <row r="190" spans="300:312" ht="20.399999999999999" x14ac:dyDescent="0.3">
      <c r="KN190" s="15"/>
      <c r="KO190" s="15"/>
      <c r="KP190" s="15"/>
      <c r="KQ190" s="15"/>
      <c r="KR190" s="15"/>
      <c r="KS190" s="15"/>
      <c r="KT190" s="15"/>
      <c r="KU190" s="16"/>
      <c r="KV190" s="15"/>
      <c r="KW190" s="15"/>
      <c r="KX190" s="15"/>
      <c r="KY190" s="15"/>
      <c r="KZ190" s="15"/>
    </row>
    <row r="191" spans="300:312" ht="20.399999999999999" x14ac:dyDescent="0.3">
      <c r="KN191" s="15"/>
      <c r="KO191" s="15"/>
      <c r="KP191" s="15"/>
      <c r="KQ191" s="15"/>
      <c r="KR191" s="15"/>
      <c r="KS191" s="15"/>
      <c r="KT191" s="15"/>
      <c r="KU191" s="16"/>
      <c r="KV191" s="15"/>
      <c r="KW191" s="15"/>
      <c r="KX191" s="15"/>
      <c r="KY191" s="15"/>
      <c r="KZ191" s="15"/>
    </row>
    <row r="192" spans="300:312" ht="20.399999999999999" x14ac:dyDescent="0.3">
      <c r="KN192" s="15"/>
      <c r="KO192" s="15"/>
      <c r="KP192" s="15"/>
      <c r="KQ192" s="15"/>
      <c r="KR192" s="15"/>
      <c r="KS192" s="15"/>
      <c r="KT192" s="15"/>
      <c r="KU192" s="16"/>
      <c r="KV192" s="15"/>
      <c r="KW192" s="15"/>
      <c r="KX192" s="15"/>
      <c r="KY192" s="15"/>
      <c r="KZ192" s="15"/>
    </row>
    <row r="193" spans="300:312" ht="20.399999999999999" x14ac:dyDescent="0.3">
      <c r="KN193" s="15"/>
      <c r="KO193" s="15"/>
      <c r="KP193" s="15"/>
      <c r="KQ193" s="15"/>
      <c r="KR193" s="15"/>
      <c r="KS193" s="15"/>
      <c r="KT193" s="15"/>
      <c r="KU193" s="16"/>
      <c r="KV193" s="15"/>
      <c r="KW193" s="15"/>
      <c r="KX193" s="15"/>
      <c r="KY193" s="15"/>
      <c r="KZ193" s="15"/>
    </row>
    <row r="194" spans="300:312" ht="20.399999999999999" x14ac:dyDescent="0.3">
      <c r="KN194" s="15"/>
      <c r="KO194" s="15"/>
      <c r="KP194" s="15"/>
      <c r="KQ194" s="15"/>
      <c r="KR194" s="15"/>
      <c r="KS194" s="15"/>
      <c r="KT194" s="15"/>
      <c r="KU194" s="16"/>
      <c r="KV194" s="15"/>
      <c r="KW194" s="15"/>
      <c r="KX194" s="15"/>
      <c r="KY194" s="15"/>
      <c r="KZ194" s="15"/>
    </row>
    <row r="195" spans="300:312" ht="20.399999999999999" x14ac:dyDescent="0.3">
      <c r="KN195" s="15"/>
      <c r="KO195" s="15"/>
      <c r="KP195" s="15"/>
      <c r="KQ195" s="15"/>
      <c r="KR195" s="15"/>
      <c r="KS195" s="15"/>
      <c r="KT195" s="15"/>
      <c r="KU195" s="16"/>
      <c r="KV195" s="15"/>
      <c r="KW195" s="15"/>
      <c r="KX195" s="15"/>
      <c r="KY195" s="15"/>
      <c r="KZ195" s="15"/>
    </row>
    <row r="196" spans="300:312" x14ac:dyDescent="0.3">
      <c r="KN196" s="15"/>
      <c r="KO196" s="15"/>
      <c r="KP196" s="15"/>
      <c r="KQ196" s="15"/>
      <c r="KR196" s="15"/>
      <c r="KS196" s="15"/>
      <c r="KT196" s="15"/>
      <c r="KU196" s="15"/>
      <c r="KV196" s="15"/>
      <c r="KW196" s="15"/>
      <c r="KX196" s="15"/>
      <c r="KY196" s="15"/>
      <c r="KZ196" s="15"/>
    </row>
    <row r="197" spans="300:312" x14ac:dyDescent="0.3">
      <c r="KN197" s="15"/>
      <c r="KO197" s="15"/>
      <c r="KP197" s="15"/>
      <c r="KQ197" s="15"/>
      <c r="KR197" s="15"/>
      <c r="KS197" s="15"/>
      <c r="KT197" s="15"/>
      <c r="KU197" s="15"/>
      <c r="KV197" s="15"/>
      <c r="KW197" s="15"/>
      <c r="KX197" s="15"/>
      <c r="KY197" s="15"/>
      <c r="KZ197" s="15"/>
    </row>
    <row r="198" spans="300:312" x14ac:dyDescent="0.3">
      <c r="KN198" s="15"/>
      <c r="KO198" s="15"/>
      <c r="KP198" s="15"/>
      <c r="KQ198" s="15"/>
      <c r="KR198" s="15"/>
      <c r="KS198" s="15"/>
      <c r="KT198" s="15"/>
      <c r="KU198" s="15"/>
      <c r="KV198" s="15"/>
      <c r="KW198" s="15"/>
      <c r="KX198" s="15"/>
      <c r="KY198" s="15"/>
      <c r="KZ198" s="15"/>
    </row>
    <row r="199" spans="300:312" x14ac:dyDescent="0.3">
      <c r="KN199" s="15"/>
      <c r="KO199" s="15"/>
      <c r="KP199" s="15"/>
      <c r="KQ199" s="15"/>
      <c r="KR199" s="15"/>
      <c r="KS199" s="15"/>
      <c r="KT199" s="15"/>
      <c r="KU199" s="15"/>
      <c r="KV199" s="15"/>
      <c r="KW199" s="15"/>
      <c r="KX199" s="15"/>
      <c r="KY199" s="15"/>
      <c r="KZ199" s="15"/>
    </row>
    <row r="200" spans="300:312" x14ac:dyDescent="0.3">
      <c r="KN200" s="15"/>
      <c r="KO200" s="15"/>
      <c r="KP200" s="15"/>
      <c r="KQ200" s="15"/>
      <c r="KR200" s="15"/>
      <c r="KS200" s="15"/>
      <c r="KT200" s="15"/>
      <c r="KU200" s="15"/>
      <c r="KV200" s="15"/>
      <c r="KW200" s="15"/>
      <c r="KX200" s="15"/>
      <c r="KY200" s="15"/>
      <c r="KZ200" s="15"/>
    </row>
    <row r="201" spans="300:312" x14ac:dyDescent="0.3">
      <c r="KN201" s="15"/>
      <c r="KO201" s="15"/>
      <c r="KP201" s="15"/>
      <c r="KQ201" s="15"/>
      <c r="KR201" s="15"/>
      <c r="KS201" s="15"/>
      <c r="KT201" s="15"/>
      <c r="KU201" s="15"/>
      <c r="KV201" s="15"/>
      <c r="KW201" s="15"/>
      <c r="KX201" s="15"/>
      <c r="KY201" s="15"/>
      <c r="KZ201" s="15"/>
    </row>
    <row r="202" spans="300:312" x14ac:dyDescent="0.3">
      <c r="KN202" s="15"/>
      <c r="KO202" s="15"/>
      <c r="KP202" s="15"/>
      <c r="KQ202" s="15"/>
      <c r="KR202" s="15"/>
      <c r="KS202" s="15"/>
      <c r="KT202" s="15"/>
      <c r="KU202" s="15"/>
      <c r="KV202" s="15"/>
      <c r="KW202" s="15"/>
      <c r="KX202" s="15"/>
      <c r="KY202" s="15"/>
      <c r="KZ202" s="15"/>
    </row>
    <row r="203" spans="300:312" x14ac:dyDescent="0.3">
      <c r="KN203" s="15"/>
      <c r="KO203" s="15"/>
      <c r="KP203" s="15"/>
      <c r="KQ203" s="15"/>
      <c r="KR203" s="15"/>
      <c r="KS203" s="15"/>
      <c r="KT203" s="15"/>
      <c r="KU203" s="15"/>
      <c r="KV203" s="15"/>
      <c r="KW203" s="15"/>
      <c r="KX203" s="15"/>
      <c r="KY203" s="15"/>
      <c r="KZ203" s="15"/>
    </row>
    <row r="204" spans="300:312" x14ac:dyDescent="0.3">
      <c r="KN204" s="15"/>
      <c r="KO204" s="15"/>
      <c r="KP204" s="15"/>
      <c r="KQ204" s="15"/>
      <c r="KR204" s="15"/>
      <c r="KS204" s="15"/>
      <c r="KT204" s="15"/>
      <c r="KU204" s="15"/>
      <c r="KV204" s="15"/>
      <c r="KW204" s="15"/>
      <c r="KX204" s="15"/>
      <c r="KY204" s="15"/>
      <c r="KZ204" s="15"/>
    </row>
    <row r="205" spans="300:312" x14ac:dyDescent="0.3">
      <c r="KN205" s="15"/>
      <c r="KO205" s="15"/>
      <c r="KP205" s="15"/>
      <c r="KQ205" s="15"/>
      <c r="KR205" s="15"/>
      <c r="KS205" s="15"/>
      <c r="KT205" s="15"/>
      <c r="KU205" s="15"/>
      <c r="KV205" s="15"/>
      <c r="KW205" s="15"/>
      <c r="KX205" s="15"/>
      <c r="KY205" s="15"/>
      <c r="KZ205" s="15"/>
    </row>
    <row r="206" spans="300:312" x14ac:dyDescent="0.3">
      <c r="KN206" s="15"/>
      <c r="KO206" s="15"/>
      <c r="KP206" s="15"/>
      <c r="KQ206" s="15"/>
      <c r="KR206" s="15"/>
      <c r="KS206" s="15"/>
      <c r="KT206" s="15"/>
      <c r="KU206" s="15"/>
      <c r="KV206" s="15"/>
      <c r="KW206" s="15"/>
      <c r="KX206" s="15"/>
      <c r="KY206" s="15"/>
      <c r="KZ206" s="15"/>
    </row>
    <row r="207" spans="300:312" x14ac:dyDescent="0.3">
      <c r="KN207" s="15"/>
      <c r="KO207" s="15"/>
      <c r="KP207" s="15"/>
      <c r="KQ207" s="15"/>
      <c r="KR207" s="15"/>
      <c r="KS207" s="15"/>
      <c r="KT207" s="15"/>
      <c r="KU207" s="15"/>
      <c r="KV207" s="15"/>
      <c r="KW207" s="15"/>
      <c r="KX207" s="15"/>
      <c r="KY207" s="15"/>
      <c r="KZ207" s="15"/>
    </row>
    <row r="208" spans="300:312" x14ac:dyDescent="0.3">
      <c r="KN208" s="15"/>
      <c r="KO208" s="15"/>
      <c r="KP208" s="15"/>
      <c r="KQ208" s="15"/>
      <c r="KR208" s="15"/>
      <c r="KS208" s="15"/>
      <c r="KT208" s="15"/>
      <c r="KU208" s="15"/>
      <c r="KV208" s="15"/>
      <c r="KW208" s="15"/>
      <c r="KX208" s="15"/>
      <c r="KY208" s="15"/>
      <c r="KZ208" s="15"/>
    </row>
    <row r="209" spans="300:312" x14ac:dyDescent="0.3">
      <c r="KN209" s="15"/>
      <c r="KO209" s="15"/>
      <c r="KP209" s="15"/>
      <c r="KQ209" s="15"/>
      <c r="KR209" s="15"/>
      <c r="KS209" s="15"/>
      <c r="KT209" s="15"/>
      <c r="KU209" s="15"/>
      <c r="KV209" s="15"/>
      <c r="KW209" s="15"/>
      <c r="KX209" s="15"/>
      <c r="KY209" s="15"/>
      <c r="KZ209" s="15"/>
    </row>
    <row r="210" spans="300:312" x14ac:dyDescent="0.3">
      <c r="KN210" s="15"/>
      <c r="KO210" s="15"/>
      <c r="KP210" s="15"/>
      <c r="KQ210" s="15"/>
      <c r="KR210" s="15"/>
      <c r="KS210" s="15"/>
      <c r="KT210" s="15"/>
      <c r="KU210" s="15"/>
      <c r="KV210" s="15"/>
      <c r="KW210" s="15"/>
      <c r="KX210" s="15"/>
      <c r="KY210" s="15"/>
      <c r="KZ210" s="15"/>
    </row>
    <row r="211" spans="300:312" x14ac:dyDescent="0.3">
      <c r="KN211" s="15"/>
      <c r="KO211" s="15"/>
      <c r="KP211" s="15"/>
      <c r="KQ211" s="15"/>
      <c r="KR211" s="15"/>
      <c r="KS211" s="15"/>
      <c r="KT211" s="15"/>
      <c r="KU211" s="15"/>
      <c r="KV211" s="15"/>
      <c r="KW211" s="15"/>
      <c r="KX211" s="15"/>
      <c r="KY211" s="15"/>
      <c r="KZ211" s="15"/>
    </row>
    <row r="212" spans="300:312" x14ac:dyDescent="0.3">
      <c r="KN212" s="15"/>
      <c r="KO212" s="15"/>
      <c r="KP212" s="15"/>
      <c r="KQ212" s="15"/>
      <c r="KR212" s="15"/>
      <c r="KS212" s="15"/>
      <c r="KT212" s="15"/>
      <c r="KU212" s="15"/>
      <c r="KV212" s="15"/>
      <c r="KW212" s="15"/>
      <c r="KX212" s="15"/>
      <c r="KY212" s="15"/>
      <c r="KZ212" s="15"/>
    </row>
    <row r="213" spans="300:312" x14ac:dyDescent="0.3">
      <c r="KN213" s="15"/>
      <c r="KO213" s="15"/>
      <c r="KP213" s="15"/>
      <c r="KQ213" s="15"/>
      <c r="KR213" s="15"/>
      <c r="KS213" s="15"/>
      <c r="KT213" s="15"/>
      <c r="KU213" s="15"/>
      <c r="KV213" s="15"/>
      <c r="KW213" s="15"/>
      <c r="KX213" s="15"/>
      <c r="KY213" s="15"/>
      <c r="KZ213" s="15"/>
    </row>
    <row r="214" spans="300:312" x14ac:dyDescent="0.3">
      <c r="KN214" s="15"/>
      <c r="KO214" s="15"/>
      <c r="KP214" s="15"/>
      <c r="KQ214" s="15"/>
      <c r="KR214" s="15"/>
      <c r="KS214" s="15"/>
      <c r="KT214" s="15"/>
      <c r="KU214" s="15"/>
      <c r="KV214" s="15"/>
      <c r="KW214" s="15"/>
      <c r="KX214" s="15"/>
      <c r="KY214" s="15"/>
      <c r="KZ214" s="15"/>
    </row>
    <row r="215" spans="300:312" x14ac:dyDescent="0.3">
      <c r="KN215" s="15"/>
      <c r="KO215" s="15"/>
      <c r="KP215" s="15"/>
      <c r="KQ215" s="15"/>
      <c r="KR215" s="15"/>
      <c r="KS215" s="15"/>
      <c r="KT215" s="15"/>
      <c r="KU215" s="15"/>
      <c r="KV215" s="15"/>
      <c r="KW215" s="15"/>
      <c r="KX215" s="15"/>
      <c r="KY215" s="15"/>
      <c r="KZ215" s="15"/>
    </row>
    <row r="216" spans="300:312" x14ac:dyDescent="0.3">
      <c r="KN216" s="15"/>
      <c r="KO216" s="15"/>
      <c r="KP216" s="15"/>
      <c r="KQ216" s="15"/>
      <c r="KR216" s="15"/>
      <c r="KS216" s="15"/>
      <c r="KT216" s="15"/>
      <c r="KU216" s="15"/>
      <c r="KV216" s="15"/>
      <c r="KW216" s="15"/>
      <c r="KX216" s="15"/>
      <c r="KY216" s="15"/>
      <c r="KZ216" s="15"/>
    </row>
    <row r="217" spans="300:312" x14ac:dyDescent="0.3">
      <c r="KN217" s="15"/>
      <c r="KO217" s="15"/>
      <c r="KP217" s="15"/>
      <c r="KQ217" s="15"/>
      <c r="KR217" s="15"/>
      <c r="KS217" s="15"/>
      <c r="KT217" s="15"/>
      <c r="KU217" s="15"/>
      <c r="KV217" s="15"/>
      <c r="KW217" s="15"/>
      <c r="KX217" s="15"/>
      <c r="KY217" s="15"/>
      <c r="KZ217" s="15"/>
    </row>
    <row r="218" spans="300:312" x14ac:dyDescent="0.3">
      <c r="KN218" s="15"/>
      <c r="KO218" s="15"/>
      <c r="KP218" s="15"/>
      <c r="KQ218" s="15"/>
      <c r="KR218" s="15"/>
      <c r="KS218" s="15"/>
      <c r="KT218" s="15"/>
      <c r="KU218" s="15"/>
      <c r="KV218" s="15"/>
      <c r="KW218" s="15"/>
      <c r="KX218" s="15"/>
      <c r="KY218" s="15"/>
      <c r="KZ218" s="15"/>
    </row>
    <row r="219" spans="300:312" x14ac:dyDescent="0.3">
      <c r="KN219" s="15"/>
      <c r="KO219" s="15"/>
      <c r="KP219" s="15"/>
      <c r="KQ219" s="15"/>
      <c r="KR219" s="15"/>
      <c r="KS219" s="15"/>
      <c r="KT219" s="15"/>
      <c r="KU219" s="15"/>
      <c r="KV219" s="15"/>
      <c r="KW219" s="15"/>
      <c r="KX219" s="15"/>
      <c r="KY219" s="15"/>
      <c r="KZ219" s="15"/>
    </row>
    <row r="220" spans="300:312" x14ac:dyDescent="0.3">
      <c r="KN220" s="15"/>
      <c r="KO220" s="15"/>
      <c r="KP220" s="15"/>
      <c r="KQ220" s="15"/>
      <c r="KR220" s="15"/>
      <c r="KS220" s="15"/>
      <c r="KT220" s="15"/>
      <c r="KU220" s="15"/>
      <c r="KV220" s="15"/>
      <c r="KW220" s="15"/>
      <c r="KX220" s="15"/>
      <c r="KY220" s="15"/>
      <c r="KZ220" s="15"/>
    </row>
    <row r="221" spans="300:312" x14ac:dyDescent="0.3">
      <c r="KN221" s="15"/>
      <c r="KO221" s="15"/>
      <c r="KP221" s="15"/>
      <c r="KQ221" s="15"/>
      <c r="KR221" s="15"/>
      <c r="KS221" s="15"/>
      <c r="KT221" s="15"/>
      <c r="KU221" s="15"/>
      <c r="KV221" s="15"/>
      <c r="KW221" s="15"/>
      <c r="KX221" s="15"/>
      <c r="KY221" s="15"/>
      <c r="KZ221" s="15"/>
    </row>
    <row r="222" spans="300:312" x14ac:dyDescent="0.3">
      <c r="KN222" s="15"/>
      <c r="KO222" s="15"/>
      <c r="KP222" s="15"/>
      <c r="KQ222" s="15"/>
      <c r="KR222" s="15"/>
      <c r="KS222" s="15"/>
      <c r="KT222" s="15"/>
      <c r="KU222" s="15"/>
      <c r="KV222" s="15"/>
      <c r="KW222" s="15"/>
      <c r="KX222" s="15"/>
      <c r="KY222" s="15"/>
      <c r="KZ222" s="15"/>
    </row>
    <row r="223" spans="300:312" x14ac:dyDescent="0.3">
      <c r="KN223" s="15"/>
      <c r="KO223" s="15"/>
      <c r="KP223" s="15"/>
      <c r="KQ223" s="15"/>
      <c r="KR223" s="15"/>
      <c r="KS223" s="15"/>
      <c r="KT223" s="15"/>
      <c r="KU223" s="15"/>
      <c r="KV223" s="15"/>
      <c r="KW223" s="15"/>
      <c r="KX223" s="15"/>
      <c r="KY223" s="15"/>
      <c r="KZ223" s="15"/>
    </row>
    <row r="224" spans="300:312" x14ac:dyDescent="0.3">
      <c r="KN224" s="15"/>
      <c r="KO224" s="15"/>
      <c r="KP224" s="15"/>
      <c r="KQ224" s="15"/>
      <c r="KR224" s="15"/>
      <c r="KS224" s="15"/>
      <c r="KT224" s="15"/>
      <c r="KU224" s="15"/>
      <c r="KV224" s="15"/>
      <c r="KW224" s="15"/>
      <c r="KX224" s="15"/>
      <c r="KY224" s="15"/>
      <c r="KZ224" s="15"/>
    </row>
    <row r="225" spans="300:312" x14ac:dyDescent="0.3">
      <c r="KN225" s="15"/>
      <c r="KO225" s="15"/>
      <c r="KP225" s="15"/>
      <c r="KQ225" s="15"/>
      <c r="KR225" s="15"/>
      <c r="KS225" s="15"/>
      <c r="KT225" s="15"/>
      <c r="KU225" s="15"/>
      <c r="KV225" s="15"/>
      <c r="KW225" s="15"/>
      <c r="KX225" s="15"/>
      <c r="KY225" s="15"/>
      <c r="KZ225" s="15"/>
    </row>
    <row r="226" spans="300:312" x14ac:dyDescent="0.3">
      <c r="KN226" s="15"/>
      <c r="KO226" s="15"/>
      <c r="KP226" s="15"/>
      <c r="KQ226" s="15"/>
      <c r="KR226" s="15"/>
      <c r="KS226" s="15"/>
      <c r="KT226" s="15"/>
      <c r="KU226" s="15"/>
      <c r="KV226" s="15"/>
      <c r="KW226" s="15"/>
      <c r="KX226" s="15"/>
      <c r="KY226" s="15"/>
      <c r="KZ226" s="15"/>
    </row>
    <row r="227" spans="300:312" x14ac:dyDescent="0.3">
      <c r="KN227" s="15"/>
      <c r="KO227" s="15"/>
      <c r="KP227" s="15"/>
      <c r="KQ227" s="15"/>
      <c r="KR227" s="15"/>
      <c r="KS227" s="15"/>
      <c r="KT227" s="15"/>
      <c r="KU227" s="15"/>
      <c r="KV227" s="15"/>
      <c r="KW227" s="15"/>
      <c r="KX227" s="15"/>
      <c r="KY227" s="15"/>
      <c r="KZ227" s="15"/>
    </row>
    <row r="228" spans="300:312" x14ac:dyDescent="0.3">
      <c r="KN228" s="15"/>
      <c r="KO228" s="15"/>
      <c r="KP228" s="15"/>
      <c r="KQ228" s="15"/>
      <c r="KR228" s="15"/>
      <c r="KS228" s="15"/>
      <c r="KT228" s="15"/>
      <c r="KU228" s="15"/>
      <c r="KV228" s="15"/>
      <c r="KW228" s="15"/>
      <c r="KX228" s="15"/>
      <c r="KY228" s="15"/>
      <c r="KZ228" s="15"/>
    </row>
    <row r="229" spans="300:312" x14ac:dyDescent="0.3">
      <c r="KN229" s="15"/>
      <c r="KO229" s="15"/>
      <c r="KP229" s="15"/>
      <c r="KQ229" s="15"/>
      <c r="KR229" s="15"/>
      <c r="KS229" s="15"/>
      <c r="KT229" s="15"/>
      <c r="KU229" s="15"/>
      <c r="KV229" s="15"/>
      <c r="KW229" s="15"/>
      <c r="KX229" s="15"/>
      <c r="KY229" s="15"/>
      <c r="KZ229" s="15"/>
    </row>
    <row r="230" spans="300:312" x14ac:dyDescent="0.3">
      <c r="KN230" s="15"/>
      <c r="KO230" s="15"/>
      <c r="KP230" s="15"/>
      <c r="KQ230" s="15"/>
      <c r="KR230" s="15"/>
      <c r="KS230" s="15"/>
      <c r="KT230" s="15"/>
      <c r="KU230" s="15"/>
      <c r="KV230" s="15"/>
      <c r="KW230" s="15"/>
      <c r="KX230" s="15"/>
      <c r="KY230" s="15"/>
      <c r="KZ230" s="15"/>
    </row>
    <row r="231" spans="300:312" x14ac:dyDescent="0.3">
      <c r="KN231" s="15"/>
      <c r="KO231" s="15"/>
      <c r="KP231" s="15"/>
      <c r="KQ231" s="15"/>
      <c r="KR231" s="15"/>
      <c r="KS231" s="15"/>
      <c r="KT231" s="15"/>
      <c r="KU231" s="15"/>
      <c r="KV231" s="15"/>
      <c r="KW231" s="15"/>
      <c r="KX231" s="15"/>
      <c r="KY231" s="15"/>
      <c r="KZ231" s="15"/>
    </row>
    <row r="232" spans="300:312" x14ac:dyDescent="0.3">
      <c r="KN232" s="15"/>
      <c r="KO232" s="15"/>
      <c r="KP232" s="15"/>
      <c r="KQ232" s="15"/>
      <c r="KR232" s="15"/>
      <c r="KS232" s="15"/>
      <c r="KT232" s="15"/>
      <c r="KU232" s="15"/>
      <c r="KV232" s="15"/>
      <c r="KW232" s="15"/>
      <c r="KX232" s="15"/>
      <c r="KY232" s="15"/>
      <c r="KZ232" s="15"/>
    </row>
    <row r="233" spans="300:312" x14ac:dyDescent="0.3">
      <c r="KN233" s="15"/>
      <c r="KO233" s="15"/>
      <c r="KP233" s="15"/>
      <c r="KQ233" s="15"/>
      <c r="KR233" s="15"/>
      <c r="KS233" s="15"/>
      <c r="KT233" s="15"/>
      <c r="KU233" s="15"/>
      <c r="KV233" s="15"/>
      <c r="KW233" s="15"/>
      <c r="KX233" s="15"/>
      <c r="KY233" s="15"/>
      <c r="KZ233" s="15"/>
    </row>
    <row r="234" spans="300:312" x14ac:dyDescent="0.3">
      <c r="KN234" s="15"/>
      <c r="KO234" s="15"/>
      <c r="KP234" s="15"/>
      <c r="KQ234" s="15"/>
      <c r="KR234" s="15"/>
      <c r="KS234" s="15"/>
      <c r="KT234" s="15"/>
      <c r="KU234" s="15"/>
      <c r="KV234" s="15"/>
      <c r="KW234" s="15"/>
      <c r="KX234" s="15"/>
      <c r="KY234" s="15"/>
      <c r="KZ234" s="15"/>
    </row>
    <row r="235" spans="300:312" x14ac:dyDescent="0.3">
      <c r="KN235" s="15"/>
      <c r="KO235" s="15"/>
      <c r="KP235" s="15"/>
      <c r="KQ235" s="15"/>
      <c r="KR235" s="15"/>
      <c r="KS235" s="15"/>
      <c r="KT235" s="15"/>
      <c r="KU235" s="15"/>
      <c r="KV235" s="15"/>
      <c r="KW235" s="15"/>
      <c r="KX235" s="15"/>
      <c r="KY235" s="15"/>
      <c r="KZ235" s="15"/>
    </row>
    <row r="236" spans="300:312" x14ac:dyDescent="0.3">
      <c r="KN236" s="15"/>
      <c r="KO236" s="15"/>
      <c r="KP236" s="15"/>
      <c r="KQ236" s="15"/>
      <c r="KR236" s="15"/>
      <c r="KS236" s="15"/>
      <c r="KT236" s="15"/>
      <c r="KU236" s="15"/>
      <c r="KV236" s="15"/>
      <c r="KW236" s="15"/>
      <c r="KX236" s="15"/>
      <c r="KY236" s="15"/>
      <c r="KZ236" s="15"/>
    </row>
    <row r="237" spans="300:312" x14ac:dyDescent="0.3">
      <c r="KN237" s="15"/>
      <c r="KO237" s="15"/>
      <c r="KP237" s="15"/>
      <c r="KQ237" s="15"/>
      <c r="KR237" s="15"/>
      <c r="KS237" s="15"/>
      <c r="KT237" s="15"/>
      <c r="KU237" s="15"/>
      <c r="KV237" s="15"/>
      <c r="KW237" s="15"/>
      <c r="KX237" s="15"/>
      <c r="KY237" s="15"/>
      <c r="KZ237" s="15"/>
    </row>
    <row r="238" spans="300:312" x14ac:dyDescent="0.3">
      <c r="KN238" s="15"/>
      <c r="KO238" s="15"/>
      <c r="KP238" s="15"/>
      <c r="KQ238" s="15"/>
      <c r="KR238" s="15"/>
      <c r="KS238" s="15"/>
      <c r="KT238" s="15"/>
      <c r="KU238" s="15"/>
      <c r="KV238" s="15"/>
      <c r="KW238" s="15"/>
      <c r="KX238" s="15"/>
      <c r="KY238" s="15"/>
      <c r="KZ238" s="15"/>
    </row>
    <row r="239" spans="300:312" x14ac:dyDescent="0.3">
      <c r="KN239" s="15"/>
      <c r="KO239" s="15"/>
      <c r="KP239" s="15"/>
      <c r="KQ239" s="15"/>
      <c r="KR239" s="15"/>
      <c r="KS239" s="15"/>
      <c r="KT239" s="15"/>
      <c r="KU239" s="15"/>
      <c r="KV239" s="15"/>
      <c r="KW239" s="15"/>
      <c r="KX239" s="15"/>
      <c r="KY239" s="15"/>
      <c r="KZ239" s="15"/>
    </row>
    <row r="240" spans="300:312" x14ac:dyDescent="0.3">
      <c r="KN240" s="15"/>
      <c r="KO240" s="15"/>
      <c r="KP240" s="15"/>
      <c r="KQ240" s="15"/>
      <c r="KR240" s="15"/>
      <c r="KS240" s="15"/>
      <c r="KT240" s="15"/>
      <c r="KU240" s="15"/>
      <c r="KV240" s="15"/>
      <c r="KW240" s="15"/>
      <c r="KX240" s="15"/>
      <c r="KY240" s="15"/>
      <c r="KZ240" s="15"/>
    </row>
    <row r="241" spans="300:312" x14ac:dyDescent="0.3">
      <c r="KN241" s="15"/>
      <c r="KO241" s="15"/>
      <c r="KP241" s="15"/>
      <c r="KQ241" s="15"/>
      <c r="KR241" s="15"/>
      <c r="KS241" s="15"/>
      <c r="KT241" s="15"/>
      <c r="KU241" s="15"/>
      <c r="KV241" s="15"/>
      <c r="KW241" s="15"/>
      <c r="KX241" s="15"/>
      <c r="KY241" s="15"/>
      <c r="KZ241" s="15"/>
    </row>
    <row r="242" spans="300:312" x14ac:dyDescent="0.3">
      <c r="KN242" s="15"/>
      <c r="KO242" s="15"/>
      <c r="KP242" s="15"/>
      <c r="KQ242" s="15"/>
      <c r="KR242" s="15"/>
      <c r="KS242" s="15"/>
      <c r="KT242" s="15"/>
      <c r="KU242" s="15"/>
      <c r="KV242" s="15"/>
      <c r="KW242" s="15"/>
      <c r="KX242" s="15"/>
      <c r="KY242" s="15"/>
      <c r="KZ242" s="15"/>
    </row>
    <row r="243" spans="300:312" x14ac:dyDescent="0.3">
      <c r="KN243" s="15"/>
      <c r="KO243" s="15"/>
      <c r="KP243" s="15"/>
      <c r="KQ243" s="15"/>
      <c r="KR243" s="15"/>
      <c r="KS243" s="15"/>
      <c r="KT243" s="15"/>
      <c r="KU243" s="15"/>
      <c r="KV243" s="15"/>
      <c r="KW243" s="15"/>
      <c r="KX243" s="15"/>
      <c r="KY243" s="15"/>
      <c r="KZ243" s="15"/>
    </row>
    <row r="244" spans="300:312" x14ac:dyDescent="0.3">
      <c r="KN244" s="15"/>
      <c r="KO244" s="15"/>
      <c r="KP244" s="15"/>
      <c r="KQ244" s="15"/>
      <c r="KR244" s="15"/>
      <c r="KS244" s="15"/>
      <c r="KT244" s="15"/>
      <c r="KU244" s="15"/>
      <c r="KV244" s="15"/>
      <c r="KW244" s="15"/>
      <c r="KX244" s="15"/>
      <c r="KY244" s="15"/>
      <c r="KZ244" s="15"/>
    </row>
    <row r="245" spans="300:312" x14ac:dyDescent="0.3">
      <c r="KN245" s="15"/>
      <c r="KO245" s="15"/>
      <c r="KP245" s="15"/>
      <c r="KQ245" s="15"/>
      <c r="KR245" s="15"/>
      <c r="KS245" s="15"/>
      <c r="KT245" s="15"/>
      <c r="KU245" s="15"/>
      <c r="KV245" s="15"/>
      <c r="KW245" s="15"/>
      <c r="KX245" s="15"/>
      <c r="KY245" s="15"/>
      <c r="KZ245" s="15"/>
    </row>
    <row r="246" spans="300:312" x14ac:dyDescent="0.3">
      <c r="KN246" s="15"/>
      <c r="KO246" s="15"/>
      <c r="KP246" s="15"/>
      <c r="KQ246" s="15"/>
      <c r="KR246" s="15"/>
      <c r="KS246" s="15"/>
      <c r="KT246" s="15"/>
      <c r="KU246" s="15"/>
      <c r="KV246" s="15"/>
      <c r="KW246" s="15"/>
      <c r="KX246" s="15"/>
      <c r="KY246" s="15"/>
      <c r="KZ246" s="15"/>
    </row>
    <row r="247" spans="300:312" x14ac:dyDescent="0.3">
      <c r="KN247" s="15"/>
      <c r="KO247" s="15"/>
      <c r="KP247" s="15"/>
      <c r="KQ247" s="15"/>
      <c r="KR247" s="15"/>
      <c r="KS247" s="15"/>
      <c r="KT247" s="15"/>
      <c r="KU247" s="15"/>
      <c r="KV247" s="15"/>
      <c r="KW247" s="15"/>
      <c r="KX247" s="15"/>
      <c r="KY247" s="15"/>
      <c r="KZ247" s="15"/>
    </row>
    <row r="248" spans="300:312" x14ac:dyDescent="0.3">
      <c r="KN248" s="15"/>
      <c r="KO248" s="15"/>
      <c r="KP248" s="15"/>
      <c r="KQ248" s="15"/>
      <c r="KR248" s="15"/>
      <c r="KS248" s="15"/>
      <c r="KT248" s="15"/>
      <c r="KU248" s="15"/>
      <c r="KV248" s="15"/>
      <c r="KW248" s="15"/>
      <c r="KX248" s="15"/>
      <c r="KY248" s="15"/>
      <c r="KZ248" s="15"/>
    </row>
    <row r="249" spans="300:312" x14ac:dyDescent="0.3">
      <c r="KN249" s="15"/>
      <c r="KO249" s="15"/>
      <c r="KP249" s="15"/>
      <c r="KQ249" s="15"/>
      <c r="KR249" s="15"/>
      <c r="KS249" s="15"/>
      <c r="KT249" s="15"/>
      <c r="KU249" s="15"/>
      <c r="KV249" s="15"/>
      <c r="KW249" s="15"/>
      <c r="KX249" s="15"/>
      <c r="KY249" s="15"/>
      <c r="KZ249" s="15"/>
    </row>
    <row r="250" spans="300:312" x14ac:dyDescent="0.3">
      <c r="KN250" s="15"/>
      <c r="KO250" s="15"/>
      <c r="KP250" s="15"/>
      <c r="KQ250" s="15"/>
      <c r="KR250" s="15"/>
      <c r="KS250" s="15"/>
      <c r="KT250" s="15"/>
      <c r="KU250" s="15"/>
      <c r="KV250" s="15"/>
      <c r="KW250" s="15"/>
      <c r="KX250" s="15"/>
      <c r="KY250" s="15"/>
      <c r="KZ250" s="15"/>
    </row>
    <row r="251" spans="300:312" x14ac:dyDescent="0.3">
      <c r="KN251" s="15"/>
      <c r="KO251" s="15"/>
      <c r="KP251" s="15"/>
      <c r="KQ251" s="15"/>
      <c r="KR251" s="15"/>
      <c r="KS251" s="15"/>
      <c r="KT251" s="15"/>
      <c r="KU251" s="15"/>
      <c r="KV251" s="15"/>
      <c r="KW251" s="15"/>
      <c r="KX251" s="15"/>
      <c r="KY251" s="15"/>
      <c r="KZ251" s="15"/>
    </row>
    <row r="252" spans="300:312" x14ac:dyDescent="0.3">
      <c r="KN252" s="15"/>
      <c r="KO252" s="15"/>
      <c r="KP252" s="15"/>
      <c r="KQ252" s="15"/>
      <c r="KR252" s="15"/>
      <c r="KS252" s="15"/>
      <c r="KT252" s="15"/>
      <c r="KU252" s="15"/>
      <c r="KV252" s="15"/>
      <c r="KW252" s="15"/>
      <c r="KX252" s="15"/>
      <c r="KY252" s="15"/>
      <c r="KZ252" s="15"/>
    </row>
    <row r="253" spans="300:312" x14ac:dyDescent="0.3">
      <c r="KN253" s="15"/>
      <c r="KO253" s="15"/>
      <c r="KP253" s="15"/>
      <c r="KQ253" s="15"/>
      <c r="KR253" s="15"/>
      <c r="KS253" s="15"/>
      <c r="KT253" s="15"/>
      <c r="KU253" s="15"/>
      <c r="KV253" s="15"/>
      <c r="KW253" s="15"/>
      <c r="KX253" s="15"/>
      <c r="KY253" s="15"/>
      <c r="KZ253" s="15"/>
    </row>
    <row r="254" spans="300:312" x14ac:dyDescent="0.3">
      <c r="KN254" s="15"/>
      <c r="KO254" s="15"/>
      <c r="KP254" s="15"/>
      <c r="KQ254" s="15"/>
      <c r="KR254" s="15"/>
      <c r="KS254" s="15"/>
      <c r="KT254" s="15"/>
      <c r="KU254" s="15"/>
      <c r="KV254" s="15"/>
      <c r="KW254" s="15"/>
      <c r="KX254" s="15"/>
      <c r="KY254" s="15"/>
      <c r="KZ254" s="15"/>
    </row>
    <row r="255" spans="300:312" x14ac:dyDescent="0.3">
      <c r="KN255" s="15"/>
      <c r="KO255" s="15"/>
      <c r="KP255" s="15"/>
      <c r="KQ255" s="15"/>
      <c r="KR255" s="15"/>
      <c r="KS255" s="15"/>
      <c r="KT255" s="15"/>
      <c r="KU255" s="15"/>
      <c r="KV255" s="15"/>
      <c r="KW255" s="15"/>
      <c r="KX255" s="15"/>
      <c r="KY255" s="15"/>
      <c r="KZ255" s="15"/>
    </row>
    <row r="256" spans="300:312" x14ac:dyDescent="0.3"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</row>
    <row r="257" spans="300:312" x14ac:dyDescent="0.3">
      <c r="KN257" s="15"/>
      <c r="KO257" s="15"/>
      <c r="KP257" s="15"/>
      <c r="KQ257" s="15"/>
      <c r="KR257" s="15"/>
      <c r="KS257" s="15"/>
      <c r="KT257" s="15"/>
      <c r="KU257" s="15"/>
      <c r="KV257" s="15"/>
      <c r="KW257" s="15"/>
      <c r="KX257" s="15"/>
      <c r="KY257" s="15"/>
      <c r="KZ257" s="15"/>
    </row>
    <row r="258" spans="300:312" x14ac:dyDescent="0.3"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</row>
    <row r="259" spans="300:312" x14ac:dyDescent="0.3">
      <c r="KN259" s="15"/>
      <c r="KO259" s="15"/>
      <c r="KP259" s="15"/>
      <c r="KQ259" s="15"/>
      <c r="KR259" s="15"/>
      <c r="KS259" s="15"/>
      <c r="KT259" s="15"/>
      <c r="KU259" s="15"/>
      <c r="KV259" s="15"/>
      <c r="KW259" s="15"/>
      <c r="KX259" s="15"/>
      <c r="KY259" s="15"/>
      <c r="KZ259" s="15"/>
    </row>
    <row r="260" spans="300:312" x14ac:dyDescent="0.3">
      <c r="KN260" s="15"/>
      <c r="KO260" s="15"/>
      <c r="KP260" s="15"/>
      <c r="KQ260" s="15"/>
      <c r="KR260" s="15"/>
      <c r="KS260" s="15"/>
      <c r="KT260" s="15"/>
      <c r="KU260" s="15"/>
      <c r="KV260" s="15"/>
      <c r="KW260" s="15"/>
      <c r="KX260" s="15"/>
      <c r="KY260" s="15"/>
      <c r="KZ260" s="15"/>
    </row>
    <row r="261" spans="300:312" x14ac:dyDescent="0.3">
      <c r="KN261" s="15"/>
      <c r="KO261" s="15"/>
      <c r="KP261" s="15"/>
      <c r="KQ261" s="15"/>
      <c r="KR261" s="15"/>
      <c r="KS261" s="15"/>
      <c r="KT261" s="15"/>
      <c r="KU261" s="15"/>
      <c r="KV261" s="15"/>
      <c r="KW261" s="15"/>
      <c r="KX261" s="15"/>
      <c r="KY261" s="15"/>
      <c r="KZ261" s="15"/>
    </row>
    <row r="262" spans="300:312" x14ac:dyDescent="0.3">
      <c r="KN262" s="15"/>
      <c r="KO262" s="15"/>
      <c r="KP262" s="15"/>
      <c r="KQ262" s="15"/>
      <c r="KR262" s="15"/>
      <c r="KS262" s="15"/>
      <c r="KT262" s="15"/>
      <c r="KU262" s="15"/>
      <c r="KV262" s="15"/>
      <c r="KW262" s="15"/>
      <c r="KX262" s="15"/>
      <c r="KY262" s="15"/>
      <c r="KZ262" s="15"/>
    </row>
    <row r="263" spans="300:312" x14ac:dyDescent="0.3">
      <c r="KN263" s="15"/>
      <c r="KO263" s="15"/>
      <c r="KP263" s="15"/>
      <c r="KQ263" s="15"/>
      <c r="KR263" s="15"/>
      <c r="KS263" s="15"/>
      <c r="KT263" s="15"/>
      <c r="KU263" s="15"/>
      <c r="KV263" s="15"/>
      <c r="KW263" s="15"/>
      <c r="KX263" s="15"/>
      <c r="KY263" s="15"/>
      <c r="KZ263" s="15"/>
    </row>
    <row r="264" spans="300:312" x14ac:dyDescent="0.3">
      <c r="KN264" s="15"/>
      <c r="KO264" s="15"/>
      <c r="KP264" s="15"/>
      <c r="KQ264" s="15"/>
      <c r="KR264" s="15"/>
      <c r="KS264" s="15"/>
      <c r="KT264" s="15"/>
      <c r="KU264" s="15"/>
      <c r="KV264" s="15"/>
      <c r="KW264" s="15"/>
      <c r="KX264" s="15"/>
      <c r="KY264" s="15"/>
      <c r="KZ264" s="15"/>
    </row>
    <row r="265" spans="300:312" x14ac:dyDescent="0.3">
      <c r="KN265" s="15"/>
      <c r="KO265" s="15"/>
      <c r="KP265" s="15"/>
      <c r="KQ265" s="15"/>
      <c r="KR265" s="15"/>
      <c r="KS265" s="15"/>
      <c r="KT265" s="15"/>
      <c r="KU265" s="15"/>
      <c r="KV265" s="15"/>
      <c r="KW265" s="15"/>
      <c r="KX265" s="15"/>
      <c r="KY265" s="15"/>
      <c r="KZ265" s="15"/>
    </row>
    <row r="266" spans="300:312" x14ac:dyDescent="0.3">
      <c r="KN266" s="15"/>
      <c r="KO266" s="15"/>
      <c r="KP266" s="15"/>
      <c r="KQ266" s="15"/>
      <c r="KR266" s="15"/>
      <c r="KS266" s="15"/>
      <c r="KT266" s="15"/>
      <c r="KU266" s="15"/>
      <c r="KV266" s="15"/>
      <c r="KW266" s="15"/>
      <c r="KX266" s="15"/>
      <c r="KY266" s="15"/>
      <c r="KZ266" s="15"/>
    </row>
    <row r="267" spans="300:312" x14ac:dyDescent="0.3">
      <c r="KN267" s="15"/>
      <c r="KO267" s="15"/>
      <c r="KP267" s="15"/>
      <c r="KQ267" s="15"/>
      <c r="KR267" s="15"/>
      <c r="KS267" s="15"/>
      <c r="KT267" s="15"/>
      <c r="KU267" s="15"/>
      <c r="KV267" s="15"/>
      <c r="KW267" s="15"/>
      <c r="KX267" s="15"/>
      <c r="KY267" s="15"/>
      <c r="KZ267" s="15"/>
    </row>
    <row r="268" spans="300:312" x14ac:dyDescent="0.3">
      <c r="KN268" s="15"/>
      <c r="KO268" s="15"/>
      <c r="KP268" s="15"/>
      <c r="KQ268" s="15"/>
      <c r="KR268" s="15"/>
      <c r="KS268" s="15"/>
      <c r="KT268" s="15"/>
      <c r="KU268" s="15"/>
      <c r="KV268" s="15"/>
      <c r="KW268" s="15"/>
      <c r="KX268" s="15"/>
      <c r="KY268" s="15"/>
      <c r="KZ268" s="15"/>
    </row>
    <row r="269" spans="300:312" x14ac:dyDescent="0.3">
      <c r="KN269" s="15"/>
      <c r="KO269" s="15"/>
      <c r="KP269" s="15"/>
      <c r="KQ269" s="15"/>
      <c r="KR269" s="15"/>
      <c r="KS269" s="15"/>
      <c r="KT269" s="15"/>
      <c r="KU269" s="15"/>
      <c r="KV269" s="15"/>
      <c r="KW269" s="15"/>
      <c r="KX269" s="15"/>
      <c r="KY269" s="15"/>
      <c r="KZ269" s="15"/>
    </row>
    <row r="270" spans="300:312" x14ac:dyDescent="0.3">
      <c r="KN270" s="15"/>
      <c r="KO270" s="15"/>
      <c r="KP270" s="15"/>
      <c r="KQ270" s="15"/>
      <c r="KR270" s="15"/>
      <c r="KS270" s="15"/>
      <c r="KT270" s="15"/>
      <c r="KU270" s="15"/>
      <c r="KV270" s="15"/>
      <c r="KW270" s="15"/>
      <c r="KX270" s="15"/>
      <c r="KY270" s="15"/>
      <c r="KZ270" s="15"/>
    </row>
    <row r="271" spans="300:312" x14ac:dyDescent="0.3">
      <c r="KN271" s="15"/>
      <c r="KO271" s="15"/>
      <c r="KP271" s="15"/>
      <c r="KQ271" s="15"/>
      <c r="KR271" s="15"/>
      <c r="KS271" s="15"/>
      <c r="KT271" s="15"/>
      <c r="KU271" s="15"/>
      <c r="KV271" s="15"/>
      <c r="KW271" s="15"/>
      <c r="KX271" s="15"/>
      <c r="KY271" s="15"/>
      <c r="KZ271" s="15"/>
    </row>
    <row r="272" spans="300:312" x14ac:dyDescent="0.3">
      <c r="KN272" s="15"/>
      <c r="KO272" s="15"/>
      <c r="KP272" s="15"/>
      <c r="KQ272" s="15"/>
      <c r="KR272" s="15"/>
      <c r="KS272" s="15"/>
      <c r="KT272" s="15"/>
      <c r="KU272" s="15"/>
      <c r="KV272" s="15"/>
      <c r="KW272" s="15"/>
      <c r="KX272" s="15"/>
      <c r="KY272" s="15"/>
      <c r="KZ272" s="15"/>
    </row>
    <row r="273" spans="300:312" x14ac:dyDescent="0.3">
      <c r="KN273" s="15"/>
      <c r="KO273" s="15"/>
      <c r="KP273" s="15"/>
      <c r="KQ273" s="15"/>
      <c r="KR273" s="15"/>
      <c r="KS273" s="15"/>
      <c r="KT273" s="15"/>
      <c r="KU273" s="15"/>
      <c r="KV273" s="15"/>
      <c r="KW273" s="15"/>
      <c r="KX273" s="15"/>
      <c r="KY273" s="15"/>
      <c r="KZ273" s="15"/>
    </row>
    <row r="274" spans="300:312" x14ac:dyDescent="0.3">
      <c r="KN274" s="15"/>
      <c r="KO274" s="15"/>
      <c r="KP274" s="15"/>
      <c r="KQ274" s="15"/>
      <c r="KR274" s="15"/>
      <c r="KS274" s="15"/>
      <c r="KT274" s="15"/>
      <c r="KU274" s="15"/>
      <c r="KV274" s="15"/>
      <c r="KW274" s="15"/>
      <c r="KX274" s="15"/>
      <c r="KY274" s="15"/>
      <c r="KZ274" s="15"/>
    </row>
    <row r="275" spans="300:312" x14ac:dyDescent="0.3">
      <c r="KN275" s="15"/>
      <c r="KO275" s="15"/>
      <c r="KP275" s="15"/>
      <c r="KQ275" s="15"/>
      <c r="KR275" s="15"/>
      <c r="KS275" s="15"/>
      <c r="KT275" s="15"/>
      <c r="KU275" s="15"/>
      <c r="KV275" s="15"/>
      <c r="KW275" s="15"/>
      <c r="KX275" s="15"/>
      <c r="KY275" s="15"/>
      <c r="KZ275" s="15"/>
    </row>
    <row r="276" spans="300:312" x14ac:dyDescent="0.3">
      <c r="KN276" s="15"/>
      <c r="KO276" s="15"/>
      <c r="KP276" s="15"/>
      <c r="KQ276" s="15"/>
      <c r="KR276" s="15"/>
      <c r="KS276" s="15"/>
      <c r="KT276" s="15"/>
      <c r="KU276" s="15"/>
      <c r="KV276" s="15"/>
      <c r="KW276" s="15"/>
      <c r="KX276" s="15"/>
      <c r="KY276" s="15"/>
      <c r="KZ276" s="15"/>
    </row>
    <row r="277" spans="300:312" x14ac:dyDescent="0.3">
      <c r="KN277" s="15"/>
      <c r="KO277" s="15"/>
      <c r="KP277" s="15"/>
      <c r="KQ277" s="15"/>
      <c r="KR277" s="15"/>
      <c r="KS277" s="15"/>
      <c r="KT277" s="15"/>
      <c r="KU277" s="15"/>
      <c r="KV277" s="15"/>
      <c r="KW277" s="15"/>
      <c r="KX277" s="15"/>
      <c r="KY277" s="15"/>
      <c r="KZ277" s="15"/>
    </row>
    <row r="278" spans="300:312" x14ac:dyDescent="0.3">
      <c r="KN278" s="15"/>
      <c r="KO278" s="15"/>
      <c r="KP278" s="15"/>
      <c r="KQ278" s="15"/>
      <c r="KR278" s="15"/>
      <c r="KS278" s="15"/>
      <c r="KT278" s="15"/>
      <c r="KU278" s="15"/>
      <c r="KV278" s="15"/>
      <c r="KW278" s="15"/>
      <c r="KX278" s="15"/>
      <c r="KY278" s="15"/>
      <c r="KZ278" s="15"/>
    </row>
    <row r="279" spans="300:312" x14ac:dyDescent="0.3">
      <c r="KN279" s="15"/>
      <c r="KO279" s="15"/>
      <c r="KP279" s="15"/>
      <c r="KQ279" s="15"/>
      <c r="KR279" s="15"/>
      <c r="KS279" s="15"/>
      <c r="KT279" s="15"/>
      <c r="KU279" s="15"/>
      <c r="KV279" s="15"/>
      <c r="KW279" s="15"/>
      <c r="KX279" s="15"/>
      <c r="KY279" s="15"/>
      <c r="KZ279" s="15"/>
    </row>
    <row r="280" spans="300:312" x14ac:dyDescent="0.3">
      <c r="KN280" s="15"/>
      <c r="KO280" s="15"/>
      <c r="KP280" s="15"/>
      <c r="KQ280" s="15"/>
      <c r="KR280" s="15"/>
      <c r="KS280" s="15"/>
      <c r="KT280" s="15"/>
      <c r="KU280" s="15"/>
      <c r="KV280" s="15"/>
      <c r="KW280" s="15"/>
      <c r="KX280" s="15"/>
      <c r="KY280" s="15"/>
      <c r="KZ280" s="15"/>
    </row>
    <row r="281" spans="300:312" x14ac:dyDescent="0.3">
      <c r="KN281" s="15"/>
      <c r="KO281" s="15"/>
      <c r="KP281" s="15"/>
      <c r="KQ281" s="15"/>
      <c r="KR281" s="15"/>
      <c r="KS281" s="15"/>
      <c r="KT281" s="15"/>
      <c r="KU281" s="15"/>
      <c r="KV281" s="15"/>
      <c r="KW281" s="15"/>
      <c r="KX281" s="15"/>
      <c r="KY281" s="15"/>
      <c r="KZ281" s="15"/>
    </row>
    <row r="282" spans="300:312" x14ac:dyDescent="0.3">
      <c r="KN282" s="15"/>
      <c r="KO282" s="15"/>
      <c r="KP282" s="15"/>
      <c r="KQ282" s="15"/>
      <c r="KR282" s="15"/>
      <c r="KS282" s="15"/>
      <c r="KT282" s="15"/>
      <c r="KU282" s="15"/>
      <c r="KV282" s="15"/>
      <c r="KW282" s="15"/>
      <c r="KX282" s="15"/>
      <c r="KY282" s="15"/>
      <c r="KZ282" s="15"/>
    </row>
    <row r="283" spans="300:312" x14ac:dyDescent="0.3">
      <c r="KN283" s="15"/>
      <c r="KO283" s="15"/>
      <c r="KP283" s="15"/>
      <c r="KQ283" s="15"/>
      <c r="KR283" s="15"/>
      <c r="KS283" s="15"/>
      <c r="KT283" s="15"/>
      <c r="KU283" s="15"/>
      <c r="KV283" s="15"/>
      <c r="KW283" s="15"/>
      <c r="KX283" s="15"/>
      <c r="KY283" s="15"/>
      <c r="KZ283" s="15"/>
    </row>
    <row r="284" spans="300:312" x14ac:dyDescent="0.3">
      <c r="KN284" s="15"/>
      <c r="KO284" s="15"/>
      <c r="KP284" s="15"/>
      <c r="KQ284" s="15"/>
      <c r="KR284" s="15"/>
      <c r="KS284" s="15"/>
      <c r="KT284" s="15"/>
      <c r="KU284" s="15"/>
      <c r="KV284" s="15"/>
      <c r="KW284" s="15"/>
      <c r="KX284" s="15"/>
      <c r="KY284" s="15"/>
      <c r="KZ284" s="15"/>
    </row>
    <row r="285" spans="300:312" x14ac:dyDescent="0.3">
      <c r="KN285" s="15"/>
      <c r="KO285" s="15"/>
      <c r="KP285" s="15"/>
      <c r="KQ285" s="15"/>
      <c r="KR285" s="15"/>
      <c r="KS285" s="15"/>
      <c r="KT285" s="15"/>
      <c r="KU285" s="15"/>
      <c r="KV285" s="15"/>
      <c r="KW285" s="15"/>
      <c r="KX285" s="15"/>
      <c r="KY285" s="15"/>
      <c r="KZ285" s="15"/>
    </row>
    <row r="286" spans="300:312" x14ac:dyDescent="0.3">
      <c r="KN286" s="15"/>
      <c r="KO286" s="15"/>
      <c r="KP286" s="15"/>
      <c r="KQ286" s="15"/>
      <c r="KR286" s="15"/>
      <c r="KS286" s="15"/>
      <c r="KT286" s="15"/>
      <c r="KU286" s="15"/>
      <c r="KV286" s="15"/>
      <c r="KW286" s="15"/>
      <c r="KX286" s="15"/>
      <c r="KY286" s="15"/>
      <c r="KZ286" s="15"/>
    </row>
    <row r="287" spans="300:312" x14ac:dyDescent="0.3">
      <c r="KN287" s="15"/>
      <c r="KO287" s="15"/>
      <c r="KP287" s="15"/>
      <c r="KQ287" s="15"/>
      <c r="KR287" s="15"/>
      <c r="KS287" s="15"/>
      <c r="KT287" s="15"/>
      <c r="KU287" s="15"/>
      <c r="KV287" s="15"/>
      <c r="KW287" s="15"/>
      <c r="KX287" s="15"/>
      <c r="KY287" s="15"/>
      <c r="KZ287" s="15"/>
    </row>
    <row r="288" spans="300:312" x14ac:dyDescent="0.3">
      <c r="KN288" s="15"/>
      <c r="KO288" s="15"/>
      <c r="KP288" s="15"/>
      <c r="KQ288" s="15"/>
      <c r="KR288" s="15"/>
      <c r="KS288" s="15"/>
      <c r="KT288" s="15"/>
      <c r="KU288" s="15"/>
      <c r="KV288" s="15"/>
      <c r="KW288" s="15"/>
      <c r="KX288" s="15"/>
      <c r="KY288" s="15"/>
      <c r="KZ288" s="15"/>
    </row>
    <row r="289" spans="300:312" x14ac:dyDescent="0.3">
      <c r="KN289" s="15"/>
      <c r="KO289" s="15"/>
      <c r="KP289" s="15"/>
      <c r="KQ289" s="15"/>
      <c r="KR289" s="15"/>
      <c r="KS289" s="15"/>
      <c r="KT289" s="15"/>
      <c r="KU289" s="15"/>
      <c r="KV289" s="15"/>
      <c r="KW289" s="15"/>
      <c r="KX289" s="15"/>
      <c r="KY289" s="15"/>
      <c r="KZ289" s="15"/>
    </row>
    <row r="290" spans="300:312" x14ac:dyDescent="0.3">
      <c r="KN290" s="15"/>
      <c r="KO290" s="15"/>
      <c r="KP290" s="15"/>
      <c r="KQ290" s="15"/>
      <c r="KR290" s="15"/>
      <c r="KS290" s="15"/>
      <c r="KT290" s="15"/>
      <c r="KU290" s="15"/>
      <c r="KV290" s="15"/>
      <c r="KW290" s="15"/>
      <c r="KX290" s="15"/>
      <c r="KY290" s="15"/>
      <c r="KZ290" s="15"/>
    </row>
    <row r="291" spans="300:312" x14ac:dyDescent="0.3">
      <c r="KN291" s="15"/>
      <c r="KO291" s="15"/>
      <c r="KP291" s="15"/>
      <c r="KQ291" s="15"/>
      <c r="KR291" s="15"/>
      <c r="KS291" s="15"/>
      <c r="KT291" s="15"/>
      <c r="KU291" s="15"/>
      <c r="KV291" s="15"/>
      <c r="KW291" s="15"/>
      <c r="KX291" s="15"/>
      <c r="KY291" s="15"/>
      <c r="KZ291" s="15"/>
    </row>
    <row r="292" spans="300:312" x14ac:dyDescent="0.3">
      <c r="KN292" s="15"/>
      <c r="KO292" s="15"/>
      <c r="KP292" s="15"/>
      <c r="KQ292" s="15"/>
      <c r="KR292" s="15"/>
      <c r="KS292" s="15"/>
      <c r="KT292" s="15"/>
      <c r="KU292" s="15"/>
      <c r="KV292" s="15"/>
      <c r="KW292" s="15"/>
      <c r="KX292" s="15"/>
      <c r="KY292" s="15"/>
      <c r="KZ292" s="15"/>
    </row>
    <row r="293" spans="300:312" x14ac:dyDescent="0.3">
      <c r="KN293" s="15"/>
      <c r="KO293" s="15"/>
      <c r="KP293" s="15"/>
      <c r="KQ293" s="15"/>
      <c r="KR293" s="15"/>
      <c r="KS293" s="15"/>
      <c r="KT293" s="15"/>
      <c r="KU293" s="15"/>
      <c r="KV293" s="15"/>
      <c r="KW293" s="15"/>
      <c r="KX293" s="15"/>
      <c r="KY293" s="15"/>
      <c r="KZ293" s="15"/>
    </row>
    <row r="294" spans="300:312" x14ac:dyDescent="0.3">
      <c r="KN294" s="15"/>
      <c r="KO294" s="15"/>
      <c r="KP294" s="15"/>
      <c r="KQ294" s="15"/>
      <c r="KR294" s="15"/>
      <c r="KS294" s="15"/>
      <c r="KT294" s="15"/>
      <c r="KU294" s="15"/>
      <c r="KV294" s="15"/>
      <c r="KW294" s="15"/>
      <c r="KX294" s="15"/>
      <c r="KY294" s="15"/>
      <c r="KZ294" s="15"/>
    </row>
    <row r="295" spans="300:312" x14ac:dyDescent="0.3">
      <c r="KN295" s="15"/>
      <c r="KO295" s="15"/>
      <c r="KP295" s="15"/>
      <c r="KQ295" s="15"/>
      <c r="KR295" s="15"/>
      <c r="KS295" s="15"/>
      <c r="KT295" s="15"/>
      <c r="KU295" s="15"/>
      <c r="KV295" s="15"/>
      <c r="KW295" s="15"/>
      <c r="KX295" s="15"/>
      <c r="KY295" s="15"/>
      <c r="KZ295" s="15"/>
    </row>
    <row r="296" spans="300:312" x14ac:dyDescent="0.3">
      <c r="KN296" s="15"/>
      <c r="KO296" s="15"/>
      <c r="KP296" s="15"/>
      <c r="KQ296" s="15"/>
      <c r="KR296" s="15"/>
      <c r="KS296" s="15"/>
      <c r="KT296" s="15"/>
      <c r="KU296" s="15"/>
      <c r="KV296" s="15"/>
      <c r="KW296" s="15"/>
      <c r="KX296" s="15"/>
      <c r="KY296" s="15"/>
      <c r="KZ296" s="15"/>
    </row>
    <row r="297" spans="300:312" x14ac:dyDescent="0.3">
      <c r="KN297" s="15"/>
      <c r="KO297" s="15"/>
      <c r="KP297" s="15"/>
      <c r="KQ297" s="15"/>
      <c r="KR297" s="15"/>
      <c r="KS297" s="15"/>
      <c r="KT297" s="15"/>
      <c r="KU297" s="15"/>
      <c r="KV297" s="15"/>
      <c r="KW297" s="15"/>
      <c r="KX297" s="15"/>
      <c r="KY297" s="15"/>
      <c r="KZ297" s="15"/>
    </row>
    <row r="298" spans="300:312" x14ac:dyDescent="0.3">
      <c r="KN298" s="15"/>
      <c r="KO298" s="15"/>
      <c r="KP298" s="15"/>
      <c r="KQ298" s="15"/>
      <c r="KR298" s="15"/>
      <c r="KS298" s="15"/>
      <c r="KT298" s="15"/>
      <c r="KU298" s="15"/>
      <c r="KV298" s="15"/>
      <c r="KW298" s="15"/>
      <c r="KX298" s="15"/>
      <c r="KY298" s="15"/>
      <c r="KZ298" s="15"/>
    </row>
    <row r="299" spans="300:312" x14ac:dyDescent="0.3">
      <c r="KN299" s="15"/>
      <c r="KO299" s="15"/>
      <c r="KP299" s="15"/>
      <c r="KQ299" s="15"/>
      <c r="KR299" s="15"/>
      <c r="KS299" s="15"/>
      <c r="KT299" s="15"/>
      <c r="KU299" s="15"/>
      <c r="KV299" s="15"/>
      <c r="KW299" s="15"/>
      <c r="KX299" s="15"/>
      <c r="KY299" s="15"/>
      <c r="KZ299" s="15"/>
    </row>
    <row r="300" spans="300:312" x14ac:dyDescent="0.3">
      <c r="KN300" s="15"/>
      <c r="KO300" s="15"/>
      <c r="KP300" s="15"/>
      <c r="KQ300" s="15"/>
      <c r="KR300" s="15"/>
      <c r="KS300" s="15"/>
      <c r="KT300" s="15"/>
      <c r="KU300" s="15"/>
      <c r="KV300" s="15"/>
      <c r="KW300" s="15"/>
      <c r="KX300" s="15"/>
      <c r="KY300" s="15"/>
      <c r="KZ300" s="15"/>
    </row>
    <row r="301" spans="300:312" x14ac:dyDescent="0.3">
      <c r="KN301" s="15"/>
      <c r="KO301" s="15"/>
      <c r="KP301" s="15"/>
      <c r="KQ301" s="15"/>
      <c r="KR301" s="15"/>
      <c r="KS301" s="15"/>
      <c r="KT301" s="15"/>
      <c r="KU301" s="15"/>
      <c r="KV301" s="15"/>
      <c r="KW301" s="15"/>
      <c r="KX301" s="15"/>
      <c r="KY301" s="15"/>
      <c r="KZ301" s="15"/>
    </row>
    <row r="302" spans="300:312" x14ac:dyDescent="0.3">
      <c r="KN302" s="15"/>
      <c r="KO302" s="15"/>
      <c r="KP302" s="15"/>
      <c r="KQ302" s="15"/>
      <c r="KR302" s="15"/>
      <c r="KS302" s="15"/>
      <c r="KT302" s="15"/>
      <c r="KU302" s="15"/>
      <c r="KV302" s="15"/>
      <c r="KW302" s="15"/>
      <c r="KX302" s="15"/>
      <c r="KY302" s="15"/>
      <c r="KZ302" s="15"/>
    </row>
    <row r="303" spans="300:312" x14ac:dyDescent="0.3">
      <c r="KN303" s="15"/>
      <c r="KO303" s="15"/>
      <c r="KP303" s="15"/>
      <c r="KQ303" s="15"/>
      <c r="KR303" s="15"/>
      <c r="KS303" s="15"/>
      <c r="KT303" s="15"/>
      <c r="KU303" s="15"/>
      <c r="KV303" s="15"/>
      <c r="KW303" s="15"/>
      <c r="KX303" s="15"/>
      <c r="KY303" s="15"/>
      <c r="KZ303" s="15"/>
    </row>
    <row r="304" spans="300:312" x14ac:dyDescent="0.3">
      <c r="KN304" s="15"/>
      <c r="KO304" s="15"/>
      <c r="KP304" s="15"/>
      <c r="KQ304" s="15"/>
      <c r="KR304" s="15"/>
      <c r="KS304" s="15"/>
      <c r="KT304" s="15"/>
      <c r="KU304" s="15"/>
      <c r="KV304" s="15"/>
      <c r="KW304" s="15"/>
      <c r="KX304" s="15"/>
      <c r="KY304" s="15"/>
      <c r="KZ304" s="15"/>
    </row>
    <row r="305" spans="300:312" x14ac:dyDescent="0.3">
      <c r="KN305" s="15"/>
      <c r="KO305" s="15"/>
      <c r="KP305" s="15"/>
      <c r="KQ305" s="15"/>
      <c r="KR305" s="15"/>
      <c r="KS305" s="15"/>
      <c r="KT305" s="15"/>
      <c r="KU305" s="15"/>
      <c r="KV305" s="15"/>
      <c r="KW305" s="15"/>
      <c r="KX305" s="15"/>
      <c r="KY305" s="15"/>
      <c r="KZ305" s="15"/>
    </row>
    <row r="306" spans="300:312" x14ac:dyDescent="0.3">
      <c r="KN306" s="15"/>
      <c r="KO306" s="15"/>
      <c r="KP306" s="15"/>
      <c r="KQ306" s="15"/>
      <c r="KR306" s="15"/>
      <c r="KS306" s="15"/>
      <c r="KT306" s="15"/>
      <c r="KU306" s="15"/>
      <c r="KV306" s="15"/>
      <c r="KW306" s="15"/>
      <c r="KX306" s="15"/>
      <c r="KY306" s="15"/>
      <c r="KZ306" s="15"/>
    </row>
    <row r="307" spans="300:312" x14ac:dyDescent="0.3">
      <c r="KN307" s="15"/>
      <c r="KO307" s="15"/>
      <c r="KP307" s="15"/>
      <c r="KQ307" s="15"/>
      <c r="KR307" s="15"/>
      <c r="KS307" s="15"/>
      <c r="KT307" s="15"/>
      <c r="KU307" s="15"/>
      <c r="KV307" s="15"/>
      <c r="KW307" s="15"/>
      <c r="KX307" s="15"/>
      <c r="KY307" s="15"/>
      <c r="KZ307" s="15"/>
    </row>
    <row r="308" spans="300:312" x14ac:dyDescent="0.3">
      <c r="KN308" s="15"/>
      <c r="KO308" s="15"/>
      <c r="KP308" s="15"/>
      <c r="KQ308" s="15"/>
      <c r="KR308" s="15"/>
      <c r="KS308" s="15"/>
      <c r="KT308" s="15"/>
      <c r="KU308" s="15"/>
      <c r="KV308" s="15"/>
      <c r="KW308" s="15"/>
      <c r="KX308" s="15"/>
      <c r="KY308" s="15"/>
      <c r="KZ308" s="15"/>
    </row>
    <row r="309" spans="300:312" x14ac:dyDescent="0.3">
      <c r="KN309" s="15"/>
      <c r="KO309" s="15"/>
      <c r="KP309" s="15"/>
      <c r="KQ309" s="15"/>
      <c r="KR309" s="15"/>
      <c r="KS309" s="15"/>
      <c r="KT309" s="15"/>
      <c r="KU309" s="15"/>
      <c r="KV309" s="15"/>
      <c r="KW309" s="15"/>
      <c r="KX309" s="15"/>
      <c r="KY309" s="15"/>
      <c r="KZ309" s="15"/>
    </row>
    <row r="310" spans="300:312" x14ac:dyDescent="0.3">
      <c r="KN310" s="15"/>
      <c r="KO310" s="15"/>
      <c r="KP310" s="15"/>
      <c r="KQ310" s="15"/>
      <c r="KR310" s="15"/>
      <c r="KS310" s="15"/>
      <c r="KT310" s="15"/>
      <c r="KU310" s="15"/>
      <c r="KV310" s="15"/>
      <c r="KW310" s="15"/>
      <c r="KX310" s="15"/>
      <c r="KY310" s="15"/>
      <c r="KZ310" s="15"/>
    </row>
    <row r="311" spans="300:312" x14ac:dyDescent="0.3">
      <c r="KN311" s="15"/>
      <c r="KO311" s="15"/>
      <c r="KP311" s="15"/>
      <c r="KQ311" s="15"/>
      <c r="KR311" s="15"/>
      <c r="KS311" s="15"/>
      <c r="KT311" s="15"/>
      <c r="KU311" s="15"/>
      <c r="KV311" s="15"/>
      <c r="KW311" s="15"/>
      <c r="KX311" s="15"/>
      <c r="KY311" s="15"/>
      <c r="KZ311" s="15"/>
    </row>
    <row r="312" spans="300:312" x14ac:dyDescent="0.3">
      <c r="KN312" s="15"/>
      <c r="KO312" s="15"/>
      <c r="KP312" s="15"/>
      <c r="KQ312" s="15"/>
      <c r="KR312" s="15"/>
      <c r="KS312" s="15"/>
      <c r="KT312" s="15"/>
      <c r="KU312" s="15"/>
      <c r="KV312" s="15"/>
      <c r="KW312" s="15"/>
      <c r="KX312" s="15"/>
      <c r="KY312" s="15"/>
      <c r="KZ312" s="15"/>
    </row>
    <row r="313" spans="300:312" x14ac:dyDescent="0.3">
      <c r="KN313" s="15"/>
      <c r="KO313" s="15"/>
      <c r="KP313" s="15"/>
      <c r="KQ313" s="15"/>
      <c r="KR313" s="15"/>
      <c r="KS313" s="15"/>
      <c r="KT313" s="15"/>
      <c r="KU313" s="15"/>
      <c r="KV313" s="15"/>
      <c r="KW313" s="15"/>
      <c r="KX313" s="15"/>
      <c r="KY313" s="15"/>
      <c r="KZ313" s="15"/>
    </row>
    <row r="314" spans="300:312" x14ac:dyDescent="0.3">
      <c r="KN314" s="15"/>
      <c r="KO314" s="15"/>
      <c r="KP314" s="15"/>
      <c r="KQ314" s="15"/>
      <c r="KR314" s="15"/>
      <c r="KS314" s="15"/>
      <c r="KT314" s="15"/>
      <c r="KU314" s="15"/>
      <c r="KV314" s="15"/>
      <c r="KW314" s="15"/>
      <c r="KX314" s="15"/>
      <c r="KY314" s="15"/>
      <c r="KZ314" s="15"/>
    </row>
    <row r="315" spans="300:312" x14ac:dyDescent="0.3">
      <c r="KN315" s="15"/>
      <c r="KO315" s="15"/>
      <c r="KP315" s="15"/>
      <c r="KQ315" s="15"/>
      <c r="KR315" s="15"/>
      <c r="KS315" s="15"/>
      <c r="KT315" s="15"/>
      <c r="KU315" s="15"/>
      <c r="KV315" s="15"/>
      <c r="KW315" s="15"/>
      <c r="KX315" s="15"/>
      <c r="KY315" s="15"/>
      <c r="KZ315" s="15"/>
    </row>
    <row r="316" spans="300:312" x14ac:dyDescent="0.3">
      <c r="KN316" s="15"/>
      <c r="KO316" s="15"/>
      <c r="KP316" s="15"/>
      <c r="KQ316" s="15"/>
      <c r="KR316" s="15"/>
      <c r="KS316" s="15"/>
      <c r="KT316" s="15"/>
      <c r="KU316" s="15"/>
      <c r="KV316" s="15"/>
      <c r="KW316" s="15"/>
      <c r="KX316" s="15"/>
      <c r="KY316" s="15"/>
      <c r="KZ316" s="15"/>
    </row>
    <row r="317" spans="300:312" x14ac:dyDescent="0.3"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</row>
    <row r="318" spans="300:312" x14ac:dyDescent="0.3">
      <c r="KN318" s="15"/>
      <c r="KO318" s="15"/>
      <c r="KP318" s="15"/>
      <c r="KQ318" s="15"/>
      <c r="KR318" s="15"/>
      <c r="KS318" s="15"/>
      <c r="KT318" s="15"/>
      <c r="KU318" s="15"/>
      <c r="KV318" s="15"/>
      <c r="KW318" s="15"/>
      <c r="KX318" s="15"/>
      <c r="KY318" s="15"/>
      <c r="KZ318" s="15"/>
    </row>
    <row r="319" spans="300:312" x14ac:dyDescent="0.3">
      <c r="KN319" s="15"/>
      <c r="KO319" s="15"/>
      <c r="KP319" s="15"/>
      <c r="KQ319" s="15"/>
      <c r="KR319" s="15"/>
      <c r="KS319" s="15"/>
      <c r="KT319" s="15"/>
      <c r="KU319" s="15"/>
      <c r="KV319" s="15"/>
      <c r="KW319" s="15"/>
      <c r="KX319" s="15"/>
      <c r="KY319" s="15"/>
      <c r="KZ319" s="15"/>
    </row>
    <row r="320" spans="300:312" x14ac:dyDescent="0.3">
      <c r="KN320" s="15"/>
      <c r="KO320" s="15"/>
      <c r="KP320" s="15"/>
      <c r="KQ320" s="15"/>
      <c r="KR320" s="15"/>
      <c r="KS320" s="15"/>
      <c r="KT320" s="15"/>
      <c r="KU320" s="15"/>
      <c r="KV320" s="15"/>
      <c r="KW320" s="15"/>
      <c r="KX320" s="15"/>
      <c r="KY320" s="15"/>
      <c r="KZ320" s="15"/>
    </row>
    <row r="321" spans="300:312" x14ac:dyDescent="0.3">
      <c r="KN321" s="15"/>
      <c r="KO321" s="15"/>
      <c r="KP321" s="15"/>
      <c r="KQ321" s="15"/>
      <c r="KR321" s="15"/>
      <c r="KS321" s="15"/>
      <c r="KT321" s="15"/>
      <c r="KU321" s="15"/>
      <c r="KV321" s="15"/>
      <c r="KW321" s="15"/>
      <c r="KX321" s="15"/>
      <c r="KY321" s="15"/>
      <c r="KZ321" s="15"/>
    </row>
    <row r="322" spans="300:312" x14ac:dyDescent="0.3">
      <c r="KN322" s="15"/>
      <c r="KO322" s="15"/>
      <c r="KP322" s="15"/>
      <c r="KQ322" s="15"/>
      <c r="KR322" s="15"/>
      <c r="KS322" s="15"/>
      <c r="KT322" s="15"/>
      <c r="KU322" s="15"/>
      <c r="KV322" s="15"/>
      <c r="KW322" s="15"/>
      <c r="KX322" s="15"/>
      <c r="KY322" s="15"/>
      <c r="KZ322" s="15"/>
    </row>
    <row r="323" spans="300:312" x14ac:dyDescent="0.3">
      <c r="KN323" s="15"/>
      <c r="KO323" s="15"/>
      <c r="KP323" s="15"/>
      <c r="KQ323" s="15"/>
      <c r="KR323" s="15"/>
      <c r="KS323" s="15"/>
      <c r="KT323" s="15"/>
      <c r="KU323" s="15"/>
      <c r="KV323" s="15"/>
      <c r="KW323" s="15"/>
      <c r="KX323" s="15"/>
      <c r="KY323" s="15"/>
      <c r="KZ323" s="15"/>
    </row>
    <row r="324" spans="300:312" x14ac:dyDescent="0.3">
      <c r="KN324" s="15"/>
      <c r="KO324" s="15"/>
      <c r="KP324" s="15"/>
      <c r="KQ324" s="15"/>
      <c r="KR324" s="15"/>
      <c r="KS324" s="15"/>
      <c r="KT324" s="15"/>
      <c r="KU324" s="15"/>
      <c r="KV324" s="15"/>
      <c r="KW324" s="15"/>
      <c r="KX324" s="15"/>
      <c r="KY324" s="15"/>
      <c r="KZ324" s="15"/>
    </row>
    <row r="325" spans="300:312" x14ac:dyDescent="0.3">
      <c r="KN325" s="15"/>
      <c r="KO325" s="15"/>
      <c r="KP325" s="15"/>
      <c r="KQ325" s="15"/>
      <c r="KR325" s="15"/>
      <c r="KS325" s="15"/>
      <c r="KT325" s="15"/>
      <c r="KU325" s="15"/>
      <c r="KV325" s="15"/>
      <c r="KW325" s="15"/>
      <c r="KX325" s="15"/>
      <c r="KY325" s="15"/>
      <c r="KZ325" s="15"/>
    </row>
    <row r="326" spans="300:312" x14ac:dyDescent="0.3">
      <c r="KN326" s="15"/>
      <c r="KO326" s="15"/>
      <c r="KP326" s="15"/>
      <c r="KQ326" s="15"/>
      <c r="KR326" s="15"/>
      <c r="KS326" s="15"/>
      <c r="KT326" s="15"/>
      <c r="KU326" s="15"/>
      <c r="KV326" s="15"/>
      <c r="KW326" s="15"/>
      <c r="KX326" s="15"/>
      <c r="KY326" s="15"/>
      <c r="KZ326" s="15"/>
    </row>
    <row r="327" spans="300:312" x14ac:dyDescent="0.3">
      <c r="KN327" s="15"/>
      <c r="KO327" s="15"/>
      <c r="KP327" s="15"/>
      <c r="KQ327" s="15"/>
      <c r="KR327" s="15"/>
      <c r="KS327" s="15"/>
      <c r="KT327" s="15"/>
      <c r="KU327" s="15"/>
      <c r="KV327" s="15"/>
      <c r="KW327" s="15"/>
      <c r="KX327" s="15"/>
      <c r="KY327" s="15"/>
      <c r="KZ327" s="15"/>
    </row>
    <row r="328" spans="300:312" x14ac:dyDescent="0.3">
      <c r="KN328" s="15"/>
      <c r="KO328" s="15"/>
      <c r="KP328" s="15"/>
      <c r="KQ328" s="15"/>
      <c r="KR328" s="15"/>
      <c r="KS328" s="15"/>
      <c r="KT328" s="15"/>
      <c r="KU328" s="15"/>
      <c r="KV328" s="15"/>
      <c r="KW328" s="15"/>
      <c r="KX328" s="15"/>
      <c r="KY328" s="15"/>
      <c r="KZ328" s="15"/>
    </row>
    <row r="329" spans="300:312" x14ac:dyDescent="0.3">
      <c r="KN329" s="15"/>
      <c r="KO329" s="15"/>
      <c r="KP329" s="15"/>
      <c r="KQ329" s="15"/>
      <c r="KR329" s="15"/>
      <c r="KS329" s="15"/>
      <c r="KT329" s="15"/>
      <c r="KU329" s="15"/>
      <c r="KV329" s="15"/>
      <c r="KW329" s="15"/>
      <c r="KX329" s="15"/>
      <c r="KY329" s="15"/>
      <c r="KZ329" s="15"/>
    </row>
    <row r="330" spans="300:312" x14ac:dyDescent="0.3">
      <c r="KN330" s="15"/>
      <c r="KO330" s="15"/>
      <c r="KP330" s="15"/>
      <c r="KQ330" s="15"/>
      <c r="KR330" s="15"/>
      <c r="KS330" s="15"/>
      <c r="KT330" s="15"/>
      <c r="KU330" s="15"/>
      <c r="KV330" s="15"/>
      <c r="KW330" s="15"/>
      <c r="KX330" s="15"/>
      <c r="KY330" s="15"/>
      <c r="KZ330" s="15"/>
    </row>
    <row r="331" spans="300:312" x14ac:dyDescent="0.3">
      <c r="KN331" s="15"/>
      <c r="KO331" s="15"/>
      <c r="KP331" s="15"/>
      <c r="KQ331" s="15"/>
      <c r="KR331" s="15"/>
      <c r="KS331" s="15"/>
      <c r="KT331" s="15"/>
      <c r="KU331" s="15"/>
      <c r="KV331" s="15"/>
      <c r="KW331" s="15"/>
      <c r="KX331" s="15"/>
      <c r="KY331" s="15"/>
      <c r="KZ331" s="15"/>
    </row>
    <row r="332" spans="300:312" x14ac:dyDescent="0.3">
      <c r="KN332" s="15"/>
      <c r="KO332" s="15"/>
      <c r="KP332" s="15"/>
      <c r="KQ332" s="15"/>
      <c r="KR332" s="15"/>
      <c r="KS332" s="15"/>
      <c r="KT332" s="15"/>
      <c r="KU332" s="15"/>
      <c r="KV332" s="15"/>
      <c r="KW332" s="15"/>
      <c r="KX332" s="15"/>
      <c r="KY332" s="15"/>
      <c r="KZ332" s="15"/>
    </row>
    <row r="333" spans="300:312" x14ac:dyDescent="0.3">
      <c r="KN333" s="15"/>
      <c r="KO333" s="15"/>
      <c r="KP333" s="15"/>
      <c r="KQ333" s="15"/>
      <c r="KR333" s="15"/>
      <c r="KS333" s="15"/>
      <c r="KT333" s="15"/>
      <c r="KU333" s="15"/>
      <c r="KV333" s="15"/>
      <c r="KW333" s="15"/>
      <c r="KX333" s="15"/>
      <c r="KY333" s="15"/>
      <c r="KZ333" s="15"/>
    </row>
    <row r="334" spans="300:312" x14ac:dyDescent="0.3">
      <c r="KN334" s="15"/>
      <c r="KO334" s="15"/>
      <c r="KP334" s="15"/>
      <c r="KQ334" s="15"/>
      <c r="KR334" s="15"/>
      <c r="KS334" s="15"/>
      <c r="KT334" s="15"/>
      <c r="KU334" s="15"/>
      <c r="KV334" s="15"/>
      <c r="KW334" s="15"/>
      <c r="KX334" s="15"/>
      <c r="KY334" s="15"/>
      <c r="KZ334" s="15"/>
    </row>
    <row r="335" spans="300:312" x14ac:dyDescent="0.3">
      <c r="KN335" s="15"/>
      <c r="KO335" s="15"/>
      <c r="KP335" s="15"/>
      <c r="KQ335" s="15"/>
      <c r="KR335" s="15"/>
      <c r="KS335" s="15"/>
      <c r="KT335" s="15"/>
      <c r="KU335" s="15"/>
      <c r="KV335" s="15"/>
      <c r="KW335" s="15"/>
      <c r="KX335" s="15"/>
      <c r="KY335" s="15"/>
      <c r="KZ335" s="15"/>
    </row>
    <row r="336" spans="300:312" x14ac:dyDescent="0.3">
      <c r="KN336" s="15"/>
      <c r="KO336" s="15"/>
      <c r="KP336" s="15"/>
      <c r="KQ336" s="15"/>
      <c r="KR336" s="15"/>
      <c r="KS336" s="15"/>
      <c r="KT336" s="15"/>
      <c r="KU336" s="15"/>
      <c r="KV336" s="15"/>
      <c r="KW336" s="15"/>
      <c r="KX336" s="15"/>
      <c r="KY336" s="15"/>
      <c r="KZ336" s="15"/>
    </row>
    <row r="337" spans="300:312" x14ac:dyDescent="0.3">
      <c r="KN337" s="15"/>
      <c r="KO337" s="15"/>
      <c r="KP337" s="15"/>
      <c r="KQ337" s="15"/>
      <c r="KR337" s="15"/>
      <c r="KS337" s="15"/>
      <c r="KT337" s="15"/>
      <c r="KU337" s="15"/>
      <c r="KV337" s="15"/>
      <c r="KW337" s="15"/>
      <c r="KX337" s="15"/>
      <c r="KY337" s="15"/>
      <c r="KZ337" s="15"/>
    </row>
    <row r="338" spans="300:312" x14ac:dyDescent="0.3">
      <c r="KN338" s="15"/>
      <c r="KO338" s="15"/>
      <c r="KP338" s="15"/>
      <c r="KQ338" s="15"/>
      <c r="KR338" s="15"/>
      <c r="KS338" s="15"/>
      <c r="KT338" s="15"/>
      <c r="KU338" s="15"/>
      <c r="KV338" s="15"/>
      <c r="KW338" s="15"/>
      <c r="KX338" s="15"/>
      <c r="KY338" s="15"/>
      <c r="KZ338" s="15"/>
    </row>
    <row r="339" spans="300:312" x14ac:dyDescent="0.3">
      <c r="KN339" s="15"/>
      <c r="KO339" s="15"/>
      <c r="KP339" s="15"/>
      <c r="KQ339" s="15"/>
      <c r="KR339" s="15"/>
      <c r="KS339" s="15"/>
      <c r="KT339" s="15"/>
      <c r="KU339" s="15"/>
      <c r="KV339" s="15"/>
      <c r="KW339" s="15"/>
      <c r="KX339" s="15"/>
      <c r="KY339" s="15"/>
      <c r="KZ339" s="15"/>
    </row>
    <row r="340" spans="300:312" x14ac:dyDescent="0.3">
      <c r="KN340" s="15"/>
      <c r="KO340" s="15"/>
      <c r="KP340" s="15"/>
      <c r="KQ340" s="15"/>
      <c r="KR340" s="15"/>
      <c r="KS340" s="15"/>
      <c r="KT340" s="15"/>
      <c r="KU340" s="15"/>
      <c r="KV340" s="15"/>
      <c r="KW340" s="15"/>
      <c r="KX340" s="15"/>
      <c r="KY340" s="15"/>
      <c r="KZ340" s="15"/>
    </row>
    <row r="341" spans="300:312" x14ac:dyDescent="0.3">
      <c r="KN341" s="15"/>
      <c r="KO341" s="15"/>
      <c r="KP341" s="15"/>
      <c r="KQ341" s="15"/>
      <c r="KR341" s="15"/>
      <c r="KS341" s="15"/>
      <c r="KT341" s="15"/>
      <c r="KU341" s="15"/>
      <c r="KV341" s="15"/>
      <c r="KW341" s="15"/>
      <c r="KX341" s="15"/>
      <c r="KY341" s="15"/>
      <c r="KZ341" s="15"/>
    </row>
    <row r="342" spans="300:312" x14ac:dyDescent="0.3">
      <c r="KN342" s="15"/>
      <c r="KO342" s="15"/>
      <c r="KP342" s="15"/>
      <c r="KQ342" s="15"/>
      <c r="KR342" s="15"/>
      <c r="KS342" s="15"/>
      <c r="KT342" s="15"/>
      <c r="KU342" s="15"/>
      <c r="KV342" s="15"/>
      <c r="KW342" s="15"/>
      <c r="KX342" s="15"/>
      <c r="KY342" s="15"/>
      <c r="KZ342" s="15"/>
    </row>
    <row r="343" spans="300:312" x14ac:dyDescent="0.3">
      <c r="KN343" s="15"/>
      <c r="KO343" s="15"/>
      <c r="KP343" s="15"/>
      <c r="KQ343" s="15"/>
      <c r="KR343" s="15"/>
      <c r="KS343" s="15"/>
      <c r="KT343" s="15"/>
      <c r="KU343" s="15"/>
      <c r="KV343" s="15"/>
      <c r="KW343" s="15"/>
      <c r="KX343" s="15"/>
      <c r="KY343" s="15"/>
      <c r="KZ343" s="15"/>
    </row>
    <row r="344" spans="300:312" x14ac:dyDescent="0.3">
      <c r="KN344" s="15"/>
      <c r="KO344" s="15"/>
      <c r="KP344" s="15"/>
      <c r="KQ344" s="15"/>
      <c r="KR344" s="15"/>
      <c r="KS344" s="15"/>
      <c r="KT344" s="15"/>
      <c r="KU344" s="15"/>
      <c r="KV344" s="15"/>
      <c r="KW344" s="15"/>
      <c r="KX344" s="15"/>
      <c r="KY344" s="15"/>
      <c r="KZ344" s="15"/>
    </row>
    <row r="345" spans="300:312" x14ac:dyDescent="0.3">
      <c r="KN345" s="15"/>
      <c r="KO345" s="15"/>
      <c r="KP345" s="15"/>
      <c r="KQ345" s="15"/>
      <c r="KR345" s="15"/>
      <c r="KS345" s="15"/>
      <c r="KT345" s="15"/>
      <c r="KU345" s="15"/>
      <c r="KV345" s="15"/>
      <c r="KW345" s="15"/>
      <c r="KX345" s="15"/>
      <c r="KY345" s="15"/>
      <c r="KZ345" s="15"/>
    </row>
    <row r="346" spans="300:312" x14ac:dyDescent="0.3">
      <c r="KN346" s="15"/>
      <c r="KO346" s="15"/>
      <c r="KP346" s="15"/>
      <c r="KQ346" s="15"/>
      <c r="KR346" s="15"/>
      <c r="KS346" s="15"/>
      <c r="KT346" s="15"/>
      <c r="KU346" s="15"/>
      <c r="KV346" s="15"/>
      <c r="KW346" s="15"/>
      <c r="KX346" s="15"/>
      <c r="KY346" s="15"/>
      <c r="KZ346" s="15"/>
    </row>
    <row r="347" spans="300:312" x14ac:dyDescent="0.3">
      <c r="KN347" s="15"/>
      <c r="KO347" s="15"/>
      <c r="KP347" s="15"/>
      <c r="KQ347" s="15"/>
      <c r="KR347" s="15"/>
      <c r="KS347" s="15"/>
      <c r="KT347" s="15"/>
      <c r="KU347" s="15"/>
      <c r="KV347" s="15"/>
      <c r="KW347" s="15"/>
      <c r="KX347" s="15"/>
      <c r="KY347" s="15"/>
      <c r="KZ347" s="15"/>
    </row>
    <row r="348" spans="300:312" x14ac:dyDescent="0.3">
      <c r="KN348" s="15"/>
      <c r="KO348" s="15"/>
      <c r="KP348" s="15"/>
      <c r="KQ348" s="15"/>
      <c r="KR348" s="15"/>
      <c r="KS348" s="15"/>
      <c r="KT348" s="15"/>
      <c r="KU348" s="15"/>
      <c r="KV348" s="15"/>
      <c r="KW348" s="15"/>
      <c r="KX348" s="15"/>
      <c r="KY348" s="15"/>
      <c r="KZ348" s="15"/>
    </row>
    <row r="349" spans="300:312" x14ac:dyDescent="0.3">
      <c r="KN349" s="15"/>
      <c r="KO349" s="15"/>
      <c r="KP349" s="15"/>
      <c r="KQ349" s="15"/>
      <c r="KR349" s="15"/>
      <c r="KS349" s="15"/>
      <c r="KT349" s="15"/>
      <c r="KU349" s="15"/>
      <c r="KV349" s="15"/>
      <c r="KW349" s="15"/>
      <c r="KX349" s="15"/>
      <c r="KY349" s="15"/>
      <c r="KZ349" s="15"/>
    </row>
    <row r="350" spans="300:312" x14ac:dyDescent="0.3">
      <c r="KN350" s="15"/>
      <c r="KO350" s="15"/>
      <c r="KP350" s="15"/>
      <c r="KQ350" s="15"/>
      <c r="KR350" s="15"/>
      <c r="KS350" s="15"/>
      <c r="KT350" s="15"/>
      <c r="KU350" s="15"/>
      <c r="KV350" s="15"/>
      <c r="KW350" s="15"/>
      <c r="KX350" s="15"/>
      <c r="KY350" s="15"/>
      <c r="KZ350" s="15"/>
    </row>
    <row r="351" spans="300:312" x14ac:dyDescent="0.3">
      <c r="KN351" s="15"/>
      <c r="KO351" s="15"/>
      <c r="KP351" s="15"/>
      <c r="KQ351" s="15"/>
      <c r="KR351" s="15"/>
      <c r="KS351" s="15"/>
      <c r="KT351" s="15"/>
      <c r="KU351" s="15"/>
      <c r="KV351" s="15"/>
      <c r="KW351" s="15"/>
      <c r="KX351" s="15"/>
      <c r="KY351" s="15"/>
      <c r="KZ351" s="15"/>
    </row>
    <row r="352" spans="300:312" x14ac:dyDescent="0.3">
      <c r="KN352" s="15"/>
      <c r="KO352" s="15"/>
      <c r="KP352" s="15"/>
      <c r="KQ352" s="15"/>
      <c r="KR352" s="15"/>
      <c r="KS352" s="15"/>
      <c r="KT352" s="15"/>
      <c r="KU352" s="15"/>
      <c r="KV352" s="15"/>
      <c r="KW352" s="15"/>
      <c r="KX352" s="15"/>
      <c r="KY352" s="15"/>
      <c r="KZ352" s="15"/>
    </row>
    <row r="353" spans="300:312" x14ac:dyDescent="0.3">
      <c r="KN353" s="15"/>
      <c r="KO353" s="15"/>
      <c r="KP353" s="15"/>
      <c r="KQ353" s="15"/>
      <c r="KR353" s="15"/>
      <c r="KS353" s="15"/>
      <c r="KT353" s="15"/>
      <c r="KU353" s="15"/>
      <c r="KV353" s="15"/>
      <c r="KW353" s="15"/>
      <c r="KX353" s="15"/>
      <c r="KY353" s="15"/>
      <c r="KZ353" s="15"/>
    </row>
    <row r="354" spans="300:312" x14ac:dyDescent="0.3">
      <c r="KN354" s="15"/>
      <c r="KO354" s="15"/>
      <c r="KP354" s="15"/>
      <c r="KQ354" s="15"/>
      <c r="KR354" s="15"/>
      <c r="KS354" s="15"/>
      <c r="KT354" s="15"/>
      <c r="KU354" s="15"/>
      <c r="KV354" s="15"/>
      <c r="KW354" s="15"/>
      <c r="KX354" s="15"/>
      <c r="KY354" s="15"/>
      <c r="KZ354" s="15"/>
    </row>
    <row r="355" spans="300:312" x14ac:dyDescent="0.3">
      <c r="KN355" s="15"/>
      <c r="KO355" s="15"/>
      <c r="KP355" s="15"/>
      <c r="KQ355" s="15"/>
      <c r="KR355" s="15"/>
      <c r="KS355" s="15"/>
      <c r="KT355" s="15"/>
      <c r="KU355" s="15"/>
      <c r="KV355" s="15"/>
      <c r="KW355" s="15"/>
      <c r="KX355" s="15"/>
      <c r="KY355" s="15"/>
      <c r="KZ355" s="15"/>
    </row>
    <row r="356" spans="300:312" x14ac:dyDescent="0.3">
      <c r="KN356" s="15"/>
      <c r="KO356" s="15"/>
      <c r="KP356" s="15"/>
      <c r="KQ356" s="15"/>
      <c r="KR356" s="15"/>
      <c r="KS356" s="15"/>
      <c r="KT356" s="15"/>
      <c r="KU356" s="15"/>
      <c r="KV356" s="15"/>
      <c r="KW356" s="15"/>
      <c r="KX356" s="15"/>
      <c r="KY356" s="15"/>
      <c r="KZ356" s="15"/>
    </row>
    <row r="357" spans="300:312" x14ac:dyDescent="0.3">
      <c r="KN357" s="15"/>
      <c r="KO357" s="15"/>
      <c r="KP357" s="15"/>
      <c r="KQ357" s="15"/>
      <c r="KR357" s="15"/>
      <c r="KS357" s="15"/>
      <c r="KT357" s="15"/>
      <c r="KU357" s="15"/>
      <c r="KV357" s="15"/>
      <c r="KW357" s="15"/>
      <c r="KX357" s="15"/>
      <c r="KY357" s="15"/>
      <c r="KZ357" s="15"/>
    </row>
    <row r="358" spans="300:312" x14ac:dyDescent="0.3">
      <c r="KN358" s="15"/>
      <c r="KO358" s="15"/>
      <c r="KP358" s="15"/>
      <c r="KQ358" s="15"/>
      <c r="KR358" s="15"/>
      <c r="KS358" s="15"/>
      <c r="KT358" s="15"/>
      <c r="KU358" s="15"/>
      <c r="KV358" s="15"/>
      <c r="KW358" s="15"/>
      <c r="KX358" s="15"/>
      <c r="KY358" s="15"/>
      <c r="KZ358" s="15"/>
    </row>
    <row r="359" spans="300:312" x14ac:dyDescent="0.3">
      <c r="KN359" s="15"/>
      <c r="KO359" s="15"/>
      <c r="KP359" s="15"/>
      <c r="KQ359" s="15"/>
      <c r="KR359" s="15"/>
      <c r="KS359" s="15"/>
      <c r="KT359" s="15"/>
      <c r="KU359" s="15"/>
      <c r="KV359" s="15"/>
      <c r="KW359" s="15"/>
      <c r="KX359" s="15"/>
      <c r="KY359" s="15"/>
      <c r="KZ359" s="15"/>
    </row>
    <row r="360" spans="300:312" x14ac:dyDescent="0.3">
      <c r="KN360" s="15"/>
      <c r="KO360" s="15"/>
      <c r="KP360" s="15"/>
      <c r="KQ360" s="15"/>
      <c r="KR360" s="15"/>
      <c r="KS360" s="15"/>
      <c r="KT360" s="15"/>
      <c r="KU360" s="15"/>
      <c r="KV360" s="15"/>
      <c r="KW360" s="15"/>
      <c r="KX360" s="15"/>
      <c r="KY360" s="15"/>
      <c r="KZ360" s="15"/>
    </row>
    <row r="361" spans="300:312" x14ac:dyDescent="0.3">
      <c r="KN361" s="15"/>
      <c r="KO361" s="15"/>
      <c r="KP361" s="15"/>
      <c r="KQ361" s="15"/>
      <c r="KR361" s="15"/>
      <c r="KS361" s="15"/>
      <c r="KT361" s="15"/>
      <c r="KU361" s="15"/>
      <c r="KV361" s="15"/>
      <c r="KW361" s="15"/>
      <c r="KX361" s="15"/>
      <c r="KY361" s="15"/>
      <c r="KZ361" s="15"/>
    </row>
    <row r="362" spans="300:312" x14ac:dyDescent="0.3">
      <c r="KN362" s="15"/>
      <c r="KO362" s="15"/>
      <c r="KP362" s="15"/>
      <c r="KQ362" s="15"/>
      <c r="KR362" s="15"/>
      <c r="KS362" s="15"/>
      <c r="KT362" s="15"/>
      <c r="KU362" s="15"/>
      <c r="KV362" s="15"/>
      <c r="KW362" s="15"/>
      <c r="KX362" s="15"/>
      <c r="KY362" s="15"/>
      <c r="KZ362" s="15"/>
    </row>
    <row r="363" spans="300:312" x14ac:dyDescent="0.3">
      <c r="KN363" s="15"/>
      <c r="KO363" s="15"/>
      <c r="KP363" s="15"/>
      <c r="KQ363" s="15"/>
      <c r="KR363" s="15"/>
      <c r="KS363" s="15"/>
      <c r="KT363" s="15"/>
      <c r="KU363" s="15"/>
      <c r="KV363" s="15"/>
      <c r="KW363" s="15"/>
      <c r="KX363" s="15"/>
      <c r="KY363" s="15"/>
      <c r="KZ363" s="15"/>
    </row>
    <row r="364" spans="300:312" x14ac:dyDescent="0.3">
      <c r="KN364" s="15"/>
      <c r="KO364" s="15"/>
      <c r="KP364" s="15"/>
      <c r="KQ364" s="15"/>
      <c r="KR364" s="15"/>
      <c r="KS364" s="15"/>
      <c r="KT364" s="15"/>
      <c r="KU364" s="15"/>
      <c r="KV364" s="15"/>
      <c r="KW364" s="15"/>
      <c r="KX364" s="15"/>
      <c r="KY364" s="15"/>
      <c r="KZ364" s="15"/>
    </row>
    <row r="365" spans="300:312" x14ac:dyDescent="0.3">
      <c r="KN365" s="15"/>
      <c r="KO365" s="15"/>
      <c r="KP365" s="15"/>
      <c r="KQ365" s="15"/>
      <c r="KR365" s="15"/>
      <c r="KS365" s="15"/>
      <c r="KT365" s="15"/>
      <c r="KU365" s="15"/>
      <c r="KV365" s="15"/>
      <c r="KW365" s="15"/>
      <c r="KX365" s="15"/>
      <c r="KY365" s="15"/>
      <c r="KZ365" s="15"/>
    </row>
    <row r="366" spans="300:312" x14ac:dyDescent="0.3">
      <c r="KN366" s="15"/>
      <c r="KO366" s="15"/>
      <c r="KP366" s="15"/>
      <c r="KQ366" s="15"/>
      <c r="KR366" s="15"/>
      <c r="KS366" s="15"/>
      <c r="KT366" s="15"/>
      <c r="KU366" s="15"/>
      <c r="KV366" s="15"/>
      <c r="KW366" s="15"/>
      <c r="KX366" s="15"/>
      <c r="KY366" s="15"/>
      <c r="KZ366" s="15"/>
    </row>
    <row r="367" spans="300:312" x14ac:dyDescent="0.3">
      <c r="KN367" s="15"/>
      <c r="KO367" s="15"/>
      <c r="KP367" s="15"/>
      <c r="KQ367" s="15"/>
      <c r="KR367" s="15"/>
      <c r="KS367" s="15"/>
      <c r="KT367" s="15"/>
      <c r="KU367" s="15"/>
      <c r="KV367" s="15"/>
      <c r="KW367" s="15"/>
      <c r="KX367" s="15"/>
      <c r="KY367" s="15"/>
      <c r="KZ367" s="15"/>
    </row>
    <row r="368" spans="300:312" x14ac:dyDescent="0.3">
      <c r="KN368" s="15"/>
      <c r="KO368" s="15"/>
      <c r="KP368" s="15"/>
      <c r="KQ368" s="15"/>
      <c r="KR368" s="15"/>
      <c r="KS368" s="15"/>
      <c r="KT368" s="15"/>
      <c r="KU368" s="15"/>
      <c r="KV368" s="15"/>
      <c r="KW368" s="15"/>
      <c r="KX368" s="15"/>
      <c r="KY368" s="15"/>
      <c r="KZ368" s="15"/>
    </row>
    <row r="369" spans="300:312" x14ac:dyDescent="0.3">
      <c r="KN369" s="15"/>
      <c r="KO369" s="15"/>
      <c r="KP369" s="15"/>
      <c r="KQ369" s="15"/>
      <c r="KR369" s="15"/>
      <c r="KS369" s="15"/>
      <c r="KT369" s="15"/>
      <c r="KU369" s="15"/>
      <c r="KV369" s="15"/>
      <c r="KW369" s="15"/>
      <c r="KX369" s="15"/>
      <c r="KY369" s="15"/>
      <c r="KZ369" s="15"/>
    </row>
    <row r="370" spans="300:312" x14ac:dyDescent="0.3">
      <c r="KN370" s="15"/>
      <c r="KO370" s="15"/>
      <c r="KP370" s="15"/>
      <c r="KQ370" s="15"/>
      <c r="KR370" s="15"/>
      <c r="KS370" s="15"/>
      <c r="KT370" s="15"/>
      <c r="KU370" s="15"/>
      <c r="KV370" s="15"/>
      <c r="KW370" s="15"/>
      <c r="KX370" s="15"/>
      <c r="KY370" s="15"/>
      <c r="KZ370" s="15"/>
    </row>
    <row r="371" spans="300:312" x14ac:dyDescent="0.3">
      <c r="KN371" s="15"/>
      <c r="KO371" s="15"/>
      <c r="KP371" s="15"/>
      <c r="KQ371" s="15"/>
      <c r="KR371" s="15"/>
      <c r="KS371" s="15"/>
      <c r="KT371" s="15"/>
      <c r="KU371" s="15"/>
      <c r="KV371" s="15"/>
      <c r="KW371" s="15"/>
      <c r="KX371" s="15"/>
      <c r="KY371" s="15"/>
      <c r="KZ371" s="15"/>
    </row>
    <row r="372" spans="300:312" x14ac:dyDescent="0.3">
      <c r="KN372" s="15"/>
      <c r="KO372" s="15"/>
      <c r="KP372" s="15"/>
      <c r="KQ372" s="15"/>
      <c r="KR372" s="15"/>
      <c r="KS372" s="15"/>
      <c r="KT372" s="15"/>
      <c r="KU372" s="15"/>
      <c r="KV372" s="15"/>
      <c r="KW372" s="15"/>
      <c r="KX372" s="15"/>
      <c r="KY372" s="15"/>
      <c r="KZ372" s="15"/>
    </row>
    <row r="373" spans="300:312" x14ac:dyDescent="0.3">
      <c r="KN373" s="15"/>
      <c r="KO373" s="15"/>
      <c r="KP373" s="15"/>
      <c r="KQ373" s="15"/>
      <c r="KR373" s="15"/>
      <c r="KS373" s="15"/>
      <c r="KT373" s="15"/>
      <c r="KU373" s="15"/>
      <c r="KV373" s="15"/>
      <c r="KW373" s="15"/>
      <c r="KX373" s="15"/>
      <c r="KY373" s="15"/>
      <c r="KZ373" s="15"/>
    </row>
    <row r="374" spans="300:312" x14ac:dyDescent="0.3">
      <c r="KN374" s="15"/>
      <c r="KO374" s="15"/>
      <c r="KP374" s="15"/>
      <c r="KQ374" s="15"/>
      <c r="KR374" s="15"/>
      <c r="KS374" s="15"/>
      <c r="KT374" s="15"/>
      <c r="KU374" s="15"/>
      <c r="KV374" s="15"/>
      <c r="KW374" s="15"/>
      <c r="KX374" s="15"/>
      <c r="KY374" s="15"/>
      <c r="KZ374" s="15"/>
    </row>
    <row r="375" spans="300:312" x14ac:dyDescent="0.3">
      <c r="KN375" s="15"/>
      <c r="KO375" s="15"/>
      <c r="KP375" s="15"/>
      <c r="KQ375" s="15"/>
      <c r="KR375" s="15"/>
      <c r="KS375" s="15"/>
      <c r="KT375" s="15"/>
      <c r="KU375" s="15"/>
      <c r="KV375" s="15"/>
      <c r="KW375" s="15"/>
      <c r="KX375" s="15"/>
      <c r="KY375" s="15"/>
      <c r="KZ375" s="15"/>
    </row>
    <row r="376" spans="300:312" x14ac:dyDescent="0.3">
      <c r="KN376" s="15"/>
      <c r="KO376" s="15"/>
      <c r="KP376" s="15"/>
      <c r="KQ376" s="15"/>
      <c r="KR376" s="15"/>
      <c r="KS376" s="15"/>
      <c r="KT376" s="15"/>
      <c r="KU376" s="15"/>
      <c r="KV376" s="15"/>
      <c r="KW376" s="15"/>
      <c r="KX376" s="15"/>
      <c r="KY376" s="15"/>
      <c r="KZ376" s="15"/>
    </row>
    <row r="377" spans="300:312" x14ac:dyDescent="0.3">
      <c r="KN377" s="15"/>
      <c r="KO377" s="15"/>
      <c r="KP377" s="15"/>
      <c r="KQ377" s="15"/>
      <c r="KR377" s="15"/>
      <c r="KS377" s="15"/>
      <c r="KT377" s="15"/>
      <c r="KU377" s="15"/>
      <c r="KV377" s="15"/>
      <c r="KW377" s="15"/>
      <c r="KX377" s="15"/>
      <c r="KY377" s="15"/>
      <c r="KZ377" s="15"/>
    </row>
    <row r="378" spans="300:312" x14ac:dyDescent="0.3">
      <c r="KN378" s="15"/>
      <c r="KO378" s="15"/>
      <c r="KP378" s="15"/>
      <c r="KQ378" s="15"/>
      <c r="KR378" s="15"/>
      <c r="KS378" s="15"/>
      <c r="KT378" s="15"/>
      <c r="KU378" s="15"/>
      <c r="KV378" s="15"/>
      <c r="KW378" s="15"/>
      <c r="KX378" s="15"/>
      <c r="KY378" s="15"/>
      <c r="KZ378" s="15"/>
    </row>
    <row r="379" spans="300:312" x14ac:dyDescent="0.3">
      <c r="KN379" s="15"/>
      <c r="KO379" s="15"/>
      <c r="KP379" s="15"/>
      <c r="KQ379" s="15"/>
      <c r="KR379" s="15"/>
      <c r="KS379" s="15"/>
      <c r="KT379" s="15"/>
      <c r="KU379" s="15"/>
      <c r="KV379" s="15"/>
      <c r="KW379" s="15"/>
      <c r="KX379" s="15"/>
      <c r="KY379" s="15"/>
      <c r="KZ379" s="15"/>
    </row>
    <row r="380" spans="300:312" x14ac:dyDescent="0.3">
      <c r="KN380" s="15"/>
      <c r="KO380" s="15"/>
      <c r="KP380" s="15"/>
      <c r="KQ380" s="15"/>
      <c r="KR380" s="15"/>
      <c r="KS380" s="15"/>
      <c r="KT380" s="15"/>
      <c r="KU380" s="15"/>
      <c r="KV380" s="15"/>
      <c r="KW380" s="15"/>
      <c r="KX380" s="15"/>
      <c r="KY380" s="15"/>
      <c r="KZ380" s="15"/>
    </row>
    <row r="381" spans="300:312" x14ac:dyDescent="0.3">
      <c r="KN381" s="15"/>
      <c r="KO381" s="15"/>
      <c r="KP381" s="15"/>
      <c r="KQ381" s="15"/>
      <c r="KR381" s="15"/>
      <c r="KS381" s="15"/>
      <c r="KT381" s="15"/>
      <c r="KU381" s="15"/>
      <c r="KV381" s="15"/>
      <c r="KW381" s="15"/>
      <c r="KX381" s="15"/>
      <c r="KY381" s="15"/>
      <c r="KZ381" s="15"/>
    </row>
    <row r="382" spans="300:312" x14ac:dyDescent="0.3">
      <c r="KN382" s="15"/>
      <c r="KO382" s="15"/>
      <c r="KP382" s="15"/>
      <c r="KQ382" s="15"/>
      <c r="KR382" s="15"/>
      <c r="KS382" s="15"/>
      <c r="KT382" s="15"/>
      <c r="KU382" s="15"/>
      <c r="KV382" s="15"/>
      <c r="KW382" s="15"/>
      <c r="KX382" s="15"/>
      <c r="KY382" s="15"/>
      <c r="KZ382" s="15"/>
    </row>
    <row r="383" spans="300:312" x14ac:dyDescent="0.3">
      <c r="KN383" s="15"/>
      <c r="KO383" s="15"/>
      <c r="KP383" s="15"/>
      <c r="KQ383" s="15"/>
      <c r="KR383" s="15"/>
      <c r="KS383" s="15"/>
      <c r="KT383" s="15"/>
      <c r="KU383" s="15"/>
      <c r="KV383" s="15"/>
      <c r="KW383" s="15"/>
      <c r="KX383" s="15"/>
      <c r="KY383" s="15"/>
      <c r="KZ383" s="15"/>
    </row>
    <row r="384" spans="300:312" x14ac:dyDescent="0.3">
      <c r="KN384" s="15"/>
      <c r="KO384" s="15"/>
      <c r="KP384" s="15"/>
      <c r="KQ384" s="15"/>
      <c r="KR384" s="15"/>
      <c r="KS384" s="15"/>
      <c r="KT384" s="15"/>
      <c r="KU384" s="15"/>
      <c r="KV384" s="15"/>
      <c r="KW384" s="15"/>
      <c r="KX384" s="15"/>
      <c r="KY384" s="15"/>
      <c r="KZ384" s="15"/>
    </row>
    <row r="385" spans="300:312" x14ac:dyDescent="0.3">
      <c r="KN385" s="15"/>
      <c r="KO385" s="15"/>
      <c r="KP385" s="15"/>
      <c r="KQ385" s="15"/>
      <c r="KR385" s="15"/>
      <c r="KS385" s="15"/>
      <c r="KT385" s="15"/>
      <c r="KU385" s="15"/>
      <c r="KV385" s="15"/>
      <c r="KW385" s="15"/>
      <c r="KX385" s="15"/>
      <c r="KY385" s="15"/>
      <c r="KZ385" s="15"/>
    </row>
    <row r="386" spans="300:312" x14ac:dyDescent="0.3">
      <c r="KN386" s="15"/>
      <c r="KO386" s="15"/>
      <c r="KP386" s="15"/>
      <c r="KQ386" s="15"/>
      <c r="KR386" s="15"/>
      <c r="KS386" s="15"/>
      <c r="KT386" s="15"/>
      <c r="KU386" s="15"/>
      <c r="KV386" s="15"/>
      <c r="KW386" s="15"/>
      <c r="KX386" s="15"/>
      <c r="KY386" s="15"/>
      <c r="KZ386" s="15"/>
    </row>
    <row r="387" spans="300:312" x14ac:dyDescent="0.3">
      <c r="KN387" s="15"/>
      <c r="KO387" s="15"/>
      <c r="KP387" s="15"/>
      <c r="KQ387" s="15"/>
      <c r="KR387" s="15"/>
      <c r="KS387" s="15"/>
      <c r="KT387" s="15"/>
      <c r="KU387" s="15"/>
      <c r="KV387" s="15"/>
      <c r="KW387" s="15"/>
      <c r="KX387" s="15"/>
      <c r="KY387" s="15"/>
      <c r="KZ387" s="15"/>
    </row>
    <row r="388" spans="300:312" x14ac:dyDescent="0.3">
      <c r="KN388" s="15"/>
      <c r="KO388" s="15"/>
      <c r="KP388" s="15"/>
      <c r="KQ388" s="15"/>
      <c r="KR388" s="15"/>
      <c r="KS388" s="15"/>
      <c r="KT388" s="15"/>
      <c r="KU388" s="15"/>
      <c r="KV388" s="15"/>
      <c r="KW388" s="15"/>
      <c r="KX388" s="15"/>
      <c r="KY388" s="15"/>
      <c r="KZ388" s="15"/>
    </row>
    <row r="389" spans="300:312" x14ac:dyDescent="0.3">
      <c r="KN389" s="15"/>
      <c r="KO389" s="15"/>
      <c r="KP389" s="15"/>
      <c r="KQ389" s="15"/>
      <c r="KR389" s="15"/>
      <c r="KS389" s="15"/>
      <c r="KT389" s="15"/>
      <c r="KU389" s="15"/>
      <c r="KV389" s="15"/>
      <c r="KW389" s="15"/>
      <c r="KX389" s="15"/>
      <c r="KY389" s="15"/>
      <c r="KZ389" s="15"/>
    </row>
    <row r="390" spans="300:312" x14ac:dyDescent="0.3">
      <c r="KN390" s="15"/>
      <c r="KO390" s="15"/>
      <c r="KP390" s="15"/>
      <c r="KQ390" s="15"/>
      <c r="KR390" s="15"/>
      <c r="KS390" s="15"/>
      <c r="KT390" s="15"/>
      <c r="KU390" s="15"/>
      <c r="KV390" s="15"/>
      <c r="KW390" s="15"/>
      <c r="KX390" s="15"/>
      <c r="KY390" s="15"/>
      <c r="KZ390" s="15"/>
    </row>
    <row r="391" spans="300:312" x14ac:dyDescent="0.3">
      <c r="KN391" s="15"/>
      <c r="KO391" s="15"/>
      <c r="KP391" s="15"/>
      <c r="KQ391" s="15"/>
      <c r="KR391" s="15"/>
      <c r="KS391" s="15"/>
      <c r="KT391" s="15"/>
      <c r="KU391" s="15"/>
      <c r="KV391" s="15"/>
      <c r="KW391" s="15"/>
      <c r="KX391" s="15"/>
      <c r="KY391" s="15"/>
      <c r="KZ391" s="15"/>
    </row>
    <row r="392" spans="300:312" x14ac:dyDescent="0.3">
      <c r="KN392" s="15"/>
      <c r="KO392" s="15"/>
      <c r="KP392" s="15"/>
      <c r="KQ392" s="15"/>
      <c r="KR392" s="15"/>
      <c r="KS392" s="15"/>
      <c r="KT392" s="15"/>
      <c r="KU392" s="15"/>
      <c r="KV392" s="15"/>
      <c r="KW392" s="15"/>
      <c r="KX392" s="15"/>
      <c r="KY392" s="15"/>
      <c r="KZ392" s="15"/>
    </row>
    <row r="393" spans="300:312" x14ac:dyDescent="0.3">
      <c r="KN393" s="15"/>
      <c r="KO393" s="15"/>
      <c r="KP393" s="15"/>
      <c r="KQ393" s="15"/>
      <c r="KR393" s="15"/>
      <c r="KS393" s="15"/>
      <c r="KT393" s="15"/>
      <c r="KU393" s="15"/>
      <c r="KV393" s="15"/>
      <c r="KW393" s="15"/>
      <c r="KX393" s="15"/>
      <c r="KY393" s="15"/>
      <c r="KZ393" s="15"/>
    </row>
    <row r="394" spans="300:312" x14ac:dyDescent="0.3">
      <c r="KN394" s="15"/>
      <c r="KO394" s="15"/>
      <c r="KP394" s="15"/>
      <c r="KQ394" s="15"/>
      <c r="KR394" s="15"/>
      <c r="KS394" s="15"/>
      <c r="KT394" s="15"/>
      <c r="KU394" s="15"/>
      <c r="KV394" s="15"/>
      <c r="KW394" s="15"/>
      <c r="KX394" s="15"/>
      <c r="KY394" s="15"/>
      <c r="KZ394" s="15"/>
    </row>
    <row r="395" spans="300:312" x14ac:dyDescent="0.3">
      <c r="KN395" s="15"/>
      <c r="KO395" s="15"/>
      <c r="KP395" s="15"/>
      <c r="KQ395" s="15"/>
      <c r="KR395" s="15"/>
      <c r="KS395" s="15"/>
      <c r="KT395" s="15"/>
      <c r="KU395" s="15"/>
      <c r="KV395" s="15"/>
      <c r="KW395" s="15"/>
      <c r="KX395" s="15"/>
      <c r="KY395" s="15"/>
      <c r="KZ395" s="15"/>
    </row>
    <row r="396" spans="300:312" x14ac:dyDescent="0.3">
      <c r="KN396" s="15"/>
      <c r="KO396" s="15"/>
      <c r="KP396" s="15"/>
      <c r="KQ396" s="15"/>
      <c r="KR396" s="15"/>
      <c r="KS396" s="15"/>
      <c r="KT396" s="15"/>
      <c r="KU396" s="15"/>
      <c r="KV396" s="15"/>
      <c r="KW396" s="15"/>
      <c r="KX396" s="15"/>
      <c r="KY396" s="15"/>
      <c r="KZ396" s="15"/>
    </row>
    <row r="397" spans="300:312" x14ac:dyDescent="0.3">
      <c r="KN397" s="15"/>
      <c r="KO397" s="15"/>
      <c r="KP397" s="15"/>
      <c r="KQ397" s="15"/>
      <c r="KR397" s="15"/>
      <c r="KS397" s="15"/>
      <c r="KT397" s="15"/>
      <c r="KU397" s="15"/>
      <c r="KV397" s="15"/>
      <c r="KW397" s="15"/>
      <c r="KX397" s="15"/>
      <c r="KY397" s="15"/>
      <c r="KZ397" s="15"/>
    </row>
    <row r="398" spans="300:312" x14ac:dyDescent="0.3">
      <c r="KN398" s="15"/>
      <c r="KO398" s="15"/>
      <c r="KP398" s="15"/>
      <c r="KQ398" s="15"/>
      <c r="KR398" s="15"/>
      <c r="KS398" s="15"/>
      <c r="KT398" s="15"/>
      <c r="KU398" s="15"/>
      <c r="KV398" s="15"/>
      <c r="KW398" s="15"/>
      <c r="KX398" s="15"/>
      <c r="KY398" s="15"/>
      <c r="KZ398" s="15"/>
    </row>
    <row r="399" spans="300:312" x14ac:dyDescent="0.3">
      <c r="KN399" s="15"/>
      <c r="KO399" s="15"/>
      <c r="KP399" s="15"/>
      <c r="KQ399" s="15"/>
      <c r="KR399" s="15"/>
      <c r="KS399" s="15"/>
      <c r="KT399" s="15"/>
      <c r="KU399" s="15"/>
      <c r="KV399" s="15"/>
      <c r="KW399" s="15"/>
      <c r="KX399" s="15"/>
      <c r="KY399" s="15"/>
      <c r="KZ399" s="15"/>
    </row>
    <row r="400" spans="300:312" x14ac:dyDescent="0.3">
      <c r="KN400" s="15"/>
      <c r="KO400" s="15"/>
      <c r="KP400" s="15"/>
      <c r="KQ400" s="15"/>
      <c r="KR400" s="15"/>
      <c r="KS400" s="15"/>
      <c r="KT400" s="15"/>
      <c r="KU400" s="15"/>
      <c r="KV400" s="15"/>
      <c r="KW400" s="15"/>
      <c r="KX400" s="15"/>
      <c r="KY400" s="15"/>
      <c r="KZ400" s="15"/>
    </row>
    <row r="401" spans="300:312" x14ac:dyDescent="0.3">
      <c r="KN401" s="15"/>
      <c r="KO401" s="15"/>
      <c r="KP401" s="15"/>
      <c r="KQ401" s="15"/>
      <c r="KR401" s="15"/>
      <c r="KS401" s="15"/>
      <c r="KT401" s="15"/>
      <c r="KU401" s="15"/>
      <c r="KV401" s="15"/>
      <c r="KW401" s="15"/>
      <c r="KX401" s="15"/>
      <c r="KY401" s="15"/>
      <c r="KZ401" s="15"/>
    </row>
    <row r="402" spans="300:312" x14ac:dyDescent="0.3">
      <c r="KN402" s="15"/>
      <c r="KO402" s="15"/>
      <c r="KP402" s="15"/>
      <c r="KQ402" s="15"/>
      <c r="KR402" s="15"/>
      <c r="KS402" s="15"/>
      <c r="KT402" s="15"/>
      <c r="KU402" s="15"/>
      <c r="KV402" s="15"/>
      <c r="KW402" s="15"/>
      <c r="KX402" s="15"/>
      <c r="KY402" s="15"/>
      <c r="KZ402" s="15"/>
    </row>
    <row r="403" spans="300:312" x14ac:dyDescent="0.3">
      <c r="KN403" s="15"/>
      <c r="KO403" s="15"/>
      <c r="KP403" s="15"/>
      <c r="KQ403" s="15"/>
      <c r="KR403" s="15"/>
      <c r="KS403" s="15"/>
      <c r="KT403" s="15"/>
      <c r="KU403" s="15"/>
      <c r="KV403" s="15"/>
      <c r="KW403" s="15"/>
      <c r="KX403" s="15"/>
      <c r="KY403" s="15"/>
      <c r="KZ403" s="15"/>
    </row>
    <row r="404" spans="300:312" x14ac:dyDescent="0.3">
      <c r="KN404" s="15"/>
      <c r="KO404" s="15"/>
      <c r="KP404" s="15"/>
      <c r="KQ404" s="15"/>
      <c r="KR404" s="15"/>
      <c r="KS404" s="15"/>
      <c r="KT404" s="15"/>
      <c r="KU404" s="15"/>
      <c r="KV404" s="15"/>
      <c r="KW404" s="15"/>
      <c r="KX404" s="15"/>
      <c r="KY404" s="15"/>
      <c r="KZ404" s="15"/>
    </row>
    <row r="405" spans="300:312" x14ac:dyDescent="0.3">
      <c r="KN405" s="15"/>
      <c r="KO405" s="15"/>
      <c r="KP405" s="15"/>
      <c r="KQ405" s="15"/>
      <c r="KR405" s="15"/>
      <c r="KS405" s="15"/>
      <c r="KT405" s="15"/>
      <c r="KU405" s="15"/>
      <c r="KV405" s="15"/>
      <c r="KW405" s="15"/>
      <c r="KX405" s="15"/>
      <c r="KY405" s="15"/>
      <c r="KZ405" s="15"/>
    </row>
    <row r="406" spans="300:312" x14ac:dyDescent="0.3">
      <c r="KN406" s="15"/>
      <c r="KO406" s="15"/>
      <c r="KP406" s="15"/>
      <c r="KQ406" s="15"/>
      <c r="KR406" s="15"/>
      <c r="KS406" s="15"/>
      <c r="KT406" s="15"/>
      <c r="KU406" s="15"/>
      <c r="KV406" s="15"/>
      <c r="KW406" s="15"/>
      <c r="KX406" s="15"/>
      <c r="KY406" s="15"/>
      <c r="KZ406" s="15"/>
    </row>
    <row r="407" spans="300:312" x14ac:dyDescent="0.3">
      <c r="KN407" s="15"/>
      <c r="KO407" s="15"/>
      <c r="KP407" s="15"/>
      <c r="KQ407" s="15"/>
      <c r="KR407" s="15"/>
      <c r="KS407" s="15"/>
      <c r="KT407" s="15"/>
      <c r="KU407" s="15"/>
      <c r="KV407" s="15"/>
      <c r="KW407" s="15"/>
      <c r="KX407" s="15"/>
      <c r="KY407" s="15"/>
      <c r="KZ407" s="15"/>
    </row>
    <row r="408" spans="300:312" x14ac:dyDescent="0.3">
      <c r="KN408" s="15"/>
      <c r="KO408" s="15"/>
      <c r="KP408" s="15"/>
      <c r="KQ408" s="15"/>
      <c r="KR408" s="15"/>
      <c r="KS408" s="15"/>
      <c r="KT408" s="15"/>
      <c r="KU408" s="15"/>
      <c r="KV408" s="15"/>
      <c r="KW408" s="15"/>
      <c r="KX408" s="15"/>
      <c r="KY408" s="15"/>
      <c r="KZ408" s="15"/>
    </row>
    <row r="409" spans="300:312" x14ac:dyDescent="0.3">
      <c r="KN409" s="15"/>
      <c r="KO409" s="15"/>
      <c r="KP409" s="15"/>
      <c r="KQ409" s="15"/>
      <c r="KR409" s="15"/>
      <c r="KS409" s="15"/>
      <c r="KT409" s="15"/>
      <c r="KU409" s="15"/>
      <c r="KV409" s="15"/>
      <c r="KW409" s="15"/>
      <c r="KX409" s="15"/>
      <c r="KY409" s="15"/>
      <c r="KZ409" s="15"/>
    </row>
    <row r="410" spans="300:312" x14ac:dyDescent="0.3">
      <c r="KN410" s="15"/>
      <c r="KO410" s="15"/>
      <c r="KP410" s="15"/>
      <c r="KQ410" s="15"/>
      <c r="KR410" s="15"/>
      <c r="KS410" s="15"/>
      <c r="KT410" s="15"/>
      <c r="KU410" s="15"/>
      <c r="KV410" s="15"/>
      <c r="KW410" s="15"/>
      <c r="KX410" s="15"/>
      <c r="KY410" s="15"/>
      <c r="KZ410" s="15"/>
    </row>
    <row r="411" spans="300:312" x14ac:dyDescent="0.3">
      <c r="KN411" s="15"/>
      <c r="KO411" s="15"/>
      <c r="KP411" s="15"/>
      <c r="KQ411" s="15"/>
      <c r="KR411" s="15"/>
      <c r="KS411" s="15"/>
      <c r="KT411" s="15"/>
      <c r="KU411" s="15"/>
      <c r="KV411" s="15"/>
      <c r="KW411" s="15"/>
      <c r="KX411" s="15"/>
      <c r="KY411" s="15"/>
      <c r="KZ411" s="15"/>
    </row>
    <row r="412" spans="300:312" x14ac:dyDescent="0.3">
      <c r="KN412" s="15"/>
      <c r="KO412" s="15"/>
      <c r="KP412" s="15"/>
      <c r="KQ412" s="15"/>
      <c r="KR412" s="15"/>
      <c r="KS412" s="15"/>
      <c r="KT412" s="15"/>
      <c r="KU412" s="15"/>
      <c r="KV412" s="15"/>
      <c r="KW412" s="15"/>
      <c r="KX412" s="15"/>
      <c r="KY412" s="15"/>
      <c r="KZ412" s="15"/>
    </row>
    <row r="413" spans="300:312" x14ac:dyDescent="0.3">
      <c r="KN413" s="15"/>
      <c r="KO413" s="15"/>
      <c r="KP413" s="15"/>
      <c r="KQ413" s="15"/>
      <c r="KR413" s="15"/>
      <c r="KS413" s="15"/>
      <c r="KT413" s="15"/>
      <c r="KU413" s="15"/>
      <c r="KV413" s="15"/>
      <c r="KW413" s="15"/>
      <c r="KX413" s="15"/>
      <c r="KY413" s="15"/>
      <c r="KZ413" s="15"/>
    </row>
    <row r="414" spans="300:312" x14ac:dyDescent="0.3">
      <c r="KN414" s="15"/>
      <c r="KO414" s="15"/>
      <c r="KP414" s="15"/>
      <c r="KQ414" s="15"/>
      <c r="KR414" s="15"/>
      <c r="KS414" s="15"/>
      <c r="KT414" s="15"/>
      <c r="KU414" s="15"/>
      <c r="KV414" s="15"/>
      <c r="KW414" s="15"/>
      <c r="KX414" s="15"/>
      <c r="KY414" s="15"/>
      <c r="KZ414" s="15"/>
    </row>
    <row r="415" spans="300:312" x14ac:dyDescent="0.3">
      <c r="KN415" s="15"/>
      <c r="KO415" s="15"/>
      <c r="KP415" s="15"/>
      <c r="KQ415" s="15"/>
      <c r="KR415" s="15"/>
      <c r="KS415" s="15"/>
      <c r="KT415" s="15"/>
      <c r="KU415" s="15"/>
      <c r="KV415" s="15"/>
      <c r="KW415" s="15"/>
      <c r="KX415" s="15"/>
      <c r="KY415" s="15"/>
      <c r="KZ415" s="15"/>
    </row>
    <row r="416" spans="300:312" x14ac:dyDescent="0.3">
      <c r="KN416" s="15"/>
      <c r="KO416" s="15"/>
      <c r="KP416" s="15"/>
      <c r="KQ416" s="15"/>
      <c r="KR416" s="15"/>
      <c r="KS416" s="15"/>
      <c r="KT416" s="15"/>
      <c r="KU416" s="15"/>
      <c r="KV416" s="15"/>
      <c r="KW416" s="15"/>
      <c r="KX416" s="15"/>
      <c r="KY416" s="15"/>
      <c r="KZ416" s="15"/>
    </row>
    <row r="417" spans="300:312" x14ac:dyDescent="0.3">
      <c r="KN417" s="15"/>
      <c r="KO417" s="15"/>
      <c r="KP417" s="15"/>
      <c r="KQ417" s="15"/>
      <c r="KR417" s="15"/>
      <c r="KS417" s="15"/>
      <c r="KT417" s="15"/>
      <c r="KU417" s="15"/>
      <c r="KV417" s="15"/>
      <c r="KW417" s="15"/>
      <c r="KX417" s="15"/>
      <c r="KY417" s="15"/>
      <c r="KZ417" s="15"/>
    </row>
    <row r="418" spans="300:312" x14ac:dyDescent="0.3">
      <c r="KN418" s="15"/>
      <c r="KO418" s="15"/>
      <c r="KP418" s="15"/>
      <c r="KQ418" s="15"/>
      <c r="KR418" s="15"/>
      <c r="KS418" s="15"/>
      <c r="KT418" s="15"/>
      <c r="KU418" s="15"/>
      <c r="KV418" s="15"/>
      <c r="KW418" s="15"/>
      <c r="KX418" s="15"/>
      <c r="KY418" s="15"/>
      <c r="KZ418" s="15"/>
    </row>
    <row r="419" spans="300:312" x14ac:dyDescent="0.3">
      <c r="KN419" s="15"/>
      <c r="KO419" s="15"/>
      <c r="KP419" s="15"/>
      <c r="KQ419" s="15"/>
      <c r="KR419" s="15"/>
      <c r="KS419" s="15"/>
      <c r="KT419" s="15"/>
      <c r="KU419" s="15"/>
      <c r="KV419" s="15"/>
      <c r="KW419" s="15"/>
      <c r="KX419" s="15"/>
      <c r="KY419" s="15"/>
      <c r="KZ419" s="15"/>
    </row>
    <row r="420" spans="300:312" x14ac:dyDescent="0.3">
      <c r="KN420" s="15"/>
      <c r="KO420" s="15"/>
      <c r="KP420" s="15"/>
      <c r="KQ420" s="15"/>
      <c r="KR420" s="15"/>
      <c r="KS420" s="15"/>
      <c r="KT420" s="15"/>
      <c r="KU420" s="15"/>
      <c r="KV420" s="15"/>
      <c r="KW420" s="15"/>
      <c r="KX420" s="15"/>
      <c r="KY420" s="15"/>
      <c r="KZ420" s="15"/>
    </row>
    <row r="421" spans="300:312" x14ac:dyDescent="0.3">
      <c r="KN421" s="15"/>
      <c r="KO421" s="15"/>
      <c r="KP421" s="15"/>
      <c r="KQ421" s="15"/>
      <c r="KR421" s="15"/>
      <c r="KS421" s="15"/>
      <c r="KT421" s="15"/>
      <c r="KU421" s="15"/>
      <c r="KV421" s="15"/>
      <c r="KW421" s="15"/>
      <c r="KX421" s="15"/>
      <c r="KY421" s="15"/>
      <c r="KZ421" s="15"/>
    </row>
    <row r="422" spans="300:312" x14ac:dyDescent="0.3">
      <c r="KN422" s="15"/>
      <c r="KO422" s="15"/>
      <c r="KP422" s="15"/>
      <c r="KQ422" s="15"/>
      <c r="KR422" s="15"/>
      <c r="KS422" s="15"/>
      <c r="KT422" s="15"/>
      <c r="KU422" s="15"/>
      <c r="KV422" s="15"/>
      <c r="KW422" s="15"/>
      <c r="KX422" s="15"/>
      <c r="KY422" s="15"/>
      <c r="KZ422" s="15"/>
    </row>
    <row r="423" spans="300:312" x14ac:dyDescent="0.3">
      <c r="KN423" s="15"/>
      <c r="KO423" s="15"/>
      <c r="KP423" s="15"/>
      <c r="KQ423" s="15"/>
      <c r="KR423" s="15"/>
      <c r="KS423" s="15"/>
      <c r="KT423" s="15"/>
      <c r="KU423" s="15"/>
      <c r="KV423" s="15"/>
      <c r="KW423" s="15"/>
      <c r="KX423" s="15"/>
      <c r="KY423" s="15"/>
      <c r="KZ423" s="15"/>
    </row>
    <row r="424" spans="300:312" x14ac:dyDescent="0.3">
      <c r="KN424" s="15"/>
      <c r="KO424" s="15"/>
      <c r="KP424" s="15"/>
      <c r="KQ424" s="15"/>
      <c r="KR424" s="15"/>
      <c r="KS424" s="15"/>
      <c r="KT424" s="15"/>
      <c r="KU424" s="15"/>
      <c r="KV424" s="15"/>
      <c r="KW424" s="15"/>
      <c r="KX424" s="15"/>
      <c r="KY424" s="15"/>
      <c r="KZ424" s="15"/>
    </row>
    <row r="425" spans="300:312" x14ac:dyDescent="0.3">
      <c r="KN425" s="15"/>
      <c r="KO425" s="15"/>
      <c r="KP425" s="15"/>
      <c r="KQ425" s="15"/>
      <c r="KR425" s="15"/>
      <c r="KS425" s="15"/>
      <c r="KT425" s="15"/>
      <c r="KU425" s="15"/>
      <c r="KV425" s="15"/>
      <c r="KW425" s="15"/>
      <c r="KX425" s="15"/>
      <c r="KY425" s="15"/>
      <c r="KZ425" s="15"/>
    </row>
    <row r="426" spans="300:312" x14ac:dyDescent="0.3">
      <c r="KN426" s="15"/>
      <c r="KO426" s="15"/>
      <c r="KP426" s="15"/>
      <c r="KQ426" s="15"/>
      <c r="KR426" s="15"/>
      <c r="KS426" s="15"/>
      <c r="KT426" s="15"/>
      <c r="KU426" s="15"/>
      <c r="KV426" s="15"/>
      <c r="KW426" s="15"/>
      <c r="KX426" s="15"/>
      <c r="KY426" s="15"/>
      <c r="KZ426" s="15"/>
    </row>
    <row r="427" spans="300:312" x14ac:dyDescent="0.3">
      <c r="KN427" s="15"/>
      <c r="KO427" s="15"/>
      <c r="KP427" s="15"/>
      <c r="KQ427" s="15"/>
      <c r="KR427" s="15"/>
      <c r="KS427" s="15"/>
      <c r="KT427" s="15"/>
      <c r="KU427" s="15"/>
      <c r="KV427" s="15"/>
      <c r="KW427" s="15"/>
      <c r="KX427" s="15"/>
      <c r="KY427" s="15"/>
      <c r="KZ427" s="15"/>
    </row>
    <row r="428" spans="300:312" x14ac:dyDescent="0.3">
      <c r="KN428" s="15"/>
      <c r="KO428" s="15"/>
      <c r="KP428" s="15"/>
      <c r="KQ428" s="15"/>
      <c r="KR428" s="15"/>
      <c r="KS428" s="15"/>
      <c r="KT428" s="15"/>
      <c r="KU428" s="15"/>
      <c r="KV428" s="15"/>
      <c r="KW428" s="15"/>
      <c r="KX428" s="15"/>
      <c r="KY428" s="15"/>
      <c r="KZ428" s="15"/>
    </row>
    <row r="429" spans="300:312" x14ac:dyDescent="0.3">
      <c r="KN429" s="15"/>
      <c r="KO429" s="15"/>
      <c r="KP429" s="15"/>
      <c r="KQ429" s="15"/>
      <c r="KR429" s="15"/>
      <c r="KS429" s="15"/>
      <c r="KT429" s="15"/>
      <c r="KU429" s="15"/>
      <c r="KV429" s="15"/>
      <c r="KW429" s="15"/>
      <c r="KX429" s="15"/>
      <c r="KY429" s="15"/>
      <c r="KZ429" s="15"/>
    </row>
    <row r="430" spans="300:312" x14ac:dyDescent="0.3">
      <c r="KN430" s="15"/>
      <c r="KO430" s="15"/>
      <c r="KP430" s="15"/>
      <c r="KQ430" s="15"/>
      <c r="KR430" s="15"/>
      <c r="KS430" s="15"/>
      <c r="KT430" s="15"/>
      <c r="KU430" s="15"/>
      <c r="KV430" s="15"/>
      <c r="KW430" s="15"/>
      <c r="KX430" s="15"/>
      <c r="KY430" s="15"/>
      <c r="KZ430" s="15"/>
    </row>
    <row r="431" spans="300:312" x14ac:dyDescent="0.3">
      <c r="KN431" s="15"/>
      <c r="KO431" s="15"/>
      <c r="KP431" s="15"/>
      <c r="KQ431" s="15"/>
      <c r="KR431" s="15"/>
      <c r="KS431" s="15"/>
      <c r="KT431" s="15"/>
      <c r="KU431" s="15"/>
      <c r="KV431" s="15"/>
      <c r="KW431" s="15"/>
      <c r="KX431" s="15"/>
      <c r="KY431" s="15"/>
      <c r="KZ431" s="15"/>
    </row>
    <row r="432" spans="300:312" x14ac:dyDescent="0.3">
      <c r="KN432" s="15"/>
      <c r="KO432" s="15"/>
      <c r="KP432" s="15"/>
      <c r="KQ432" s="15"/>
      <c r="KR432" s="15"/>
      <c r="KS432" s="15"/>
      <c r="KT432" s="15"/>
      <c r="KU432" s="15"/>
      <c r="KV432" s="15"/>
      <c r="KW432" s="15"/>
      <c r="KX432" s="15"/>
      <c r="KY432" s="15"/>
      <c r="KZ432" s="15"/>
    </row>
    <row r="433" spans="300:312" x14ac:dyDescent="0.3">
      <c r="KN433" s="15"/>
      <c r="KO433" s="15"/>
      <c r="KP433" s="15"/>
      <c r="KQ433" s="15"/>
      <c r="KR433" s="15"/>
      <c r="KS433" s="15"/>
      <c r="KT433" s="15"/>
      <c r="KU433" s="15"/>
      <c r="KV433" s="15"/>
      <c r="KW433" s="15"/>
      <c r="KX433" s="15"/>
      <c r="KY433" s="15"/>
      <c r="KZ433" s="15"/>
    </row>
    <row r="434" spans="300:312" x14ac:dyDescent="0.3">
      <c r="KN434" s="15"/>
      <c r="KO434" s="15"/>
      <c r="KP434" s="15"/>
      <c r="KQ434" s="15"/>
      <c r="KR434" s="15"/>
      <c r="KS434" s="15"/>
      <c r="KT434" s="15"/>
      <c r="KU434" s="15"/>
      <c r="KV434" s="15"/>
      <c r="KW434" s="15"/>
      <c r="KX434" s="15"/>
      <c r="KY434" s="15"/>
      <c r="KZ434" s="15"/>
    </row>
    <row r="435" spans="300:312" x14ac:dyDescent="0.3">
      <c r="KN435" s="15"/>
      <c r="KO435" s="15"/>
      <c r="KP435" s="15"/>
      <c r="KQ435" s="15"/>
      <c r="KR435" s="15"/>
      <c r="KS435" s="15"/>
      <c r="KT435" s="15"/>
      <c r="KU435" s="15"/>
      <c r="KV435" s="15"/>
      <c r="KW435" s="15"/>
      <c r="KX435" s="15"/>
      <c r="KY435" s="15"/>
      <c r="KZ435" s="15"/>
    </row>
    <row r="436" spans="300:312" x14ac:dyDescent="0.3">
      <c r="KN436" s="15"/>
      <c r="KO436" s="15"/>
      <c r="KP436" s="15"/>
      <c r="KQ436" s="15"/>
      <c r="KR436" s="15"/>
      <c r="KS436" s="15"/>
      <c r="KT436" s="15"/>
      <c r="KU436" s="15"/>
      <c r="KV436" s="15"/>
      <c r="KW436" s="15"/>
      <c r="KX436" s="15"/>
      <c r="KY436" s="15"/>
      <c r="KZ436" s="15"/>
    </row>
    <row r="437" spans="300:312" x14ac:dyDescent="0.3">
      <c r="KN437" s="15"/>
      <c r="KO437" s="15"/>
      <c r="KP437" s="15"/>
      <c r="KQ437" s="15"/>
      <c r="KR437" s="15"/>
      <c r="KS437" s="15"/>
      <c r="KT437" s="15"/>
      <c r="KU437" s="15"/>
      <c r="KV437" s="15"/>
      <c r="KW437" s="15"/>
      <c r="KX437" s="15"/>
      <c r="KY437" s="15"/>
      <c r="KZ437" s="15"/>
    </row>
    <row r="438" spans="300:312" x14ac:dyDescent="0.3">
      <c r="KN438" s="15"/>
      <c r="KO438" s="15"/>
      <c r="KP438" s="15"/>
      <c r="KQ438" s="15"/>
      <c r="KR438" s="15"/>
      <c r="KS438" s="15"/>
      <c r="KT438" s="15"/>
      <c r="KU438" s="15"/>
      <c r="KV438" s="15"/>
      <c r="KW438" s="15"/>
      <c r="KX438" s="15"/>
      <c r="KY438" s="15"/>
      <c r="KZ438" s="15"/>
    </row>
    <row r="439" spans="300:312" x14ac:dyDescent="0.3">
      <c r="KN439" s="15"/>
      <c r="KO439" s="15"/>
      <c r="KP439" s="15"/>
      <c r="KQ439" s="15"/>
      <c r="KR439" s="15"/>
      <c r="KS439" s="15"/>
      <c r="KT439" s="15"/>
      <c r="KU439" s="15"/>
      <c r="KV439" s="15"/>
      <c r="KW439" s="15"/>
      <c r="KX439" s="15"/>
      <c r="KY439" s="15"/>
      <c r="KZ439" s="15"/>
    </row>
    <row r="440" spans="300:312" x14ac:dyDescent="0.3">
      <c r="KN440" s="15"/>
      <c r="KO440" s="15"/>
      <c r="KP440" s="15"/>
      <c r="KQ440" s="15"/>
      <c r="KR440" s="15"/>
      <c r="KS440" s="15"/>
      <c r="KT440" s="15"/>
      <c r="KU440" s="15"/>
      <c r="KV440" s="15"/>
      <c r="KW440" s="15"/>
      <c r="KX440" s="15"/>
      <c r="KY440" s="15"/>
      <c r="KZ440" s="15"/>
    </row>
    <row r="441" spans="300:312" x14ac:dyDescent="0.3">
      <c r="KN441" s="15"/>
      <c r="KO441" s="15"/>
      <c r="KP441" s="15"/>
      <c r="KQ441" s="15"/>
      <c r="KR441" s="15"/>
      <c r="KS441" s="15"/>
      <c r="KT441" s="15"/>
      <c r="KU441" s="15"/>
      <c r="KV441" s="15"/>
      <c r="KW441" s="15"/>
      <c r="KX441" s="15"/>
      <c r="KY441" s="15"/>
      <c r="KZ441" s="15"/>
    </row>
    <row r="442" spans="300:312" x14ac:dyDescent="0.3">
      <c r="KN442" s="15"/>
      <c r="KO442" s="15"/>
      <c r="KP442" s="15"/>
      <c r="KQ442" s="15"/>
      <c r="KR442" s="15"/>
      <c r="KS442" s="15"/>
      <c r="KT442" s="15"/>
      <c r="KU442" s="15"/>
      <c r="KV442" s="15"/>
      <c r="KW442" s="15"/>
      <c r="KX442" s="15"/>
      <c r="KY442" s="15"/>
      <c r="KZ442" s="15"/>
    </row>
    <row r="443" spans="300:312" x14ac:dyDescent="0.3">
      <c r="KN443" s="15"/>
      <c r="KO443" s="15"/>
      <c r="KP443" s="15"/>
      <c r="KQ443" s="15"/>
      <c r="KR443" s="15"/>
      <c r="KS443" s="15"/>
      <c r="KT443" s="15"/>
      <c r="KU443" s="15"/>
      <c r="KV443" s="15"/>
      <c r="KW443" s="15"/>
      <c r="KX443" s="15"/>
      <c r="KY443" s="15"/>
      <c r="KZ443" s="15"/>
    </row>
    <row r="444" spans="300:312" x14ac:dyDescent="0.3">
      <c r="KN444" s="15"/>
      <c r="KO444" s="15"/>
      <c r="KP444" s="15"/>
      <c r="KQ444" s="15"/>
      <c r="KR444" s="15"/>
      <c r="KS444" s="15"/>
      <c r="KT444" s="15"/>
      <c r="KU444" s="15"/>
      <c r="KV444" s="15"/>
      <c r="KW444" s="15"/>
      <c r="KX444" s="15"/>
      <c r="KY444" s="15"/>
      <c r="KZ444" s="15"/>
    </row>
    <row r="445" spans="300:312" x14ac:dyDescent="0.3">
      <c r="KN445" s="15"/>
      <c r="KO445" s="15"/>
      <c r="KP445" s="15"/>
      <c r="KQ445" s="15"/>
      <c r="KR445" s="15"/>
      <c r="KS445" s="15"/>
      <c r="KT445" s="15"/>
      <c r="KU445" s="15"/>
      <c r="KV445" s="15"/>
      <c r="KW445" s="15"/>
      <c r="KX445" s="15"/>
      <c r="KY445" s="15"/>
      <c r="KZ445" s="15"/>
    </row>
    <row r="446" spans="300:312" x14ac:dyDescent="0.3">
      <c r="KN446" s="15"/>
      <c r="KO446" s="15"/>
      <c r="KP446" s="15"/>
      <c r="KQ446" s="15"/>
      <c r="KR446" s="15"/>
      <c r="KS446" s="15"/>
      <c r="KT446" s="15"/>
      <c r="KU446" s="15"/>
      <c r="KV446" s="15"/>
      <c r="KW446" s="15"/>
      <c r="KX446" s="15"/>
      <c r="KY446" s="15"/>
      <c r="KZ446" s="15"/>
    </row>
    <row r="447" spans="300:312" x14ac:dyDescent="0.3">
      <c r="KN447" s="15"/>
      <c r="KO447" s="15"/>
      <c r="KP447" s="15"/>
      <c r="KQ447" s="15"/>
      <c r="KR447" s="15"/>
      <c r="KS447" s="15"/>
      <c r="KT447" s="15"/>
      <c r="KU447" s="15"/>
      <c r="KV447" s="15"/>
      <c r="KW447" s="15"/>
      <c r="KX447" s="15"/>
      <c r="KY447" s="15"/>
      <c r="KZ447" s="15"/>
    </row>
    <row r="448" spans="300:312" x14ac:dyDescent="0.3">
      <c r="KN448" s="15"/>
      <c r="KO448" s="15"/>
      <c r="KP448" s="15"/>
      <c r="KQ448" s="15"/>
      <c r="KR448" s="15"/>
      <c r="KS448" s="15"/>
      <c r="KT448" s="15"/>
      <c r="KU448" s="15"/>
      <c r="KV448" s="15"/>
      <c r="KW448" s="15"/>
      <c r="KX448" s="15"/>
      <c r="KY448" s="15"/>
      <c r="KZ448" s="15"/>
    </row>
    <row r="449" spans="300:312" x14ac:dyDescent="0.3">
      <c r="KN449" s="15"/>
      <c r="KO449" s="15"/>
      <c r="KP449" s="15"/>
      <c r="KQ449" s="15"/>
      <c r="KR449" s="15"/>
      <c r="KS449" s="15"/>
      <c r="KT449" s="15"/>
      <c r="KU449" s="15"/>
      <c r="KV449" s="15"/>
      <c r="KW449" s="15"/>
      <c r="KX449" s="15"/>
      <c r="KY449" s="15"/>
      <c r="KZ449" s="15"/>
    </row>
    <row r="450" spans="300:312" x14ac:dyDescent="0.3">
      <c r="KN450" s="15"/>
      <c r="KO450" s="15"/>
      <c r="KP450" s="15"/>
      <c r="KQ450" s="15"/>
      <c r="KR450" s="15"/>
      <c r="KS450" s="15"/>
      <c r="KT450" s="15"/>
      <c r="KU450" s="15"/>
      <c r="KV450" s="15"/>
      <c r="KW450" s="15"/>
      <c r="KX450" s="15"/>
      <c r="KY450" s="15"/>
      <c r="KZ450" s="15"/>
    </row>
    <row r="451" spans="300:312" x14ac:dyDescent="0.3">
      <c r="KN451" s="15"/>
      <c r="KO451" s="15"/>
      <c r="KP451" s="15"/>
      <c r="KQ451" s="15"/>
      <c r="KR451" s="15"/>
      <c r="KS451" s="15"/>
      <c r="KT451" s="15"/>
      <c r="KU451" s="15"/>
      <c r="KV451" s="15"/>
      <c r="KW451" s="15"/>
      <c r="KX451" s="15"/>
      <c r="KY451" s="15"/>
      <c r="KZ451" s="15"/>
    </row>
    <row r="452" spans="300:312" x14ac:dyDescent="0.3">
      <c r="KN452" s="15"/>
      <c r="KO452" s="15"/>
      <c r="KP452" s="15"/>
      <c r="KQ452" s="15"/>
      <c r="KR452" s="15"/>
      <c r="KS452" s="15"/>
      <c r="KT452" s="15"/>
      <c r="KU452" s="15"/>
      <c r="KV452" s="15"/>
      <c r="KW452" s="15"/>
      <c r="KX452" s="15"/>
      <c r="KY452" s="15"/>
      <c r="KZ452" s="15"/>
    </row>
    <row r="453" spans="300:312" x14ac:dyDescent="0.3">
      <c r="KN453" s="15"/>
      <c r="KO453" s="15"/>
      <c r="KP453" s="15"/>
      <c r="KQ453" s="15"/>
      <c r="KR453" s="15"/>
      <c r="KS453" s="15"/>
      <c r="KT453" s="15"/>
      <c r="KU453" s="15"/>
      <c r="KV453" s="15"/>
      <c r="KW453" s="15"/>
      <c r="KX453" s="15"/>
      <c r="KY453" s="15"/>
      <c r="KZ453" s="15"/>
    </row>
    <row r="454" spans="300:312" x14ac:dyDescent="0.3">
      <c r="KN454" s="15"/>
      <c r="KO454" s="15"/>
      <c r="KP454" s="15"/>
      <c r="KQ454" s="15"/>
      <c r="KR454" s="15"/>
      <c r="KS454" s="15"/>
      <c r="KT454" s="15"/>
      <c r="KU454" s="15"/>
      <c r="KV454" s="15"/>
      <c r="KW454" s="15"/>
      <c r="KX454" s="15"/>
      <c r="KY454" s="15"/>
      <c r="KZ454" s="15"/>
    </row>
    <row r="455" spans="300:312" x14ac:dyDescent="0.3">
      <c r="KN455" s="15"/>
      <c r="KO455" s="15"/>
      <c r="KP455" s="15"/>
      <c r="KQ455" s="15"/>
      <c r="KR455" s="15"/>
      <c r="KS455" s="15"/>
      <c r="KT455" s="15"/>
      <c r="KU455" s="15"/>
      <c r="KV455" s="15"/>
      <c r="KW455" s="15"/>
      <c r="KX455" s="15"/>
      <c r="KY455" s="15"/>
      <c r="KZ455" s="15"/>
    </row>
    <row r="456" spans="300:312" x14ac:dyDescent="0.3">
      <c r="KN456" s="15"/>
      <c r="KO456" s="15"/>
      <c r="KP456" s="15"/>
      <c r="KQ456" s="15"/>
      <c r="KR456" s="15"/>
      <c r="KS456" s="15"/>
      <c r="KT456" s="15"/>
      <c r="KU456" s="15"/>
      <c r="KV456" s="15"/>
      <c r="KW456" s="15"/>
      <c r="KX456" s="15"/>
      <c r="KY456" s="15"/>
      <c r="KZ456" s="15"/>
    </row>
    <row r="457" spans="300:312" x14ac:dyDescent="0.3">
      <c r="KN457" s="15"/>
      <c r="KO457" s="15"/>
      <c r="KP457" s="15"/>
      <c r="KQ457" s="15"/>
      <c r="KR457" s="15"/>
      <c r="KS457" s="15"/>
      <c r="KT457" s="15"/>
      <c r="KU457" s="15"/>
      <c r="KV457" s="15"/>
      <c r="KW457" s="15"/>
      <c r="KX457" s="15"/>
      <c r="KY457" s="15"/>
      <c r="KZ457" s="15"/>
    </row>
    <row r="458" spans="300:312" x14ac:dyDescent="0.3">
      <c r="KN458" s="15"/>
      <c r="KO458" s="15"/>
      <c r="KP458" s="15"/>
      <c r="KQ458" s="15"/>
      <c r="KR458" s="15"/>
      <c r="KS458" s="15"/>
      <c r="KT458" s="15"/>
      <c r="KU458" s="15"/>
      <c r="KV458" s="15"/>
      <c r="KW458" s="15"/>
      <c r="KX458" s="15"/>
      <c r="KY458" s="15"/>
      <c r="KZ458" s="15"/>
    </row>
    <row r="459" spans="300:312" x14ac:dyDescent="0.3">
      <c r="KN459" s="15"/>
      <c r="KO459" s="15"/>
      <c r="KP459" s="15"/>
      <c r="KQ459" s="15"/>
      <c r="KR459" s="15"/>
      <c r="KS459" s="15"/>
      <c r="KT459" s="15"/>
      <c r="KU459" s="15"/>
      <c r="KV459" s="15"/>
      <c r="KW459" s="15"/>
      <c r="KX459" s="15"/>
      <c r="KY459" s="15"/>
      <c r="KZ459" s="15"/>
    </row>
    <row r="460" spans="300:312" x14ac:dyDescent="0.3">
      <c r="KN460" s="15"/>
      <c r="KO460" s="15"/>
      <c r="KP460" s="15"/>
      <c r="KQ460" s="15"/>
      <c r="KR460" s="15"/>
      <c r="KS460" s="15"/>
      <c r="KT460" s="15"/>
      <c r="KU460" s="15"/>
      <c r="KV460" s="15"/>
      <c r="KW460" s="15"/>
      <c r="KX460" s="15"/>
      <c r="KY460" s="15"/>
      <c r="KZ460" s="15"/>
    </row>
    <row r="461" spans="300:312" x14ac:dyDescent="0.3">
      <c r="KN461" s="15"/>
      <c r="KO461" s="15"/>
      <c r="KP461" s="15"/>
      <c r="KQ461" s="15"/>
      <c r="KR461" s="15"/>
      <c r="KS461" s="15"/>
      <c r="KT461" s="15"/>
      <c r="KU461" s="15"/>
      <c r="KV461" s="15"/>
      <c r="KW461" s="15"/>
      <c r="KX461" s="15"/>
      <c r="KY461" s="15"/>
      <c r="KZ461" s="15"/>
    </row>
    <row r="462" spans="300:312" x14ac:dyDescent="0.3">
      <c r="KN462" s="15"/>
      <c r="KO462" s="15"/>
      <c r="KP462" s="15"/>
      <c r="KQ462" s="15"/>
      <c r="KR462" s="15"/>
      <c r="KS462" s="15"/>
      <c r="KT462" s="15"/>
      <c r="KU462" s="15"/>
      <c r="KV462" s="15"/>
      <c r="KW462" s="15"/>
      <c r="KX462" s="15"/>
      <c r="KY462" s="15"/>
      <c r="KZ462" s="15"/>
    </row>
    <row r="463" spans="300:312" x14ac:dyDescent="0.3">
      <c r="KN463" s="15"/>
      <c r="KO463" s="15"/>
      <c r="KP463" s="15"/>
      <c r="KQ463" s="15"/>
      <c r="KR463" s="15"/>
      <c r="KS463" s="15"/>
      <c r="KT463" s="15"/>
      <c r="KU463" s="15"/>
      <c r="KV463" s="15"/>
      <c r="KW463" s="15"/>
      <c r="KX463" s="15"/>
      <c r="KY463" s="15"/>
      <c r="KZ463" s="15"/>
    </row>
    <row r="464" spans="300:312" x14ac:dyDescent="0.3">
      <c r="KN464" s="15"/>
      <c r="KO464" s="15"/>
      <c r="KP464" s="15"/>
      <c r="KQ464" s="15"/>
      <c r="KR464" s="15"/>
      <c r="KS464" s="15"/>
      <c r="KT464" s="15"/>
      <c r="KU464" s="15"/>
      <c r="KV464" s="15"/>
      <c r="KW464" s="15"/>
      <c r="KX464" s="15"/>
      <c r="KY464" s="15"/>
      <c r="KZ464" s="15"/>
    </row>
    <row r="465" spans="300:312" x14ac:dyDescent="0.3">
      <c r="KN465" s="15"/>
      <c r="KO465" s="15"/>
      <c r="KP465" s="15"/>
      <c r="KQ465" s="15"/>
      <c r="KR465" s="15"/>
      <c r="KS465" s="15"/>
      <c r="KT465" s="15"/>
      <c r="KU465" s="15"/>
      <c r="KV465" s="15"/>
      <c r="KW465" s="15"/>
      <c r="KX465" s="15"/>
      <c r="KY465" s="15"/>
      <c r="KZ465" s="15"/>
    </row>
    <row r="466" spans="300:312" x14ac:dyDescent="0.3">
      <c r="KN466" s="15"/>
      <c r="KO466" s="15"/>
      <c r="KP466" s="15"/>
      <c r="KQ466" s="15"/>
      <c r="KR466" s="15"/>
      <c r="KS466" s="15"/>
      <c r="KT466" s="15"/>
      <c r="KU466" s="15"/>
      <c r="KV466" s="15"/>
      <c r="KW466" s="15"/>
      <c r="KX466" s="15"/>
      <c r="KY466" s="15"/>
      <c r="KZ466" s="15"/>
    </row>
    <row r="467" spans="300:312" x14ac:dyDescent="0.3">
      <c r="KN467" s="15"/>
      <c r="KO467" s="15"/>
      <c r="KP467" s="15"/>
      <c r="KQ467" s="15"/>
      <c r="KR467" s="15"/>
      <c r="KS467" s="15"/>
      <c r="KT467" s="15"/>
      <c r="KU467" s="15"/>
      <c r="KV467" s="15"/>
      <c r="KW467" s="15"/>
      <c r="KX467" s="15"/>
      <c r="KY467" s="15"/>
      <c r="KZ467" s="15"/>
    </row>
    <row r="468" spans="300:312" x14ac:dyDescent="0.3">
      <c r="KN468" s="15"/>
      <c r="KO468" s="15"/>
      <c r="KP468" s="15"/>
      <c r="KQ468" s="15"/>
      <c r="KR468" s="15"/>
      <c r="KS468" s="15"/>
      <c r="KT468" s="15"/>
      <c r="KU468" s="15"/>
      <c r="KV468" s="15"/>
      <c r="KW468" s="15"/>
      <c r="KX468" s="15"/>
      <c r="KY468" s="15"/>
      <c r="KZ468" s="15"/>
    </row>
    <row r="469" spans="300:312" x14ac:dyDescent="0.3">
      <c r="KN469" s="15"/>
      <c r="KO469" s="15"/>
      <c r="KP469" s="15"/>
      <c r="KQ469" s="15"/>
      <c r="KR469" s="15"/>
      <c r="KS469" s="15"/>
      <c r="KT469" s="15"/>
      <c r="KU469" s="15"/>
      <c r="KV469" s="15"/>
      <c r="KW469" s="15"/>
      <c r="KX469" s="15"/>
      <c r="KY469" s="15"/>
      <c r="KZ469" s="15"/>
    </row>
    <row r="470" spans="300:312" x14ac:dyDescent="0.3">
      <c r="KN470" s="15"/>
      <c r="KO470" s="15"/>
      <c r="KP470" s="15"/>
      <c r="KQ470" s="15"/>
      <c r="KR470" s="15"/>
      <c r="KS470" s="15"/>
      <c r="KT470" s="15"/>
      <c r="KU470" s="15"/>
      <c r="KV470" s="15"/>
      <c r="KW470" s="15"/>
      <c r="KX470" s="15"/>
      <c r="KY470" s="15"/>
      <c r="KZ470" s="15"/>
    </row>
    <row r="471" spans="300:312" x14ac:dyDescent="0.3">
      <c r="KN471" s="15"/>
      <c r="KO471" s="15"/>
      <c r="KP471" s="15"/>
      <c r="KQ471" s="15"/>
      <c r="KR471" s="15"/>
      <c r="KS471" s="15"/>
      <c r="KT471" s="15"/>
      <c r="KU471" s="15"/>
      <c r="KV471" s="15"/>
      <c r="KW471" s="15"/>
      <c r="KX471" s="15"/>
      <c r="KY471" s="15"/>
      <c r="KZ471" s="15"/>
    </row>
    <row r="472" spans="300:312" x14ac:dyDescent="0.3">
      <c r="KN472" s="15"/>
      <c r="KO472" s="15"/>
      <c r="KP472" s="15"/>
      <c r="KQ472" s="15"/>
      <c r="KR472" s="15"/>
      <c r="KS472" s="15"/>
      <c r="KT472" s="15"/>
      <c r="KU472" s="15"/>
      <c r="KV472" s="15"/>
      <c r="KW472" s="15"/>
      <c r="KX472" s="15"/>
      <c r="KY472" s="15"/>
      <c r="KZ472" s="15"/>
    </row>
    <row r="473" spans="300:312" x14ac:dyDescent="0.3">
      <c r="KN473" s="15"/>
      <c r="KO473" s="15"/>
      <c r="KP473" s="15"/>
      <c r="KQ473" s="15"/>
      <c r="KR473" s="15"/>
      <c r="KS473" s="15"/>
      <c r="KT473" s="15"/>
      <c r="KU473" s="15"/>
      <c r="KV473" s="15"/>
      <c r="KW473" s="15"/>
      <c r="KX473" s="15"/>
      <c r="KY473" s="15"/>
      <c r="KZ473" s="15"/>
    </row>
    <row r="474" spans="300:312" x14ac:dyDescent="0.3">
      <c r="KN474" s="15"/>
      <c r="KO474" s="15"/>
      <c r="KP474" s="15"/>
      <c r="KQ474" s="15"/>
      <c r="KR474" s="15"/>
      <c r="KS474" s="15"/>
      <c r="KT474" s="15"/>
      <c r="KU474" s="15"/>
      <c r="KV474" s="15"/>
      <c r="KW474" s="15"/>
      <c r="KX474" s="15"/>
      <c r="KY474" s="15"/>
      <c r="KZ474" s="15"/>
    </row>
    <row r="475" spans="300:312" x14ac:dyDescent="0.3">
      <c r="KN475" s="15"/>
      <c r="KO475" s="15"/>
      <c r="KP475" s="15"/>
      <c r="KQ475" s="15"/>
      <c r="KR475" s="15"/>
      <c r="KS475" s="15"/>
      <c r="KT475" s="15"/>
      <c r="KU475" s="15"/>
      <c r="KV475" s="15"/>
      <c r="KW475" s="15"/>
      <c r="KX475" s="15"/>
      <c r="KY475" s="15"/>
      <c r="KZ475" s="15"/>
    </row>
    <row r="476" spans="300:312" x14ac:dyDescent="0.3">
      <c r="KN476" s="15"/>
      <c r="KO476" s="15"/>
      <c r="KP476" s="15"/>
      <c r="KQ476" s="15"/>
      <c r="KR476" s="15"/>
      <c r="KS476" s="15"/>
      <c r="KT476" s="15"/>
      <c r="KU476" s="15"/>
      <c r="KV476" s="15"/>
      <c r="KW476" s="15"/>
      <c r="KX476" s="15"/>
      <c r="KY476" s="15"/>
      <c r="KZ476" s="15"/>
    </row>
    <row r="477" spans="300:312" x14ac:dyDescent="0.3">
      <c r="KN477" s="15"/>
      <c r="KO477" s="15"/>
      <c r="KP477" s="15"/>
      <c r="KQ477" s="15"/>
      <c r="KR477" s="15"/>
      <c r="KS477" s="15"/>
      <c r="KT477" s="15"/>
      <c r="KU477" s="15"/>
      <c r="KV477" s="15"/>
      <c r="KW477" s="15"/>
      <c r="KX477" s="15"/>
      <c r="KY477" s="15"/>
      <c r="KZ477" s="15"/>
    </row>
    <row r="478" spans="300:312" x14ac:dyDescent="0.3">
      <c r="KN478" s="15"/>
      <c r="KO478" s="15"/>
      <c r="KP478" s="15"/>
      <c r="KQ478" s="15"/>
      <c r="KR478" s="15"/>
      <c r="KS478" s="15"/>
      <c r="KT478" s="15"/>
      <c r="KU478" s="15"/>
      <c r="KV478" s="15"/>
      <c r="KW478" s="15"/>
      <c r="KX478" s="15"/>
      <c r="KY478" s="15"/>
      <c r="KZ478" s="15"/>
    </row>
    <row r="479" spans="300:312" x14ac:dyDescent="0.3">
      <c r="KN479" s="15"/>
      <c r="KO479" s="15"/>
      <c r="KP479" s="15"/>
      <c r="KQ479" s="15"/>
      <c r="KR479" s="15"/>
      <c r="KS479" s="15"/>
      <c r="KT479" s="15"/>
      <c r="KU479" s="15"/>
      <c r="KV479" s="15"/>
      <c r="KW479" s="15"/>
      <c r="KX479" s="15"/>
      <c r="KY479" s="15"/>
      <c r="KZ479" s="15"/>
    </row>
    <row r="480" spans="300:312" x14ac:dyDescent="0.3">
      <c r="KN480" s="15"/>
      <c r="KO480" s="15"/>
      <c r="KP480" s="15"/>
      <c r="KQ480" s="15"/>
      <c r="KR480" s="15"/>
      <c r="KS480" s="15"/>
      <c r="KT480" s="15"/>
      <c r="KU480" s="15"/>
      <c r="KV480" s="15"/>
      <c r="KW480" s="15"/>
      <c r="KX480" s="15"/>
      <c r="KY480" s="15"/>
      <c r="KZ480" s="15"/>
    </row>
    <row r="481" spans="300:312" x14ac:dyDescent="0.3">
      <c r="KN481" s="15"/>
      <c r="KO481" s="15"/>
      <c r="KP481" s="15"/>
      <c r="KQ481" s="15"/>
      <c r="KR481" s="15"/>
      <c r="KS481" s="15"/>
      <c r="KT481" s="15"/>
      <c r="KU481" s="15"/>
      <c r="KV481" s="15"/>
      <c r="KW481" s="15"/>
      <c r="KX481" s="15"/>
      <c r="KY481" s="15"/>
      <c r="KZ481" s="15"/>
    </row>
    <row r="482" spans="300:312" x14ac:dyDescent="0.3">
      <c r="KN482" s="15"/>
      <c r="KO482" s="15"/>
      <c r="KP482" s="15"/>
      <c r="KQ482" s="15"/>
      <c r="KR482" s="15"/>
      <c r="KS482" s="15"/>
      <c r="KT482" s="15"/>
      <c r="KU482" s="15"/>
      <c r="KV482" s="15"/>
      <c r="KW482" s="15"/>
      <c r="KX482" s="15"/>
      <c r="KY482" s="15"/>
      <c r="KZ482" s="15"/>
    </row>
    <row r="483" spans="300:312" x14ac:dyDescent="0.3">
      <c r="KN483" s="15"/>
      <c r="KO483" s="15"/>
      <c r="KP483" s="15"/>
      <c r="KQ483" s="15"/>
      <c r="KR483" s="15"/>
      <c r="KS483" s="15"/>
      <c r="KT483" s="15"/>
      <c r="KU483" s="15"/>
      <c r="KV483" s="15"/>
      <c r="KW483" s="15"/>
      <c r="KX483" s="15"/>
      <c r="KY483" s="15"/>
      <c r="KZ483" s="15"/>
    </row>
    <row r="484" spans="300:312" x14ac:dyDescent="0.3">
      <c r="KN484" s="15"/>
      <c r="KO484" s="15"/>
      <c r="KP484" s="15"/>
      <c r="KQ484" s="15"/>
      <c r="KR484" s="15"/>
      <c r="KS484" s="15"/>
      <c r="KT484" s="15"/>
      <c r="KU484" s="15"/>
      <c r="KV484" s="15"/>
      <c r="KW484" s="15"/>
      <c r="KX484" s="15"/>
      <c r="KY484" s="15"/>
      <c r="KZ484" s="15"/>
    </row>
    <row r="485" spans="300:312" x14ac:dyDescent="0.3">
      <c r="KN485" s="15"/>
      <c r="KO485" s="15"/>
      <c r="KP485" s="15"/>
      <c r="KQ485" s="15"/>
      <c r="KR485" s="15"/>
      <c r="KS485" s="15"/>
      <c r="KT485" s="15"/>
      <c r="KU485" s="15"/>
      <c r="KV485" s="15"/>
      <c r="KW485" s="15"/>
      <c r="KX485" s="15"/>
      <c r="KY485" s="15"/>
      <c r="KZ485" s="15"/>
    </row>
    <row r="486" spans="300:312" x14ac:dyDescent="0.3">
      <c r="KN486" s="15"/>
      <c r="KO486" s="15"/>
      <c r="KP486" s="15"/>
      <c r="KQ486" s="15"/>
      <c r="KR486" s="15"/>
      <c r="KS486" s="15"/>
      <c r="KT486" s="15"/>
      <c r="KU486" s="15"/>
      <c r="KV486" s="15"/>
      <c r="KW486" s="15"/>
      <c r="KX486" s="15"/>
      <c r="KY486" s="15"/>
      <c r="KZ486" s="15"/>
    </row>
    <row r="487" spans="300:312" x14ac:dyDescent="0.3">
      <c r="KN487" s="15"/>
      <c r="KO487" s="15"/>
      <c r="KP487" s="15"/>
      <c r="KQ487" s="15"/>
      <c r="KR487" s="15"/>
      <c r="KS487" s="15"/>
      <c r="KT487" s="15"/>
      <c r="KU487" s="15"/>
      <c r="KV487" s="15"/>
      <c r="KW487" s="15"/>
      <c r="KX487" s="15"/>
      <c r="KY487" s="15"/>
      <c r="KZ487" s="15"/>
    </row>
    <row r="488" spans="300:312" x14ac:dyDescent="0.3">
      <c r="KN488" s="15"/>
      <c r="KO488" s="15"/>
      <c r="KP488" s="15"/>
      <c r="KQ488" s="15"/>
      <c r="KR488" s="15"/>
      <c r="KS488" s="15"/>
      <c r="KT488" s="15"/>
      <c r="KU488" s="15"/>
      <c r="KV488" s="15"/>
      <c r="KW488" s="15"/>
      <c r="KX488" s="15"/>
      <c r="KY488" s="15"/>
      <c r="KZ488" s="15"/>
    </row>
    <row r="489" spans="300:312" x14ac:dyDescent="0.3">
      <c r="KN489" s="15"/>
      <c r="KO489" s="15"/>
      <c r="KP489" s="15"/>
      <c r="KQ489" s="15"/>
      <c r="KR489" s="15"/>
      <c r="KS489" s="15"/>
      <c r="KT489" s="15"/>
      <c r="KU489" s="15"/>
      <c r="KV489" s="15"/>
      <c r="KW489" s="15"/>
      <c r="KX489" s="15"/>
      <c r="KY489" s="15"/>
      <c r="KZ489" s="15"/>
    </row>
    <row r="490" spans="300:312" x14ac:dyDescent="0.3">
      <c r="KN490" s="15"/>
      <c r="KO490" s="15"/>
      <c r="KP490" s="15"/>
      <c r="KQ490" s="15"/>
      <c r="KR490" s="15"/>
      <c r="KS490" s="15"/>
      <c r="KT490" s="15"/>
      <c r="KU490" s="15"/>
      <c r="KV490" s="15"/>
      <c r="KW490" s="15"/>
      <c r="KX490" s="15"/>
      <c r="KY490" s="15"/>
      <c r="KZ490" s="15"/>
    </row>
    <row r="491" spans="300:312" x14ac:dyDescent="0.3">
      <c r="KN491" s="15"/>
      <c r="KO491" s="15"/>
      <c r="KP491" s="15"/>
      <c r="KQ491" s="15"/>
      <c r="KR491" s="15"/>
      <c r="KS491" s="15"/>
      <c r="KT491" s="15"/>
      <c r="KU491" s="15"/>
      <c r="KV491" s="15"/>
      <c r="KW491" s="15"/>
      <c r="KX491" s="15"/>
      <c r="KY491" s="15"/>
      <c r="KZ491" s="15"/>
    </row>
    <row r="492" spans="300:312" x14ac:dyDescent="0.3">
      <c r="KN492" s="15"/>
      <c r="KO492" s="15"/>
      <c r="KP492" s="15"/>
      <c r="KQ492" s="15"/>
      <c r="KR492" s="15"/>
      <c r="KS492" s="15"/>
      <c r="KT492" s="15"/>
      <c r="KU492" s="15"/>
      <c r="KV492" s="15"/>
      <c r="KW492" s="15"/>
      <c r="KX492" s="15"/>
      <c r="KY492" s="15"/>
      <c r="KZ492" s="15"/>
    </row>
    <row r="493" spans="300:312" x14ac:dyDescent="0.3">
      <c r="KN493" s="15"/>
      <c r="KO493" s="15"/>
      <c r="KP493" s="15"/>
      <c r="KQ493" s="15"/>
      <c r="KR493" s="15"/>
      <c r="KS493" s="15"/>
      <c r="KT493" s="15"/>
      <c r="KU493" s="15"/>
      <c r="KV493" s="15"/>
      <c r="KW493" s="15"/>
      <c r="KX493" s="15"/>
      <c r="KY493" s="15"/>
      <c r="KZ493" s="15"/>
    </row>
    <row r="494" spans="300:312" x14ac:dyDescent="0.3">
      <c r="KN494" s="15"/>
      <c r="KO494" s="15"/>
      <c r="KP494" s="15"/>
      <c r="KQ494" s="15"/>
      <c r="KR494" s="15"/>
      <c r="KS494" s="15"/>
      <c r="KT494" s="15"/>
      <c r="KU494" s="15"/>
      <c r="KV494" s="15"/>
      <c r="KW494" s="15"/>
      <c r="KX494" s="15"/>
      <c r="KY494" s="15"/>
      <c r="KZ494" s="15"/>
    </row>
    <row r="495" spans="300:312" x14ac:dyDescent="0.3">
      <c r="KN495" s="15"/>
      <c r="KO495" s="15"/>
      <c r="KP495" s="15"/>
      <c r="KQ495" s="15"/>
      <c r="KR495" s="15"/>
      <c r="KS495" s="15"/>
      <c r="KT495" s="15"/>
      <c r="KU495" s="15"/>
      <c r="KV495" s="15"/>
      <c r="KW495" s="15"/>
      <c r="KX495" s="15"/>
      <c r="KY495" s="15"/>
      <c r="KZ495" s="15"/>
    </row>
    <row r="496" spans="300:312" x14ac:dyDescent="0.3">
      <c r="KN496" s="15"/>
      <c r="KO496" s="15"/>
      <c r="KP496" s="15"/>
      <c r="KQ496" s="15"/>
      <c r="KR496" s="15"/>
      <c r="KS496" s="15"/>
      <c r="KT496" s="15"/>
      <c r="KU496" s="15"/>
      <c r="KV496" s="15"/>
      <c r="KW496" s="15"/>
      <c r="KX496" s="15"/>
      <c r="KY496" s="15"/>
      <c r="KZ496" s="15"/>
    </row>
    <row r="497" spans="300:312" x14ac:dyDescent="0.3">
      <c r="KN497" s="15"/>
      <c r="KO497" s="15"/>
      <c r="KP497" s="15"/>
      <c r="KQ497" s="15"/>
      <c r="KR497" s="15"/>
      <c r="KS497" s="15"/>
      <c r="KT497" s="15"/>
      <c r="KU497" s="15"/>
      <c r="KV497" s="15"/>
      <c r="KW497" s="15"/>
      <c r="KX497" s="15"/>
      <c r="KY497" s="15"/>
      <c r="KZ497" s="15"/>
    </row>
    <row r="498" spans="300:312" x14ac:dyDescent="0.3">
      <c r="KN498" s="15"/>
      <c r="KO498" s="15"/>
      <c r="KP498" s="15"/>
      <c r="KQ498" s="15"/>
      <c r="KR498" s="15"/>
      <c r="KS498" s="15"/>
      <c r="KT498" s="15"/>
      <c r="KU498" s="15"/>
      <c r="KV498" s="15"/>
      <c r="KW498" s="15"/>
      <c r="KX498" s="15"/>
      <c r="KY498" s="15"/>
      <c r="KZ498" s="15"/>
    </row>
    <row r="499" spans="300:312" x14ac:dyDescent="0.3">
      <c r="KN499" s="15"/>
      <c r="KO499" s="15"/>
      <c r="KP499" s="15"/>
      <c r="KQ499" s="15"/>
      <c r="KR499" s="15"/>
      <c r="KS499" s="15"/>
      <c r="KT499" s="15"/>
      <c r="KU499" s="15"/>
      <c r="KV499" s="15"/>
      <c r="KW499" s="15"/>
      <c r="KX499" s="15"/>
      <c r="KY499" s="15"/>
      <c r="KZ499" s="15"/>
    </row>
    <row r="500" spans="300:312" x14ac:dyDescent="0.3">
      <c r="KN500" s="15"/>
      <c r="KO500" s="15"/>
      <c r="KP500" s="15"/>
      <c r="KQ500" s="15"/>
      <c r="KR500" s="15"/>
      <c r="KS500" s="15"/>
      <c r="KT500" s="15"/>
      <c r="KU500" s="15"/>
      <c r="KV500" s="15"/>
      <c r="KW500" s="15"/>
      <c r="KX500" s="15"/>
      <c r="KY500" s="15"/>
      <c r="KZ500" s="15"/>
    </row>
    <row r="501" spans="300:312" x14ac:dyDescent="0.3">
      <c r="KN501" s="15"/>
      <c r="KO501" s="15"/>
      <c r="KP501" s="15"/>
      <c r="KQ501" s="15"/>
      <c r="KR501" s="15"/>
      <c r="KS501" s="15"/>
      <c r="KT501" s="15"/>
      <c r="KU501" s="15"/>
      <c r="KV501" s="15"/>
      <c r="KW501" s="15"/>
      <c r="KX501" s="15"/>
      <c r="KY501" s="15"/>
      <c r="KZ501" s="15"/>
    </row>
    <row r="502" spans="300:312" x14ac:dyDescent="0.3">
      <c r="KN502" s="15"/>
      <c r="KO502" s="15"/>
      <c r="KP502" s="15"/>
      <c r="KQ502" s="15"/>
      <c r="KR502" s="15"/>
      <c r="KS502" s="15"/>
      <c r="KT502" s="15"/>
      <c r="KU502" s="15"/>
      <c r="KV502" s="15"/>
      <c r="KW502" s="15"/>
      <c r="KX502" s="15"/>
      <c r="KY502" s="15"/>
      <c r="KZ502" s="15"/>
    </row>
    <row r="503" spans="300:312" x14ac:dyDescent="0.3">
      <c r="KN503" s="15"/>
      <c r="KO503" s="15"/>
      <c r="KP503" s="15"/>
      <c r="KQ503" s="15"/>
      <c r="KR503" s="15"/>
      <c r="KS503" s="15"/>
      <c r="KT503" s="15"/>
      <c r="KU503" s="15"/>
      <c r="KV503" s="15"/>
      <c r="KW503" s="15"/>
      <c r="KX503" s="15"/>
      <c r="KY503" s="15"/>
      <c r="KZ503" s="15"/>
    </row>
    <row r="504" spans="300:312" x14ac:dyDescent="0.3">
      <c r="KN504" s="15"/>
      <c r="KO504" s="15"/>
      <c r="KP504" s="15"/>
      <c r="KQ504" s="15"/>
      <c r="KR504" s="15"/>
      <c r="KS504" s="15"/>
      <c r="KT504" s="15"/>
      <c r="KU504" s="15"/>
      <c r="KV504" s="15"/>
      <c r="KW504" s="15"/>
      <c r="KX504" s="15"/>
      <c r="KY504" s="15"/>
      <c r="KZ504" s="15"/>
    </row>
    <row r="505" spans="300:312" x14ac:dyDescent="0.3">
      <c r="KN505" s="15"/>
      <c r="KO505" s="15"/>
      <c r="KP505" s="15"/>
      <c r="KQ505" s="15"/>
      <c r="KR505" s="15"/>
      <c r="KS505" s="15"/>
      <c r="KT505" s="15"/>
      <c r="KU505" s="15"/>
      <c r="KV505" s="15"/>
      <c r="KW505" s="15"/>
      <c r="KX505" s="15"/>
      <c r="KY505" s="15"/>
      <c r="KZ505" s="15"/>
    </row>
    <row r="506" spans="300:312" x14ac:dyDescent="0.3">
      <c r="KN506" s="15"/>
      <c r="KO506" s="15"/>
      <c r="KP506" s="15"/>
      <c r="KQ506" s="15"/>
      <c r="KR506" s="15"/>
      <c r="KS506" s="15"/>
      <c r="KT506" s="15"/>
      <c r="KU506" s="15"/>
      <c r="KV506" s="15"/>
      <c r="KW506" s="15"/>
      <c r="KX506" s="15"/>
      <c r="KY506" s="15"/>
      <c r="KZ506" s="15"/>
    </row>
    <row r="507" spans="300:312" x14ac:dyDescent="0.3">
      <c r="KN507" s="15"/>
      <c r="KO507" s="15"/>
      <c r="KP507" s="15"/>
      <c r="KQ507" s="15"/>
      <c r="KR507" s="15"/>
      <c r="KS507" s="15"/>
      <c r="KT507" s="15"/>
      <c r="KU507" s="15"/>
      <c r="KV507" s="15"/>
      <c r="KW507" s="15"/>
      <c r="KX507" s="15"/>
      <c r="KY507" s="15"/>
      <c r="KZ507" s="15"/>
    </row>
    <row r="508" spans="300:312" x14ac:dyDescent="0.3">
      <c r="KN508" s="15"/>
      <c r="KO508" s="15"/>
      <c r="KP508" s="15"/>
      <c r="KQ508" s="15"/>
      <c r="KR508" s="15"/>
      <c r="KS508" s="15"/>
      <c r="KT508" s="15"/>
      <c r="KU508" s="15"/>
      <c r="KV508" s="15"/>
      <c r="KW508" s="15"/>
      <c r="KX508" s="15"/>
      <c r="KY508" s="15"/>
      <c r="KZ508" s="15"/>
    </row>
    <row r="509" spans="300:312" x14ac:dyDescent="0.3">
      <c r="KN509" s="15"/>
      <c r="KO509" s="15"/>
      <c r="KP509" s="15"/>
      <c r="KQ509" s="15"/>
      <c r="KR509" s="15"/>
      <c r="KS509" s="15"/>
      <c r="KT509" s="15"/>
      <c r="KU509" s="15"/>
      <c r="KV509" s="15"/>
      <c r="KW509" s="15"/>
      <c r="KX509" s="15"/>
      <c r="KY509" s="15"/>
      <c r="KZ509" s="15"/>
    </row>
    <row r="510" spans="300:312" x14ac:dyDescent="0.3">
      <c r="KN510" s="15"/>
      <c r="KO510" s="15"/>
      <c r="KP510" s="15"/>
      <c r="KQ510" s="15"/>
      <c r="KR510" s="15"/>
      <c r="KS510" s="15"/>
      <c r="KT510" s="15"/>
      <c r="KU510" s="15"/>
      <c r="KV510" s="15"/>
      <c r="KW510" s="15"/>
      <c r="KX510" s="15"/>
      <c r="KY510" s="15"/>
      <c r="KZ510" s="15"/>
    </row>
    <row r="511" spans="300:312" x14ac:dyDescent="0.3">
      <c r="KN511" s="15"/>
      <c r="KO511" s="15"/>
      <c r="KP511" s="15"/>
      <c r="KQ511" s="15"/>
      <c r="KR511" s="15"/>
      <c r="KS511" s="15"/>
      <c r="KT511" s="15"/>
      <c r="KU511" s="15"/>
      <c r="KV511" s="15"/>
      <c r="KW511" s="15"/>
      <c r="KX511" s="15"/>
      <c r="KY511" s="15"/>
      <c r="KZ511" s="15"/>
    </row>
    <row r="512" spans="300:312" x14ac:dyDescent="0.3">
      <c r="KN512" s="15"/>
      <c r="KO512" s="15"/>
      <c r="KP512" s="15"/>
      <c r="KQ512" s="15"/>
      <c r="KR512" s="15"/>
      <c r="KS512" s="15"/>
      <c r="KT512" s="15"/>
      <c r="KU512" s="15"/>
      <c r="KV512" s="15"/>
      <c r="KW512" s="15"/>
      <c r="KX512" s="15"/>
      <c r="KY512" s="15"/>
      <c r="KZ512" s="15"/>
    </row>
    <row r="513" spans="300:312" x14ac:dyDescent="0.3">
      <c r="KN513" s="15"/>
      <c r="KO513" s="15"/>
      <c r="KP513" s="15"/>
      <c r="KQ513" s="15"/>
      <c r="KR513" s="15"/>
      <c r="KS513" s="15"/>
      <c r="KT513" s="15"/>
      <c r="KU513" s="15"/>
      <c r="KV513" s="15"/>
      <c r="KW513" s="15"/>
      <c r="KX513" s="15"/>
      <c r="KY513" s="15"/>
      <c r="KZ513" s="15"/>
    </row>
    <row r="514" spans="300:312" x14ac:dyDescent="0.3">
      <c r="KN514" s="15"/>
      <c r="KO514" s="15"/>
      <c r="KP514" s="15"/>
      <c r="KQ514" s="15"/>
      <c r="KR514" s="15"/>
      <c r="KS514" s="15"/>
      <c r="KT514" s="15"/>
      <c r="KU514" s="15"/>
      <c r="KV514" s="15"/>
      <c r="KW514" s="15"/>
      <c r="KX514" s="15"/>
      <c r="KY514" s="15"/>
      <c r="KZ514" s="15"/>
    </row>
    <row r="515" spans="300:312" x14ac:dyDescent="0.3">
      <c r="KN515" s="15"/>
      <c r="KO515" s="15"/>
      <c r="KP515" s="15"/>
      <c r="KQ515" s="15"/>
      <c r="KR515" s="15"/>
      <c r="KS515" s="15"/>
      <c r="KT515" s="15"/>
      <c r="KU515" s="15"/>
      <c r="KV515" s="15"/>
      <c r="KW515" s="15"/>
      <c r="KX515" s="15"/>
      <c r="KY515" s="15"/>
      <c r="KZ515" s="15"/>
    </row>
    <row r="516" spans="300:312" x14ac:dyDescent="0.3">
      <c r="KN516" s="15"/>
      <c r="KO516" s="15"/>
      <c r="KP516" s="15"/>
      <c r="KQ516" s="15"/>
      <c r="KR516" s="15"/>
      <c r="KS516" s="15"/>
      <c r="KT516" s="15"/>
      <c r="KU516" s="15"/>
      <c r="KV516" s="15"/>
      <c r="KW516" s="15"/>
      <c r="KX516" s="15"/>
      <c r="KY516" s="15"/>
      <c r="KZ516" s="15"/>
    </row>
    <row r="517" spans="300:312" x14ac:dyDescent="0.3">
      <c r="KN517" s="15"/>
      <c r="KO517" s="15"/>
      <c r="KP517" s="15"/>
      <c r="KQ517" s="15"/>
      <c r="KR517" s="15"/>
      <c r="KS517" s="15"/>
      <c r="KT517" s="15"/>
      <c r="KU517" s="15"/>
      <c r="KV517" s="15"/>
      <c r="KW517" s="15"/>
      <c r="KX517" s="15"/>
      <c r="KY517" s="15"/>
      <c r="KZ517" s="15"/>
    </row>
    <row r="518" spans="300:312" x14ac:dyDescent="0.3">
      <c r="KN518" s="15"/>
      <c r="KO518" s="15"/>
      <c r="KP518" s="15"/>
      <c r="KQ518" s="15"/>
      <c r="KR518" s="15"/>
      <c r="KS518" s="15"/>
      <c r="KT518" s="15"/>
      <c r="KU518" s="15"/>
      <c r="KV518" s="15"/>
      <c r="KW518" s="15"/>
      <c r="KX518" s="15"/>
      <c r="KY518" s="15"/>
      <c r="KZ518" s="15"/>
    </row>
    <row r="519" spans="300:312" x14ac:dyDescent="0.3">
      <c r="KN519" s="15"/>
      <c r="KO519" s="15"/>
      <c r="KP519" s="15"/>
      <c r="KQ519" s="15"/>
      <c r="KR519" s="15"/>
      <c r="KS519" s="15"/>
      <c r="KT519" s="15"/>
      <c r="KU519" s="15"/>
      <c r="KV519" s="15"/>
      <c r="KW519" s="15"/>
      <c r="KX519" s="15"/>
      <c r="KY519" s="15"/>
      <c r="KZ519" s="15"/>
    </row>
    <row r="520" spans="300:312" x14ac:dyDescent="0.3">
      <c r="KN520" s="15"/>
      <c r="KO520" s="15"/>
      <c r="KP520" s="15"/>
      <c r="KQ520" s="15"/>
      <c r="KR520" s="15"/>
      <c r="KS520" s="15"/>
      <c r="KT520" s="15"/>
      <c r="KU520" s="15"/>
      <c r="KV520" s="15"/>
      <c r="KW520" s="15"/>
      <c r="KX520" s="15"/>
      <c r="KY520" s="15"/>
      <c r="KZ520" s="15"/>
    </row>
    <row r="521" spans="300:312" x14ac:dyDescent="0.3">
      <c r="KN521" s="15"/>
      <c r="KO521" s="15"/>
      <c r="KP521" s="15"/>
      <c r="KQ521" s="15"/>
      <c r="KR521" s="15"/>
      <c r="KS521" s="15"/>
      <c r="KT521" s="15"/>
      <c r="KU521" s="15"/>
      <c r="KV521" s="15"/>
      <c r="KW521" s="15"/>
      <c r="KX521" s="15"/>
      <c r="KY521" s="15"/>
      <c r="KZ521" s="15"/>
    </row>
    <row r="522" spans="300:312" x14ac:dyDescent="0.3">
      <c r="KN522" s="15"/>
      <c r="KO522" s="15"/>
      <c r="KP522" s="15"/>
      <c r="KQ522" s="15"/>
      <c r="KR522" s="15"/>
      <c r="KS522" s="15"/>
      <c r="KT522" s="15"/>
      <c r="KU522" s="15"/>
      <c r="KV522" s="15"/>
      <c r="KW522" s="15"/>
      <c r="KX522" s="15"/>
      <c r="KY522" s="15"/>
      <c r="KZ522" s="15"/>
    </row>
    <row r="523" spans="300:312" x14ac:dyDescent="0.3">
      <c r="KN523" s="15"/>
      <c r="KO523" s="15"/>
      <c r="KP523" s="15"/>
      <c r="KQ523" s="15"/>
      <c r="KR523" s="15"/>
      <c r="KS523" s="15"/>
      <c r="KT523" s="15"/>
      <c r="KU523" s="15"/>
      <c r="KV523" s="15"/>
      <c r="KW523" s="15"/>
      <c r="KX523" s="15"/>
      <c r="KY523" s="15"/>
      <c r="KZ523" s="15"/>
    </row>
    <row r="524" spans="300:312" x14ac:dyDescent="0.3">
      <c r="KN524" s="15"/>
      <c r="KO524" s="15"/>
      <c r="KP524" s="15"/>
      <c r="KQ524" s="15"/>
      <c r="KR524" s="15"/>
      <c r="KS524" s="15"/>
      <c r="KT524" s="15"/>
      <c r="KU524" s="15"/>
      <c r="KV524" s="15"/>
      <c r="KW524" s="15"/>
      <c r="KX524" s="15"/>
      <c r="KY524" s="15"/>
      <c r="KZ524" s="15"/>
    </row>
    <row r="525" spans="300:312" x14ac:dyDescent="0.3">
      <c r="KN525" s="15"/>
      <c r="KO525" s="15"/>
      <c r="KP525" s="15"/>
      <c r="KQ525" s="15"/>
      <c r="KR525" s="15"/>
      <c r="KS525" s="15"/>
      <c r="KT525" s="15"/>
      <c r="KU525" s="15"/>
      <c r="KV525" s="15"/>
      <c r="KW525" s="15"/>
      <c r="KX525" s="15"/>
      <c r="KY525" s="15"/>
      <c r="KZ525" s="15"/>
    </row>
    <row r="526" spans="300:312" x14ac:dyDescent="0.3">
      <c r="KN526" s="15"/>
      <c r="KO526" s="15"/>
      <c r="KP526" s="15"/>
      <c r="KQ526" s="15"/>
      <c r="KR526" s="15"/>
      <c r="KS526" s="15"/>
      <c r="KT526" s="15"/>
      <c r="KU526" s="15"/>
      <c r="KV526" s="15"/>
      <c r="KW526" s="15"/>
      <c r="KX526" s="15"/>
      <c r="KY526" s="15"/>
      <c r="KZ526" s="15"/>
    </row>
    <row r="527" spans="300:312" x14ac:dyDescent="0.3">
      <c r="KN527" s="15"/>
      <c r="KO527" s="15"/>
      <c r="KP527" s="15"/>
      <c r="KQ527" s="15"/>
      <c r="KR527" s="15"/>
      <c r="KS527" s="15"/>
      <c r="KT527" s="15"/>
      <c r="KU527" s="15"/>
      <c r="KV527" s="15"/>
      <c r="KW527" s="15"/>
      <c r="KX527" s="15"/>
      <c r="KY527" s="15"/>
      <c r="KZ527" s="15"/>
    </row>
    <row r="528" spans="300:312" x14ac:dyDescent="0.3">
      <c r="KN528" s="15"/>
      <c r="KO528" s="15"/>
      <c r="KP528" s="15"/>
      <c r="KQ528" s="15"/>
      <c r="KR528" s="15"/>
      <c r="KS528" s="15"/>
      <c r="KT528" s="15"/>
      <c r="KU528" s="15"/>
      <c r="KV528" s="15"/>
      <c r="KW528" s="15"/>
      <c r="KX528" s="15"/>
      <c r="KY528" s="15"/>
      <c r="KZ528" s="15"/>
    </row>
    <row r="529" spans="300:312" x14ac:dyDescent="0.3">
      <c r="KN529" s="15"/>
      <c r="KO529" s="15"/>
      <c r="KP529" s="15"/>
      <c r="KQ529" s="15"/>
      <c r="KR529" s="15"/>
      <c r="KS529" s="15"/>
      <c r="KT529" s="15"/>
      <c r="KU529" s="15"/>
      <c r="KV529" s="15"/>
      <c r="KW529" s="15"/>
      <c r="KX529" s="15"/>
      <c r="KY529" s="15"/>
      <c r="KZ529" s="15"/>
    </row>
    <row r="530" spans="300:312" x14ac:dyDescent="0.3">
      <c r="KN530" s="15"/>
      <c r="KO530" s="15"/>
      <c r="KP530" s="15"/>
      <c r="KQ530" s="15"/>
      <c r="KR530" s="15"/>
      <c r="KS530" s="15"/>
      <c r="KT530" s="15"/>
      <c r="KU530" s="15"/>
      <c r="KV530" s="15"/>
      <c r="KW530" s="15"/>
      <c r="KX530" s="15"/>
      <c r="KY530" s="15"/>
      <c r="KZ530" s="15"/>
    </row>
    <row r="531" spans="300:312" x14ac:dyDescent="0.3">
      <c r="KN531" s="15"/>
      <c r="KO531" s="15"/>
      <c r="KP531" s="15"/>
      <c r="KQ531" s="15"/>
      <c r="KR531" s="15"/>
      <c r="KS531" s="15"/>
      <c r="KT531" s="15"/>
      <c r="KU531" s="15"/>
      <c r="KV531" s="15"/>
      <c r="KW531" s="15"/>
      <c r="KX531" s="15"/>
      <c r="KY531" s="15"/>
      <c r="KZ531" s="15"/>
    </row>
    <row r="532" spans="300:312" x14ac:dyDescent="0.3">
      <c r="KN532" s="15"/>
      <c r="KO532" s="15"/>
      <c r="KP532" s="15"/>
      <c r="KQ532" s="15"/>
      <c r="KR532" s="15"/>
      <c r="KS532" s="15"/>
      <c r="KT532" s="15"/>
      <c r="KU532" s="15"/>
      <c r="KV532" s="15"/>
      <c r="KW532" s="15"/>
      <c r="KX532" s="15"/>
      <c r="KY532" s="15"/>
      <c r="KZ532" s="15"/>
    </row>
    <row r="533" spans="300:312" x14ac:dyDescent="0.3">
      <c r="KN533" s="15"/>
      <c r="KO533" s="15"/>
      <c r="KP533" s="15"/>
      <c r="KQ533" s="15"/>
      <c r="KR533" s="15"/>
      <c r="KS533" s="15"/>
      <c r="KT533" s="15"/>
      <c r="KU533" s="15"/>
      <c r="KV533" s="15"/>
      <c r="KW533" s="15"/>
      <c r="KX533" s="15"/>
      <c r="KY533" s="15"/>
      <c r="KZ533" s="15"/>
    </row>
    <row r="534" spans="300:312" x14ac:dyDescent="0.3">
      <c r="KN534" s="15"/>
      <c r="KO534" s="15"/>
      <c r="KP534" s="15"/>
      <c r="KQ534" s="15"/>
      <c r="KR534" s="15"/>
      <c r="KS534" s="15"/>
      <c r="KT534" s="15"/>
      <c r="KU534" s="15"/>
      <c r="KV534" s="15"/>
      <c r="KW534" s="15"/>
      <c r="KX534" s="15"/>
      <c r="KY534" s="15"/>
      <c r="KZ534" s="15"/>
    </row>
    <row r="535" spans="300:312" x14ac:dyDescent="0.3">
      <c r="KN535" s="15"/>
      <c r="KO535" s="15"/>
      <c r="KP535" s="15"/>
      <c r="KQ535" s="15"/>
      <c r="KR535" s="15"/>
      <c r="KS535" s="15"/>
      <c r="KT535" s="15"/>
      <c r="KU535" s="15"/>
      <c r="KV535" s="15"/>
      <c r="KW535" s="15"/>
      <c r="KX535" s="15"/>
      <c r="KY535" s="15"/>
      <c r="KZ535" s="15"/>
    </row>
    <row r="536" spans="300:312" x14ac:dyDescent="0.3">
      <c r="KN536" s="15"/>
      <c r="KO536" s="15"/>
      <c r="KP536" s="15"/>
      <c r="KQ536" s="15"/>
      <c r="KR536" s="15"/>
      <c r="KS536" s="15"/>
      <c r="KT536" s="15"/>
      <c r="KU536" s="15"/>
      <c r="KV536" s="15"/>
      <c r="KW536" s="15"/>
      <c r="KX536" s="15"/>
      <c r="KY536" s="15"/>
      <c r="KZ536" s="15"/>
    </row>
    <row r="537" spans="300:312" x14ac:dyDescent="0.3">
      <c r="KN537" s="15"/>
      <c r="KO537" s="15"/>
      <c r="KP537" s="15"/>
      <c r="KQ537" s="15"/>
      <c r="KR537" s="15"/>
      <c r="KS537" s="15"/>
      <c r="KT537" s="15"/>
      <c r="KU537" s="15"/>
      <c r="KV537" s="15"/>
      <c r="KW537" s="15"/>
      <c r="KX537" s="15"/>
      <c r="KY537" s="15"/>
      <c r="KZ537" s="15"/>
    </row>
    <row r="538" spans="300:312" x14ac:dyDescent="0.3">
      <c r="KN538" s="15"/>
      <c r="KO538" s="15"/>
      <c r="KP538" s="15"/>
      <c r="KQ538" s="15"/>
      <c r="KR538" s="15"/>
      <c r="KS538" s="15"/>
      <c r="KT538" s="15"/>
      <c r="KU538" s="15"/>
      <c r="KV538" s="15"/>
      <c r="KW538" s="15"/>
      <c r="KX538" s="15"/>
      <c r="KY538" s="15"/>
      <c r="KZ538" s="15"/>
    </row>
    <row r="539" spans="300:312" x14ac:dyDescent="0.3">
      <c r="KN539" s="15"/>
      <c r="KO539" s="15"/>
      <c r="KP539" s="15"/>
      <c r="KQ539" s="15"/>
      <c r="KR539" s="15"/>
      <c r="KS539" s="15"/>
      <c r="KT539" s="15"/>
      <c r="KU539" s="15"/>
      <c r="KV539" s="15"/>
      <c r="KW539" s="15"/>
      <c r="KX539" s="15"/>
      <c r="KY539" s="15"/>
      <c r="KZ539" s="15"/>
    </row>
    <row r="540" spans="300:312" x14ac:dyDescent="0.3">
      <c r="KN540" s="15"/>
      <c r="KO540" s="15"/>
      <c r="KP540" s="15"/>
      <c r="KQ540" s="15"/>
      <c r="KR540" s="15"/>
      <c r="KS540" s="15"/>
      <c r="KT540" s="15"/>
      <c r="KU540" s="15"/>
      <c r="KV540" s="15"/>
      <c r="KW540" s="15"/>
      <c r="KX540" s="15"/>
      <c r="KY540" s="15"/>
      <c r="KZ540" s="15"/>
    </row>
    <row r="541" spans="300:312" x14ac:dyDescent="0.3">
      <c r="KN541" s="15"/>
      <c r="KO541" s="15"/>
      <c r="KP541" s="15"/>
      <c r="KQ541" s="15"/>
      <c r="KR541" s="15"/>
      <c r="KS541" s="15"/>
      <c r="KT541" s="15"/>
      <c r="KU541" s="15"/>
      <c r="KV541" s="15"/>
      <c r="KW541" s="15"/>
      <c r="KX541" s="15"/>
      <c r="KY541" s="15"/>
      <c r="KZ541" s="15"/>
    </row>
    <row r="542" spans="300:312" x14ac:dyDescent="0.3">
      <c r="KN542" s="15"/>
      <c r="KO542" s="15"/>
      <c r="KP542" s="15"/>
      <c r="KQ542" s="15"/>
      <c r="KR542" s="15"/>
      <c r="KS542" s="15"/>
      <c r="KT542" s="15"/>
      <c r="KU542" s="15"/>
      <c r="KV542" s="15"/>
      <c r="KW542" s="15"/>
      <c r="KX542" s="15"/>
      <c r="KY542" s="15"/>
      <c r="KZ542" s="15"/>
    </row>
    <row r="543" spans="300:312" x14ac:dyDescent="0.3">
      <c r="KN543" s="15"/>
      <c r="KO543" s="15"/>
      <c r="KP543" s="15"/>
      <c r="KQ543" s="15"/>
      <c r="KR543" s="15"/>
      <c r="KS543" s="15"/>
      <c r="KT543" s="15"/>
      <c r="KU543" s="15"/>
      <c r="KV543" s="15"/>
      <c r="KW543" s="15"/>
      <c r="KX543" s="15"/>
      <c r="KY543" s="15"/>
      <c r="KZ543" s="15"/>
    </row>
    <row r="544" spans="300:312" x14ac:dyDescent="0.3">
      <c r="KN544" s="15"/>
      <c r="KO544" s="15"/>
      <c r="KP544" s="15"/>
      <c r="KQ544" s="15"/>
      <c r="KR544" s="15"/>
      <c r="KS544" s="15"/>
      <c r="KT544" s="15"/>
      <c r="KU544" s="15"/>
      <c r="KV544" s="15"/>
      <c r="KW544" s="15"/>
      <c r="KX544" s="15"/>
      <c r="KY544" s="15"/>
      <c r="KZ544" s="15"/>
    </row>
    <row r="545" spans="300:312" x14ac:dyDescent="0.3">
      <c r="KN545" s="15"/>
      <c r="KO545" s="15"/>
      <c r="KP545" s="15"/>
      <c r="KQ545" s="15"/>
      <c r="KR545" s="15"/>
      <c r="KS545" s="15"/>
      <c r="KT545" s="15"/>
      <c r="KU545" s="15"/>
      <c r="KV545" s="15"/>
      <c r="KW545" s="15"/>
      <c r="KX545" s="15"/>
      <c r="KY545" s="15"/>
      <c r="KZ545" s="15"/>
    </row>
    <row r="546" spans="300:312" x14ac:dyDescent="0.3">
      <c r="KN546" s="15"/>
      <c r="KO546" s="15"/>
      <c r="KP546" s="15"/>
      <c r="KQ546" s="15"/>
      <c r="KR546" s="15"/>
      <c r="KS546" s="15"/>
      <c r="KT546" s="15"/>
      <c r="KU546" s="15"/>
      <c r="KV546" s="15"/>
      <c r="KW546" s="15"/>
      <c r="KX546" s="15"/>
      <c r="KY546" s="15"/>
      <c r="KZ546" s="15"/>
    </row>
    <row r="547" spans="300:312" x14ac:dyDescent="0.3">
      <c r="KN547" s="15"/>
      <c r="KO547" s="15"/>
      <c r="KP547" s="15"/>
      <c r="KQ547" s="15"/>
      <c r="KR547" s="15"/>
      <c r="KS547" s="15"/>
      <c r="KT547" s="15"/>
      <c r="KU547" s="15"/>
      <c r="KV547" s="15"/>
      <c r="KW547" s="15"/>
      <c r="KX547" s="15"/>
      <c r="KY547" s="15"/>
      <c r="KZ547" s="15"/>
    </row>
    <row r="548" spans="300:312" x14ac:dyDescent="0.3">
      <c r="KN548" s="15"/>
      <c r="KO548" s="15"/>
      <c r="KP548" s="15"/>
      <c r="KQ548" s="15"/>
      <c r="KR548" s="15"/>
      <c r="KS548" s="15"/>
      <c r="KT548" s="15"/>
      <c r="KU548" s="15"/>
      <c r="KV548" s="15"/>
      <c r="KW548" s="15"/>
      <c r="KX548" s="15"/>
      <c r="KY548" s="15"/>
      <c r="KZ548" s="15"/>
    </row>
    <row r="549" spans="300:312" x14ac:dyDescent="0.3">
      <c r="KN549" s="15"/>
      <c r="KO549" s="15"/>
      <c r="KP549" s="15"/>
      <c r="KQ549" s="15"/>
      <c r="KR549" s="15"/>
      <c r="KS549" s="15"/>
      <c r="KT549" s="15"/>
      <c r="KU549" s="15"/>
      <c r="KV549" s="15"/>
      <c r="KW549" s="15"/>
      <c r="KX549" s="15"/>
      <c r="KY549" s="15"/>
      <c r="KZ549" s="15"/>
    </row>
    <row r="550" spans="300:312" x14ac:dyDescent="0.3">
      <c r="KN550" s="15"/>
      <c r="KO550" s="15"/>
      <c r="KP550" s="15"/>
      <c r="KQ550" s="15"/>
      <c r="KR550" s="15"/>
      <c r="KS550" s="15"/>
      <c r="KT550" s="15"/>
      <c r="KU550" s="15"/>
      <c r="KV550" s="15"/>
      <c r="KW550" s="15"/>
      <c r="KX550" s="15"/>
      <c r="KY550" s="15"/>
      <c r="KZ550" s="15"/>
    </row>
    <row r="551" spans="300:312" x14ac:dyDescent="0.3">
      <c r="KN551" s="15"/>
      <c r="KO551" s="15"/>
      <c r="KP551" s="15"/>
      <c r="KQ551" s="15"/>
      <c r="KR551" s="15"/>
      <c r="KS551" s="15"/>
      <c r="KT551" s="15"/>
      <c r="KU551" s="15"/>
      <c r="KV551" s="15"/>
      <c r="KW551" s="15"/>
      <c r="KX551" s="15"/>
      <c r="KY551" s="15"/>
      <c r="KZ551" s="15"/>
    </row>
    <row r="552" spans="300:312" x14ac:dyDescent="0.3">
      <c r="KN552" s="15"/>
      <c r="KO552" s="15"/>
      <c r="KP552" s="15"/>
      <c r="KQ552" s="15"/>
      <c r="KR552" s="15"/>
      <c r="KS552" s="15"/>
      <c r="KT552" s="15"/>
      <c r="KU552" s="15"/>
      <c r="KV552" s="15"/>
      <c r="KW552" s="15"/>
      <c r="KX552" s="15"/>
      <c r="KY552" s="15"/>
      <c r="KZ552" s="15"/>
    </row>
    <row r="553" spans="300:312" x14ac:dyDescent="0.3">
      <c r="KN553" s="15"/>
      <c r="KO553" s="15"/>
      <c r="KP553" s="15"/>
      <c r="KQ553" s="15"/>
      <c r="KR553" s="15"/>
      <c r="KS553" s="15"/>
      <c r="KT553" s="15"/>
      <c r="KU553" s="15"/>
      <c r="KV553" s="15"/>
      <c r="KW553" s="15"/>
      <c r="KX553" s="15"/>
      <c r="KY553" s="15"/>
      <c r="KZ553" s="15"/>
    </row>
    <row r="554" spans="300:312" x14ac:dyDescent="0.3">
      <c r="KN554" s="15"/>
      <c r="KO554" s="15"/>
      <c r="KP554" s="15"/>
      <c r="KQ554" s="15"/>
      <c r="KR554" s="15"/>
      <c r="KS554" s="15"/>
      <c r="KT554" s="15"/>
      <c r="KU554" s="15"/>
      <c r="KV554" s="15"/>
      <c r="KW554" s="15"/>
      <c r="KX554" s="15"/>
      <c r="KY554" s="15"/>
      <c r="KZ554" s="15"/>
    </row>
    <row r="555" spans="300:312" x14ac:dyDescent="0.3">
      <c r="KN555" s="15"/>
      <c r="KO555" s="15"/>
      <c r="KP555" s="15"/>
      <c r="KQ555" s="15"/>
      <c r="KR555" s="15"/>
      <c r="KS555" s="15"/>
      <c r="KT555" s="15"/>
      <c r="KU555" s="15"/>
      <c r="KV555" s="15"/>
      <c r="KW555" s="15"/>
      <c r="KX555" s="15"/>
      <c r="KY555" s="15"/>
      <c r="KZ555" s="15"/>
    </row>
    <row r="556" spans="300:312" x14ac:dyDescent="0.3">
      <c r="KN556" s="15"/>
      <c r="KO556" s="15"/>
      <c r="KP556" s="15"/>
      <c r="KQ556" s="15"/>
      <c r="KR556" s="15"/>
      <c r="KS556" s="15"/>
      <c r="KT556" s="15"/>
      <c r="KU556" s="15"/>
      <c r="KV556" s="15"/>
      <c r="KW556" s="15"/>
      <c r="KX556" s="15"/>
      <c r="KY556" s="15"/>
      <c r="KZ556" s="15"/>
    </row>
    <row r="557" spans="300:312" x14ac:dyDescent="0.3">
      <c r="KN557" s="15"/>
      <c r="KO557" s="15"/>
      <c r="KP557" s="15"/>
      <c r="KQ557" s="15"/>
      <c r="KR557" s="15"/>
      <c r="KS557" s="15"/>
      <c r="KT557" s="15"/>
      <c r="KU557" s="15"/>
      <c r="KV557" s="15"/>
      <c r="KW557" s="15"/>
      <c r="KX557" s="15"/>
      <c r="KY557" s="15"/>
      <c r="KZ557" s="15"/>
    </row>
    <row r="558" spans="300:312" x14ac:dyDescent="0.3">
      <c r="KN558" s="15"/>
      <c r="KO558" s="15"/>
      <c r="KP558" s="15"/>
      <c r="KQ558" s="15"/>
      <c r="KR558" s="15"/>
      <c r="KS558" s="15"/>
      <c r="KT558" s="15"/>
      <c r="KU558" s="15"/>
      <c r="KV558" s="15"/>
      <c r="KW558" s="15"/>
      <c r="KX558" s="15"/>
      <c r="KY558" s="15"/>
      <c r="KZ558" s="15"/>
    </row>
    <row r="559" spans="300:312" x14ac:dyDescent="0.3">
      <c r="KN559" s="15"/>
      <c r="KO559" s="15"/>
      <c r="KP559" s="15"/>
      <c r="KQ559" s="15"/>
      <c r="KR559" s="15"/>
      <c r="KS559" s="15"/>
      <c r="KT559" s="15"/>
      <c r="KU559" s="15"/>
      <c r="KV559" s="15"/>
      <c r="KW559" s="15"/>
      <c r="KX559" s="15"/>
      <c r="KY559" s="15"/>
      <c r="KZ559" s="15"/>
    </row>
    <row r="560" spans="300:312" x14ac:dyDescent="0.3">
      <c r="KN560" s="15"/>
      <c r="KO560" s="15"/>
      <c r="KP560" s="15"/>
      <c r="KQ560" s="15"/>
      <c r="KR560" s="15"/>
      <c r="KS560" s="15"/>
      <c r="KT560" s="15"/>
      <c r="KU560" s="15"/>
      <c r="KV560" s="15"/>
      <c r="KW560" s="15"/>
      <c r="KX560" s="15"/>
      <c r="KY560" s="15"/>
      <c r="KZ560" s="15"/>
    </row>
    <row r="561" spans="300:312" x14ac:dyDescent="0.3">
      <c r="KN561" s="15"/>
      <c r="KO561" s="15"/>
      <c r="KP561" s="15"/>
      <c r="KQ561" s="15"/>
      <c r="KR561" s="15"/>
      <c r="KS561" s="15"/>
      <c r="KT561" s="15"/>
      <c r="KU561" s="15"/>
      <c r="KV561" s="15"/>
      <c r="KW561" s="15"/>
      <c r="KX561" s="15"/>
      <c r="KY561" s="15"/>
      <c r="KZ561" s="15"/>
    </row>
    <row r="562" spans="300:312" x14ac:dyDescent="0.3">
      <c r="KN562" s="15"/>
      <c r="KO562" s="15"/>
      <c r="KP562" s="15"/>
      <c r="KQ562" s="15"/>
      <c r="KR562" s="15"/>
      <c r="KS562" s="15"/>
      <c r="KT562" s="15"/>
      <c r="KU562" s="15"/>
      <c r="KV562" s="15"/>
      <c r="KW562" s="15"/>
      <c r="KX562" s="15"/>
      <c r="KY562" s="15"/>
      <c r="KZ562" s="15"/>
    </row>
    <row r="563" spans="300:312" x14ac:dyDescent="0.3">
      <c r="KN563" s="15"/>
      <c r="KO563" s="15"/>
      <c r="KP563" s="15"/>
      <c r="KQ563" s="15"/>
      <c r="KR563" s="15"/>
      <c r="KS563" s="15"/>
      <c r="KT563" s="15"/>
      <c r="KU563" s="15"/>
      <c r="KV563" s="15"/>
      <c r="KW563" s="15"/>
      <c r="KX563" s="15"/>
      <c r="KY563" s="15"/>
      <c r="KZ563" s="15"/>
    </row>
    <row r="564" spans="300:312" x14ac:dyDescent="0.3">
      <c r="KN564" s="15"/>
      <c r="KO564" s="15"/>
      <c r="KP564" s="15"/>
      <c r="KQ564" s="15"/>
      <c r="KR564" s="15"/>
      <c r="KS564" s="15"/>
      <c r="KT564" s="15"/>
      <c r="KU564" s="15"/>
      <c r="KV564" s="15"/>
      <c r="KW564" s="15"/>
      <c r="KX564" s="15"/>
      <c r="KY564" s="15"/>
      <c r="KZ564" s="15"/>
    </row>
    <row r="565" spans="300:312" x14ac:dyDescent="0.3">
      <c r="KN565" s="15"/>
      <c r="KO565" s="15"/>
      <c r="KP565" s="15"/>
      <c r="KQ565" s="15"/>
      <c r="KR565" s="15"/>
      <c r="KS565" s="15"/>
      <c r="KT565" s="15"/>
      <c r="KU565" s="15"/>
      <c r="KV565" s="15"/>
      <c r="KW565" s="15"/>
      <c r="KX565" s="15"/>
      <c r="KY565" s="15"/>
      <c r="KZ565" s="15"/>
    </row>
    <row r="566" spans="300:312" x14ac:dyDescent="0.3">
      <c r="KN566" s="15"/>
      <c r="KO566" s="15"/>
      <c r="KP566" s="15"/>
      <c r="KQ566" s="15"/>
      <c r="KR566" s="15"/>
      <c r="KS566" s="15"/>
      <c r="KT566" s="15"/>
      <c r="KU566" s="15"/>
      <c r="KV566" s="15"/>
      <c r="KW566" s="15"/>
      <c r="KX566" s="15"/>
      <c r="KY566" s="15"/>
      <c r="KZ566" s="15"/>
    </row>
    <row r="567" spans="300:312" x14ac:dyDescent="0.3">
      <c r="KN567" s="15"/>
      <c r="KO567" s="15"/>
      <c r="KP567" s="15"/>
      <c r="KQ567" s="15"/>
      <c r="KR567" s="15"/>
      <c r="KS567" s="15"/>
      <c r="KT567" s="15"/>
      <c r="KU567" s="15"/>
      <c r="KV567" s="15"/>
      <c r="KW567" s="15"/>
      <c r="KX567" s="15"/>
      <c r="KY567" s="15"/>
      <c r="KZ567" s="15"/>
    </row>
    <row r="568" spans="300:312" x14ac:dyDescent="0.3">
      <c r="KN568" s="15"/>
      <c r="KO568" s="15"/>
      <c r="KP568" s="15"/>
      <c r="KQ568" s="15"/>
      <c r="KR568" s="15"/>
      <c r="KS568" s="15"/>
      <c r="KT568" s="15"/>
      <c r="KU568" s="15"/>
      <c r="KV568" s="15"/>
      <c r="KW568" s="15"/>
      <c r="KX568" s="15"/>
      <c r="KY568" s="15"/>
      <c r="KZ568" s="15"/>
    </row>
    <row r="569" spans="300:312" x14ac:dyDescent="0.3">
      <c r="KN569" s="15"/>
      <c r="KO569" s="15"/>
      <c r="KP569" s="15"/>
      <c r="KQ569" s="15"/>
      <c r="KR569" s="15"/>
      <c r="KS569" s="15"/>
      <c r="KT569" s="15"/>
      <c r="KU569" s="15"/>
      <c r="KV569" s="15"/>
      <c r="KW569" s="15"/>
      <c r="KX569" s="15"/>
      <c r="KY569" s="15"/>
      <c r="KZ569" s="15"/>
    </row>
    <row r="570" spans="300:312" x14ac:dyDescent="0.3">
      <c r="KN570" s="15"/>
      <c r="KO570" s="15"/>
      <c r="KP570" s="15"/>
      <c r="KQ570" s="15"/>
      <c r="KR570" s="15"/>
      <c r="KS570" s="15"/>
      <c r="KT570" s="15"/>
      <c r="KU570" s="15"/>
      <c r="KV570" s="15"/>
      <c r="KW570" s="15"/>
      <c r="KX570" s="15"/>
      <c r="KY570" s="15"/>
      <c r="KZ570" s="15"/>
    </row>
    <row r="571" spans="300:312" x14ac:dyDescent="0.3">
      <c r="KN571" s="15"/>
      <c r="KO571" s="15"/>
      <c r="KP571" s="15"/>
      <c r="KQ571" s="15"/>
      <c r="KR571" s="15"/>
      <c r="KS571" s="15"/>
      <c r="KT571" s="15"/>
      <c r="KU571" s="15"/>
      <c r="KV571" s="15"/>
      <c r="KW571" s="15"/>
      <c r="KX571" s="15"/>
      <c r="KY571" s="15"/>
      <c r="KZ571" s="15"/>
    </row>
    <row r="572" spans="300:312" x14ac:dyDescent="0.3">
      <c r="KN572" s="15"/>
      <c r="KO572" s="15"/>
      <c r="KP572" s="15"/>
      <c r="KQ572" s="15"/>
      <c r="KR572" s="15"/>
      <c r="KS572" s="15"/>
      <c r="KT572" s="15"/>
      <c r="KU572" s="15"/>
      <c r="KV572" s="15"/>
      <c r="KW572" s="15"/>
      <c r="KX572" s="15"/>
      <c r="KY572" s="15"/>
      <c r="KZ572" s="15"/>
    </row>
    <row r="573" spans="300:312" x14ac:dyDescent="0.3">
      <c r="KN573" s="15"/>
      <c r="KO573" s="15"/>
      <c r="KP573" s="15"/>
      <c r="KQ573" s="15"/>
      <c r="KR573" s="15"/>
      <c r="KS573" s="15"/>
      <c r="KT573" s="15"/>
      <c r="KU573" s="15"/>
      <c r="KV573" s="15"/>
      <c r="KW573" s="15"/>
      <c r="KX573" s="15"/>
      <c r="KY573" s="15"/>
      <c r="KZ573" s="15"/>
    </row>
    <row r="574" spans="300:312" x14ac:dyDescent="0.3">
      <c r="KN574" s="15"/>
      <c r="KO574" s="15"/>
      <c r="KP574" s="15"/>
      <c r="KQ574" s="15"/>
      <c r="KR574" s="15"/>
      <c r="KS574" s="15"/>
      <c r="KT574" s="15"/>
      <c r="KU574" s="15"/>
      <c r="KV574" s="15"/>
      <c r="KW574" s="15"/>
      <c r="KX574" s="15"/>
      <c r="KY574" s="15"/>
      <c r="KZ574" s="15"/>
    </row>
    <row r="575" spans="300:312" x14ac:dyDescent="0.3">
      <c r="KN575" s="15"/>
      <c r="KO575" s="15"/>
      <c r="KP575" s="15"/>
      <c r="KQ575" s="15"/>
      <c r="KR575" s="15"/>
      <c r="KS575" s="15"/>
      <c r="KT575" s="15"/>
      <c r="KU575" s="15"/>
      <c r="KV575" s="15"/>
      <c r="KW575" s="15"/>
      <c r="KX575" s="15"/>
      <c r="KY575" s="15"/>
      <c r="KZ575" s="15"/>
    </row>
    <row r="576" spans="300:312" x14ac:dyDescent="0.3">
      <c r="KN576" s="15"/>
      <c r="KO576" s="15"/>
      <c r="KP576" s="15"/>
      <c r="KQ576" s="15"/>
      <c r="KR576" s="15"/>
      <c r="KS576" s="15"/>
      <c r="KT576" s="15"/>
      <c r="KU576" s="15"/>
      <c r="KV576" s="15"/>
      <c r="KW576" s="15"/>
      <c r="KX576" s="15"/>
      <c r="KY576" s="15"/>
      <c r="KZ576" s="15"/>
    </row>
    <row r="577" spans="300:312" x14ac:dyDescent="0.3">
      <c r="KN577" s="15"/>
      <c r="KO577" s="15"/>
      <c r="KP577" s="15"/>
      <c r="KQ577" s="15"/>
      <c r="KR577" s="15"/>
      <c r="KS577" s="15"/>
      <c r="KT577" s="15"/>
      <c r="KU577" s="15"/>
      <c r="KV577" s="15"/>
      <c r="KW577" s="15"/>
      <c r="KX577" s="15"/>
      <c r="KY577" s="15"/>
      <c r="KZ577" s="15"/>
    </row>
    <row r="578" spans="300:312" x14ac:dyDescent="0.3">
      <c r="KN578" s="15"/>
      <c r="KO578" s="15"/>
      <c r="KP578" s="15"/>
      <c r="KQ578" s="15"/>
      <c r="KR578" s="15"/>
      <c r="KS578" s="15"/>
      <c r="KT578" s="15"/>
      <c r="KU578" s="15"/>
      <c r="KV578" s="15"/>
      <c r="KW578" s="15"/>
      <c r="KX578" s="15"/>
      <c r="KY578" s="15"/>
      <c r="KZ578" s="15"/>
    </row>
    <row r="579" spans="300:312" x14ac:dyDescent="0.3">
      <c r="KN579" s="15"/>
      <c r="KO579" s="15"/>
      <c r="KP579" s="15"/>
      <c r="KQ579" s="15"/>
      <c r="KR579" s="15"/>
      <c r="KS579" s="15"/>
      <c r="KT579" s="15"/>
      <c r="KU579" s="15"/>
      <c r="KV579" s="15"/>
      <c r="KW579" s="15"/>
      <c r="KX579" s="15"/>
      <c r="KY579" s="15"/>
      <c r="KZ579" s="15"/>
    </row>
    <row r="580" spans="300:312" x14ac:dyDescent="0.3">
      <c r="KN580" s="15"/>
      <c r="KO580" s="15"/>
      <c r="KP580" s="15"/>
      <c r="KQ580" s="15"/>
      <c r="KR580" s="15"/>
      <c r="KS580" s="15"/>
      <c r="KT580" s="15"/>
      <c r="KU580" s="15"/>
      <c r="KV580" s="15"/>
      <c r="KW580" s="15"/>
      <c r="KX580" s="15"/>
      <c r="KY580" s="15"/>
      <c r="KZ580" s="15"/>
    </row>
    <row r="581" spans="300:312" x14ac:dyDescent="0.3">
      <c r="KN581" s="15"/>
      <c r="KO581" s="15"/>
      <c r="KP581" s="15"/>
      <c r="KQ581" s="15"/>
      <c r="KR581" s="15"/>
      <c r="KS581" s="15"/>
      <c r="KT581" s="15"/>
      <c r="KU581" s="15"/>
      <c r="KV581" s="15"/>
      <c r="KW581" s="15"/>
      <c r="KX581" s="15"/>
      <c r="KY581" s="15"/>
      <c r="KZ581" s="15"/>
    </row>
    <row r="582" spans="300:312" x14ac:dyDescent="0.3">
      <c r="KN582" s="15"/>
      <c r="KO582" s="15"/>
      <c r="KP582" s="15"/>
      <c r="KQ582" s="15"/>
      <c r="KR582" s="15"/>
      <c r="KS582" s="15"/>
      <c r="KT582" s="15"/>
      <c r="KU582" s="15"/>
      <c r="KV582" s="15"/>
      <c r="KW582" s="15"/>
      <c r="KX582" s="15"/>
      <c r="KY582" s="15"/>
      <c r="KZ582" s="15"/>
    </row>
    <row r="583" spans="300:312" x14ac:dyDescent="0.3">
      <c r="KN583" s="15"/>
      <c r="KO583" s="15"/>
      <c r="KP583" s="15"/>
      <c r="KQ583" s="15"/>
      <c r="KR583" s="15"/>
      <c r="KS583" s="15"/>
      <c r="KT583" s="15"/>
      <c r="KU583" s="15"/>
      <c r="KV583" s="15"/>
      <c r="KW583" s="15"/>
      <c r="KX583" s="15"/>
      <c r="KY583" s="15"/>
      <c r="KZ583" s="15"/>
    </row>
    <row r="584" spans="300:312" x14ac:dyDescent="0.3">
      <c r="KN584" s="15"/>
      <c r="KO584" s="15"/>
      <c r="KP584" s="15"/>
      <c r="KQ584" s="15"/>
      <c r="KR584" s="15"/>
      <c r="KS584" s="15"/>
      <c r="KT584" s="15"/>
      <c r="KU584" s="15"/>
      <c r="KV584" s="15"/>
      <c r="KW584" s="15"/>
      <c r="KX584" s="15"/>
      <c r="KY584" s="15"/>
      <c r="KZ584" s="15"/>
    </row>
    <row r="585" spans="300:312" x14ac:dyDescent="0.3">
      <c r="KN585" s="15"/>
      <c r="KO585" s="15"/>
      <c r="KP585" s="15"/>
      <c r="KQ585" s="15"/>
      <c r="KR585" s="15"/>
      <c r="KS585" s="15"/>
      <c r="KT585" s="15"/>
      <c r="KU585" s="15"/>
      <c r="KV585" s="15"/>
      <c r="KW585" s="15"/>
      <c r="KX585" s="15"/>
      <c r="KY585" s="15"/>
      <c r="KZ585" s="15"/>
    </row>
    <row r="586" spans="300:312" x14ac:dyDescent="0.3">
      <c r="KN586" s="15"/>
      <c r="KO586" s="15"/>
      <c r="KP586" s="15"/>
      <c r="KQ586" s="15"/>
      <c r="KR586" s="15"/>
      <c r="KS586" s="15"/>
      <c r="KT586" s="15"/>
      <c r="KU586" s="15"/>
      <c r="KV586" s="15"/>
      <c r="KW586" s="15"/>
      <c r="KX586" s="15"/>
      <c r="KY586" s="15"/>
      <c r="KZ586" s="15"/>
    </row>
    <row r="587" spans="300:312" x14ac:dyDescent="0.3">
      <c r="KN587" s="15"/>
      <c r="KO587" s="15"/>
      <c r="KP587" s="15"/>
      <c r="KQ587" s="15"/>
      <c r="KR587" s="15"/>
      <c r="KS587" s="15"/>
      <c r="KT587" s="15"/>
      <c r="KU587" s="15"/>
      <c r="KV587" s="15"/>
      <c r="KW587" s="15"/>
      <c r="KX587" s="15"/>
      <c r="KY587" s="15"/>
      <c r="KZ587" s="15"/>
    </row>
    <row r="588" spans="300:312" x14ac:dyDescent="0.3">
      <c r="KN588" s="15"/>
      <c r="KO588" s="15"/>
      <c r="KP588" s="15"/>
      <c r="KQ588" s="15"/>
      <c r="KR588" s="15"/>
      <c r="KS588" s="15"/>
      <c r="KT588" s="15"/>
      <c r="KU588" s="15"/>
      <c r="KV588" s="15"/>
      <c r="KW588" s="15"/>
      <c r="KX588" s="15"/>
      <c r="KY588" s="15"/>
      <c r="KZ588" s="15"/>
    </row>
    <row r="589" spans="300:312" x14ac:dyDescent="0.3">
      <c r="KN589" s="15"/>
      <c r="KO589" s="15"/>
      <c r="KP589" s="15"/>
      <c r="KQ589" s="15"/>
      <c r="KR589" s="15"/>
      <c r="KS589" s="15"/>
      <c r="KT589" s="15"/>
      <c r="KU589" s="15"/>
      <c r="KV589" s="15"/>
      <c r="KW589" s="15"/>
      <c r="KX589" s="15"/>
      <c r="KY589" s="15"/>
      <c r="KZ589" s="15"/>
    </row>
    <row r="590" spans="300:312" x14ac:dyDescent="0.3">
      <c r="KN590" s="15"/>
      <c r="KO590" s="15"/>
      <c r="KP590" s="15"/>
      <c r="KQ590" s="15"/>
      <c r="KR590" s="15"/>
      <c r="KS590" s="15"/>
      <c r="KT590" s="15"/>
      <c r="KU590" s="15"/>
      <c r="KV590" s="15"/>
      <c r="KW590" s="15"/>
      <c r="KX590" s="15"/>
      <c r="KY590" s="15"/>
      <c r="KZ590" s="15"/>
    </row>
    <row r="591" spans="300:312" x14ac:dyDescent="0.3">
      <c r="KN591" s="15"/>
      <c r="KO591" s="15"/>
      <c r="KP591" s="15"/>
      <c r="KQ591" s="15"/>
      <c r="KR591" s="15"/>
      <c r="KS591" s="15"/>
      <c r="KT591" s="15"/>
      <c r="KU591" s="15"/>
      <c r="KV591" s="15"/>
      <c r="KW591" s="15"/>
      <c r="KX591" s="15"/>
      <c r="KY591" s="15"/>
      <c r="KZ591" s="15"/>
    </row>
    <row r="592" spans="300:312" x14ac:dyDescent="0.3">
      <c r="KN592" s="15"/>
      <c r="KO592" s="15"/>
      <c r="KP592" s="15"/>
      <c r="KQ592" s="15"/>
      <c r="KR592" s="15"/>
      <c r="KS592" s="15"/>
      <c r="KT592" s="15"/>
      <c r="KU592" s="15"/>
      <c r="KV592" s="15"/>
      <c r="KW592" s="15"/>
      <c r="KX592" s="15"/>
      <c r="KY592" s="15"/>
      <c r="KZ592" s="15"/>
    </row>
    <row r="593" spans="300:312" x14ac:dyDescent="0.3">
      <c r="KN593" s="15"/>
      <c r="KO593" s="15"/>
      <c r="KP593" s="15"/>
      <c r="KQ593" s="15"/>
      <c r="KR593" s="15"/>
      <c r="KS593" s="15"/>
      <c r="KT593" s="15"/>
      <c r="KU593" s="15"/>
      <c r="KV593" s="15"/>
      <c r="KW593" s="15"/>
      <c r="KX593" s="15"/>
      <c r="KY593" s="15"/>
      <c r="KZ593" s="15"/>
    </row>
    <row r="594" spans="300:312" x14ac:dyDescent="0.3">
      <c r="KN594" s="15"/>
      <c r="KO594" s="15"/>
      <c r="KP594" s="15"/>
      <c r="KQ594" s="15"/>
      <c r="KR594" s="15"/>
      <c r="KS594" s="15"/>
      <c r="KT594" s="15"/>
      <c r="KU594" s="15"/>
      <c r="KV594" s="15"/>
      <c r="KW594" s="15"/>
      <c r="KX594" s="15"/>
      <c r="KY594" s="15"/>
      <c r="KZ594" s="15"/>
    </row>
    <row r="595" spans="300:312" x14ac:dyDescent="0.3">
      <c r="KN595" s="15"/>
      <c r="KO595" s="15"/>
      <c r="KP595" s="15"/>
      <c r="KQ595" s="15"/>
      <c r="KR595" s="15"/>
      <c r="KS595" s="15"/>
      <c r="KT595" s="15"/>
      <c r="KU595" s="15"/>
      <c r="KV595" s="15"/>
      <c r="KW595" s="15"/>
      <c r="KX595" s="15"/>
      <c r="KY595" s="15"/>
      <c r="KZ595" s="15"/>
    </row>
    <row r="596" spans="300:312" x14ac:dyDescent="0.3">
      <c r="KN596" s="15"/>
      <c r="KO596" s="15"/>
      <c r="KP596" s="15"/>
      <c r="KQ596" s="15"/>
      <c r="KR596" s="15"/>
      <c r="KS596" s="15"/>
      <c r="KT596" s="15"/>
      <c r="KU596" s="15"/>
      <c r="KV596" s="15"/>
      <c r="KW596" s="15"/>
      <c r="KX596" s="15"/>
      <c r="KY596" s="15"/>
      <c r="KZ596" s="15"/>
    </row>
    <row r="597" spans="300:312" x14ac:dyDescent="0.3">
      <c r="KN597" s="15"/>
      <c r="KO597" s="15"/>
      <c r="KP597" s="15"/>
      <c r="KQ597" s="15"/>
      <c r="KR597" s="15"/>
      <c r="KS597" s="15"/>
      <c r="KT597" s="15"/>
      <c r="KU597" s="15"/>
      <c r="KV597" s="15"/>
      <c r="KW597" s="15"/>
      <c r="KX597" s="15"/>
      <c r="KY597" s="15"/>
      <c r="KZ597" s="15"/>
    </row>
    <row r="598" spans="300:312" x14ac:dyDescent="0.3">
      <c r="KN598" s="15"/>
      <c r="KO598" s="15"/>
      <c r="KP598" s="15"/>
      <c r="KQ598" s="15"/>
      <c r="KR598" s="15"/>
      <c r="KS598" s="15"/>
      <c r="KT598" s="15"/>
      <c r="KU598" s="15"/>
      <c r="KV598" s="15"/>
      <c r="KW598" s="15"/>
      <c r="KX598" s="15"/>
      <c r="KY598" s="15"/>
      <c r="KZ598" s="15"/>
    </row>
    <row r="599" spans="300:312" x14ac:dyDescent="0.3">
      <c r="KN599" s="15"/>
      <c r="KO599" s="15"/>
      <c r="KP599" s="15"/>
      <c r="KQ599" s="15"/>
      <c r="KR599" s="15"/>
      <c r="KS599" s="15"/>
      <c r="KT599" s="15"/>
      <c r="KU599" s="15"/>
      <c r="KV599" s="15"/>
      <c r="KW599" s="15"/>
      <c r="KX599" s="15"/>
      <c r="KY599" s="15"/>
      <c r="KZ599" s="15"/>
    </row>
    <row r="600" spans="300:312" x14ac:dyDescent="0.3">
      <c r="KN600" s="15"/>
      <c r="KO600" s="15"/>
      <c r="KP600" s="15"/>
      <c r="KQ600" s="15"/>
      <c r="KR600" s="15"/>
      <c r="KS600" s="15"/>
      <c r="KT600" s="15"/>
      <c r="KU600" s="15"/>
      <c r="KV600" s="15"/>
      <c r="KW600" s="15"/>
      <c r="KX600" s="15"/>
      <c r="KY600" s="15"/>
      <c r="KZ600" s="15"/>
    </row>
    <row r="601" spans="300:312" x14ac:dyDescent="0.3">
      <c r="KN601" s="15"/>
      <c r="KO601" s="15"/>
      <c r="KP601" s="15"/>
      <c r="KQ601" s="15"/>
      <c r="KR601" s="15"/>
      <c r="KS601" s="15"/>
      <c r="KT601" s="15"/>
      <c r="KU601" s="15"/>
      <c r="KV601" s="15"/>
      <c r="KW601" s="15"/>
      <c r="KX601" s="15"/>
      <c r="KY601" s="15"/>
      <c r="KZ601" s="15"/>
    </row>
    <row r="602" spans="300:312" x14ac:dyDescent="0.3">
      <c r="KN602" s="15"/>
      <c r="KO602" s="15"/>
      <c r="KP602" s="15"/>
      <c r="KQ602" s="15"/>
      <c r="KR602" s="15"/>
      <c r="KS602" s="15"/>
      <c r="KT602" s="15"/>
      <c r="KU602" s="15"/>
      <c r="KV602" s="15"/>
      <c r="KW602" s="15"/>
      <c r="KX602" s="15"/>
      <c r="KY602" s="15"/>
      <c r="KZ602" s="15"/>
    </row>
    <row r="603" spans="300:312" x14ac:dyDescent="0.3">
      <c r="KN603" s="15"/>
      <c r="KO603" s="15"/>
      <c r="KP603" s="15"/>
      <c r="KQ603" s="15"/>
      <c r="KR603" s="15"/>
      <c r="KS603" s="15"/>
      <c r="KT603" s="15"/>
      <c r="KU603" s="15"/>
      <c r="KV603" s="15"/>
      <c r="KW603" s="15"/>
      <c r="KX603" s="15"/>
      <c r="KY603" s="15"/>
      <c r="KZ603" s="15"/>
    </row>
    <row r="604" spans="300:312" x14ac:dyDescent="0.3">
      <c r="KN604" s="15"/>
      <c r="KO604" s="15"/>
      <c r="KP604" s="15"/>
      <c r="KQ604" s="15"/>
      <c r="KR604" s="15"/>
      <c r="KS604" s="15"/>
      <c r="KT604" s="15"/>
      <c r="KU604" s="15"/>
      <c r="KV604" s="15"/>
      <c r="KW604" s="15"/>
      <c r="KX604" s="15"/>
      <c r="KY604" s="15"/>
      <c r="KZ604" s="15"/>
    </row>
    <row r="605" spans="300:312" x14ac:dyDescent="0.3">
      <c r="KN605" s="15"/>
      <c r="KO605" s="15"/>
      <c r="KP605" s="15"/>
      <c r="KQ605" s="15"/>
      <c r="KR605" s="15"/>
      <c r="KS605" s="15"/>
      <c r="KT605" s="15"/>
      <c r="KU605" s="15"/>
      <c r="KV605" s="15"/>
      <c r="KW605" s="15"/>
      <c r="KX605" s="15"/>
      <c r="KY605" s="15"/>
      <c r="KZ605" s="15"/>
    </row>
    <row r="606" spans="300:312" x14ac:dyDescent="0.3">
      <c r="KN606" s="15"/>
      <c r="KO606" s="15"/>
      <c r="KP606" s="15"/>
      <c r="KQ606" s="15"/>
      <c r="KR606" s="15"/>
      <c r="KS606" s="15"/>
      <c r="KT606" s="15"/>
      <c r="KU606" s="15"/>
      <c r="KV606" s="15"/>
      <c r="KW606" s="15"/>
      <c r="KX606" s="15"/>
      <c r="KY606" s="15"/>
      <c r="KZ606" s="15"/>
    </row>
    <row r="607" spans="300:312" x14ac:dyDescent="0.3">
      <c r="KN607" s="15"/>
      <c r="KO607" s="15"/>
      <c r="KP607" s="15"/>
      <c r="KQ607" s="15"/>
      <c r="KR607" s="15"/>
      <c r="KS607" s="15"/>
      <c r="KT607" s="15"/>
      <c r="KU607" s="15"/>
      <c r="KV607" s="15"/>
      <c r="KW607" s="15"/>
      <c r="KX607" s="15"/>
      <c r="KY607" s="15"/>
      <c r="KZ607" s="15"/>
    </row>
    <row r="608" spans="300:312" x14ac:dyDescent="0.3">
      <c r="KN608" s="15"/>
      <c r="KO608" s="15"/>
      <c r="KP608" s="15"/>
      <c r="KQ608" s="15"/>
      <c r="KR608" s="15"/>
      <c r="KS608" s="15"/>
      <c r="KT608" s="15"/>
      <c r="KU608" s="15"/>
      <c r="KV608" s="15"/>
      <c r="KW608" s="15"/>
      <c r="KX608" s="15"/>
      <c r="KY608" s="15"/>
      <c r="KZ608" s="15"/>
    </row>
    <row r="609" spans="300:312" x14ac:dyDescent="0.3">
      <c r="KN609" s="15"/>
      <c r="KO609" s="15"/>
      <c r="KP609" s="15"/>
      <c r="KQ609" s="15"/>
      <c r="KR609" s="15"/>
      <c r="KS609" s="15"/>
      <c r="KT609" s="15"/>
      <c r="KU609" s="15"/>
      <c r="KV609" s="15"/>
      <c r="KW609" s="15"/>
      <c r="KX609" s="15"/>
      <c r="KY609" s="15"/>
      <c r="KZ609" s="15"/>
    </row>
    <row r="610" spans="300:312" x14ac:dyDescent="0.3">
      <c r="KN610" s="15"/>
      <c r="KO610" s="15"/>
      <c r="KP610" s="15"/>
      <c r="KQ610" s="15"/>
      <c r="KR610" s="15"/>
      <c r="KS610" s="15"/>
      <c r="KT610" s="15"/>
      <c r="KU610" s="15"/>
      <c r="KV610" s="15"/>
      <c r="KW610" s="15"/>
      <c r="KX610" s="15"/>
      <c r="KY610" s="15"/>
      <c r="KZ610" s="15"/>
    </row>
    <row r="611" spans="300:312" x14ac:dyDescent="0.3">
      <c r="KN611" s="15"/>
      <c r="KO611" s="15"/>
      <c r="KP611" s="15"/>
      <c r="KQ611" s="15"/>
      <c r="KR611" s="15"/>
      <c r="KS611" s="15"/>
      <c r="KT611" s="15"/>
      <c r="KU611" s="15"/>
      <c r="KV611" s="15"/>
      <c r="KW611" s="15"/>
      <c r="KX611" s="15"/>
      <c r="KY611" s="15"/>
      <c r="KZ611" s="15"/>
    </row>
    <row r="612" spans="300:312" x14ac:dyDescent="0.3">
      <c r="KN612" s="15"/>
      <c r="KO612" s="15"/>
      <c r="KP612" s="15"/>
      <c r="KQ612" s="15"/>
      <c r="KR612" s="15"/>
      <c r="KS612" s="15"/>
      <c r="KT612" s="15"/>
      <c r="KU612" s="15"/>
      <c r="KV612" s="15"/>
      <c r="KW612" s="15"/>
      <c r="KX612" s="15"/>
      <c r="KY612" s="15"/>
      <c r="KZ612" s="15"/>
    </row>
    <row r="613" spans="300:312" x14ac:dyDescent="0.3">
      <c r="KN613" s="15"/>
      <c r="KO613" s="15"/>
      <c r="KP613" s="15"/>
      <c r="KQ613" s="15"/>
      <c r="KR613" s="15"/>
      <c r="KS613" s="15"/>
      <c r="KT613" s="15"/>
      <c r="KU613" s="15"/>
      <c r="KV613" s="15"/>
      <c r="KW613" s="15"/>
      <c r="KX613" s="15"/>
      <c r="KY613" s="15"/>
      <c r="KZ613" s="15"/>
    </row>
    <row r="614" spans="300:312" x14ac:dyDescent="0.3">
      <c r="KN614" s="15"/>
      <c r="KO614" s="15"/>
      <c r="KP614" s="15"/>
      <c r="KQ614" s="15"/>
      <c r="KR614" s="15"/>
      <c r="KS614" s="15"/>
      <c r="KT614" s="15"/>
      <c r="KU614" s="15"/>
      <c r="KV614" s="15"/>
      <c r="KW614" s="15"/>
      <c r="KX614" s="15"/>
      <c r="KY614" s="15"/>
      <c r="KZ614" s="15"/>
    </row>
    <row r="615" spans="300:312" x14ac:dyDescent="0.3">
      <c r="KN615" s="15"/>
      <c r="KO615" s="15"/>
      <c r="KP615" s="15"/>
      <c r="KQ615" s="15"/>
      <c r="KR615" s="15"/>
      <c r="KS615" s="15"/>
      <c r="KT615" s="15"/>
      <c r="KU615" s="15"/>
      <c r="KV615" s="15"/>
      <c r="KW615" s="15"/>
      <c r="KX615" s="15"/>
      <c r="KY615" s="15"/>
      <c r="KZ615" s="15"/>
    </row>
    <row r="616" spans="300:312" x14ac:dyDescent="0.3">
      <c r="KN616" s="15"/>
      <c r="KO616" s="15"/>
      <c r="KP616" s="15"/>
      <c r="KQ616" s="15"/>
      <c r="KR616" s="15"/>
      <c r="KS616" s="15"/>
      <c r="KT616" s="15"/>
      <c r="KU616" s="15"/>
      <c r="KV616" s="15"/>
      <c r="KW616" s="15"/>
      <c r="KX616" s="15"/>
      <c r="KY616" s="15"/>
      <c r="KZ616" s="15"/>
    </row>
    <row r="617" spans="300:312" x14ac:dyDescent="0.3">
      <c r="KN617" s="15"/>
      <c r="KO617" s="15"/>
      <c r="KP617" s="15"/>
      <c r="KQ617" s="15"/>
      <c r="KR617" s="15"/>
      <c r="KS617" s="15"/>
      <c r="KT617" s="15"/>
      <c r="KU617" s="15"/>
      <c r="KV617" s="15"/>
      <c r="KW617" s="15"/>
      <c r="KX617" s="15"/>
      <c r="KY617" s="15"/>
      <c r="KZ617" s="15"/>
    </row>
    <row r="618" spans="300:312" x14ac:dyDescent="0.3">
      <c r="KN618" s="15"/>
      <c r="KO618" s="15"/>
      <c r="KP618" s="15"/>
      <c r="KQ618" s="15"/>
      <c r="KR618" s="15"/>
      <c r="KS618" s="15"/>
      <c r="KT618" s="15"/>
      <c r="KU618" s="15"/>
      <c r="KV618" s="15"/>
      <c r="KW618" s="15"/>
      <c r="KX618" s="15"/>
      <c r="KY618" s="15"/>
      <c r="KZ618" s="15"/>
    </row>
    <row r="619" spans="300:312" x14ac:dyDescent="0.3">
      <c r="KN619" s="15"/>
      <c r="KO619" s="15"/>
      <c r="KP619" s="15"/>
      <c r="KQ619" s="15"/>
      <c r="KR619" s="15"/>
      <c r="KS619" s="15"/>
      <c r="KT619" s="15"/>
      <c r="KU619" s="15"/>
      <c r="KV619" s="15"/>
      <c r="KW619" s="15"/>
      <c r="KX619" s="15"/>
      <c r="KY619" s="15"/>
      <c r="KZ619" s="15"/>
    </row>
    <row r="620" spans="300:312" x14ac:dyDescent="0.3">
      <c r="KN620" s="15"/>
      <c r="KO620" s="15"/>
      <c r="KP620" s="15"/>
      <c r="KQ620" s="15"/>
      <c r="KR620" s="15"/>
      <c r="KS620" s="15"/>
      <c r="KT620" s="15"/>
      <c r="KU620" s="15"/>
      <c r="KV620" s="15"/>
      <c r="KW620" s="15"/>
      <c r="KX620" s="15"/>
      <c r="KY620" s="15"/>
      <c r="KZ620" s="15"/>
    </row>
    <row r="621" spans="300:312" x14ac:dyDescent="0.3">
      <c r="KN621" s="15"/>
      <c r="KO621" s="15"/>
      <c r="KP621" s="15"/>
      <c r="KQ621" s="15"/>
      <c r="KR621" s="15"/>
      <c r="KS621" s="15"/>
      <c r="KT621" s="15"/>
      <c r="KU621" s="15"/>
      <c r="KV621" s="15"/>
      <c r="KW621" s="15"/>
      <c r="KX621" s="15"/>
      <c r="KY621" s="15"/>
      <c r="KZ621" s="15"/>
    </row>
    <row r="622" spans="300:312" x14ac:dyDescent="0.3">
      <c r="KN622" s="15"/>
      <c r="KO622" s="15"/>
      <c r="KP622" s="15"/>
      <c r="KQ622" s="15"/>
      <c r="KR622" s="15"/>
      <c r="KS622" s="15"/>
      <c r="KT622" s="15"/>
      <c r="KU622" s="15"/>
      <c r="KV622" s="15"/>
      <c r="KW622" s="15"/>
      <c r="KX622" s="15"/>
      <c r="KY622" s="15"/>
      <c r="KZ622" s="15"/>
    </row>
    <row r="623" spans="300:312" x14ac:dyDescent="0.3">
      <c r="KN623" s="15"/>
      <c r="KO623" s="15"/>
      <c r="KP623" s="15"/>
      <c r="KQ623" s="15"/>
      <c r="KR623" s="15"/>
      <c r="KS623" s="15"/>
      <c r="KT623" s="15"/>
      <c r="KU623" s="15"/>
      <c r="KV623" s="15"/>
      <c r="KW623" s="15"/>
      <c r="KX623" s="15"/>
      <c r="KY623" s="15"/>
      <c r="KZ623" s="15"/>
    </row>
    <row r="624" spans="300:312" x14ac:dyDescent="0.3">
      <c r="KN624" s="15"/>
      <c r="KO624" s="15"/>
      <c r="KP624" s="15"/>
      <c r="KQ624" s="15"/>
      <c r="KR624" s="15"/>
      <c r="KS624" s="15"/>
      <c r="KT624" s="15"/>
      <c r="KU624" s="15"/>
      <c r="KV624" s="15"/>
      <c r="KW624" s="15"/>
      <c r="KX624" s="15"/>
      <c r="KY624" s="15"/>
      <c r="KZ624" s="15"/>
    </row>
    <row r="625" spans="300:312" x14ac:dyDescent="0.3">
      <c r="KN625" s="15"/>
      <c r="KO625" s="15"/>
      <c r="KP625" s="15"/>
      <c r="KQ625" s="15"/>
      <c r="KR625" s="15"/>
      <c r="KS625" s="15"/>
      <c r="KT625" s="15"/>
      <c r="KU625" s="15"/>
      <c r="KV625" s="15"/>
      <c r="KW625" s="15"/>
      <c r="KX625" s="15"/>
      <c r="KY625" s="15"/>
      <c r="KZ625" s="15"/>
    </row>
    <row r="626" spans="300:312" x14ac:dyDescent="0.3">
      <c r="KN626" s="15"/>
      <c r="KO626" s="15"/>
      <c r="KP626" s="15"/>
      <c r="KQ626" s="15"/>
      <c r="KR626" s="15"/>
      <c r="KS626" s="15"/>
      <c r="KT626" s="15"/>
      <c r="KU626" s="15"/>
      <c r="KV626" s="15"/>
      <c r="KW626" s="15"/>
      <c r="KX626" s="15"/>
      <c r="KY626" s="15"/>
      <c r="KZ626" s="15"/>
    </row>
    <row r="627" spans="300:312" x14ac:dyDescent="0.3">
      <c r="KN627" s="15"/>
      <c r="KO627" s="15"/>
      <c r="KP627" s="15"/>
      <c r="KQ627" s="15"/>
      <c r="KR627" s="15"/>
      <c r="KS627" s="15"/>
      <c r="KT627" s="15"/>
      <c r="KU627" s="15"/>
      <c r="KV627" s="15"/>
      <c r="KW627" s="15"/>
      <c r="KX627" s="15"/>
      <c r="KY627" s="15"/>
      <c r="KZ627" s="15"/>
    </row>
    <row r="628" spans="300:312" x14ac:dyDescent="0.3">
      <c r="KN628" s="15"/>
      <c r="KO628" s="15"/>
      <c r="KP628" s="15"/>
      <c r="KQ628" s="15"/>
      <c r="KR628" s="15"/>
      <c r="KS628" s="15"/>
      <c r="KT628" s="15"/>
      <c r="KU628" s="15"/>
      <c r="KV628" s="15"/>
      <c r="KW628" s="15"/>
      <c r="KX628" s="15"/>
      <c r="KY628" s="15"/>
      <c r="KZ628" s="15"/>
    </row>
    <row r="629" spans="300:312" x14ac:dyDescent="0.3">
      <c r="KN629" s="15"/>
      <c r="KO629" s="15"/>
      <c r="KP629" s="15"/>
      <c r="KQ629" s="15"/>
      <c r="KR629" s="15"/>
      <c r="KS629" s="15"/>
      <c r="KT629" s="15"/>
      <c r="KU629" s="15"/>
      <c r="KV629" s="15"/>
      <c r="KW629" s="15"/>
      <c r="KX629" s="15"/>
      <c r="KY629" s="15"/>
      <c r="KZ629" s="15"/>
    </row>
    <row r="630" spans="300:312" x14ac:dyDescent="0.3">
      <c r="KN630" s="15"/>
      <c r="KO630" s="15"/>
      <c r="KP630" s="15"/>
      <c r="KQ630" s="15"/>
      <c r="KR630" s="15"/>
      <c r="KS630" s="15"/>
      <c r="KT630" s="15"/>
      <c r="KU630" s="15"/>
      <c r="KV630" s="15"/>
      <c r="KW630" s="15"/>
      <c r="KX630" s="15"/>
      <c r="KY630" s="15"/>
      <c r="KZ630" s="15"/>
    </row>
    <row r="631" spans="300:312" x14ac:dyDescent="0.3">
      <c r="KN631" s="15"/>
      <c r="KO631" s="15"/>
      <c r="KP631" s="15"/>
      <c r="KQ631" s="15"/>
      <c r="KR631" s="15"/>
      <c r="KS631" s="15"/>
      <c r="KT631" s="15"/>
      <c r="KU631" s="15"/>
      <c r="KV631" s="15"/>
      <c r="KW631" s="15"/>
      <c r="KX631" s="15"/>
      <c r="KY631" s="15"/>
      <c r="KZ631" s="15"/>
    </row>
    <row r="632" spans="300:312" x14ac:dyDescent="0.3">
      <c r="KN632" s="15"/>
      <c r="KO632" s="15"/>
      <c r="KP632" s="15"/>
      <c r="KQ632" s="15"/>
      <c r="KR632" s="15"/>
      <c r="KS632" s="15"/>
      <c r="KT632" s="15"/>
      <c r="KU632" s="15"/>
      <c r="KV632" s="15"/>
      <c r="KW632" s="15"/>
      <c r="KX632" s="15"/>
      <c r="KY632" s="15"/>
      <c r="KZ632" s="15"/>
    </row>
    <row r="633" spans="300:312" x14ac:dyDescent="0.3">
      <c r="KN633" s="15"/>
      <c r="KO633" s="15"/>
      <c r="KP633" s="15"/>
      <c r="KQ633" s="15"/>
      <c r="KR633" s="15"/>
      <c r="KS633" s="15"/>
      <c r="KT633" s="15"/>
      <c r="KU633" s="15"/>
      <c r="KV633" s="15"/>
      <c r="KW633" s="15"/>
      <c r="KX633" s="15"/>
      <c r="KY633" s="15"/>
      <c r="KZ633" s="15"/>
    </row>
    <row r="634" spans="300:312" x14ac:dyDescent="0.3">
      <c r="KN634" s="15"/>
      <c r="KO634" s="15"/>
      <c r="KP634" s="15"/>
      <c r="KQ634" s="15"/>
      <c r="KR634" s="15"/>
      <c r="KS634" s="15"/>
      <c r="KT634" s="15"/>
      <c r="KU634" s="15"/>
      <c r="KV634" s="15"/>
      <c r="KW634" s="15"/>
      <c r="KX634" s="15"/>
      <c r="KY634" s="15"/>
      <c r="KZ634" s="15"/>
    </row>
    <row r="635" spans="300:312" x14ac:dyDescent="0.3">
      <c r="KN635" s="15"/>
      <c r="KO635" s="15"/>
      <c r="KP635" s="15"/>
      <c r="KQ635" s="15"/>
      <c r="KR635" s="15"/>
      <c r="KS635" s="15"/>
      <c r="KT635" s="15"/>
      <c r="KU635" s="15"/>
      <c r="KV635" s="15"/>
      <c r="KW635" s="15"/>
      <c r="KX635" s="15"/>
      <c r="KY635" s="15"/>
      <c r="KZ635" s="15"/>
    </row>
    <row r="636" spans="300:312" x14ac:dyDescent="0.3">
      <c r="KN636" s="15"/>
      <c r="KO636" s="15"/>
      <c r="KP636" s="15"/>
      <c r="KQ636" s="15"/>
      <c r="KR636" s="15"/>
      <c r="KS636" s="15"/>
      <c r="KT636" s="15"/>
      <c r="KU636" s="15"/>
      <c r="KV636" s="15"/>
      <c r="KW636" s="15"/>
      <c r="KX636" s="15"/>
      <c r="KY636" s="15"/>
      <c r="KZ636" s="15"/>
    </row>
    <row r="637" spans="300:312" x14ac:dyDescent="0.3">
      <c r="KN637" s="15"/>
      <c r="KO637" s="15"/>
      <c r="KP637" s="15"/>
      <c r="KQ637" s="15"/>
      <c r="KR637" s="15"/>
      <c r="KS637" s="15"/>
      <c r="KT637" s="15"/>
      <c r="KU637" s="15"/>
      <c r="KV637" s="15"/>
      <c r="KW637" s="15"/>
      <c r="KX637" s="15"/>
      <c r="KY637" s="15"/>
      <c r="KZ637" s="15"/>
    </row>
    <row r="638" spans="300:312" x14ac:dyDescent="0.3">
      <c r="KN638" s="15"/>
      <c r="KO638" s="15"/>
      <c r="KP638" s="15"/>
      <c r="KQ638" s="15"/>
      <c r="KR638" s="15"/>
      <c r="KS638" s="15"/>
      <c r="KT638" s="15"/>
      <c r="KU638" s="15"/>
      <c r="KV638" s="15"/>
      <c r="KW638" s="15"/>
      <c r="KX638" s="15"/>
      <c r="KY638" s="15"/>
      <c r="KZ638" s="15"/>
    </row>
    <row r="639" spans="300:312" x14ac:dyDescent="0.3">
      <c r="KN639" s="15"/>
      <c r="KO639" s="15"/>
      <c r="KP639" s="15"/>
      <c r="KQ639" s="15"/>
      <c r="KR639" s="15"/>
      <c r="KS639" s="15"/>
      <c r="KT639" s="15"/>
      <c r="KU639" s="15"/>
      <c r="KV639" s="15"/>
      <c r="KW639" s="15"/>
      <c r="KX639" s="15"/>
      <c r="KY639" s="15"/>
      <c r="KZ639" s="15"/>
    </row>
    <row r="640" spans="300:312" x14ac:dyDescent="0.3">
      <c r="KN640" s="15"/>
      <c r="KO640" s="15"/>
      <c r="KP640" s="15"/>
      <c r="KQ640" s="15"/>
      <c r="KR640" s="15"/>
      <c r="KS640" s="15"/>
      <c r="KT640" s="15"/>
      <c r="KU640" s="15"/>
      <c r="KV640" s="15"/>
      <c r="KW640" s="15"/>
      <c r="KX640" s="15"/>
      <c r="KY640" s="15"/>
      <c r="KZ640" s="15"/>
    </row>
    <row r="641" spans="300:312" x14ac:dyDescent="0.3">
      <c r="KN641" s="15"/>
      <c r="KO641" s="15"/>
      <c r="KP641" s="15"/>
      <c r="KQ641" s="15"/>
      <c r="KR641" s="15"/>
      <c r="KS641" s="15"/>
      <c r="KT641" s="15"/>
      <c r="KU641" s="15"/>
      <c r="KV641" s="15"/>
      <c r="KW641" s="15"/>
      <c r="KX641" s="15"/>
      <c r="KY641" s="15"/>
      <c r="KZ641" s="15"/>
    </row>
    <row r="642" spans="300:312" x14ac:dyDescent="0.3">
      <c r="KN642" s="15"/>
      <c r="KO642" s="15"/>
      <c r="KP642" s="15"/>
      <c r="KQ642" s="15"/>
      <c r="KR642" s="15"/>
      <c r="KS642" s="15"/>
      <c r="KT642" s="15"/>
      <c r="KU642" s="15"/>
      <c r="KV642" s="15"/>
      <c r="KW642" s="15"/>
      <c r="KX642" s="15"/>
      <c r="KY642" s="15"/>
      <c r="KZ642" s="15"/>
    </row>
    <row r="643" spans="300:312" x14ac:dyDescent="0.3">
      <c r="KN643" s="15"/>
      <c r="KO643" s="15"/>
      <c r="KP643" s="15"/>
      <c r="KQ643" s="15"/>
      <c r="KR643" s="15"/>
      <c r="KS643" s="15"/>
      <c r="KT643" s="15"/>
      <c r="KU643" s="15"/>
      <c r="KV643" s="15"/>
      <c r="KW643" s="15"/>
      <c r="KX643" s="15"/>
      <c r="KY643" s="15"/>
      <c r="KZ643" s="15"/>
    </row>
    <row r="644" spans="300:312" x14ac:dyDescent="0.3">
      <c r="KN644" s="15"/>
      <c r="KO644" s="15"/>
      <c r="KP644" s="15"/>
      <c r="KQ644" s="15"/>
      <c r="KR644" s="15"/>
      <c r="KS644" s="15"/>
      <c r="KT644" s="15"/>
      <c r="KU644" s="15"/>
      <c r="KV644" s="15"/>
      <c r="KW644" s="15"/>
      <c r="KX644" s="15"/>
      <c r="KY644" s="15"/>
      <c r="KZ644" s="15"/>
    </row>
    <row r="645" spans="300:312" x14ac:dyDescent="0.3">
      <c r="KN645" s="15"/>
      <c r="KO645" s="15"/>
      <c r="KP645" s="15"/>
      <c r="KQ645" s="15"/>
      <c r="KR645" s="15"/>
      <c r="KS645" s="15"/>
      <c r="KT645" s="15"/>
      <c r="KU645" s="15"/>
      <c r="KV645" s="15"/>
      <c r="KW645" s="15"/>
      <c r="KX645" s="15"/>
      <c r="KY645" s="15"/>
      <c r="KZ645" s="15"/>
    </row>
    <row r="646" spans="300:312" x14ac:dyDescent="0.3">
      <c r="KN646" s="15"/>
      <c r="KO646" s="15"/>
      <c r="KP646" s="15"/>
      <c r="KQ646" s="15"/>
      <c r="KR646" s="15"/>
      <c r="KS646" s="15"/>
      <c r="KT646" s="15"/>
      <c r="KU646" s="15"/>
      <c r="KV646" s="15"/>
      <c r="KW646" s="15"/>
      <c r="KX646" s="15"/>
      <c r="KY646" s="15"/>
      <c r="KZ646" s="15"/>
    </row>
    <row r="647" spans="300:312" x14ac:dyDescent="0.3">
      <c r="KN647" s="15"/>
      <c r="KO647" s="15"/>
      <c r="KP647" s="15"/>
      <c r="KQ647" s="15"/>
      <c r="KR647" s="15"/>
      <c r="KS647" s="15"/>
      <c r="KT647" s="15"/>
      <c r="KU647" s="15"/>
      <c r="KV647" s="15"/>
      <c r="KW647" s="15"/>
      <c r="KX647" s="15"/>
      <c r="KY647" s="15"/>
      <c r="KZ647" s="15"/>
    </row>
    <row r="648" spans="300:312" x14ac:dyDescent="0.3">
      <c r="KN648" s="15"/>
      <c r="KO648" s="15"/>
      <c r="KP648" s="15"/>
      <c r="KQ648" s="15"/>
      <c r="KR648" s="15"/>
      <c r="KS648" s="15"/>
      <c r="KT648" s="15"/>
      <c r="KU648" s="15"/>
      <c r="KV648" s="15"/>
      <c r="KW648" s="15"/>
      <c r="KX648" s="15"/>
      <c r="KY648" s="15"/>
      <c r="KZ648" s="15"/>
    </row>
    <row r="649" spans="300:312" x14ac:dyDescent="0.3">
      <c r="KN649" s="15"/>
      <c r="KO649" s="15"/>
      <c r="KP649" s="15"/>
      <c r="KQ649" s="15"/>
      <c r="KR649" s="15"/>
      <c r="KS649" s="15"/>
      <c r="KT649" s="15"/>
      <c r="KU649" s="15"/>
      <c r="KV649" s="15"/>
      <c r="KW649" s="15"/>
      <c r="KX649" s="15"/>
      <c r="KY649" s="15"/>
      <c r="KZ649" s="15"/>
    </row>
    <row r="650" spans="300:312" x14ac:dyDescent="0.3">
      <c r="KN650" s="15"/>
      <c r="KO650" s="15"/>
      <c r="KP650" s="15"/>
      <c r="KQ650" s="15"/>
      <c r="KR650" s="15"/>
      <c r="KS650" s="15"/>
      <c r="KT650" s="15"/>
      <c r="KU650" s="15"/>
      <c r="KV650" s="15"/>
      <c r="KW650" s="15"/>
      <c r="KX650" s="15"/>
      <c r="KY650" s="15"/>
      <c r="KZ650" s="15"/>
    </row>
    <row r="651" spans="300:312" x14ac:dyDescent="0.3">
      <c r="KN651" s="15"/>
      <c r="KO651" s="15"/>
      <c r="KP651" s="15"/>
      <c r="KQ651" s="15"/>
      <c r="KR651" s="15"/>
      <c r="KS651" s="15"/>
      <c r="KT651" s="15"/>
      <c r="KU651" s="15"/>
      <c r="KV651" s="15"/>
      <c r="KW651" s="15"/>
      <c r="KX651" s="15"/>
      <c r="KY651" s="15"/>
      <c r="KZ651" s="15"/>
    </row>
    <row r="652" spans="300:312" x14ac:dyDescent="0.3">
      <c r="KN652" s="15"/>
      <c r="KO652" s="15"/>
      <c r="KP652" s="15"/>
      <c r="KQ652" s="15"/>
      <c r="KR652" s="15"/>
      <c r="KS652" s="15"/>
      <c r="KT652" s="15"/>
      <c r="KU652" s="15"/>
      <c r="KV652" s="15"/>
      <c r="KW652" s="15"/>
      <c r="KX652" s="15"/>
      <c r="KY652" s="15"/>
      <c r="KZ652" s="15"/>
    </row>
    <row r="653" spans="300:312" x14ac:dyDescent="0.3">
      <c r="KN653" s="15"/>
      <c r="KO653" s="15"/>
      <c r="KP653" s="15"/>
      <c r="KQ653" s="15"/>
      <c r="KR653" s="15"/>
      <c r="KS653" s="15"/>
      <c r="KT653" s="15"/>
      <c r="KU653" s="15"/>
      <c r="KV653" s="15"/>
      <c r="KW653" s="15"/>
      <c r="KX653" s="15"/>
      <c r="KY653" s="15"/>
      <c r="KZ653" s="15"/>
    </row>
    <row r="654" spans="300:312" x14ac:dyDescent="0.3">
      <c r="KN654" s="15"/>
      <c r="KO654" s="15"/>
      <c r="KP654" s="15"/>
      <c r="KQ654" s="15"/>
      <c r="KR654" s="15"/>
      <c r="KS654" s="15"/>
      <c r="KT654" s="15"/>
      <c r="KU654" s="15"/>
      <c r="KV654" s="15"/>
      <c r="KW654" s="15"/>
      <c r="KX654" s="15"/>
      <c r="KY654" s="15"/>
      <c r="KZ654" s="15"/>
    </row>
    <row r="655" spans="300:312" x14ac:dyDescent="0.3">
      <c r="KN655" s="15"/>
      <c r="KO655" s="15"/>
      <c r="KP655" s="15"/>
      <c r="KQ655" s="15"/>
      <c r="KR655" s="15"/>
      <c r="KS655" s="15"/>
      <c r="KT655" s="15"/>
      <c r="KU655" s="15"/>
      <c r="KV655" s="15"/>
      <c r="KW655" s="15"/>
      <c r="KX655" s="15"/>
      <c r="KY655" s="15"/>
      <c r="KZ655" s="15"/>
    </row>
    <row r="656" spans="300:312" x14ac:dyDescent="0.3">
      <c r="KN656" s="15"/>
      <c r="KO656" s="15"/>
      <c r="KP656" s="15"/>
      <c r="KQ656" s="15"/>
      <c r="KR656" s="15"/>
      <c r="KS656" s="15"/>
      <c r="KT656" s="15"/>
      <c r="KU656" s="15"/>
      <c r="KV656" s="15"/>
      <c r="KW656" s="15"/>
      <c r="KX656" s="15"/>
      <c r="KY656" s="15"/>
      <c r="KZ656" s="15"/>
    </row>
    <row r="657" spans="300:312" x14ac:dyDescent="0.3">
      <c r="KN657" s="15"/>
      <c r="KO657" s="15"/>
      <c r="KP657" s="15"/>
      <c r="KQ657" s="15"/>
      <c r="KR657" s="15"/>
      <c r="KS657" s="15"/>
      <c r="KT657" s="15"/>
      <c r="KU657" s="15"/>
      <c r="KV657" s="15"/>
      <c r="KW657" s="15"/>
      <c r="KX657" s="15"/>
      <c r="KY657" s="15"/>
      <c r="KZ657" s="15"/>
    </row>
    <row r="658" spans="300:312" x14ac:dyDescent="0.3">
      <c r="KN658" s="15"/>
      <c r="KO658" s="15"/>
      <c r="KP658" s="15"/>
      <c r="KQ658" s="15"/>
      <c r="KR658" s="15"/>
      <c r="KS658" s="15"/>
      <c r="KT658" s="15"/>
      <c r="KU658" s="15"/>
      <c r="KV658" s="15"/>
      <c r="KW658" s="15"/>
      <c r="KX658" s="15"/>
      <c r="KY658" s="15"/>
      <c r="KZ658" s="15"/>
    </row>
    <row r="659" spans="300:312" x14ac:dyDescent="0.3">
      <c r="KN659" s="15"/>
      <c r="KO659" s="15"/>
      <c r="KP659" s="15"/>
      <c r="KQ659" s="15"/>
      <c r="KR659" s="15"/>
      <c r="KS659" s="15"/>
      <c r="KT659" s="15"/>
      <c r="KU659" s="15"/>
      <c r="KV659" s="15"/>
      <c r="KW659" s="15"/>
      <c r="KX659" s="15"/>
      <c r="KY659" s="15"/>
      <c r="KZ659" s="15"/>
    </row>
    <row r="660" spans="300:312" x14ac:dyDescent="0.3">
      <c r="KN660" s="15"/>
      <c r="KO660" s="15"/>
      <c r="KP660" s="15"/>
      <c r="KQ660" s="15"/>
      <c r="KR660" s="15"/>
      <c r="KS660" s="15"/>
      <c r="KT660" s="15"/>
      <c r="KU660" s="15"/>
      <c r="KV660" s="15"/>
      <c r="KW660" s="15"/>
      <c r="KX660" s="15"/>
      <c r="KY660" s="15"/>
      <c r="KZ660" s="15"/>
    </row>
    <row r="661" spans="300:312" x14ac:dyDescent="0.3">
      <c r="KN661" s="15"/>
      <c r="KO661" s="15"/>
      <c r="KP661" s="15"/>
      <c r="KQ661" s="15"/>
      <c r="KR661" s="15"/>
      <c r="KS661" s="15"/>
      <c r="KT661" s="15"/>
      <c r="KU661" s="15"/>
      <c r="KV661" s="15"/>
      <c r="KW661" s="15"/>
      <c r="KX661" s="15"/>
      <c r="KY661" s="15"/>
      <c r="KZ661" s="15"/>
    </row>
    <row r="662" spans="300:312" x14ac:dyDescent="0.3">
      <c r="KN662" s="15"/>
      <c r="KO662" s="15"/>
      <c r="KP662" s="15"/>
      <c r="KQ662" s="15"/>
      <c r="KR662" s="15"/>
      <c r="KS662" s="15"/>
      <c r="KT662" s="15"/>
      <c r="KU662" s="15"/>
      <c r="KV662" s="15"/>
      <c r="KW662" s="15"/>
      <c r="KX662" s="15"/>
      <c r="KY662" s="15"/>
      <c r="KZ662" s="15"/>
    </row>
    <row r="663" spans="300:312" x14ac:dyDescent="0.3">
      <c r="KN663" s="15"/>
      <c r="KO663" s="15"/>
      <c r="KP663" s="15"/>
      <c r="KQ663" s="15"/>
      <c r="KR663" s="15"/>
      <c r="KS663" s="15"/>
      <c r="KT663" s="15"/>
      <c r="KU663" s="15"/>
      <c r="KV663" s="15"/>
      <c r="KW663" s="15"/>
      <c r="KX663" s="15"/>
      <c r="KY663" s="15"/>
      <c r="KZ663" s="15"/>
    </row>
    <row r="664" spans="300:312" x14ac:dyDescent="0.3">
      <c r="KN664" s="15"/>
      <c r="KO664" s="15"/>
      <c r="KP664" s="15"/>
      <c r="KQ664" s="15"/>
      <c r="KR664" s="15"/>
      <c r="KS664" s="15"/>
      <c r="KT664" s="15"/>
      <c r="KU664" s="15"/>
      <c r="KV664" s="15"/>
      <c r="KW664" s="15"/>
      <c r="KX664" s="15"/>
      <c r="KY664" s="15"/>
      <c r="KZ664" s="15"/>
    </row>
    <row r="665" spans="300:312" x14ac:dyDescent="0.3">
      <c r="KN665" s="15"/>
      <c r="KO665" s="15"/>
      <c r="KP665" s="15"/>
      <c r="KQ665" s="15"/>
      <c r="KR665" s="15"/>
      <c r="KS665" s="15"/>
      <c r="KT665" s="15"/>
      <c r="KU665" s="15"/>
      <c r="KV665" s="15"/>
      <c r="KW665" s="15"/>
      <c r="KX665" s="15"/>
      <c r="KY665" s="15"/>
      <c r="KZ665" s="15"/>
    </row>
    <row r="666" spans="300:312" x14ac:dyDescent="0.3">
      <c r="KN666" s="15"/>
      <c r="KO666" s="15"/>
      <c r="KP666" s="15"/>
      <c r="KQ666" s="15"/>
      <c r="KR666" s="15"/>
      <c r="KS666" s="15"/>
      <c r="KT666" s="15"/>
      <c r="KU666" s="15"/>
      <c r="KV666" s="15"/>
      <c r="KW666" s="15"/>
      <c r="KX666" s="15"/>
      <c r="KY666" s="15"/>
      <c r="KZ666" s="15"/>
    </row>
    <row r="667" spans="300:312" x14ac:dyDescent="0.3">
      <c r="KN667" s="15"/>
      <c r="KO667" s="15"/>
      <c r="KP667" s="15"/>
      <c r="KQ667" s="15"/>
      <c r="KR667" s="15"/>
      <c r="KS667" s="15"/>
      <c r="KT667" s="15"/>
      <c r="KU667" s="15"/>
      <c r="KV667" s="15"/>
      <c r="KW667" s="15"/>
      <c r="KX667" s="15"/>
      <c r="KY667" s="15"/>
      <c r="KZ667" s="15"/>
    </row>
    <row r="668" spans="300:312" x14ac:dyDescent="0.3">
      <c r="KN668" s="15"/>
      <c r="KO668" s="15"/>
      <c r="KP668" s="15"/>
      <c r="KQ668" s="15"/>
      <c r="KR668" s="15"/>
      <c r="KS668" s="15"/>
      <c r="KT668" s="15"/>
      <c r="KU668" s="15"/>
      <c r="KV668" s="15"/>
      <c r="KW668" s="15"/>
      <c r="KX668" s="15"/>
      <c r="KY668" s="15"/>
      <c r="KZ668" s="15"/>
    </row>
    <row r="669" spans="300:312" x14ac:dyDescent="0.3">
      <c r="KN669" s="15"/>
      <c r="KO669" s="15"/>
      <c r="KP669" s="15"/>
      <c r="KQ669" s="15"/>
      <c r="KR669" s="15"/>
      <c r="KS669" s="15"/>
      <c r="KT669" s="15"/>
      <c r="KU669" s="15"/>
      <c r="KV669" s="15"/>
      <c r="KW669" s="15"/>
      <c r="KX669" s="15"/>
      <c r="KY669" s="15"/>
      <c r="KZ669" s="15"/>
    </row>
    <row r="670" spans="300:312" x14ac:dyDescent="0.3">
      <c r="KN670" s="15"/>
      <c r="KO670" s="15"/>
      <c r="KP670" s="15"/>
      <c r="KQ670" s="15"/>
      <c r="KR670" s="15"/>
      <c r="KS670" s="15"/>
      <c r="KT670" s="15"/>
      <c r="KU670" s="15"/>
      <c r="KV670" s="15"/>
      <c r="KW670" s="15"/>
      <c r="KX670" s="15"/>
      <c r="KY670" s="15"/>
      <c r="KZ670" s="15"/>
    </row>
    <row r="671" spans="300:312" x14ac:dyDescent="0.3">
      <c r="KN671" s="15"/>
      <c r="KO671" s="15"/>
      <c r="KP671" s="15"/>
      <c r="KQ671" s="15"/>
      <c r="KR671" s="15"/>
      <c r="KS671" s="15"/>
      <c r="KT671" s="15"/>
      <c r="KU671" s="15"/>
      <c r="KV671" s="15"/>
      <c r="KW671" s="15"/>
      <c r="KX671" s="15"/>
      <c r="KY671" s="15"/>
      <c r="KZ671" s="15"/>
    </row>
    <row r="672" spans="300:312" x14ac:dyDescent="0.3">
      <c r="KN672" s="15"/>
      <c r="KO672" s="15"/>
      <c r="KP672" s="15"/>
      <c r="KQ672" s="15"/>
      <c r="KR672" s="15"/>
      <c r="KS672" s="15"/>
      <c r="KT672" s="15"/>
      <c r="KU672" s="15"/>
      <c r="KV672" s="15"/>
      <c r="KW672" s="15"/>
      <c r="KX672" s="15"/>
      <c r="KY672" s="15"/>
      <c r="KZ672" s="15"/>
    </row>
    <row r="673" spans="300:312" x14ac:dyDescent="0.3">
      <c r="KN673" s="15"/>
      <c r="KO673" s="15"/>
      <c r="KP673" s="15"/>
      <c r="KQ673" s="15"/>
      <c r="KR673" s="15"/>
      <c r="KS673" s="15"/>
      <c r="KT673" s="15"/>
      <c r="KU673" s="15"/>
      <c r="KV673" s="15"/>
      <c r="KW673" s="15"/>
      <c r="KX673" s="15"/>
      <c r="KY673" s="15"/>
      <c r="KZ673" s="15"/>
    </row>
    <row r="674" spans="300:312" x14ac:dyDescent="0.3">
      <c r="KN674" s="15"/>
      <c r="KO674" s="15"/>
      <c r="KP674" s="15"/>
      <c r="KQ674" s="15"/>
      <c r="KR674" s="15"/>
      <c r="KS674" s="15"/>
      <c r="KT674" s="15"/>
      <c r="KU674" s="15"/>
      <c r="KV674" s="15"/>
      <c r="KW674" s="15"/>
      <c r="KX674" s="15"/>
      <c r="KY674" s="15"/>
      <c r="KZ674" s="15"/>
    </row>
    <row r="675" spans="300:312" x14ac:dyDescent="0.3">
      <c r="KN675" s="15"/>
      <c r="KO675" s="15"/>
      <c r="KP675" s="15"/>
      <c r="KQ675" s="15"/>
      <c r="KR675" s="15"/>
      <c r="KS675" s="15"/>
      <c r="KT675" s="15"/>
      <c r="KU675" s="15"/>
      <c r="KV675" s="15"/>
      <c r="KW675" s="15"/>
      <c r="KX675" s="15"/>
      <c r="KY675" s="15"/>
      <c r="KZ675" s="15"/>
    </row>
    <row r="676" spans="300:312" x14ac:dyDescent="0.3">
      <c r="KN676" s="15"/>
      <c r="KO676" s="15"/>
      <c r="KP676" s="15"/>
      <c r="KQ676" s="15"/>
      <c r="KR676" s="15"/>
      <c r="KS676" s="15"/>
      <c r="KT676" s="15"/>
      <c r="KU676" s="15"/>
      <c r="KV676" s="15"/>
      <c r="KW676" s="15"/>
      <c r="KX676" s="15"/>
      <c r="KY676" s="15"/>
      <c r="KZ676" s="15"/>
    </row>
    <row r="677" spans="300:312" x14ac:dyDescent="0.3">
      <c r="KN677" s="15"/>
      <c r="KO677" s="15"/>
      <c r="KP677" s="15"/>
      <c r="KQ677" s="15"/>
      <c r="KR677" s="15"/>
      <c r="KS677" s="15"/>
      <c r="KT677" s="15"/>
      <c r="KU677" s="15"/>
      <c r="KV677" s="15"/>
      <c r="KW677" s="15"/>
      <c r="KX677" s="15"/>
      <c r="KY677" s="15"/>
      <c r="KZ677" s="15"/>
    </row>
    <row r="678" spans="300:312" x14ac:dyDescent="0.3">
      <c r="KN678" s="15"/>
      <c r="KO678" s="15"/>
      <c r="KP678" s="15"/>
      <c r="KQ678" s="15"/>
      <c r="KR678" s="15"/>
      <c r="KS678" s="15"/>
      <c r="KT678" s="15"/>
      <c r="KU678" s="15"/>
      <c r="KV678" s="15"/>
      <c r="KW678" s="15"/>
      <c r="KX678" s="15"/>
      <c r="KY678" s="15"/>
      <c r="KZ678" s="15"/>
    </row>
    <row r="679" spans="300:312" x14ac:dyDescent="0.3">
      <c r="KN679" s="15"/>
      <c r="KO679" s="15"/>
      <c r="KP679" s="15"/>
      <c r="KQ679" s="15"/>
      <c r="KR679" s="15"/>
      <c r="KS679" s="15"/>
      <c r="KT679" s="15"/>
      <c r="KU679" s="15"/>
      <c r="KV679" s="15"/>
      <c r="KW679" s="15"/>
      <c r="KX679" s="15"/>
      <c r="KY679" s="15"/>
      <c r="KZ679" s="15"/>
    </row>
    <row r="680" spans="300:312" x14ac:dyDescent="0.3">
      <c r="KN680" s="15"/>
      <c r="KO680" s="15"/>
      <c r="KP680" s="15"/>
      <c r="KQ680" s="15"/>
      <c r="KR680" s="15"/>
      <c r="KS680" s="15"/>
      <c r="KT680" s="15"/>
      <c r="KU680" s="15"/>
      <c r="KV680" s="15"/>
      <c r="KW680" s="15"/>
      <c r="KX680" s="15"/>
      <c r="KY680" s="15"/>
      <c r="KZ680" s="15"/>
    </row>
    <row r="681" spans="300:312" x14ac:dyDescent="0.3">
      <c r="KN681" s="15"/>
      <c r="KO681" s="15"/>
      <c r="KP681" s="15"/>
      <c r="KQ681" s="15"/>
      <c r="KR681" s="15"/>
      <c r="KS681" s="15"/>
      <c r="KT681" s="15"/>
      <c r="KU681" s="15"/>
      <c r="KV681" s="15"/>
      <c r="KW681" s="15"/>
      <c r="KX681" s="15"/>
      <c r="KY681" s="15"/>
      <c r="KZ681" s="15"/>
    </row>
    <row r="682" spans="300:312" x14ac:dyDescent="0.3">
      <c r="KN682" s="15"/>
      <c r="KO682" s="15"/>
      <c r="KP682" s="15"/>
      <c r="KQ682" s="15"/>
      <c r="KR682" s="15"/>
      <c r="KS682" s="15"/>
      <c r="KT682" s="15"/>
      <c r="KU682" s="15"/>
      <c r="KV682" s="15"/>
      <c r="KW682" s="15"/>
      <c r="KX682" s="15"/>
      <c r="KY682" s="15"/>
      <c r="KZ682" s="15"/>
    </row>
    <row r="683" spans="300:312" x14ac:dyDescent="0.3">
      <c r="KN683" s="15"/>
      <c r="KO683" s="15"/>
      <c r="KP683" s="15"/>
      <c r="KQ683" s="15"/>
      <c r="KR683" s="15"/>
      <c r="KS683" s="15"/>
      <c r="KT683" s="15"/>
      <c r="KU683" s="15"/>
      <c r="KV683" s="15"/>
      <c r="KW683" s="15"/>
      <c r="KX683" s="15"/>
      <c r="KY683" s="15"/>
      <c r="KZ683" s="15"/>
    </row>
    <row r="684" spans="300:312" x14ac:dyDescent="0.3">
      <c r="KN684" s="15"/>
      <c r="KO684" s="15"/>
      <c r="KP684" s="15"/>
      <c r="KQ684" s="15"/>
      <c r="KR684" s="15"/>
      <c r="KS684" s="15"/>
      <c r="KT684" s="15"/>
      <c r="KU684" s="15"/>
      <c r="KV684" s="15"/>
      <c r="KW684" s="15"/>
      <c r="KX684" s="15"/>
      <c r="KY684" s="15"/>
      <c r="KZ684" s="15"/>
    </row>
    <row r="685" spans="300:312" x14ac:dyDescent="0.3">
      <c r="KN685" s="15"/>
      <c r="KO685" s="15"/>
      <c r="KP685" s="15"/>
      <c r="KQ685" s="15"/>
      <c r="KR685" s="15"/>
      <c r="KS685" s="15"/>
      <c r="KT685" s="15"/>
      <c r="KU685" s="15"/>
      <c r="KV685" s="15"/>
      <c r="KW685" s="15"/>
      <c r="KX685" s="15"/>
      <c r="KY685" s="15"/>
      <c r="KZ685" s="15"/>
    </row>
    <row r="686" spans="300:312" x14ac:dyDescent="0.3">
      <c r="KN686" s="15"/>
      <c r="KO686" s="15"/>
      <c r="KP686" s="15"/>
      <c r="KQ686" s="15"/>
      <c r="KR686" s="15"/>
      <c r="KS686" s="15"/>
      <c r="KT686" s="15"/>
      <c r="KU686" s="15"/>
      <c r="KV686" s="15"/>
      <c r="KW686" s="15"/>
      <c r="KX686" s="15"/>
      <c r="KY686" s="15"/>
      <c r="KZ686" s="15"/>
    </row>
    <row r="687" spans="300:312" x14ac:dyDescent="0.3">
      <c r="KN687" s="15"/>
      <c r="KO687" s="15"/>
      <c r="KP687" s="15"/>
      <c r="KQ687" s="15"/>
      <c r="KR687" s="15"/>
      <c r="KS687" s="15"/>
      <c r="KT687" s="15"/>
      <c r="KU687" s="15"/>
      <c r="KV687" s="15"/>
      <c r="KW687" s="15"/>
      <c r="KX687" s="15"/>
      <c r="KY687" s="15"/>
      <c r="KZ687" s="15"/>
    </row>
    <row r="688" spans="300:312" x14ac:dyDescent="0.3">
      <c r="KN688" s="15"/>
      <c r="KO688" s="15"/>
      <c r="KP688" s="15"/>
      <c r="KQ688" s="15"/>
      <c r="KR688" s="15"/>
      <c r="KS688" s="15"/>
      <c r="KT688" s="15"/>
      <c r="KU688" s="15"/>
      <c r="KV688" s="15"/>
      <c r="KW688" s="15"/>
      <c r="KX688" s="15"/>
      <c r="KY688" s="15"/>
      <c r="KZ688" s="15"/>
    </row>
    <row r="689" spans="300:312" x14ac:dyDescent="0.3">
      <c r="KN689" s="15"/>
      <c r="KO689" s="15"/>
      <c r="KP689" s="15"/>
      <c r="KQ689" s="15"/>
      <c r="KR689" s="15"/>
      <c r="KS689" s="15"/>
      <c r="KT689" s="15"/>
      <c r="KU689" s="15"/>
      <c r="KV689" s="15"/>
      <c r="KW689" s="15"/>
      <c r="KX689" s="15"/>
      <c r="KY689" s="15"/>
      <c r="KZ689" s="15"/>
    </row>
    <row r="690" spans="300:312" x14ac:dyDescent="0.3">
      <c r="KN690" s="15"/>
      <c r="KO690" s="15"/>
      <c r="KP690" s="15"/>
      <c r="KQ690" s="15"/>
      <c r="KR690" s="15"/>
      <c r="KS690" s="15"/>
      <c r="KT690" s="15"/>
      <c r="KU690" s="15"/>
      <c r="KV690" s="15"/>
      <c r="KW690" s="15"/>
      <c r="KX690" s="15"/>
      <c r="KY690" s="15"/>
      <c r="KZ690" s="15"/>
    </row>
    <row r="691" spans="300:312" x14ac:dyDescent="0.3">
      <c r="KN691" s="15"/>
      <c r="KO691" s="15"/>
      <c r="KP691" s="15"/>
      <c r="KQ691" s="15"/>
      <c r="KR691" s="15"/>
      <c r="KS691" s="15"/>
      <c r="KT691" s="15"/>
      <c r="KU691" s="15"/>
      <c r="KV691" s="15"/>
      <c r="KW691" s="15"/>
      <c r="KX691" s="15"/>
      <c r="KY691" s="15"/>
      <c r="KZ691" s="15"/>
    </row>
    <row r="692" spans="300:312" x14ac:dyDescent="0.3">
      <c r="KN692" s="15"/>
      <c r="KO692" s="15"/>
      <c r="KP692" s="15"/>
      <c r="KQ692" s="15"/>
      <c r="KR692" s="15"/>
      <c r="KS692" s="15"/>
      <c r="KT692" s="15"/>
      <c r="KU692" s="15"/>
      <c r="KV692" s="15"/>
      <c r="KW692" s="15"/>
      <c r="KX692" s="15"/>
      <c r="KY692" s="15"/>
      <c r="KZ692" s="15"/>
    </row>
    <row r="693" spans="300:312" x14ac:dyDescent="0.3">
      <c r="KN693" s="15"/>
      <c r="KO693" s="15"/>
      <c r="KP693" s="15"/>
      <c r="KQ693" s="15"/>
      <c r="KR693" s="15"/>
      <c r="KS693" s="15"/>
      <c r="KT693" s="15"/>
      <c r="KU693" s="15"/>
      <c r="KV693" s="15"/>
      <c r="KW693" s="15"/>
      <c r="KX693" s="15"/>
      <c r="KY693" s="15"/>
      <c r="KZ693" s="15"/>
    </row>
    <row r="694" spans="300:312" x14ac:dyDescent="0.3">
      <c r="KN694" s="15"/>
      <c r="KO694" s="15"/>
      <c r="KP694" s="15"/>
      <c r="KQ694" s="15"/>
      <c r="KR694" s="15"/>
      <c r="KS694" s="15"/>
      <c r="KT694" s="15"/>
      <c r="KU694" s="15"/>
      <c r="KV694" s="15"/>
      <c r="KW694" s="15"/>
      <c r="KX694" s="15"/>
      <c r="KY694" s="15"/>
      <c r="KZ694" s="15"/>
    </row>
    <row r="695" spans="300:312" x14ac:dyDescent="0.3">
      <c r="KN695" s="15"/>
      <c r="KO695" s="15"/>
      <c r="KP695" s="15"/>
      <c r="KQ695" s="15"/>
      <c r="KR695" s="15"/>
      <c r="KS695" s="15"/>
      <c r="KT695" s="15"/>
      <c r="KU695" s="15"/>
      <c r="KV695" s="15"/>
      <c r="KW695" s="15"/>
      <c r="KX695" s="15"/>
      <c r="KY695" s="15"/>
      <c r="KZ695" s="15"/>
    </row>
    <row r="696" spans="300:312" x14ac:dyDescent="0.3">
      <c r="KN696" s="15"/>
      <c r="KO696" s="15"/>
      <c r="KP696" s="15"/>
      <c r="KQ696" s="15"/>
      <c r="KR696" s="15"/>
      <c r="KS696" s="15"/>
      <c r="KT696" s="15"/>
      <c r="KU696" s="15"/>
      <c r="KV696" s="15"/>
      <c r="KW696" s="15"/>
      <c r="KX696" s="15"/>
      <c r="KY696" s="15"/>
      <c r="KZ696" s="15"/>
    </row>
    <row r="697" spans="300:312" x14ac:dyDescent="0.3">
      <c r="KN697" s="15"/>
      <c r="KO697" s="15"/>
      <c r="KP697" s="15"/>
      <c r="KQ697" s="15"/>
      <c r="KR697" s="15"/>
      <c r="KS697" s="15"/>
      <c r="KT697" s="15"/>
      <c r="KU697" s="15"/>
      <c r="KV697" s="15"/>
      <c r="KW697" s="15"/>
      <c r="KX697" s="15"/>
      <c r="KY697" s="15"/>
      <c r="KZ697" s="15"/>
    </row>
    <row r="698" spans="300:312" x14ac:dyDescent="0.3">
      <c r="KN698" s="15"/>
      <c r="KO698" s="15"/>
      <c r="KP698" s="15"/>
      <c r="KQ698" s="15"/>
      <c r="KR698" s="15"/>
      <c r="KS698" s="15"/>
      <c r="KT698" s="15"/>
      <c r="KU698" s="15"/>
      <c r="KV698" s="15"/>
      <c r="KW698" s="15"/>
      <c r="KX698" s="15"/>
      <c r="KY698" s="15"/>
      <c r="KZ698" s="15"/>
    </row>
    <row r="699" spans="300:312" x14ac:dyDescent="0.3">
      <c r="KN699" s="15"/>
      <c r="KO699" s="15"/>
      <c r="KP699" s="15"/>
      <c r="KQ699" s="15"/>
      <c r="KR699" s="15"/>
      <c r="KS699" s="15"/>
      <c r="KT699" s="15"/>
      <c r="KU699" s="15"/>
      <c r="KV699" s="15"/>
      <c r="KW699" s="15"/>
      <c r="KX699" s="15"/>
      <c r="KY699" s="15"/>
      <c r="KZ699" s="15"/>
    </row>
    <row r="700" spans="300:312" x14ac:dyDescent="0.3">
      <c r="KN700" s="15"/>
      <c r="KO700" s="15"/>
      <c r="KP700" s="15"/>
      <c r="KQ700" s="15"/>
      <c r="KR700" s="15"/>
      <c r="KS700" s="15"/>
      <c r="KT700" s="15"/>
      <c r="KU700" s="15"/>
      <c r="KV700" s="15"/>
      <c r="KW700" s="15"/>
      <c r="KX700" s="15"/>
      <c r="KY700" s="15"/>
      <c r="KZ700" s="15"/>
    </row>
    <row r="701" spans="300:312" x14ac:dyDescent="0.3">
      <c r="KN701" s="15"/>
      <c r="KO701" s="15"/>
      <c r="KP701" s="15"/>
      <c r="KQ701" s="15"/>
      <c r="KR701" s="15"/>
      <c r="KS701" s="15"/>
      <c r="KT701" s="15"/>
      <c r="KU701" s="15"/>
      <c r="KV701" s="15"/>
      <c r="KW701" s="15"/>
      <c r="KX701" s="15"/>
      <c r="KY701" s="15"/>
      <c r="KZ701" s="15"/>
    </row>
    <row r="702" spans="300:312" x14ac:dyDescent="0.3">
      <c r="KN702" s="15"/>
      <c r="KO702" s="15"/>
      <c r="KP702" s="15"/>
      <c r="KQ702" s="15"/>
      <c r="KR702" s="15"/>
      <c r="KS702" s="15"/>
      <c r="KT702" s="15"/>
      <c r="KU702" s="15"/>
      <c r="KV702" s="15"/>
      <c r="KW702" s="15"/>
      <c r="KX702" s="15"/>
      <c r="KY702" s="15"/>
      <c r="KZ702" s="15"/>
    </row>
    <row r="703" spans="300:312" x14ac:dyDescent="0.3">
      <c r="KN703" s="15"/>
      <c r="KO703" s="15"/>
      <c r="KP703" s="15"/>
      <c r="KQ703" s="15"/>
      <c r="KR703" s="15"/>
      <c r="KS703" s="15"/>
      <c r="KT703" s="15"/>
      <c r="KU703" s="15"/>
      <c r="KV703" s="15"/>
      <c r="KW703" s="15"/>
      <c r="KX703" s="15"/>
      <c r="KY703" s="15"/>
      <c r="KZ703" s="15"/>
    </row>
    <row r="704" spans="300:312" x14ac:dyDescent="0.3">
      <c r="KN704" s="15"/>
      <c r="KO704" s="15"/>
      <c r="KP704" s="15"/>
      <c r="KQ704" s="15"/>
      <c r="KR704" s="15"/>
      <c r="KS704" s="15"/>
      <c r="KT704" s="15"/>
      <c r="KU704" s="15"/>
      <c r="KV704" s="15"/>
      <c r="KW704" s="15"/>
      <c r="KX704" s="15"/>
      <c r="KY704" s="15"/>
      <c r="KZ704" s="15"/>
    </row>
    <row r="705" spans="300:312" x14ac:dyDescent="0.3">
      <c r="KN705" s="15"/>
      <c r="KO705" s="15"/>
      <c r="KP705" s="15"/>
      <c r="KQ705" s="15"/>
      <c r="KR705" s="15"/>
      <c r="KS705" s="15"/>
      <c r="KT705" s="15"/>
      <c r="KU705" s="15"/>
      <c r="KV705" s="15"/>
      <c r="KW705" s="15"/>
      <c r="KX705" s="15"/>
      <c r="KY705" s="15"/>
      <c r="KZ705" s="15"/>
    </row>
    <row r="706" spans="300:312" x14ac:dyDescent="0.3">
      <c r="KN706" s="15"/>
      <c r="KO706" s="15"/>
      <c r="KP706" s="15"/>
      <c r="KQ706" s="15"/>
      <c r="KR706" s="15"/>
      <c r="KS706" s="15"/>
      <c r="KT706" s="15"/>
      <c r="KU706" s="15"/>
      <c r="KV706" s="15"/>
      <c r="KW706" s="15"/>
      <c r="KX706" s="15"/>
      <c r="KY706" s="15"/>
      <c r="KZ706" s="15"/>
    </row>
    <row r="707" spans="300:312" x14ac:dyDescent="0.3">
      <c r="KN707" s="15"/>
      <c r="KO707" s="15"/>
      <c r="KP707" s="15"/>
      <c r="KQ707" s="15"/>
      <c r="KR707" s="15"/>
      <c r="KS707" s="15"/>
      <c r="KT707" s="15"/>
      <c r="KU707" s="15"/>
      <c r="KV707" s="15"/>
      <c r="KW707" s="15"/>
      <c r="KX707" s="15"/>
      <c r="KY707" s="15"/>
      <c r="KZ707" s="15"/>
    </row>
    <row r="708" spans="300:312" x14ac:dyDescent="0.3">
      <c r="KN708" s="15"/>
      <c r="KO708" s="15"/>
      <c r="KP708" s="15"/>
      <c r="KQ708" s="15"/>
      <c r="KR708" s="15"/>
      <c r="KS708" s="15"/>
      <c r="KT708" s="15"/>
      <c r="KU708" s="15"/>
      <c r="KV708" s="15"/>
      <c r="KW708" s="15"/>
      <c r="KX708" s="15"/>
      <c r="KY708" s="15"/>
      <c r="KZ708" s="15"/>
    </row>
    <row r="709" spans="300:312" x14ac:dyDescent="0.3">
      <c r="KN709" s="15"/>
      <c r="KO709" s="15"/>
      <c r="KP709" s="15"/>
      <c r="KQ709" s="15"/>
      <c r="KR709" s="15"/>
      <c r="KS709" s="15"/>
      <c r="KT709" s="15"/>
      <c r="KU709" s="15"/>
      <c r="KV709" s="15"/>
      <c r="KW709" s="15"/>
      <c r="KX709" s="15"/>
      <c r="KY709" s="15"/>
      <c r="KZ709" s="15"/>
    </row>
    <row r="710" spans="300:312" x14ac:dyDescent="0.3">
      <c r="KN710" s="15"/>
      <c r="KO710" s="15"/>
      <c r="KP710" s="15"/>
      <c r="KQ710" s="15"/>
      <c r="KR710" s="15"/>
      <c r="KS710" s="15"/>
      <c r="KT710" s="15"/>
      <c r="KU710" s="15"/>
      <c r="KV710" s="15"/>
      <c r="KW710" s="15"/>
      <c r="KX710" s="15"/>
      <c r="KY710" s="15"/>
      <c r="KZ710" s="15"/>
    </row>
    <row r="711" spans="300:312" x14ac:dyDescent="0.3">
      <c r="KN711" s="15"/>
      <c r="KO711" s="15"/>
      <c r="KP711" s="15"/>
      <c r="KQ711" s="15"/>
      <c r="KR711" s="15"/>
      <c r="KS711" s="15"/>
      <c r="KT711" s="15"/>
      <c r="KU711" s="15"/>
      <c r="KV711" s="15"/>
      <c r="KW711" s="15"/>
      <c r="KX711" s="15"/>
      <c r="KY711" s="15"/>
      <c r="KZ711" s="15"/>
    </row>
    <row r="712" spans="300:312" x14ac:dyDescent="0.3">
      <c r="KN712" s="15"/>
      <c r="KO712" s="15"/>
      <c r="KP712" s="15"/>
      <c r="KQ712" s="15"/>
      <c r="KR712" s="15"/>
      <c r="KS712" s="15"/>
      <c r="KT712" s="15"/>
      <c r="KU712" s="15"/>
      <c r="KV712" s="15"/>
      <c r="KW712" s="15"/>
      <c r="KX712" s="15"/>
      <c r="KY712" s="15"/>
      <c r="KZ712" s="15"/>
    </row>
    <row r="713" spans="300:312" x14ac:dyDescent="0.3">
      <c r="KN713" s="15"/>
      <c r="KO713" s="15"/>
      <c r="KP713" s="15"/>
      <c r="KQ713" s="15"/>
      <c r="KR713" s="15"/>
      <c r="KS713" s="15"/>
      <c r="KT713" s="15"/>
      <c r="KU713" s="15"/>
      <c r="KV713" s="15"/>
      <c r="KW713" s="15"/>
      <c r="KX713" s="15"/>
      <c r="KY713" s="15"/>
      <c r="KZ713" s="15"/>
    </row>
    <row r="714" spans="300:312" x14ac:dyDescent="0.3">
      <c r="KN714" s="15"/>
      <c r="KO714" s="15"/>
      <c r="KP714" s="15"/>
      <c r="KQ714" s="15"/>
      <c r="KR714" s="15"/>
      <c r="KS714" s="15"/>
      <c r="KT714" s="15"/>
      <c r="KU714" s="15"/>
      <c r="KV714" s="15"/>
      <c r="KW714" s="15"/>
      <c r="KX714" s="15"/>
      <c r="KY714" s="15"/>
      <c r="KZ714" s="15"/>
    </row>
    <row r="715" spans="300:312" x14ac:dyDescent="0.3">
      <c r="KN715" s="15"/>
      <c r="KO715" s="15"/>
      <c r="KP715" s="15"/>
      <c r="KQ715" s="15"/>
      <c r="KR715" s="15"/>
      <c r="KS715" s="15"/>
      <c r="KT715" s="15"/>
      <c r="KU715" s="15"/>
      <c r="KV715" s="15"/>
      <c r="KW715" s="15"/>
      <c r="KX715" s="15"/>
      <c r="KY715" s="15"/>
      <c r="KZ715" s="15"/>
    </row>
    <row r="716" spans="300:312" x14ac:dyDescent="0.3">
      <c r="KN716" s="15"/>
      <c r="KO716" s="15"/>
      <c r="KP716" s="15"/>
      <c r="KQ716" s="15"/>
      <c r="KR716" s="15"/>
      <c r="KS716" s="15"/>
      <c r="KT716" s="15"/>
      <c r="KU716" s="15"/>
      <c r="KV716" s="15"/>
      <c r="KW716" s="15"/>
      <c r="KX716" s="15"/>
      <c r="KY716" s="15"/>
      <c r="KZ716" s="15"/>
    </row>
    <row r="717" spans="300:312" x14ac:dyDescent="0.3">
      <c r="KN717" s="15"/>
      <c r="KO717" s="15"/>
      <c r="KP717" s="15"/>
      <c r="KQ717" s="15"/>
      <c r="KR717" s="15"/>
      <c r="KS717" s="15"/>
      <c r="KT717" s="15"/>
      <c r="KU717" s="15"/>
      <c r="KV717" s="15"/>
      <c r="KW717" s="15"/>
      <c r="KX717" s="15"/>
      <c r="KY717" s="15"/>
      <c r="KZ717" s="15"/>
    </row>
    <row r="718" spans="300:312" x14ac:dyDescent="0.3">
      <c r="KN718" s="15"/>
      <c r="KO718" s="15"/>
      <c r="KP718" s="15"/>
      <c r="KQ718" s="15"/>
      <c r="KR718" s="15"/>
      <c r="KS718" s="15"/>
      <c r="KT718" s="15"/>
      <c r="KU718" s="15"/>
      <c r="KV718" s="15"/>
      <c r="KW718" s="15"/>
      <c r="KX718" s="15"/>
      <c r="KY718" s="15"/>
      <c r="KZ718" s="15"/>
    </row>
    <row r="719" spans="300:312" x14ac:dyDescent="0.3">
      <c r="KN719" s="15"/>
      <c r="KO719" s="15"/>
      <c r="KP719" s="15"/>
      <c r="KQ719" s="15"/>
      <c r="KR719" s="15"/>
      <c r="KS719" s="15"/>
      <c r="KT719" s="15"/>
      <c r="KU719" s="15"/>
      <c r="KV719" s="15"/>
      <c r="KW719" s="15"/>
      <c r="KX719" s="15"/>
      <c r="KY719" s="15"/>
      <c r="KZ719" s="15"/>
    </row>
    <row r="720" spans="300:312" x14ac:dyDescent="0.3">
      <c r="KN720" s="15"/>
      <c r="KO720" s="15"/>
      <c r="KP720" s="15"/>
      <c r="KQ720" s="15"/>
      <c r="KR720" s="15"/>
      <c r="KS720" s="15"/>
      <c r="KT720" s="15"/>
      <c r="KU720" s="15"/>
      <c r="KV720" s="15"/>
      <c r="KW720" s="15"/>
      <c r="KX720" s="15"/>
      <c r="KY720" s="15"/>
      <c r="KZ720" s="15"/>
    </row>
    <row r="721" spans="300:312" x14ac:dyDescent="0.3">
      <c r="KN721" s="15"/>
      <c r="KO721" s="15"/>
      <c r="KP721" s="15"/>
      <c r="KQ721" s="15"/>
      <c r="KR721" s="15"/>
      <c r="KS721" s="15"/>
      <c r="KT721" s="15"/>
      <c r="KU721" s="15"/>
      <c r="KV721" s="15"/>
      <c r="KW721" s="15"/>
      <c r="KX721" s="15"/>
      <c r="KY721" s="15"/>
      <c r="KZ721" s="15"/>
    </row>
    <row r="722" spans="300:312" x14ac:dyDescent="0.3">
      <c r="KN722" s="15"/>
      <c r="KO722" s="15"/>
      <c r="KP722" s="15"/>
      <c r="KQ722" s="15"/>
      <c r="KR722" s="15"/>
      <c r="KS722" s="15"/>
      <c r="KT722" s="15"/>
      <c r="KU722" s="15"/>
      <c r="KV722" s="15"/>
      <c r="KW722" s="15"/>
      <c r="KX722" s="15"/>
      <c r="KY722" s="15"/>
      <c r="KZ722" s="15"/>
    </row>
    <row r="723" spans="300:312" x14ac:dyDescent="0.3">
      <c r="KN723" s="15"/>
      <c r="KO723" s="15"/>
      <c r="KP723" s="15"/>
      <c r="KQ723" s="15"/>
      <c r="KR723" s="15"/>
      <c r="KS723" s="15"/>
      <c r="KT723" s="15"/>
      <c r="KU723" s="15"/>
      <c r="KV723" s="15"/>
      <c r="KW723" s="15"/>
      <c r="KX723" s="15"/>
      <c r="KY723" s="15"/>
      <c r="KZ723" s="15"/>
    </row>
    <row r="724" spans="300:312" x14ac:dyDescent="0.3">
      <c r="KN724" s="15"/>
      <c r="KO724" s="15"/>
      <c r="KP724" s="15"/>
      <c r="KQ724" s="15"/>
      <c r="KR724" s="15"/>
      <c r="KS724" s="15"/>
      <c r="KT724" s="15"/>
      <c r="KU724" s="15"/>
      <c r="KV724" s="15"/>
      <c r="KW724" s="15"/>
      <c r="KX724" s="15"/>
      <c r="KY724" s="15"/>
      <c r="KZ724" s="15"/>
    </row>
    <row r="725" spans="300:312" x14ac:dyDescent="0.3">
      <c r="KN725" s="15"/>
      <c r="KO725" s="15"/>
      <c r="KP725" s="15"/>
      <c r="KQ725" s="15"/>
      <c r="KR725" s="15"/>
      <c r="KS725" s="15"/>
      <c r="KT725" s="15"/>
      <c r="KU725" s="15"/>
      <c r="KV725" s="15"/>
      <c r="KW725" s="15"/>
      <c r="KX725" s="15"/>
      <c r="KY725" s="15"/>
      <c r="KZ725" s="15"/>
    </row>
    <row r="726" spans="300:312" x14ac:dyDescent="0.3">
      <c r="KN726" s="15"/>
      <c r="KO726" s="15"/>
      <c r="KP726" s="15"/>
      <c r="KQ726" s="15"/>
      <c r="KR726" s="15"/>
      <c r="KS726" s="15"/>
      <c r="KT726" s="15"/>
      <c r="KU726" s="15"/>
      <c r="KV726" s="15"/>
      <c r="KW726" s="15"/>
      <c r="KX726" s="15"/>
      <c r="KY726" s="15"/>
      <c r="KZ726" s="15"/>
    </row>
    <row r="727" spans="300:312" x14ac:dyDescent="0.3">
      <c r="KN727" s="15"/>
      <c r="KO727" s="15"/>
      <c r="KP727" s="15"/>
      <c r="KQ727" s="15"/>
      <c r="KR727" s="15"/>
      <c r="KS727" s="15"/>
      <c r="KT727" s="15"/>
      <c r="KU727" s="15"/>
      <c r="KV727" s="15"/>
      <c r="KW727" s="15"/>
      <c r="KX727" s="15"/>
      <c r="KY727" s="15"/>
      <c r="KZ727" s="15"/>
    </row>
    <row r="728" spans="300:312" x14ac:dyDescent="0.3">
      <c r="KN728" s="15"/>
      <c r="KO728" s="15"/>
      <c r="KP728" s="15"/>
      <c r="KQ728" s="15"/>
      <c r="KR728" s="15"/>
      <c r="KS728" s="15"/>
      <c r="KT728" s="15"/>
      <c r="KU728" s="15"/>
      <c r="KV728" s="15"/>
      <c r="KW728" s="15"/>
      <c r="KX728" s="15"/>
      <c r="KY728" s="15"/>
      <c r="KZ728" s="15"/>
    </row>
    <row r="729" spans="300:312" x14ac:dyDescent="0.3">
      <c r="KN729" s="15"/>
      <c r="KO729" s="15"/>
      <c r="KP729" s="15"/>
      <c r="KQ729" s="15"/>
      <c r="KR729" s="15"/>
      <c r="KS729" s="15"/>
      <c r="KT729" s="15"/>
      <c r="KU729" s="15"/>
      <c r="KV729" s="15"/>
      <c r="KW729" s="15"/>
      <c r="KX729" s="15"/>
      <c r="KY729" s="15"/>
      <c r="KZ729" s="15"/>
    </row>
    <row r="730" spans="300:312" x14ac:dyDescent="0.3">
      <c r="KN730" s="15"/>
      <c r="KO730" s="15"/>
      <c r="KP730" s="15"/>
      <c r="KQ730" s="15"/>
      <c r="KR730" s="15"/>
      <c r="KS730" s="15"/>
      <c r="KT730" s="15"/>
      <c r="KU730" s="15"/>
      <c r="KV730" s="15"/>
      <c r="KW730" s="15"/>
      <c r="KX730" s="15"/>
      <c r="KY730" s="15"/>
      <c r="KZ730" s="15"/>
    </row>
    <row r="731" spans="300:312" x14ac:dyDescent="0.3">
      <c r="KN731" s="15"/>
      <c r="KO731" s="15"/>
      <c r="KP731" s="15"/>
      <c r="KQ731" s="15"/>
      <c r="KR731" s="15"/>
      <c r="KS731" s="15"/>
      <c r="KT731" s="15"/>
      <c r="KU731" s="15"/>
      <c r="KV731" s="15"/>
      <c r="KW731" s="15"/>
      <c r="KX731" s="15"/>
      <c r="KY731" s="15"/>
      <c r="KZ731" s="15"/>
    </row>
    <row r="732" spans="300:312" x14ac:dyDescent="0.3">
      <c r="KN732" s="15"/>
      <c r="KO732" s="15"/>
      <c r="KP732" s="15"/>
      <c r="KQ732" s="15"/>
      <c r="KR732" s="15"/>
      <c r="KS732" s="15"/>
      <c r="KT732" s="15"/>
      <c r="KU732" s="15"/>
      <c r="KV732" s="15"/>
      <c r="KW732" s="15"/>
      <c r="KX732" s="15"/>
      <c r="KY732" s="15"/>
      <c r="KZ732" s="15"/>
    </row>
    <row r="733" spans="300:312" x14ac:dyDescent="0.3">
      <c r="KN733" s="15"/>
      <c r="KO733" s="15"/>
      <c r="KP733" s="15"/>
      <c r="KQ733" s="15"/>
      <c r="KR733" s="15"/>
      <c r="KS733" s="15"/>
      <c r="KT733" s="15"/>
      <c r="KU733" s="15"/>
      <c r="KV733" s="15"/>
      <c r="KW733" s="15"/>
      <c r="KX733" s="15"/>
      <c r="KY733" s="15"/>
      <c r="KZ733" s="15"/>
    </row>
    <row r="734" spans="300:312" x14ac:dyDescent="0.3">
      <c r="KN734" s="15"/>
      <c r="KO734" s="15"/>
      <c r="KP734" s="15"/>
      <c r="KQ734" s="15"/>
      <c r="KR734" s="15"/>
      <c r="KS734" s="15"/>
      <c r="KT734" s="15"/>
      <c r="KU734" s="15"/>
      <c r="KV734" s="15"/>
      <c r="KW734" s="15"/>
      <c r="KX734" s="15"/>
      <c r="KY734" s="15"/>
      <c r="KZ734" s="15"/>
    </row>
    <row r="735" spans="300:312" x14ac:dyDescent="0.3">
      <c r="KN735" s="15"/>
      <c r="KO735" s="15"/>
      <c r="KP735" s="15"/>
      <c r="KQ735" s="15"/>
      <c r="KR735" s="15"/>
      <c r="KS735" s="15"/>
      <c r="KT735" s="15"/>
      <c r="KU735" s="15"/>
      <c r="KV735" s="15"/>
      <c r="KW735" s="15"/>
      <c r="KX735" s="15"/>
      <c r="KY735" s="15"/>
      <c r="KZ735" s="15"/>
    </row>
    <row r="736" spans="300:312" x14ac:dyDescent="0.3">
      <c r="KN736" s="15"/>
      <c r="KO736" s="15"/>
      <c r="KP736" s="15"/>
      <c r="KQ736" s="15"/>
      <c r="KR736" s="15"/>
      <c r="KS736" s="15"/>
      <c r="KT736" s="15"/>
      <c r="KU736" s="15"/>
      <c r="KV736" s="15"/>
      <c r="KW736" s="15"/>
      <c r="KX736" s="15"/>
      <c r="KY736" s="15"/>
      <c r="KZ736" s="15"/>
    </row>
    <row r="737" spans="300:312" x14ac:dyDescent="0.3">
      <c r="KN737" s="15"/>
      <c r="KO737" s="15"/>
      <c r="KP737" s="15"/>
      <c r="KQ737" s="15"/>
      <c r="KR737" s="15"/>
      <c r="KS737" s="15"/>
      <c r="KT737" s="15"/>
      <c r="KU737" s="15"/>
      <c r="KV737" s="15"/>
      <c r="KW737" s="15"/>
      <c r="KX737" s="15"/>
      <c r="KY737" s="15"/>
      <c r="KZ737" s="15"/>
    </row>
    <row r="738" spans="300:312" x14ac:dyDescent="0.3">
      <c r="KN738" s="15"/>
      <c r="KO738" s="15"/>
      <c r="KP738" s="15"/>
      <c r="KQ738" s="15"/>
      <c r="KR738" s="15"/>
      <c r="KS738" s="15"/>
      <c r="KT738" s="15"/>
      <c r="KU738" s="15"/>
      <c r="KV738" s="15"/>
      <c r="KW738" s="15"/>
      <c r="KX738" s="15"/>
      <c r="KY738" s="15"/>
      <c r="KZ738" s="15"/>
    </row>
    <row r="739" spans="300:312" x14ac:dyDescent="0.3">
      <c r="KN739" s="15"/>
      <c r="KO739" s="15"/>
      <c r="KP739" s="15"/>
      <c r="KQ739" s="15"/>
      <c r="KR739" s="15"/>
      <c r="KS739" s="15"/>
      <c r="KT739" s="15"/>
      <c r="KU739" s="15"/>
      <c r="KV739" s="15"/>
      <c r="KW739" s="15"/>
      <c r="KX739" s="15"/>
      <c r="KY739" s="15"/>
      <c r="KZ739" s="15"/>
    </row>
    <row r="740" spans="300:312" x14ac:dyDescent="0.3">
      <c r="KN740" s="15"/>
      <c r="KO740" s="15"/>
      <c r="KP740" s="15"/>
      <c r="KQ740" s="15"/>
      <c r="KR740" s="15"/>
      <c r="KS740" s="15"/>
      <c r="KT740" s="15"/>
      <c r="KU740" s="15"/>
      <c r="KV740" s="15"/>
      <c r="KW740" s="15"/>
      <c r="KX740" s="15"/>
      <c r="KY740" s="15"/>
      <c r="KZ740" s="15"/>
    </row>
    <row r="741" spans="300:312" x14ac:dyDescent="0.3">
      <c r="KN741" s="15"/>
      <c r="KO741" s="15"/>
      <c r="KP741" s="15"/>
      <c r="KQ741" s="15"/>
      <c r="KR741" s="15"/>
      <c r="KS741" s="15"/>
      <c r="KT741" s="15"/>
      <c r="KU741" s="15"/>
      <c r="KV741" s="15"/>
      <c r="KW741" s="15"/>
      <c r="KX741" s="15"/>
      <c r="KY741" s="15"/>
      <c r="KZ741" s="15"/>
    </row>
    <row r="742" spans="300:312" x14ac:dyDescent="0.3">
      <c r="KN742" s="15"/>
      <c r="KO742" s="15"/>
      <c r="KP742" s="15"/>
      <c r="KQ742" s="15"/>
      <c r="KR742" s="15"/>
      <c r="KS742" s="15"/>
      <c r="KT742" s="15"/>
      <c r="KU742" s="15"/>
      <c r="KV742" s="15"/>
      <c r="KW742" s="15"/>
      <c r="KX742" s="15"/>
      <c r="KY742" s="15"/>
      <c r="KZ742" s="15"/>
    </row>
    <row r="743" spans="300:312" x14ac:dyDescent="0.3">
      <c r="KN743" s="15"/>
      <c r="KO743" s="15"/>
      <c r="KP743" s="15"/>
      <c r="KQ743" s="15"/>
      <c r="KR743" s="15"/>
      <c r="KS743" s="15"/>
      <c r="KT743" s="15"/>
      <c r="KU743" s="15"/>
      <c r="KV743" s="15"/>
      <c r="KW743" s="15"/>
      <c r="KX743" s="15"/>
      <c r="KY743" s="15"/>
      <c r="KZ743" s="15"/>
    </row>
    <row r="744" spans="300:312" x14ac:dyDescent="0.3">
      <c r="KN744" s="15"/>
      <c r="KO744" s="15"/>
      <c r="KP744" s="15"/>
      <c r="KQ744" s="15"/>
      <c r="KR744" s="15"/>
      <c r="KS744" s="15"/>
      <c r="KT744" s="15"/>
      <c r="KU744" s="15"/>
      <c r="KV744" s="15"/>
      <c r="KW744" s="15"/>
      <c r="KX744" s="15"/>
      <c r="KY744" s="15"/>
      <c r="KZ744" s="15"/>
    </row>
    <row r="745" spans="300:312" x14ac:dyDescent="0.3">
      <c r="KN745" s="15"/>
      <c r="KO745" s="15"/>
      <c r="KP745" s="15"/>
      <c r="KQ745" s="15"/>
      <c r="KR745" s="15"/>
      <c r="KS745" s="15"/>
      <c r="KT745" s="15"/>
      <c r="KU745" s="15"/>
      <c r="KV745" s="15"/>
      <c r="KW745" s="15"/>
      <c r="KX745" s="15"/>
      <c r="KY745" s="15"/>
      <c r="KZ745" s="15"/>
    </row>
    <row r="746" spans="300:312" x14ac:dyDescent="0.3">
      <c r="KN746" s="15"/>
      <c r="KO746" s="15"/>
      <c r="KP746" s="15"/>
      <c r="KQ746" s="15"/>
      <c r="KR746" s="15"/>
      <c r="KS746" s="15"/>
      <c r="KT746" s="15"/>
      <c r="KU746" s="15"/>
      <c r="KV746" s="15"/>
      <c r="KW746" s="15"/>
      <c r="KX746" s="15"/>
      <c r="KY746" s="15"/>
      <c r="KZ746" s="15"/>
    </row>
    <row r="747" spans="300:312" x14ac:dyDescent="0.3">
      <c r="KN747" s="15"/>
      <c r="KO747" s="15"/>
      <c r="KP747" s="15"/>
      <c r="KQ747" s="15"/>
      <c r="KR747" s="15"/>
      <c r="KS747" s="15"/>
      <c r="KT747" s="15"/>
      <c r="KU747" s="15"/>
      <c r="KV747" s="15"/>
      <c r="KW747" s="15"/>
      <c r="KX747" s="15"/>
      <c r="KY747" s="15"/>
      <c r="KZ747" s="15"/>
    </row>
    <row r="748" spans="300:312" x14ac:dyDescent="0.3">
      <c r="KN748" s="15"/>
      <c r="KO748" s="15"/>
      <c r="KP748" s="15"/>
      <c r="KQ748" s="15"/>
      <c r="KR748" s="15"/>
      <c r="KS748" s="15"/>
      <c r="KT748" s="15"/>
      <c r="KU748" s="15"/>
      <c r="KV748" s="15"/>
      <c r="KW748" s="15"/>
      <c r="KX748" s="15"/>
      <c r="KY748" s="15"/>
      <c r="KZ748" s="15"/>
    </row>
    <row r="749" spans="300:312" x14ac:dyDescent="0.3">
      <c r="KN749" s="15"/>
      <c r="KO749" s="15"/>
      <c r="KP749" s="15"/>
      <c r="KQ749" s="15"/>
      <c r="KR749" s="15"/>
      <c r="KS749" s="15"/>
      <c r="KT749" s="15"/>
      <c r="KU749" s="15"/>
      <c r="KV749" s="15"/>
      <c r="KW749" s="15"/>
      <c r="KX749" s="15"/>
      <c r="KY749" s="15"/>
      <c r="KZ749" s="15"/>
    </row>
    <row r="750" spans="300:312" x14ac:dyDescent="0.3">
      <c r="KN750" s="15"/>
      <c r="KO750" s="15"/>
      <c r="KP750" s="15"/>
      <c r="KQ750" s="15"/>
      <c r="KR750" s="15"/>
      <c r="KS750" s="15"/>
      <c r="KT750" s="15"/>
      <c r="KU750" s="15"/>
      <c r="KV750" s="15"/>
      <c r="KW750" s="15"/>
      <c r="KX750" s="15"/>
      <c r="KY750" s="15"/>
      <c r="KZ750" s="15"/>
    </row>
    <row r="751" spans="300:312" x14ac:dyDescent="0.3">
      <c r="KN751" s="15"/>
      <c r="KO751" s="15"/>
      <c r="KP751" s="15"/>
      <c r="KQ751" s="15"/>
      <c r="KR751" s="15"/>
      <c r="KS751" s="15"/>
      <c r="KT751" s="15"/>
      <c r="KU751" s="15"/>
      <c r="KV751" s="15"/>
      <c r="KW751" s="15"/>
      <c r="KX751" s="15"/>
      <c r="KY751" s="15"/>
      <c r="KZ751" s="15"/>
    </row>
    <row r="752" spans="300:312" x14ac:dyDescent="0.3">
      <c r="KN752" s="15"/>
      <c r="KO752" s="15"/>
      <c r="KP752" s="15"/>
      <c r="KQ752" s="15"/>
      <c r="KR752" s="15"/>
      <c r="KS752" s="15"/>
      <c r="KT752" s="15"/>
      <c r="KU752" s="15"/>
      <c r="KV752" s="15"/>
      <c r="KW752" s="15"/>
      <c r="KX752" s="15"/>
      <c r="KY752" s="15"/>
      <c r="KZ752" s="15"/>
    </row>
    <row r="753" spans="300:312" x14ac:dyDescent="0.3">
      <c r="KN753" s="15"/>
      <c r="KO753" s="15"/>
      <c r="KP753" s="15"/>
      <c r="KQ753" s="15"/>
      <c r="KR753" s="15"/>
      <c r="KS753" s="15"/>
      <c r="KT753" s="15"/>
      <c r="KU753" s="15"/>
      <c r="KV753" s="15"/>
      <c r="KW753" s="15"/>
      <c r="KX753" s="15"/>
      <c r="KY753" s="15"/>
      <c r="KZ753" s="15"/>
    </row>
    <row r="754" spans="300:312" x14ac:dyDescent="0.3">
      <c r="KN754" s="15"/>
      <c r="KO754" s="15"/>
      <c r="KP754" s="15"/>
      <c r="KQ754" s="15"/>
      <c r="KR754" s="15"/>
      <c r="KS754" s="15"/>
      <c r="KT754" s="15"/>
      <c r="KU754" s="15"/>
      <c r="KV754" s="15"/>
      <c r="KW754" s="15"/>
      <c r="KX754" s="15"/>
      <c r="KY754" s="15"/>
      <c r="KZ754" s="15"/>
    </row>
    <row r="755" spans="300:312" x14ac:dyDescent="0.3">
      <c r="KN755" s="15"/>
      <c r="KO755" s="15"/>
      <c r="KP755" s="15"/>
      <c r="KQ755" s="15"/>
      <c r="KR755" s="15"/>
      <c r="KS755" s="15"/>
      <c r="KT755" s="15"/>
      <c r="KU755" s="15"/>
      <c r="KV755" s="15"/>
      <c r="KW755" s="15"/>
      <c r="KX755" s="15"/>
      <c r="KY755" s="15"/>
      <c r="KZ755" s="15"/>
    </row>
    <row r="756" spans="300:312" x14ac:dyDescent="0.3">
      <c r="KN756" s="15"/>
      <c r="KO756" s="15"/>
      <c r="KP756" s="15"/>
      <c r="KQ756" s="15"/>
      <c r="KR756" s="15"/>
      <c r="KS756" s="15"/>
      <c r="KT756" s="15"/>
      <c r="KU756" s="15"/>
      <c r="KV756" s="15"/>
      <c r="KW756" s="15"/>
      <c r="KX756" s="15"/>
      <c r="KY756" s="15"/>
      <c r="KZ756" s="15"/>
    </row>
    <row r="757" spans="300:312" x14ac:dyDescent="0.3">
      <c r="KN757" s="15"/>
      <c r="KO757" s="15"/>
      <c r="KP757" s="15"/>
      <c r="KQ757" s="15"/>
      <c r="KR757" s="15"/>
      <c r="KS757" s="15"/>
      <c r="KT757" s="15"/>
      <c r="KU757" s="15"/>
      <c r="KV757" s="15"/>
      <c r="KW757" s="15"/>
      <c r="KX757" s="15"/>
      <c r="KY757" s="15"/>
      <c r="KZ757" s="15"/>
    </row>
    <row r="758" spans="300:312" x14ac:dyDescent="0.3">
      <c r="KN758" s="15"/>
      <c r="KO758" s="15"/>
      <c r="KP758" s="15"/>
      <c r="KQ758" s="15"/>
      <c r="KR758" s="15"/>
      <c r="KS758" s="15"/>
      <c r="KT758" s="15"/>
      <c r="KU758" s="15"/>
      <c r="KV758" s="15"/>
      <c r="KW758" s="15"/>
      <c r="KX758" s="15"/>
      <c r="KY758" s="15"/>
      <c r="KZ758" s="15"/>
    </row>
    <row r="759" spans="300:312" x14ac:dyDescent="0.3">
      <c r="KN759" s="15"/>
      <c r="KO759" s="15"/>
      <c r="KP759" s="15"/>
      <c r="KQ759" s="15"/>
      <c r="KR759" s="15"/>
      <c r="KS759" s="15"/>
      <c r="KT759" s="15"/>
      <c r="KU759" s="15"/>
      <c r="KV759" s="15"/>
      <c r="KW759" s="15"/>
      <c r="KX759" s="15"/>
      <c r="KY759" s="15"/>
      <c r="KZ759" s="15"/>
    </row>
    <row r="760" spans="300:312" x14ac:dyDescent="0.3">
      <c r="KN760" s="15"/>
      <c r="KO760" s="15"/>
      <c r="KP760" s="15"/>
      <c r="KQ760" s="15"/>
      <c r="KR760" s="15"/>
      <c r="KS760" s="15"/>
      <c r="KT760" s="15"/>
      <c r="KU760" s="15"/>
      <c r="KV760" s="15"/>
      <c r="KW760" s="15"/>
      <c r="KX760" s="15"/>
      <c r="KY760" s="15"/>
      <c r="KZ760" s="15"/>
    </row>
    <row r="761" spans="300:312" x14ac:dyDescent="0.3">
      <c r="KN761" s="15"/>
      <c r="KO761" s="15"/>
      <c r="KP761" s="15"/>
      <c r="KQ761" s="15"/>
      <c r="KR761" s="15"/>
      <c r="KS761" s="15"/>
      <c r="KT761" s="15"/>
      <c r="KU761" s="15"/>
      <c r="KV761" s="15"/>
      <c r="KW761" s="15"/>
      <c r="KX761" s="15"/>
      <c r="KY761" s="15"/>
      <c r="KZ761" s="15"/>
    </row>
    <row r="762" spans="300:312" x14ac:dyDescent="0.3">
      <c r="KN762" s="15"/>
      <c r="KO762" s="15"/>
      <c r="KP762" s="15"/>
      <c r="KQ762" s="15"/>
      <c r="KR762" s="15"/>
      <c r="KS762" s="15"/>
      <c r="KT762" s="15"/>
      <c r="KU762" s="15"/>
      <c r="KV762" s="15"/>
      <c r="KW762" s="15"/>
      <c r="KX762" s="15"/>
      <c r="KY762" s="15"/>
      <c r="KZ762" s="15"/>
    </row>
    <row r="763" spans="300:312" x14ac:dyDescent="0.3">
      <c r="KN763" s="15"/>
      <c r="KO763" s="15"/>
      <c r="KP763" s="15"/>
      <c r="KQ763" s="15"/>
      <c r="KR763" s="15"/>
      <c r="KS763" s="15"/>
      <c r="KT763" s="15"/>
      <c r="KU763" s="15"/>
      <c r="KV763" s="15"/>
      <c r="KW763" s="15"/>
      <c r="KX763" s="15"/>
      <c r="KY763" s="15"/>
      <c r="KZ763" s="15"/>
    </row>
    <row r="764" spans="300:312" x14ac:dyDescent="0.3">
      <c r="KN764" s="15"/>
      <c r="KO764" s="15"/>
      <c r="KP764" s="15"/>
      <c r="KQ764" s="15"/>
      <c r="KR764" s="15"/>
      <c r="KS764" s="15"/>
      <c r="KT764" s="15"/>
      <c r="KU764" s="15"/>
      <c r="KV764" s="15"/>
      <c r="KW764" s="15"/>
      <c r="KX764" s="15"/>
      <c r="KY764" s="15"/>
      <c r="KZ764" s="15"/>
    </row>
    <row r="765" spans="300:312" x14ac:dyDescent="0.3">
      <c r="KN765" s="15"/>
      <c r="KO765" s="15"/>
      <c r="KP765" s="15"/>
      <c r="KQ765" s="15"/>
      <c r="KR765" s="15"/>
      <c r="KS765" s="15"/>
      <c r="KT765" s="15"/>
      <c r="KU765" s="15"/>
      <c r="KV765" s="15"/>
      <c r="KW765" s="15"/>
      <c r="KX765" s="15"/>
      <c r="KY765" s="15"/>
      <c r="KZ765" s="15"/>
    </row>
    <row r="766" spans="300:312" x14ac:dyDescent="0.3">
      <c r="KN766" s="15"/>
      <c r="KO766" s="15"/>
      <c r="KP766" s="15"/>
      <c r="KQ766" s="15"/>
      <c r="KR766" s="15"/>
      <c r="KS766" s="15"/>
      <c r="KT766" s="15"/>
      <c r="KU766" s="15"/>
      <c r="KV766" s="15"/>
      <c r="KW766" s="15"/>
      <c r="KX766" s="15"/>
      <c r="KY766" s="15"/>
      <c r="KZ766" s="15"/>
    </row>
    <row r="767" spans="300:312" x14ac:dyDescent="0.3">
      <c r="KN767" s="15"/>
      <c r="KO767" s="15"/>
      <c r="KP767" s="15"/>
      <c r="KQ767" s="15"/>
      <c r="KR767" s="15"/>
      <c r="KS767" s="15"/>
      <c r="KT767" s="15"/>
      <c r="KU767" s="15"/>
      <c r="KV767" s="15"/>
      <c r="KW767" s="15"/>
      <c r="KX767" s="15"/>
      <c r="KY767" s="15"/>
      <c r="KZ767" s="15"/>
    </row>
    <row r="768" spans="300:312" x14ac:dyDescent="0.3">
      <c r="KN768" s="15"/>
      <c r="KO768" s="15"/>
      <c r="KP768" s="15"/>
      <c r="KQ768" s="15"/>
      <c r="KR768" s="15"/>
      <c r="KS768" s="15"/>
      <c r="KT768" s="15"/>
      <c r="KU768" s="15"/>
      <c r="KV768" s="15"/>
      <c r="KW768" s="15"/>
      <c r="KX768" s="15"/>
      <c r="KY768" s="15"/>
      <c r="KZ768" s="15"/>
    </row>
    <row r="769" spans="300:312" x14ac:dyDescent="0.3">
      <c r="KN769" s="15"/>
      <c r="KO769" s="15"/>
      <c r="KP769" s="15"/>
      <c r="KQ769" s="15"/>
      <c r="KR769" s="15"/>
      <c r="KS769" s="15"/>
      <c r="KT769" s="15"/>
      <c r="KU769" s="15"/>
      <c r="KV769" s="15"/>
      <c r="KW769" s="15"/>
      <c r="KX769" s="15"/>
      <c r="KY769" s="15"/>
      <c r="KZ769" s="15"/>
    </row>
    <row r="770" spans="300:312" x14ac:dyDescent="0.3">
      <c r="KN770" s="15"/>
      <c r="KO770" s="15"/>
      <c r="KP770" s="15"/>
      <c r="KQ770" s="15"/>
      <c r="KR770" s="15"/>
      <c r="KS770" s="15"/>
      <c r="KT770" s="15"/>
      <c r="KU770" s="15"/>
      <c r="KV770" s="15"/>
      <c r="KW770" s="15"/>
      <c r="KX770" s="15"/>
      <c r="KY770" s="15"/>
      <c r="KZ770" s="15"/>
    </row>
    <row r="771" spans="300:312" x14ac:dyDescent="0.3">
      <c r="KN771" s="15"/>
      <c r="KO771" s="15"/>
      <c r="KP771" s="15"/>
      <c r="KQ771" s="15"/>
      <c r="KR771" s="15"/>
      <c r="KS771" s="15"/>
      <c r="KT771" s="15"/>
      <c r="KU771" s="15"/>
      <c r="KV771" s="15"/>
      <c r="KW771" s="15"/>
      <c r="KX771" s="15"/>
      <c r="KY771" s="15"/>
      <c r="KZ771" s="15"/>
    </row>
    <row r="772" spans="300:312" x14ac:dyDescent="0.3">
      <c r="KN772" s="15"/>
      <c r="KO772" s="15"/>
      <c r="KP772" s="15"/>
      <c r="KQ772" s="15"/>
      <c r="KR772" s="15"/>
      <c r="KS772" s="15"/>
      <c r="KT772" s="15"/>
      <c r="KU772" s="15"/>
      <c r="KV772" s="15"/>
      <c r="KW772" s="15"/>
      <c r="KX772" s="15"/>
      <c r="KY772" s="15"/>
      <c r="KZ772" s="15"/>
    </row>
    <row r="773" spans="300:312" x14ac:dyDescent="0.3">
      <c r="KN773" s="15"/>
      <c r="KO773" s="15"/>
      <c r="KP773" s="15"/>
      <c r="KQ773" s="15"/>
      <c r="KR773" s="15"/>
      <c r="KS773" s="15"/>
      <c r="KT773" s="15"/>
      <c r="KU773" s="15"/>
      <c r="KV773" s="15"/>
      <c r="KW773" s="15"/>
      <c r="KX773" s="15"/>
      <c r="KY773" s="15"/>
      <c r="KZ773" s="15"/>
    </row>
    <row r="774" spans="300:312" x14ac:dyDescent="0.3">
      <c r="KN774" s="15"/>
      <c r="KO774" s="15"/>
      <c r="KP774" s="15"/>
      <c r="KQ774" s="15"/>
      <c r="KR774" s="15"/>
      <c r="KS774" s="15"/>
      <c r="KT774" s="15"/>
      <c r="KU774" s="15"/>
      <c r="KV774" s="15"/>
      <c r="KW774" s="15"/>
      <c r="KX774" s="15"/>
      <c r="KY774" s="15"/>
      <c r="KZ774" s="15"/>
    </row>
    <row r="775" spans="300:312" x14ac:dyDescent="0.3">
      <c r="KN775" s="15"/>
      <c r="KO775" s="15"/>
      <c r="KP775" s="15"/>
      <c r="KQ775" s="15"/>
      <c r="KR775" s="15"/>
      <c r="KS775" s="15"/>
      <c r="KT775" s="15"/>
      <c r="KU775" s="15"/>
      <c r="KV775" s="15"/>
      <c r="KW775" s="15"/>
      <c r="KX775" s="15"/>
      <c r="KY775" s="15"/>
      <c r="KZ775" s="15"/>
    </row>
    <row r="776" spans="300:312" x14ac:dyDescent="0.3">
      <c r="KN776" s="15"/>
      <c r="KO776" s="15"/>
      <c r="KP776" s="15"/>
      <c r="KQ776" s="15"/>
      <c r="KR776" s="15"/>
      <c r="KS776" s="15"/>
      <c r="KT776" s="15"/>
      <c r="KU776" s="15"/>
      <c r="KV776" s="15"/>
      <c r="KW776" s="15"/>
      <c r="KX776" s="15"/>
      <c r="KY776" s="15"/>
      <c r="KZ776" s="15"/>
    </row>
    <row r="777" spans="300:312" x14ac:dyDescent="0.3">
      <c r="KN777" s="15"/>
      <c r="KO777" s="15"/>
      <c r="KP777" s="15"/>
      <c r="KQ777" s="15"/>
      <c r="KR777" s="15"/>
      <c r="KS777" s="15"/>
      <c r="KT777" s="15"/>
      <c r="KU777" s="15"/>
      <c r="KV777" s="15"/>
      <c r="KW777" s="15"/>
      <c r="KX777" s="15"/>
      <c r="KY777" s="15"/>
      <c r="KZ777" s="15"/>
    </row>
    <row r="778" spans="300:312" x14ac:dyDescent="0.3">
      <c r="KN778" s="15"/>
      <c r="KO778" s="15"/>
      <c r="KP778" s="15"/>
      <c r="KQ778" s="15"/>
      <c r="KR778" s="15"/>
      <c r="KS778" s="15"/>
      <c r="KT778" s="15"/>
      <c r="KU778" s="15"/>
      <c r="KV778" s="15"/>
      <c r="KW778" s="15"/>
      <c r="KX778" s="15"/>
      <c r="KY778" s="15"/>
      <c r="KZ778" s="15"/>
    </row>
    <row r="779" spans="300:312" x14ac:dyDescent="0.3">
      <c r="KN779" s="15"/>
      <c r="KO779" s="15"/>
      <c r="KP779" s="15"/>
      <c r="KQ779" s="15"/>
      <c r="KR779" s="15"/>
      <c r="KS779" s="15"/>
      <c r="KT779" s="15"/>
      <c r="KU779" s="15"/>
      <c r="KV779" s="15"/>
      <c r="KW779" s="15"/>
      <c r="KX779" s="15"/>
      <c r="KY779" s="15"/>
      <c r="KZ779" s="15"/>
    </row>
    <row r="780" spans="300:312" x14ac:dyDescent="0.3">
      <c r="KN780" s="15"/>
      <c r="KO780" s="15"/>
      <c r="KP780" s="15"/>
      <c r="KQ780" s="15"/>
      <c r="KR780" s="15"/>
      <c r="KS780" s="15"/>
      <c r="KT780" s="15"/>
      <c r="KU780" s="15"/>
      <c r="KV780" s="15"/>
      <c r="KW780" s="15"/>
      <c r="KX780" s="15"/>
      <c r="KY780" s="15"/>
      <c r="KZ780" s="15"/>
    </row>
    <row r="781" spans="300:312" x14ac:dyDescent="0.3">
      <c r="KN781" s="15"/>
      <c r="KO781" s="15"/>
      <c r="KP781" s="15"/>
      <c r="KQ781" s="15"/>
      <c r="KR781" s="15"/>
      <c r="KS781" s="15"/>
      <c r="KT781" s="15"/>
      <c r="KU781" s="15"/>
      <c r="KV781" s="15"/>
      <c r="KW781" s="15"/>
      <c r="KX781" s="15"/>
      <c r="KY781" s="15"/>
      <c r="KZ781" s="15"/>
    </row>
    <row r="782" spans="300:312" x14ac:dyDescent="0.3">
      <c r="KN782" s="15"/>
      <c r="KO782" s="15"/>
      <c r="KP782" s="15"/>
      <c r="KQ782" s="15"/>
      <c r="KR782" s="15"/>
      <c r="KS782" s="15"/>
      <c r="KT782" s="15"/>
      <c r="KU782" s="15"/>
      <c r="KV782" s="15"/>
      <c r="KW782" s="15"/>
      <c r="KX782" s="15"/>
      <c r="KY782" s="15"/>
      <c r="KZ782" s="15"/>
    </row>
    <row r="783" spans="300:312" x14ac:dyDescent="0.3">
      <c r="KN783" s="15"/>
      <c r="KO783" s="15"/>
      <c r="KP783" s="15"/>
      <c r="KQ783" s="15"/>
      <c r="KR783" s="15"/>
      <c r="KS783" s="15"/>
      <c r="KT783" s="15"/>
      <c r="KU783" s="15"/>
      <c r="KV783" s="15"/>
      <c r="KW783" s="15"/>
      <c r="KX783" s="15"/>
      <c r="KY783" s="15"/>
      <c r="KZ783" s="15"/>
    </row>
    <row r="784" spans="300:312" x14ac:dyDescent="0.3">
      <c r="KN784" s="15"/>
      <c r="KO784" s="15"/>
      <c r="KP784" s="15"/>
      <c r="KQ784" s="15"/>
      <c r="KR784" s="15"/>
      <c r="KS784" s="15"/>
      <c r="KT784" s="15"/>
      <c r="KU784" s="15"/>
      <c r="KV784" s="15"/>
      <c r="KW784" s="15"/>
      <c r="KX784" s="15"/>
      <c r="KY784" s="15"/>
      <c r="KZ784" s="15"/>
    </row>
    <row r="785" spans="300:312" x14ac:dyDescent="0.3">
      <c r="KN785" s="15"/>
      <c r="KO785" s="15"/>
      <c r="KP785" s="15"/>
      <c r="KQ785" s="15"/>
      <c r="KR785" s="15"/>
      <c r="KS785" s="15"/>
      <c r="KT785" s="15"/>
      <c r="KU785" s="15"/>
      <c r="KV785" s="15"/>
      <c r="KW785" s="15"/>
      <c r="KX785" s="15"/>
      <c r="KY785" s="15"/>
      <c r="KZ785" s="15"/>
    </row>
    <row r="786" spans="300:312" x14ac:dyDescent="0.3">
      <c r="KN786" s="15"/>
      <c r="KO786" s="15"/>
      <c r="KP786" s="15"/>
      <c r="KQ786" s="15"/>
      <c r="KR786" s="15"/>
      <c r="KS786" s="15"/>
      <c r="KT786" s="15"/>
      <c r="KU786" s="15"/>
      <c r="KV786" s="15"/>
      <c r="KW786" s="15"/>
      <c r="KX786" s="15"/>
      <c r="KY786" s="15"/>
      <c r="KZ786" s="15"/>
    </row>
    <row r="787" spans="300:312" x14ac:dyDescent="0.3">
      <c r="KN787" s="15"/>
      <c r="KO787" s="15"/>
      <c r="KP787" s="15"/>
      <c r="KQ787" s="15"/>
      <c r="KR787" s="15"/>
      <c r="KS787" s="15"/>
      <c r="KT787" s="15"/>
      <c r="KU787" s="15"/>
      <c r="KV787" s="15"/>
      <c r="KW787" s="15"/>
      <c r="KX787" s="15"/>
      <c r="KY787" s="15"/>
      <c r="KZ787" s="15"/>
    </row>
    <row r="788" spans="300:312" x14ac:dyDescent="0.3">
      <c r="KN788" s="15"/>
      <c r="KO788" s="15"/>
      <c r="KP788" s="15"/>
      <c r="KQ788" s="15"/>
      <c r="KR788" s="15"/>
      <c r="KS788" s="15"/>
      <c r="KT788" s="15"/>
      <c r="KU788" s="15"/>
      <c r="KV788" s="15"/>
      <c r="KW788" s="15"/>
      <c r="KX788" s="15"/>
      <c r="KY788" s="15"/>
      <c r="KZ788" s="15"/>
    </row>
    <row r="789" spans="300:312" x14ac:dyDescent="0.3">
      <c r="KN789" s="15"/>
      <c r="KO789" s="15"/>
      <c r="KP789" s="15"/>
      <c r="KQ789" s="15"/>
      <c r="KR789" s="15"/>
      <c r="KS789" s="15"/>
      <c r="KT789" s="15"/>
      <c r="KU789" s="15"/>
      <c r="KV789" s="15"/>
      <c r="KW789" s="15"/>
      <c r="KX789" s="15"/>
      <c r="KY789" s="15"/>
      <c r="KZ789" s="15"/>
    </row>
    <row r="790" spans="300:312" x14ac:dyDescent="0.3">
      <c r="KN790" s="15"/>
      <c r="KO790" s="15"/>
      <c r="KP790" s="15"/>
      <c r="KQ790" s="15"/>
      <c r="KR790" s="15"/>
      <c r="KS790" s="15"/>
      <c r="KT790" s="15"/>
      <c r="KU790" s="15"/>
      <c r="KV790" s="15"/>
      <c r="KW790" s="15"/>
      <c r="KX790" s="15"/>
      <c r="KY790" s="15"/>
      <c r="KZ790" s="15"/>
    </row>
    <row r="791" spans="300:312" x14ac:dyDescent="0.3">
      <c r="KN791" s="15"/>
      <c r="KO791" s="15"/>
      <c r="KP791" s="15"/>
      <c r="KQ791" s="15"/>
      <c r="KR791" s="15"/>
      <c r="KS791" s="15"/>
      <c r="KT791" s="15"/>
      <c r="KU791" s="15"/>
      <c r="KV791" s="15"/>
      <c r="KW791" s="15"/>
      <c r="KX791" s="15"/>
      <c r="KY791" s="15"/>
      <c r="KZ791" s="15"/>
    </row>
    <row r="792" spans="300:312" x14ac:dyDescent="0.3">
      <c r="KN792" s="15"/>
      <c r="KO792" s="15"/>
      <c r="KP792" s="15"/>
      <c r="KQ792" s="15"/>
      <c r="KR792" s="15"/>
      <c r="KS792" s="15"/>
      <c r="KT792" s="15"/>
      <c r="KU792" s="15"/>
      <c r="KV792" s="15"/>
      <c r="KW792" s="15"/>
      <c r="KX792" s="15"/>
      <c r="KY792" s="15"/>
      <c r="KZ792" s="15"/>
    </row>
    <row r="793" spans="300:312" x14ac:dyDescent="0.3">
      <c r="KN793" s="15"/>
      <c r="KO793" s="15"/>
      <c r="KP793" s="15"/>
      <c r="KQ793" s="15"/>
      <c r="KR793" s="15"/>
      <c r="KS793" s="15"/>
      <c r="KT793" s="15"/>
      <c r="KU793" s="15"/>
      <c r="KV793" s="15"/>
      <c r="KW793" s="15"/>
      <c r="KX793" s="15"/>
      <c r="KY793" s="15"/>
      <c r="KZ793" s="15"/>
    </row>
    <row r="794" spans="300:312" x14ac:dyDescent="0.3">
      <c r="KN794" s="15"/>
      <c r="KO794" s="15"/>
      <c r="KP794" s="15"/>
      <c r="KQ794" s="15"/>
      <c r="KR794" s="15"/>
      <c r="KS794" s="15"/>
      <c r="KT794" s="15"/>
      <c r="KU794" s="15"/>
      <c r="KV794" s="15"/>
      <c r="KW794" s="15"/>
      <c r="KX794" s="15"/>
      <c r="KY794" s="15"/>
      <c r="KZ794" s="15"/>
    </row>
    <row r="795" spans="300:312" x14ac:dyDescent="0.3">
      <c r="KN795" s="15"/>
      <c r="KO795" s="15"/>
      <c r="KP795" s="15"/>
      <c r="KQ795" s="15"/>
      <c r="KR795" s="15"/>
      <c r="KS795" s="15"/>
      <c r="KT795" s="15"/>
      <c r="KU795" s="15"/>
      <c r="KV795" s="15"/>
      <c r="KW795" s="15"/>
      <c r="KX795" s="15"/>
      <c r="KY795" s="15"/>
      <c r="KZ795" s="15"/>
    </row>
    <row r="796" spans="300:312" x14ac:dyDescent="0.3">
      <c r="KN796" s="15"/>
      <c r="KO796" s="15"/>
      <c r="KP796" s="15"/>
      <c r="KQ796" s="15"/>
      <c r="KR796" s="15"/>
      <c r="KS796" s="15"/>
      <c r="KT796" s="15"/>
      <c r="KU796" s="15"/>
      <c r="KV796" s="15"/>
      <c r="KW796" s="15"/>
      <c r="KX796" s="15"/>
      <c r="KY796" s="15"/>
      <c r="KZ796" s="15"/>
    </row>
    <row r="797" spans="300:312" x14ac:dyDescent="0.3">
      <c r="KN797" s="15"/>
      <c r="KO797" s="15"/>
      <c r="KP797" s="15"/>
      <c r="KQ797" s="15"/>
      <c r="KR797" s="15"/>
      <c r="KS797" s="15"/>
      <c r="KT797" s="15"/>
      <c r="KU797" s="15"/>
      <c r="KV797" s="15"/>
      <c r="KW797" s="15"/>
      <c r="KX797" s="15"/>
      <c r="KY797" s="15"/>
      <c r="KZ797" s="15"/>
    </row>
    <row r="798" spans="300:312" x14ac:dyDescent="0.3">
      <c r="KN798" s="15"/>
      <c r="KO798" s="15"/>
      <c r="KP798" s="15"/>
      <c r="KQ798" s="15"/>
      <c r="KR798" s="15"/>
      <c r="KS798" s="15"/>
      <c r="KT798" s="15"/>
      <c r="KU798" s="15"/>
      <c r="KV798" s="15"/>
      <c r="KW798" s="15"/>
      <c r="KX798" s="15"/>
      <c r="KY798" s="15"/>
      <c r="KZ798" s="15"/>
    </row>
    <row r="799" spans="300:312" x14ac:dyDescent="0.3">
      <c r="KN799" s="15"/>
      <c r="KO799" s="15"/>
      <c r="KP799" s="15"/>
      <c r="KQ799" s="15"/>
      <c r="KR799" s="15"/>
      <c r="KS799" s="15"/>
      <c r="KT799" s="15"/>
      <c r="KU799" s="15"/>
      <c r="KV799" s="15"/>
      <c r="KW799" s="15"/>
      <c r="KX799" s="15"/>
      <c r="KY799" s="15"/>
      <c r="KZ799" s="15"/>
    </row>
    <row r="800" spans="300:312" x14ac:dyDescent="0.3">
      <c r="KN800" s="15"/>
      <c r="KO800" s="15"/>
      <c r="KP800" s="15"/>
      <c r="KQ800" s="15"/>
      <c r="KR800" s="15"/>
      <c r="KS800" s="15"/>
      <c r="KT800" s="15"/>
      <c r="KU800" s="15"/>
      <c r="KV800" s="15"/>
      <c r="KW800" s="15"/>
      <c r="KX800" s="15"/>
      <c r="KY800" s="15"/>
      <c r="KZ800" s="15"/>
    </row>
    <row r="801" spans="300:312" x14ac:dyDescent="0.3">
      <c r="KN801" s="15"/>
      <c r="KO801" s="15"/>
      <c r="KP801" s="15"/>
      <c r="KQ801" s="15"/>
      <c r="KR801" s="15"/>
      <c r="KS801" s="15"/>
      <c r="KT801" s="15"/>
      <c r="KU801" s="15"/>
      <c r="KV801" s="15"/>
      <c r="KW801" s="15"/>
      <c r="KX801" s="15"/>
      <c r="KY801" s="15"/>
      <c r="KZ801" s="15"/>
    </row>
    <row r="802" spans="300:312" x14ac:dyDescent="0.3">
      <c r="KN802" s="15"/>
      <c r="KO802" s="15"/>
      <c r="KP802" s="15"/>
      <c r="KQ802" s="15"/>
      <c r="KR802" s="15"/>
      <c r="KS802" s="15"/>
      <c r="KT802" s="15"/>
      <c r="KU802" s="15"/>
      <c r="KV802" s="15"/>
      <c r="KW802" s="15"/>
      <c r="KX802" s="15"/>
      <c r="KY802" s="15"/>
      <c r="KZ802" s="15"/>
    </row>
    <row r="803" spans="300:312" x14ac:dyDescent="0.3">
      <c r="KN803" s="15"/>
      <c r="KO803" s="15"/>
      <c r="KP803" s="15"/>
      <c r="KQ803" s="15"/>
      <c r="KR803" s="15"/>
      <c r="KS803" s="15"/>
      <c r="KT803" s="15"/>
      <c r="KU803" s="15"/>
      <c r="KV803" s="15"/>
      <c r="KW803" s="15"/>
      <c r="KX803" s="15"/>
      <c r="KY803" s="15"/>
      <c r="KZ803" s="15"/>
    </row>
    <row r="804" spans="300:312" x14ac:dyDescent="0.3">
      <c r="KN804" s="15"/>
      <c r="KO804" s="15"/>
      <c r="KP804" s="15"/>
      <c r="KQ804" s="15"/>
      <c r="KR804" s="15"/>
      <c r="KS804" s="15"/>
      <c r="KT804" s="15"/>
      <c r="KU804" s="15"/>
      <c r="KV804" s="15"/>
      <c r="KW804" s="15"/>
      <c r="KX804" s="15"/>
      <c r="KY804" s="15"/>
      <c r="KZ804" s="15"/>
    </row>
    <row r="805" spans="300:312" x14ac:dyDescent="0.3">
      <c r="KN805" s="15"/>
      <c r="KO805" s="15"/>
      <c r="KP805" s="15"/>
      <c r="KQ805" s="15"/>
      <c r="KR805" s="15"/>
      <c r="KS805" s="15"/>
      <c r="KT805" s="15"/>
      <c r="KU805" s="15"/>
      <c r="KV805" s="15"/>
      <c r="KW805" s="15"/>
      <c r="KX805" s="15"/>
      <c r="KY805" s="15"/>
      <c r="KZ805" s="15"/>
    </row>
    <row r="806" spans="300:312" x14ac:dyDescent="0.3">
      <c r="KN806" s="15"/>
      <c r="KO806" s="15"/>
      <c r="KP806" s="15"/>
      <c r="KQ806" s="15"/>
      <c r="KR806" s="15"/>
      <c r="KS806" s="15"/>
      <c r="KT806" s="15"/>
      <c r="KU806" s="15"/>
      <c r="KV806" s="15"/>
      <c r="KW806" s="15"/>
      <c r="KX806" s="15"/>
      <c r="KY806" s="15"/>
      <c r="KZ806" s="15"/>
    </row>
    <row r="807" spans="300:312" x14ac:dyDescent="0.3">
      <c r="KN807" s="15"/>
      <c r="KO807" s="15"/>
      <c r="KP807" s="15"/>
      <c r="KQ807" s="15"/>
      <c r="KR807" s="15"/>
      <c r="KS807" s="15"/>
      <c r="KT807" s="15"/>
      <c r="KU807" s="15"/>
      <c r="KV807" s="15"/>
      <c r="KW807" s="15"/>
      <c r="KX807" s="15"/>
      <c r="KY807" s="15"/>
      <c r="KZ807" s="15"/>
    </row>
    <row r="808" spans="300:312" x14ac:dyDescent="0.3">
      <c r="KN808" s="15"/>
      <c r="KO808" s="15"/>
      <c r="KP808" s="15"/>
      <c r="KQ808" s="15"/>
      <c r="KR808" s="15"/>
      <c r="KS808" s="15"/>
      <c r="KT808" s="15"/>
      <c r="KU808" s="15"/>
      <c r="KV808" s="15"/>
      <c r="KW808" s="15"/>
      <c r="KX808" s="15"/>
      <c r="KY808" s="15"/>
      <c r="KZ808" s="15"/>
    </row>
    <row r="809" spans="300:312" x14ac:dyDescent="0.3">
      <c r="KN809" s="15"/>
      <c r="KO809" s="15"/>
      <c r="KP809" s="15"/>
      <c r="KQ809" s="15"/>
      <c r="KR809" s="15"/>
      <c r="KS809" s="15"/>
      <c r="KT809" s="15"/>
      <c r="KU809" s="15"/>
      <c r="KV809" s="15"/>
      <c r="KW809" s="15"/>
      <c r="KX809" s="15"/>
      <c r="KY809" s="15"/>
      <c r="KZ809" s="15"/>
    </row>
    <row r="810" spans="300:312" x14ac:dyDescent="0.3">
      <c r="KN810" s="15"/>
      <c r="KO810" s="15"/>
      <c r="KP810" s="15"/>
      <c r="KQ810" s="15"/>
      <c r="KR810" s="15"/>
      <c r="KS810" s="15"/>
      <c r="KT810" s="15"/>
      <c r="KU810" s="15"/>
      <c r="KV810" s="15"/>
      <c r="KW810" s="15"/>
      <c r="KX810" s="15"/>
      <c r="KY810" s="15"/>
      <c r="KZ810" s="15"/>
    </row>
    <row r="811" spans="300:312" x14ac:dyDescent="0.3">
      <c r="KN811" s="15"/>
      <c r="KO811" s="15"/>
      <c r="KP811" s="15"/>
      <c r="KQ811" s="15"/>
      <c r="KR811" s="15"/>
      <c r="KS811" s="15"/>
      <c r="KT811" s="15"/>
      <c r="KU811" s="15"/>
      <c r="KV811" s="15"/>
      <c r="KW811" s="15"/>
      <c r="KX811" s="15"/>
      <c r="KY811" s="15"/>
      <c r="KZ811" s="15"/>
    </row>
    <row r="812" spans="300:312" x14ac:dyDescent="0.3">
      <c r="KN812" s="15"/>
      <c r="KO812" s="15"/>
      <c r="KP812" s="15"/>
      <c r="KQ812" s="15"/>
      <c r="KR812" s="15"/>
      <c r="KS812" s="15"/>
      <c r="KT812" s="15"/>
      <c r="KU812" s="15"/>
      <c r="KV812" s="15"/>
      <c r="KW812" s="15"/>
      <c r="KX812" s="15"/>
      <c r="KY812" s="15"/>
      <c r="KZ812" s="15"/>
    </row>
    <row r="813" spans="300:312" x14ac:dyDescent="0.3">
      <c r="KN813" s="15"/>
      <c r="KO813" s="15"/>
      <c r="KP813" s="15"/>
      <c r="KQ813" s="15"/>
      <c r="KR813" s="15"/>
      <c r="KS813" s="15"/>
      <c r="KT813" s="15"/>
      <c r="KU813" s="15"/>
      <c r="KV813" s="15"/>
      <c r="KW813" s="15"/>
      <c r="KX813" s="15"/>
      <c r="KY813" s="15"/>
      <c r="KZ813" s="15"/>
    </row>
    <row r="814" spans="300:312" x14ac:dyDescent="0.3">
      <c r="KN814" s="15"/>
      <c r="KO814" s="15"/>
      <c r="KP814" s="15"/>
      <c r="KQ814" s="15"/>
      <c r="KR814" s="15"/>
      <c r="KS814" s="15"/>
      <c r="KT814" s="15"/>
      <c r="KU814" s="15"/>
      <c r="KV814" s="15"/>
      <c r="KW814" s="15"/>
      <c r="KX814" s="15"/>
      <c r="KY814" s="15"/>
      <c r="KZ814" s="15"/>
    </row>
    <row r="815" spans="300:312" x14ac:dyDescent="0.3">
      <c r="KN815" s="15"/>
      <c r="KO815" s="15"/>
      <c r="KP815" s="15"/>
      <c r="KQ815" s="15"/>
      <c r="KR815" s="15"/>
      <c r="KS815" s="15"/>
      <c r="KT815" s="15"/>
      <c r="KU815" s="15"/>
      <c r="KV815" s="15"/>
      <c r="KW815" s="15"/>
      <c r="KX815" s="15"/>
      <c r="KY815" s="15"/>
      <c r="KZ815" s="15"/>
    </row>
    <row r="816" spans="300:312" x14ac:dyDescent="0.3">
      <c r="KN816" s="15"/>
      <c r="KO816" s="15"/>
      <c r="KP816" s="15"/>
      <c r="KQ816" s="15"/>
      <c r="KR816" s="15"/>
      <c r="KS816" s="15"/>
      <c r="KT816" s="15"/>
      <c r="KU816" s="15"/>
      <c r="KV816" s="15"/>
      <c r="KW816" s="15"/>
      <c r="KX816" s="15"/>
      <c r="KY816" s="15"/>
      <c r="KZ816" s="15"/>
    </row>
    <row r="817" spans="300:312" x14ac:dyDescent="0.3">
      <c r="KN817" s="15"/>
      <c r="KO817" s="15"/>
      <c r="KP817" s="15"/>
      <c r="KQ817" s="15"/>
      <c r="KR817" s="15"/>
      <c r="KS817" s="15"/>
      <c r="KT817" s="15"/>
      <c r="KU817" s="15"/>
      <c r="KV817" s="15"/>
      <c r="KW817" s="15"/>
      <c r="KX817" s="15"/>
      <c r="KY817" s="15"/>
      <c r="KZ817" s="15"/>
    </row>
    <row r="818" spans="300:312" x14ac:dyDescent="0.3">
      <c r="KN818" s="15"/>
      <c r="KO818" s="15"/>
      <c r="KP818" s="15"/>
      <c r="KQ818" s="15"/>
      <c r="KR818" s="15"/>
      <c r="KS818" s="15"/>
      <c r="KT818" s="15"/>
      <c r="KU818" s="15"/>
      <c r="KV818" s="15"/>
      <c r="KW818" s="15"/>
      <c r="KX818" s="15"/>
      <c r="KY818" s="15"/>
      <c r="KZ818" s="15"/>
    </row>
    <row r="819" spans="300:312" x14ac:dyDescent="0.3">
      <c r="KN819" s="15"/>
      <c r="KO819" s="15"/>
      <c r="KP819" s="15"/>
      <c r="KQ819" s="15"/>
      <c r="KR819" s="15"/>
      <c r="KS819" s="15"/>
      <c r="KT819" s="15"/>
      <c r="KU819" s="15"/>
      <c r="KV819" s="15"/>
      <c r="KW819" s="15"/>
      <c r="KX819" s="15"/>
      <c r="KY819" s="15"/>
      <c r="KZ819" s="15"/>
    </row>
    <row r="820" spans="300:312" x14ac:dyDescent="0.3">
      <c r="KN820" s="15"/>
      <c r="KO820" s="15"/>
      <c r="KP820" s="15"/>
      <c r="KQ820" s="15"/>
      <c r="KR820" s="15"/>
      <c r="KS820" s="15"/>
      <c r="KT820" s="15"/>
      <c r="KU820" s="15"/>
      <c r="KV820" s="15"/>
      <c r="KW820" s="15"/>
      <c r="KX820" s="15"/>
      <c r="KY820" s="15"/>
      <c r="KZ820" s="15"/>
    </row>
    <row r="821" spans="300:312" x14ac:dyDescent="0.3">
      <c r="KN821" s="15"/>
      <c r="KO821" s="15"/>
      <c r="KP821" s="15"/>
      <c r="KQ821" s="15"/>
      <c r="KR821" s="15"/>
      <c r="KS821" s="15"/>
      <c r="KT821" s="15"/>
      <c r="KU821" s="15"/>
      <c r="KV821" s="15"/>
      <c r="KW821" s="15"/>
      <c r="KX821" s="15"/>
      <c r="KY821" s="15"/>
      <c r="KZ821" s="15"/>
    </row>
    <row r="822" spans="300:312" x14ac:dyDescent="0.3">
      <c r="KN822" s="15"/>
      <c r="KO822" s="15"/>
      <c r="KP822" s="15"/>
      <c r="KQ822" s="15"/>
      <c r="KR822" s="15"/>
      <c r="KS822" s="15"/>
      <c r="KT822" s="15"/>
      <c r="KU822" s="15"/>
      <c r="KV822" s="15"/>
      <c r="KW822" s="15"/>
      <c r="KX822" s="15"/>
      <c r="KY822" s="15"/>
      <c r="KZ822" s="15"/>
    </row>
    <row r="823" spans="300:312" x14ac:dyDescent="0.3">
      <c r="KN823" s="15"/>
      <c r="KO823" s="15"/>
      <c r="KP823" s="15"/>
      <c r="KQ823" s="15"/>
      <c r="KR823" s="15"/>
      <c r="KS823" s="15"/>
      <c r="KT823" s="15"/>
      <c r="KU823" s="15"/>
      <c r="KV823" s="15"/>
      <c r="KW823" s="15"/>
      <c r="KX823" s="15"/>
      <c r="KY823" s="15"/>
      <c r="KZ823" s="15"/>
    </row>
    <row r="824" spans="300:312" x14ac:dyDescent="0.3">
      <c r="KN824" s="15"/>
      <c r="KO824" s="15"/>
      <c r="KP824" s="15"/>
      <c r="KQ824" s="15"/>
      <c r="KR824" s="15"/>
      <c r="KS824" s="15"/>
      <c r="KT824" s="15"/>
      <c r="KU824" s="15"/>
      <c r="KV824" s="15"/>
      <c r="KW824" s="15"/>
      <c r="KX824" s="15"/>
      <c r="KY824" s="15"/>
      <c r="KZ824" s="15"/>
    </row>
    <row r="825" spans="300:312" x14ac:dyDescent="0.3">
      <c r="KN825" s="15"/>
      <c r="KO825" s="15"/>
      <c r="KP825" s="15"/>
      <c r="KQ825" s="15"/>
      <c r="KR825" s="15"/>
      <c r="KS825" s="15"/>
      <c r="KT825" s="15"/>
      <c r="KU825" s="15"/>
      <c r="KV825" s="15"/>
      <c r="KW825" s="15"/>
      <c r="KX825" s="15"/>
      <c r="KY825" s="15"/>
      <c r="KZ825" s="15"/>
    </row>
    <row r="826" spans="300:312" x14ac:dyDescent="0.3">
      <c r="KN826" s="15"/>
      <c r="KO826" s="15"/>
      <c r="KP826" s="15"/>
      <c r="KQ826" s="15"/>
      <c r="KR826" s="15"/>
      <c r="KS826" s="15"/>
      <c r="KT826" s="15"/>
      <c r="KU826" s="15"/>
      <c r="KV826" s="15"/>
      <c r="KW826" s="15"/>
      <c r="KX826" s="15"/>
      <c r="KY826" s="15"/>
      <c r="KZ826" s="15"/>
    </row>
    <row r="827" spans="300:312" x14ac:dyDescent="0.3">
      <c r="KN827" s="15"/>
      <c r="KO827" s="15"/>
      <c r="KP827" s="15"/>
      <c r="KQ827" s="15"/>
      <c r="KR827" s="15"/>
      <c r="KS827" s="15"/>
      <c r="KT827" s="15"/>
      <c r="KU827" s="15"/>
      <c r="KV827" s="15"/>
      <c r="KW827" s="15"/>
      <c r="KX827" s="15"/>
      <c r="KY827" s="15"/>
      <c r="KZ827" s="15"/>
    </row>
    <row r="828" spans="300:312" x14ac:dyDescent="0.3">
      <c r="KN828" s="15"/>
      <c r="KO828" s="15"/>
      <c r="KP828" s="15"/>
      <c r="KQ828" s="15"/>
      <c r="KR828" s="15"/>
      <c r="KS828" s="15"/>
      <c r="KT828" s="15"/>
      <c r="KU828" s="15"/>
      <c r="KV828" s="15"/>
      <c r="KW828" s="15"/>
      <c r="KX828" s="15"/>
      <c r="KY828" s="15"/>
      <c r="KZ828" s="15"/>
    </row>
    <row r="829" spans="300:312" x14ac:dyDescent="0.3">
      <c r="KN829" s="15"/>
      <c r="KO829" s="15"/>
      <c r="KP829" s="15"/>
      <c r="KQ829" s="15"/>
      <c r="KR829" s="15"/>
      <c r="KS829" s="15"/>
      <c r="KT829" s="15"/>
      <c r="KU829" s="15"/>
      <c r="KV829" s="15"/>
      <c r="KW829" s="15"/>
      <c r="KX829" s="15"/>
      <c r="KY829" s="15"/>
      <c r="KZ829" s="15"/>
    </row>
    <row r="830" spans="300:312" x14ac:dyDescent="0.3">
      <c r="KN830" s="15"/>
      <c r="KO830" s="15"/>
      <c r="KP830" s="15"/>
      <c r="KQ830" s="15"/>
      <c r="KR830" s="15"/>
      <c r="KS830" s="15"/>
      <c r="KT830" s="15"/>
      <c r="KU830" s="15"/>
      <c r="KV830" s="15"/>
      <c r="KW830" s="15"/>
      <c r="KX830" s="15"/>
      <c r="KY830" s="15"/>
      <c r="KZ830" s="15"/>
    </row>
    <row r="831" spans="300:312" x14ac:dyDescent="0.3">
      <c r="KN831" s="15"/>
      <c r="KO831" s="15"/>
      <c r="KP831" s="15"/>
      <c r="KQ831" s="15"/>
      <c r="KR831" s="15"/>
      <c r="KS831" s="15"/>
      <c r="KT831" s="15"/>
      <c r="KU831" s="15"/>
      <c r="KV831" s="15"/>
      <c r="KW831" s="15"/>
      <c r="KX831" s="15"/>
      <c r="KY831" s="15"/>
      <c r="KZ831" s="15"/>
    </row>
    <row r="832" spans="300:312" x14ac:dyDescent="0.3">
      <c r="KN832" s="15"/>
      <c r="KO832" s="15"/>
      <c r="KP832" s="15"/>
      <c r="KQ832" s="15"/>
      <c r="KR832" s="15"/>
      <c r="KS832" s="15"/>
      <c r="KT832" s="15"/>
      <c r="KU832" s="15"/>
      <c r="KV832" s="15"/>
      <c r="KW832" s="15"/>
      <c r="KX832" s="15"/>
      <c r="KY832" s="15"/>
      <c r="KZ832" s="15"/>
    </row>
    <row r="833" spans="300:312" x14ac:dyDescent="0.3">
      <c r="KN833" s="15"/>
      <c r="KO833" s="15"/>
      <c r="KP833" s="15"/>
      <c r="KQ833" s="15"/>
      <c r="KR833" s="15"/>
      <c r="KS833" s="15"/>
      <c r="KT833" s="15"/>
      <c r="KU833" s="15"/>
      <c r="KV833" s="15"/>
      <c r="KW833" s="15"/>
      <c r="KX833" s="15"/>
      <c r="KY833" s="15"/>
      <c r="KZ833" s="15"/>
    </row>
    <row r="834" spans="300:312" x14ac:dyDescent="0.3">
      <c r="KN834" s="15"/>
      <c r="KO834" s="15"/>
      <c r="KP834" s="15"/>
      <c r="KQ834" s="15"/>
      <c r="KR834" s="15"/>
      <c r="KS834" s="15"/>
      <c r="KT834" s="15"/>
      <c r="KU834" s="15"/>
      <c r="KV834" s="15"/>
      <c r="KW834" s="15"/>
      <c r="KX834" s="15"/>
      <c r="KY834" s="15"/>
      <c r="KZ834" s="15"/>
    </row>
    <row r="835" spans="300:312" x14ac:dyDescent="0.3">
      <c r="KN835" s="15"/>
      <c r="KO835" s="15"/>
      <c r="KP835" s="15"/>
      <c r="KQ835" s="15"/>
      <c r="KR835" s="15"/>
      <c r="KS835" s="15"/>
      <c r="KT835" s="15"/>
      <c r="KU835" s="15"/>
      <c r="KV835" s="15"/>
      <c r="KW835" s="15"/>
      <c r="KX835" s="15"/>
      <c r="KY835" s="15"/>
      <c r="KZ835" s="15"/>
    </row>
    <row r="836" spans="300:312" x14ac:dyDescent="0.3">
      <c r="KN836" s="15"/>
      <c r="KO836" s="15"/>
      <c r="KP836" s="15"/>
      <c r="KQ836" s="15"/>
      <c r="KR836" s="15"/>
      <c r="KS836" s="15"/>
      <c r="KT836" s="15"/>
      <c r="KU836" s="15"/>
      <c r="KV836" s="15"/>
      <c r="KW836" s="15"/>
      <c r="KX836" s="15"/>
      <c r="KY836" s="15"/>
      <c r="KZ836" s="15"/>
    </row>
    <row r="837" spans="300:312" x14ac:dyDescent="0.3">
      <c r="KN837" s="15"/>
      <c r="KO837" s="15"/>
      <c r="KP837" s="15"/>
      <c r="KQ837" s="15"/>
      <c r="KR837" s="15"/>
      <c r="KS837" s="15"/>
      <c r="KT837" s="15"/>
      <c r="KU837" s="15"/>
      <c r="KV837" s="15"/>
      <c r="KW837" s="15"/>
      <c r="KX837" s="15"/>
      <c r="KY837" s="15"/>
      <c r="KZ837" s="15"/>
    </row>
    <row r="838" spans="300:312" x14ac:dyDescent="0.3">
      <c r="KN838" s="15"/>
      <c r="KO838" s="15"/>
      <c r="KP838" s="15"/>
      <c r="KQ838" s="15"/>
      <c r="KR838" s="15"/>
      <c r="KS838" s="15"/>
      <c r="KT838" s="15"/>
      <c r="KU838" s="15"/>
      <c r="KV838" s="15"/>
      <c r="KW838" s="15"/>
      <c r="KX838" s="15"/>
      <c r="KY838" s="15"/>
      <c r="KZ838" s="15"/>
    </row>
    <row r="839" spans="300:312" x14ac:dyDescent="0.3">
      <c r="KN839" s="15"/>
      <c r="KO839" s="15"/>
      <c r="KP839" s="15"/>
      <c r="KQ839" s="15"/>
      <c r="KR839" s="15"/>
      <c r="KS839" s="15"/>
      <c r="KT839" s="15"/>
      <c r="KU839" s="15"/>
      <c r="KV839" s="15"/>
      <c r="KW839" s="15"/>
      <c r="KX839" s="15"/>
      <c r="KY839" s="15"/>
      <c r="KZ839" s="15"/>
    </row>
    <row r="840" spans="300:312" x14ac:dyDescent="0.3">
      <c r="KN840" s="15"/>
      <c r="KO840" s="15"/>
      <c r="KP840" s="15"/>
      <c r="KQ840" s="15"/>
      <c r="KR840" s="15"/>
      <c r="KS840" s="15"/>
      <c r="KT840" s="15"/>
      <c r="KU840" s="15"/>
      <c r="KV840" s="15"/>
      <c r="KW840" s="15"/>
      <c r="KX840" s="15"/>
      <c r="KY840" s="15"/>
      <c r="KZ840" s="15"/>
    </row>
    <row r="841" spans="300:312" x14ac:dyDescent="0.3">
      <c r="KN841" s="15"/>
      <c r="KO841" s="15"/>
      <c r="KP841" s="15"/>
      <c r="KQ841" s="15"/>
      <c r="KR841" s="15"/>
      <c r="KS841" s="15"/>
      <c r="KT841" s="15"/>
      <c r="KU841" s="15"/>
      <c r="KV841" s="15"/>
      <c r="KW841" s="15"/>
      <c r="KX841" s="15"/>
      <c r="KY841" s="15"/>
      <c r="KZ841" s="15"/>
    </row>
    <row r="842" spans="300:312" x14ac:dyDescent="0.3">
      <c r="KN842" s="15"/>
      <c r="KO842" s="15"/>
      <c r="KP842" s="15"/>
      <c r="KQ842" s="15"/>
      <c r="KR842" s="15"/>
      <c r="KS842" s="15"/>
      <c r="KT842" s="15"/>
      <c r="KU842" s="15"/>
      <c r="KV842" s="15"/>
      <c r="KW842" s="15"/>
      <c r="KX842" s="15"/>
      <c r="KY842" s="15"/>
      <c r="KZ842" s="15"/>
    </row>
    <row r="843" spans="300:312" x14ac:dyDescent="0.3">
      <c r="KN843" s="15"/>
      <c r="KO843" s="15"/>
      <c r="KP843" s="15"/>
      <c r="KQ843" s="15"/>
      <c r="KR843" s="15"/>
      <c r="KS843" s="15"/>
      <c r="KT843" s="15"/>
      <c r="KU843" s="15"/>
      <c r="KV843" s="15"/>
      <c r="KW843" s="15"/>
      <c r="KX843" s="15"/>
      <c r="KY843" s="15"/>
      <c r="KZ843" s="15"/>
    </row>
    <row r="844" spans="300:312" x14ac:dyDescent="0.3">
      <c r="KN844" s="15"/>
      <c r="KO844" s="15"/>
      <c r="KP844" s="15"/>
      <c r="KQ844" s="15"/>
      <c r="KR844" s="15"/>
      <c r="KS844" s="15"/>
      <c r="KT844" s="15"/>
      <c r="KU844" s="15"/>
      <c r="KV844" s="15"/>
      <c r="KW844" s="15"/>
      <c r="KX844" s="15"/>
      <c r="KY844" s="15"/>
      <c r="KZ844" s="15"/>
    </row>
    <row r="845" spans="300:312" x14ac:dyDescent="0.3">
      <c r="KN845" s="15"/>
      <c r="KO845" s="15"/>
      <c r="KP845" s="15"/>
      <c r="KQ845" s="15"/>
      <c r="KR845" s="15"/>
      <c r="KS845" s="15"/>
      <c r="KT845" s="15"/>
      <c r="KU845" s="15"/>
      <c r="KV845" s="15"/>
      <c r="KW845" s="15"/>
      <c r="KX845" s="15"/>
      <c r="KY845" s="15"/>
      <c r="KZ845" s="15"/>
    </row>
    <row r="846" spans="300:312" x14ac:dyDescent="0.3">
      <c r="KN846" s="15"/>
      <c r="KO846" s="15"/>
      <c r="KP846" s="15"/>
      <c r="KQ846" s="15"/>
      <c r="KR846" s="15"/>
      <c r="KS846" s="15"/>
      <c r="KT846" s="15"/>
      <c r="KU846" s="15"/>
      <c r="KV846" s="15"/>
      <c r="KW846" s="15"/>
      <c r="KX846" s="15"/>
      <c r="KY846" s="15"/>
      <c r="KZ846" s="15"/>
    </row>
    <row r="847" spans="300:312" x14ac:dyDescent="0.3">
      <c r="KN847" s="15"/>
      <c r="KO847" s="15"/>
      <c r="KP847" s="15"/>
      <c r="KQ847" s="15"/>
      <c r="KR847" s="15"/>
      <c r="KS847" s="15"/>
      <c r="KT847" s="15"/>
      <c r="KU847" s="15"/>
      <c r="KV847" s="15"/>
      <c r="KW847" s="15"/>
      <c r="KX847" s="15"/>
      <c r="KY847" s="15"/>
      <c r="KZ847" s="15"/>
    </row>
    <row r="848" spans="300:312" x14ac:dyDescent="0.3">
      <c r="KN848" s="15"/>
      <c r="KO848" s="15"/>
      <c r="KP848" s="15"/>
      <c r="KQ848" s="15"/>
      <c r="KR848" s="15"/>
      <c r="KS848" s="15"/>
      <c r="KT848" s="15"/>
      <c r="KU848" s="15"/>
      <c r="KV848" s="15"/>
      <c r="KW848" s="15"/>
      <c r="KX848" s="15"/>
      <c r="KY848" s="15"/>
      <c r="KZ848" s="15"/>
    </row>
    <row r="849" spans="300:312" x14ac:dyDescent="0.3">
      <c r="KN849" s="15"/>
      <c r="KO849" s="15"/>
      <c r="KP849" s="15"/>
      <c r="KQ849" s="15"/>
      <c r="KR849" s="15"/>
      <c r="KS849" s="15"/>
      <c r="KT849" s="15"/>
      <c r="KU849" s="15"/>
      <c r="KV849" s="15"/>
      <c r="KW849" s="15"/>
      <c r="KX849" s="15"/>
      <c r="KY849" s="15"/>
      <c r="KZ849" s="15"/>
    </row>
    <row r="850" spans="300:312" x14ac:dyDescent="0.3">
      <c r="KN850" s="15"/>
      <c r="KO850" s="15"/>
      <c r="KP850" s="15"/>
      <c r="KQ850" s="15"/>
      <c r="KR850" s="15"/>
      <c r="KS850" s="15"/>
      <c r="KT850" s="15"/>
      <c r="KU850" s="15"/>
      <c r="KV850" s="15"/>
      <c r="KW850" s="15"/>
      <c r="KX850" s="15"/>
      <c r="KY850" s="15"/>
      <c r="KZ850" s="15"/>
    </row>
    <row r="851" spans="300:312" x14ac:dyDescent="0.3">
      <c r="KN851" s="15"/>
      <c r="KO851" s="15"/>
      <c r="KP851" s="15"/>
      <c r="KQ851" s="15"/>
      <c r="KR851" s="15"/>
      <c r="KS851" s="15"/>
      <c r="KT851" s="15"/>
      <c r="KU851" s="15"/>
      <c r="KV851" s="15"/>
      <c r="KW851" s="15"/>
      <c r="KX851" s="15"/>
      <c r="KY851" s="15"/>
      <c r="KZ851" s="15"/>
    </row>
    <row r="852" spans="300:312" x14ac:dyDescent="0.3">
      <c r="KN852" s="15"/>
      <c r="KO852" s="15"/>
      <c r="KP852" s="15"/>
      <c r="KQ852" s="15"/>
      <c r="KR852" s="15"/>
      <c r="KS852" s="15"/>
      <c r="KT852" s="15"/>
      <c r="KU852" s="15"/>
      <c r="KV852" s="15"/>
      <c r="KW852" s="15"/>
      <c r="KX852" s="15"/>
      <c r="KY852" s="15"/>
      <c r="KZ852" s="15"/>
    </row>
    <row r="853" spans="300:312" x14ac:dyDescent="0.3">
      <c r="KN853" s="15"/>
      <c r="KO853" s="15"/>
      <c r="KP853" s="15"/>
      <c r="KQ853" s="15"/>
      <c r="KR853" s="15"/>
      <c r="KS853" s="15"/>
      <c r="KT853" s="15"/>
      <c r="KU853" s="15"/>
      <c r="KV853" s="15"/>
      <c r="KW853" s="15"/>
      <c r="KX853" s="15"/>
      <c r="KY853" s="15"/>
      <c r="KZ853" s="15"/>
    </row>
    <row r="854" spans="300:312" x14ac:dyDescent="0.3">
      <c r="KN854" s="15"/>
      <c r="KO854" s="15"/>
      <c r="KP854" s="15"/>
      <c r="KQ854" s="15"/>
      <c r="KR854" s="15"/>
      <c r="KS854" s="15"/>
      <c r="KT854" s="15"/>
      <c r="KU854" s="15"/>
      <c r="KV854" s="15"/>
      <c r="KW854" s="15"/>
      <c r="KX854" s="15"/>
      <c r="KY854" s="15"/>
      <c r="KZ854" s="15"/>
    </row>
    <row r="855" spans="300:312" x14ac:dyDescent="0.3">
      <c r="KN855" s="15"/>
      <c r="KO855" s="15"/>
      <c r="KP855" s="15"/>
      <c r="KQ855" s="15"/>
      <c r="KR855" s="15"/>
      <c r="KS855" s="15"/>
      <c r="KT855" s="15"/>
      <c r="KU855" s="15"/>
      <c r="KV855" s="15"/>
      <c r="KW855" s="15"/>
      <c r="KX855" s="15"/>
      <c r="KY855" s="15"/>
      <c r="KZ855" s="15"/>
    </row>
    <row r="856" spans="300:312" x14ac:dyDescent="0.3">
      <c r="KN856" s="15"/>
      <c r="KO856" s="15"/>
      <c r="KP856" s="15"/>
      <c r="KQ856" s="15"/>
      <c r="KR856" s="15"/>
      <c r="KS856" s="15"/>
      <c r="KT856" s="15"/>
      <c r="KU856" s="15"/>
      <c r="KV856" s="15"/>
      <c r="KW856" s="15"/>
      <c r="KX856" s="15"/>
      <c r="KY856" s="15"/>
      <c r="KZ856" s="15"/>
    </row>
    <row r="857" spans="300:312" x14ac:dyDescent="0.3">
      <c r="KN857" s="15"/>
      <c r="KO857" s="15"/>
      <c r="KP857" s="15"/>
      <c r="KQ857" s="15"/>
      <c r="KR857" s="15"/>
      <c r="KS857" s="15"/>
      <c r="KT857" s="15"/>
      <c r="KU857" s="15"/>
      <c r="KV857" s="15"/>
      <c r="KW857" s="15"/>
      <c r="KX857" s="15"/>
      <c r="KY857" s="15"/>
      <c r="KZ857" s="15"/>
    </row>
    <row r="858" spans="300:312" x14ac:dyDescent="0.3">
      <c r="KN858" s="15"/>
      <c r="KO858" s="15"/>
      <c r="KP858" s="15"/>
      <c r="KQ858" s="15"/>
      <c r="KR858" s="15"/>
      <c r="KS858" s="15"/>
      <c r="KT858" s="15"/>
      <c r="KU858" s="15"/>
      <c r="KV858" s="15"/>
      <c r="KW858" s="15"/>
      <c r="KX858" s="15"/>
      <c r="KY858" s="15"/>
      <c r="KZ858" s="15"/>
    </row>
    <row r="859" spans="300:312" x14ac:dyDescent="0.3">
      <c r="KN859" s="15"/>
      <c r="KO859" s="15"/>
      <c r="KP859" s="15"/>
      <c r="KQ859" s="15"/>
      <c r="KR859" s="15"/>
      <c r="KS859" s="15"/>
      <c r="KT859" s="15"/>
      <c r="KU859" s="15"/>
      <c r="KV859" s="15"/>
      <c r="KW859" s="15"/>
      <c r="KX859" s="15"/>
      <c r="KY859" s="15"/>
      <c r="KZ859" s="15"/>
    </row>
    <row r="860" spans="300:312" x14ac:dyDescent="0.3">
      <c r="KN860" s="15"/>
      <c r="KO860" s="15"/>
      <c r="KP860" s="15"/>
      <c r="KQ860" s="15"/>
      <c r="KR860" s="15"/>
      <c r="KS860" s="15"/>
      <c r="KT860" s="15"/>
      <c r="KU860" s="15"/>
      <c r="KV860" s="15"/>
      <c r="KW860" s="15"/>
      <c r="KX860" s="15"/>
      <c r="KY860" s="15"/>
      <c r="KZ860" s="15"/>
    </row>
    <row r="861" spans="300:312" x14ac:dyDescent="0.3">
      <c r="KN861" s="15"/>
      <c r="KO861" s="15"/>
      <c r="KP861" s="15"/>
      <c r="KQ861" s="15"/>
      <c r="KR861" s="15"/>
      <c r="KS861" s="15"/>
      <c r="KT861" s="15"/>
      <c r="KU861" s="15"/>
      <c r="KV861" s="15"/>
      <c r="KW861" s="15"/>
      <c r="KX861" s="15"/>
      <c r="KY861" s="15"/>
      <c r="KZ861" s="15"/>
    </row>
    <row r="862" spans="300:312" x14ac:dyDescent="0.3">
      <c r="KN862" s="15"/>
      <c r="KO862" s="15"/>
      <c r="KP862" s="15"/>
      <c r="KQ862" s="15"/>
      <c r="KR862" s="15"/>
      <c r="KS862" s="15"/>
      <c r="KT862" s="15"/>
      <c r="KU862" s="15"/>
      <c r="KV862" s="15"/>
      <c r="KW862" s="15"/>
      <c r="KX862" s="15"/>
      <c r="KY862" s="15"/>
      <c r="KZ862" s="15"/>
    </row>
    <row r="863" spans="300:312" x14ac:dyDescent="0.3">
      <c r="KN863" s="15"/>
      <c r="KO863" s="15"/>
      <c r="KP863" s="15"/>
      <c r="KQ863" s="15"/>
      <c r="KR863" s="15"/>
      <c r="KS863" s="15"/>
      <c r="KT863" s="15"/>
      <c r="KU863" s="15"/>
      <c r="KV863" s="15"/>
      <c r="KW863" s="15"/>
      <c r="KX863" s="15"/>
      <c r="KY863" s="15"/>
      <c r="KZ863" s="15"/>
    </row>
    <row r="864" spans="300:312" x14ac:dyDescent="0.3">
      <c r="KN864" s="15"/>
      <c r="KO864" s="15"/>
      <c r="KP864" s="15"/>
      <c r="KQ864" s="15"/>
      <c r="KR864" s="15"/>
      <c r="KS864" s="15"/>
      <c r="KT864" s="15"/>
      <c r="KU864" s="15"/>
      <c r="KV864" s="15"/>
      <c r="KW864" s="15"/>
      <c r="KX864" s="15"/>
      <c r="KY864" s="15"/>
      <c r="KZ864" s="15"/>
    </row>
    <row r="865" spans="300:312" x14ac:dyDescent="0.3">
      <c r="KN865" s="15"/>
      <c r="KO865" s="15"/>
      <c r="KP865" s="15"/>
      <c r="KQ865" s="15"/>
      <c r="KR865" s="15"/>
      <c r="KS865" s="15"/>
      <c r="KT865" s="15"/>
      <c r="KU865" s="15"/>
      <c r="KV865" s="15"/>
      <c r="KW865" s="15"/>
      <c r="KX865" s="15"/>
      <c r="KY865" s="15"/>
      <c r="KZ865" s="15"/>
    </row>
    <row r="866" spans="300:312" x14ac:dyDescent="0.3">
      <c r="KN866" s="15"/>
      <c r="KO866" s="15"/>
      <c r="KP866" s="15"/>
      <c r="KQ866" s="15"/>
      <c r="KR866" s="15"/>
      <c r="KS866" s="15"/>
      <c r="KT866" s="15"/>
      <c r="KU866" s="15"/>
      <c r="KV866" s="15"/>
      <c r="KW866" s="15"/>
      <c r="KX866" s="15"/>
      <c r="KY866" s="15"/>
      <c r="KZ866" s="15"/>
    </row>
    <row r="867" spans="300:312" x14ac:dyDescent="0.3">
      <c r="KN867" s="15"/>
      <c r="KO867" s="15"/>
      <c r="KP867" s="15"/>
      <c r="KQ867" s="15"/>
      <c r="KR867" s="15"/>
      <c r="KS867" s="15"/>
      <c r="KT867" s="15"/>
      <c r="KU867" s="15"/>
      <c r="KV867" s="15"/>
      <c r="KW867" s="15"/>
      <c r="KX867" s="15"/>
      <c r="KY867" s="15"/>
      <c r="KZ867" s="15"/>
    </row>
    <row r="868" spans="300:312" x14ac:dyDescent="0.3">
      <c r="KN868" s="15"/>
      <c r="KO868" s="15"/>
      <c r="KP868" s="15"/>
      <c r="KQ868" s="15"/>
      <c r="KR868" s="15"/>
      <c r="KS868" s="15"/>
      <c r="KT868" s="15"/>
      <c r="KU868" s="15"/>
      <c r="KV868" s="15"/>
      <c r="KW868" s="15"/>
      <c r="KX868" s="15"/>
      <c r="KY868" s="15"/>
      <c r="KZ868" s="15"/>
    </row>
    <row r="869" spans="300:312" x14ac:dyDescent="0.3">
      <c r="KN869" s="15"/>
      <c r="KO869" s="15"/>
      <c r="KP869" s="15"/>
      <c r="KQ869" s="15"/>
      <c r="KR869" s="15"/>
      <c r="KS869" s="15"/>
      <c r="KT869" s="15"/>
      <c r="KU869" s="15"/>
      <c r="KV869" s="15"/>
      <c r="KW869" s="15"/>
      <c r="KX869" s="15"/>
      <c r="KY869" s="15"/>
      <c r="KZ869" s="15"/>
    </row>
    <row r="870" spans="300:312" x14ac:dyDescent="0.3">
      <c r="KN870" s="15"/>
      <c r="KO870" s="15"/>
      <c r="KP870" s="15"/>
      <c r="KQ870" s="15"/>
      <c r="KR870" s="15"/>
      <c r="KS870" s="15"/>
      <c r="KT870" s="15"/>
      <c r="KU870" s="15"/>
      <c r="KV870" s="15"/>
      <c r="KW870" s="15"/>
      <c r="KX870" s="15"/>
      <c r="KY870" s="15"/>
      <c r="KZ870" s="15"/>
    </row>
    <row r="871" spans="300:312" x14ac:dyDescent="0.3">
      <c r="KN871" s="15"/>
      <c r="KO871" s="15"/>
      <c r="KP871" s="15"/>
      <c r="KQ871" s="15"/>
      <c r="KR871" s="15"/>
      <c r="KS871" s="15"/>
      <c r="KT871" s="15"/>
      <c r="KU871" s="15"/>
      <c r="KV871" s="15"/>
      <c r="KW871" s="15"/>
      <c r="KX871" s="15"/>
      <c r="KY871" s="15"/>
      <c r="KZ871" s="15"/>
    </row>
    <row r="872" spans="300:312" x14ac:dyDescent="0.3">
      <c r="KN872" s="15"/>
      <c r="KO872" s="15"/>
      <c r="KP872" s="15"/>
      <c r="KQ872" s="15"/>
      <c r="KR872" s="15"/>
      <c r="KS872" s="15"/>
      <c r="KT872" s="15"/>
      <c r="KU872" s="15"/>
      <c r="KV872" s="15"/>
      <c r="KW872" s="15"/>
      <c r="KX872" s="15"/>
      <c r="KY872" s="15"/>
      <c r="KZ872" s="15"/>
    </row>
    <row r="873" spans="300:312" x14ac:dyDescent="0.3">
      <c r="KN873" s="15"/>
      <c r="KO873" s="15"/>
      <c r="KP873" s="15"/>
      <c r="KQ873" s="15"/>
      <c r="KR873" s="15"/>
      <c r="KS873" s="15"/>
      <c r="KT873" s="15"/>
      <c r="KU873" s="15"/>
      <c r="KV873" s="15"/>
      <c r="KW873" s="15"/>
      <c r="KX873" s="15"/>
      <c r="KY873" s="15"/>
      <c r="KZ873" s="15"/>
    </row>
    <row r="874" spans="300:312" x14ac:dyDescent="0.3">
      <c r="KN874" s="15"/>
      <c r="KO874" s="15"/>
      <c r="KP874" s="15"/>
      <c r="KQ874" s="15"/>
      <c r="KR874" s="15"/>
      <c r="KS874" s="15"/>
      <c r="KT874" s="15"/>
      <c r="KU874" s="15"/>
      <c r="KV874" s="15"/>
      <c r="KW874" s="15"/>
      <c r="KX874" s="15"/>
      <c r="KY874" s="15"/>
      <c r="KZ874" s="15"/>
    </row>
    <row r="875" spans="300:312" x14ac:dyDescent="0.3">
      <c r="KN875" s="15"/>
      <c r="KO875" s="15"/>
      <c r="KP875" s="15"/>
      <c r="KQ875" s="15"/>
      <c r="KR875" s="15"/>
      <c r="KS875" s="15"/>
      <c r="KT875" s="15"/>
      <c r="KU875" s="15"/>
      <c r="KV875" s="15"/>
      <c r="KW875" s="15"/>
      <c r="KX875" s="15"/>
      <c r="KY875" s="15"/>
      <c r="KZ875" s="15"/>
    </row>
    <row r="876" spans="300:312" x14ac:dyDescent="0.3">
      <c r="KN876" s="15"/>
      <c r="KO876" s="15"/>
      <c r="KP876" s="15"/>
      <c r="KQ876" s="15"/>
      <c r="KR876" s="15"/>
      <c r="KS876" s="15"/>
      <c r="KT876" s="15"/>
      <c r="KU876" s="15"/>
      <c r="KV876" s="15"/>
      <c r="KW876" s="15"/>
      <c r="KX876" s="15"/>
      <c r="KY876" s="15"/>
      <c r="KZ876" s="15"/>
    </row>
    <row r="877" spans="300:312" x14ac:dyDescent="0.3">
      <c r="KN877" s="15"/>
      <c r="KO877" s="15"/>
      <c r="KP877" s="15"/>
      <c r="KQ877" s="15"/>
      <c r="KR877" s="15"/>
      <c r="KS877" s="15"/>
      <c r="KT877" s="15"/>
      <c r="KU877" s="15"/>
      <c r="KV877" s="15"/>
      <c r="KW877" s="15"/>
      <c r="KX877" s="15"/>
      <c r="KY877" s="15"/>
      <c r="KZ877" s="15"/>
    </row>
    <row r="878" spans="300:312" x14ac:dyDescent="0.3">
      <c r="KN878" s="15"/>
      <c r="KO878" s="15"/>
      <c r="KP878" s="15"/>
      <c r="KQ878" s="15"/>
      <c r="KR878" s="15"/>
      <c r="KS878" s="15"/>
      <c r="KT878" s="15"/>
      <c r="KU878" s="15"/>
      <c r="KV878" s="15"/>
      <c r="KW878" s="15"/>
      <c r="KX878" s="15"/>
      <c r="KY878" s="15"/>
      <c r="KZ878" s="15"/>
    </row>
    <row r="879" spans="300:312" x14ac:dyDescent="0.3">
      <c r="KN879" s="15"/>
      <c r="KO879" s="15"/>
      <c r="KP879" s="15"/>
      <c r="KQ879" s="15"/>
      <c r="KR879" s="15"/>
      <c r="KS879" s="15"/>
      <c r="KT879" s="15"/>
      <c r="KU879" s="15"/>
      <c r="KV879" s="15"/>
      <c r="KW879" s="15"/>
      <c r="KX879" s="15"/>
      <c r="KY879" s="15"/>
      <c r="KZ879" s="15"/>
    </row>
    <row r="880" spans="300:312" x14ac:dyDescent="0.3">
      <c r="KN880" s="15"/>
      <c r="KO880" s="15"/>
      <c r="KP880" s="15"/>
      <c r="KQ880" s="15"/>
      <c r="KR880" s="15"/>
      <c r="KS880" s="15"/>
      <c r="KT880" s="15"/>
      <c r="KU880" s="15"/>
      <c r="KV880" s="15"/>
      <c r="KW880" s="15"/>
      <c r="KX880" s="15"/>
      <c r="KY880" s="15"/>
      <c r="KZ880" s="15"/>
    </row>
    <row r="881" spans="300:312" x14ac:dyDescent="0.3">
      <c r="KN881" s="15"/>
      <c r="KO881" s="15"/>
      <c r="KP881" s="15"/>
      <c r="KQ881" s="15"/>
      <c r="KR881" s="15"/>
      <c r="KS881" s="15"/>
      <c r="KT881" s="15"/>
      <c r="KU881" s="15"/>
      <c r="KV881" s="15"/>
      <c r="KW881" s="15"/>
      <c r="KX881" s="15"/>
      <c r="KY881" s="15"/>
      <c r="KZ881" s="15"/>
    </row>
    <row r="882" spans="300:312" x14ac:dyDescent="0.3">
      <c r="KN882" s="15"/>
      <c r="KO882" s="15"/>
      <c r="KP882" s="15"/>
      <c r="KQ882" s="15"/>
      <c r="KR882" s="15"/>
      <c r="KS882" s="15"/>
      <c r="KT882" s="15"/>
      <c r="KU882" s="15"/>
      <c r="KV882" s="15"/>
      <c r="KW882" s="15"/>
      <c r="KX882" s="15"/>
      <c r="KY882" s="15"/>
      <c r="KZ882" s="15"/>
    </row>
    <row r="883" spans="300:312" x14ac:dyDescent="0.3">
      <c r="KN883" s="15"/>
      <c r="KO883" s="15"/>
      <c r="KP883" s="15"/>
      <c r="KQ883" s="15"/>
      <c r="KR883" s="15"/>
      <c r="KS883" s="15"/>
      <c r="KT883" s="15"/>
      <c r="KU883" s="15"/>
      <c r="KV883" s="15"/>
      <c r="KW883" s="15"/>
      <c r="KX883" s="15"/>
      <c r="KY883" s="15"/>
      <c r="KZ883" s="15"/>
    </row>
    <row r="884" spans="300:312" x14ac:dyDescent="0.3">
      <c r="KN884" s="15"/>
      <c r="KO884" s="15"/>
      <c r="KP884" s="15"/>
      <c r="KQ884" s="15"/>
      <c r="KR884" s="15"/>
      <c r="KS884" s="15"/>
      <c r="KT884" s="15"/>
      <c r="KU884" s="15"/>
      <c r="KV884" s="15"/>
      <c r="KW884" s="15"/>
      <c r="KX884" s="15"/>
      <c r="KY884" s="15"/>
      <c r="KZ884" s="15"/>
    </row>
    <row r="885" spans="300:312" x14ac:dyDescent="0.3">
      <c r="KN885" s="15"/>
      <c r="KO885" s="15"/>
      <c r="KP885" s="15"/>
      <c r="KQ885" s="15"/>
      <c r="KR885" s="15"/>
      <c r="KS885" s="15"/>
      <c r="KT885" s="15"/>
      <c r="KU885" s="15"/>
      <c r="KV885" s="15"/>
      <c r="KW885" s="15"/>
      <c r="KX885" s="15"/>
      <c r="KY885" s="15"/>
      <c r="KZ885" s="15"/>
    </row>
    <row r="886" spans="300:312" x14ac:dyDescent="0.3">
      <c r="KN886" s="15"/>
      <c r="KO886" s="15"/>
      <c r="KP886" s="15"/>
      <c r="KQ886" s="15"/>
      <c r="KR886" s="15"/>
      <c r="KS886" s="15"/>
      <c r="KT886" s="15"/>
      <c r="KU886" s="15"/>
      <c r="KV886" s="15"/>
      <c r="KW886" s="15"/>
      <c r="KX886" s="15"/>
      <c r="KY886" s="15"/>
      <c r="KZ886" s="15"/>
    </row>
    <row r="887" spans="300:312" x14ac:dyDescent="0.3">
      <c r="KN887" s="15"/>
      <c r="KO887" s="15"/>
      <c r="KP887" s="15"/>
      <c r="KQ887" s="15"/>
      <c r="KR887" s="15"/>
      <c r="KS887" s="15"/>
      <c r="KT887" s="15"/>
      <c r="KU887" s="15"/>
      <c r="KV887" s="15"/>
      <c r="KW887" s="15"/>
      <c r="KX887" s="15"/>
      <c r="KY887" s="15"/>
      <c r="KZ887" s="15"/>
    </row>
    <row r="888" spans="300:312" x14ac:dyDescent="0.3">
      <c r="KN888" s="15"/>
      <c r="KO888" s="15"/>
      <c r="KP888" s="15"/>
      <c r="KQ888" s="15"/>
      <c r="KR888" s="15"/>
      <c r="KS888" s="15"/>
      <c r="KT888" s="15"/>
      <c r="KU888" s="15"/>
      <c r="KV888" s="15"/>
      <c r="KW888" s="15"/>
      <c r="KX888" s="15"/>
      <c r="KY888" s="15"/>
      <c r="KZ888" s="15"/>
    </row>
    <row r="889" spans="300:312" x14ac:dyDescent="0.3">
      <c r="KN889" s="15"/>
      <c r="KO889" s="15"/>
      <c r="KP889" s="15"/>
      <c r="KQ889" s="15"/>
      <c r="KR889" s="15"/>
      <c r="KS889" s="15"/>
      <c r="KT889" s="15"/>
      <c r="KU889" s="15"/>
      <c r="KV889" s="15"/>
      <c r="KW889" s="15"/>
      <c r="KX889" s="15"/>
      <c r="KY889" s="15"/>
      <c r="KZ889" s="15"/>
    </row>
    <row r="890" spans="300:312" x14ac:dyDescent="0.3">
      <c r="KN890" s="15"/>
      <c r="KO890" s="15"/>
      <c r="KP890" s="15"/>
      <c r="KQ890" s="15"/>
      <c r="KR890" s="15"/>
      <c r="KS890" s="15"/>
      <c r="KT890" s="15"/>
      <c r="KU890" s="15"/>
      <c r="KV890" s="15"/>
      <c r="KW890" s="15"/>
      <c r="KX890" s="15"/>
      <c r="KY890" s="15"/>
      <c r="KZ890" s="15"/>
    </row>
    <row r="891" spans="300:312" x14ac:dyDescent="0.3">
      <c r="KN891" s="15"/>
      <c r="KO891" s="15"/>
      <c r="KP891" s="15"/>
      <c r="KQ891" s="15"/>
      <c r="KR891" s="15"/>
      <c r="KS891" s="15"/>
      <c r="KT891" s="15"/>
      <c r="KU891" s="15"/>
      <c r="KV891" s="15"/>
      <c r="KW891" s="15"/>
      <c r="KX891" s="15"/>
      <c r="KY891" s="15"/>
      <c r="KZ891" s="15"/>
    </row>
    <row r="892" spans="300:312" x14ac:dyDescent="0.3">
      <c r="KN892" s="15"/>
      <c r="KO892" s="15"/>
      <c r="KP892" s="15"/>
      <c r="KQ892" s="15"/>
      <c r="KR892" s="15"/>
      <c r="KS892" s="15"/>
      <c r="KT892" s="15"/>
      <c r="KU892" s="15"/>
      <c r="KV892" s="15"/>
      <c r="KW892" s="15"/>
      <c r="KX892" s="15"/>
      <c r="KY892" s="15"/>
      <c r="KZ892" s="15"/>
    </row>
    <row r="893" spans="300:312" x14ac:dyDescent="0.3">
      <c r="KN893" s="15"/>
      <c r="KO893" s="15"/>
      <c r="KP893" s="15"/>
      <c r="KQ893" s="15"/>
      <c r="KR893" s="15"/>
      <c r="KS893" s="15"/>
      <c r="KT893" s="15"/>
      <c r="KU893" s="15"/>
      <c r="KV893" s="15"/>
      <c r="KW893" s="15"/>
      <c r="KX893" s="15"/>
      <c r="KY893" s="15"/>
      <c r="KZ893" s="15"/>
    </row>
    <row r="894" spans="300:312" x14ac:dyDescent="0.3">
      <c r="KN894" s="15"/>
      <c r="KO894" s="15"/>
      <c r="KP894" s="15"/>
      <c r="KQ894" s="15"/>
      <c r="KR894" s="15"/>
      <c r="KS894" s="15"/>
      <c r="KT894" s="15"/>
      <c r="KU894" s="15"/>
      <c r="KV894" s="15"/>
      <c r="KW894" s="15"/>
      <c r="KX894" s="15"/>
      <c r="KY894" s="15"/>
      <c r="KZ894" s="15"/>
    </row>
    <row r="895" spans="300:312" x14ac:dyDescent="0.3">
      <c r="KN895" s="15"/>
      <c r="KO895" s="15"/>
      <c r="KP895" s="15"/>
      <c r="KQ895" s="15"/>
      <c r="KR895" s="15"/>
      <c r="KS895" s="15"/>
      <c r="KT895" s="15"/>
      <c r="KU895" s="15"/>
      <c r="KV895" s="15"/>
      <c r="KW895" s="15"/>
      <c r="KX895" s="15"/>
      <c r="KY895" s="15"/>
      <c r="KZ895" s="15"/>
    </row>
    <row r="896" spans="300:312" x14ac:dyDescent="0.3">
      <c r="KN896" s="15"/>
      <c r="KO896" s="15"/>
      <c r="KP896" s="15"/>
      <c r="KQ896" s="15"/>
      <c r="KR896" s="15"/>
      <c r="KS896" s="15"/>
      <c r="KT896" s="15"/>
      <c r="KU896" s="15"/>
      <c r="KV896" s="15"/>
      <c r="KW896" s="15"/>
      <c r="KX896" s="15"/>
      <c r="KY896" s="15"/>
      <c r="KZ896" s="15"/>
    </row>
    <row r="897" spans="300:312" x14ac:dyDescent="0.3">
      <c r="KN897" s="15"/>
      <c r="KO897" s="15"/>
      <c r="KP897" s="15"/>
      <c r="KQ897" s="15"/>
      <c r="KR897" s="15"/>
      <c r="KS897" s="15"/>
      <c r="KT897" s="15"/>
      <c r="KU897" s="15"/>
      <c r="KV897" s="15"/>
      <c r="KW897" s="15"/>
      <c r="KX897" s="15"/>
      <c r="KY897" s="15"/>
      <c r="KZ897" s="15"/>
    </row>
    <row r="898" spans="300:312" x14ac:dyDescent="0.3">
      <c r="KN898" s="15"/>
      <c r="KO898" s="15"/>
      <c r="KP898" s="15"/>
      <c r="KQ898" s="15"/>
      <c r="KR898" s="15"/>
      <c r="KS898" s="15"/>
      <c r="KT898" s="15"/>
      <c r="KU898" s="15"/>
      <c r="KV898" s="15"/>
      <c r="KW898" s="15"/>
      <c r="KX898" s="15"/>
      <c r="KY898" s="15"/>
      <c r="KZ898" s="15"/>
    </row>
    <row r="899" spans="300:312" x14ac:dyDescent="0.3">
      <c r="KN899" s="15"/>
      <c r="KO899" s="15"/>
      <c r="KP899" s="15"/>
      <c r="KQ899" s="15"/>
      <c r="KR899" s="15"/>
      <c r="KS899" s="15"/>
      <c r="KT899" s="15"/>
      <c r="KU899" s="15"/>
      <c r="KV899" s="15"/>
      <c r="KW899" s="15"/>
      <c r="KX899" s="15"/>
      <c r="KY899" s="15"/>
      <c r="KZ899" s="15"/>
    </row>
    <row r="900" spans="300:312" x14ac:dyDescent="0.3">
      <c r="KN900" s="15"/>
      <c r="KO900" s="15"/>
      <c r="KP900" s="15"/>
      <c r="KQ900" s="15"/>
      <c r="KR900" s="15"/>
      <c r="KS900" s="15"/>
      <c r="KT900" s="15"/>
      <c r="KU900" s="15"/>
      <c r="KV900" s="15"/>
      <c r="KW900" s="15"/>
      <c r="KX900" s="15"/>
      <c r="KY900" s="15"/>
      <c r="KZ900" s="15"/>
    </row>
    <row r="901" spans="300:312" x14ac:dyDescent="0.3">
      <c r="KN901" s="15"/>
      <c r="KO901" s="15"/>
      <c r="KP901" s="15"/>
      <c r="KQ901" s="15"/>
      <c r="KR901" s="15"/>
      <c r="KS901" s="15"/>
      <c r="KT901" s="15"/>
      <c r="KU901" s="15"/>
      <c r="KV901" s="15"/>
      <c r="KW901" s="15"/>
      <c r="KX901" s="15"/>
      <c r="KY901" s="15"/>
      <c r="KZ901" s="15"/>
    </row>
    <row r="902" spans="300:312" x14ac:dyDescent="0.3">
      <c r="KN902" s="15"/>
      <c r="KO902" s="15"/>
      <c r="KP902" s="15"/>
      <c r="KQ902" s="15"/>
      <c r="KR902" s="15"/>
      <c r="KS902" s="15"/>
      <c r="KT902" s="15"/>
      <c r="KU902" s="15"/>
      <c r="KV902" s="15"/>
      <c r="KW902" s="15"/>
      <c r="KX902" s="15"/>
      <c r="KY902" s="15"/>
      <c r="KZ902" s="15"/>
    </row>
    <row r="903" spans="300:312" x14ac:dyDescent="0.3">
      <c r="KN903" s="15"/>
      <c r="KO903" s="15"/>
      <c r="KP903" s="15"/>
      <c r="KQ903" s="15"/>
      <c r="KR903" s="15"/>
      <c r="KS903" s="15"/>
      <c r="KT903" s="15"/>
      <c r="KU903" s="15"/>
      <c r="KV903" s="15"/>
      <c r="KW903" s="15"/>
      <c r="KX903" s="15"/>
      <c r="KY903" s="15"/>
      <c r="KZ903" s="15"/>
    </row>
    <row r="904" spans="300:312" x14ac:dyDescent="0.3">
      <c r="KN904" s="15"/>
      <c r="KO904" s="15"/>
      <c r="KP904" s="15"/>
      <c r="KQ904" s="15"/>
      <c r="KR904" s="15"/>
      <c r="KS904" s="15"/>
      <c r="KT904" s="15"/>
      <c r="KU904" s="15"/>
      <c r="KV904" s="15"/>
      <c r="KW904" s="15"/>
      <c r="KX904" s="15"/>
      <c r="KY904" s="15"/>
      <c r="KZ904" s="15"/>
    </row>
    <row r="905" spans="300:312" x14ac:dyDescent="0.3">
      <c r="KN905" s="15"/>
      <c r="KO905" s="15"/>
      <c r="KP905" s="15"/>
      <c r="KQ905" s="15"/>
      <c r="KR905" s="15"/>
      <c r="KS905" s="15"/>
      <c r="KT905" s="15"/>
      <c r="KU905" s="15"/>
      <c r="KV905" s="15"/>
      <c r="KW905" s="15"/>
      <c r="KX905" s="15"/>
      <c r="KY905" s="15"/>
      <c r="KZ905" s="15"/>
    </row>
    <row r="906" spans="300:312" x14ac:dyDescent="0.3">
      <c r="KN906" s="15"/>
      <c r="KO906" s="15"/>
      <c r="KP906" s="15"/>
      <c r="KQ906" s="15"/>
      <c r="KR906" s="15"/>
      <c r="KS906" s="15"/>
      <c r="KT906" s="15"/>
      <c r="KU906" s="15"/>
      <c r="KV906" s="15"/>
      <c r="KW906" s="15"/>
      <c r="KX906" s="15"/>
      <c r="KY906" s="15"/>
      <c r="KZ906" s="15"/>
    </row>
    <row r="907" spans="300:312" x14ac:dyDescent="0.3">
      <c r="KN907" s="15"/>
      <c r="KO907" s="15"/>
      <c r="KP907" s="15"/>
      <c r="KQ907" s="15"/>
      <c r="KR907" s="15"/>
      <c r="KS907" s="15"/>
      <c r="KT907" s="15"/>
      <c r="KU907" s="15"/>
      <c r="KV907" s="15"/>
      <c r="KW907" s="15"/>
      <c r="KX907" s="15"/>
      <c r="KY907" s="15"/>
      <c r="KZ907" s="15"/>
    </row>
    <row r="908" spans="300:312" x14ac:dyDescent="0.3">
      <c r="KN908" s="15"/>
      <c r="KO908" s="15"/>
      <c r="KP908" s="15"/>
      <c r="KQ908" s="15"/>
      <c r="KR908" s="15"/>
      <c r="KS908" s="15"/>
      <c r="KT908" s="15"/>
      <c r="KU908" s="15"/>
      <c r="KV908" s="15"/>
      <c r="KW908" s="15"/>
      <c r="KX908" s="15"/>
      <c r="KY908" s="15"/>
      <c r="KZ908" s="15"/>
    </row>
    <row r="909" spans="300:312" x14ac:dyDescent="0.3">
      <c r="KN909" s="15"/>
      <c r="KO909" s="15"/>
      <c r="KP909" s="15"/>
      <c r="KQ909" s="15"/>
      <c r="KR909" s="15"/>
      <c r="KS909" s="15"/>
      <c r="KT909" s="15"/>
      <c r="KU909" s="15"/>
      <c r="KV909" s="15"/>
      <c r="KW909" s="15"/>
      <c r="KX909" s="15"/>
      <c r="KY909" s="15"/>
      <c r="KZ909" s="15"/>
    </row>
    <row r="910" spans="300:312" x14ac:dyDescent="0.3">
      <c r="KN910" s="15"/>
      <c r="KO910" s="15"/>
      <c r="KP910" s="15"/>
      <c r="KQ910" s="15"/>
      <c r="KR910" s="15"/>
      <c r="KS910" s="15"/>
      <c r="KT910" s="15"/>
      <c r="KU910" s="15"/>
      <c r="KV910" s="15"/>
      <c r="KW910" s="15"/>
      <c r="KX910" s="15"/>
      <c r="KY910" s="15"/>
      <c r="KZ910" s="15"/>
    </row>
    <row r="911" spans="300:312" x14ac:dyDescent="0.3">
      <c r="KN911" s="15"/>
      <c r="KO911" s="15"/>
      <c r="KP911" s="15"/>
      <c r="KQ911" s="15"/>
      <c r="KR911" s="15"/>
      <c r="KS911" s="15"/>
      <c r="KT911" s="15"/>
      <c r="KU911" s="15"/>
      <c r="KV911" s="15"/>
      <c r="KW911" s="15"/>
      <c r="KX911" s="15"/>
      <c r="KY911" s="15"/>
      <c r="KZ911" s="15"/>
    </row>
    <row r="912" spans="300:312" x14ac:dyDescent="0.3">
      <c r="KN912" s="15"/>
      <c r="KO912" s="15"/>
      <c r="KP912" s="15"/>
      <c r="KQ912" s="15"/>
      <c r="KR912" s="15"/>
      <c r="KS912" s="15"/>
      <c r="KT912" s="15"/>
      <c r="KU912" s="15"/>
      <c r="KV912" s="15"/>
      <c r="KW912" s="15"/>
      <c r="KX912" s="15"/>
      <c r="KY912" s="15"/>
      <c r="KZ912" s="15"/>
    </row>
    <row r="913" spans="300:312" x14ac:dyDescent="0.3">
      <c r="KN913" s="15"/>
      <c r="KO913" s="15"/>
      <c r="KP913" s="15"/>
      <c r="KQ913" s="15"/>
      <c r="KR913" s="15"/>
      <c r="KS913" s="15"/>
      <c r="KT913" s="15"/>
      <c r="KU913" s="15"/>
      <c r="KV913" s="15"/>
      <c r="KW913" s="15"/>
      <c r="KX913" s="15"/>
      <c r="KY913" s="15"/>
      <c r="KZ913" s="15"/>
    </row>
    <row r="914" spans="300:312" x14ac:dyDescent="0.3">
      <c r="KN914" s="15"/>
      <c r="KO914" s="15"/>
      <c r="KP914" s="15"/>
      <c r="KQ914" s="15"/>
      <c r="KR914" s="15"/>
      <c r="KS914" s="15"/>
      <c r="KT914" s="15"/>
      <c r="KU914" s="15"/>
      <c r="KV914" s="15"/>
      <c r="KW914" s="15"/>
      <c r="KX914" s="15"/>
      <c r="KY914" s="15"/>
      <c r="KZ914" s="15"/>
    </row>
    <row r="915" spans="300:312" x14ac:dyDescent="0.3">
      <c r="KN915" s="15"/>
      <c r="KO915" s="15"/>
      <c r="KP915" s="15"/>
      <c r="KQ915" s="15"/>
      <c r="KR915" s="15"/>
      <c r="KS915" s="15"/>
      <c r="KT915" s="15"/>
      <c r="KU915" s="15"/>
      <c r="KV915" s="15"/>
      <c r="KW915" s="15"/>
      <c r="KX915" s="15"/>
      <c r="KY915" s="15"/>
      <c r="KZ915" s="15"/>
    </row>
    <row r="916" spans="300:312" x14ac:dyDescent="0.3">
      <c r="KN916" s="15"/>
      <c r="KO916" s="15"/>
      <c r="KP916" s="15"/>
      <c r="KQ916" s="15"/>
      <c r="KR916" s="15"/>
      <c r="KS916" s="15"/>
      <c r="KT916" s="15"/>
      <c r="KU916" s="15"/>
      <c r="KV916" s="15"/>
      <c r="KW916" s="15"/>
      <c r="KX916" s="15"/>
      <c r="KY916" s="15"/>
      <c r="KZ916" s="15"/>
    </row>
    <row r="917" spans="300:312" x14ac:dyDescent="0.3">
      <c r="KN917" s="15"/>
      <c r="KO917" s="15"/>
      <c r="KP917" s="15"/>
      <c r="KQ917" s="15"/>
      <c r="KR917" s="15"/>
      <c r="KS917" s="15"/>
      <c r="KT917" s="15"/>
      <c r="KU917" s="15"/>
      <c r="KV917" s="15"/>
      <c r="KW917" s="15"/>
      <c r="KX917" s="15"/>
      <c r="KY917" s="15"/>
      <c r="KZ917" s="15"/>
    </row>
    <row r="918" spans="300:312" x14ac:dyDescent="0.3">
      <c r="KN918" s="15"/>
      <c r="KO918" s="15"/>
      <c r="KP918" s="15"/>
      <c r="KQ918" s="15"/>
      <c r="KR918" s="15"/>
      <c r="KS918" s="15"/>
      <c r="KT918" s="15"/>
      <c r="KU918" s="15"/>
      <c r="KV918" s="15"/>
      <c r="KW918" s="15"/>
      <c r="KX918" s="15"/>
      <c r="KY918" s="15"/>
      <c r="KZ918" s="15"/>
    </row>
    <row r="919" spans="300:312" x14ac:dyDescent="0.3">
      <c r="KN919" s="15"/>
      <c r="KO919" s="15"/>
      <c r="KP919" s="15"/>
      <c r="KQ919" s="15"/>
      <c r="KR919" s="15"/>
      <c r="KS919" s="15"/>
      <c r="KT919" s="15"/>
      <c r="KU919" s="15"/>
      <c r="KV919" s="15"/>
      <c r="KW919" s="15"/>
      <c r="KX919" s="15"/>
      <c r="KY919" s="15"/>
      <c r="KZ919" s="15"/>
    </row>
    <row r="920" spans="300:312" x14ac:dyDescent="0.3">
      <c r="KN920" s="15"/>
      <c r="KO920" s="15"/>
      <c r="KP920" s="15"/>
      <c r="KQ920" s="15"/>
      <c r="KR920" s="15"/>
      <c r="KS920" s="15"/>
      <c r="KT920" s="15"/>
      <c r="KU920" s="15"/>
      <c r="KV920" s="15"/>
      <c r="KW920" s="15"/>
      <c r="KX920" s="15"/>
      <c r="KY920" s="15"/>
      <c r="KZ920" s="15"/>
    </row>
    <row r="921" spans="300:312" x14ac:dyDescent="0.3">
      <c r="KN921" s="15"/>
      <c r="KO921" s="15"/>
      <c r="KP921" s="15"/>
      <c r="KQ921" s="15"/>
      <c r="KR921" s="15"/>
      <c r="KS921" s="15"/>
      <c r="KT921" s="15"/>
      <c r="KU921" s="15"/>
      <c r="KV921" s="15"/>
      <c r="KW921" s="15"/>
      <c r="KX921" s="15"/>
      <c r="KY921" s="15"/>
      <c r="KZ921" s="15"/>
    </row>
    <row r="922" spans="300:312" x14ac:dyDescent="0.3">
      <c r="KN922" s="15"/>
      <c r="KO922" s="15"/>
      <c r="KP922" s="15"/>
      <c r="KQ922" s="15"/>
      <c r="KR922" s="15"/>
      <c r="KS922" s="15"/>
      <c r="KT922" s="15"/>
      <c r="KU922" s="15"/>
      <c r="KV922" s="15"/>
      <c r="KW922" s="15"/>
      <c r="KX922" s="15"/>
      <c r="KY922" s="15"/>
      <c r="KZ922" s="15"/>
    </row>
    <row r="923" spans="300:312" x14ac:dyDescent="0.3">
      <c r="KN923" s="15"/>
      <c r="KO923" s="15"/>
      <c r="KP923" s="15"/>
      <c r="KQ923" s="15"/>
      <c r="KR923" s="15"/>
      <c r="KS923" s="15"/>
      <c r="KT923" s="15"/>
      <c r="KU923" s="15"/>
      <c r="KV923" s="15"/>
      <c r="KW923" s="15"/>
      <c r="KX923" s="15"/>
      <c r="KY923" s="15"/>
      <c r="KZ923" s="15"/>
    </row>
    <row r="924" spans="300:312" x14ac:dyDescent="0.3">
      <c r="KN924" s="15"/>
      <c r="KO924" s="15"/>
      <c r="KP924" s="15"/>
      <c r="KQ924" s="15"/>
      <c r="KR924" s="15"/>
      <c r="KS924" s="15"/>
      <c r="KT924" s="15"/>
      <c r="KU924" s="15"/>
      <c r="KV924" s="15"/>
      <c r="KW924" s="15"/>
      <c r="KX924" s="15"/>
      <c r="KY924" s="15"/>
      <c r="KZ924" s="15"/>
    </row>
    <row r="925" spans="300:312" x14ac:dyDescent="0.3">
      <c r="KN925" s="15"/>
      <c r="KO925" s="15"/>
      <c r="KP925" s="15"/>
      <c r="KQ925" s="15"/>
      <c r="KR925" s="15"/>
      <c r="KS925" s="15"/>
      <c r="KT925" s="15"/>
      <c r="KU925" s="15"/>
      <c r="KV925" s="15"/>
      <c r="KW925" s="15"/>
      <c r="KX925" s="15"/>
      <c r="KY925" s="15"/>
      <c r="KZ925" s="15"/>
    </row>
    <row r="926" spans="300:312" x14ac:dyDescent="0.3">
      <c r="KN926" s="15"/>
      <c r="KO926" s="15"/>
      <c r="KP926" s="15"/>
      <c r="KQ926" s="15"/>
      <c r="KR926" s="15"/>
      <c r="KS926" s="15"/>
      <c r="KT926" s="15"/>
      <c r="KU926" s="15"/>
      <c r="KV926" s="15"/>
      <c r="KW926" s="15"/>
      <c r="KX926" s="15"/>
      <c r="KY926" s="15"/>
      <c r="KZ926" s="15"/>
    </row>
    <row r="927" spans="300:312" x14ac:dyDescent="0.3">
      <c r="KN927" s="15"/>
      <c r="KO927" s="15"/>
      <c r="KP927" s="15"/>
      <c r="KQ927" s="15"/>
      <c r="KR927" s="15"/>
      <c r="KS927" s="15"/>
      <c r="KT927" s="15"/>
      <c r="KU927" s="15"/>
      <c r="KV927" s="15"/>
      <c r="KW927" s="15"/>
      <c r="KX927" s="15"/>
      <c r="KY927" s="15"/>
      <c r="KZ927" s="15"/>
    </row>
    <row r="928" spans="300:312" x14ac:dyDescent="0.3">
      <c r="KN928" s="15"/>
      <c r="KO928" s="15"/>
      <c r="KP928" s="15"/>
      <c r="KQ928" s="15"/>
      <c r="KR928" s="15"/>
      <c r="KS928" s="15"/>
      <c r="KT928" s="15"/>
      <c r="KU928" s="15"/>
      <c r="KV928" s="15"/>
      <c r="KW928" s="15"/>
      <c r="KX928" s="15"/>
      <c r="KY928" s="15"/>
      <c r="KZ928" s="15"/>
    </row>
    <row r="929" spans="300:312" x14ac:dyDescent="0.3">
      <c r="KN929" s="15"/>
      <c r="KO929" s="15"/>
      <c r="KP929" s="15"/>
      <c r="KQ929" s="15"/>
      <c r="KR929" s="15"/>
      <c r="KS929" s="15"/>
      <c r="KT929" s="15"/>
      <c r="KU929" s="15"/>
      <c r="KV929" s="15"/>
      <c r="KW929" s="15"/>
      <c r="KX929" s="15"/>
      <c r="KY929" s="15"/>
      <c r="KZ929" s="15"/>
    </row>
    <row r="930" spans="300:312" x14ac:dyDescent="0.3">
      <c r="KN930" s="15"/>
      <c r="KO930" s="15"/>
      <c r="KP930" s="15"/>
      <c r="KQ930" s="15"/>
      <c r="KR930" s="15"/>
      <c r="KS930" s="15"/>
      <c r="KT930" s="15"/>
      <c r="KU930" s="15"/>
      <c r="KV930" s="15"/>
      <c r="KW930" s="15"/>
      <c r="KX930" s="15"/>
      <c r="KY930" s="15"/>
      <c r="KZ930" s="15"/>
    </row>
    <row r="931" spans="300:312" x14ac:dyDescent="0.3">
      <c r="KN931" s="15"/>
      <c r="KO931" s="15"/>
      <c r="KP931" s="15"/>
      <c r="KQ931" s="15"/>
      <c r="KR931" s="15"/>
      <c r="KS931" s="15"/>
      <c r="KT931" s="15"/>
      <c r="KU931" s="15"/>
      <c r="KV931" s="15"/>
      <c r="KW931" s="15"/>
      <c r="KX931" s="15"/>
      <c r="KY931" s="15"/>
      <c r="KZ931" s="15"/>
    </row>
    <row r="932" spans="300:312" x14ac:dyDescent="0.3">
      <c r="KN932" s="15"/>
      <c r="KO932" s="15"/>
      <c r="KP932" s="15"/>
      <c r="KQ932" s="15"/>
      <c r="KR932" s="15"/>
      <c r="KS932" s="15"/>
      <c r="KT932" s="15"/>
      <c r="KU932" s="15"/>
      <c r="KV932" s="15"/>
      <c r="KW932" s="15"/>
      <c r="KX932" s="15"/>
      <c r="KY932" s="15"/>
      <c r="KZ932" s="15"/>
    </row>
    <row r="933" spans="300:312" x14ac:dyDescent="0.3">
      <c r="KN933" s="15"/>
      <c r="KO933" s="15"/>
      <c r="KP933" s="15"/>
      <c r="KQ933" s="15"/>
      <c r="KR933" s="15"/>
      <c r="KS933" s="15"/>
      <c r="KT933" s="15"/>
      <c r="KU933" s="15"/>
      <c r="KV933" s="15"/>
      <c r="KW933" s="15"/>
      <c r="KX933" s="15"/>
      <c r="KY933" s="15"/>
      <c r="KZ933" s="15"/>
    </row>
    <row r="934" spans="300:312" x14ac:dyDescent="0.3">
      <c r="KN934" s="15"/>
      <c r="KO934" s="15"/>
      <c r="KP934" s="15"/>
      <c r="KQ934" s="15"/>
      <c r="KR934" s="15"/>
      <c r="KS934" s="15"/>
      <c r="KT934" s="15"/>
      <c r="KU934" s="15"/>
      <c r="KV934" s="15"/>
      <c r="KW934" s="15"/>
      <c r="KX934" s="15"/>
      <c r="KY934" s="15"/>
      <c r="KZ934" s="15"/>
    </row>
    <row r="935" spans="300:312" x14ac:dyDescent="0.3">
      <c r="KN935" s="15"/>
      <c r="KO935" s="15"/>
      <c r="KP935" s="15"/>
      <c r="KQ935" s="15"/>
      <c r="KR935" s="15"/>
      <c r="KS935" s="15"/>
      <c r="KT935" s="15"/>
      <c r="KU935" s="15"/>
      <c r="KV935" s="15"/>
      <c r="KW935" s="15"/>
      <c r="KX935" s="15"/>
      <c r="KY935" s="15"/>
      <c r="KZ935" s="15"/>
    </row>
    <row r="936" spans="300:312" x14ac:dyDescent="0.3">
      <c r="KN936" s="15"/>
      <c r="KO936" s="15"/>
      <c r="KP936" s="15"/>
      <c r="KQ936" s="15"/>
      <c r="KR936" s="15"/>
      <c r="KS936" s="15"/>
      <c r="KT936" s="15"/>
      <c r="KU936" s="15"/>
      <c r="KV936" s="15"/>
      <c r="KW936" s="15"/>
      <c r="KX936" s="15"/>
      <c r="KY936" s="15"/>
      <c r="KZ936" s="15"/>
    </row>
    <row r="937" spans="300:312" x14ac:dyDescent="0.3">
      <c r="KN937" s="15"/>
      <c r="KO937" s="15"/>
      <c r="KP937" s="15"/>
      <c r="KQ937" s="15"/>
      <c r="KR937" s="15"/>
      <c r="KS937" s="15"/>
      <c r="KT937" s="15"/>
      <c r="KU937" s="15"/>
      <c r="KV937" s="15"/>
      <c r="KW937" s="15"/>
      <c r="KX937" s="15"/>
      <c r="KY937" s="15"/>
      <c r="KZ937" s="15"/>
    </row>
    <row r="938" spans="300:312" x14ac:dyDescent="0.3">
      <c r="KN938" s="15"/>
      <c r="KO938" s="15"/>
      <c r="KP938" s="15"/>
      <c r="KQ938" s="15"/>
      <c r="KR938" s="15"/>
      <c r="KS938" s="15"/>
      <c r="KT938" s="15"/>
      <c r="KU938" s="15"/>
      <c r="KV938" s="15"/>
      <c r="KW938" s="15"/>
      <c r="KX938" s="15"/>
      <c r="KY938" s="15"/>
      <c r="KZ938" s="15"/>
    </row>
    <row r="939" spans="300:312" x14ac:dyDescent="0.3">
      <c r="KN939" s="15"/>
      <c r="KO939" s="15"/>
      <c r="KP939" s="15"/>
      <c r="KQ939" s="15"/>
      <c r="KR939" s="15"/>
      <c r="KS939" s="15"/>
      <c r="KT939" s="15"/>
      <c r="KU939" s="15"/>
      <c r="KV939" s="15"/>
      <c r="KW939" s="15"/>
      <c r="KX939" s="15"/>
      <c r="KY939" s="15"/>
      <c r="KZ939" s="15"/>
    </row>
    <row r="940" spans="300:312" x14ac:dyDescent="0.3">
      <c r="KN940" s="15"/>
      <c r="KO940" s="15"/>
      <c r="KP940" s="15"/>
      <c r="KQ940" s="15"/>
      <c r="KR940" s="15"/>
      <c r="KS940" s="15"/>
      <c r="KT940" s="15"/>
      <c r="KU940" s="15"/>
      <c r="KV940" s="15"/>
      <c r="KW940" s="15"/>
      <c r="KX940" s="15"/>
      <c r="KY940" s="15"/>
      <c r="KZ940" s="15"/>
    </row>
    <row r="941" spans="300:312" x14ac:dyDescent="0.3">
      <c r="KN941" s="15"/>
      <c r="KO941" s="15"/>
      <c r="KP941" s="15"/>
      <c r="KQ941" s="15"/>
      <c r="KR941" s="15"/>
      <c r="KS941" s="15"/>
      <c r="KT941" s="15"/>
      <c r="KU941" s="15"/>
      <c r="KV941" s="15"/>
      <c r="KW941" s="15"/>
      <c r="KX941" s="15"/>
      <c r="KY941" s="15"/>
      <c r="KZ941" s="15"/>
    </row>
    <row r="942" spans="300:312" x14ac:dyDescent="0.3">
      <c r="KN942" s="15"/>
      <c r="KO942" s="15"/>
      <c r="KP942" s="15"/>
      <c r="KQ942" s="15"/>
      <c r="KR942" s="15"/>
      <c r="KS942" s="15"/>
      <c r="KT942" s="15"/>
      <c r="KU942" s="15"/>
      <c r="KV942" s="15"/>
      <c r="KW942" s="15"/>
      <c r="KX942" s="15"/>
      <c r="KY942" s="15"/>
      <c r="KZ942" s="15"/>
    </row>
    <row r="943" spans="300:312" x14ac:dyDescent="0.3">
      <c r="KN943" s="15"/>
      <c r="KO943" s="15"/>
      <c r="KP943" s="15"/>
      <c r="KQ943" s="15"/>
      <c r="KR943" s="15"/>
      <c r="KS943" s="15"/>
      <c r="KT943" s="15"/>
      <c r="KU943" s="15"/>
      <c r="KV943" s="15"/>
      <c r="KW943" s="15"/>
      <c r="KX943" s="15"/>
      <c r="KY943" s="15"/>
      <c r="KZ943" s="15"/>
    </row>
    <row r="944" spans="300:312" x14ac:dyDescent="0.3">
      <c r="KN944" s="15"/>
      <c r="KO944" s="15"/>
      <c r="KP944" s="15"/>
      <c r="KQ944" s="15"/>
      <c r="KR944" s="15"/>
      <c r="KS944" s="15"/>
      <c r="KT944" s="15"/>
      <c r="KU944" s="15"/>
      <c r="KV944" s="15"/>
      <c r="KW944" s="15"/>
      <c r="KX944" s="15"/>
      <c r="KY944" s="15"/>
      <c r="KZ944" s="15"/>
    </row>
    <row r="945" spans="300:312" x14ac:dyDescent="0.3">
      <c r="KN945" s="15"/>
      <c r="KO945" s="15"/>
      <c r="KP945" s="15"/>
      <c r="KQ945" s="15"/>
      <c r="KR945" s="15"/>
      <c r="KS945" s="15"/>
      <c r="KT945" s="15"/>
      <c r="KU945" s="15"/>
      <c r="KV945" s="15"/>
      <c r="KW945" s="15"/>
      <c r="KX945" s="15"/>
      <c r="KY945" s="15"/>
      <c r="KZ945" s="15"/>
    </row>
    <row r="946" spans="300:312" x14ac:dyDescent="0.3">
      <c r="KN946" s="15"/>
      <c r="KO946" s="15"/>
      <c r="KP946" s="15"/>
      <c r="KQ946" s="15"/>
      <c r="KR946" s="15"/>
      <c r="KS946" s="15"/>
      <c r="KT946" s="15"/>
      <c r="KU946" s="15"/>
      <c r="KV946" s="15"/>
      <c r="KW946" s="15"/>
      <c r="KX946" s="15"/>
      <c r="KY946" s="15"/>
      <c r="KZ946" s="15"/>
    </row>
    <row r="947" spans="300:312" x14ac:dyDescent="0.3">
      <c r="KN947" s="15"/>
      <c r="KO947" s="15"/>
      <c r="KP947" s="15"/>
      <c r="KQ947" s="15"/>
      <c r="KR947" s="15"/>
      <c r="KS947" s="15"/>
      <c r="KT947" s="15"/>
      <c r="KU947" s="15"/>
      <c r="KV947" s="15"/>
      <c r="KW947" s="15"/>
      <c r="KX947" s="15"/>
      <c r="KY947" s="15"/>
      <c r="KZ947" s="15"/>
    </row>
    <row r="948" spans="300:312" x14ac:dyDescent="0.3">
      <c r="KN948" s="15"/>
      <c r="KO948" s="15"/>
      <c r="KP948" s="15"/>
      <c r="KQ948" s="15"/>
      <c r="KR948" s="15"/>
      <c r="KS948" s="15"/>
      <c r="KT948" s="15"/>
      <c r="KU948" s="15"/>
      <c r="KV948" s="15"/>
      <c r="KW948" s="15"/>
      <c r="KX948" s="15"/>
      <c r="KY948" s="15"/>
      <c r="KZ948" s="15"/>
    </row>
    <row r="949" spans="300:312" x14ac:dyDescent="0.3">
      <c r="KN949" s="15"/>
      <c r="KO949" s="15"/>
      <c r="KP949" s="15"/>
      <c r="KQ949" s="15"/>
      <c r="KR949" s="15"/>
      <c r="KS949" s="15"/>
      <c r="KT949" s="15"/>
      <c r="KU949" s="15"/>
      <c r="KV949" s="15"/>
      <c r="KW949" s="15"/>
      <c r="KX949" s="15"/>
      <c r="KY949" s="15"/>
      <c r="KZ949" s="15"/>
    </row>
    <row r="950" spans="300:312" x14ac:dyDescent="0.3">
      <c r="KN950" s="15"/>
      <c r="KO950" s="15"/>
      <c r="KP950" s="15"/>
      <c r="KQ950" s="15"/>
      <c r="KR950" s="15"/>
      <c r="KS950" s="15"/>
      <c r="KT950" s="15"/>
      <c r="KU950" s="15"/>
      <c r="KV950" s="15"/>
      <c r="KW950" s="15"/>
      <c r="KX950" s="15"/>
      <c r="KY950" s="15"/>
      <c r="KZ950" s="15"/>
    </row>
    <row r="951" spans="300:312" x14ac:dyDescent="0.3">
      <c r="KN951" s="15"/>
      <c r="KO951" s="15"/>
      <c r="KP951" s="15"/>
      <c r="KQ951" s="15"/>
      <c r="KR951" s="15"/>
      <c r="KS951" s="15"/>
      <c r="KT951" s="15"/>
      <c r="KU951" s="15"/>
      <c r="KV951" s="15"/>
      <c r="KW951" s="15"/>
      <c r="KX951" s="15"/>
      <c r="KY951" s="15"/>
      <c r="KZ951" s="15"/>
    </row>
    <row r="952" spans="300:312" x14ac:dyDescent="0.3">
      <c r="KN952" s="15"/>
      <c r="KO952" s="15"/>
      <c r="KP952" s="15"/>
      <c r="KQ952" s="15"/>
      <c r="KR952" s="15"/>
      <c r="KS952" s="15"/>
      <c r="KT952" s="15"/>
      <c r="KU952" s="15"/>
      <c r="KV952" s="15"/>
      <c r="KW952" s="15"/>
      <c r="KX952" s="15"/>
      <c r="KY952" s="15"/>
      <c r="KZ952" s="15"/>
    </row>
    <row r="953" spans="300:312" x14ac:dyDescent="0.3">
      <c r="KN953" s="15"/>
      <c r="KO953" s="15"/>
      <c r="KP953" s="15"/>
      <c r="KQ953" s="15"/>
      <c r="KR953" s="15"/>
      <c r="KS953" s="15"/>
      <c r="KT953" s="15"/>
      <c r="KU953" s="15"/>
      <c r="KV953" s="15"/>
      <c r="KW953" s="15"/>
      <c r="KX953" s="15"/>
      <c r="KY953" s="15"/>
      <c r="KZ953" s="15"/>
    </row>
    <row r="954" spans="300:312" x14ac:dyDescent="0.3">
      <c r="KN954" s="15"/>
      <c r="KO954" s="15"/>
      <c r="KP954" s="15"/>
      <c r="KQ954" s="15"/>
      <c r="KR954" s="15"/>
      <c r="KS954" s="15"/>
      <c r="KT954" s="15"/>
      <c r="KU954" s="15"/>
      <c r="KV954" s="15"/>
      <c r="KW954" s="15"/>
      <c r="KX954" s="15"/>
      <c r="KY954" s="15"/>
      <c r="KZ954" s="15"/>
    </row>
    <row r="955" spans="300:312" x14ac:dyDescent="0.3">
      <c r="KN955" s="15"/>
      <c r="KO955" s="15"/>
      <c r="KP955" s="15"/>
      <c r="KQ955" s="15"/>
      <c r="KR955" s="15"/>
      <c r="KS955" s="15"/>
      <c r="KT955" s="15"/>
      <c r="KU955" s="15"/>
      <c r="KV955" s="15"/>
      <c r="KW955" s="15"/>
      <c r="KX955" s="15"/>
      <c r="KY955" s="15"/>
      <c r="KZ955" s="15"/>
    </row>
    <row r="956" spans="300:312" x14ac:dyDescent="0.3">
      <c r="KN956" s="15"/>
      <c r="KO956" s="15"/>
      <c r="KP956" s="15"/>
      <c r="KQ956" s="15"/>
      <c r="KR956" s="15"/>
      <c r="KS956" s="15"/>
      <c r="KT956" s="15"/>
      <c r="KU956" s="15"/>
      <c r="KV956" s="15"/>
      <c r="KW956" s="15"/>
      <c r="KX956" s="15"/>
      <c r="KY956" s="15"/>
      <c r="KZ956" s="15"/>
    </row>
    <row r="957" spans="300:312" x14ac:dyDescent="0.3">
      <c r="KN957" s="15"/>
      <c r="KO957" s="15"/>
      <c r="KP957" s="15"/>
      <c r="KQ957" s="15"/>
      <c r="KR957" s="15"/>
      <c r="KS957" s="15"/>
      <c r="KT957" s="15"/>
      <c r="KU957" s="15"/>
      <c r="KV957" s="15"/>
      <c r="KW957" s="15"/>
      <c r="KX957" s="15"/>
      <c r="KY957" s="15"/>
      <c r="KZ957" s="15"/>
    </row>
    <row r="958" spans="300:312" x14ac:dyDescent="0.3">
      <c r="KN958" s="15"/>
      <c r="KO958" s="15"/>
      <c r="KP958" s="15"/>
      <c r="KQ958" s="15"/>
      <c r="KR958" s="15"/>
      <c r="KS958" s="15"/>
      <c r="KT958" s="15"/>
      <c r="KU958" s="15"/>
      <c r="KV958" s="15"/>
      <c r="KW958" s="15"/>
      <c r="KX958" s="15"/>
      <c r="KY958" s="15"/>
      <c r="KZ958" s="15"/>
    </row>
    <row r="959" spans="300:312" x14ac:dyDescent="0.3">
      <c r="KN959" s="15"/>
      <c r="KO959" s="15"/>
      <c r="KP959" s="15"/>
      <c r="KQ959" s="15"/>
      <c r="KR959" s="15"/>
      <c r="KS959" s="15"/>
      <c r="KT959" s="15"/>
      <c r="KU959" s="15"/>
      <c r="KV959" s="15"/>
      <c r="KW959" s="15"/>
      <c r="KX959" s="15"/>
      <c r="KY959" s="15"/>
      <c r="KZ959" s="15"/>
    </row>
    <row r="960" spans="300:312" x14ac:dyDescent="0.3">
      <c r="KN960" s="15"/>
      <c r="KO960" s="15"/>
      <c r="KP960" s="15"/>
      <c r="KQ960" s="15"/>
      <c r="KR960" s="15"/>
      <c r="KS960" s="15"/>
      <c r="KT960" s="15"/>
      <c r="KU960" s="15"/>
      <c r="KV960" s="15"/>
      <c r="KW960" s="15"/>
      <c r="KX960" s="15"/>
      <c r="KY960" s="15"/>
      <c r="KZ960" s="15"/>
    </row>
    <row r="961" spans="300:312" x14ac:dyDescent="0.3">
      <c r="KN961" s="15"/>
      <c r="KO961" s="15"/>
      <c r="KP961" s="15"/>
      <c r="KQ961" s="15"/>
      <c r="KR961" s="15"/>
      <c r="KS961" s="15"/>
      <c r="KT961" s="15"/>
      <c r="KU961" s="15"/>
      <c r="KV961" s="15"/>
      <c r="KW961" s="15"/>
      <c r="KX961" s="15"/>
      <c r="KY961" s="15"/>
      <c r="KZ961" s="15"/>
    </row>
    <row r="962" spans="300:312" x14ac:dyDescent="0.3">
      <c r="KN962" s="15"/>
      <c r="KO962" s="15"/>
      <c r="KP962" s="15"/>
      <c r="KQ962" s="15"/>
      <c r="KR962" s="15"/>
      <c r="KS962" s="15"/>
      <c r="KT962" s="15"/>
      <c r="KU962" s="15"/>
      <c r="KV962" s="15"/>
      <c r="KW962" s="15"/>
      <c r="KX962" s="15"/>
      <c r="KY962" s="15"/>
      <c r="KZ962" s="15"/>
    </row>
    <row r="963" spans="300:312" x14ac:dyDescent="0.3">
      <c r="KN963" s="15"/>
      <c r="KO963" s="15"/>
      <c r="KP963" s="15"/>
      <c r="KQ963" s="15"/>
      <c r="KR963" s="15"/>
      <c r="KS963" s="15"/>
      <c r="KT963" s="15"/>
      <c r="KU963" s="15"/>
      <c r="KV963" s="15"/>
      <c r="KW963" s="15"/>
      <c r="KX963" s="15"/>
      <c r="KY963" s="15"/>
      <c r="KZ963" s="15"/>
    </row>
    <row r="964" spans="300:312" x14ac:dyDescent="0.3">
      <c r="KN964" s="15"/>
      <c r="KO964" s="15"/>
      <c r="KP964" s="15"/>
      <c r="KQ964" s="15"/>
      <c r="KR964" s="15"/>
      <c r="KS964" s="15"/>
      <c r="KT964" s="15"/>
      <c r="KU964" s="15"/>
      <c r="KV964" s="15"/>
      <c r="KW964" s="15"/>
      <c r="KX964" s="15"/>
      <c r="KY964" s="15"/>
      <c r="KZ964" s="15"/>
    </row>
    <row r="965" spans="300:312" x14ac:dyDescent="0.3">
      <c r="KN965" s="15"/>
      <c r="KO965" s="15"/>
      <c r="KP965" s="15"/>
      <c r="KQ965" s="15"/>
      <c r="KR965" s="15"/>
      <c r="KS965" s="15"/>
      <c r="KT965" s="15"/>
      <c r="KU965" s="15"/>
      <c r="KV965" s="15"/>
      <c r="KW965" s="15"/>
      <c r="KX965" s="15"/>
      <c r="KY965" s="15"/>
      <c r="KZ965" s="15"/>
    </row>
    <row r="966" spans="300:312" x14ac:dyDescent="0.3">
      <c r="KN966" s="15"/>
      <c r="KO966" s="15"/>
      <c r="KP966" s="15"/>
      <c r="KQ966" s="15"/>
      <c r="KR966" s="15"/>
      <c r="KS966" s="15"/>
      <c r="KT966" s="15"/>
      <c r="KU966" s="15"/>
      <c r="KV966" s="15"/>
      <c r="KW966" s="15"/>
      <c r="KX966" s="15"/>
      <c r="KY966" s="15"/>
      <c r="KZ966" s="15"/>
    </row>
    <row r="967" spans="300:312" x14ac:dyDescent="0.3">
      <c r="KN967" s="15"/>
      <c r="KO967" s="15"/>
      <c r="KP967" s="15"/>
      <c r="KQ967" s="15"/>
      <c r="KR967" s="15"/>
      <c r="KS967" s="15"/>
      <c r="KT967" s="15"/>
      <c r="KU967" s="15"/>
      <c r="KV967" s="15"/>
      <c r="KW967" s="15"/>
      <c r="KX967" s="15"/>
      <c r="KY967" s="15"/>
      <c r="KZ967" s="15"/>
    </row>
    <row r="968" spans="300:312" x14ac:dyDescent="0.3">
      <c r="KN968" s="15"/>
      <c r="KO968" s="15"/>
      <c r="KP968" s="15"/>
      <c r="KQ968" s="15"/>
      <c r="KR968" s="15"/>
      <c r="KS968" s="15"/>
      <c r="KT968" s="15"/>
      <c r="KU968" s="15"/>
      <c r="KV968" s="15"/>
      <c r="KW968" s="15"/>
      <c r="KX968" s="15"/>
      <c r="KY968" s="15"/>
      <c r="KZ968" s="15"/>
    </row>
    <row r="969" spans="300:312" x14ac:dyDescent="0.3">
      <c r="KN969" s="15"/>
      <c r="KO969" s="15"/>
      <c r="KP969" s="15"/>
      <c r="KQ969" s="15"/>
      <c r="KR969" s="15"/>
      <c r="KS969" s="15"/>
      <c r="KT969" s="15"/>
      <c r="KU969" s="15"/>
      <c r="KV969" s="15"/>
      <c r="KW969" s="15"/>
      <c r="KX969" s="15"/>
      <c r="KY969" s="15"/>
      <c r="KZ969" s="15"/>
    </row>
    <row r="970" spans="300:312" x14ac:dyDescent="0.3">
      <c r="KN970" s="15"/>
      <c r="KO970" s="15"/>
      <c r="KP970" s="15"/>
      <c r="KQ970" s="15"/>
      <c r="KR970" s="15"/>
      <c r="KS970" s="15"/>
      <c r="KT970" s="15"/>
      <c r="KU970" s="15"/>
      <c r="KV970" s="15"/>
      <c r="KW970" s="15"/>
      <c r="KX970" s="15"/>
      <c r="KY970" s="15"/>
      <c r="KZ970" s="15"/>
    </row>
    <row r="971" spans="300:312" x14ac:dyDescent="0.3">
      <c r="KN971" s="15"/>
      <c r="KO971" s="15"/>
      <c r="KP971" s="15"/>
      <c r="KQ971" s="15"/>
      <c r="KR971" s="15"/>
      <c r="KS971" s="15"/>
      <c r="KT971" s="15"/>
      <c r="KU971" s="15"/>
      <c r="KV971" s="15"/>
      <c r="KW971" s="15"/>
      <c r="KX971" s="15"/>
      <c r="KY971" s="15"/>
      <c r="KZ971" s="15"/>
    </row>
    <row r="972" spans="300:312" x14ac:dyDescent="0.3">
      <c r="KN972" s="15"/>
      <c r="KO972" s="15"/>
      <c r="KP972" s="15"/>
      <c r="KQ972" s="15"/>
      <c r="KR972" s="15"/>
      <c r="KS972" s="15"/>
      <c r="KT972" s="15"/>
      <c r="KU972" s="15"/>
      <c r="KV972" s="15"/>
      <c r="KW972" s="15"/>
      <c r="KX972" s="15"/>
      <c r="KY972" s="15"/>
      <c r="KZ972" s="15"/>
    </row>
    <row r="973" spans="300:312" x14ac:dyDescent="0.3">
      <c r="KN973" s="15"/>
      <c r="KO973" s="15"/>
      <c r="KP973" s="15"/>
      <c r="KQ973" s="15"/>
      <c r="KR973" s="15"/>
      <c r="KS973" s="15"/>
      <c r="KT973" s="15"/>
      <c r="KU973" s="15"/>
      <c r="KV973" s="15"/>
      <c r="KW973" s="15"/>
      <c r="KX973" s="15"/>
      <c r="KY973" s="15"/>
      <c r="KZ973" s="15"/>
    </row>
    <row r="974" spans="300:312" x14ac:dyDescent="0.3">
      <c r="KN974" s="15"/>
      <c r="KO974" s="15"/>
      <c r="KP974" s="15"/>
      <c r="KQ974" s="15"/>
      <c r="KR974" s="15"/>
      <c r="KS974" s="15"/>
      <c r="KT974" s="15"/>
      <c r="KU974" s="15"/>
      <c r="KV974" s="15"/>
      <c r="KW974" s="15"/>
      <c r="KX974" s="15"/>
      <c r="KY974" s="15"/>
      <c r="KZ974" s="15"/>
    </row>
    <row r="975" spans="300:312" x14ac:dyDescent="0.3">
      <c r="KN975" s="15"/>
      <c r="KO975" s="15"/>
      <c r="KP975" s="15"/>
      <c r="KQ975" s="15"/>
      <c r="KR975" s="15"/>
      <c r="KS975" s="15"/>
      <c r="KT975" s="15"/>
      <c r="KU975" s="15"/>
      <c r="KV975" s="15"/>
      <c r="KW975" s="15"/>
      <c r="KX975" s="15"/>
      <c r="KY975" s="15"/>
      <c r="KZ975" s="15"/>
    </row>
    <row r="976" spans="300:312" x14ac:dyDescent="0.3">
      <c r="KN976" s="15"/>
      <c r="KO976" s="15"/>
      <c r="KP976" s="15"/>
      <c r="KQ976" s="15"/>
      <c r="KR976" s="15"/>
      <c r="KS976" s="15"/>
      <c r="KT976" s="15"/>
      <c r="KU976" s="15"/>
      <c r="KV976" s="15"/>
      <c r="KW976" s="15"/>
      <c r="KX976" s="15"/>
      <c r="KY976" s="15"/>
      <c r="KZ976" s="15"/>
    </row>
    <row r="977" spans="300:312" x14ac:dyDescent="0.3">
      <c r="KN977" s="15"/>
      <c r="KO977" s="15"/>
      <c r="KP977" s="15"/>
      <c r="KQ977" s="15"/>
      <c r="KR977" s="15"/>
      <c r="KS977" s="15"/>
      <c r="KT977" s="15"/>
      <c r="KU977" s="15"/>
      <c r="KV977" s="15"/>
      <c r="KW977" s="15"/>
      <c r="KX977" s="15"/>
      <c r="KY977" s="15"/>
      <c r="KZ977" s="15"/>
    </row>
    <row r="978" spans="300:312" x14ac:dyDescent="0.3">
      <c r="KN978" s="15"/>
      <c r="KO978" s="15"/>
      <c r="KP978" s="15"/>
      <c r="KQ978" s="15"/>
      <c r="KR978" s="15"/>
      <c r="KS978" s="15"/>
      <c r="KT978" s="15"/>
      <c r="KU978" s="15"/>
      <c r="KV978" s="15"/>
      <c r="KW978" s="15"/>
      <c r="KX978" s="15"/>
      <c r="KY978" s="15"/>
      <c r="KZ978" s="15"/>
    </row>
    <row r="979" spans="300:312" x14ac:dyDescent="0.3">
      <c r="KN979" s="15"/>
      <c r="KO979" s="15"/>
      <c r="KP979" s="15"/>
      <c r="KQ979" s="15"/>
      <c r="KR979" s="15"/>
      <c r="KS979" s="15"/>
      <c r="KT979" s="15"/>
      <c r="KU979" s="15"/>
      <c r="KV979" s="15"/>
      <c r="KW979" s="15"/>
      <c r="KX979" s="15"/>
      <c r="KY979" s="15"/>
      <c r="KZ979" s="15"/>
    </row>
    <row r="980" spans="300:312" x14ac:dyDescent="0.3">
      <c r="KN980" s="15"/>
      <c r="KO980" s="15"/>
      <c r="KP980" s="15"/>
      <c r="KQ980" s="15"/>
      <c r="KR980" s="15"/>
      <c r="KS980" s="15"/>
      <c r="KT980" s="15"/>
      <c r="KU980" s="15"/>
      <c r="KV980" s="15"/>
      <c r="KW980" s="15"/>
      <c r="KX980" s="15"/>
      <c r="KY980" s="15"/>
      <c r="KZ980" s="15"/>
    </row>
    <row r="981" spans="300:312" x14ac:dyDescent="0.3">
      <c r="KN981" s="15"/>
      <c r="KO981" s="15"/>
      <c r="KP981" s="15"/>
      <c r="KQ981" s="15"/>
      <c r="KR981" s="15"/>
      <c r="KS981" s="15"/>
      <c r="KT981" s="15"/>
      <c r="KU981" s="15"/>
      <c r="KV981" s="15"/>
      <c r="KW981" s="15"/>
      <c r="KX981" s="15"/>
      <c r="KY981" s="15"/>
      <c r="KZ981" s="15"/>
    </row>
    <row r="982" spans="300:312" x14ac:dyDescent="0.3">
      <c r="KN982" s="15"/>
      <c r="KO982" s="15"/>
      <c r="KP982" s="15"/>
      <c r="KQ982" s="15"/>
      <c r="KR982" s="15"/>
      <c r="KS982" s="15"/>
      <c r="KT982" s="15"/>
      <c r="KU982" s="15"/>
      <c r="KV982" s="15"/>
      <c r="KW982" s="15"/>
      <c r="KX982" s="15"/>
      <c r="KY982" s="15"/>
      <c r="KZ982" s="15"/>
    </row>
    <row r="983" spans="300:312" x14ac:dyDescent="0.3">
      <c r="KN983" s="15"/>
      <c r="KO983" s="15"/>
      <c r="KP983" s="15"/>
      <c r="KQ983" s="15"/>
      <c r="KR983" s="15"/>
      <c r="KS983" s="15"/>
      <c r="KT983" s="15"/>
      <c r="KU983" s="15"/>
      <c r="KV983" s="15"/>
      <c r="KW983" s="15"/>
      <c r="KX983" s="15"/>
      <c r="KY983" s="15"/>
      <c r="KZ983" s="15"/>
    </row>
    <row r="984" spans="300:312" x14ac:dyDescent="0.3">
      <c r="KN984" s="15"/>
      <c r="KO984" s="15"/>
      <c r="KP984" s="15"/>
      <c r="KQ984" s="15"/>
      <c r="KR984" s="15"/>
      <c r="KS984" s="15"/>
      <c r="KT984" s="15"/>
      <c r="KU984" s="15"/>
      <c r="KV984" s="15"/>
      <c r="KW984" s="15"/>
      <c r="KX984" s="15"/>
      <c r="KY984" s="15"/>
      <c r="KZ984" s="15"/>
    </row>
    <row r="985" spans="300:312" x14ac:dyDescent="0.3">
      <c r="KN985" s="15"/>
      <c r="KO985" s="15"/>
      <c r="KP985" s="15"/>
      <c r="KQ985" s="15"/>
      <c r="KR985" s="15"/>
      <c r="KS985" s="15"/>
      <c r="KT985" s="15"/>
      <c r="KU985" s="15"/>
      <c r="KV985" s="15"/>
      <c r="KW985" s="15"/>
      <c r="KX985" s="15"/>
      <c r="KY985" s="15"/>
      <c r="KZ985" s="15"/>
    </row>
    <row r="986" spans="300:312" x14ac:dyDescent="0.3">
      <c r="KN986" s="15"/>
      <c r="KO986" s="15"/>
      <c r="KP986" s="15"/>
      <c r="KQ986" s="15"/>
      <c r="KR986" s="15"/>
      <c r="KS986" s="15"/>
      <c r="KT986" s="15"/>
      <c r="KU986" s="15"/>
      <c r="KV986" s="15"/>
      <c r="KW986" s="15"/>
      <c r="KX986" s="15"/>
      <c r="KY986" s="15"/>
      <c r="KZ986" s="15"/>
    </row>
    <row r="987" spans="300:312" x14ac:dyDescent="0.3">
      <c r="KN987" s="15"/>
      <c r="KO987" s="15"/>
      <c r="KP987" s="15"/>
      <c r="KQ987" s="15"/>
      <c r="KR987" s="15"/>
      <c r="KS987" s="15"/>
      <c r="KT987" s="15"/>
      <c r="KU987" s="15"/>
      <c r="KV987" s="15"/>
      <c r="KW987" s="15"/>
      <c r="KX987" s="15"/>
      <c r="KY987" s="15"/>
      <c r="KZ987" s="15"/>
    </row>
    <row r="988" spans="300:312" x14ac:dyDescent="0.3">
      <c r="KN988" s="15"/>
      <c r="KO988" s="15"/>
      <c r="KP988" s="15"/>
      <c r="KQ988" s="15"/>
      <c r="KR988" s="15"/>
      <c r="KS988" s="15"/>
      <c r="KT988" s="15"/>
      <c r="KU988" s="15"/>
      <c r="KV988" s="15"/>
      <c r="KW988" s="15"/>
      <c r="KX988" s="15"/>
      <c r="KY988" s="15"/>
      <c r="KZ988" s="15"/>
    </row>
    <row r="989" spans="300:312" x14ac:dyDescent="0.3">
      <c r="KN989" s="15"/>
      <c r="KO989" s="15"/>
      <c r="KP989" s="15"/>
      <c r="KQ989" s="15"/>
      <c r="KR989" s="15"/>
      <c r="KS989" s="15"/>
      <c r="KT989" s="15"/>
      <c r="KU989" s="15"/>
      <c r="KV989" s="15"/>
      <c r="KW989" s="15"/>
      <c r="KX989" s="15"/>
      <c r="KY989" s="15"/>
      <c r="KZ989" s="15"/>
    </row>
    <row r="990" spans="300:312" x14ac:dyDescent="0.3">
      <c r="KN990" s="15"/>
      <c r="KO990" s="15"/>
      <c r="KP990" s="15"/>
      <c r="KQ990" s="15"/>
      <c r="KR990" s="15"/>
      <c r="KS990" s="15"/>
      <c r="KT990" s="15"/>
      <c r="KU990" s="15"/>
      <c r="KV990" s="15"/>
      <c r="KW990" s="15"/>
      <c r="KX990" s="15"/>
      <c r="KY990" s="15"/>
      <c r="KZ990" s="15"/>
    </row>
    <row r="991" spans="300:312" x14ac:dyDescent="0.3">
      <c r="KN991" s="15"/>
      <c r="KO991" s="15"/>
      <c r="KP991" s="15"/>
      <c r="KQ991" s="15"/>
      <c r="KR991" s="15"/>
      <c r="KS991" s="15"/>
      <c r="KT991" s="15"/>
      <c r="KU991" s="15"/>
      <c r="KV991" s="15"/>
      <c r="KW991" s="15"/>
      <c r="KX991" s="15"/>
      <c r="KY991" s="15"/>
      <c r="KZ991" s="15"/>
    </row>
    <row r="992" spans="300:312" x14ac:dyDescent="0.3">
      <c r="KN992" s="15"/>
      <c r="KO992" s="15"/>
      <c r="KP992" s="15"/>
      <c r="KQ992" s="15"/>
      <c r="KR992" s="15"/>
      <c r="KS992" s="15"/>
      <c r="KT992" s="15"/>
      <c r="KU992" s="15"/>
      <c r="KV992" s="15"/>
      <c r="KW992" s="15"/>
      <c r="KX992" s="15"/>
      <c r="KY992" s="15"/>
      <c r="KZ992" s="15"/>
    </row>
    <row r="993" spans="300:312" x14ac:dyDescent="0.3">
      <c r="KN993" s="15"/>
      <c r="KO993" s="15"/>
      <c r="KP993" s="15"/>
      <c r="KQ993" s="15"/>
      <c r="KR993" s="15"/>
      <c r="KS993" s="15"/>
      <c r="KT993" s="15"/>
      <c r="KU993" s="15"/>
      <c r="KV993" s="15"/>
      <c r="KW993" s="15"/>
      <c r="KX993" s="15"/>
      <c r="KY993" s="15"/>
      <c r="KZ993" s="15"/>
    </row>
    <row r="994" spans="300:312" x14ac:dyDescent="0.3">
      <c r="KN994" s="15"/>
      <c r="KO994" s="15"/>
      <c r="KP994" s="15"/>
      <c r="KQ994" s="15"/>
      <c r="KR994" s="15"/>
      <c r="KS994" s="15"/>
      <c r="KT994" s="15"/>
      <c r="KU994" s="15"/>
      <c r="KV994" s="15"/>
      <c r="KW994" s="15"/>
      <c r="KX994" s="15"/>
      <c r="KY994" s="15"/>
      <c r="KZ994" s="15"/>
    </row>
    <row r="995" spans="300:312" x14ac:dyDescent="0.3">
      <c r="KN995" s="15"/>
      <c r="KO995" s="15"/>
      <c r="KP995" s="15"/>
      <c r="KQ995" s="15"/>
      <c r="KR995" s="15"/>
      <c r="KS995" s="15"/>
      <c r="KT995" s="15"/>
      <c r="KU995" s="15"/>
      <c r="KV995" s="15"/>
      <c r="KW995" s="15"/>
      <c r="KX995" s="15"/>
      <c r="KY995" s="15"/>
      <c r="KZ995" s="15"/>
    </row>
    <row r="996" spans="300:312" x14ac:dyDescent="0.3">
      <c r="KN996" s="15"/>
      <c r="KO996" s="15"/>
      <c r="KP996" s="15"/>
      <c r="KQ996" s="15"/>
      <c r="KR996" s="15"/>
      <c r="KS996" s="15"/>
      <c r="KT996" s="15"/>
      <c r="KU996" s="15"/>
      <c r="KV996" s="15"/>
      <c r="KW996" s="15"/>
      <c r="KX996" s="15"/>
      <c r="KY996" s="15"/>
      <c r="KZ996" s="15"/>
    </row>
    <row r="997" spans="300:312" x14ac:dyDescent="0.3">
      <c r="KN997" s="15"/>
      <c r="KO997" s="15"/>
      <c r="KP997" s="15"/>
      <c r="KQ997" s="15"/>
      <c r="KR997" s="15"/>
      <c r="KS997" s="15"/>
      <c r="KT997" s="15"/>
      <c r="KU997" s="15"/>
      <c r="KV997" s="15"/>
      <c r="KW997" s="15"/>
      <c r="KX997" s="15"/>
      <c r="KY997" s="15"/>
      <c r="KZ997" s="15"/>
    </row>
    <row r="998" spans="300:312" x14ac:dyDescent="0.3">
      <c r="KN998" s="15"/>
      <c r="KO998" s="15"/>
      <c r="KP998" s="15"/>
      <c r="KQ998" s="15"/>
      <c r="KR998" s="15"/>
      <c r="KS998" s="15"/>
      <c r="KT998" s="15"/>
      <c r="KU998" s="15"/>
      <c r="KV998" s="15"/>
      <c r="KW998" s="15"/>
      <c r="KX998" s="15"/>
      <c r="KY998" s="15"/>
      <c r="KZ998" s="15"/>
    </row>
    <row r="999" spans="300:312" x14ac:dyDescent="0.3">
      <c r="KN999" s="15"/>
      <c r="KO999" s="15"/>
      <c r="KP999" s="15"/>
      <c r="KQ999" s="15"/>
      <c r="KR999" s="15"/>
      <c r="KS999" s="15"/>
      <c r="KT999" s="15"/>
      <c r="KU999" s="15"/>
      <c r="KV999" s="15"/>
      <c r="KW999" s="15"/>
      <c r="KX999" s="15"/>
      <c r="KY999" s="15"/>
      <c r="KZ999" s="15"/>
    </row>
    <row r="1000" spans="300:312" x14ac:dyDescent="0.3">
      <c r="KN1000" s="15"/>
      <c r="KO1000" s="15"/>
      <c r="KP1000" s="15"/>
      <c r="KQ1000" s="15"/>
      <c r="KR1000" s="15"/>
      <c r="KS1000" s="15"/>
      <c r="KT1000" s="15"/>
      <c r="KU1000" s="15"/>
      <c r="KV1000" s="15"/>
      <c r="KW1000" s="15"/>
      <c r="KX1000" s="15"/>
      <c r="KY1000" s="15"/>
      <c r="KZ1000" s="15"/>
    </row>
    <row r="1001" spans="300:312" x14ac:dyDescent="0.3">
      <c r="KN1001" s="15"/>
      <c r="KO1001" s="15"/>
      <c r="KP1001" s="15"/>
      <c r="KQ1001" s="15"/>
      <c r="KR1001" s="15"/>
      <c r="KS1001" s="15"/>
      <c r="KT1001" s="15"/>
      <c r="KU1001" s="15"/>
      <c r="KV1001" s="15"/>
      <c r="KW1001" s="15"/>
      <c r="KX1001" s="15"/>
      <c r="KY1001" s="15"/>
      <c r="KZ1001" s="15"/>
    </row>
    <row r="1002" spans="300:312" x14ac:dyDescent="0.3">
      <c r="KN1002" s="15"/>
      <c r="KO1002" s="15"/>
      <c r="KP1002" s="15"/>
      <c r="KQ1002" s="15"/>
      <c r="KR1002" s="15"/>
      <c r="KS1002" s="15"/>
      <c r="KT1002" s="15"/>
      <c r="KU1002" s="15"/>
      <c r="KV1002" s="15"/>
      <c r="KW1002" s="15"/>
      <c r="KX1002" s="15"/>
      <c r="KY1002" s="15"/>
      <c r="KZ1002" s="15"/>
    </row>
    <row r="1003" spans="300:312" x14ac:dyDescent="0.3">
      <c r="KN1003" s="15"/>
      <c r="KO1003" s="15"/>
      <c r="KP1003" s="15"/>
      <c r="KQ1003" s="15"/>
      <c r="KR1003" s="15"/>
      <c r="KS1003" s="15"/>
      <c r="KT1003" s="15"/>
      <c r="KU1003" s="15"/>
      <c r="KV1003" s="15"/>
      <c r="KW1003" s="15"/>
      <c r="KX1003" s="15"/>
      <c r="KY1003" s="15"/>
      <c r="KZ1003" s="15"/>
    </row>
    <row r="1004" spans="300:312" x14ac:dyDescent="0.3">
      <c r="KN1004" s="15"/>
      <c r="KO1004" s="15"/>
      <c r="KP1004" s="15"/>
      <c r="KQ1004" s="15"/>
      <c r="KR1004" s="15"/>
      <c r="KS1004" s="15"/>
      <c r="KT1004" s="15"/>
      <c r="KU1004" s="15"/>
      <c r="KV1004" s="15"/>
      <c r="KW1004" s="15"/>
      <c r="KX1004" s="15"/>
      <c r="KY1004" s="15"/>
      <c r="KZ1004" s="15"/>
    </row>
    <row r="1005" spans="300:312" x14ac:dyDescent="0.3">
      <c r="KN1005" s="15"/>
      <c r="KO1005" s="15"/>
      <c r="KP1005" s="15"/>
      <c r="KQ1005" s="15"/>
      <c r="KR1005" s="15"/>
      <c r="KS1005" s="15"/>
      <c r="KT1005" s="15"/>
      <c r="KU1005" s="15"/>
      <c r="KV1005" s="15"/>
      <c r="KW1005" s="15"/>
      <c r="KX1005" s="15"/>
      <c r="KY1005" s="15"/>
      <c r="KZ1005" s="15"/>
    </row>
    <row r="1006" spans="300:312" x14ac:dyDescent="0.3">
      <c r="KN1006" s="15"/>
      <c r="KO1006" s="15"/>
      <c r="KP1006" s="15"/>
      <c r="KQ1006" s="15"/>
      <c r="KR1006" s="15"/>
      <c r="KS1006" s="15"/>
      <c r="KT1006" s="15"/>
      <c r="KU1006" s="15"/>
      <c r="KV1006" s="15"/>
      <c r="KW1006" s="15"/>
      <c r="KX1006" s="15"/>
      <c r="KY1006" s="15"/>
      <c r="KZ1006" s="15"/>
    </row>
    <row r="1007" spans="300:312" x14ac:dyDescent="0.3">
      <c r="KN1007" s="15"/>
      <c r="KO1007" s="15"/>
      <c r="KP1007" s="15"/>
      <c r="KQ1007" s="15"/>
      <c r="KR1007" s="15"/>
      <c r="KS1007" s="15"/>
      <c r="KT1007" s="15"/>
      <c r="KU1007" s="15"/>
      <c r="KV1007" s="15"/>
      <c r="KW1007" s="15"/>
      <c r="KX1007" s="15"/>
      <c r="KY1007" s="15"/>
      <c r="KZ1007" s="15"/>
    </row>
    <row r="1008" spans="300:312" x14ac:dyDescent="0.3">
      <c r="KN1008" s="15"/>
      <c r="KO1008" s="15"/>
      <c r="KP1008" s="15"/>
      <c r="KQ1008" s="15"/>
      <c r="KR1008" s="15"/>
      <c r="KS1008" s="15"/>
      <c r="KT1008" s="15"/>
      <c r="KU1008" s="15"/>
      <c r="KV1008" s="15"/>
      <c r="KW1008" s="15"/>
      <c r="KX1008" s="15"/>
      <c r="KY1008" s="15"/>
      <c r="KZ1008" s="15"/>
    </row>
    <row r="1009" spans="300:312" x14ac:dyDescent="0.3">
      <c r="KN1009" s="15"/>
      <c r="KO1009" s="15"/>
      <c r="KP1009" s="15"/>
      <c r="KQ1009" s="15"/>
      <c r="KR1009" s="15"/>
      <c r="KS1009" s="15"/>
      <c r="KT1009" s="15"/>
      <c r="KU1009" s="15"/>
      <c r="KV1009" s="15"/>
      <c r="KW1009" s="15"/>
      <c r="KX1009" s="15"/>
      <c r="KY1009" s="15"/>
      <c r="KZ1009" s="15"/>
    </row>
    <row r="1010" spans="300:312" x14ac:dyDescent="0.3">
      <c r="KN1010" s="15"/>
      <c r="KO1010" s="15"/>
      <c r="KP1010" s="15"/>
      <c r="KQ1010" s="15"/>
      <c r="KR1010" s="15"/>
      <c r="KS1010" s="15"/>
      <c r="KT1010" s="15"/>
      <c r="KU1010" s="15"/>
      <c r="KV1010" s="15"/>
      <c r="KW1010" s="15"/>
      <c r="KX1010" s="15"/>
      <c r="KY1010" s="15"/>
      <c r="KZ1010" s="15"/>
    </row>
    <row r="1011" spans="300:312" x14ac:dyDescent="0.3">
      <c r="KN1011" s="15"/>
      <c r="KO1011" s="15"/>
      <c r="KP1011" s="15"/>
      <c r="KQ1011" s="15"/>
      <c r="KR1011" s="15"/>
      <c r="KS1011" s="15"/>
      <c r="KT1011" s="15"/>
      <c r="KU1011" s="15"/>
      <c r="KV1011" s="15"/>
      <c r="KW1011" s="15"/>
      <c r="KX1011" s="15"/>
      <c r="KY1011" s="15"/>
      <c r="KZ1011" s="15"/>
    </row>
    <row r="1012" spans="300:312" x14ac:dyDescent="0.3">
      <c r="KN1012" s="15"/>
      <c r="KO1012" s="15"/>
      <c r="KP1012" s="15"/>
      <c r="KQ1012" s="15"/>
      <c r="KR1012" s="15"/>
      <c r="KS1012" s="15"/>
      <c r="KT1012" s="15"/>
      <c r="KU1012" s="15"/>
      <c r="KV1012" s="15"/>
      <c r="KW1012" s="15"/>
      <c r="KX1012" s="15"/>
      <c r="KY1012" s="15"/>
      <c r="KZ1012" s="15"/>
    </row>
    <row r="1013" spans="300:312" x14ac:dyDescent="0.3">
      <c r="KN1013" s="15"/>
      <c r="KO1013" s="15"/>
      <c r="KP1013" s="15"/>
      <c r="KQ1013" s="15"/>
      <c r="KR1013" s="15"/>
      <c r="KS1013" s="15"/>
      <c r="KT1013" s="15"/>
      <c r="KU1013" s="15"/>
      <c r="KV1013" s="15"/>
      <c r="KW1013" s="15"/>
      <c r="KX1013" s="15"/>
      <c r="KY1013" s="15"/>
      <c r="KZ1013" s="15"/>
    </row>
    <row r="1014" spans="300:312" x14ac:dyDescent="0.3">
      <c r="KN1014" s="15"/>
      <c r="KO1014" s="15"/>
      <c r="KP1014" s="15"/>
      <c r="KQ1014" s="15"/>
      <c r="KR1014" s="15"/>
      <c r="KS1014" s="15"/>
      <c r="KT1014" s="15"/>
      <c r="KU1014" s="15"/>
      <c r="KV1014" s="15"/>
      <c r="KW1014" s="15"/>
      <c r="KX1014" s="15"/>
      <c r="KY1014" s="15"/>
      <c r="KZ1014" s="15"/>
    </row>
    <row r="1015" spans="300:312" x14ac:dyDescent="0.3">
      <c r="KN1015" s="15"/>
      <c r="KO1015" s="15"/>
      <c r="KP1015" s="15"/>
      <c r="KQ1015" s="15"/>
      <c r="KR1015" s="15"/>
      <c r="KS1015" s="15"/>
      <c r="KT1015" s="15"/>
      <c r="KU1015" s="15"/>
      <c r="KV1015" s="15"/>
      <c r="KW1015" s="15"/>
      <c r="KX1015" s="15"/>
      <c r="KY1015" s="15"/>
      <c r="KZ1015" s="15"/>
    </row>
    <row r="1016" spans="300:312" x14ac:dyDescent="0.3">
      <c r="KN1016" s="15"/>
      <c r="KO1016" s="15"/>
      <c r="KP1016" s="15"/>
      <c r="KQ1016" s="15"/>
      <c r="KR1016" s="15"/>
      <c r="KS1016" s="15"/>
      <c r="KT1016" s="15"/>
      <c r="KU1016" s="15"/>
      <c r="KV1016" s="15"/>
      <c r="KW1016" s="15"/>
      <c r="KX1016" s="15"/>
      <c r="KY1016" s="15"/>
      <c r="KZ1016" s="15"/>
    </row>
    <row r="1017" spans="300:312" x14ac:dyDescent="0.3">
      <c r="KN1017" s="15"/>
      <c r="KO1017" s="15"/>
      <c r="KP1017" s="15"/>
      <c r="KQ1017" s="15"/>
      <c r="KR1017" s="15"/>
      <c r="KS1017" s="15"/>
      <c r="KT1017" s="15"/>
      <c r="KU1017" s="15"/>
      <c r="KV1017" s="15"/>
      <c r="KW1017" s="15"/>
      <c r="KX1017" s="15"/>
      <c r="KY1017" s="15"/>
      <c r="KZ1017" s="15"/>
    </row>
    <row r="1018" spans="300:312" x14ac:dyDescent="0.3">
      <c r="KN1018" s="15"/>
      <c r="KO1018" s="15"/>
      <c r="KP1018" s="15"/>
      <c r="KQ1018" s="15"/>
      <c r="KR1018" s="15"/>
      <c r="KS1018" s="15"/>
      <c r="KT1018" s="15"/>
      <c r="KU1018" s="15"/>
      <c r="KV1018" s="15"/>
      <c r="KW1018" s="15"/>
      <c r="KX1018" s="15"/>
      <c r="KY1018" s="15"/>
      <c r="KZ1018" s="15"/>
    </row>
    <row r="1019" spans="300:312" x14ac:dyDescent="0.3">
      <c r="KN1019" s="15"/>
      <c r="KO1019" s="15"/>
      <c r="KP1019" s="15"/>
      <c r="KQ1019" s="15"/>
      <c r="KR1019" s="15"/>
      <c r="KS1019" s="15"/>
      <c r="KT1019" s="15"/>
      <c r="KU1019" s="15"/>
      <c r="KV1019" s="15"/>
      <c r="KW1019" s="15"/>
      <c r="KX1019" s="15"/>
      <c r="KY1019" s="15"/>
      <c r="KZ1019" s="15"/>
    </row>
    <row r="1020" spans="300:312" x14ac:dyDescent="0.3">
      <c r="KN1020" s="15"/>
      <c r="KO1020" s="15"/>
      <c r="KP1020" s="15"/>
      <c r="KQ1020" s="15"/>
      <c r="KR1020" s="15"/>
      <c r="KS1020" s="15"/>
      <c r="KT1020" s="15"/>
      <c r="KU1020" s="15"/>
      <c r="KV1020" s="15"/>
      <c r="KW1020" s="15"/>
      <c r="KX1020" s="15"/>
      <c r="KY1020" s="15"/>
      <c r="KZ1020" s="15"/>
    </row>
    <row r="1021" spans="300:312" x14ac:dyDescent="0.3">
      <c r="KN1021" s="15"/>
      <c r="KO1021" s="15"/>
      <c r="KP1021" s="15"/>
      <c r="KQ1021" s="15"/>
      <c r="KR1021" s="15"/>
      <c r="KS1021" s="15"/>
      <c r="KT1021" s="15"/>
      <c r="KU1021" s="15"/>
      <c r="KV1021" s="15"/>
      <c r="KW1021" s="15"/>
      <c r="KX1021" s="15"/>
      <c r="KY1021" s="15"/>
      <c r="KZ1021" s="15"/>
    </row>
    <row r="1022" spans="300:312" x14ac:dyDescent="0.3">
      <c r="KN1022" s="15"/>
      <c r="KO1022" s="15"/>
      <c r="KP1022" s="15"/>
      <c r="KQ1022" s="15"/>
      <c r="KR1022" s="15"/>
      <c r="KS1022" s="15"/>
      <c r="KT1022" s="15"/>
      <c r="KU1022" s="15"/>
      <c r="KV1022" s="15"/>
      <c r="KW1022" s="15"/>
      <c r="KX1022" s="15"/>
      <c r="KY1022" s="15"/>
      <c r="KZ1022" s="15"/>
    </row>
    <row r="1023" spans="300:312" x14ac:dyDescent="0.3">
      <c r="KN1023" s="15"/>
      <c r="KO1023" s="15"/>
      <c r="KP1023" s="15"/>
      <c r="KQ1023" s="15"/>
      <c r="KR1023" s="15"/>
      <c r="KS1023" s="15"/>
      <c r="KT1023" s="15"/>
      <c r="KU1023" s="15"/>
      <c r="KV1023" s="15"/>
      <c r="KW1023" s="15"/>
      <c r="KX1023" s="15"/>
      <c r="KY1023" s="15"/>
      <c r="KZ1023" s="15"/>
    </row>
    <row r="1024" spans="300:312" x14ac:dyDescent="0.3">
      <c r="KN1024" s="15"/>
      <c r="KO1024" s="15"/>
      <c r="KP1024" s="15"/>
      <c r="KQ1024" s="15"/>
      <c r="KR1024" s="15"/>
      <c r="KS1024" s="15"/>
      <c r="KT1024" s="15"/>
      <c r="KU1024" s="15"/>
      <c r="KV1024" s="15"/>
      <c r="KW1024" s="15"/>
      <c r="KX1024" s="15"/>
      <c r="KY1024" s="15"/>
      <c r="KZ1024" s="15"/>
    </row>
    <row r="1025" spans="300:312" x14ac:dyDescent="0.3">
      <c r="KN1025" s="15"/>
      <c r="KO1025" s="15"/>
      <c r="KP1025" s="15"/>
      <c r="KQ1025" s="15"/>
      <c r="KR1025" s="15"/>
      <c r="KS1025" s="15"/>
      <c r="KT1025" s="15"/>
      <c r="KU1025" s="15"/>
      <c r="KV1025" s="15"/>
      <c r="KW1025" s="15"/>
      <c r="KX1025" s="15"/>
      <c r="KY1025" s="15"/>
      <c r="KZ1025" s="15"/>
    </row>
    <row r="1026" spans="300:312" x14ac:dyDescent="0.3">
      <c r="KN1026" s="15"/>
      <c r="KO1026" s="15"/>
      <c r="KP1026" s="15"/>
      <c r="KQ1026" s="15"/>
      <c r="KR1026" s="15"/>
      <c r="KS1026" s="15"/>
      <c r="KT1026" s="15"/>
      <c r="KU1026" s="15"/>
      <c r="KV1026" s="15"/>
      <c r="KW1026" s="15"/>
      <c r="KX1026" s="15"/>
      <c r="KY1026" s="15"/>
      <c r="KZ1026" s="15"/>
    </row>
    <row r="1027" spans="300:312" x14ac:dyDescent="0.3">
      <c r="KN1027" s="15"/>
      <c r="KO1027" s="15"/>
      <c r="KP1027" s="15"/>
      <c r="KQ1027" s="15"/>
      <c r="KR1027" s="15"/>
      <c r="KS1027" s="15"/>
      <c r="KT1027" s="15"/>
      <c r="KU1027" s="15"/>
      <c r="KV1027" s="15"/>
      <c r="KW1027" s="15"/>
      <c r="KX1027" s="15"/>
      <c r="KY1027" s="15"/>
      <c r="KZ1027" s="15"/>
    </row>
    <row r="1028" spans="300:312" x14ac:dyDescent="0.3">
      <c r="KN1028" s="15"/>
      <c r="KO1028" s="15"/>
      <c r="KP1028" s="15"/>
      <c r="KQ1028" s="15"/>
      <c r="KR1028" s="15"/>
      <c r="KS1028" s="15"/>
      <c r="KT1028" s="15"/>
      <c r="KU1028" s="15"/>
      <c r="KV1028" s="15"/>
      <c r="KW1028" s="15"/>
      <c r="KX1028" s="15"/>
      <c r="KY1028" s="15"/>
      <c r="KZ1028" s="15"/>
    </row>
    <row r="1029" spans="300:312" x14ac:dyDescent="0.3">
      <c r="KN1029" s="15"/>
      <c r="KO1029" s="15"/>
      <c r="KP1029" s="15"/>
      <c r="KQ1029" s="15"/>
      <c r="KR1029" s="15"/>
      <c r="KS1029" s="15"/>
      <c r="KT1029" s="15"/>
      <c r="KU1029" s="15"/>
      <c r="KV1029" s="15"/>
      <c r="KW1029" s="15"/>
      <c r="KX1029" s="15"/>
      <c r="KY1029" s="15"/>
      <c r="KZ1029" s="15"/>
    </row>
    <row r="1030" spans="300:312" x14ac:dyDescent="0.3">
      <c r="KN1030" s="15"/>
      <c r="KO1030" s="15"/>
      <c r="KP1030" s="15"/>
      <c r="KQ1030" s="15"/>
      <c r="KR1030" s="15"/>
      <c r="KS1030" s="15"/>
      <c r="KT1030" s="15"/>
      <c r="KU1030" s="15"/>
      <c r="KV1030" s="15"/>
      <c r="KW1030" s="15"/>
      <c r="KX1030" s="15"/>
      <c r="KY1030" s="15"/>
      <c r="KZ1030" s="15"/>
    </row>
    <row r="1031" spans="300:312" x14ac:dyDescent="0.3">
      <c r="KN1031" s="15"/>
      <c r="KO1031" s="15"/>
      <c r="KP1031" s="15"/>
      <c r="KQ1031" s="15"/>
      <c r="KR1031" s="15"/>
      <c r="KS1031" s="15"/>
      <c r="KT1031" s="15"/>
      <c r="KU1031" s="15"/>
      <c r="KV1031" s="15"/>
      <c r="KW1031" s="15"/>
      <c r="KX1031" s="15"/>
      <c r="KY1031" s="15"/>
      <c r="KZ1031" s="15"/>
    </row>
    <row r="1032" spans="300:312" x14ac:dyDescent="0.3">
      <c r="KN1032" s="15"/>
      <c r="KO1032" s="15"/>
      <c r="KP1032" s="15"/>
      <c r="KQ1032" s="15"/>
      <c r="KR1032" s="15"/>
      <c r="KS1032" s="15"/>
      <c r="KT1032" s="15"/>
      <c r="KU1032" s="15"/>
      <c r="KV1032" s="15"/>
      <c r="KW1032" s="15"/>
      <c r="KX1032" s="15"/>
      <c r="KY1032" s="15"/>
      <c r="KZ1032" s="15"/>
    </row>
    <row r="1033" spans="300:312" x14ac:dyDescent="0.3">
      <c r="KN1033" s="15"/>
      <c r="KO1033" s="15"/>
      <c r="KP1033" s="15"/>
      <c r="KQ1033" s="15"/>
      <c r="KR1033" s="15"/>
      <c r="KS1033" s="15"/>
      <c r="KT1033" s="15"/>
      <c r="KU1033" s="15"/>
      <c r="KV1033" s="15"/>
      <c r="KW1033" s="15"/>
      <c r="KX1033" s="15"/>
      <c r="KY1033" s="15"/>
      <c r="KZ1033" s="15"/>
    </row>
    <row r="1034" spans="300:312" x14ac:dyDescent="0.3">
      <c r="KN1034" s="15"/>
      <c r="KO1034" s="15"/>
      <c r="KP1034" s="15"/>
      <c r="KQ1034" s="15"/>
      <c r="KR1034" s="15"/>
      <c r="KS1034" s="15"/>
      <c r="KT1034" s="15"/>
      <c r="KU1034" s="15"/>
      <c r="KV1034" s="15"/>
      <c r="KW1034" s="15"/>
      <c r="KX1034" s="15"/>
      <c r="KY1034" s="15"/>
      <c r="KZ1034" s="15"/>
    </row>
    <row r="1035" spans="300:312" x14ac:dyDescent="0.3">
      <c r="KN1035" s="15"/>
      <c r="KO1035" s="15"/>
      <c r="KP1035" s="15"/>
      <c r="KQ1035" s="15"/>
      <c r="KR1035" s="15"/>
      <c r="KS1035" s="15"/>
      <c r="KT1035" s="15"/>
      <c r="KU1035" s="15"/>
      <c r="KV1035" s="15"/>
      <c r="KW1035" s="15"/>
      <c r="KX1035" s="15"/>
      <c r="KY1035" s="15"/>
      <c r="KZ1035" s="15"/>
    </row>
    <row r="1036" spans="300:312" x14ac:dyDescent="0.3">
      <c r="KN1036" s="15"/>
      <c r="KO1036" s="15"/>
      <c r="KP1036" s="15"/>
      <c r="KQ1036" s="15"/>
      <c r="KR1036" s="15"/>
      <c r="KS1036" s="15"/>
      <c r="KT1036" s="15"/>
      <c r="KU1036" s="15"/>
      <c r="KV1036" s="15"/>
      <c r="KW1036" s="15"/>
      <c r="KX1036" s="15"/>
      <c r="KY1036" s="15"/>
      <c r="KZ1036" s="15"/>
    </row>
    <row r="1037" spans="300:312" x14ac:dyDescent="0.3">
      <c r="KN1037" s="15"/>
      <c r="KO1037" s="15"/>
      <c r="KP1037" s="15"/>
      <c r="KQ1037" s="15"/>
      <c r="KR1037" s="15"/>
      <c r="KS1037" s="15"/>
      <c r="KT1037" s="15"/>
      <c r="KU1037" s="15"/>
      <c r="KV1037" s="15"/>
      <c r="KW1037" s="15"/>
      <c r="KX1037" s="15"/>
      <c r="KY1037" s="15"/>
      <c r="KZ1037" s="15"/>
    </row>
    <row r="1038" spans="300:312" x14ac:dyDescent="0.3">
      <c r="KN1038" s="15"/>
      <c r="KO1038" s="15"/>
      <c r="KP1038" s="15"/>
      <c r="KQ1038" s="15"/>
      <c r="KR1038" s="15"/>
      <c r="KS1038" s="15"/>
      <c r="KT1038" s="15"/>
      <c r="KU1038" s="15"/>
      <c r="KV1038" s="15"/>
      <c r="KW1038" s="15"/>
      <c r="KX1038" s="15"/>
      <c r="KY1038" s="15"/>
      <c r="KZ1038" s="15"/>
    </row>
    <row r="1039" spans="300:312" x14ac:dyDescent="0.3">
      <c r="KN1039" s="15"/>
      <c r="KO1039" s="15"/>
      <c r="KP1039" s="15"/>
      <c r="KQ1039" s="15"/>
      <c r="KR1039" s="15"/>
      <c r="KS1039" s="15"/>
      <c r="KT1039" s="15"/>
      <c r="KU1039" s="15"/>
      <c r="KV1039" s="15"/>
      <c r="KW1039" s="15"/>
      <c r="KX1039" s="15"/>
      <c r="KY1039" s="15"/>
      <c r="KZ1039" s="15"/>
    </row>
    <row r="1040" spans="300:312" x14ac:dyDescent="0.3">
      <c r="KN1040" s="15"/>
      <c r="KO1040" s="15"/>
      <c r="KP1040" s="15"/>
      <c r="KQ1040" s="15"/>
      <c r="KR1040" s="15"/>
      <c r="KS1040" s="15"/>
      <c r="KT1040" s="15"/>
      <c r="KU1040" s="15"/>
      <c r="KV1040" s="15"/>
      <c r="KW1040" s="15"/>
      <c r="KX1040" s="15"/>
      <c r="KY1040" s="15"/>
      <c r="KZ1040" s="15"/>
    </row>
    <row r="1041" spans="300:312" x14ac:dyDescent="0.3">
      <c r="KN1041" s="15"/>
      <c r="KO1041" s="15"/>
      <c r="KP1041" s="15"/>
      <c r="KQ1041" s="15"/>
      <c r="KR1041" s="15"/>
      <c r="KS1041" s="15"/>
      <c r="KT1041" s="15"/>
      <c r="KU1041" s="15"/>
      <c r="KV1041" s="15"/>
      <c r="KW1041" s="15"/>
      <c r="KX1041" s="15"/>
      <c r="KY1041" s="15"/>
      <c r="KZ1041" s="15"/>
    </row>
    <row r="1042" spans="300:312" x14ac:dyDescent="0.3">
      <c r="KN1042" s="15"/>
      <c r="KO1042" s="15"/>
      <c r="KP1042" s="15"/>
      <c r="KQ1042" s="15"/>
      <c r="KR1042" s="15"/>
      <c r="KS1042" s="15"/>
      <c r="KT1042" s="15"/>
      <c r="KU1042" s="15"/>
      <c r="KV1042" s="15"/>
      <c r="KW1042" s="15"/>
      <c r="KX1042" s="15"/>
      <c r="KY1042" s="15"/>
      <c r="KZ1042" s="15"/>
    </row>
    <row r="1043" spans="300:312" x14ac:dyDescent="0.3">
      <c r="KN1043" s="15"/>
      <c r="KO1043" s="15"/>
      <c r="KP1043" s="15"/>
      <c r="KQ1043" s="15"/>
      <c r="KR1043" s="15"/>
      <c r="KS1043" s="15"/>
      <c r="KT1043" s="15"/>
      <c r="KU1043" s="15"/>
      <c r="KV1043" s="15"/>
      <c r="KW1043" s="15"/>
      <c r="KX1043" s="15"/>
      <c r="KY1043" s="15"/>
      <c r="KZ1043" s="15"/>
    </row>
    <row r="1044" spans="300:312" x14ac:dyDescent="0.3">
      <c r="KN1044" s="15"/>
      <c r="KO1044" s="15"/>
      <c r="KP1044" s="15"/>
      <c r="KQ1044" s="15"/>
      <c r="KR1044" s="15"/>
      <c r="KS1044" s="15"/>
      <c r="KT1044" s="15"/>
      <c r="KU1044" s="15"/>
      <c r="KV1044" s="15"/>
      <c r="KW1044" s="15"/>
      <c r="KX1044" s="15"/>
      <c r="KY1044" s="15"/>
      <c r="KZ1044" s="15"/>
    </row>
    <row r="1045" spans="300:312" x14ac:dyDescent="0.3">
      <c r="KN1045" s="15"/>
      <c r="KO1045" s="15"/>
      <c r="KP1045" s="15"/>
      <c r="KQ1045" s="15"/>
      <c r="KR1045" s="15"/>
      <c r="KS1045" s="15"/>
      <c r="KT1045" s="15"/>
      <c r="KU1045" s="15"/>
      <c r="KV1045" s="15"/>
      <c r="KW1045" s="15"/>
      <c r="KX1045" s="15"/>
      <c r="KY1045" s="15"/>
      <c r="KZ1045" s="15"/>
    </row>
    <row r="1046" spans="300:312" x14ac:dyDescent="0.3">
      <c r="KN1046" s="15"/>
      <c r="KO1046" s="15"/>
      <c r="KP1046" s="15"/>
      <c r="KQ1046" s="15"/>
      <c r="KR1046" s="15"/>
      <c r="KS1046" s="15"/>
      <c r="KT1046" s="15"/>
      <c r="KU1046" s="15"/>
      <c r="KV1046" s="15"/>
      <c r="KW1046" s="15"/>
      <c r="KX1046" s="15"/>
      <c r="KY1046" s="15"/>
      <c r="KZ1046" s="15"/>
    </row>
    <row r="1047" spans="300:312" x14ac:dyDescent="0.3">
      <c r="KN1047" s="15"/>
      <c r="KO1047" s="15"/>
      <c r="KP1047" s="15"/>
      <c r="KQ1047" s="15"/>
      <c r="KR1047" s="15"/>
      <c r="KS1047" s="15"/>
      <c r="KT1047" s="15"/>
      <c r="KU1047" s="15"/>
      <c r="KV1047" s="15"/>
      <c r="KW1047" s="15"/>
      <c r="KX1047" s="15"/>
      <c r="KY1047" s="15"/>
      <c r="KZ1047" s="15"/>
    </row>
    <row r="1048" spans="300:312" x14ac:dyDescent="0.3">
      <c r="KN1048" s="15"/>
      <c r="KO1048" s="15"/>
      <c r="KP1048" s="15"/>
      <c r="KQ1048" s="15"/>
      <c r="KR1048" s="15"/>
      <c r="KS1048" s="15"/>
      <c r="KT1048" s="15"/>
      <c r="KU1048" s="15"/>
      <c r="KV1048" s="15"/>
      <c r="KW1048" s="15"/>
      <c r="KX1048" s="15"/>
      <c r="KY1048" s="15"/>
      <c r="KZ1048" s="15"/>
    </row>
    <row r="1049" spans="300:312" x14ac:dyDescent="0.3">
      <c r="KN1049" s="15"/>
      <c r="KO1049" s="15"/>
      <c r="KP1049" s="15"/>
      <c r="KQ1049" s="15"/>
      <c r="KR1049" s="15"/>
      <c r="KS1049" s="15"/>
      <c r="KT1049" s="15"/>
      <c r="KU1049" s="15"/>
      <c r="KV1049" s="15"/>
      <c r="KW1049" s="15"/>
      <c r="KX1049" s="15"/>
      <c r="KY1049" s="15"/>
      <c r="KZ1049" s="15"/>
    </row>
    <row r="1050" spans="300:312" x14ac:dyDescent="0.3">
      <c r="KN1050" s="15"/>
      <c r="KO1050" s="15"/>
      <c r="KP1050" s="15"/>
      <c r="KQ1050" s="15"/>
      <c r="KR1050" s="15"/>
      <c r="KS1050" s="15"/>
      <c r="KT1050" s="15"/>
      <c r="KU1050" s="15"/>
      <c r="KV1050" s="15"/>
      <c r="KW1050" s="15"/>
      <c r="KX1050" s="15"/>
      <c r="KY1050" s="15"/>
      <c r="KZ1050" s="15"/>
    </row>
    <row r="1051" spans="300:312" x14ac:dyDescent="0.3">
      <c r="KN1051" s="15"/>
      <c r="KO1051" s="15"/>
      <c r="KP1051" s="15"/>
      <c r="KQ1051" s="15"/>
      <c r="KR1051" s="15"/>
      <c r="KS1051" s="15"/>
      <c r="KT1051" s="15"/>
      <c r="KU1051" s="15"/>
      <c r="KV1051" s="15"/>
      <c r="KW1051" s="15"/>
      <c r="KX1051" s="15"/>
      <c r="KY1051" s="15"/>
      <c r="KZ1051" s="15"/>
    </row>
    <row r="1052" spans="300:312" x14ac:dyDescent="0.3">
      <c r="KN1052" s="15"/>
      <c r="KO1052" s="15"/>
      <c r="KP1052" s="15"/>
      <c r="KQ1052" s="15"/>
      <c r="KR1052" s="15"/>
      <c r="KS1052" s="15"/>
      <c r="KT1052" s="15"/>
      <c r="KU1052" s="15"/>
      <c r="KV1052" s="15"/>
      <c r="KW1052" s="15"/>
      <c r="KX1052" s="15"/>
      <c r="KY1052" s="15"/>
      <c r="KZ1052" s="15"/>
    </row>
    <row r="1053" spans="300:312" x14ac:dyDescent="0.3">
      <c r="KN1053" s="15"/>
      <c r="KO1053" s="15"/>
      <c r="KP1053" s="15"/>
      <c r="KQ1053" s="15"/>
      <c r="KR1053" s="15"/>
      <c r="KS1053" s="15"/>
      <c r="KT1053" s="15"/>
      <c r="KU1053" s="15"/>
      <c r="KV1053" s="15"/>
      <c r="KW1053" s="15"/>
      <c r="KX1053" s="15"/>
      <c r="KY1053" s="15"/>
      <c r="KZ1053" s="15"/>
    </row>
    <row r="1054" spans="300:312" x14ac:dyDescent="0.3">
      <c r="KN1054" s="15"/>
      <c r="KO1054" s="15"/>
      <c r="KP1054" s="15"/>
      <c r="KQ1054" s="15"/>
      <c r="KR1054" s="15"/>
      <c r="KS1054" s="15"/>
      <c r="KT1054" s="15"/>
      <c r="KU1054" s="15"/>
      <c r="KV1054" s="15"/>
      <c r="KW1054" s="15"/>
      <c r="KX1054" s="15"/>
      <c r="KY1054" s="15"/>
      <c r="KZ1054" s="15"/>
    </row>
    <row r="1055" spans="300:312" x14ac:dyDescent="0.3">
      <c r="KN1055" s="15"/>
      <c r="KO1055" s="15"/>
      <c r="KP1055" s="15"/>
      <c r="KQ1055" s="15"/>
      <c r="KR1055" s="15"/>
      <c r="KS1055" s="15"/>
      <c r="KT1055" s="15"/>
      <c r="KU1055" s="15"/>
      <c r="KV1055" s="15"/>
      <c r="KW1055" s="15"/>
      <c r="KX1055" s="15"/>
      <c r="KY1055" s="15"/>
      <c r="KZ1055" s="15"/>
    </row>
    <row r="1056" spans="300:312" x14ac:dyDescent="0.3">
      <c r="KN1056" s="15"/>
      <c r="KO1056" s="15"/>
      <c r="KP1056" s="15"/>
      <c r="KQ1056" s="15"/>
      <c r="KR1056" s="15"/>
      <c r="KS1056" s="15"/>
      <c r="KT1056" s="15"/>
      <c r="KU1056" s="15"/>
      <c r="KV1056" s="15"/>
      <c r="KW1056" s="15"/>
      <c r="KX1056" s="15"/>
      <c r="KY1056" s="15"/>
      <c r="KZ1056" s="15"/>
    </row>
    <row r="1057" spans="300:312" x14ac:dyDescent="0.3">
      <c r="KN1057" s="15"/>
      <c r="KO1057" s="15"/>
      <c r="KP1057" s="15"/>
      <c r="KQ1057" s="15"/>
      <c r="KR1057" s="15"/>
      <c r="KS1057" s="15"/>
      <c r="KT1057" s="15"/>
      <c r="KU1057" s="15"/>
      <c r="KV1057" s="15"/>
      <c r="KW1057" s="15"/>
      <c r="KX1057" s="15"/>
      <c r="KY1057" s="15"/>
      <c r="KZ1057" s="15"/>
    </row>
    <row r="1058" spans="300:312" x14ac:dyDescent="0.3">
      <c r="KN1058" s="15"/>
      <c r="KO1058" s="15"/>
      <c r="KP1058" s="15"/>
      <c r="KQ1058" s="15"/>
      <c r="KR1058" s="15"/>
      <c r="KS1058" s="15"/>
      <c r="KT1058" s="15"/>
      <c r="KU1058" s="15"/>
      <c r="KV1058" s="15"/>
      <c r="KW1058" s="15"/>
      <c r="KX1058" s="15"/>
      <c r="KY1058" s="15"/>
      <c r="KZ1058" s="15"/>
    </row>
    <row r="1059" spans="300:312" x14ac:dyDescent="0.3">
      <c r="KN1059" s="15"/>
      <c r="KO1059" s="15"/>
      <c r="KP1059" s="15"/>
      <c r="KQ1059" s="15"/>
      <c r="KR1059" s="15"/>
      <c r="KS1059" s="15"/>
      <c r="KT1059" s="15"/>
      <c r="KU1059" s="15"/>
      <c r="KV1059" s="15"/>
      <c r="KW1059" s="15"/>
      <c r="KX1059" s="15"/>
      <c r="KY1059" s="15"/>
      <c r="KZ1059" s="15"/>
    </row>
    <row r="1060" spans="300:312" x14ac:dyDescent="0.3">
      <c r="KN1060" s="15"/>
      <c r="KO1060" s="15"/>
      <c r="KP1060" s="15"/>
      <c r="KQ1060" s="15"/>
      <c r="KR1060" s="15"/>
      <c r="KS1060" s="15"/>
      <c r="KT1060" s="15"/>
      <c r="KU1060" s="15"/>
      <c r="KV1060" s="15"/>
      <c r="KW1060" s="15"/>
      <c r="KX1060" s="15"/>
      <c r="KY1060" s="15"/>
      <c r="KZ1060" s="15"/>
    </row>
    <row r="1061" spans="300:312" x14ac:dyDescent="0.3">
      <c r="KN1061" s="15"/>
      <c r="KO1061" s="15"/>
      <c r="KP1061" s="15"/>
      <c r="KQ1061" s="15"/>
      <c r="KR1061" s="15"/>
      <c r="KS1061" s="15"/>
      <c r="KT1061" s="15"/>
      <c r="KU1061" s="15"/>
      <c r="KV1061" s="15"/>
      <c r="KW1061" s="15"/>
      <c r="KX1061" s="15"/>
      <c r="KY1061" s="15"/>
      <c r="KZ1061" s="15"/>
    </row>
    <row r="1062" spans="300:312" x14ac:dyDescent="0.3">
      <c r="KN1062" s="15"/>
      <c r="KO1062" s="15"/>
      <c r="KP1062" s="15"/>
      <c r="KQ1062" s="15"/>
      <c r="KR1062" s="15"/>
      <c r="KS1062" s="15"/>
      <c r="KT1062" s="15"/>
      <c r="KU1062" s="15"/>
      <c r="KV1062" s="15"/>
      <c r="KW1062" s="15"/>
      <c r="KX1062" s="15"/>
      <c r="KY1062" s="15"/>
      <c r="KZ1062" s="15"/>
    </row>
    <row r="1063" spans="300:312" x14ac:dyDescent="0.3">
      <c r="KN1063" s="15"/>
      <c r="KO1063" s="15"/>
      <c r="KP1063" s="15"/>
      <c r="KQ1063" s="15"/>
      <c r="KR1063" s="15"/>
      <c r="KS1063" s="15"/>
      <c r="KT1063" s="15"/>
      <c r="KU1063" s="15"/>
      <c r="KV1063" s="15"/>
      <c r="KW1063" s="15"/>
      <c r="KX1063" s="15"/>
      <c r="KY1063" s="15"/>
      <c r="KZ1063" s="15"/>
    </row>
    <row r="1064" spans="300:312" x14ac:dyDescent="0.3">
      <c r="KN1064" s="15"/>
      <c r="KO1064" s="15"/>
      <c r="KP1064" s="15"/>
      <c r="KQ1064" s="15"/>
      <c r="KR1064" s="15"/>
      <c r="KS1064" s="15"/>
      <c r="KT1064" s="15"/>
      <c r="KU1064" s="15"/>
      <c r="KV1064" s="15"/>
      <c r="KW1064" s="15"/>
      <c r="KX1064" s="15"/>
      <c r="KY1064" s="15"/>
      <c r="KZ1064" s="15"/>
    </row>
    <row r="1065" spans="300:312" x14ac:dyDescent="0.3">
      <c r="KN1065" s="15"/>
      <c r="KO1065" s="15"/>
      <c r="KP1065" s="15"/>
      <c r="KQ1065" s="15"/>
      <c r="KR1065" s="15"/>
      <c r="KS1065" s="15"/>
      <c r="KT1065" s="15"/>
      <c r="KU1065" s="15"/>
      <c r="KV1065" s="15"/>
      <c r="KW1065" s="15"/>
      <c r="KX1065" s="15"/>
      <c r="KY1065" s="15"/>
      <c r="KZ1065" s="15"/>
    </row>
    <row r="1066" spans="300:312" x14ac:dyDescent="0.3">
      <c r="KN1066" s="15"/>
      <c r="KO1066" s="15"/>
      <c r="KP1066" s="15"/>
      <c r="KQ1066" s="15"/>
      <c r="KR1066" s="15"/>
      <c r="KS1066" s="15"/>
      <c r="KT1066" s="15"/>
      <c r="KU1066" s="15"/>
      <c r="KV1066" s="15"/>
      <c r="KW1066" s="15"/>
      <c r="KX1066" s="15"/>
      <c r="KY1066" s="15"/>
      <c r="KZ1066" s="15"/>
    </row>
    <row r="1067" spans="300:312" x14ac:dyDescent="0.3">
      <c r="KN1067" s="15"/>
      <c r="KO1067" s="15"/>
      <c r="KP1067" s="15"/>
      <c r="KQ1067" s="15"/>
      <c r="KR1067" s="15"/>
      <c r="KS1067" s="15"/>
      <c r="KT1067" s="15"/>
      <c r="KU1067" s="15"/>
      <c r="KV1067" s="15"/>
      <c r="KW1067" s="15"/>
      <c r="KX1067" s="15"/>
      <c r="KY1067" s="15"/>
      <c r="KZ1067" s="15"/>
    </row>
    <row r="1068" spans="300:312" x14ac:dyDescent="0.3">
      <c r="KN1068" s="15"/>
      <c r="KO1068" s="15"/>
      <c r="KP1068" s="15"/>
      <c r="KQ1068" s="15"/>
      <c r="KR1068" s="15"/>
      <c r="KS1068" s="15"/>
      <c r="KT1068" s="15"/>
      <c r="KU1068" s="15"/>
      <c r="KV1068" s="15"/>
      <c r="KW1068" s="15"/>
      <c r="KX1068" s="15"/>
      <c r="KY1068" s="15"/>
      <c r="KZ1068" s="15"/>
    </row>
    <row r="1069" spans="300:312" x14ac:dyDescent="0.3">
      <c r="KN1069" s="15"/>
      <c r="KO1069" s="15"/>
      <c r="KP1069" s="15"/>
      <c r="KQ1069" s="15"/>
      <c r="KR1069" s="15"/>
      <c r="KS1069" s="15"/>
      <c r="KT1069" s="15"/>
      <c r="KU1069" s="15"/>
      <c r="KV1069" s="15"/>
      <c r="KW1069" s="15"/>
      <c r="KX1069" s="15"/>
      <c r="KY1069" s="15"/>
      <c r="KZ1069" s="15"/>
    </row>
    <row r="1070" spans="300:312" x14ac:dyDescent="0.3">
      <c r="KN1070" s="15"/>
      <c r="KO1070" s="15"/>
      <c r="KP1070" s="15"/>
      <c r="KQ1070" s="15"/>
      <c r="KR1070" s="15"/>
      <c r="KS1070" s="15"/>
      <c r="KT1070" s="15"/>
      <c r="KU1070" s="15"/>
      <c r="KV1070" s="15"/>
      <c r="KW1070" s="15"/>
      <c r="KX1070" s="15"/>
      <c r="KY1070" s="15"/>
      <c r="KZ1070" s="15"/>
    </row>
    <row r="1071" spans="300:312" x14ac:dyDescent="0.3">
      <c r="KN1071" s="15"/>
      <c r="KO1071" s="15"/>
      <c r="KP1071" s="15"/>
      <c r="KQ1071" s="15"/>
      <c r="KR1071" s="15"/>
      <c r="KS1071" s="15"/>
      <c r="KT1071" s="15"/>
      <c r="KU1071" s="15"/>
      <c r="KV1071" s="15"/>
      <c r="KW1071" s="15"/>
      <c r="KX1071" s="15"/>
      <c r="KY1071" s="15"/>
      <c r="KZ1071" s="15"/>
    </row>
    <row r="1072" spans="300:312" x14ac:dyDescent="0.3">
      <c r="KN1072" s="15"/>
      <c r="KO1072" s="15"/>
      <c r="KP1072" s="15"/>
      <c r="KQ1072" s="15"/>
      <c r="KR1072" s="15"/>
      <c r="KS1072" s="15"/>
      <c r="KT1072" s="15"/>
      <c r="KU1072" s="15"/>
      <c r="KV1072" s="15"/>
      <c r="KW1072" s="15"/>
      <c r="KX1072" s="15"/>
      <c r="KY1072" s="15"/>
      <c r="KZ1072" s="15"/>
    </row>
    <row r="1073" spans="300:312" x14ac:dyDescent="0.3">
      <c r="KN1073" s="15"/>
      <c r="KO1073" s="15"/>
      <c r="KP1073" s="15"/>
      <c r="KQ1073" s="15"/>
      <c r="KR1073" s="15"/>
      <c r="KS1073" s="15"/>
      <c r="KT1073" s="15"/>
      <c r="KU1073" s="15"/>
      <c r="KV1073" s="15"/>
      <c r="KW1073" s="15"/>
      <c r="KX1073" s="15"/>
      <c r="KY1073" s="15"/>
      <c r="KZ1073" s="15"/>
    </row>
    <row r="1074" spans="300:312" x14ac:dyDescent="0.3">
      <c r="KN1074" s="15"/>
      <c r="KO1074" s="15"/>
      <c r="KP1074" s="15"/>
      <c r="KQ1074" s="15"/>
      <c r="KR1074" s="15"/>
      <c r="KS1074" s="15"/>
      <c r="KT1074" s="15"/>
      <c r="KU1074" s="15"/>
      <c r="KV1074" s="15"/>
      <c r="KW1074" s="15"/>
      <c r="KX1074" s="15"/>
      <c r="KY1074" s="15"/>
      <c r="KZ1074" s="15"/>
    </row>
    <row r="1075" spans="300:312" x14ac:dyDescent="0.3">
      <c r="KN1075" s="15"/>
      <c r="KO1075" s="15"/>
      <c r="KP1075" s="15"/>
      <c r="KQ1075" s="15"/>
      <c r="KR1075" s="15"/>
      <c r="KS1075" s="15"/>
      <c r="KT1075" s="15"/>
      <c r="KU1075" s="15"/>
      <c r="KV1075" s="15"/>
      <c r="KW1075" s="15"/>
      <c r="KX1075" s="15"/>
      <c r="KY1075" s="15"/>
      <c r="KZ1075" s="15"/>
    </row>
    <row r="1076" spans="300:312" x14ac:dyDescent="0.3">
      <c r="KN1076" s="15"/>
      <c r="KO1076" s="15"/>
      <c r="KP1076" s="15"/>
      <c r="KQ1076" s="15"/>
      <c r="KR1076" s="15"/>
      <c r="KS1076" s="15"/>
      <c r="KT1076" s="15"/>
      <c r="KU1076" s="15"/>
      <c r="KV1076" s="15"/>
      <c r="KW1076" s="15"/>
      <c r="KX1076" s="15"/>
      <c r="KY1076" s="15"/>
      <c r="KZ1076" s="15"/>
    </row>
    <row r="1077" spans="300:312" x14ac:dyDescent="0.3">
      <c r="KN1077" s="15"/>
      <c r="KO1077" s="15"/>
      <c r="KP1077" s="15"/>
      <c r="KQ1077" s="15"/>
      <c r="KR1077" s="15"/>
      <c r="KS1077" s="15"/>
      <c r="KT1077" s="15"/>
      <c r="KU1077" s="15"/>
      <c r="KV1077" s="15"/>
      <c r="KW1077" s="15"/>
      <c r="KX1077" s="15"/>
      <c r="KY1077" s="15"/>
      <c r="KZ1077" s="15"/>
    </row>
    <row r="1078" spans="300:312" x14ac:dyDescent="0.3">
      <c r="KN1078" s="15"/>
      <c r="KO1078" s="15"/>
      <c r="KP1078" s="15"/>
      <c r="KQ1078" s="15"/>
      <c r="KR1078" s="15"/>
      <c r="KS1078" s="15"/>
      <c r="KT1078" s="15"/>
      <c r="KU1078" s="15"/>
      <c r="KV1078" s="15"/>
      <c r="KW1078" s="15"/>
      <c r="KX1078" s="15"/>
      <c r="KY1078" s="15"/>
      <c r="KZ1078" s="15"/>
    </row>
    <row r="1079" spans="300:312" x14ac:dyDescent="0.3">
      <c r="KN1079" s="15"/>
      <c r="KO1079" s="15"/>
      <c r="KP1079" s="15"/>
      <c r="KQ1079" s="15"/>
      <c r="KR1079" s="15"/>
      <c r="KS1079" s="15"/>
      <c r="KT1079" s="15"/>
      <c r="KU1079" s="15"/>
      <c r="KV1079" s="15"/>
      <c r="KW1079" s="15"/>
      <c r="KX1079" s="15"/>
      <c r="KY1079" s="15"/>
      <c r="KZ1079" s="15"/>
    </row>
    <row r="1080" spans="300:312" x14ac:dyDescent="0.3">
      <c r="KN1080" s="15"/>
      <c r="KO1080" s="15"/>
      <c r="KP1080" s="15"/>
      <c r="KQ1080" s="15"/>
      <c r="KR1080" s="15"/>
      <c r="KS1080" s="15"/>
      <c r="KT1080" s="15"/>
      <c r="KU1080" s="15"/>
      <c r="KV1080" s="15"/>
      <c r="KW1080" s="15"/>
      <c r="KX1080" s="15"/>
      <c r="KY1080" s="15"/>
      <c r="KZ1080" s="15"/>
    </row>
    <row r="1081" spans="300:312" x14ac:dyDescent="0.3">
      <c r="KN1081" s="15"/>
      <c r="KO1081" s="15"/>
      <c r="KP1081" s="15"/>
      <c r="KQ1081" s="15"/>
      <c r="KR1081" s="15"/>
      <c r="KS1081" s="15"/>
      <c r="KT1081" s="15"/>
      <c r="KU1081" s="15"/>
      <c r="KV1081" s="15"/>
      <c r="KW1081" s="15"/>
      <c r="KX1081" s="15"/>
      <c r="KY1081" s="15"/>
      <c r="KZ1081" s="15"/>
    </row>
    <row r="1082" spans="300:312" x14ac:dyDescent="0.3">
      <c r="KN1082" s="15"/>
      <c r="KO1082" s="15"/>
      <c r="KP1082" s="15"/>
      <c r="KQ1082" s="15"/>
      <c r="KR1082" s="15"/>
      <c r="KS1082" s="15"/>
      <c r="KT1082" s="15"/>
      <c r="KU1082" s="15"/>
      <c r="KV1082" s="15"/>
      <c r="KW1082" s="15"/>
      <c r="KX1082" s="15"/>
      <c r="KY1082" s="15"/>
      <c r="KZ1082" s="15"/>
    </row>
    <row r="1083" spans="300:312" x14ac:dyDescent="0.3">
      <c r="KN1083" s="15"/>
      <c r="KO1083" s="15"/>
      <c r="KP1083" s="15"/>
      <c r="KQ1083" s="15"/>
      <c r="KR1083" s="15"/>
      <c r="KS1083" s="15"/>
      <c r="KT1083" s="15"/>
      <c r="KU1083" s="15"/>
      <c r="KV1083" s="15"/>
      <c r="KW1083" s="15"/>
      <c r="KX1083" s="15"/>
      <c r="KY1083" s="15"/>
      <c r="KZ1083" s="15"/>
    </row>
    <row r="1084" spans="300:312" x14ac:dyDescent="0.3">
      <c r="KN1084" s="15"/>
      <c r="KO1084" s="15"/>
      <c r="KP1084" s="15"/>
      <c r="KQ1084" s="15"/>
      <c r="KR1084" s="15"/>
      <c r="KS1084" s="15"/>
      <c r="KT1084" s="15"/>
      <c r="KU1084" s="15"/>
      <c r="KV1084" s="15"/>
      <c r="KW1084" s="15"/>
      <c r="KX1084" s="15"/>
      <c r="KY1084" s="15"/>
      <c r="KZ1084" s="15"/>
    </row>
    <row r="1085" spans="300:312" x14ac:dyDescent="0.3">
      <c r="KN1085" s="15"/>
      <c r="KO1085" s="15"/>
      <c r="KP1085" s="15"/>
      <c r="KQ1085" s="15"/>
      <c r="KR1085" s="15"/>
      <c r="KS1085" s="15"/>
      <c r="KT1085" s="15"/>
      <c r="KU1085" s="15"/>
      <c r="KV1085" s="15"/>
      <c r="KW1085" s="15"/>
      <c r="KX1085" s="15"/>
      <c r="KY1085" s="15"/>
      <c r="KZ1085" s="15"/>
    </row>
    <row r="1086" spans="300:312" x14ac:dyDescent="0.3">
      <c r="KN1086" s="15"/>
      <c r="KO1086" s="15"/>
      <c r="KP1086" s="15"/>
      <c r="KQ1086" s="15"/>
      <c r="KR1086" s="15"/>
      <c r="KS1086" s="15"/>
      <c r="KT1086" s="15"/>
      <c r="KU1086" s="15"/>
      <c r="KV1086" s="15"/>
      <c r="KW1086" s="15"/>
      <c r="KX1086" s="15"/>
      <c r="KY1086" s="15"/>
      <c r="KZ1086" s="15"/>
    </row>
    <row r="1087" spans="300:312" x14ac:dyDescent="0.3">
      <c r="KN1087" s="15"/>
      <c r="KO1087" s="15"/>
      <c r="KP1087" s="15"/>
      <c r="KQ1087" s="15"/>
      <c r="KR1087" s="15"/>
      <c r="KS1087" s="15"/>
      <c r="KT1087" s="15"/>
      <c r="KU1087" s="15"/>
      <c r="KV1087" s="15"/>
      <c r="KW1087" s="15"/>
      <c r="KX1087" s="15"/>
      <c r="KY1087" s="15"/>
      <c r="KZ1087" s="15"/>
    </row>
    <row r="1088" spans="300:312" x14ac:dyDescent="0.3">
      <c r="KN1088" s="15"/>
      <c r="KO1088" s="15"/>
      <c r="KP1088" s="15"/>
      <c r="KQ1088" s="15"/>
      <c r="KR1088" s="15"/>
      <c r="KS1088" s="15"/>
      <c r="KT1088" s="15"/>
      <c r="KU1088" s="15"/>
      <c r="KV1088" s="15"/>
      <c r="KW1088" s="15"/>
      <c r="KX1088" s="15"/>
      <c r="KY1088" s="15"/>
      <c r="KZ1088" s="15"/>
    </row>
    <row r="1089" spans="300:312" x14ac:dyDescent="0.3">
      <c r="KN1089" s="15"/>
      <c r="KO1089" s="15"/>
      <c r="KP1089" s="15"/>
      <c r="KQ1089" s="15"/>
      <c r="KR1089" s="15"/>
      <c r="KS1089" s="15"/>
      <c r="KT1089" s="15"/>
      <c r="KU1089" s="15"/>
      <c r="KV1089" s="15"/>
      <c r="KW1089" s="15"/>
      <c r="KX1089" s="15"/>
      <c r="KY1089" s="15"/>
      <c r="KZ1089" s="15"/>
    </row>
    <row r="1090" spans="300:312" x14ac:dyDescent="0.3">
      <c r="KN1090" s="15"/>
      <c r="KO1090" s="15"/>
      <c r="KP1090" s="15"/>
      <c r="KQ1090" s="15"/>
      <c r="KR1090" s="15"/>
      <c r="KS1090" s="15"/>
      <c r="KT1090" s="15"/>
      <c r="KU1090" s="15"/>
      <c r="KV1090" s="15"/>
      <c r="KW1090" s="15"/>
      <c r="KX1090" s="15"/>
      <c r="KY1090" s="15"/>
      <c r="KZ1090" s="15"/>
    </row>
    <row r="1091" spans="300:312" x14ac:dyDescent="0.3">
      <c r="KN1091" s="15"/>
      <c r="KO1091" s="15"/>
      <c r="KP1091" s="15"/>
      <c r="KQ1091" s="15"/>
      <c r="KR1091" s="15"/>
      <c r="KS1091" s="15"/>
      <c r="KT1091" s="15"/>
      <c r="KU1091" s="15"/>
      <c r="KV1091" s="15"/>
      <c r="KW1091" s="15"/>
      <c r="KX1091" s="15"/>
      <c r="KY1091" s="15"/>
      <c r="KZ1091" s="15"/>
    </row>
    <row r="1092" spans="300:312" x14ac:dyDescent="0.3">
      <c r="KN1092" s="15"/>
      <c r="KO1092" s="15"/>
      <c r="KP1092" s="15"/>
      <c r="KQ1092" s="15"/>
      <c r="KR1092" s="15"/>
      <c r="KS1092" s="15"/>
      <c r="KT1092" s="15"/>
      <c r="KU1092" s="15"/>
      <c r="KV1092" s="15"/>
      <c r="KW1092" s="15"/>
      <c r="KX1092" s="15"/>
      <c r="KY1092" s="15"/>
      <c r="KZ1092" s="15"/>
    </row>
    <row r="1093" spans="300:312" x14ac:dyDescent="0.3">
      <c r="KN1093" s="15"/>
      <c r="KO1093" s="15"/>
      <c r="KP1093" s="15"/>
      <c r="KQ1093" s="15"/>
      <c r="KR1093" s="15"/>
      <c r="KS1093" s="15"/>
      <c r="KT1093" s="15"/>
      <c r="KU1093" s="15"/>
      <c r="KV1093" s="15"/>
      <c r="KW1093" s="15"/>
      <c r="KX1093" s="15"/>
      <c r="KY1093" s="15"/>
      <c r="KZ1093" s="15"/>
    </row>
    <row r="1094" spans="300:312" x14ac:dyDescent="0.3">
      <c r="KN1094" s="15"/>
      <c r="KO1094" s="15"/>
      <c r="KP1094" s="15"/>
      <c r="KQ1094" s="15"/>
      <c r="KR1094" s="15"/>
      <c r="KS1094" s="15"/>
      <c r="KT1094" s="15"/>
      <c r="KU1094" s="15"/>
      <c r="KV1094" s="15"/>
      <c r="KW1094" s="15"/>
      <c r="KX1094" s="15"/>
      <c r="KY1094" s="15"/>
      <c r="KZ1094" s="15"/>
    </row>
    <row r="1095" spans="300:312" x14ac:dyDescent="0.3">
      <c r="KN1095" s="15"/>
      <c r="KO1095" s="15"/>
      <c r="KP1095" s="15"/>
      <c r="KQ1095" s="15"/>
      <c r="KR1095" s="15"/>
      <c r="KS1095" s="15"/>
      <c r="KT1095" s="15"/>
      <c r="KU1095" s="15"/>
      <c r="KV1095" s="15"/>
      <c r="KW1095" s="15"/>
      <c r="KX1095" s="15"/>
      <c r="KY1095" s="15"/>
      <c r="KZ1095" s="15"/>
    </row>
    <row r="1096" spans="300:312" x14ac:dyDescent="0.3">
      <c r="KN1096" s="15"/>
      <c r="KO1096" s="15"/>
      <c r="KP1096" s="15"/>
      <c r="KQ1096" s="15"/>
      <c r="KR1096" s="15"/>
      <c r="KS1096" s="15"/>
      <c r="KT1096" s="15"/>
      <c r="KU1096" s="15"/>
      <c r="KV1096" s="15"/>
      <c r="KW1096" s="15"/>
      <c r="KX1096" s="15"/>
      <c r="KY1096" s="15"/>
      <c r="KZ1096" s="15"/>
    </row>
    <row r="1097" spans="300:312" x14ac:dyDescent="0.3">
      <c r="KN1097" s="15"/>
      <c r="KO1097" s="15"/>
      <c r="KP1097" s="15"/>
      <c r="KQ1097" s="15"/>
      <c r="KR1097" s="15"/>
      <c r="KS1097" s="15"/>
      <c r="KT1097" s="15"/>
      <c r="KU1097" s="15"/>
      <c r="KV1097" s="15"/>
      <c r="KW1097" s="15"/>
      <c r="KX1097" s="15"/>
      <c r="KY1097" s="15"/>
      <c r="KZ1097" s="15"/>
    </row>
    <row r="1098" spans="300:312" x14ac:dyDescent="0.3">
      <c r="KN1098" s="15"/>
      <c r="KO1098" s="15"/>
      <c r="KP1098" s="15"/>
      <c r="KQ1098" s="15"/>
      <c r="KR1098" s="15"/>
      <c r="KS1098" s="15"/>
      <c r="KT1098" s="15"/>
      <c r="KU1098" s="15"/>
      <c r="KV1098" s="15"/>
      <c r="KW1098" s="15"/>
      <c r="KX1098" s="15"/>
      <c r="KY1098" s="15"/>
      <c r="KZ1098" s="15"/>
    </row>
    <row r="1099" spans="300:312" x14ac:dyDescent="0.3">
      <c r="KN1099" s="15"/>
      <c r="KO1099" s="15"/>
      <c r="KP1099" s="15"/>
      <c r="KQ1099" s="15"/>
      <c r="KR1099" s="15"/>
      <c r="KS1099" s="15"/>
      <c r="KT1099" s="15"/>
      <c r="KU1099" s="15"/>
      <c r="KV1099" s="15"/>
      <c r="KW1099" s="15"/>
      <c r="KX1099" s="15"/>
      <c r="KY1099" s="15"/>
      <c r="KZ1099" s="15"/>
    </row>
    <row r="1100" spans="300:312" x14ac:dyDescent="0.3">
      <c r="KN1100" s="15"/>
      <c r="KO1100" s="15"/>
      <c r="KP1100" s="15"/>
      <c r="KQ1100" s="15"/>
      <c r="KR1100" s="15"/>
      <c r="KS1100" s="15"/>
      <c r="KT1100" s="15"/>
      <c r="KU1100" s="15"/>
      <c r="KV1100" s="15"/>
      <c r="KW1100" s="15"/>
      <c r="KX1100" s="15"/>
      <c r="KY1100" s="15"/>
      <c r="KZ1100" s="15"/>
    </row>
    <row r="1101" spans="300:312" x14ac:dyDescent="0.3">
      <c r="KN1101" s="15"/>
      <c r="KO1101" s="15"/>
      <c r="KP1101" s="15"/>
      <c r="KQ1101" s="15"/>
      <c r="KR1101" s="15"/>
      <c r="KS1101" s="15"/>
      <c r="KT1101" s="15"/>
      <c r="KU1101" s="15"/>
      <c r="KV1101" s="15"/>
      <c r="KW1101" s="15"/>
      <c r="KX1101" s="15"/>
      <c r="KY1101" s="15"/>
      <c r="KZ1101" s="15"/>
    </row>
    <row r="1102" spans="300:312" x14ac:dyDescent="0.3">
      <c r="KN1102" s="15"/>
      <c r="KO1102" s="15"/>
      <c r="KP1102" s="15"/>
      <c r="KQ1102" s="15"/>
      <c r="KR1102" s="15"/>
      <c r="KS1102" s="15"/>
      <c r="KT1102" s="15"/>
      <c r="KU1102" s="15"/>
      <c r="KV1102" s="15"/>
      <c r="KW1102" s="15"/>
      <c r="KX1102" s="15"/>
      <c r="KY1102" s="15"/>
      <c r="KZ1102" s="15"/>
    </row>
    <row r="1103" spans="300:312" x14ac:dyDescent="0.3">
      <c r="KN1103" s="15"/>
      <c r="KO1103" s="15"/>
      <c r="KP1103" s="15"/>
      <c r="KQ1103" s="15"/>
      <c r="KR1103" s="15"/>
      <c r="KS1103" s="15"/>
      <c r="KT1103" s="15"/>
      <c r="KU1103" s="15"/>
      <c r="KV1103" s="15"/>
      <c r="KW1103" s="15"/>
      <c r="KX1103" s="15"/>
      <c r="KY1103" s="15"/>
      <c r="KZ1103" s="15"/>
    </row>
    <row r="1104" spans="300:312" x14ac:dyDescent="0.3">
      <c r="KN1104" s="15"/>
      <c r="KO1104" s="15"/>
      <c r="KP1104" s="15"/>
      <c r="KQ1104" s="15"/>
      <c r="KR1104" s="15"/>
      <c r="KS1104" s="15"/>
      <c r="KT1104" s="15"/>
      <c r="KU1104" s="15"/>
      <c r="KV1104" s="15"/>
      <c r="KW1104" s="15"/>
      <c r="KX1104" s="15"/>
      <c r="KY1104" s="15"/>
      <c r="KZ1104" s="15"/>
    </row>
    <row r="1105" spans="300:312" x14ac:dyDescent="0.3">
      <c r="KN1105" s="15"/>
      <c r="KO1105" s="15"/>
      <c r="KP1105" s="15"/>
      <c r="KQ1105" s="15"/>
      <c r="KR1105" s="15"/>
      <c r="KS1105" s="15"/>
      <c r="KT1105" s="15"/>
      <c r="KU1105" s="15"/>
      <c r="KV1105" s="15"/>
      <c r="KW1105" s="15"/>
      <c r="KX1105" s="15"/>
      <c r="KY1105" s="15"/>
      <c r="KZ1105" s="15"/>
    </row>
    <row r="1106" spans="300:312" x14ac:dyDescent="0.3">
      <c r="KN1106" s="15"/>
      <c r="KO1106" s="15"/>
      <c r="KP1106" s="15"/>
      <c r="KQ1106" s="15"/>
      <c r="KR1106" s="15"/>
      <c r="KS1106" s="15"/>
      <c r="KT1106" s="15"/>
      <c r="KU1106" s="15"/>
      <c r="KV1106" s="15"/>
      <c r="KW1106" s="15"/>
      <c r="KX1106" s="15"/>
      <c r="KY1106" s="15"/>
      <c r="KZ1106" s="15"/>
    </row>
    <row r="1107" spans="300:312" x14ac:dyDescent="0.3">
      <c r="KN1107" s="15"/>
      <c r="KO1107" s="15"/>
      <c r="KP1107" s="15"/>
      <c r="KQ1107" s="15"/>
      <c r="KR1107" s="15"/>
      <c r="KS1107" s="15"/>
      <c r="KT1107" s="15"/>
      <c r="KU1107" s="15"/>
      <c r="KV1107" s="15"/>
      <c r="KW1107" s="15"/>
      <c r="KX1107" s="15"/>
      <c r="KY1107" s="15"/>
      <c r="KZ1107" s="15"/>
    </row>
    <row r="1108" spans="300:312" x14ac:dyDescent="0.3">
      <c r="KN1108" s="15"/>
      <c r="KO1108" s="15"/>
      <c r="KP1108" s="15"/>
      <c r="KQ1108" s="15"/>
      <c r="KR1108" s="15"/>
      <c r="KS1108" s="15"/>
      <c r="KT1108" s="15"/>
      <c r="KU1108" s="15"/>
      <c r="KV1108" s="15"/>
      <c r="KW1108" s="15"/>
      <c r="KX1108" s="15"/>
      <c r="KY1108" s="15"/>
      <c r="KZ1108" s="15"/>
    </row>
    <row r="1109" spans="300:312" x14ac:dyDescent="0.3">
      <c r="KN1109" s="15"/>
      <c r="KO1109" s="15"/>
      <c r="KP1109" s="15"/>
      <c r="KQ1109" s="15"/>
      <c r="KR1109" s="15"/>
      <c r="KS1109" s="15"/>
      <c r="KT1109" s="15"/>
      <c r="KU1109" s="15"/>
      <c r="KV1109" s="15"/>
      <c r="KW1109" s="15"/>
      <c r="KX1109" s="15"/>
      <c r="KY1109" s="15"/>
      <c r="KZ1109" s="15"/>
    </row>
    <row r="1110" spans="300:312" x14ac:dyDescent="0.3">
      <c r="KN1110" s="15"/>
      <c r="KO1110" s="15"/>
      <c r="KP1110" s="15"/>
      <c r="KQ1110" s="15"/>
      <c r="KR1110" s="15"/>
      <c r="KS1110" s="15"/>
      <c r="KT1110" s="15"/>
      <c r="KU1110" s="15"/>
      <c r="KV1110" s="15"/>
      <c r="KW1110" s="15"/>
      <c r="KX1110" s="15"/>
      <c r="KY1110" s="15"/>
      <c r="KZ1110" s="15"/>
    </row>
    <row r="1111" spans="300:312" x14ac:dyDescent="0.3">
      <c r="KN1111" s="15"/>
      <c r="KO1111" s="15"/>
      <c r="KP1111" s="15"/>
      <c r="KQ1111" s="15"/>
      <c r="KR1111" s="15"/>
      <c r="KS1111" s="15"/>
      <c r="KT1111" s="15"/>
      <c r="KU1111" s="15"/>
      <c r="KV1111" s="15"/>
      <c r="KW1111" s="15"/>
      <c r="KX1111" s="15"/>
      <c r="KY1111" s="15"/>
      <c r="KZ1111" s="15"/>
    </row>
    <row r="1112" spans="300:312" x14ac:dyDescent="0.3">
      <c r="KN1112" s="15"/>
      <c r="KO1112" s="15"/>
      <c r="KP1112" s="15"/>
      <c r="KQ1112" s="15"/>
      <c r="KR1112" s="15"/>
      <c r="KS1112" s="15"/>
      <c r="KT1112" s="15"/>
      <c r="KU1112" s="15"/>
      <c r="KV1112" s="15"/>
      <c r="KW1112" s="15"/>
      <c r="KX1112" s="15"/>
      <c r="KY1112" s="15"/>
      <c r="KZ1112" s="15"/>
    </row>
    <row r="1113" spans="300:312" x14ac:dyDescent="0.3">
      <c r="KN1113" s="15"/>
      <c r="KO1113" s="15"/>
      <c r="KP1113" s="15"/>
      <c r="KQ1113" s="15"/>
      <c r="KR1113" s="15"/>
      <c r="KS1113" s="15"/>
      <c r="KT1113" s="15"/>
      <c r="KU1113" s="15"/>
      <c r="KV1113" s="15"/>
      <c r="KW1113" s="15"/>
      <c r="KX1113" s="15"/>
      <c r="KY1113" s="15"/>
      <c r="KZ1113" s="15"/>
    </row>
    <row r="1114" spans="300:312" x14ac:dyDescent="0.3">
      <c r="KN1114" s="15"/>
      <c r="KO1114" s="15"/>
      <c r="KP1114" s="15"/>
      <c r="KQ1114" s="15"/>
      <c r="KR1114" s="15"/>
      <c r="KS1114" s="15"/>
      <c r="KT1114" s="15"/>
      <c r="KU1114" s="15"/>
      <c r="KV1114" s="15"/>
      <c r="KW1114" s="15"/>
      <c r="KX1114" s="15"/>
      <c r="KY1114" s="15"/>
      <c r="KZ1114" s="15"/>
    </row>
    <row r="1115" spans="300:312" x14ac:dyDescent="0.3">
      <c r="KN1115" s="15"/>
      <c r="KO1115" s="15"/>
      <c r="KP1115" s="15"/>
      <c r="KQ1115" s="15"/>
      <c r="KR1115" s="15"/>
      <c r="KS1115" s="15"/>
      <c r="KT1115" s="15"/>
      <c r="KU1115" s="15"/>
      <c r="KV1115" s="15"/>
      <c r="KW1115" s="15"/>
      <c r="KX1115" s="15"/>
      <c r="KY1115" s="15"/>
      <c r="KZ1115" s="15"/>
    </row>
    <row r="1116" spans="300:312" x14ac:dyDescent="0.3">
      <c r="KN1116" s="15"/>
      <c r="KO1116" s="15"/>
      <c r="KP1116" s="15"/>
      <c r="KQ1116" s="15"/>
      <c r="KR1116" s="15"/>
      <c r="KS1116" s="15"/>
      <c r="KT1116" s="15"/>
      <c r="KU1116" s="15"/>
      <c r="KV1116" s="15"/>
      <c r="KW1116" s="15"/>
      <c r="KX1116" s="15"/>
      <c r="KY1116" s="15"/>
      <c r="KZ1116" s="15"/>
    </row>
    <row r="1117" spans="300:312" x14ac:dyDescent="0.3">
      <c r="KN1117" s="15"/>
      <c r="KO1117" s="15"/>
      <c r="KP1117" s="15"/>
      <c r="KQ1117" s="15"/>
      <c r="KR1117" s="15"/>
      <c r="KS1117" s="15"/>
      <c r="KT1117" s="15"/>
      <c r="KU1117" s="15"/>
      <c r="KV1117" s="15"/>
      <c r="KW1117" s="15"/>
      <c r="KX1117" s="15"/>
      <c r="KY1117" s="15"/>
      <c r="KZ1117" s="15"/>
    </row>
    <row r="1118" spans="300:312" x14ac:dyDescent="0.3">
      <c r="KN1118" s="15"/>
      <c r="KO1118" s="15"/>
      <c r="KP1118" s="15"/>
      <c r="KQ1118" s="15"/>
      <c r="KR1118" s="15"/>
      <c r="KS1118" s="15"/>
      <c r="KT1118" s="15"/>
      <c r="KU1118" s="15"/>
      <c r="KV1118" s="15"/>
      <c r="KW1118" s="15"/>
      <c r="KX1118" s="15"/>
      <c r="KY1118" s="15"/>
      <c r="KZ1118" s="15"/>
    </row>
    <row r="1119" spans="300:312" x14ac:dyDescent="0.3">
      <c r="KN1119" s="15"/>
      <c r="KO1119" s="15"/>
      <c r="KP1119" s="15"/>
      <c r="KQ1119" s="15"/>
      <c r="KR1119" s="15"/>
      <c r="KS1119" s="15"/>
      <c r="KT1119" s="15"/>
      <c r="KU1119" s="15"/>
      <c r="KV1119" s="15"/>
      <c r="KW1119" s="15"/>
      <c r="KX1119" s="15"/>
      <c r="KY1119" s="15"/>
      <c r="KZ1119" s="15"/>
    </row>
    <row r="1120" spans="300:312" x14ac:dyDescent="0.3">
      <c r="KN1120" s="15"/>
      <c r="KO1120" s="15"/>
      <c r="KP1120" s="15"/>
      <c r="KQ1120" s="15"/>
      <c r="KR1120" s="15"/>
      <c r="KS1120" s="15"/>
      <c r="KT1120" s="15"/>
      <c r="KU1120" s="15"/>
      <c r="KV1120" s="15"/>
      <c r="KW1120" s="15"/>
      <c r="KX1120" s="15"/>
      <c r="KY1120" s="15"/>
      <c r="KZ1120" s="15"/>
    </row>
    <row r="1121" spans="300:312" x14ac:dyDescent="0.3">
      <c r="KN1121" s="15"/>
      <c r="KO1121" s="15"/>
      <c r="KP1121" s="15"/>
      <c r="KQ1121" s="15"/>
      <c r="KR1121" s="15"/>
      <c r="KS1121" s="15"/>
      <c r="KT1121" s="15"/>
      <c r="KU1121" s="15"/>
      <c r="KV1121" s="15"/>
      <c r="KW1121" s="15"/>
      <c r="KX1121" s="15"/>
      <c r="KY1121" s="15"/>
      <c r="KZ1121" s="15"/>
    </row>
    <row r="1122" spans="300:312" x14ac:dyDescent="0.3">
      <c r="KN1122" s="15"/>
      <c r="KO1122" s="15"/>
      <c r="KP1122" s="15"/>
      <c r="KQ1122" s="15"/>
      <c r="KR1122" s="15"/>
      <c r="KS1122" s="15"/>
      <c r="KT1122" s="15"/>
      <c r="KU1122" s="15"/>
      <c r="KV1122" s="15"/>
      <c r="KW1122" s="15"/>
      <c r="KX1122" s="15"/>
      <c r="KY1122" s="15"/>
      <c r="KZ1122" s="15"/>
    </row>
    <row r="1123" spans="300:312" x14ac:dyDescent="0.3">
      <c r="KN1123" s="15"/>
      <c r="KO1123" s="15"/>
      <c r="KP1123" s="15"/>
      <c r="KQ1123" s="15"/>
      <c r="KR1123" s="15"/>
      <c r="KS1123" s="15"/>
      <c r="KT1123" s="15"/>
      <c r="KU1123" s="15"/>
      <c r="KV1123" s="15"/>
      <c r="KW1123" s="15"/>
      <c r="KX1123" s="15"/>
      <c r="KY1123" s="15"/>
      <c r="KZ1123" s="15"/>
    </row>
    <row r="1124" spans="300:312" x14ac:dyDescent="0.3">
      <c r="KN1124" s="15"/>
      <c r="KO1124" s="15"/>
      <c r="KP1124" s="15"/>
      <c r="KQ1124" s="15"/>
      <c r="KR1124" s="15"/>
      <c r="KS1124" s="15"/>
      <c r="KT1124" s="15"/>
      <c r="KU1124" s="15"/>
      <c r="KV1124" s="15"/>
      <c r="KW1124" s="15"/>
      <c r="KX1124" s="15"/>
      <c r="KY1124" s="15"/>
      <c r="KZ1124" s="15"/>
    </row>
    <row r="1125" spans="300:312" x14ac:dyDescent="0.3">
      <c r="KN1125" s="15"/>
      <c r="KO1125" s="15"/>
      <c r="KP1125" s="15"/>
      <c r="KQ1125" s="15"/>
      <c r="KR1125" s="15"/>
      <c r="KS1125" s="15"/>
      <c r="KT1125" s="15"/>
      <c r="KU1125" s="15"/>
      <c r="KV1125" s="15"/>
      <c r="KW1125" s="15"/>
      <c r="KX1125" s="15"/>
      <c r="KY1125" s="15"/>
      <c r="KZ1125" s="15"/>
    </row>
    <row r="1126" spans="300:312" x14ac:dyDescent="0.3">
      <c r="KN1126" s="15"/>
      <c r="KO1126" s="15"/>
      <c r="KP1126" s="15"/>
      <c r="KQ1126" s="15"/>
      <c r="KR1126" s="15"/>
      <c r="KS1126" s="15"/>
      <c r="KT1126" s="15"/>
      <c r="KU1126" s="15"/>
      <c r="KV1126" s="15"/>
      <c r="KW1126" s="15"/>
      <c r="KX1126" s="15"/>
      <c r="KY1126" s="15"/>
      <c r="KZ1126" s="15"/>
    </row>
    <row r="1127" spans="300:312" x14ac:dyDescent="0.3">
      <c r="KN1127" s="15"/>
      <c r="KO1127" s="15"/>
      <c r="KP1127" s="15"/>
      <c r="KQ1127" s="15"/>
      <c r="KR1127" s="15"/>
      <c r="KS1127" s="15"/>
      <c r="KT1127" s="15"/>
      <c r="KU1127" s="15"/>
      <c r="KV1127" s="15"/>
      <c r="KW1127" s="15"/>
      <c r="KX1127" s="15"/>
      <c r="KY1127" s="15"/>
      <c r="KZ1127" s="15"/>
    </row>
    <row r="1128" spans="300:312" x14ac:dyDescent="0.3">
      <c r="KN1128" s="15"/>
      <c r="KO1128" s="15"/>
      <c r="KP1128" s="15"/>
      <c r="KQ1128" s="15"/>
      <c r="KR1128" s="15"/>
      <c r="KS1128" s="15"/>
      <c r="KT1128" s="15"/>
      <c r="KU1128" s="15"/>
      <c r="KV1128" s="15"/>
      <c r="KW1128" s="15"/>
      <c r="KX1128" s="15"/>
      <c r="KY1128" s="15"/>
      <c r="KZ1128" s="15"/>
    </row>
    <row r="1129" spans="300:312" x14ac:dyDescent="0.3">
      <c r="KN1129" s="15"/>
      <c r="KO1129" s="15"/>
      <c r="KP1129" s="15"/>
      <c r="KQ1129" s="15"/>
      <c r="KR1129" s="15"/>
      <c r="KS1129" s="15"/>
      <c r="KT1129" s="15"/>
      <c r="KU1129" s="15"/>
      <c r="KV1129" s="15"/>
      <c r="KW1129" s="15"/>
      <c r="KX1129" s="15"/>
      <c r="KY1129" s="15"/>
      <c r="KZ1129" s="15"/>
    </row>
    <row r="1130" spans="300:312" x14ac:dyDescent="0.3">
      <c r="KN1130" s="15"/>
      <c r="KO1130" s="15"/>
      <c r="KP1130" s="15"/>
      <c r="KQ1130" s="15"/>
      <c r="KR1130" s="15"/>
      <c r="KS1130" s="15"/>
      <c r="KT1130" s="15"/>
      <c r="KU1130" s="15"/>
      <c r="KV1130" s="15"/>
      <c r="KW1130" s="15"/>
      <c r="KX1130" s="15"/>
      <c r="KY1130" s="15"/>
      <c r="KZ1130" s="15"/>
    </row>
    <row r="1131" spans="300:312" x14ac:dyDescent="0.3">
      <c r="KN1131" s="15"/>
      <c r="KO1131" s="15"/>
      <c r="KP1131" s="15"/>
      <c r="KQ1131" s="15"/>
      <c r="KR1131" s="15"/>
      <c r="KS1131" s="15"/>
      <c r="KT1131" s="15"/>
      <c r="KU1131" s="15"/>
      <c r="KV1131" s="15"/>
      <c r="KW1131" s="15"/>
      <c r="KX1131" s="15"/>
      <c r="KY1131" s="15"/>
      <c r="KZ1131" s="15"/>
    </row>
    <row r="1132" spans="300:312" x14ac:dyDescent="0.3">
      <c r="KN1132" s="15"/>
      <c r="KO1132" s="15"/>
      <c r="KP1132" s="15"/>
      <c r="KQ1132" s="15"/>
      <c r="KR1132" s="15"/>
      <c r="KS1132" s="15"/>
      <c r="KT1132" s="15"/>
      <c r="KU1132" s="15"/>
      <c r="KV1132" s="15"/>
      <c r="KW1132" s="15"/>
      <c r="KX1132" s="15"/>
      <c r="KY1132" s="15"/>
      <c r="KZ1132" s="15"/>
    </row>
    <row r="1133" spans="300:312" x14ac:dyDescent="0.3">
      <c r="KN1133" s="15"/>
      <c r="KO1133" s="15"/>
      <c r="KP1133" s="15"/>
      <c r="KQ1133" s="15"/>
      <c r="KR1133" s="15"/>
      <c r="KS1133" s="15"/>
      <c r="KT1133" s="15"/>
      <c r="KU1133" s="15"/>
      <c r="KV1133" s="15"/>
      <c r="KW1133" s="15"/>
      <c r="KX1133" s="15"/>
      <c r="KY1133" s="15"/>
      <c r="KZ1133" s="15"/>
    </row>
    <row r="1134" spans="300:312" x14ac:dyDescent="0.3">
      <c r="KN1134" s="15"/>
      <c r="KO1134" s="15"/>
      <c r="KP1134" s="15"/>
      <c r="KQ1134" s="15"/>
      <c r="KR1134" s="15"/>
      <c r="KS1134" s="15"/>
      <c r="KT1134" s="15"/>
      <c r="KU1134" s="15"/>
      <c r="KV1134" s="15"/>
      <c r="KW1134" s="15"/>
      <c r="KX1134" s="15"/>
      <c r="KY1134" s="15"/>
      <c r="KZ1134" s="15"/>
    </row>
    <row r="1135" spans="300:312" x14ac:dyDescent="0.3">
      <c r="KN1135" s="15"/>
      <c r="KO1135" s="15"/>
      <c r="KP1135" s="15"/>
      <c r="KQ1135" s="15"/>
      <c r="KR1135" s="15"/>
      <c r="KS1135" s="15"/>
      <c r="KT1135" s="15"/>
      <c r="KU1135" s="15"/>
      <c r="KV1135" s="15"/>
      <c r="KW1135" s="15"/>
      <c r="KX1135" s="15"/>
      <c r="KY1135" s="15"/>
      <c r="KZ1135" s="15"/>
    </row>
    <row r="1136" spans="300:312" x14ac:dyDescent="0.3">
      <c r="KN1136" s="15"/>
      <c r="KO1136" s="15"/>
      <c r="KP1136" s="15"/>
      <c r="KQ1136" s="15"/>
      <c r="KR1136" s="15"/>
      <c r="KS1136" s="15"/>
      <c r="KT1136" s="15"/>
      <c r="KU1136" s="15"/>
      <c r="KV1136" s="15"/>
      <c r="KW1136" s="15"/>
      <c r="KX1136" s="15"/>
      <c r="KY1136" s="15"/>
      <c r="KZ1136" s="15"/>
    </row>
    <row r="1137" spans="300:312" x14ac:dyDescent="0.3">
      <c r="KN1137" s="15"/>
      <c r="KO1137" s="15"/>
      <c r="KP1137" s="15"/>
      <c r="KQ1137" s="15"/>
      <c r="KR1137" s="15"/>
      <c r="KS1137" s="15"/>
      <c r="KT1137" s="15"/>
      <c r="KU1137" s="15"/>
      <c r="KV1137" s="15"/>
      <c r="KW1137" s="15"/>
      <c r="KX1137" s="15"/>
      <c r="KY1137" s="15"/>
      <c r="KZ1137" s="15"/>
    </row>
    <row r="1138" spans="300:312" x14ac:dyDescent="0.3">
      <c r="KN1138" s="15"/>
      <c r="KO1138" s="15"/>
      <c r="KP1138" s="15"/>
      <c r="KQ1138" s="15"/>
      <c r="KR1138" s="15"/>
      <c r="KS1138" s="15"/>
      <c r="KT1138" s="15"/>
      <c r="KU1138" s="15"/>
      <c r="KV1138" s="15"/>
      <c r="KW1138" s="15"/>
      <c r="KX1138" s="15"/>
      <c r="KY1138" s="15"/>
      <c r="KZ1138" s="15"/>
    </row>
    <row r="1139" spans="300:312" x14ac:dyDescent="0.3">
      <c r="KN1139" s="15"/>
      <c r="KO1139" s="15"/>
      <c r="KP1139" s="15"/>
      <c r="KQ1139" s="15"/>
      <c r="KR1139" s="15"/>
      <c r="KS1139" s="15"/>
      <c r="KT1139" s="15"/>
      <c r="KU1139" s="15"/>
      <c r="KV1139" s="15"/>
      <c r="KW1139" s="15"/>
      <c r="KX1139" s="15"/>
      <c r="KY1139" s="15"/>
      <c r="KZ1139" s="15"/>
    </row>
    <row r="1140" spans="300:312" x14ac:dyDescent="0.3">
      <c r="KN1140" s="15"/>
      <c r="KO1140" s="15"/>
      <c r="KP1140" s="15"/>
      <c r="KQ1140" s="15"/>
      <c r="KR1140" s="15"/>
      <c r="KS1140" s="15"/>
      <c r="KT1140" s="15"/>
      <c r="KU1140" s="15"/>
      <c r="KV1140" s="15"/>
      <c r="KW1140" s="15"/>
      <c r="KX1140" s="15"/>
      <c r="KY1140" s="15"/>
      <c r="KZ1140" s="15"/>
    </row>
    <row r="1141" spans="300:312" x14ac:dyDescent="0.3">
      <c r="KN1141" s="15"/>
      <c r="KO1141" s="15"/>
      <c r="KP1141" s="15"/>
      <c r="KQ1141" s="15"/>
      <c r="KR1141" s="15"/>
      <c r="KS1141" s="15"/>
      <c r="KT1141" s="15"/>
      <c r="KU1141" s="15"/>
      <c r="KV1141" s="15"/>
      <c r="KW1141" s="15"/>
      <c r="KX1141" s="15"/>
      <c r="KY1141" s="15"/>
      <c r="KZ1141" s="15"/>
    </row>
    <row r="1142" spans="300:312" x14ac:dyDescent="0.3">
      <c r="KN1142" s="15"/>
      <c r="KO1142" s="15"/>
      <c r="KP1142" s="15"/>
      <c r="KQ1142" s="15"/>
      <c r="KR1142" s="15"/>
      <c r="KS1142" s="15"/>
      <c r="KT1142" s="15"/>
      <c r="KU1142" s="15"/>
      <c r="KV1142" s="15"/>
      <c r="KW1142" s="15"/>
      <c r="KX1142" s="15"/>
      <c r="KY1142" s="15"/>
      <c r="KZ1142" s="15"/>
    </row>
    <row r="1143" spans="300:312" x14ac:dyDescent="0.3">
      <c r="KN1143" s="15"/>
      <c r="KO1143" s="15"/>
      <c r="KP1143" s="15"/>
      <c r="KQ1143" s="15"/>
      <c r="KR1143" s="15"/>
      <c r="KS1143" s="15"/>
      <c r="KT1143" s="15"/>
      <c r="KU1143" s="15"/>
      <c r="KV1143" s="15"/>
      <c r="KW1143" s="15"/>
      <c r="KX1143" s="15"/>
      <c r="KY1143" s="15"/>
      <c r="KZ1143" s="15"/>
    </row>
    <row r="1144" spans="300:312" x14ac:dyDescent="0.3">
      <c r="KN1144" s="15"/>
      <c r="KO1144" s="15"/>
      <c r="KP1144" s="15"/>
      <c r="KQ1144" s="15"/>
      <c r="KR1144" s="15"/>
      <c r="KS1144" s="15"/>
      <c r="KT1144" s="15"/>
      <c r="KU1144" s="15"/>
      <c r="KV1144" s="15"/>
      <c r="KW1144" s="15"/>
      <c r="KX1144" s="15"/>
      <c r="KY1144" s="15"/>
      <c r="KZ1144" s="15"/>
    </row>
    <row r="1145" spans="300:312" x14ac:dyDescent="0.3">
      <c r="KN1145" s="15"/>
      <c r="KO1145" s="15"/>
      <c r="KP1145" s="15"/>
      <c r="KQ1145" s="15"/>
      <c r="KR1145" s="15"/>
      <c r="KS1145" s="15"/>
      <c r="KT1145" s="15"/>
      <c r="KU1145" s="15"/>
      <c r="KV1145" s="15"/>
      <c r="KW1145" s="15"/>
      <c r="KX1145" s="15"/>
      <c r="KY1145" s="15"/>
      <c r="KZ1145" s="15"/>
    </row>
    <row r="1146" spans="300:312" x14ac:dyDescent="0.3">
      <c r="KN1146" s="15"/>
      <c r="KO1146" s="15"/>
      <c r="KP1146" s="15"/>
      <c r="KQ1146" s="15"/>
      <c r="KR1146" s="15"/>
      <c r="KS1146" s="15"/>
      <c r="KT1146" s="15"/>
      <c r="KU1146" s="15"/>
      <c r="KV1146" s="15"/>
      <c r="KW1146" s="15"/>
      <c r="KX1146" s="15"/>
      <c r="KY1146" s="15"/>
      <c r="KZ1146" s="15"/>
    </row>
    <row r="1147" spans="300:312" x14ac:dyDescent="0.3">
      <c r="KN1147" s="15"/>
      <c r="KO1147" s="15"/>
      <c r="KP1147" s="15"/>
      <c r="KQ1147" s="15"/>
      <c r="KR1147" s="15"/>
      <c r="KS1147" s="15"/>
      <c r="KT1147" s="15"/>
      <c r="KU1147" s="15"/>
      <c r="KV1147" s="15"/>
      <c r="KW1147" s="15"/>
      <c r="KX1147" s="15"/>
      <c r="KY1147" s="15"/>
      <c r="KZ1147" s="15"/>
    </row>
    <row r="1148" spans="300:312" x14ac:dyDescent="0.3">
      <c r="KN1148" s="15"/>
      <c r="KO1148" s="15"/>
      <c r="KP1148" s="15"/>
      <c r="KQ1148" s="15"/>
      <c r="KR1148" s="15"/>
      <c r="KS1148" s="15"/>
      <c r="KT1148" s="15"/>
      <c r="KU1148" s="15"/>
      <c r="KV1148" s="15"/>
      <c r="KW1148" s="15"/>
      <c r="KX1148" s="15"/>
      <c r="KY1148" s="15"/>
      <c r="KZ1148" s="15"/>
    </row>
    <row r="1149" spans="300:312" x14ac:dyDescent="0.3">
      <c r="KN1149" s="15"/>
      <c r="KO1149" s="15"/>
      <c r="KP1149" s="15"/>
      <c r="KQ1149" s="15"/>
      <c r="KR1149" s="15"/>
      <c r="KS1149" s="15"/>
      <c r="KT1149" s="15"/>
      <c r="KU1149" s="15"/>
      <c r="KV1149" s="15"/>
      <c r="KW1149" s="15"/>
      <c r="KX1149" s="15"/>
      <c r="KY1149" s="15"/>
      <c r="KZ1149" s="15"/>
    </row>
    <row r="1150" spans="300:312" x14ac:dyDescent="0.3">
      <c r="KN1150" s="15"/>
      <c r="KO1150" s="15"/>
      <c r="KP1150" s="15"/>
      <c r="KQ1150" s="15"/>
      <c r="KR1150" s="15"/>
      <c r="KS1150" s="15"/>
      <c r="KT1150" s="15"/>
      <c r="KU1150" s="15"/>
      <c r="KV1150" s="15"/>
      <c r="KW1150" s="15"/>
      <c r="KX1150" s="15"/>
      <c r="KY1150" s="15"/>
      <c r="KZ1150" s="15"/>
    </row>
    <row r="1151" spans="300:312" x14ac:dyDescent="0.3">
      <c r="KN1151" s="15"/>
      <c r="KO1151" s="15"/>
      <c r="KP1151" s="15"/>
      <c r="KQ1151" s="15"/>
      <c r="KR1151" s="15"/>
      <c r="KS1151" s="15"/>
      <c r="KT1151" s="15"/>
      <c r="KU1151" s="15"/>
      <c r="KV1151" s="15"/>
      <c r="KW1151" s="15"/>
      <c r="KX1151" s="15"/>
      <c r="KY1151" s="15"/>
      <c r="KZ1151" s="15"/>
    </row>
    <row r="1152" spans="300:312" x14ac:dyDescent="0.3">
      <c r="KN1152" s="15"/>
      <c r="KO1152" s="15"/>
      <c r="KP1152" s="15"/>
      <c r="KQ1152" s="15"/>
      <c r="KR1152" s="15"/>
      <c r="KS1152" s="15"/>
      <c r="KT1152" s="15"/>
      <c r="KU1152" s="15"/>
      <c r="KV1152" s="15"/>
      <c r="KW1152" s="15"/>
      <c r="KX1152" s="15"/>
      <c r="KY1152" s="15"/>
      <c r="KZ1152" s="15"/>
    </row>
    <row r="1153" spans="300:312" x14ac:dyDescent="0.3">
      <c r="KN1153" s="15"/>
      <c r="KO1153" s="15"/>
      <c r="KP1153" s="15"/>
      <c r="KQ1153" s="15"/>
      <c r="KR1153" s="15"/>
      <c r="KS1153" s="15"/>
      <c r="KT1153" s="15"/>
      <c r="KU1153" s="15"/>
      <c r="KV1153" s="15"/>
      <c r="KW1153" s="15"/>
      <c r="KX1153" s="15"/>
      <c r="KY1153" s="15"/>
      <c r="KZ1153" s="15"/>
    </row>
    <row r="1154" spans="300:312" x14ac:dyDescent="0.3">
      <c r="KN1154" s="15"/>
      <c r="KO1154" s="15"/>
      <c r="KP1154" s="15"/>
      <c r="KQ1154" s="15"/>
      <c r="KR1154" s="15"/>
      <c r="KS1154" s="15"/>
      <c r="KT1154" s="15"/>
      <c r="KU1154" s="15"/>
      <c r="KV1154" s="15"/>
      <c r="KW1154" s="15"/>
      <c r="KX1154" s="15"/>
      <c r="KY1154" s="15"/>
      <c r="KZ1154" s="15"/>
    </row>
    <row r="1155" spans="300:312" x14ac:dyDescent="0.3">
      <c r="KN1155" s="15"/>
      <c r="KO1155" s="15"/>
      <c r="KP1155" s="15"/>
      <c r="KQ1155" s="15"/>
      <c r="KR1155" s="15"/>
      <c r="KS1155" s="15"/>
      <c r="KT1155" s="15"/>
      <c r="KU1155" s="15"/>
      <c r="KV1155" s="15"/>
      <c r="KW1155" s="15"/>
      <c r="KX1155" s="15"/>
      <c r="KY1155" s="15"/>
      <c r="KZ1155" s="15"/>
    </row>
    <row r="1156" spans="300:312" x14ac:dyDescent="0.3">
      <c r="KN1156" s="15"/>
      <c r="KO1156" s="15"/>
      <c r="KP1156" s="15"/>
      <c r="KQ1156" s="15"/>
      <c r="KR1156" s="15"/>
      <c r="KS1156" s="15"/>
      <c r="KT1156" s="15"/>
      <c r="KU1156" s="15"/>
      <c r="KV1156" s="15"/>
      <c r="KW1156" s="15"/>
      <c r="KX1156" s="15"/>
      <c r="KY1156" s="15"/>
      <c r="KZ1156" s="15"/>
    </row>
    <row r="1157" spans="300:312" x14ac:dyDescent="0.3">
      <c r="KN1157" s="15"/>
      <c r="KO1157" s="15"/>
      <c r="KP1157" s="15"/>
      <c r="KQ1157" s="15"/>
      <c r="KR1157" s="15"/>
      <c r="KS1157" s="15"/>
      <c r="KT1157" s="15"/>
      <c r="KU1157" s="15"/>
      <c r="KV1157" s="15"/>
      <c r="KW1157" s="15"/>
      <c r="KX1157" s="15"/>
      <c r="KY1157" s="15"/>
      <c r="KZ1157" s="15"/>
    </row>
    <row r="1158" spans="300:312" x14ac:dyDescent="0.3">
      <c r="KN1158" s="15"/>
      <c r="KO1158" s="15"/>
      <c r="KP1158" s="15"/>
      <c r="KQ1158" s="15"/>
      <c r="KR1158" s="15"/>
      <c r="KS1158" s="15"/>
      <c r="KT1158" s="15"/>
      <c r="KU1158" s="15"/>
      <c r="KV1158" s="15"/>
      <c r="KW1158" s="15"/>
      <c r="KX1158" s="15"/>
      <c r="KY1158" s="15"/>
      <c r="KZ1158" s="15"/>
    </row>
    <row r="1159" spans="300:312" x14ac:dyDescent="0.3">
      <c r="KN1159" s="15"/>
      <c r="KO1159" s="15"/>
      <c r="KP1159" s="15"/>
      <c r="KQ1159" s="15"/>
      <c r="KR1159" s="15"/>
      <c r="KS1159" s="15"/>
      <c r="KT1159" s="15"/>
      <c r="KU1159" s="15"/>
      <c r="KV1159" s="15"/>
      <c r="KW1159" s="15"/>
      <c r="KX1159" s="15"/>
      <c r="KY1159" s="15"/>
      <c r="KZ1159" s="15"/>
    </row>
    <row r="1160" spans="300:312" x14ac:dyDescent="0.3">
      <c r="KN1160" s="15"/>
      <c r="KO1160" s="15"/>
      <c r="KP1160" s="15"/>
      <c r="KQ1160" s="15"/>
      <c r="KR1160" s="15"/>
      <c r="KS1160" s="15"/>
      <c r="KT1160" s="15"/>
      <c r="KU1160" s="15"/>
      <c r="KV1160" s="15"/>
      <c r="KW1160" s="15"/>
      <c r="KX1160" s="15"/>
      <c r="KY1160" s="15"/>
      <c r="KZ1160" s="15"/>
    </row>
    <row r="1161" spans="300:312" x14ac:dyDescent="0.3">
      <c r="KN1161" s="15"/>
      <c r="KO1161" s="15"/>
      <c r="KP1161" s="15"/>
      <c r="KQ1161" s="15"/>
      <c r="KR1161" s="15"/>
      <c r="KS1161" s="15"/>
      <c r="KT1161" s="15"/>
      <c r="KU1161" s="15"/>
      <c r="KV1161" s="15"/>
      <c r="KW1161" s="15"/>
      <c r="KX1161" s="15"/>
      <c r="KY1161" s="15"/>
      <c r="KZ1161" s="15"/>
    </row>
    <row r="1162" spans="300:312" x14ac:dyDescent="0.3">
      <c r="KN1162" s="15"/>
      <c r="KO1162" s="15"/>
      <c r="KP1162" s="15"/>
      <c r="KQ1162" s="15"/>
      <c r="KR1162" s="15"/>
      <c r="KS1162" s="15"/>
      <c r="KT1162" s="15"/>
      <c r="KU1162" s="15"/>
      <c r="KV1162" s="15"/>
      <c r="KW1162" s="15"/>
      <c r="KX1162" s="15"/>
      <c r="KY1162" s="15"/>
      <c r="KZ1162" s="15"/>
    </row>
    <row r="1163" spans="300:312" x14ac:dyDescent="0.3">
      <c r="KN1163" s="15"/>
      <c r="KO1163" s="15"/>
      <c r="KP1163" s="15"/>
      <c r="KQ1163" s="15"/>
      <c r="KR1163" s="15"/>
      <c r="KS1163" s="15"/>
      <c r="KT1163" s="15"/>
      <c r="KU1163" s="15"/>
      <c r="KV1163" s="15"/>
      <c r="KW1163" s="15"/>
      <c r="KX1163" s="15"/>
      <c r="KY1163" s="15"/>
      <c r="KZ1163" s="15"/>
    </row>
    <row r="1164" spans="300:312" x14ac:dyDescent="0.3">
      <c r="KN1164" s="15"/>
      <c r="KO1164" s="15"/>
      <c r="KP1164" s="15"/>
      <c r="KQ1164" s="15"/>
      <c r="KR1164" s="15"/>
      <c r="KS1164" s="15"/>
      <c r="KT1164" s="15"/>
      <c r="KU1164" s="15"/>
      <c r="KV1164" s="15"/>
      <c r="KW1164" s="15"/>
      <c r="KX1164" s="15"/>
      <c r="KY1164" s="15"/>
      <c r="KZ1164" s="15"/>
    </row>
    <row r="1165" spans="300:312" x14ac:dyDescent="0.3">
      <c r="KN1165" s="15"/>
      <c r="KO1165" s="15"/>
      <c r="KP1165" s="15"/>
      <c r="KQ1165" s="15"/>
      <c r="KR1165" s="15"/>
      <c r="KS1165" s="15"/>
      <c r="KT1165" s="15"/>
      <c r="KU1165" s="15"/>
      <c r="KV1165" s="15"/>
      <c r="KW1165" s="15"/>
      <c r="KX1165" s="15"/>
      <c r="KY1165" s="15"/>
      <c r="KZ1165" s="15"/>
    </row>
    <row r="1166" spans="300:312" x14ac:dyDescent="0.3">
      <c r="KN1166" s="15"/>
      <c r="KO1166" s="15"/>
      <c r="KP1166" s="15"/>
      <c r="KQ1166" s="15"/>
      <c r="KR1166" s="15"/>
      <c r="KS1166" s="15"/>
      <c r="KT1166" s="15"/>
      <c r="KU1166" s="15"/>
      <c r="KV1166" s="15"/>
      <c r="KW1166" s="15"/>
      <c r="KX1166" s="15"/>
      <c r="KY1166" s="15"/>
      <c r="KZ1166" s="15"/>
    </row>
    <row r="1167" spans="300:312" x14ac:dyDescent="0.3">
      <c r="KN1167" s="15"/>
      <c r="KO1167" s="15"/>
      <c r="KP1167" s="15"/>
      <c r="KQ1167" s="15"/>
      <c r="KR1167" s="15"/>
      <c r="KS1167" s="15"/>
      <c r="KT1167" s="15"/>
      <c r="KU1167" s="15"/>
      <c r="KV1167" s="15"/>
      <c r="KW1167" s="15"/>
      <c r="KX1167" s="15"/>
      <c r="KY1167" s="15"/>
      <c r="KZ1167" s="15"/>
    </row>
    <row r="1168" spans="300:312" x14ac:dyDescent="0.3">
      <c r="KN1168" s="15"/>
      <c r="KO1168" s="15"/>
      <c r="KP1168" s="15"/>
      <c r="KQ1168" s="15"/>
      <c r="KR1168" s="15"/>
      <c r="KS1168" s="15"/>
      <c r="KT1168" s="15"/>
      <c r="KU1168" s="15"/>
      <c r="KV1168" s="15"/>
      <c r="KW1168" s="15"/>
      <c r="KX1168" s="15"/>
      <c r="KY1168" s="15"/>
      <c r="KZ1168" s="15"/>
    </row>
    <row r="1169" spans="300:312" x14ac:dyDescent="0.3">
      <c r="KN1169" s="15"/>
      <c r="KO1169" s="15"/>
      <c r="KP1169" s="15"/>
      <c r="KQ1169" s="15"/>
      <c r="KR1169" s="15"/>
      <c r="KS1169" s="15"/>
      <c r="KT1169" s="15"/>
      <c r="KU1169" s="15"/>
      <c r="KV1169" s="15"/>
      <c r="KW1169" s="15"/>
      <c r="KX1169" s="15"/>
      <c r="KY1169" s="15"/>
      <c r="KZ1169" s="15"/>
    </row>
    <row r="1170" spans="300:312" x14ac:dyDescent="0.3">
      <c r="KN1170" s="15"/>
      <c r="KO1170" s="15"/>
      <c r="KP1170" s="15"/>
      <c r="KQ1170" s="15"/>
      <c r="KR1170" s="15"/>
      <c r="KS1170" s="15"/>
      <c r="KT1170" s="15"/>
      <c r="KU1170" s="15"/>
      <c r="KV1170" s="15"/>
      <c r="KW1170" s="15"/>
      <c r="KX1170" s="15"/>
      <c r="KY1170" s="15"/>
      <c r="KZ1170" s="15"/>
    </row>
    <row r="1171" spans="300:312" x14ac:dyDescent="0.3">
      <c r="KN1171" s="15"/>
      <c r="KO1171" s="15"/>
      <c r="KP1171" s="15"/>
      <c r="KQ1171" s="15"/>
      <c r="KR1171" s="15"/>
      <c r="KS1171" s="15"/>
      <c r="KT1171" s="15"/>
      <c r="KU1171" s="15"/>
      <c r="KV1171" s="15"/>
      <c r="KW1171" s="15"/>
      <c r="KX1171" s="15"/>
      <c r="KY1171" s="15"/>
      <c r="KZ1171" s="15"/>
    </row>
    <row r="1172" spans="300:312" x14ac:dyDescent="0.3">
      <c r="KN1172" s="15"/>
      <c r="KO1172" s="15"/>
      <c r="KP1172" s="15"/>
      <c r="KQ1172" s="15"/>
      <c r="KR1172" s="15"/>
      <c r="KS1172" s="15"/>
      <c r="KT1172" s="15"/>
      <c r="KU1172" s="15"/>
      <c r="KV1172" s="15"/>
      <c r="KW1172" s="15"/>
      <c r="KX1172" s="15"/>
      <c r="KY1172" s="15"/>
      <c r="KZ1172" s="15"/>
    </row>
    <row r="1173" spans="300:312" x14ac:dyDescent="0.3">
      <c r="KN1173" s="15"/>
      <c r="KO1173" s="15"/>
      <c r="KP1173" s="15"/>
      <c r="KQ1173" s="15"/>
      <c r="KR1173" s="15"/>
      <c r="KS1173" s="15"/>
      <c r="KT1173" s="15"/>
      <c r="KU1173" s="15"/>
      <c r="KV1173" s="15"/>
      <c r="KW1173" s="15"/>
      <c r="KX1173" s="15"/>
      <c r="KY1173" s="15"/>
      <c r="KZ1173" s="15"/>
    </row>
    <row r="1174" spans="300:312" x14ac:dyDescent="0.3">
      <c r="KN1174" s="15"/>
      <c r="KO1174" s="15"/>
      <c r="KP1174" s="15"/>
      <c r="KQ1174" s="15"/>
      <c r="KR1174" s="15"/>
      <c r="KS1174" s="15"/>
      <c r="KT1174" s="15"/>
      <c r="KU1174" s="15"/>
      <c r="KV1174" s="15"/>
      <c r="KW1174" s="15"/>
      <c r="KX1174" s="15"/>
      <c r="KY1174" s="15"/>
      <c r="KZ1174" s="15"/>
    </row>
    <row r="1175" spans="300:312" x14ac:dyDescent="0.3">
      <c r="KN1175" s="15"/>
      <c r="KO1175" s="15"/>
      <c r="KP1175" s="15"/>
      <c r="KQ1175" s="15"/>
      <c r="KR1175" s="15"/>
      <c r="KS1175" s="15"/>
      <c r="KT1175" s="15"/>
      <c r="KU1175" s="15"/>
      <c r="KV1175" s="15"/>
      <c r="KW1175" s="15"/>
      <c r="KX1175" s="15"/>
      <c r="KY1175" s="15"/>
      <c r="KZ1175" s="15"/>
    </row>
    <row r="1176" spans="300:312" x14ac:dyDescent="0.3">
      <c r="KN1176" s="15"/>
      <c r="KO1176" s="15"/>
      <c r="KP1176" s="15"/>
      <c r="KQ1176" s="15"/>
      <c r="KR1176" s="15"/>
      <c r="KS1176" s="15"/>
      <c r="KT1176" s="15"/>
      <c r="KU1176" s="15"/>
      <c r="KV1176" s="15"/>
      <c r="KW1176" s="15"/>
      <c r="KX1176" s="15"/>
      <c r="KY1176" s="15"/>
      <c r="KZ1176" s="15"/>
    </row>
    <row r="1177" spans="300:312" x14ac:dyDescent="0.3">
      <c r="KN1177" s="15"/>
      <c r="KO1177" s="15"/>
      <c r="KP1177" s="15"/>
      <c r="KQ1177" s="15"/>
      <c r="KR1177" s="15"/>
      <c r="KS1177" s="15"/>
      <c r="KT1177" s="15"/>
      <c r="KU1177" s="15"/>
      <c r="KV1177" s="15"/>
      <c r="KW1177" s="15"/>
      <c r="KX1177" s="15"/>
      <c r="KY1177" s="15"/>
      <c r="KZ1177" s="15"/>
    </row>
    <row r="1178" spans="300:312" x14ac:dyDescent="0.3">
      <c r="KN1178" s="15"/>
      <c r="KO1178" s="15"/>
      <c r="KP1178" s="15"/>
      <c r="KQ1178" s="15"/>
      <c r="KR1178" s="15"/>
      <c r="KS1178" s="15"/>
      <c r="KT1178" s="15"/>
      <c r="KU1178" s="15"/>
      <c r="KV1178" s="15"/>
      <c r="KW1178" s="15"/>
      <c r="KX1178" s="15"/>
      <c r="KY1178" s="15"/>
      <c r="KZ1178" s="15"/>
    </row>
    <row r="1179" spans="300:312" x14ac:dyDescent="0.3">
      <c r="KN1179" s="15"/>
      <c r="KO1179" s="15"/>
      <c r="KP1179" s="15"/>
      <c r="KQ1179" s="15"/>
      <c r="KR1179" s="15"/>
      <c r="KS1179" s="15"/>
      <c r="KT1179" s="15"/>
      <c r="KU1179" s="15"/>
      <c r="KV1179" s="15"/>
      <c r="KW1179" s="15"/>
      <c r="KX1179" s="15"/>
      <c r="KY1179" s="15"/>
      <c r="KZ1179" s="15"/>
    </row>
    <row r="1180" spans="300:312" x14ac:dyDescent="0.3">
      <c r="KN1180" s="15"/>
      <c r="KO1180" s="15"/>
      <c r="KP1180" s="15"/>
      <c r="KQ1180" s="15"/>
      <c r="KR1180" s="15"/>
      <c r="KS1180" s="15"/>
      <c r="KT1180" s="15"/>
      <c r="KU1180" s="15"/>
      <c r="KV1180" s="15"/>
      <c r="KW1180" s="15"/>
      <c r="KX1180" s="15"/>
      <c r="KY1180" s="15"/>
      <c r="KZ1180" s="15"/>
    </row>
    <row r="1181" spans="300:312" x14ac:dyDescent="0.3">
      <c r="KN1181" s="15"/>
      <c r="KO1181" s="15"/>
      <c r="KP1181" s="15"/>
      <c r="KQ1181" s="15"/>
      <c r="KR1181" s="15"/>
      <c r="KS1181" s="15"/>
      <c r="KT1181" s="15"/>
      <c r="KU1181" s="15"/>
      <c r="KV1181" s="15"/>
      <c r="KW1181" s="15"/>
      <c r="KX1181" s="15"/>
      <c r="KY1181" s="15"/>
      <c r="KZ1181" s="15"/>
    </row>
    <row r="1182" spans="300:312" x14ac:dyDescent="0.3">
      <c r="KN1182" s="15"/>
      <c r="KO1182" s="15"/>
      <c r="KP1182" s="15"/>
      <c r="KQ1182" s="15"/>
      <c r="KR1182" s="15"/>
      <c r="KS1182" s="15"/>
      <c r="KT1182" s="15"/>
      <c r="KU1182" s="15"/>
      <c r="KV1182" s="15"/>
      <c r="KW1182" s="15"/>
      <c r="KX1182" s="15"/>
      <c r="KY1182" s="15"/>
      <c r="KZ1182" s="15"/>
    </row>
    <row r="1183" spans="300:312" x14ac:dyDescent="0.3">
      <c r="KN1183" s="15"/>
      <c r="KO1183" s="15"/>
      <c r="KP1183" s="15"/>
      <c r="KQ1183" s="15"/>
      <c r="KR1183" s="15"/>
      <c r="KS1183" s="15"/>
      <c r="KT1183" s="15"/>
      <c r="KU1183" s="15"/>
      <c r="KV1183" s="15"/>
      <c r="KW1183" s="15"/>
      <c r="KX1183" s="15"/>
      <c r="KY1183" s="15"/>
      <c r="KZ1183" s="15"/>
    </row>
    <row r="1184" spans="300:312" x14ac:dyDescent="0.3">
      <c r="KN1184" s="15"/>
      <c r="KO1184" s="15"/>
      <c r="KP1184" s="15"/>
      <c r="KQ1184" s="15"/>
      <c r="KR1184" s="15"/>
      <c r="KS1184" s="15"/>
      <c r="KT1184" s="15"/>
      <c r="KU1184" s="15"/>
      <c r="KV1184" s="15"/>
      <c r="KW1184" s="15"/>
      <c r="KX1184" s="15"/>
      <c r="KY1184" s="15"/>
      <c r="KZ1184" s="15"/>
    </row>
    <row r="1185" spans="300:312" x14ac:dyDescent="0.3">
      <c r="KN1185" s="15"/>
      <c r="KO1185" s="15"/>
      <c r="KP1185" s="15"/>
      <c r="KQ1185" s="15"/>
      <c r="KR1185" s="15"/>
      <c r="KS1185" s="15"/>
      <c r="KT1185" s="15"/>
      <c r="KU1185" s="15"/>
      <c r="KV1185" s="15"/>
      <c r="KW1185" s="15"/>
      <c r="KX1185" s="15"/>
      <c r="KY1185" s="15"/>
      <c r="KZ1185" s="15"/>
    </row>
    <row r="1186" spans="300:312" x14ac:dyDescent="0.3">
      <c r="KN1186" s="15"/>
      <c r="KO1186" s="15"/>
      <c r="KP1186" s="15"/>
      <c r="KQ1186" s="15"/>
      <c r="KR1186" s="15"/>
      <c r="KS1186" s="15"/>
      <c r="KT1186" s="15"/>
      <c r="KU1186" s="15"/>
      <c r="KV1186" s="15"/>
      <c r="KW1186" s="15"/>
      <c r="KX1186" s="15"/>
      <c r="KY1186" s="15"/>
      <c r="KZ1186" s="15"/>
    </row>
    <row r="1187" spans="300:312" x14ac:dyDescent="0.3">
      <c r="KN1187" s="15"/>
      <c r="KO1187" s="15"/>
      <c r="KP1187" s="15"/>
      <c r="KQ1187" s="15"/>
      <c r="KR1187" s="15"/>
      <c r="KS1187" s="15"/>
      <c r="KT1187" s="15"/>
      <c r="KU1187" s="15"/>
      <c r="KV1187" s="15"/>
      <c r="KW1187" s="15"/>
      <c r="KX1187" s="15"/>
      <c r="KY1187" s="15"/>
      <c r="KZ1187" s="15"/>
    </row>
    <row r="1188" spans="300:312" x14ac:dyDescent="0.3">
      <c r="KN1188" s="15"/>
      <c r="KO1188" s="15"/>
      <c r="KP1188" s="15"/>
      <c r="KQ1188" s="15"/>
      <c r="KR1188" s="15"/>
      <c r="KS1188" s="15"/>
      <c r="KT1188" s="15"/>
      <c r="KU1188" s="15"/>
      <c r="KV1188" s="15"/>
      <c r="KW1188" s="15"/>
      <c r="KX1188" s="15"/>
      <c r="KY1188" s="15"/>
      <c r="KZ1188" s="15"/>
    </row>
    <row r="1189" spans="300:312" x14ac:dyDescent="0.3">
      <c r="KN1189" s="15"/>
      <c r="KO1189" s="15"/>
      <c r="KP1189" s="15"/>
      <c r="KQ1189" s="15"/>
      <c r="KR1189" s="15"/>
      <c r="KS1189" s="15"/>
      <c r="KT1189" s="15"/>
      <c r="KU1189" s="15"/>
      <c r="KV1189" s="15"/>
      <c r="KW1189" s="15"/>
      <c r="KX1189" s="15"/>
      <c r="KY1189" s="15"/>
      <c r="KZ1189" s="15"/>
    </row>
    <row r="1190" spans="300:312" x14ac:dyDescent="0.3">
      <c r="KN1190" s="15"/>
      <c r="KO1190" s="15"/>
      <c r="KP1190" s="15"/>
      <c r="KQ1190" s="15"/>
      <c r="KR1190" s="15"/>
      <c r="KS1190" s="15"/>
      <c r="KT1190" s="15"/>
      <c r="KU1190" s="15"/>
      <c r="KV1190" s="15"/>
      <c r="KW1190" s="15"/>
      <c r="KX1190" s="15"/>
      <c r="KY1190" s="15"/>
      <c r="KZ1190" s="15"/>
    </row>
    <row r="1191" spans="300:312" x14ac:dyDescent="0.3">
      <c r="KN1191" s="15"/>
      <c r="KO1191" s="15"/>
      <c r="KP1191" s="15"/>
      <c r="KQ1191" s="15"/>
      <c r="KR1191" s="15"/>
      <c r="KS1191" s="15"/>
      <c r="KT1191" s="15"/>
      <c r="KU1191" s="15"/>
      <c r="KV1191" s="15"/>
      <c r="KW1191" s="15"/>
      <c r="KX1191" s="15"/>
      <c r="KY1191" s="15"/>
      <c r="KZ1191" s="15"/>
    </row>
    <row r="1192" spans="300:312" x14ac:dyDescent="0.3">
      <c r="KN1192" s="15"/>
      <c r="KO1192" s="15"/>
      <c r="KP1192" s="15"/>
      <c r="KQ1192" s="15"/>
      <c r="KR1192" s="15"/>
      <c r="KS1192" s="15"/>
      <c r="KT1192" s="15"/>
      <c r="KU1192" s="15"/>
      <c r="KV1192" s="15"/>
      <c r="KW1192" s="15"/>
      <c r="KX1192" s="15"/>
      <c r="KY1192" s="15"/>
      <c r="KZ1192" s="15"/>
    </row>
    <row r="1193" spans="300:312" x14ac:dyDescent="0.3">
      <c r="KN1193" s="15"/>
      <c r="KO1193" s="15"/>
      <c r="KP1193" s="15"/>
      <c r="KQ1193" s="15"/>
      <c r="KR1193" s="15"/>
      <c r="KS1193" s="15"/>
      <c r="KT1193" s="15"/>
      <c r="KU1193" s="15"/>
      <c r="KV1193" s="15"/>
      <c r="KW1193" s="15"/>
      <c r="KX1193" s="15"/>
      <c r="KY1193" s="15"/>
      <c r="KZ1193" s="15"/>
    </row>
    <row r="1194" spans="300:312" x14ac:dyDescent="0.3">
      <c r="KN1194" s="15"/>
      <c r="KO1194" s="15"/>
      <c r="KP1194" s="15"/>
      <c r="KQ1194" s="15"/>
      <c r="KR1194" s="15"/>
      <c r="KS1194" s="15"/>
      <c r="KT1194" s="15"/>
      <c r="KU1194" s="15"/>
      <c r="KV1194" s="15"/>
      <c r="KW1194" s="15"/>
      <c r="KX1194" s="15"/>
      <c r="KY1194" s="15"/>
      <c r="KZ1194" s="15"/>
    </row>
    <row r="1195" spans="300:312" x14ac:dyDescent="0.3">
      <c r="KN1195" s="15"/>
      <c r="KO1195" s="15"/>
      <c r="KP1195" s="15"/>
      <c r="KQ1195" s="15"/>
      <c r="KR1195" s="15"/>
      <c r="KS1195" s="15"/>
      <c r="KT1195" s="15"/>
      <c r="KU1195" s="15"/>
      <c r="KV1195" s="15"/>
      <c r="KW1195" s="15"/>
      <c r="KX1195" s="15"/>
      <c r="KY1195" s="15"/>
      <c r="KZ1195" s="15"/>
    </row>
    <row r="1196" spans="300:312" x14ac:dyDescent="0.3">
      <c r="KN1196" s="15"/>
      <c r="KO1196" s="15"/>
      <c r="KP1196" s="15"/>
      <c r="KQ1196" s="15"/>
      <c r="KR1196" s="15"/>
      <c r="KS1196" s="15"/>
      <c r="KT1196" s="15"/>
      <c r="KU1196" s="15"/>
      <c r="KV1196" s="15"/>
      <c r="KW1196" s="15"/>
      <c r="KX1196" s="15"/>
      <c r="KY1196" s="15"/>
      <c r="KZ1196" s="15"/>
    </row>
    <row r="1197" spans="300:312" x14ac:dyDescent="0.3">
      <c r="KN1197" s="15"/>
      <c r="KO1197" s="15"/>
      <c r="KP1197" s="15"/>
      <c r="KQ1197" s="15"/>
      <c r="KR1197" s="15"/>
      <c r="KS1197" s="15"/>
      <c r="KT1197" s="15"/>
      <c r="KU1197" s="15"/>
      <c r="KV1197" s="15"/>
      <c r="KW1197" s="15"/>
      <c r="KX1197" s="15"/>
      <c r="KY1197" s="15"/>
      <c r="KZ1197" s="15"/>
    </row>
    <row r="1198" spans="300:312" x14ac:dyDescent="0.3">
      <c r="KN1198" s="15"/>
      <c r="KO1198" s="15"/>
      <c r="KP1198" s="15"/>
      <c r="KQ1198" s="15"/>
      <c r="KR1198" s="15"/>
      <c r="KS1198" s="15"/>
      <c r="KT1198" s="15"/>
      <c r="KU1198" s="15"/>
      <c r="KV1198" s="15"/>
      <c r="KW1198" s="15"/>
      <c r="KX1198" s="15"/>
      <c r="KY1198" s="15"/>
      <c r="KZ1198" s="15"/>
    </row>
    <row r="1199" spans="300:312" x14ac:dyDescent="0.3">
      <c r="KN1199" s="15"/>
      <c r="KO1199" s="15"/>
      <c r="KP1199" s="15"/>
      <c r="KQ1199" s="15"/>
      <c r="KR1199" s="15"/>
      <c r="KS1199" s="15"/>
      <c r="KT1199" s="15"/>
      <c r="KU1199" s="15"/>
      <c r="KV1199" s="15"/>
      <c r="KW1199" s="15"/>
      <c r="KX1199" s="15"/>
      <c r="KY1199" s="15"/>
      <c r="KZ1199" s="15"/>
    </row>
    <row r="1200" spans="300:312" x14ac:dyDescent="0.3">
      <c r="KN1200" s="15"/>
      <c r="KO1200" s="15"/>
      <c r="KP1200" s="15"/>
      <c r="KQ1200" s="15"/>
      <c r="KR1200" s="15"/>
      <c r="KS1200" s="15"/>
      <c r="KT1200" s="15"/>
      <c r="KU1200" s="15"/>
      <c r="KV1200" s="15"/>
      <c r="KW1200" s="15"/>
      <c r="KX1200" s="15"/>
      <c r="KY1200" s="15"/>
      <c r="KZ1200" s="15"/>
    </row>
    <row r="1201" spans="300:312" x14ac:dyDescent="0.3">
      <c r="KN1201" s="15"/>
      <c r="KO1201" s="15"/>
      <c r="KP1201" s="15"/>
      <c r="KQ1201" s="15"/>
      <c r="KR1201" s="15"/>
      <c r="KS1201" s="15"/>
      <c r="KT1201" s="15"/>
      <c r="KU1201" s="15"/>
      <c r="KV1201" s="15"/>
      <c r="KW1201" s="15"/>
      <c r="KX1201" s="15"/>
      <c r="KY1201" s="15"/>
      <c r="KZ1201" s="15"/>
    </row>
    <row r="1202" spans="300:312" x14ac:dyDescent="0.3">
      <c r="KN1202" s="15"/>
      <c r="KO1202" s="15"/>
      <c r="KP1202" s="15"/>
      <c r="KQ1202" s="15"/>
      <c r="KR1202" s="15"/>
      <c r="KS1202" s="15"/>
      <c r="KT1202" s="15"/>
      <c r="KU1202" s="15"/>
      <c r="KV1202" s="15"/>
      <c r="KW1202" s="15"/>
      <c r="KX1202" s="15"/>
      <c r="KY1202" s="15"/>
      <c r="KZ1202" s="15"/>
    </row>
    <row r="1203" spans="300:312" x14ac:dyDescent="0.3">
      <c r="KN1203" s="15"/>
      <c r="KO1203" s="15"/>
      <c r="KP1203" s="15"/>
      <c r="KQ1203" s="15"/>
      <c r="KR1203" s="15"/>
      <c r="KS1203" s="15"/>
      <c r="KT1203" s="15"/>
      <c r="KU1203" s="15"/>
      <c r="KV1203" s="15"/>
      <c r="KW1203" s="15"/>
      <c r="KX1203" s="15"/>
      <c r="KY1203" s="15"/>
      <c r="KZ1203" s="15"/>
    </row>
    <row r="1204" spans="300:312" x14ac:dyDescent="0.3">
      <c r="KN1204" s="15"/>
      <c r="KO1204" s="15"/>
      <c r="KP1204" s="15"/>
      <c r="KQ1204" s="15"/>
      <c r="KR1204" s="15"/>
      <c r="KS1204" s="15"/>
      <c r="KT1204" s="15"/>
      <c r="KU1204" s="15"/>
      <c r="KV1204" s="15"/>
      <c r="KW1204" s="15"/>
      <c r="KX1204" s="15"/>
      <c r="KY1204" s="15"/>
      <c r="KZ1204" s="15"/>
    </row>
    <row r="1205" spans="300:312" x14ac:dyDescent="0.3">
      <c r="KN1205" s="15"/>
      <c r="KO1205" s="15"/>
      <c r="KP1205" s="15"/>
      <c r="KQ1205" s="15"/>
      <c r="KR1205" s="15"/>
      <c r="KS1205" s="15"/>
      <c r="KT1205" s="15"/>
      <c r="KU1205" s="15"/>
      <c r="KV1205" s="15"/>
      <c r="KW1205" s="15"/>
      <c r="KX1205" s="15"/>
      <c r="KY1205" s="15"/>
      <c r="KZ1205" s="15"/>
    </row>
    <row r="1206" spans="300:312" x14ac:dyDescent="0.3">
      <c r="KN1206" s="15"/>
      <c r="KO1206" s="15"/>
      <c r="KP1206" s="15"/>
      <c r="KQ1206" s="15"/>
      <c r="KR1206" s="15"/>
      <c r="KS1206" s="15"/>
      <c r="KT1206" s="15"/>
      <c r="KU1206" s="15"/>
      <c r="KV1206" s="15"/>
      <c r="KW1206" s="15"/>
      <c r="KX1206" s="15"/>
      <c r="KY1206" s="15"/>
      <c r="KZ1206" s="15"/>
    </row>
    <row r="1207" spans="300:312" x14ac:dyDescent="0.3">
      <c r="KN1207" s="15"/>
      <c r="KO1207" s="15"/>
      <c r="KP1207" s="15"/>
      <c r="KQ1207" s="15"/>
      <c r="KR1207" s="15"/>
      <c r="KS1207" s="15"/>
      <c r="KT1207" s="15"/>
      <c r="KU1207" s="15"/>
      <c r="KV1207" s="15"/>
      <c r="KW1207" s="15"/>
      <c r="KX1207" s="15"/>
      <c r="KY1207" s="15"/>
      <c r="KZ1207" s="15"/>
    </row>
    <row r="1208" spans="300:312" x14ac:dyDescent="0.3">
      <c r="KN1208" s="15"/>
      <c r="KO1208" s="15"/>
      <c r="KP1208" s="15"/>
      <c r="KQ1208" s="15"/>
      <c r="KR1208" s="15"/>
      <c r="KS1208" s="15"/>
      <c r="KT1208" s="15"/>
      <c r="KU1208" s="15"/>
      <c r="KV1208" s="15"/>
      <c r="KW1208" s="15"/>
      <c r="KX1208" s="15"/>
      <c r="KY1208" s="15"/>
      <c r="KZ1208" s="15"/>
    </row>
    <row r="1209" spans="300:312" x14ac:dyDescent="0.3">
      <c r="KN1209" s="15"/>
      <c r="KO1209" s="15"/>
      <c r="KP1209" s="15"/>
      <c r="KQ1209" s="15"/>
      <c r="KR1209" s="15"/>
      <c r="KS1209" s="15"/>
      <c r="KT1209" s="15"/>
      <c r="KU1209" s="15"/>
      <c r="KV1209" s="15"/>
      <c r="KW1209" s="15"/>
      <c r="KX1209" s="15"/>
      <c r="KY1209" s="15"/>
      <c r="KZ1209" s="15"/>
    </row>
    <row r="1210" spans="300:312" x14ac:dyDescent="0.3">
      <c r="KN1210" s="15"/>
      <c r="KO1210" s="15"/>
      <c r="KP1210" s="15"/>
      <c r="KQ1210" s="15"/>
      <c r="KR1210" s="15"/>
      <c r="KS1210" s="15"/>
      <c r="KT1210" s="15"/>
      <c r="KU1210" s="15"/>
      <c r="KV1210" s="15"/>
      <c r="KW1210" s="15"/>
      <c r="KX1210" s="15"/>
      <c r="KY1210" s="15"/>
      <c r="KZ1210" s="15"/>
    </row>
    <row r="1211" spans="300:312" x14ac:dyDescent="0.3">
      <c r="KN1211" s="15"/>
      <c r="KO1211" s="15"/>
      <c r="KP1211" s="15"/>
      <c r="KQ1211" s="15"/>
      <c r="KR1211" s="15"/>
      <c r="KS1211" s="15"/>
      <c r="KT1211" s="15"/>
      <c r="KU1211" s="15"/>
      <c r="KV1211" s="15"/>
      <c r="KW1211" s="15"/>
      <c r="KX1211" s="15"/>
      <c r="KY1211" s="15"/>
      <c r="KZ1211" s="15"/>
    </row>
    <row r="1212" spans="300:312" x14ac:dyDescent="0.3">
      <c r="KN1212" s="15"/>
      <c r="KO1212" s="15"/>
      <c r="KP1212" s="15"/>
      <c r="KQ1212" s="15"/>
      <c r="KR1212" s="15"/>
      <c r="KS1212" s="15"/>
      <c r="KT1212" s="15"/>
      <c r="KU1212" s="15"/>
      <c r="KV1212" s="15"/>
      <c r="KW1212" s="15"/>
      <c r="KX1212" s="15"/>
      <c r="KY1212" s="15"/>
      <c r="KZ1212" s="15"/>
    </row>
    <row r="1213" spans="300:312" x14ac:dyDescent="0.3">
      <c r="KN1213" s="15"/>
      <c r="KO1213" s="15"/>
      <c r="KP1213" s="15"/>
      <c r="KQ1213" s="15"/>
      <c r="KR1213" s="15"/>
      <c r="KS1213" s="15"/>
      <c r="KT1213" s="15"/>
      <c r="KU1213" s="15"/>
      <c r="KV1213" s="15"/>
      <c r="KW1213" s="15"/>
      <c r="KX1213" s="15"/>
      <c r="KY1213" s="15"/>
      <c r="KZ1213" s="15"/>
    </row>
    <row r="1214" spans="300:312" x14ac:dyDescent="0.3">
      <c r="KN1214" s="15"/>
      <c r="KO1214" s="15"/>
      <c r="KP1214" s="15"/>
      <c r="KQ1214" s="15"/>
      <c r="KR1214" s="15"/>
      <c r="KS1214" s="15"/>
      <c r="KT1214" s="15"/>
      <c r="KU1214" s="15"/>
      <c r="KV1214" s="15"/>
      <c r="KW1214" s="15"/>
      <c r="KX1214" s="15"/>
      <c r="KY1214" s="15"/>
      <c r="KZ1214" s="15"/>
    </row>
    <row r="1215" spans="300:312" x14ac:dyDescent="0.3">
      <c r="KN1215" s="15"/>
      <c r="KO1215" s="15"/>
      <c r="KP1215" s="15"/>
      <c r="KQ1215" s="15"/>
      <c r="KR1215" s="15"/>
      <c r="KS1215" s="15"/>
      <c r="KT1215" s="15"/>
      <c r="KU1215" s="15"/>
      <c r="KV1215" s="15"/>
      <c r="KW1215" s="15"/>
      <c r="KX1215" s="15"/>
      <c r="KY1215" s="15"/>
      <c r="KZ1215" s="15"/>
    </row>
    <row r="1216" spans="300:312" x14ac:dyDescent="0.3">
      <c r="KN1216" s="15"/>
      <c r="KO1216" s="15"/>
      <c r="KP1216" s="15"/>
      <c r="KQ1216" s="15"/>
      <c r="KR1216" s="15"/>
      <c r="KS1216" s="15"/>
      <c r="KT1216" s="15"/>
      <c r="KU1216" s="15"/>
      <c r="KV1216" s="15"/>
      <c r="KW1216" s="15"/>
      <c r="KX1216" s="15"/>
      <c r="KY1216" s="15"/>
      <c r="KZ1216" s="15"/>
    </row>
    <row r="1217" spans="300:312" x14ac:dyDescent="0.3">
      <c r="KN1217" s="15"/>
      <c r="KO1217" s="15"/>
      <c r="KP1217" s="15"/>
      <c r="KQ1217" s="15"/>
      <c r="KR1217" s="15"/>
      <c r="KS1217" s="15"/>
      <c r="KT1217" s="15"/>
      <c r="KU1217" s="15"/>
      <c r="KV1217" s="15"/>
      <c r="KW1217" s="15"/>
      <c r="KX1217" s="15"/>
      <c r="KY1217" s="15"/>
      <c r="KZ1217" s="15"/>
    </row>
    <row r="1218" spans="300:312" x14ac:dyDescent="0.3">
      <c r="KN1218" s="15"/>
      <c r="KO1218" s="15"/>
      <c r="KP1218" s="15"/>
      <c r="KQ1218" s="15"/>
      <c r="KR1218" s="15"/>
      <c r="KS1218" s="15"/>
      <c r="KT1218" s="15"/>
      <c r="KU1218" s="15"/>
      <c r="KV1218" s="15"/>
      <c r="KW1218" s="15"/>
      <c r="KX1218" s="15"/>
      <c r="KY1218" s="15"/>
      <c r="KZ1218" s="15"/>
    </row>
    <row r="1219" spans="300:312" x14ac:dyDescent="0.3">
      <c r="KN1219" s="15"/>
      <c r="KO1219" s="15"/>
      <c r="KP1219" s="15"/>
      <c r="KQ1219" s="15"/>
      <c r="KR1219" s="15"/>
      <c r="KS1219" s="15"/>
      <c r="KT1219" s="15"/>
      <c r="KU1219" s="15"/>
      <c r="KV1219" s="15"/>
      <c r="KW1219" s="15"/>
      <c r="KX1219" s="15"/>
      <c r="KY1219" s="15"/>
      <c r="KZ1219" s="15"/>
    </row>
    <row r="1220" spans="300:312" x14ac:dyDescent="0.3">
      <c r="KN1220" s="15"/>
      <c r="KO1220" s="15"/>
      <c r="KP1220" s="15"/>
      <c r="KQ1220" s="15"/>
      <c r="KR1220" s="15"/>
      <c r="KS1220" s="15"/>
      <c r="KT1220" s="15"/>
      <c r="KU1220" s="15"/>
      <c r="KV1220" s="15"/>
      <c r="KW1220" s="15"/>
      <c r="KX1220" s="15"/>
      <c r="KY1220" s="15"/>
      <c r="KZ1220" s="15"/>
    </row>
    <row r="1221" spans="300:312" x14ac:dyDescent="0.3">
      <c r="KN1221" s="15"/>
      <c r="KO1221" s="15"/>
      <c r="KP1221" s="15"/>
      <c r="KQ1221" s="15"/>
      <c r="KR1221" s="15"/>
      <c r="KS1221" s="15"/>
      <c r="KT1221" s="15"/>
      <c r="KU1221" s="15"/>
      <c r="KV1221" s="15"/>
      <c r="KW1221" s="15"/>
      <c r="KX1221" s="15"/>
      <c r="KY1221" s="15"/>
      <c r="KZ1221" s="15"/>
    </row>
    <row r="1222" spans="300:312" x14ac:dyDescent="0.3">
      <c r="KN1222" s="15"/>
      <c r="KO1222" s="15"/>
      <c r="KP1222" s="15"/>
      <c r="KQ1222" s="15"/>
      <c r="KR1222" s="15"/>
      <c r="KS1222" s="15"/>
      <c r="KT1222" s="15"/>
      <c r="KU1222" s="15"/>
      <c r="KV1222" s="15"/>
      <c r="KW1222" s="15"/>
      <c r="KX1222" s="15"/>
      <c r="KY1222" s="15"/>
      <c r="KZ1222" s="15"/>
    </row>
    <row r="1223" spans="300:312" x14ac:dyDescent="0.3">
      <c r="KN1223" s="15"/>
      <c r="KO1223" s="15"/>
      <c r="KP1223" s="15"/>
      <c r="KQ1223" s="15"/>
      <c r="KR1223" s="15"/>
      <c r="KS1223" s="15"/>
      <c r="KT1223" s="15"/>
      <c r="KU1223" s="15"/>
      <c r="KV1223" s="15"/>
      <c r="KW1223" s="15"/>
      <c r="KX1223" s="15"/>
      <c r="KY1223" s="15"/>
      <c r="KZ1223" s="15"/>
    </row>
    <row r="1224" spans="300:312" x14ac:dyDescent="0.3">
      <c r="KN1224" s="15"/>
      <c r="KO1224" s="15"/>
      <c r="KP1224" s="15"/>
      <c r="KQ1224" s="15"/>
      <c r="KR1224" s="15"/>
      <c r="KS1224" s="15"/>
      <c r="KT1224" s="15"/>
      <c r="KU1224" s="15"/>
      <c r="KV1224" s="15"/>
      <c r="KW1224" s="15"/>
      <c r="KX1224" s="15"/>
      <c r="KY1224" s="15"/>
      <c r="KZ1224" s="15"/>
    </row>
    <row r="1225" spans="300:312" x14ac:dyDescent="0.3">
      <c r="KN1225" s="15"/>
      <c r="KO1225" s="15"/>
      <c r="KP1225" s="15"/>
      <c r="KQ1225" s="15"/>
      <c r="KR1225" s="15"/>
      <c r="KS1225" s="15"/>
      <c r="KT1225" s="15"/>
      <c r="KU1225" s="15"/>
      <c r="KV1225" s="15"/>
      <c r="KW1225" s="15"/>
      <c r="KX1225" s="15"/>
      <c r="KY1225" s="15"/>
      <c r="KZ1225" s="15"/>
    </row>
    <row r="1226" spans="300:312" x14ac:dyDescent="0.3">
      <c r="KN1226" s="15"/>
      <c r="KO1226" s="15"/>
      <c r="KP1226" s="15"/>
      <c r="KQ1226" s="15"/>
      <c r="KR1226" s="15"/>
      <c r="KS1226" s="15"/>
      <c r="KT1226" s="15"/>
      <c r="KU1226" s="15"/>
      <c r="KV1226" s="15"/>
      <c r="KW1226" s="15"/>
      <c r="KX1226" s="15"/>
      <c r="KY1226" s="15"/>
      <c r="KZ1226" s="15"/>
    </row>
    <row r="1227" spans="300:312" x14ac:dyDescent="0.3">
      <c r="KN1227" s="15"/>
      <c r="KO1227" s="15"/>
      <c r="KP1227" s="15"/>
      <c r="KQ1227" s="15"/>
      <c r="KR1227" s="15"/>
      <c r="KS1227" s="15"/>
      <c r="KT1227" s="15"/>
      <c r="KU1227" s="15"/>
      <c r="KV1227" s="15"/>
      <c r="KW1227" s="15"/>
      <c r="KX1227" s="15"/>
      <c r="KY1227" s="15"/>
      <c r="KZ1227" s="15"/>
    </row>
    <row r="1228" spans="300:312" x14ac:dyDescent="0.3">
      <c r="KN1228" s="15"/>
      <c r="KO1228" s="15"/>
      <c r="KP1228" s="15"/>
      <c r="KQ1228" s="15"/>
      <c r="KR1228" s="15"/>
      <c r="KS1228" s="15"/>
      <c r="KT1228" s="15"/>
      <c r="KU1228" s="15"/>
      <c r="KV1228" s="15"/>
      <c r="KW1228" s="15"/>
      <c r="KX1228" s="15"/>
      <c r="KY1228" s="15"/>
      <c r="KZ1228" s="15"/>
    </row>
    <row r="1229" spans="300:312" x14ac:dyDescent="0.3">
      <c r="KN1229" s="15"/>
      <c r="KO1229" s="15"/>
      <c r="KP1229" s="15"/>
      <c r="KQ1229" s="15"/>
      <c r="KR1229" s="15"/>
      <c r="KS1229" s="15"/>
      <c r="KT1229" s="15"/>
      <c r="KU1229" s="15"/>
      <c r="KV1229" s="15"/>
      <c r="KW1229" s="15"/>
      <c r="KX1229" s="15"/>
      <c r="KY1229" s="15"/>
      <c r="KZ1229" s="15"/>
    </row>
    <row r="1230" spans="300:312" x14ac:dyDescent="0.3">
      <c r="KN1230" s="15"/>
      <c r="KO1230" s="15"/>
      <c r="KP1230" s="15"/>
      <c r="KQ1230" s="15"/>
      <c r="KR1230" s="15"/>
      <c r="KS1230" s="15"/>
      <c r="KT1230" s="15"/>
      <c r="KU1230" s="15"/>
      <c r="KV1230" s="15"/>
      <c r="KW1230" s="15"/>
      <c r="KX1230" s="15"/>
      <c r="KY1230" s="15"/>
      <c r="KZ1230" s="15"/>
    </row>
    <row r="1231" spans="300:312" x14ac:dyDescent="0.3">
      <c r="KN1231" s="15"/>
      <c r="KO1231" s="15"/>
      <c r="KP1231" s="15"/>
      <c r="KQ1231" s="15"/>
      <c r="KR1231" s="15"/>
      <c r="KS1231" s="15"/>
      <c r="KT1231" s="15"/>
      <c r="KU1231" s="15"/>
      <c r="KV1231" s="15"/>
      <c r="KW1231" s="15"/>
      <c r="KX1231" s="15"/>
      <c r="KY1231" s="15"/>
      <c r="KZ1231" s="15"/>
    </row>
    <row r="1232" spans="300:312" x14ac:dyDescent="0.3">
      <c r="KN1232" s="15"/>
      <c r="KO1232" s="15"/>
      <c r="KP1232" s="15"/>
      <c r="KQ1232" s="15"/>
      <c r="KR1232" s="15"/>
      <c r="KS1232" s="15"/>
      <c r="KT1232" s="15"/>
      <c r="KU1232" s="15"/>
      <c r="KV1232" s="15"/>
      <c r="KW1232" s="15"/>
      <c r="KX1232" s="15"/>
      <c r="KY1232" s="15"/>
      <c r="KZ1232" s="15"/>
    </row>
    <row r="1233" spans="300:312" x14ac:dyDescent="0.3">
      <c r="KN1233" s="15"/>
      <c r="KO1233" s="15"/>
      <c r="KP1233" s="15"/>
      <c r="KQ1233" s="15"/>
      <c r="KR1233" s="15"/>
      <c r="KS1233" s="15"/>
      <c r="KT1233" s="15"/>
      <c r="KU1233" s="15"/>
      <c r="KV1233" s="15"/>
      <c r="KW1233" s="15"/>
      <c r="KX1233" s="15"/>
      <c r="KY1233" s="15"/>
      <c r="KZ1233" s="15"/>
    </row>
    <row r="1234" spans="300:312" x14ac:dyDescent="0.3">
      <c r="KN1234" s="15"/>
      <c r="KO1234" s="15"/>
      <c r="KP1234" s="15"/>
      <c r="KQ1234" s="15"/>
      <c r="KR1234" s="15"/>
      <c r="KS1234" s="15"/>
      <c r="KT1234" s="15"/>
      <c r="KU1234" s="15"/>
      <c r="KV1234" s="15"/>
      <c r="KW1234" s="15"/>
      <c r="KX1234" s="15"/>
      <c r="KY1234" s="15"/>
      <c r="KZ1234" s="15"/>
    </row>
    <row r="1235" spans="300:312" x14ac:dyDescent="0.3">
      <c r="KN1235" s="15"/>
      <c r="KO1235" s="15"/>
      <c r="KP1235" s="15"/>
      <c r="KQ1235" s="15"/>
      <c r="KR1235" s="15"/>
      <c r="KS1235" s="15"/>
      <c r="KT1235" s="15"/>
      <c r="KU1235" s="15"/>
      <c r="KV1235" s="15"/>
      <c r="KW1235" s="15"/>
      <c r="KX1235" s="15"/>
      <c r="KY1235" s="15"/>
      <c r="KZ1235" s="15"/>
    </row>
    <row r="1236" spans="300:312" x14ac:dyDescent="0.3">
      <c r="KN1236" s="15"/>
      <c r="KO1236" s="15"/>
      <c r="KP1236" s="15"/>
      <c r="KQ1236" s="15"/>
      <c r="KR1236" s="15"/>
      <c r="KS1236" s="15"/>
      <c r="KT1236" s="15"/>
      <c r="KU1236" s="15"/>
      <c r="KV1236" s="15"/>
      <c r="KW1236" s="15"/>
      <c r="KX1236" s="15"/>
      <c r="KY1236" s="15"/>
      <c r="KZ1236" s="15"/>
    </row>
    <row r="1237" spans="300:312" x14ac:dyDescent="0.3">
      <c r="KN1237" s="15"/>
      <c r="KO1237" s="15"/>
      <c r="KP1237" s="15"/>
      <c r="KQ1237" s="15"/>
      <c r="KR1237" s="15"/>
      <c r="KS1237" s="15"/>
      <c r="KT1237" s="15"/>
      <c r="KU1237" s="15"/>
      <c r="KV1237" s="15"/>
      <c r="KW1237" s="15"/>
      <c r="KX1237" s="15"/>
      <c r="KY1237" s="15"/>
      <c r="KZ1237" s="15"/>
    </row>
    <row r="1238" spans="300:312" x14ac:dyDescent="0.3">
      <c r="KN1238" s="15"/>
      <c r="KO1238" s="15"/>
      <c r="KP1238" s="15"/>
      <c r="KQ1238" s="15"/>
      <c r="KR1238" s="15"/>
      <c r="KS1238" s="15"/>
      <c r="KT1238" s="15"/>
      <c r="KU1238" s="15"/>
      <c r="KV1238" s="15"/>
      <c r="KW1238" s="15"/>
      <c r="KX1238" s="15"/>
      <c r="KY1238" s="15"/>
      <c r="KZ1238" s="15"/>
    </row>
    <row r="1239" spans="300:312" x14ac:dyDescent="0.3">
      <c r="KN1239" s="15"/>
      <c r="KO1239" s="15"/>
      <c r="KP1239" s="15"/>
      <c r="KQ1239" s="15"/>
      <c r="KR1239" s="15"/>
      <c r="KS1239" s="15"/>
      <c r="KT1239" s="15"/>
      <c r="KU1239" s="15"/>
      <c r="KV1239" s="15"/>
      <c r="KW1239" s="15"/>
      <c r="KX1239" s="15"/>
      <c r="KY1239" s="15"/>
      <c r="KZ1239" s="15"/>
    </row>
    <row r="1240" spans="300:312" x14ac:dyDescent="0.3">
      <c r="KN1240" s="15"/>
      <c r="KO1240" s="15"/>
      <c r="KP1240" s="15"/>
      <c r="KQ1240" s="15"/>
      <c r="KR1240" s="15"/>
      <c r="KS1240" s="15"/>
      <c r="KT1240" s="15"/>
      <c r="KU1240" s="15"/>
      <c r="KV1240" s="15"/>
      <c r="KW1240" s="15"/>
      <c r="KX1240" s="15"/>
      <c r="KY1240" s="15"/>
      <c r="KZ1240" s="15"/>
    </row>
    <row r="1241" spans="300:312" x14ac:dyDescent="0.3">
      <c r="KN1241" s="15"/>
      <c r="KO1241" s="15"/>
      <c r="KP1241" s="15"/>
      <c r="KQ1241" s="15"/>
      <c r="KR1241" s="15"/>
      <c r="KS1241" s="15"/>
      <c r="KT1241" s="15"/>
      <c r="KU1241" s="15"/>
      <c r="KV1241" s="15"/>
      <c r="KW1241" s="15"/>
      <c r="KX1241" s="15"/>
      <c r="KY1241" s="15"/>
      <c r="KZ1241" s="15"/>
    </row>
    <row r="1242" spans="300:312" x14ac:dyDescent="0.3">
      <c r="KN1242" s="15"/>
      <c r="KO1242" s="15"/>
      <c r="KP1242" s="15"/>
      <c r="KQ1242" s="15"/>
      <c r="KR1242" s="15"/>
      <c r="KS1242" s="15"/>
      <c r="KT1242" s="15"/>
      <c r="KU1242" s="15"/>
      <c r="KV1242" s="15"/>
      <c r="KW1242" s="15"/>
      <c r="KX1242" s="15"/>
      <c r="KY1242" s="15"/>
      <c r="KZ1242" s="15"/>
    </row>
    <row r="1243" spans="300:312" x14ac:dyDescent="0.3">
      <c r="KN1243" s="15"/>
      <c r="KO1243" s="15"/>
      <c r="KP1243" s="15"/>
      <c r="KQ1243" s="15"/>
      <c r="KR1243" s="15"/>
      <c r="KS1243" s="15"/>
      <c r="KT1243" s="15"/>
      <c r="KU1243" s="15"/>
      <c r="KV1243" s="15"/>
      <c r="KW1243" s="15"/>
      <c r="KX1243" s="15"/>
      <c r="KY1243" s="15"/>
      <c r="KZ1243" s="15"/>
    </row>
    <row r="1244" spans="300:312" x14ac:dyDescent="0.3">
      <c r="KN1244" s="15"/>
      <c r="KO1244" s="15"/>
      <c r="KP1244" s="15"/>
      <c r="KQ1244" s="15"/>
      <c r="KR1244" s="15"/>
      <c r="KS1244" s="15"/>
      <c r="KT1244" s="15"/>
      <c r="KU1244" s="15"/>
      <c r="KV1244" s="15"/>
      <c r="KW1244" s="15"/>
      <c r="KX1244" s="15"/>
      <c r="KY1244" s="15"/>
      <c r="KZ1244" s="15"/>
    </row>
    <row r="1245" spans="300:312" x14ac:dyDescent="0.3">
      <c r="KN1245" s="15"/>
      <c r="KO1245" s="15"/>
      <c r="KP1245" s="15"/>
      <c r="KQ1245" s="15"/>
      <c r="KR1245" s="15"/>
      <c r="KS1245" s="15"/>
      <c r="KT1245" s="15"/>
      <c r="KU1245" s="15"/>
      <c r="KV1245" s="15"/>
      <c r="KW1245" s="15"/>
      <c r="KX1245" s="15"/>
      <c r="KY1245" s="15"/>
      <c r="KZ1245" s="15"/>
    </row>
    <row r="1246" spans="300:312" x14ac:dyDescent="0.3">
      <c r="KN1246" s="15"/>
      <c r="KO1246" s="15"/>
      <c r="KP1246" s="15"/>
      <c r="KQ1246" s="15"/>
      <c r="KR1246" s="15"/>
      <c r="KS1246" s="15"/>
      <c r="KT1246" s="15"/>
      <c r="KU1246" s="15"/>
      <c r="KV1246" s="15"/>
      <c r="KW1246" s="15"/>
      <c r="KX1246" s="15"/>
      <c r="KY1246" s="15"/>
      <c r="KZ1246" s="15"/>
    </row>
    <row r="1247" spans="300:312" x14ac:dyDescent="0.3">
      <c r="KN1247" s="15"/>
      <c r="KO1247" s="15"/>
      <c r="KP1247" s="15"/>
      <c r="KQ1247" s="15"/>
      <c r="KR1247" s="15"/>
      <c r="KS1247" s="15"/>
      <c r="KT1247" s="15"/>
      <c r="KU1247" s="15"/>
      <c r="KV1247" s="15"/>
      <c r="KW1247" s="15"/>
      <c r="KX1247" s="15"/>
      <c r="KY1247" s="15"/>
      <c r="KZ1247" s="15"/>
    </row>
    <row r="1248" spans="300:312" x14ac:dyDescent="0.3">
      <c r="KN1248" s="15"/>
      <c r="KO1248" s="15"/>
      <c r="KP1248" s="15"/>
      <c r="KQ1248" s="15"/>
      <c r="KR1248" s="15"/>
      <c r="KS1248" s="15"/>
      <c r="KT1248" s="15"/>
      <c r="KU1248" s="15"/>
      <c r="KV1248" s="15"/>
      <c r="KW1248" s="15"/>
      <c r="KX1248" s="15"/>
      <c r="KY1248" s="15"/>
      <c r="KZ1248" s="15"/>
    </row>
    <row r="1249" spans="300:312" x14ac:dyDescent="0.3">
      <c r="KN1249" s="15"/>
      <c r="KO1249" s="15"/>
      <c r="KP1249" s="15"/>
      <c r="KQ1249" s="15"/>
      <c r="KR1249" s="15"/>
      <c r="KS1249" s="15"/>
      <c r="KT1249" s="15"/>
      <c r="KU1249" s="15"/>
      <c r="KV1249" s="15"/>
      <c r="KW1249" s="15"/>
      <c r="KX1249" s="15"/>
      <c r="KY1249" s="15"/>
      <c r="KZ1249" s="15"/>
    </row>
    <row r="1250" spans="300:312" x14ac:dyDescent="0.3">
      <c r="KN1250" s="15"/>
      <c r="KO1250" s="15"/>
      <c r="KP1250" s="15"/>
      <c r="KQ1250" s="15"/>
      <c r="KR1250" s="15"/>
      <c r="KS1250" s="15"/>
      <c r="KT1250" s="15"/>
      <c r="KU1250" s="15"/>
      <c r="KV1250" s="15"/>
      <c r="KW1250" s="15"/>
      <c r="KX1250" s="15"/>
      <c r="KY1250" s="15"/>
      <c r="KZ1250" s="15"/>
    </row>
    <row r="1251" spans="300:312" x14ac:dyDescent="0.3">
      <c r="KN1251" s="15"/>
      <c r="KO1251" s="15"/>
      <c r="KP1251" s="15"/>
      <c r="KQ1251" s="15"/>
      <c r="KR1251" s="15"/>
      <c r="KS1251" s="15"/>
      <c r="KT1251" s="15"/>
      <c r="KU1251" s="15"/>
      <c r="KV1251" s="15"/>
      <c r="KW1251" s="15"/>
      <c r="KX1251" s="15"/>
      <c r="KY1251" s="15"/>
      <c r="KZ1251" s="15"/>
    </row>
    <row r="1252" spans="300:312" x14ac:dyDescent="0.3">
      <c r="KN1252" s="15"/>
      <c r="KO1252" s="15"/>
      <c r="KP1252" s="15"/>
      <c r="KQ1252" s="15"/>
      <c r="KR1252" s="15"/>
      <c r="KS1252" s="15"/>
      <c r="KT1252" s="15"/>
      <c r="KU1252" s="15"/>
      <c r="KV1252" s="15"/>
      <c r="KW1252" s="15"/>
      <c r="KX1252" s="15"/>
      <c r="KY1252" s="15"/>
      <c r="KZ1252" s="15"/>
    </row>
    <row r="1253" spans="300:312" x14ac:dyDescent="0.3">
      <c r="KN1253" s="15"/>
      <c r="KO1253" s="15"/>
      <c r="KP1253" s="15"/>
      <c r="KQ1253" s="15"/>
      <c r="KR1253" s="15"/>
      <c r="KS1253" s="15"/>
      <c r="KT1253" s="15"/>
      <c r="KU1253" s="15"/>
      <c r="KV1253" s="15"/>
      <c r="KW1253" s="15"/>
      <c r="KX1253" s="15"/>
      <c r="KY1253" s="15"/>
      <c r="KZ1253" s="15"/>
    </row>
    <row r="1254" spans="300:312" x14ac:dyDescent="0.3">
      <c r="KN1254" s="15"/>
      <c r="KO1254" s="15"/>
      <c r="KP1254" s="15"/>
      <c r="KQ1254" s="15"/>
      <c r="KR1254" s="15"/>
      <c r="KS1254" s="15"/>
      <c r="KT1254" s="15"/>
      <c r="KU1254" s="15"/>
      <c r="KV1254" s="15"/>
      <c r="KW1254" s="15"/>
      <c r="KX1254" s="15"/>
      <c r="KY1254" s="15"/>
      <c r="KZ1254" s="15"/>
    </row>
    <row r="1255" spans="300:312" x14ac:dyDescent="0.3">
      <c r="KN1255" s="15"/>
      <c r="KO1255" s="15"/>
      <c r="KP1255" s="15"/>
      <c r="KQ1255" s="15"/>
      <c r="KR1255" s="15"/>
      <c r="KS1255" s="15"/>
      <c r="KT1255" s="15"/>
      <c r="KU1255" s="15"/>
      <c r="KV1255" s="15"/>
      <c r="KW1255" s="15"/>
      <c r="KX1255" s="15"/>
      <c r="KY1255" s="15"/>
      <c r="KZ1255" s="15"/>
    </row>
    <row r="1256" spans="300:312" x14ac:dyDescent="0.3">
      <c r="KN1256" s="15"/>
      <c r="KO1256" s="15"/>
      <c r="KP1256" s="15"/>
      <c r="KQ1256" s="15"/>
      <c r="KR1256" s="15"/>
      <c r="KS1256" s="15"/>
      <c r="KT1256" s="15"/>
      <c r="KU1256" s="15"/>
      <c r="KV1256" s="15"/>
      <c r="KW1256" s="15"/>
      <c r="KX1256" s="15"/>
      <c r="KY1256" s="15"/>
      <c r="KZ1256" s="15"/>
    </row>
    <row r="1257" spans="300:312" x14ac:dyDescent="0.3">
      <c r="KN1257" s="15"/>
      <c r="KO1257" s="15"/>
      <c r="KP1257" s="15"/>
      <c r="KQ1257" s="15"/>
      <c r="KR1257" s="15"/>
      <c r="KS1257" s="15"/>
      <c r="KT1257" s="15"/>
      <c r="KU1257" s="15"/>
      <c r="KV1257" s="15"/>
      <c r="KW1257" s="15"/>
      <c r="KX1257" s="15"/>
      <c r="KY1257" s="15"/>
      <c r="KZ1257" s="15"/>
    </row>
    <row r="1258" spans="300:312" x14ac:dyDescent="0.3">
      <c r="KN1258" s="15"/>
      <c r="KO1258" s="15"/>
      <c r="KP1258" s="15"/>
      <c r="KQ1258" s="15"/>
      <c r="KR1258" s="15"/>
      <c r="KS1258" s="15"/>
      <c r="KT1258" s="15"/>
      <c r="KU1258" s="15"/>
      <c r="KV1258" s="15"/>
      <c r="KW1258" s="15"/>
      <c r="KX1258" s="15"/>
      <c r="KY1258" s="15"/>
      <c r="KZ1258" s="15"/>
    </row>
    <row r="1259" spans="300:312" x14ac:dyDescent="0.3">
      <c r="KN1259" s="15"/>
      <c r="KO1259" s="15"/>
      <c r="KP1259" s="15"/>
      <c r="KQ1259" s="15"/>
      <c r="KR1259" s="15"/>
      <c r="KS1259" s="15"/>
      <c r="KT1259" s="15"/>
      <c r="KU1259" s="15"/>
      <c r="KV1259" s="15"/>
      <c r="KW1259" s="15"/>
      <c r="KX1259" s="15"/>
      <c r="KY1259" s="15"/>
      <c r="KZ1259" s="15"/>
    </row>
    <row r="1260" spans="300:312" x14ac:dyDescent="0.3">
      <c r="KN1260" s="15"/>
      <c r="KO1260" s="15"/>
      <c r="KP1260" s="15"/>
      <c r="KQ1260" s="15"/>
      <c r="KR1260" s="15"/>
      <c r="KS1260" s="15"/>
      <c r="KT1260" s="15"/>
      <c r="KU1260" s="15"/>
      <c r="KV1260" s="15"/>
      <c r="KW1260" s="15"/>
      <c r="KX1260" s="15"/>
      <c r="KY1260" s="15"/>
      <c r="KZ1260" s="15"/>
    </row>
    <row r="1261" spans="300:312" x14ac:dyDescent="0.3">
      <c r="KN1261" s="15"/>
      <c r="KO1261" s="15"/>
      <c r="KP1261" s="15"/>
      <c r="KQ1261" s="15"/>
      <c r="KR1261" s="15"/>
      <c r="KS1261" s="15"/>
      <c r="KT1261" s="15"/>
      <c r="KU1261" s="15"/>
      <c r="KV1261" s="15"/>
      <c r="KW1261" s="15"/>
      <c r="KX1261" s="15"/>
      <c r="KY1261" s="15"/>
      <c r="KZ1261" s="15"/>
    </row>
    <row r="1262" spans="300:312" x14ac:dyDescent="0.3">
      <c r="KN1262" s="15"/>
      <c r="KO1262" s="15"/>
      <c r="KP1262" s="15"/>
      <c r="KQ1262" s="15"/>
      <c r="KR1262" s="15"/>
      <c r="KS1262" s="15"/>
      <c r="KT1262" s="15"/>
      <c r="KU1262" s="15"/>
      <c r="KV1262" s="15"/>
      <c r="KW1262" s="15"/>
      <c r="KX1262" s="15"/>
      <c r="KY1262" s="15"/>
      <c r="KZ1262" s="15"/>
    </row>
    <row r="1263" spans="300:312" x14ac:dyDescent="0.3">
      <c r="KN1263" s="15"/>
      <c r="KO1263" s="15"/>
      <c r="KP1263" s="15"/>
      <c r="KQ1263" s="15"/>
      <c r="KR1263" s="15"/>
      <c r="KS1263" s="15"/>
      <c r="KT1263" s="15"/>
      <c r="KU1263" s="15"/>
      <c r="KV1263" s="15"/>
      <c r="KW1263" s="15"/>
      <c r="KX1263" s="15"/>
      <c r="KY1263" s="15"/>
      <c r="KZ1263" s="15"/>
    </row>
    <row r="1264" spans="300:312" x14ac:dyDescent="0.3">
      <c r="KN1264" s="15"/>
      <c r="KO1264" s="15"/>
      <c r="KP1264" s="15"/>
      <c r="KQ1264" s="15"/>
      <c r="KR1264" s="15"/>
      <c r="KS1264" s="15"/>
      <c r="KT1264" s="15"/>
      <c r="KU1264" s="15"/>
      <c r="KV1264" s="15"/>
      <c r="KW1264" s="15"/>
      <c r="KX1264" s="15"/>
      <c r="KY1264" s="15"/>
      <c r="KZ1264" s="15"/>
    </row>
    <row r="1265" spans="300:312" x14ac:dyDescent="0.3">
      <c r="KN1265" s="15"/>
      <c r="KO1265" s="15"/>
      <c r="KP1265" s="15"/>
      <c r="KQ1265" s="15"/>
      <c r="KR1265" s="15"/>
      <c r="KS1265" s="15"/>
      <c r="KT1265" s="15"/>
      <c r="KU1265" s="15"/>
      <c r="KV1265" s="15"/>
      <c r="KW1265" s="15"/>
      <c r="KX1265" s="15"/>
      <c r="KY1265" s="15"/>
      <c r="KZ1265" s="15"/>
    </row>
    <row r="1266" spans="300:312" x14ac:dyDescent="0.3">
      <c r="KN1266" s="15"/>
      <c r="KO1266" s="15"/>
      <c r="KP1266" s="15"/>
      <c r="KQ1266" s="15"/>
      <c r="KR1266" s="15"/>
      <c r="KS1266" s="15"/>
      <c r="KT1266" s="15"/>
      <c r="KU1266" s="15"/>
      <c r="KV1266" s="15"/>
      <c r="KW1266" s="15"/>
      <c r="KX1266" s="15"/>
      <c r="KY1266" s="15"/>
      <c r="KZ1266" s="15"/>
    </row>
    <row r="1267" spans="300:312" x14ac:dyDescent="0.3">
      <c r="KN1267" s="15"/>
      <c r="KO1267" s="15"/>
      <c r="KP1267" s="15"/>
      <c r="KQ1267" s="15"/>
      <c r="KR1267" s="15"/>
      <c r="KS1267" s="15"/>
      <c r="KT1267" s="15"/>
      <c r="KU1267" s="15"/>
      <c r="KV1267" s="15"/>
      <c r="KW1267" s="15"/>
      <c r="KX1267" s="15"/>
      <c r="KY1267" s="15"/>
      <c r="KZ1267" s="15"/>
    </row>
    <row r="1268" spans="300:312" x14ac:dyDescent="0.3">
      <c r="KN1268" s="15"/>
      <c r="KO1268" s="15"/>
      <c r="KP1268" s="15"/>
      <c r="KQ1268" s="15"/>
      <c r="KR1268" s="15"/>
      <c r="KS1268" s="15"/>
      <c r="KT1268" s="15"/>
      <c r="KU1268" s="15"/>
      <c r="KV1268" s="15"/>
      <c r="KW1268" s="15"/>
      <c r="KX1268" s="15"/>
      <c r="KY1268" s="15"/>
      <c r="KZ1268" s="15"/>
    </row>
    <row r="1269" spans="300:312" x14ac:dyDescent="0.3">
      <c r="KN1269" s="15"/>
      <c r="KO1269" s="15"/>
      <c r="KP1269" s="15"/>
      <c r="KQ1269" s="15"/>
      <c r="KR1269" s="15"/>
      <c r="KS1269" s="15"/>
      <c r="KT1269" s="15"/>
      <c r="KU1269" s="15"/>
      <c r="KV1269" s="15"/>
      <c r="KW1269" s="15"/>
      <c r="KX1269" s="15"/>
      <c r="KY1269" s="15"/>
      <c r="KZ1269" s="15"/>
    </row>
    <row r="1270" spans="300:312" x14ac:dyDescent="0.3">
      <c r="KN1270" s="15"/>
      <c r="KO1270" s="15"/>
      <c r="KP1270" s="15"/>
      <c r="KQ1270" s="15"/>
      <c r="KR1270" s="15"/>
      <c r="KS1270" s="15"/>
      <c r="KT1270" s="15"/>
      <c r="KU1270" s="15"/>
      <c r="KV1270" s="15"/>
      <c r="KW1270" s="15"/>
      <c r="KX1270" s="15"/>
      <c r="KY1270" s="15"/>
      <c r="KZ1270" s="15"/>
    </row>
    <row r="1271" spans="300:312" x14ac:dyDescent="0.3">
      <c r="KN1271" s="15"/>
      <c r="KO1271" s="15"/>
      <c r="KP1271" s="15"/>
      <c r="KQ1271" s="15"/>
      <c r="KR1271" s="15"/>
      <c r="KS1271" s="15"/>
      <c r="KT1271" s="15"/>
      <c r="KU1271" s="15"/>
      <c r="KV1271" s="15"/>
      <c r="KW1271" s="15"/>
      <c r="KX1271" s="15"/>
      <c r="KY1271" s="15"/>
      <c r="KZ1271" s="15"/>
    </row>
    <row r="1272" spans="300:312" x14ac:dyDescent="0.3">
      <c r="KN1272" s="15"/>
      <c r="KO1272" s="15"/>
      <c r="KP1272" s="15"/>
      <c r="KQ1272" s="15"/>
      <c r="KR1272" s="15"/>
      <c r="KS1272" s="15"/>
      <c r="KT1272" s="15"/>
      <c r="KU1272" s="15"/>
      <c r="KV1272" s="15"/>
      <c r="KW1272" s="15"/>
      <c r="KX1272" s="15"/>
      <c r="KY1272" s="15"/>
      <c r="KZ1272" s="15"/>
    </row>
    <row r="1273" spans="300:312" x14ac:dyDescent="0.3">
      <c r="KN1273" s="15"/>
      <c r="KO1273" s="15"/>
      <c r="KP1273" s="15"/>
      <c r="KQ1273" s="15"/>
      <c r="KR1273" s="15"/>
      <c r="KS1273" s="15"/>
      <c r="KT1273" s="15"/>
      <c r="KU1273" s="15"/>
      <c r="KV1273" s="15"/>
      <c r="KW1273" s="15"/>
      <c r="KX1273" s="15"/>
      <c r="KY1273" s="15"/>
      <c r="KZ1273" s="15"/>
    </row>
    <row r="1274" spans="300:312" x14ac:dyDescent="0.3">
      <c r="KN1274" s="15"/>
      <c r="KO1274" s="15"/>
      <c r="KP1274" s="15"/>
      <c r="KQ1274" s="15"/>
      <c r="KR1274" s="15"/>
      <c r="KS1274" s="15"/>
      <c r="KT1274" s="15"/>
      <c r="KU1274" s="15"/>
      <c r="KV1274" s="15"/>
      <c r="KW1274" s="15"/>
      <c r="KX1274" s="15"/>
      <c r="KY1274" s="15"/>
      <c r="KZ1274" s="15"/>
    </row>
    <row r="1275" spans="300:312" x14ac:dyDescent="0.3">
      <c r="KN1275" s="15"/>
      <c r="KO1275" s="15"/>
      <c r="KP1275" s="15"/>
      <c r="KQ1275" s="15"/>
      <c r="KR1275" s="15"/>
      <c r="KS1275" s="15"/>
      <c r="KT1275" s="15"/>
      <c r="KU1275" s="15"/>
      <c r="KV1275" s="15"/>
      <c r="KW1275" s="15"/>
      <c r="KX1275" s="15"/>
      <c r="KY1275" s="15"/>
      <c r="KZ1275" s="15"/>
    </row>
    <row r="1276" spans="300:312" x14ac:dyDescent="0.3">
      <c r="KN1276" s="15"/>
      <c r="KO1276" s="15"/>
      <c r="KP1276" s="15"/>
      <c r="KQ1276" s="15"/>
      <c r="KR1276" s="15"/>
      <c r="KS1276" s="15"/>
      <c r="KT1276" s="15"/>
      <c r="KU1276" s="15"/>
      <c r="KV1276" s="15"/>
      <c r="KW1276" s="15"/>
      <c r="KX1276" s="15"/>
      <c r="KY1276" s="15"/>
      <c r="KZ1276" s="15"/>
    </row>
    <row r="1277" spans="300:312" x14ac:dyDescent="0.3">
      <c r="KN1277" s="15"/>
      <c r="KO1277" s="15"/>
      <c r="KP1277" s="15"/>
      <c r="KQ1277" s="15"/>
      <c r="KR1277" s="15"/>
      <c r="KS1277" s="15"/>
      <c r="KT1277" s="15"/>
      <c r="KU1277" s="15"/>
      <c r="KV1277" s="15"/>
      <c r="KW1277" s="15"/>
      <c r="KX1277" s="15"/>
      <c r="KY1277" s="15"/>
      <c r="KZ1277" s="15"/>
    </row>
    <row r="1278" spans="300:312" x14ac:dyDescent="0.3">
      <c r="KN1278" s="15"/>
      <c r="KO1278" s="15"/>
      <c r="KP1278" s="15"/>
      <c r="KQ1278" s="15"/>
      <c r="KR1278" s="15"/>
      <c r="KS1278" s="15"/>
      <c r="KT1278" s="15"/>
      <c r="KU1278" s="15"/>
      <c r="KV1278" s="15"/>
      <c r="KW1278" s="15"/>
      <c r="KX1278" s="15"/>
      <c r="KY1278" s="15"/>
      <c r="KZ1278" s="15"/>
    </row>
    <row r="1279" spans="300:312" x14ac:dyDescent="0.3">
      <c r="KN1279" s="15"/>
      <c r="KO1279" s="15"/>
      <c r="KP1279" s="15"/>
      <c r="KQ1279" s="15"/>
      <c r="KR1279" s="15"/>
      <c r="KS1279" s="15"/>
      <c r="KT1279" s="15"/>
      <c r="KU1279" s="15"/>
      <c r="KV1279" s="15"/>
      <c r="KW1279" s="15"/>
      <c r="KX1279" s="15"/>
      <c r="KY1279" s="15"/>
      <c r="KZ1279" s="15"/>
    </row>
    <row r="1280" spans="300:312" x14ac:dyDescent="0.3">
      <c r="KN1280" s="15"/>
      <c r="KO1280" s="15"/>
      <c r="KP1280" s="15"/>
      <c r="KQ1280" s="15"/>
      <c r="KR1280" s="15"/>
      <c r="KS1280" s="15"/>
      <c r="KT1280" s="15"/>
      <c r="KU1280" s="15"/>
      <c r="KV1280" s="15"/>
      <c r="KW1280" s="15"/>
      <c r="KX1280" s="15"/>
      <c r="KY1280" s="15"/>
      <c r="KZ1280" s="15"/>
    </row>
    <row r="1281" spans="300:312" x14ac:dyDescent="0.3">
      <c r="KN1281" s="15"/>
      <c r="KO1281" s="15"/>
      <c r="KP1281" s="15"/>
      <c r="KQ1281" s="15"/>
      <c r="KR1281" s="15"/>
      <c r="KS1281" s="15"/>
      <c r="KT1281" s="15"/>
      <c r="KU1281" s="15"/>
      <c r="KV1281" s="15"/>
      <c r="KW1281" s="15"/>
      <c r="KX1281" s="15"/>
      <c r="KY1281" s="15"/>
      <c r="KZ1281" s="15"/>
    </row>
    <row r="1282" spans="300:312" x14ac:dyDescent="0.3">
      <c r="KN1282" s="15"/>
      <c r="KO1282" s="15"/>
      <c r="KP1282" s="15"/>
      <c r="KQ1282" s="15"/>
      <c r="KR1282" s="15"/>
      <c r="KS1282" s="15"/>
      <c r="KT1282" s="15"/>
      <c r="KU1282" s="15"/>
      <c r="KV1282" s="15"/>
      <c r="KW1282" s="15"/>
      <c r="KX1282" s="15"/>
      <c r="KY1282" s="15"/>
      <c r="KZ1282" s="15"/>
    </row>
    <row r="1283" spans="300:312" x14ac:dyDescent="0.3">
      <c r="KN1283" s="15"/>
      <c r="KO1283" s="15"/>
      <c r="KP1283" s="15"/>
      <c r="KQ1283" s="15"/>
      <c r="KR1283" s="15"/>
      <c r="KS1283" s="15"/>
      <c r="KT1283" s="15"/>
      <c r="KU1283" s="15"/>
      <c r="KV1283" s="15"/>
      <c r="KW1283" s="15"/>
      <c r="KX1283" s="15"/>
      <c r="KY1283" s="15"/>
      <c r="KZ1283" s="15"/>
    </row>
    <row r="1284" spans="300:312" x14ac:dyDescent="0.3">
      <c r="KN1284" s="15"/>
      <c r="KO1284" s="15"/>
      <c r="KP1284" s="15"/>
      <c r="KQ1284" s="15"/>
      <c r="KR1284" s="15"/>
      <c r="KS1284" s="15"/>
      <c r="KT1284" s="15"/>
      <c r="KU1284" s="15"/>
      <c r="KV1284" s="15"/>
      <c r="KW1284" s="15"/>
      <c r="KX1284" s="15"/>
      <c r="KY1284" s="15"/>
      <c r="KZ1284" s="15"/>
    </row>
    <row r="1285" spans="300:312" x14ac:dyDescent="0.3">
      <c r="KN1285" s="15"/>
      <c r="KO1285" s="15"/>
      <c r="KP1285" s="15"/>
      <c r="KQ1285" s="15"/>
      <c r="KR1285" s="15"/>
      <c r="KS1285" s="15"/>
      <c r="KT1285" s="15"/>
      <c r="KU1285" s="15"/>
      <c r="KV1285" s="15"/>
      <c r="KW1285" s="15"/>
      <c r="KX1285" s="15"/>
      <c r="KY1285" s="15"/>
      <c r="KZ1285" s="15"/>
    </row>
    <row r="1286" spans="300:312" x14ac:dyDescent="0.3">
      <c r="KN1286" s="15"/>
      <c r="KO1286" s="15"/>
      <c r="KP1286" s="15"/>
      <c r="KQ1286" s="15"/>
      <c r="KR1286" s="15"/>
      <c r="KS1286" s="15"/>
      <c r="KT1286" s="15"/>
      <c r="KU1286" s="15"/>
      <c r="KV1286" s="15"/>
      <c r="KW1286" s="15"/>
      <c r="KX1286" s="15"/>
      <c r="KY1286" s="15"/>
      <c r="KZ1286" s="15"/>
    </row>
    <row r="1287" spans="300:312" x14ac:dyDescent="0.3">
      <c r="KN1287" s="15"/>
      <c r="KO1287" s="15"/>
      <c r="KP1287" s="15"/>
      <c r="KQ1287" s="15"/>
      <c r="KR1287" s="15"/>
      <c r="KS1287" s="15"/>
      <c r="KT1287" s="15"/>
      <c r="KU1287" s="15"/>
      <c r="KV1287" s="15"/>
      <c r="KW1287" s="15"/>
      <c r="KX1287" s="15"/>
      <c r="KY1287" s="15"/>
      <c r="KZ1287" s="15"/>
    </row>
    <row r="1288" spans="300:312" x14ac:dyDescent="0.3">
      <c r="KN1288" s="15"/>
      <c r="KO1288" s="15"/>
      <c r="KP1288" s="15"/>
      <c r="KQ1288" s="15"/>
      <c r="KR1288" s="15"/>
      <c r="KS1288" s="15"/>
      <c r="KT1288" s="15"/>
      <c r="KU1288" s="15"/>
      <c r="KV1288" s="15"/>
      <c r="KW1288" s="15"/>
      <c r="KX1288" s="15"/>
      <c r="KY1288" s="15"/>
      <c r="KZ1288" s="15"/>
    </row>
    <row r="1289" spans="300:312" x14ac:dyDescent="0.3">
      <c r="KN1289" s="15"/>
      <c r="KO1289" s="15"/>
      <c r="KP1289" s="15"/>
      <c r="KQ1289" s="15"/>
      <c r="KR1289" s="15"/>
      <c r="KS1289" s="15"/>
      <c r="KT1289" s="15"/>
      <c r="KU1289" s="15"/>
      <c r="KV1289" s="15"/>
      <c r="KW1289" s="15"/>
      <c r="KX1289" s="15"/>
      <c r="KY1289" s="15"/>
      <c r="KZ1289" s="15"/>
    </row>
    <row r="1290" spans="300:312" x14ac:dyDescent="0.3">
      <c r="KN1290" s="15"/>
      <c r="KO1290" s="15"/>
      <c r="KP1290" s="15"/>
      <c r="KQ1290" s="15"/>
      <c r="KR1290" s="15"/>
      <c r="KS1290" s="15"/>
      <c r="KT1290" s="15"/>
      <c r="KU1290" s="15"/>
      <c r="KV1290" s="15"/>
      <c r="KW1290" s="15"/>
      <c r="KX1290" s="15"/>
      <c r="KY1290" s="15"/>
      <c r="KZ1290" s="15"/>
    </row>
    <row r="1291" spans="300:312" x14ac:dyDescent="0.3">
      <c r="KN1291" s="15"/>
      <c r="KO1291" s="15"/>
      <c r="KP1291" s="15"/>
      <c r="KQ1291" s="15"/>
      <c r="KR1291" s="15"/>
      <c r="KS1291" s="15"/>
      <c r="KT1291" s="15"/>
      <c r="KU1291" s="15"/>
      <c r="KV1291" s="15"/>
      <c r="KW1291" s="15"/>
      <c r="KX1291" s="15"/>
      <c r="KY1291" s="15"/>
      <c r="KZ1291" s="15"/>
    </row>
    <row r="1292" spans="300:312" x14ac:dyDescent="0.3">
      <c r="KN1292" s="15"/>
      <c r="KO1292" s="15"/>
      <c r="KP1292" s="15"/>
      <c r="KQ1292" s="15"/>
      <c r="KR1292" s="15"/>
      <c r="KS1292" s="15"/>
      <c r="KT1292" s="15"/>
      <c r="KU1292" s="15"/>
      <c r="KV1292" s="15"/>
      <c r="KW1292" s="15"/>
      <c r="KX1292" s="15"/>
      <c r="KY1292" s="15"/>
      <c r="KZ1292" s="15"/>
    </row>
    <row r="1293" spans="300:312" x14ac:dyDescent="0.3">
      <c r="KN1293" s="15"/>
      <c r="KO1293" s="15"/>
      <c r="KP1293" s="15"/>
      <c r="KQ1293" s="15"/>
      <c r="KR1293" s="15"/>
      <c r="KS1293" s="15"/>
      <c r="KT1293" s="15"/>
      <c r="KU1293" s="15"/>
      <c r="KV1293" s="15"/>
      <c r="KW1293" s="15"/>
      <c r="KX1293" s="15"/>
      <c r="KY1293" s="15"/>
      <c r="KZ1293" s="15"/>
    </row>
    <row r="1294" spans="300:312" x14ac:dyDescent="0.3">
      <c r="KN1294" s="15"/>
      <c r="KO1294" s="15"/>
      <c r="KP1294" s="15"/>
      <c r="KQ1294" s="15"/>
      <c r="KR1294" s="15"/>
      <c r="KS1294" s="15"/>
      <c r="KT1294" s="15"/>
      <c r="KU1294" s="15"/>
      <c r="KV1294" s="15"/>
      <c r="KW1294" s="15"/>
      <c r="KX1294" s="15"/>
      <c r="KY1294" s="15"/>
      <c r="KZ1294" s="15"/>
    </row>
    <row r="1295" spans="300:312" x14ac:dyDescent="0.3">
      <c r="KN1295" s="15"/>
      <c r="KO1295" s="15"/>
      <c r="KP1295" s="15"/>
      <c r="KQ1295" s="15"/>
      <c r="KR1295" s="15"/>
      <c r="KS1295" s="15"/>
      <c r="KT1295" s="15"/>
      <c r="KU1295" s="15"/>
      <c r="KV1295" s="15"/>
      <c r="KW1295" s="15"/>
      <c r="KX1295" s="15"/>
      <c r="KY1295" s="15"/>
      <c r="KZ1295" s="15"/>
    </row>
    <row r="1296" spans="300:312" x14ac:dyDescent="0.3">
      <c r="KN1296" s="15"/>
      <c r="KO1296" s="15"/>
      <c r="KP1296" s="15"/>
      <c r="KQ1296" s="15"/>
      <c r="KR1296" s="15"/>
      <c r="KS1296" s="15"/>
      <c r="KT1296" s="15"/>
      <c r="KU1296" s="15"/>
      <c r="KV1296" s="15"/>
      <c r="KW1296" s="15"/>
      <c r="KX1296" s="15"/>
      <c r="KY1296" s="15"/>
      <c r="KZ1296" s="15"/>
    </row>
    <row r="1297" spans="300:312" x14ac:dyDescent="0.3">
      <c r="KN1297" s="15"/>
      <c r="KO1297" s="15"/>
      <c r="KP1297" s="15"/>
      <c r="KQ1297" s="15"/>
      <c r="KR1297" s="15"/>
      <c r="KS1297" s="15"/>
      <c r="KT1297" s="15"/>
      <c r="KU1297" s="15"/>
      <c r="KV1297" s="15"/>
      <c r="KW1297" s="15"/>
      <c r="KX1297" s="15"/>
      <c r="KY1297" s="15"/>
      <c r="KZ1297" s="15"/>
    </row>
    <row r="1298" spans="300:312" x14ac:dyDescent="0.3">
      <c r="KN1298" s="15"/>
      <c r="KO1298" s="15"/>
      <c r="KP1298" s="15"/>
      <c r="KQ1298" s="15"/>
      <c r="KR1298" s="15"/>
      <c r="KS1298" s="15"/>
      <c r="KT1298" s="15"/>
      <c r="KU1298" s="15"/>
      <c r="KV1298" s="15"/>
      <c r="KW1298" s="15"/>
      <c r="KX1298" s="15"/>
      <c r="KY1298" s="15"/>
      <c r="KZ1298" s="15"/>
    </row>
    <row r="1299" spans="300:312" x14ac:dyDescent="0.3">
      <c r="KN1299" s="15"/>
      <c r="KO1299" s="15"/>
      <c r="KP1299" s="15"/>
      <c r="KQ1299" s="15"/>
      <c r="KR1299" s="15"/>
      <c r="KS1299" s="15"/>
      <c r="KT1299" s="15"/>
      <c r="KU1299" s="15"/>
      <c r="KV1299" s="15"/>
      <c r="KW1299" s="15"/>
      <c r="KX1299" s="15"/>
      <c r="KY1299" s="15"/>
      <c r="KZ1299" s="15"/>
    </row>
    <row r="1300" spans="300:312" x14ac:dyDescent="0.3">
      <c r="KN1300" s="15"/>
      <c r="KO1300" s="15"/>
      <c r="KP1300" s="15"/>
      <c r="KQ1300" s="15"/>
      <c r="KR1300" s="15"/>
      <c r="KS1300" s="15"/>
      <c r="KT1300" s="15"/>
      <c r="KU1300" s="15"/>
      <c r="KV1300" s="15"/>
      <c r="KW1300" s="15"/>
      <c r="KX1300" s="15"/>
      <c r="KY1300" s="15"/>
      <c r="KZ1300" s="15"/>
    </row>
    <row r="1301" spans="300:312" x14ac:dyDescent="0.3">
      <c r="KN1301" s="15"/>
      <c r="KO1301" s="15"/>
      <c r="KP1301" s="15"/>
      <c r="KQ1301" s="15"/>
      <c r="KR1301" s="15"/>
      <c r="KS1301" s="15"/>
      <c r="KT1301" s="15"/>
      <c r="KU1301" s="15"/>
      <c r="KV1301" s="15"/>
      <c r="KW1301" s="15"/>
      <c r="KX1301" s="15"/>
      <c r="KY1301" s="15"/>
      <c r="KZ1301" s="15"/>
    </row>
    <row r="1302" spans="300:312" x14ac:dyDescent="0.3">
      <c r="KN1302" s="15"/>
      <c r="KO1302" s="15"/>
      <c r="KP1302" s="15"/>
      <c r="KQ1302" s="15"/>
      <c r="KR1302" s="15"/>
      <c r="KS1302" s="15"/>
      <c r="KT1302" s="15"/>
      <c r="KU1302" s="15"/>
      <c r="KV1302" s="15"/>
      <c r="KW1302" s="15"/>
      <c r="KX1302" s="15"/>
      <c r="KY1302" s="15"/>
      <c r="KZ1302" s="15"/>
    </row>
    <row r="1303" spans="300:312" x14ac:dyDescent="0.3">
      <c r="KN1303" s="15"/>
      <c r="KO1303" s="15"/>
      <c r="KP1303" s="15"/>
      <c r="KQ1303" s="15"/>
      <c r="KR1303" s="15"/>
      <c r="KS1303" s="15"/>
      <c r="KT1303" s="15"/>
      <c r="KU1303" s="15"/>
      <c r="KV1303" s="15"/>
      <c r="KW1303" s="15"/>
      <c r="KX1303" s="15"/>
      <c r="KY1303" s="15"/>
      <c r="KZ1303" s="15"/>
    </row>
    <row r="1304" spans="300:312" x14ac:dyDescent="0.3">
      <c r="KN1304" s="15"/>
      <c r="KO1304" s="15"/>
      <c r="KP1304" s="15"/>
      <c r="KQ1304" s="15"/>
      <c r="KR1304" s="15"/>
      <c r="KS1304" s="15"/>
      <c r="KT1304" s="15"/>
      <c r="KU1304" s="15"/>
      <c r="KV1304" s="15"/>
      <c r="KW1304" s="15"/>
      <c r="KX1304" s="15"/>
      <c r="KY1304" s="15"/>
      <c r="KZ1304" s="15"/>
    </row>
    <row r="1305" spans="300:312" x14ac:dyDescent="0.3">
      <c r="KN1305" s="15"/>
      <c r="KO1305" s="15"/>
      <c r="KP1305" s="15"/>
      <c r="KQ1305" s="15"/>
      <c r="KR1305" s="15"/>
      <c r="KS1305" s="15"/>
      <c r="KT1305" s="15"/>
      <c r="KU1305" s="15"/>
      <c r="KV1305" s="15"/>
      <c r="KW1305" s="15"/>
      <c r="KX1305" s="15"/>
      <c r="KY1305" s="15"/>
      <c r="KZ1305" s="15"/>
    </row>
    <row r="1306" spans="300:312" x14ac:dyDescent="0.3">
      <c r="KN1306" s="15"/>
      <c r="KO1306" s="15"/>
      <c r="KP1306" s="15"/>
      <c r="KQ1306" s="15"/>
      <c r="KR1306" s="15"/>
      <c r="KS1306" s="15"/>
      <c r="KT1306" s="15"/>
      <c r="KU1306" s="15"/>
      <c r="KV1306" s="15"/>
      <c r="KW1306" s="15"/>
      <c r="KX1306" s="15"/>
      <c r="KY1306" s="15"/>
      <c r="KZ1306" s="15"/>
    </row>
    <row r="1307" spans="300:312" x14ac:dyDescent="0.3">
      <c r="KN1307" s="15"/>
      <c r="KO1307" s="15"/>
      <c r="KP1307" s="15"/>
      <c r="KQ1307" s="15"/>
      <c r="KR1307" s="15"/>
      <c r="KS1307" s="15"/>
      <c r="KT1307" s="15"/>
      <c r="KU1307" s="15"/>
      <c r="KV1307" s="15"/>
      <c r="KW1307" s="15"/>
      <c r="KX1307" s="15"/>
      <c r="KY1307" s="15"/>
      <c r="KZ1307" s="15"/>
    </row>
    <row r="1308" spans="300:312" x14ac:dyDescent="0.3">
      <c r="KN1308" s="15"/>
      <c r="KO1308" s="15"/>
      <c r="KP1308" s="15"/>
      <c r="KQ1308" s="15"/>
      <c r="KR1308" s="15"/>
      <c r="KS1308" s="15"/>
      <c r="KT1308" s="15"/>
      <c r="KU1308" s="15"/>
      <c r="KV1308" s="15"/>
      <c r="KW1308" s="15"/>
      <c r="KX1308" s="15"/>
      <c r="KY1308" s="15"/>
      <c r="KZ1308" s="15"/>
    </row>
    <row r="1309" spans="300:312" x14ac:dyDescent="0.3">
      <c r="KN1309" s="15"/>
      <c r="KO1309" s="15"/>
      <c r="KP1309" s="15"/>
      <c r="KQ1309" s="15"/>
      <c r="KR1309" s="15"/>
      <c r="KS1309" s="15"/>
      <c r="KT1309" s="15"/>
      <c r="KU1309" s="15"/>
      <c r="KV1309" s="15"/>
      <c r="KW1309" s="15"/>
      <c r="KX1309" s="15"/>
      <c r="KY1309" s="15"/>
      <c r="KZ1309" s="15"/>
    </row>
    <row r="1310" spans="300:312" x14ac:dyDescent="0.3">
      <c r="KN1310" s="15"/>
      <c r="KO1310" s="15"/>
      <c r="KP1310" s="15"/>
      <c r="KQ1310" s="15"/>
      <c r="KR1310" s="15"/>
      <c r="KS1310" s="15"/>
      <c r="KT1310" s="15"/>
      <c r="KU1310" s="15"/>
      <c r="KV1310" s="15"/>
      <c r="KW1310" s="15"/>
      <c r="KX1310" s="15"/>
      <c r="KY1310" s="15"/>
      <c r="KZ1310" s="15"/>
    </row>
    <row r="1311" spans="300:312" x14ac:dyDescent="0.3">
      <c r="KN1311" s="15"/>
      <c r="KO1311" s="15"/>
      <c r="KP1311" s="15"/>
      <c r="KQ1311" s="15"/>
      <c r="KR1311" s="15"/>
      <c r="KS1311" s="15"/>
      <c r="KT1311" s="15"/>
      <c r="KU1311" s="15"/>
      <c r="KV1311" s="15"/>
      <c r="KW1311" s="15"/>
      <c r="KX1311" s="15"/>
      <c r="KY1311" s="15"/>
      <c r="KZ1311" s="15"/>
    </row>
    <row r="1312" spans="300:312" x14ac:dyDescent="0.3">
      <c r="KN1312" s="15"/>
      <c r="KO1312" s="15"/>
      <c r="KP1312" s="15"/>
      <c r="KQ1312" s="15"/>
      <c r="KR1312" s="15"/>
      <c r="KS1312" s="15"/>
      <c r="KT1312" s="15"/>
      <c r="KU1312" s="15"/>
      <c r="KV1312" s="15"/>
      <c r="KW1312" s="15"/>
      <c r="KX1312" s="15"/>
      <c r="KY1312" s="15"/>
      <c r="KZ1312" s="15"/>
    </row>
    <row r="1313" spans="300:312" x14ac:dyDescent="0.3">
      <c r="KN1313" s="15"/>
      <c r="KO1313" s="15"/>
      <c r="KP1313" s="15"/>
      <c r="KQ1313" s="15"/>
      <c r="KR1313" s="15"/>
      <c r="KS1313" s="15"/>
      <c r="KT1313" s="15"/>
      <c r="KU1313" s="15"/>
      <c r="KV1313" s="15"/>
      <c r="KW1313" s="15"/>
      <c r="KX1313" s="15"/>
      <c r="KY1313" s="15"/>
      <c r="KZ1313" s="15"/>
    </row>
    <row r="1314" spans="300:312" x14ac:dyDescent="0.3">
      <c r="KN1314" s="15"/>
      <c r="KO1314" s="15"/>
      <c r="KP1314" s="15"/>
      <c r="KQ1314" s="15"/>
      <c r="KR1314" s="15"/>
      <c r="KS1314" s="15"/>
      <c r="KT1314" s="15"/>
      <c r="KU1314" s="15"/>
      <c r="KV1314" s="15"/>
      <c r="KW1314" s="15"/>
      <c r="KX1314" s="15"/>
      <c r="KY1314" s="15"/>
      <c r="KZ1314" s="15"/>
    </row>
    <row r="1315" spans="300:312" x14ac:dyDescent="0.3">
      <c r="KN1315" s="15"/>
      <c r="KO1315" s="15"/>
      <c r="KP1315" s="15"/>
      <c r="KQ1315" s="15"/>
      <c r="KR1315" s="15"/>
      <c r="KS1315" s="15"/>
      <c r="KT1315" s="15"/>
      <c r="KU1315" s="15"/>
      <c r="KV1315" s="15"/>
      <c r="KW1315" s="15"/>
      <c r="KX1315" s="15"/>
      <c r="KY1315" s="15"/>
      <c r="KZ1315" s="15"/>
    </row>
    <row r="1316" spans="300:312" x14ac:dyDescent="0.3">
      <c r="KN1316" s="15"/>
      <c r="KO1316" s="15"/>
      <c r="KP1316" s="15"/>
      <c r="KQ1316" s="15"/>
      <c r="KR1316" s="15"/>
      <c r="KS1316" s="15"/>
      <c r="KT1316" s="15"/>
      <c r="KU1316" s="15"/>
      <c r="KV1316" s="15"/>
      <c r="KW1316" s="15"/>
      <c r="KX1316" s="15"/>
      <c r="KY1316" s="15"/>
      <c r="KZ1316" s="15"/>
    </row>
    <row r="1317" spans="300:312" x14ac:dyDescent="0.3">
      <c r="KN1317" s="15"/>
      <c r="KO1317" s="15"/>
      <c r="KP1317" s="15"/>
      <c r="KQ1317" s="15"/>
      <c r="KR1317" s="15"/>
      <c r="KS1317" s="15"/>
      <c r="KT1317" s="15"/>
      <c r="KU1317" s="15"/>
      <c r="KV1317" s="15"/>
      <c r="KW1317" s="15"/>
      <c r="KX1317" s="15"/>
      <c r="KY1317" s="15"/>
      <c r="KZ1317" s="15"/>
    </row>
    <row r="1318" spans="300:312" x14ac:dyDescent="0.3">
      <c r="KN1318" s="15"/>
      <c r="KO1318" s="15"/>
      <c r="KP1318" s="15"/>
      <c r="KQ1318" s="15"/>
      <c r="KR1318" s="15"/>
      <c r="KS1318" s="15"/>
      <c r="KT1318" s="15"/>
      <c r="KU1318" s="15"/>
      <c r="KV1318" s="15"/>
      <c r="KW1318" s="15"/>
      <c r="KX1318" s="15"/>
      <c r="KY1318" s="15"/>
      <c r="KZ1318" s="15"/>
    </row>
    <row r="1319" spans="300:312" x14ac:dyDescent="0.3">
      <c r="KN1319" s="15"/>
      <c r="KO1319" s="15"/>
      <c r="KP1319" s="15"/>
      <c r="KQ1319" s="15"/>
      <c r="KR1319" s="15"/>
      <c r="KS1319" s="15"/>
      <c r="KT1319" s="15"/>
      <c r="KU1319" s="15"/>
      <c r="KV1319" s="15"/>
      <c r="KW1319" s="15"/>
      <c r="KX1319" s="15"/>
      <c r="KY1319" s="15"/>
      <c r="KZ1319" s="15"/>
    </row>
    <row r="1320" spans="300:312" x14ac:dyDescent="0.3">
      <c r="KN1320" s="15"/>
      <c r="KO1320" s="15"/>
      <c r="KP1320" s="15"/>
      <c r="KQ1320" s="15"/>
      <c r="KR1320" s="15"/>
      <c r="KS1320" s="15"/>
      <c r="KT1320" s="15"/>
      <c r="KU1320" s="15"/>
      <c r="KV1320" s="15"/>
      <c r="KW1320" s="15"/>
      <c r="KX1320" s="15"/>
      <c r="KY1320" s="15"/>
      <c r="KZ1320" s="15"/>
    </row>
    <row r="1321" spans="300:312" x14ac:dyDescent="0.3">
      <c r="KN1321" s="15"/>
      <c r="KO1321" s="15"/>
      <c r="KP1321" s="15"/>
      <c r="KQ1321" s="15"/>
      <c r="KR1321" s="15"/>
      <c r="KS1321" s="15"/>
      <c r="KT1321" s="15"/>
      <c r="KU1321" s="15"/>
      <c r="KV1321" s="15"/>
      <c r="KW1321" s="15"/>
      <c r="KX1321" s="15"/>
      <c r="KY1321" s="15"/>
      <c r="KZ1321" s="15"/>
    </row>
    <row r="1322" spans="300:312" x14ac:dyDescent="0.3">
      <c r="KN1322" s="15"/>
      <c r="KO1322" s="15"/>
      <c r="KP1322" s="15"/>
      <c r="KQ1322" s="15"/>
      <c r="KR1322" s="15"/>
      <c r="KS1322" s="15"/>
      <c r="KT1322" s="15"/>
      <c r="KU1322" s="15"/>
      <c r="KV1322" s="15"/>
      <c r="KW1322" s="15"/>
      <c r="KX1322" s="15"/>
      <c r="KY1322" s="15"/>
      <c r="KZ1322" s="15"/>
    </row>
    <row r="1323" spans="300:312" x14ac:dyDescent="0.3">
      <c r="KN1323" s="15"/>
      <c r="KO1323" s="15"/>
      <c r="KP1323" s="15"/>
      <c r="KQ1323" s="15"/>
      <c r="KR1323" s="15"/>
      <c r="KS1323" s="15"/>
      <c r="KT1323" s="15"/>
      <c r="KU1323" s="15"/>
      <c r="KV1323" s="15"/>
      <c r="KW1323" s="15"/>
      <c r="KX1323" s="15"/>
      <c r="KY1323" s="15"/>
      <c r="KZ1323" s="15"/>
    </row>
    <row r="1324" spans="300:312" x14ac:dyDescent="0.3">
      <c r="KN1324" s="15"/>
      <c r="KO1324" s="15"/>
      <c r="KP1324" s="15"/>
      <c r="KQ1324" s="15"/>
      <c r="KR1324" s="15"/>
      <c r="KS1324" s="15"/>
      <c r="KT1324" s="15"/>
      <c r="KU1324" s="15"/>
      <c r="KV1324" s="15"/>
      <c r="KW1324" s="15"/>
      <c r="KX1324" s="15"/>
      <c r="KY1324" s="15"/>
      <c r="KZ1324" s="15"/>
    </row>
    <row r="1325" spans="300:312" x14ac:dyDescent="0.3">
      <c r="KN1325" s="15"/>
      <c r="KO1325" s="15"/>
      <c r="KP1325" s="15"/>
      <c r="KQ1325" s="15"/>
      <c r="KR1325" s="15"/>
      <c r="KS1325" s="15"/>
      <c r="KT1325" s="15"/>
      <c r="KU1325" s="15"/>
      <c r="KV1325" s="15"/>
      <c r="KW1325" s="15"/>
      <c r="KX1325" s="15"/>
      <c r="KY1325" s="15"/>
      <c r="KZ1325" s="15"/>
    </row>
    <row r="1326" spans="300:312" x14ac:dyDescent="0.3">
      <c r="KN1326" s="15"/>
      <c r="KO1326" s="15"/>
      <c r="KP1326" s="15"/>
      <c r="KQ1326" s="15"/>
      <c r="KR1326" s="15"/>
      <c r="KS1326" s="15"/>
      <c r="KT1326" s="15"/>
      <c r="KU1326" s="15"/>
      <c r="KV1326" s="15"/>
      <c r="KW1326" s="15"/>
      <c r="KX1326" s="15"/>
      <c r="KY1326" s="15"/>
      <c r="KZ1326" s="15"/>
    </row>
    <row r="1327" spans="300:312" x14ac:dyDescent="0.3">
      <c r="KN1327" s="15"/>
      <c r="KO1327" s="15"/>
      <c r="KP1327" s="15"/>
      <c r="KQ1327" s="15"/>
      <c r="KR1327" s="15"/>
      <c r="KS1327" s="15"/>
      <c r="KT1327" s="15"/>
      <c r="KU1327" s="15"/>
      <c r="KV1327" s="15"/>
      <c r="KW1327" s="15"/>
      <c r="KX1327" s="15"/>
      <c r="KY1327" s="15"/>
      <c r="KZ1327" s="15"/>
    </row>
    <row r="1328" spans="300:312" x14ac:dyDescent="0.3">
      <c r="KN1328" s="15"/>
      <c r="KO1328" s="15"/>
      <c r="KP1328" s="15"/>
      <c r="KQ1328" s="15"/>
      <c r="KR1328" s="15"/>
      <c r="KS1328" s="15"/>
      <c r="KT1328" s="15"/>
      <c r="KU1328" s="15"/>
      <c r="KV1328" s="15"/>
      <c r="KW1328" s="15"/>
      <c r="KX1328" s="15"/>
      <c r="KY1328" s="15"/>
      <c r="KZ1328" s="15"/>
    </row>
    <row r="1329" spans="300:312" x14ac:dyDescent="0.3">
      <c r="KN1329" s="15"/>
      <c r="KO1329" s="15"/>
      <c r="KP1329" s="15"/>
      <c r="KQ1329" s="15"/>
      <c r="KR1329" s="15"/>
      <c r="KS1329" s="15"/>
      <c r="KT1329" s="15"/>
      <c r="KU1329" s="15"/>
      <c r="KV1329" s="15"/>
      <c r="KW1329" s="15"/>
      <c r="KX1329" s="15"/>
      <c r="KY1329" s="15"/>
      <c r="KZ1329" s="15"/>
    </row>
  </sheetData>
  <mergeCells count="34">
    <mergeCell ref="KU4:KZ4"/>
    <mergeCell ref="KM3:KT3"/>
    <mergeCell ref="AS5:AW5"/>
    <mergeCell ref="AX5:BC5"/>
    <mergeCell ref="A4:A7"/>
    <mergeCell ref="BD5:BJ5"/>
    <mergeCell ref="BK5:BP5"/>
    <mergeCell ref="BQ5:BW5"/>
    <mergeCell ref="BX5:CC5"/>
    <mergeCell ref="DI5:EI5"/>
    <mergeCell ref="EJ5:FJ5"/>
    <mergeCell ref="FK5:GK5"/>
    <mergeCell ref="KK4:KK7"/>
    <mergeCell ref="B5:F5"/>
    <mergeCell ref="G5:N5"/>
    <mergeCell ref="O5:V5"/>
    <mergeCell ref="KE5:KJ5"/>
    <mergeCell ref="GZ5:HM5"/>
    <mergeCell ref="HN5:IA5"/>
    <mergeCell ref="IH5:IU5"/>
    <mergeCell ref="CO5:CR5"/>
    <mergeCell ref="DD5:DH5"/>
    <mergeCell ref="CS5:DC5"/>
    <mergeCell ref="GL5:GY5"/>
    <mergeCell ref="JS5:KD5"/>
    <mergeCell ref="IB5:IG5"/>
    <mergeCell ref="W5:AC5"/>
    <mergeCell ref="AD5:AH5"/>
    <mergeCell ref="AI5:AM5"/>
    <mergeCell ref="AN5:AR5"/>
    <mergeCell ref="FX2:GR2"/>
    <mergeCell ref="AZ4:KD4"/>
    <mergeCell ref="IV5:JR5"/>
    <mergeCell ref="CD5:CN5"/>
  </mergeCells>
  <conditionalFormatting sqref="BF3 DP3:DQ3">
    <cfRule type="cellIs" dxfId="3" priority="5" operator="equal">
      <formula>"Write your name here"</formula>
    </cfRule>
  </conditionalFormatting>
  <conditionalFormatting sqref="IE2:IF3">
    <cfRule type="cellIs" dxfId="2" priority="4" operator="equal">
      <formula>"Select your profession from list"</formula>
    </cfRule>
  </conditionalFormatting>
  <conditionalFormatting sqref="IX3:JC3">
    <cfRule type="cellIs" dxfId="1" priority="3" operator="equal">
      <formula>"Select your community from list"</formula>
    </cfRule>
  </conditionalFormatting>
  <conditionalFormatting sqref="IX2:JC2">
    <cfRule type="cellIs" dxfId="0" priority="1" operator="equal">
      <formula>"Write your name here"</formula>
    </cfRule>
  </conditionalFormatting>
  <dataValidations count="2">
    <dataValidation type="list" allowBlank="1" showInputMessage="1" showErrorMessage="1" sqref="A65479:AR65479" xr:uid="{4CAFE9F3-0A32-4A8F-9048-78E4E99863E5}">
      <formula1>Program</formula1>
    </dataValidation>
    <dataValidation type="list" allowBlank="1" showInputMessage="1" showErrorMessage="1" sqref="C6 AE6 AJ6 AO6" xr:uid="{91AF654B-019B-4B46-AB71-CD2687C964B8}">
      <formula1>Tobacco_Use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82641-C1F7-4855-927F-1D85FEE2764B}">
  <sheetPr codeName="Sheet10">
    <tabColor rgb="FFFF0000"/>
  </sheetPr>
  <dimension ref="A1:JS2990"/>
  <sheetViews>
    <sheetView topLeftCell="A9" workbookViewId="0">
      <selection activeCell="P21" sqref="P21"/>
    </sheetView>
  </sheetViews>
  <sheetFormatPr defaultColWidth="9.109375" defaultRowHeight="14.4" x14ac:dyDescent="0.3"/>
  <cols>
    <col min="1" max="1" width="15.5546875" style="2" bestFit="1" customWidth="1"/>
    <col min="2" max="3" width="4.6640625" style="2" customWidth="1"/>
    <col min="4" max="4" width="4.6640625" style="93" customWidth="1"/>
    <col min="5" max="32" width="4.6640625" style="2" customWidth="1"/>
    <col min="33" max="33" width="4.6640625" customWidth="1"/>
    <col min="34" max="262" width="4.6640625" style="2" customWidth="1"/>
    <col min="263" max="263" width="14.88671875" style="2" customWidth="1"/>
    <col min="266" max="267" width="4.6640625" customWidth="1"/>
    <col min="277" max="16384" width="9.109375" style="2"/>
  </cols>
  <sheetData>
    <row r="1" spans="1:279" ht="21" customHeight="1" x14ac:dyDescent="0.3">
      <c r="B1" s="1"/>
      <c r="C1" s="1"/>
      <c r="D1" s="1"/>
      <c r="E1" s="1"/>
      <c r="F1" s="1"/>
      <c r="JC1" s="1"/>
    </row>
    <row r="2" spans="1:279" ht="15" customHeight="1" thickBot="1" x14ac:dyDescent="0.35">
      <c r="B2" s="209"/>
      <c r="C2" s="209"/>
      <c r="D2" s="209"/>
      <c r="E2" s="581" t="s">
        <v>356</v>
      </c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1"/>
      <c r="AB2" s="581"/>
      <c r="AC2" s="581"/>
      <c r="AD2" s="581"/>
      <c r="AE2" s="581"/>
      <c r="AF2" s="581"/>
      <c r="AG2" s="581"/>
      <c r="AH2" s="581"/>
      <c r="AI2" s="581"/>
      <c r="AJ2" s="581"/>
      <c r="AK2" s="581"/>
      <c r="AL2" s="581"/>
      <c r="AM2" s="581"/>
      <c r="AN2" s="581"/>
      <c r="AO2" s="581"/>
      <c r="AP2" s="581"/>
      <c r="AQ2" s="581"/>
      <c r="AR2" s="581"/>
      <c r="AS2" s="581"/>
      <c r="AT2" s="581"/>
      <c r="AU2" s="581"/>
      <c r="AV2" s="581"/>
      <c r="AW2" s="581"/>
      <c r="AX2" s="581"/>
      <c r="AY2" s="581"/>
      <c r="AZ2" s="581"/>
      <c r="BA2" s="581"/>
      <c r="BB2" s="581"/>
      <c r="BC2" s="581"/>
      <c r="BD2" s="581"/>
      <c r="BE2" s="581"/>
      <c r="BF2" s="581"/>
      <c r="BG2" s="581"/>
      <c r="BH2" s="581"/>
      <c r="BI2" s="581"/>
      <c r="BJ2" s="581"/>
      <c r="BK2" s="581"/>
      <c r="BL2" s="581"/>
      <c r="BM2" s="581"/>
      <c r="BN2" s="581"/>
      <c r="BO2" s="581"/>
      <c r="BP2" s="581"/>
      <c r="BQ2" s="581"/>
      <c r="BR2" s="581"/>
      <c r="BS2" s="581"/>
      <c r="BT2" s="581"/>
      <c r="BU2" s="581"/>
      <c r="BV2" s="581"/>
      <c r="BW2" s="581"/>
      <c r="BX2" s="581"/>
      <c r="BY2" s="581"/>
      <c r="BZ2" s="581"/>
      <c r="CA2" s="581"/>
      <c r="CB2" s="581"/>
      <c r="CC2" s="581"/>
      <c r="CD2" s="581"/>
      <c r="CE2" s="581"/>
      <c r="CF2" s="581"/>
      <c r="CG2" s="581"/>
      <c r="CH2" s="581"/>
      <c r="CI2" s="581"/>
      <c r="CJ2" s="581"/>
      <c r="CK2" s="581"/>
      <c r="CL2" s="581"/>
      <c r="CM2" s="581"/>
      <c r="CN2" s="581"/>
      <c r="CO2" s="581"/>
      <c r="CP2" s="581"/>
      <c r="CQ2" s="581"/>
      <c r="CR2" s="581"/>
      <c r="CS2" s="581"/>
      <c r="CT2" s="581"/>
      <c r="CU2" s="581"/>
      <c r="CV2" s="581"/>
      <c r="CW2" s="581"/>
      <c r="CX2" s="581"/>
      <c r="CY2" s="581"/>
      <c r="CZ2" s="581"/>
      <c r="DA2" s="581"/>
      <c r="DB2" s="581"/>
      <c r="DC2" s="581"/>
      <c r="DD2" s="581"/>
      <c r="DE2" s="581"/>
      <c r="DF2" s="581"/>
      <c r="DG2" s="581"/>
      <c r="DH2" s="581"/>
      <c r="DI2" s="581"/>
      <c r="DJ2" s="581"/>
      <c r="DK2" s="581"/>
      <c r="DL2" s="581"/>
      <c r="DM2" s="581"/>
      <c r="DN2" s="581"/>
      <c r="DO2" s="581"/>
      <c r="DP2" s="581"/>
      <c r="DQ2" s="581"/>
      <c r="DR2" s="581"/>
      <c r="DS2" s="581"/>
      <c r="DT2" s="581"/>
      <c r="DU2" s="581"/>
      <c r="DV2" s="581"/>
      <c r="DW2" s="581"/>
      <c r="DX2" s="581"/>
      <c r="DY2" s="581"/>
      <c r="DZ2" s="581"/>
      <c r="EA2" s="581"/>
      <c r="EB2" s="581"/>
      <c r="EC2" s="581"/>
      <c r="ED2" s="581"/>
      <c r="EE2" s="581"/>
      <c r="EF2" s="581"/>
      <c r="EG2" s="581"/>
      <c r="EH2" s="581"/>
      <c r="EI2" s="581"/>
      <c r="EJ2" s="581"/>
      <c r="EK2" s="581"/>
      <c r="EL2" s="581"/>
      <c r="EM2" s="581"/>
      <c r="EN2" s="581"/>
      <c r="EO2" s="581"/>
      <c r="EP2" s="581"/>
      <c r="EQ2" s="581"/>
      <c r="ER2" s="581"/>
      <c r="ES2" s="581"/>
      <c r="ET2" s="581"/>
      <c r="EU2" s="581"/>
      <c r="EV2" s="581"/>
      <c r="EW2" s="581"/>
      <c r="EX2" s="581"/>
      <c r="EY2" s="581"/>
      <c r="EZ2" s="581"/>
      <c r="FA2" s="581"/>
      <c r="FB2" s="581"/>
      <c r="FC2" s="581"/>
      <c r="FD2" s="581"/>
      <c r="FE2" s="581"/>
      <c r="FF2" s="581"/>
      <c r="FG2" s="581"/>
      <c r="FH2" s="581"/>
      <c r="FI2" s="581"/>
      <c r="FJ2" s="581"/>
      <c r="FK2" s="581"/>
      <c r="FL2" s="581"/>
      <c r="FM2" s="581"/>
      <c r="FN2" s="581"/>
      <c r="FO2" s="581"/>
      <c r="FP2" s="581"/>
      <c r="FQ2" s="581"/>
      <c r="FR2" s="581"/>
      <c r="FS2" s="581"/>
      <c r="FT2" s="581"/>
      <c r="FU2" s="581"/>
      <c r="FV2" s="581"/>
      <c r="FW2" s="581"/>
      <c r="FX2" s="581"/>
      <c r="FY2" s="581"/>
      <c r="FZ2" s="581"/>
      <c r="GA2" s="581"/>
      <c r="GB2" s="581"/>
      <c r="GC2" s="581"/>
      <c r="GD2" s="581"/>
      <c r="GE2" s="581"/>
      <c r="GF2" s="581"/>
      <c r="GG2" s="581"/>
      <c r="GH2" s="581"/>
      <c r="GI2" s="581"/>
      <c r="GJ2" s="581"/>
      <c r="GK2" s="581"/>
      <c r="GL2" s="581"/>
      <c r="GM2" s="581"/>
      <c r="GN2" s="581"/>
      <c r="GO2" s="581"/>
      <c r="GP2" s="581"/>
      <c r="GQ2" s="581"/>
      <c r="GR2" s="581"/>
      <c r="GS2" s="581"/>
      <c r="GT2" s="581"/>
      <c r="GU2" s="581"/>
      <c r="GV2" s="581"/>
      <c r="GW2" s="581"/>
      <c r="GX2" s="581"/>
      <c r="GY2" s="581"/>
      <c r="GZ2" s="581"/>
      <c r="HA2" s="581"/>
      <c r="HB2" s="581"/>
      <c r="HC2" s="581"/>
      <c r="HD2" s="581"/>
      <c r="HE2" s="581"/>
      <c r="HF2" s="581"/>
      <c r="HG2" s="581"/>
      <c r="HH2" s="581"/>
      <c r="HI2" s="581"/>
      <c r="HJ2" s="581"/>
      <c r="HK2" s="581"/>
      <c r="HL2" s="581"/>
      <c r="HM2" s="581"/>
      <c r="HN2" s="581"/>
      <c r="HO2" s="581"/>
      <c r="HP2" s="581"/>
      <c r="HQ2" s="581"/>
      <c r="HR2" s="581"/>
      <c r="HS2" s="581"/>
      <c r="HT2" s="581"/>
      <c r="HU2" s="581"/>
      <c r="HV2" s="581"/>
      <c r="HW2" s="581"/>
      <c r="HX2" s="581"/>
      <c r="HY2" s="581"/>
      <c r="HZ2" s="581"/>
      <c r="IA2" s="581"/>
      <c r="IB2" s="581"/>
      <c r="IC2" s="581"/>
      <c r="ID2" s="581"/>
      <c r="IE2" s="581"/>
      <c r="IF2" s="581"/>
      <c r="IG2" s="581"/>
      <c r="IH2" s="581"/>
      <c r="II2" s="581"/>
      <c r="IJ2" s="581"/>
      <c r="IK2" s="581"/>
      <c r="IL2" s="581"/>
      <c r="IM2" s="581"/>
      <c r="IN2" s="581"/>
      <c r="IO2" s="581"/>
      <c r="IP2" s="581"/>
      <c r="IQ2" s="581"/>
      <c r="IR2" s="581"/>
      <c r="IS2" s="581"/>
      <c r="IT2" s="581"/>
      <c r="IU2" s="581"/>
      <c r="IV2" s="209"/>
      <c r="IW2" s="209"/>
      <c r="IX2" s="209"/>
      <c r="IY2" s="127"/>
      <c r="IZ2" s="127"/>
      <c r="JA2" s="127"/>
      <c r="JB2" s="127"/>
      <c r="JC2" s="9"/>
      <c r="JD2" s="15"/>
      <c r="JE2" s="574" t="s">
        <v>666</v>
      </c>
      <c r="JF2" s="574"/>
      <c r="JG2" s="574"/>
      <c r="JH2" s="574"/>
      <c r="JI2" s="574"/>
      <c r="JJ2" s="574"/>
      <c r="JK2" s="574"/>
      <c r="JL2" s="574"/>
      <c r="JM2" s="15"/>
      <c r="JN2" s="15"/>
      <c r="JO2" s="15"/>
      <c r="JP2" s="15"/>
    </row>
    <row r="3" spans="1:279" s="3" customFormat="1" ht="13.5" customHeight="1" thickTop="1" thickBot="1" x14ac:dyDescent="0.35">
      <c r="D3" s="9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15"/>
      <c r="JM3" s="597" t="s">
        <v>741</v>
      </c>
      <c r="JN3" s="633"/>
      <c r="JO3" s="633"/>
      <c r="JP3" s="633"/>
      <c r="JQ3" s="633"/>
      <c r="JR3" s="633"/>
      <c r="JS3" s="634"/>
    </row>
    <row r="4" spans="1:279" s="5" customFormat="1" ht="15" customHeight="1" thickTop="1" thickBot="1" x14ac:dyDescent="0.25">
      <c r="A4" s="640" t="s">
        <v>668</v>
      </c>
      <c r="B4" s="257"/>
      <c r="C4" s="257"/>
      <c r="D4" s="257"/>
      <c r="E4" s="343"/>
      <c r="F4" s="343"/>
      <c r="G4" s="343"/>
      <c r="H4" s="604" t="s">
        <v>742</v>
      </c>
      <c r="I4" s="604"/>
      <c r="J4" s="604"/>
      <c r="K4" s="604"/>
      <c r="L4" s="604"/>
      <c r="M4" s="604"/>
      <c r="N4" s="604"/>
      <c r="O4" s="604"/>
      <c r="P4" s="604"/>
      <c r="Q4" s="604"/>
      <c r="R4" s="604"/>
      <c r="S4" s="604"/>
      <c r="T4" s="604"/>
      <c r="U4" s="604"/>
      <c r="V4" s="604"/>
      <c r="W4" s="604"/>
      <c r="X4" s="604"/>
      <c r="Y4" s="604"/>
      <c r="Z4" s="604"/>
      <c r="AA4" s="604"/>
      <c r="AB4" s="604"/>
      <c r="AC4" s="604"/>
      <c r="AD4" s="604"/>
      <c r="AE4" s="604"/>
      <c r="AF4" s="604"/>
      <c r="AG4" s="604"/>
      <c r="AH4" s="604"/>
      <c r="AI4" s="604"/>
      <c r="AJ4" s="604"/>
      <c r="AK4" s="604"/>
      <c r="AL4" s="604"/>
      <c r="AM4" s="604"/>
      <c r="AN4" s="604"/>
      <c r="AO4" s="604"/>
      <c r="AP4" s="604"/>
      <c r="AQ4" s="604"/>
      <c r="AR4" s="604"/>
      <c r="AS4" s="604"/>
      <c r="AT4" s="604"/>
      <c r="AU4" s="604"/>
      <c r="AV4" s="604"/>
      <c r="AW4" s="604"/>
      <c r="AX4" s="604"/>
      <c r="AY4" s="604"/>
      <c r="AZ4" s="604"/>
      <c r="BA4" s="604"/>
      <c r="BB4" s="604"/>
      <c r="BC4" s="604"/>
      <c r="BD4" s="604"/>
      <c r="BE4" s="604"/>
      <c r="BF4" s="604"/>
      <c r="BG4" s="604"/>
      <c r="BH4" s="604"/>
      <c r="BI4" s="604"/>
      <c r="BJ4" s="604"/>
      <c r="BK4" s="604"/>
      <c r="BL4" s="604"/>
      <c r="BM4" s="604"/>
      <c r="BN4" s="604"/>
      <c r="BO4" s="604"/>
      <c r="BP4" s="604"/>
      <c r="BQ4" s="604"/>
      <c r="BR4" s="604"/>
      <c r="BS4" s="604"/>
      <c r="BT4" s="604"/>
      <c r="BU4" s="604"/>
      <c r="BV4" s="604"/>
      <c r="BW4" s="604"/>
      <c r="BX4" s="604"/>
      <c r="BY4" s="604"/>
      <c r="BZ4" s="604"/>
      <c r="CA4" s="604"/>
      <c r="CB4" s="604"/>
      <c r="CC4" s="604"/>
      <c r="CD4" s="604"/>
      <c r="CE4" s="604"/>
      <c r="CF4" s="604"/>
      <c r="CG4" s="604"/>
      <c r="CH4" s="604"/>
      <c r="CI4" s="604"/>
      <c r="CJ4" s="604"/>
      <c r="CK4" s="604"/>
      <c r="CL4" s="604"/>
      <c r="CM4" s="604"/>
      <c r="CN4" s="604"/>
      <c r="CO4" s="604"/>
      <c r="CP4" s="604"/>
      <c r="CQ4" s="604"/>
      <c r="CR4" s="604"/>
      <c r="CS4" s="604"/>
      <c r="CT4" s="604"/>
      <c r="CU4" s="604"/>
      <c r="CV4" s="604"/>
      <c r="CW4" s="604"/>
      <c r="CX4" s="604"/>
      <c r="CY4" s="604"/>
      <c r="CZ4" s="604"/>
      <c r="DA4" s="604"/>
      <c r="DB4" s="604"/>
      <c r="DC4" s="604"/>
      <c r="DD4" s="604"/>
      <c r="DE4" s="604"/>
      <c r="DF4" s="604"/>
      <c r="DG4" s="604"/>
      <c r="DH4" s="604"/>
      <c r="DI4" s="604"/>
      <c r="DJ4" s="604"/>
      <c r="DK4" s="604"/>
      <c r="DL4" s="604"/>
      <c r="DM4" s="604"/>
      <c r="DN4" s="604"/>
      <c r="DO4" s="604"/>
      <c r="DP4" s="604"/>
      <c r="DQ4" s="604"/>
      <c r="DR4" s="604"/>
      <c r="DS4" s="604"/>
      <c r="DT4" s="604"/>
      <c r="DU4" s="604"/>
      <c r="DV4" s="604"/>
      <c r="DW4" s="604"/>
      <c r="DX4" s="604"/>
      <c r="DY4" s="604"/>
      <c r="DZ4" s="604"/>
      <c r="EA4" s="604"/>
      <c r="EB4" s="604"/>
      <c r="EC4" s="604"/>
      <c r="ED4" s="604"/>
      <c r="EE4" s="604"/>
      <c r="EF4" s="604"/>
      <c r="EG4" s="604"/>
      <c r="EH4" s="604"/>
      <c r="EI4" s="604"/>
      <c r="EJ4" s="604"/>
      <c r="EK4" s="604"/>
      <c r="EL4" s="604"/>
      <c r="EM4" s="604"/>
      <c r="EN4" s="604"/>
      <c r="EO4" s="604"/>
      <c r="EP4" s="604"/>
      <c r="EQ4" s="604"/>
      <c r="ER4" s="604"/>
      <c r="ES4" s="604"/>
      <c r="ET4" s="604"/>
      <c r="EU4" s="604"/>
      <c r="EV4" s="604"/>
      <c r="EW4" s="604"/>
      <c r="EX4" s="604"/>
      <c r="EY4" s="604"/>
      <c r="EZ4" s="604"/>
      <c r="FA4" s="604"/>
      <c r="FB4" s="604"/>
      <c r="FC4" s="604"/>
      <c r="FD4" s="604"/>
      <c r="FE4" s="604"/>
      <c r="FF4" s="604"/>
      <c r="FG4" s="604"/>
      <c r="FH4" s="604"/>
      <c r="FI4" s="604"/>
      <c r="FJ4" s="604"/>
      <c r="FK4" s="604"/>
      <c r="FL4" s="604"/>
      <c r="FM4" s="604"/>
      <c r="FN4" s="604"/>
      <c r="FO4" s="604"/>
      <c r="FP4" s="604"/>
      <c r="FQ4" s="604"/>
      <c r="FR4" s="604"/>
      <c r="FS4" s="604"/>
      <c r="FT4" s="604"/>
      <c r="FU4" s="604"/>
      <c r="FV4" s="604"/>
      <c r="FW4" s="604"/>
      <c r="FX4" s="604"/>
      <c r="FY4" s="604"/>
      <c r="FZ4" s="604"/>
      <c r="GA4" s="604"/>
      <c r="GB4" s="604"/>
      <c r="GC4" s="604"/>
      <c r="GD4" s="604"/>
      <c r="GE4" s="604"/>
      <c r="GF4" s="604"/>
      <c r="GG4" s="604"/>
      <c r="GH4" s="604"/>
      <c r="GI4" s="604"/>
      <c r="GJ4" s="604"/>
      <c r="GK4" s="604"/>
      <c r="GL4" s="604"/>
      <c r="GM4" s="604"/>
      <c r="GN4" s="604"/>
      <c r="GO4" s="604"/>
      <c r="GP4" s="604"/>
      <c r="GQ4" s="604"/>
      <c r="GR4" s="604"/>
      <c r="GS4" s="604"/>
      <c r="GT4" s="604"/>
      <c r="GU4" s="604"/>
      <c r="GV4" s="604"/>
      <c r="GW4" s="604"/>
      <c r="GX4" s="604"/>
      <c r="GY4" s="604"/>
      <c r="GZ4" s="604"/>
      <c r="HA4" s="604"/>
      <c r="HB4" s="604"/>
      <c r="HC4" s="604"/>
      <c r="HD4" s="604"/>
      <c r="HE4" s="604"/>
      <c r="HF4" s="604"/>
      <c r="HG4" s="604"/>
      <c r="HH4" s="604"/>
      <c r="HI4" s="604"/>
      <c r="HJ4" s="604"/>
      <c r="HK4" s="604"/>
      <c r="HL4" s="604"/>
      <c r="HM4" s="604"/>
      <c r="HN4" s="604"/>
      <c r="HO4" s="604"/>
      <c r="HP4" s="604"/>
      <c r="HQ4" s="604"/>
      <c r="HR4" s="604"/>
      <c r="HS4" s="604"/>
      <c r="HT4" s="604"/>
      <c r="HU4" s="604"/>
      <c r="HV4" s="604"/>
      <c r="HW4" s="604"/>
      <c r="HX4" s="604"/>
      <c r="HY4" s="604"/>
      <c r="HZ4" s="604"/>
      <c r="IA4" s="604"/>
      <c r="IB4" s="604"/>
      <c r="IC4" s="604"/>
      <c r="ID4" s="604"/>
      <c r="IE4" s="604"/>
      <c r="IF4" s="604"/>
      <c r="IG4" s="604"/>
      <c r="IH4" s="604"/>
      <c r="II4" s="604"/>
      <c r="IJ4" s="604"/>
      <c r="IK4" s="604"/>
      <c r="IL4" s="604"/>
      <c r="IM4" s="604"/>
      <c r="IN4" s="604"/>
      <c r="IO4" s="604"/>
      <c r="IP4" s="604"/>
      <c r="IQ4" s="604"/>
      <c r="IR4" s="604"/>
      <c r="IS4" s="604"/>
      <c r="IT4" s="604"/>
      <c r="IU4" s="604"/>
      <c r="IV4" s="604"/>
      <c r="IW4" s="604"/>
      <c r="IX4" s="639"/>
      <c r="IY4" s="379"/>
      <c r="IZ4" s="241"/>
      <c r="JA4" s="241"/>
      <c r="JB4" s="241"/>
      <c r="JC4" s="380"/>
      <c r="JD4" s="628"/>
      <c r="JE4" s="628"/>
      <c r="JF4" s="241"/>
      <c r="JG4" s="241"/>
      <c r="JH4" s="300"/>
      <c r="JI4" s="300"/>
      <c r="JJ4" s="300"/>
      <c r="JK4" s="300"/>
      <c r="JL4" s="301"/>
      <c r="JM4" s="635"/>
      <c r="JN4" s="636"/>
      <c r="JO4" s="636"/>
      <c r="JP4" s="636"/>
      <c r="JQ4" s="636"/>
      <c r="JR4" s="636"/>
      <c r="JS4" s="637"/>
    </row>
    <row r="5" spans="1:279" s="5" customFormat="1" ht="74.400000000000006" customHeight="1" thickTop="1" thickBot="1" x14ac:dyDescent="0.35">
      <c r="A5" s="641"/>
      <c r="B5" s="642" t="s">
        <v>743</v>
      </c>
      <c r="C5" s="642"/>
      <c r="D5" s="642"/>
      <c r="E5" s="645" t="s">
        <v>744</v>
      </c>
      <c r="F5" s="642"/>
      <c r="G5" s="642"/>
      <c r="H5" s="646"/>
      <c r="I5" s="647" t="s">
        <v>745</v>
      </c>
      <c r="J5" s="648"/>
      <c r="K5" s="648"/>
      <c r="L5" s="648"/>
      <c r="M5" s="648"/>
      <c r="N5" s="648"/>
      <c r="O5" s="648"/>
      <c r="P5" s="648"/>
      <c r="Q5" s="648"/>
      <c r="R5" s="648"/>
      <c r="S5" s="648"/>
      <c r="T5" s="648"/>
      <c r="U5" s="648"/>
      <c r="V5" s="648"/>
      <c r="W5" s="648"/>
      <c r="X5" s="648"/>
      <c r="Y5" s="648"/>
      <c r="Z5" s="648"/>
      <c r="AA5" s="648"/>
      <c r="AB5" s="648"/>
      <c r="AC5" s="648"/>
      <c r="AD5" s="646"/>
      <c r="AE5" s="629" t="s">
        <v>746</v>
      </c>
      <c r="AF5" s="630"/>
      <c r="AG5" s="630"/>
      <c r="AH5" s="630"/>
      <c r="AI5" s="630"/>
      <c r="AJ5" s="630"/>
      <c r="AK5" s="630"/>
      <c r="AL5" s="630"/>
      <c r="AM5" s="630"/>
      <c r="AN5" s="631"/>
      <c r="AO5" s="629" t="s">
        <v>747</v>
      </c>
      <c r="AP5" s="630"/>
      <c r="AQ5" s="630"/>
      <c r="AR5" s="630"/>
      <c r="AS5" s="630"/>
      <c r="AT5" s="630"/>
      <c r="AU5" s="630"/>
      <c r="AV5" s="631"/>
      <c r="AW5" s="629" t="s">
        <v>591</v>
      </c>
      <c r="AX5" s="630"/>
      <c r="AY5" s="644"/>
      <c r="AZ5" s="643" t="s">
        <v>599</v>
      </c>
      <c r="BA5" s="630"/>
      <c r="BB5" s="630"/>
      <c r="BC5" s="630"/>
      <c r="BD5" s="644"/>
      <c r="BE5" s="643" t="s">
        <v>600</v>
      </c>
      <c r="BF5" s="630"/>
      <c r="BG5" s="630"/>
      <c r="BH5" s="631"/>
      <c r="BI5" s="629" t="s">
        <v>748</v>
      </c>
      <c r="BJ5" s="630"/>
      <c r="BK5" s="630"/>
      <c r="BL5" s="630"/>
      <c r="BM5" s="631"/>
      <c r="BN5" s="629" t="s">
        <v>749</v>
      </c>
      <c r="BO5" s="630"/>
      <c r="BP5" s="630"/>
      <c r="BQ5" s="630"/>
      <c r="BR5" s="644"/>
      <c r="BS5" s="643" t="s">
        <v>750</v>
      </c>
      <c r="BT5" s="630"/>
      <c r="BU5" s="630"/>
      <c r="BV5" s="630"/>
      <c r="BW5" s="630"/>
      <c r="BX5" s="644"/>
      <c r="BY5" s="643" t="s">
        <v>751</v>
      </c>
      <c r="BZ5" s="630"/>
      <c r="CA5" s="630"/>
      <c r="CB5" s="630"/>
      <c r="CC5" s="630"/>
      <c r="CD5" s="630"/>
      <c r="CE5" s="629" t="s">
        <v>66</v>
      </c>
      <c r="CF5" s="630"/>
      <c r="CG5" s="630"/>
      <c r="CH5" s="630"/>
      <c r="CI5" s="630"/>
      <c r="CJ5" s="630"/>
      <c r="CK5" s="630"/>
      <c r="CL5" s="631"/>
      <c r="CM5" s="629" t="s">
        <v>752</v>
      </c>
      <c r="CN5" s="630"/>
      <c r="CO5" s="630"/>
      <c r="CP5" s="630"/>
      <c r="CQ5" s="630"/>
      <c r="CR5" s="630"/>
      <c r="CS5" s="631"/>
      <c r="CT5" s="629" t="s">
        <v>753</v>
      </c>
      <c r="CU5" s="630"/>
      <c r="CV5" s="630"/>
      <c r="CW5" s="630"/>
      <c r="CX5" s="630"/>
      <c r="CY5" s="630"/>
      <c r="CZ5" s="630"/>
      <c r="DA5" s="630"/>
      <c r="DB5" s="631"/>
      <c r="DC5" s="629" t="s">
        <v>607</v>
      </c>
      <c r="DD5" s="630"/>
      <c r="DE5" s="630"/>
      <c r="DF5" s="631"/>
      <c r="DG5" s="629" t="s">
        <v>754</v>
      </c>
      <c r="DH5" s="630"/>
      <c r="DI5" s="630"/>
      <c r="DJ5" s="630"/>
      <c r="DK5" s="630"/>
      <c r="DL5" s="630"/>
      <c r="DM5" s="630"/>
      <c r="DN5" s="631"/>
      <c r="DO5" s="629" t="s">
        <v>755</v>
      </c>
      <c r="DP5" s="630"/>
      <c r="DQ5" s="630"/>
      <c r="DR5" s="630"/>
      <c r="DS5" s="630"/>
      <c r="DT5" s="630"/>
      <c r="DU5" s="630"/>
      <c r="DV5" s="630"/>
      <c r="DW5" s="630"/>
      <c r="DX5" s="631"/>
      <c r="DY5" s="632" t="s">
        <v>756</v>
      </c>
      <c r="DZ5" s="632"/>
      <c r="EA5" s="632"/>
      <c r="EB5" s="632"/>
      <c r="EC5" s="629" t="s">
        <v>757</v>
      </c>
      <c r="ED5" s="630"/>
      <c r="EE5" s="630"/>
      <c r="EF5" s="630"/>
      <c r="EG5" s="630"/>
      <c r="EH5" s="631"/>
      <c r="EI5" s="629" t="s">
        <v>758</v>
      </c>
      <c r="EJ5" s="630"/>
      <c r="EK5" s="630"/>
      <c r="EL5" s="630"/>
      <c r="EM5" s="630"/>
      <c r="EN5" s="630"/>
      <c r="EO5" s="631"/>
      <c r="EP5" s="629" t="s">
        <v>759</v>
      </c>
      <c r="EQ5" s="630"/>
      <c r="ER5" s="630"/>
      <c r="ES5" s="630"/>
      <c r="ET5" s="629" t="s">
        <v>760</v>
      </c>
      <c r="EU5" s="630"/>
      <c r="EV5" s="630"/>
      <c r="EW5" s="631"/>
      <c r="EX5" s="629" t="s">
        <v>761</v>
      </c>
      <c r="EY5" s="630"/>
      <c r="EZ5" s="630"/>
      <c r="FA5" s="631"/>
      <c r="FB5" s="629" t="s">
        <v>762</v>
      </c>
      <c r="FC5" s="630"/>
      <c r="FD5" s="630"/>
      <c r="FE5" s="630"/>
      <c r="FF5" s="630"/>
      <c r="FG5" s="631"/>
      <c r="FH5" s="629" t="s">
        <v>78</v>
      </c>
      <c r="FI5" s="630"/>
      <c r="FJ5" s="630"/>
      <c r="FK5" s="630"/>
      <c r="FL5" s="631"/>
      <c r="FM5" s="629" t="s">
        <v>763</v>
      </c>
      <c r="FN5" s="630"/>
      <c r="FO5" s="630"/>
      <c r="FP5" s="630"/>
      <c r="FQ5" s="631"/>
      <c r="FR5" s="629" t="s">
        <v>764</v>
      </c>
      <c r="FS5" s="630"/>
      <c r="FT5" s="630"/>
      <c r="FU5" s="631"/>
      <c r="FV5" s="629" t="s">
        <v>765</v>
      </c>
      <c r="FW5" s="630"/>
      <c r="FX5" s="630"/>
      <c r="FY5" s="631"/>
      <c r="FZ5" s="629" t="s">
        <v>766</v>
      </c>
      <c r="GA5" s="630"/>
      <c r="GB5" s="630"/>
      <c r="GC5" s="630"/>
      <c r="GD5" s="630"/>
      <c r="GE5" s="630"/>
      <c r="GF5" s="630"/>
      <c r="GG5" s="630"/>
      <c r="GH5" s="630"/>
      <c r="GI5" s="630"/>
      <c r="GJ5" s="630"/>
      <c r="GK5" s="630"/>
      <c r="GL5" s="630"/>
      <c r="GM5" s="630"/>
      <c r="GN5" s="630"/>
      <c r="GO5" s="630"/>
      <c r="GP5" s="630"/>
      <c r="GQ5" s="630"/>
      <c r="GR5" s="630"/>
      <c r="GS5" s="630"/>
      <c r="GT5" s="631"/>
      <c r="GU5" s="629" t="s">
        <v>767</v>
      </c>
      <c r="GV5" s="630"/>
      <c r="GW5" s="630"/>
      <c r="GX5" s="630"/>
      <c r="GY5" s="630"/>
      <c r="GZ5" s="630"/>
      <c r="HA5" s="630"/>
      <c r="HB5" s="630"/>
      <c r="HC5" s="630"/>
      <c r="HD5" s="630"/>
      <c r="HE5" s="630"/>
      <c r="HF5" s="631"/>
      <c r="HG5" s="629" t="s">
        <v>768</v>
      </c>
      <c r="HH5" s="630"/>
      <c r="HI5" s="630"/>
      <c r="HJ5" s="630"/>
      <c r="HK5" s="630"/>
      <c r="HL5" s="630"/>
      <c r="HM5" s="630"/>
      <c r="HN5" s="630"/>
      <c r="HO5" s="630"/>
      <c r="HP5" s="630"/>
      <c r="HQ5" s="630"/>
      <c r="HR5" s="630"/>
      <c r="HS5" s="630"/>
      <c r="HT5" s="630"/>
      <c r="HU5" s="630"/>
      <c r="HV5" s="630"/>
      <c r="HW5" s="630"/>
      <c r="HX5" s="630"/>
      <c r="HY5" s="630"/>
      <c r="HZ5" s="630"/>
      <c r="IA5" s="630"/>
      <c r="IB5" s="630"/>
      <c r="IC5" s="630"/>
      <c r="ID5" s="630"/>
      <c r="IE5" s="630"/>
      <c r="IF5" s="630"/>
      <c r="IG5" s="630"/>
      <c r="IH5" s="630"/>
      <c r="II5" s="631"/>
      <c r="IJ5" s="629" t="s">
        <v>769</v>
      </c>
      <c r="IK5" s="630"/>
      <c r="IL5" s="630"/>
      <c r="IM5" s="630"/>
      <c r="IN5" s="630"/>
      <c r="IO5" s="630"/>
      <c r="IP5" s="630"/>
      <c r="IQ5" s="631"/>
      <c r="IR5" s="629" t="s">
        <v>770</v>
      </c>
      <c r="IS5" s="630"/>
      <c r="IT5" s="630"/>
      <c r="IU5" s="630"/>
      <c r="IV5" s="631"/>
      <c r="IW5" s="629" t="s">
        <v>771</v>
      </c>
      <c r="IX5" s="630"/>
      <c r="IY5" s="630"/>
      <c r="IZ5" s="630"/>
      <c r="JA5" s="630"/>
      <c r="JB5" s="631"/>
      <c r="JC5" s="591" t="s">
        <v>671</v>
      </c>
      <c r="JD5" s="15"/>
      <c r="JF5" s="241"/>
      <c r="JG5" s="241"/>
      <c r="JM5" s="15"/>
      <c r="JN5" s="15"/>
      <c r="JO5" s="15"/>
      <c r="JP5" s="15"/>
    </row>
    <row r="6" spans="1:279" s="1" customFormat="1" ht="157.19999999999999" customHeight="1" x14ac:dyDescent="0.3">
      <c r="A6" s="641"/>
      <c r="B6" s="179" t="s">
        <v>116</v>
      </c>
      <c r="C6" s="180" t="s">
        <v>160</v>
      </c>
      <c r="D6" s="385" t="s">
        <v>772</v>
      </c>
      <c r="E6" s="180" t="s">
        <v>117</v>
      </c>
      <c r="F6" s="180" t="s">
        <v>161</v>
      </c>
      <c r="G6" s="180" t="s">
        <v>219</v>
      </c>
      <c r="H6" s="386" t="s">
        <v>773</v>
      </c>
      <c r="I6" s="250" t="s">
        <v>118</v>
      </c>
      <c r="J6" s="226" t="s">
        <v>162</v>
      </c>
      <c r="K6" s="226" t="s">
        <v>220</v>
      </c>
      <c r="L6" s="226" t="s">
        <v>184</v>
      </c>
      <c r="M6" s="226" t="s">
        <v>308</v>
      </c>
      <c r="N6" s="226" t="s">
        <v>340</v>
      </c>
      <c r="O6" s="226" t="s">
        <v>366</v>
      </c>
      <c r="P6" s="226" t="s">
        <v>385</v>
      </c>
      <c r="Q6" s="226" t="s">
        <v>400</v>
      </c>
      <c r="R6" s="226" t="s">
        <v>408</v>
      </c>
      <c r="S6" s="226" t="s">
        <v>244</v>
      </c>
      <c r="T6" s="226" t="s">
        <v>425</v>
      </c>
      <c r="U6" s="226" t="s">
        <v>288</v>
      </c>
      <c r="V6" s="226" t="s">
        <v>437</v>
      </c>
      <c r="W6" s="226" t="s">
        <v>442</v>
      </c>
      <c r="X6" s="226" t="s">
        <v>322</v>
      </c>
      <c r="Y6" s="226" t="s">
        <v>774</v>
      </c>
      <c r="Z6" s="226" t="s">
        <v>351</v>
      </c>
      <c r="AA6" s="226" t="s">
        <v>452</v>
      </c>
      <c r="AB6" s="226" t="s">
        <v>373</v>
      </c>
      <c r="AC6" s="231" t="s">
        <v>129</v>
      </c>
      <c r="AD6" s="386" t="s">
        <v>775</v>
      </c>
      <c r="AE6" s="179" t="s">
        <v>119</v>
      </c>
      <c r="AF6" s="180" t="s">
        <v>163</v>
      </c>
      <c r="AG6" s="180" t="s">
        <v>221</v>
      </c>
      <c r="AH6" s="180" t="s">
        <v>270</v>
      </c>
      <c r="AI6" s="180" t="s">
        <v>309</v>
      </c>
      <c r="AJ6" s="180" t="s">
        <v>341</v>
      </c>
      <c r="AK6" s="180" t="s">
        <v>367</v>
      </c>
      <c r="AL6" s="180" t="s">
        <v>386</v>
      </c>
      <c r="AM6" s="180" t="s">
        <v>129</v>
      </c>
      <c r="AN6" s="387" t="s">
        <v>776</v>
      </c>
      <c r="AO6" s="250" t="s">
        <v>120</v>
      </c>
      <c r="AP6" s="226" t="s">
        <v>164</v>
      </c>
      <c r="AQ6" s="226" t="s">
        <v>222</v>
      </c>
      <c r="AR6" s="226" t="s">
        <v>271</v>
      </c>
      <c r="AS6" s="226" t="s">
        <v>310</v>
      </c>
      <c r="AT6" s="226" t="s">
        <v>342</v>
      </c>
      <c r="AU6" s="231" t="s">
        <v>368</v>
      </c>
      <c r="AV6" s="386" t="s">
        <v>777</v>
      </c>
      <c r="AW6" s="280" t="s">
        <v>0</v>
      </c>
      <c r="AX6" s="231" t="s">
        <v>104</v>
      </c>
      <c r="AY6" s="386" t="s">
        <v>778</v>
      </c>
      <c r="AZ6" s="231" t="s">
        <v>121</v>
      </c>
      <c r="BA6" s="231" t="s">
        <v>165</v>
      </c>
      <c r="BB6" s="231" t="s">
        <v>191</v>
      </c>
      <c r="BC6" s="231" t="s">
        <v>106</v>
      </c>
      <c r="BD6" s="386" t="s">
        <v>779</v>
      </c>
      <c r="BE6" s="231" t="s">
        <v>0</v>
      </c>
      <c r="BF6" s="231" t="s">
        <v>104</v>
      </c>
      <c r="BG6" s="231" t="s">
        <v>223</v>
      </c>
      <c r="BH6" s="386" t="s">
        <v>780</v>
      </c>
      <c r="BI6" s="231" t="s">
        <v>110</v>
      </c>
      <c r="BJ6" s="231" t="s">
        <v>166</v>
      </c>
      <c r="BK6" s="231" t="s">
        <v>225</v>
      </c>
      <c r="BL6" s="231" t="s">
        <v>114</v>
      </c>
      <c r="BM6" s="386" t="s">
        <v>781</v>
      </c>
      <c r="BN6" s="231" t="s">
        <v>122</v>
      </c>
      <c r="BO6" s="231" t="s">
        <v>167</v>
      </c>
      <c r="BP6" s="231" t="s">
        <v>226</v>
      </c>
      <c r="BQ6" s="231" t="s">
        <v>273</v>
      </c>
      <c r="BR6" s="386" t="s">
        <v>782</v>
      </c>
      <c r="BS6" s="231" t="s">
        <v>122</v>
      </c>
      <c r="BT6" s="231" t="s">
        <v>167</v>
      </c>
      <c r="BU6" s="231" t="s">
        <v>227</v>
      </c>
      <c r="BV6" s="231" t="s">
        <v>274</v>
      </c>
      <c r="BW6" s="231" t="s">
        <v>311</v>
      </c>
      <c r="BX6" s="386" t="s">
        <v>783</v>
      </c>
      <c r="BY6" s="231" t="s">
        <v>122</v>
      </c>
      <c r="BZ6" s="231" t="s">
        <v>168</v>
      </c>
      <c r="CA6" s="231" t="s">
        <v>228</v>
      </c>
      <c r="CB6" s="231" t="s">
        <v>275</v>
      </c>
      <c r="CC6" s="231" t="s">
        <v>114</v>
      </c>
      <c r="CD6" s="386" t="s">
        <v>784</v>
      </c>
      <c r="CE6" s="181" t="s">
        <v>122</v>
      </c>
      <c r="CF6" s="181" t="s">
        <v>168</v>
      </c>
      <c r="CG6" s="181" t="s">
        <v>229</v>
      </c>
      <c r="CH6" s="181" t="s">
        <v>276</v>
      </c>
      <c r="CI6" s="181" t="s">
        <v>312</v>
      </c>
      <c r="CJ6" s="181" t="s">
        <v>343</v>
      </c>
      <c r="CK6" s="181" t="s">
        <v>114</v>
      </c>
      <c r="CL6" s="385" t="s">
        <v>785</v>
      </c>
      <c r="CM6" s="181" t="s">
        <v>110</v>
      </c>
      <c r="CN6" s="181" t="s">
        <v>169</v>
      </c>
      <c r="CO6" s="181" t="s">
        <v>230</v>
      </c>
      <c r="CP6" s="181" t="s">
        <v>277</v>
      </c>
      <c r="CQ6" s="181" t="s">
        <v>313</v>
      </c>
      <c r="CR6" s="561" t="s">
        <v>114</v>
      </c>
      <c r="CS6" s="385" t="s">
        <v>786</v>
      </c>
      <c r="CT6" s="181" t="s">
        <v>122</v>
      </c>
      <c r="CU6" s="181" t="s">
        <v>170</v>
      </c>
      <c r="CV6" s="181" t="s">
        <v>231</v>
      </c>
      <c r="CW6" s="181" t="s">
        <v>278</v>
      </c>
      <c r="CX6" s="181" t="s">
        <v>314</v>
      </c>
      <c r="CY6" s="181" t="s">
        <v>344</v>
      </c>
      <c r="CZ6" s="181" t="s">
        <v>369</v>
      </c>
      <c r="DA6" s="181" t="s">
        <v>387</v>
      </c>
      <c r="DB6" s="385" t="s">
        <v>787</v>
      </c>
      <c r="DC6" s="181" t="s">
        <v>0</v>
      </c>
      <c r="DD6" s="181" t="s">
        <v>104</v>
      </c>
      <c r="DE6" s="181" t="s">
        <v>114</v>
      </c>
      <c r="DF6" s="386" t="s">
        <v>788</v>
      </c>
      <c r="DG6" s="294" t="s">
        <v>123</v>
      </c>
      <c r="DH6" s="181" t="s">
        <v>171</v>
      </c>
      <c r="DI6" s="181" t="s">
        <v>232</v>
      </c>
      <c r="DJ6" s="181" t="s">
        <v>279</v>
      </c>
      <c r="DK6" s="181" t="s">
        <v>315</v>
      </c>
      <c r="DL6" s="181" t="s">
        <v>191</v>
      </c>
      <c r="DM6" s="181" t="s">
        <v>114</v>
      </c>
      <c r="DN6" s="385" t="s">
        <v>789</v>
      </c>
      <c r="DO6" s="181" t="s">
        <v>114</v>
      </c>
      <c r="DP6" s="181" t="s">
        <v>172</v>
      </c>
      <c r="DQ6" s="181" t="s">
        <v>233</v>
      </c>
      <c r="DR6" s="181" t="s">
        <v>280</v>
      </c>
      <c r="DS6" s="181" t="s">
        <v>316</v>
      </c>
      <c r="DT6" s="181" t="s">
        <v>345</v>
      </c>
      <c r="DU6" s="181" t="s">
        <v>370</v>
      </c>
      <c r="DV6" s="181" t="s">
        <v>388</v>
      </c>
      <c r="DW6" s="181" t="s">
        <v>247</v>
      </c>
      <c r="DX6" s="385" t="s">
        <v>790</v>
      </c>
      <c r="DY6" s="181" t="s">
        <v>110</v>
      </c>
      <c r="DZ6" s="181" t="s">
        <v>173</v>
      </c>
      <c r="EA6" s="181" t="s">
        <v>234</v>
      </c>
      <c r="EB6" s="385" t="s">
        <v>791</v>
      </c>
      <c r="EC6" s="181" t="s">
        <v>122</v>
      </c>
      <c r="ED6" s="181" t="s">
        <v>174</v>
      </c>
      <c r="EE6" s="181" t="s">
        <v>235</v>
      </c>
      <c r="EF6" s="181" t="s">
        <v>281</v>
      </c>
      <c r="EG6" s="181" t="s">
        <v>792</v>
      </c>
      <c r="EH6" s="385" t="s">
        <v>793</v>
      </c>
      <c r="EI6" s="181" t="s">
        <v>122</v>
      </c>
      <c r="EJ6" s="181" t="s">
        <v>175</v>
      </c>
      <c r="EK6" s="181" t="s">
        <v>236</v>
      </c>
      <c r="EL6" s="181" t="s">
        <v>282</v>
      </c>
      <c r="EM6" s="181" t="s">
        <v>318</v>
      </c>
      <c r="EN6" s="181" t="s">
        <v>346</v>
      </c>
      <c r="EO6" s="385" t="s">
        <v>794</v>
      </c>
      <c r="EP6" s="181" t="s">
        <v>122</v>
      </c>
      <c r="EQ6" s="181" t="s">
        <v>176</v>
      </c>
      <c r="ER6" s="181" t="s">
        <v>237</v>
      </c>
      <c r="ES6" s="385" t="s">
        <v>795</v>
      </c>
      <c r="ET6" s="181" t="s">
        <v>0</v>
      </c>
      <c r="EU6" s="181" t="s">
        <v>104</v>
      </c>
      <c r="EV6" s="181" t="s">
        <v>114</v>
      </c>
      <c r="EW6" s="386" t="s">
        <v>796</v>
      </c>
      <c r="EX6" s="181" t="s">
        <v>0</v>
      </c>
      <c r="EY6" s="181" t="s">
        <v>104</v>
      </c>
      <c r="EZ6" s="181" t="s">
        <v>114</v>
      </c>
      <c r="FA6" s="386" t="s">
        <v>797</v>
      </c>
      <c r="FB6" s="181" t="s">
        <v>124</v>
      </c>
      <c r="FC6" s="181" t="s">
        <v>177</v>
      </c>
      <c r="FD6" s="181" t="s">
        <v>238</v>
      </c>
      <c r="FE6" s="181" t="s">
        <v>191</v>
      </c>
      <c r="FF6" s="181" t="s">
        <v>114</v>
      </c>
      <c r="FG6" s="386" t="s">
        <v>798</v>
      </c>
      <c r="FH6" s="181" t="s">
        <v>125</v>
      </c>
      <c r="FI6" s="181" t="s">
        <v>178</v>
      </c>
      <c r="FJ6" s="181" t="s">
        <v>239</v>
      </c>
      <c r="FK6" s="181" t="s">
        <v>283</v>
      </c>
      <c r="FL6" s="386" t="s">
        <v>799</v>
      </c>
      <c r="FM6" s="181" t="s">
        <v>0</v>
      </c>
      <c r="FN6" s="181" t="s">
        <v>180</v>
      </c>
      <c r="FO6" s="181" t="s">
        <v>241</v>
      </c>
      <c r="FP6" s="561" t="s">
        <v>114</v>
      </c>
      <c r="FQ6" s="385" t="s">
        <v>800</v>
      </c>
      <c r="FR6" s="181" t="s">
        <v>0</v>
      </c>
      <c r="FS6" s="181" t="s">
        <v>104</v>
      </c>
      <c r="FT6" s="181" t="s">
        <v>114</v>
      </c>
      <c r="FU6" s="386" t="s">
        <v>801</v>
      </c>
      <c r="FV6" s="181" t="s">
        <v>0</v>
      </c>
      <c r="FW6" s="181" t="s">
        <v>104</v>
      </c>
      <c r="FX6" s="181" t="s">
        <v>114</v>
      </c>
      <c r="FY6" s="386" t="s">
        <v>802</v>
      </c>
      <c r="FZ6" s="181" t="s">
        <v>127</v>
      </c>
      <c r="GA6" s="181" t="s">
        <v>181</v>
      </c>
      <c r="GB6" s="181" t="s">
        <v>242</v>
      </c>
      <c r="GC6" s="181" t="s">
        <v>285</v>
      </c>
      <c r="GD6" s="181" t="s">
        <v>320</v>
      </c>
      <c r="GE6" s="181" t="s">
        <v>348</v>
      </c>
      <c r="GF6" s="181" t="s">
        <v>371</v>
      </c>
      <c r="GG6" s="181" t="s">
        <v>389</v>
      </c>
      <c r="GH6" s="181" t="s">
        <v>401</v>
      </c>
      <c r="GI6" s="181" t="s">
        <v>409</v>
      </c>
      <c r="GJ6" s="181" t="s">
        <v>416</v>
      </c>
      <c r="GK6" s="181" t="s">
        <v>426</v>
      </c>
      <c r="GL6" s="181" t="s">
        <v>432</v>
      </c>
      <c r="GM6" s="181" t="s">
        <v>438</v>
      </c>
      <c r="GN6" s="181" t="s">
        <v>443</v>
      </c>
      <c r="GO6" s="181" t="s">
        <v>448</v>
      </c>
      <c r="GP6" s="181" t="s">
        <v>433</v>
      </c>
      <c r="GQ6" s="181" t="s">
        <v>375</v>
      </c>
      <c r="GR6" s="181" t="s">
        <v>453</v>
      </c>
      <c r="GS6" s="181" t="s">
        <v>247</v>
      </c>
      <c r="GT6" s="386" t="s">
        <v>803</v>
      </c>
      <c r="GU6" s="181" t="s">
        <v>114</v>
      </c>
      <c r="GV6" s="181" t="s">
        <v>182</v>
      </c>
      <c r="GW6" s="181" t="s">
        <v>213</v>
      </c>
      <c r="GX6" s="181" t="s">
        <v>286</v>
      </c>
      <c r="GY6" s="181" t="s">
        <v>264</v>
      </c>
      <c r="GZ6" s="181" t="s">
        <v>349</v>
      </c>
      <c r="HA6" s="181" t="s">
        <v>305</v>
      </c>
      <c r="HB6" s="181" t="s">
        <v>324</v>
      </c>
      <c r="HC6" s="181" t="s">
        <v>246</v>
      </c>
      <c r="HD6" s="181" t="s">
        <v>410</v>
      </c>
      <c r="HE6" s="181" t="s">
        <v>417</v>
      </c>
      <c r="HF6" s="388" t="s">
        <v>804</v>
      </c>
      <c r="HG6" s="180" t="s">
        <v>128</v>
      </c>
      <c r="HH6" s="180" t="s">
        <v>183</v>
      </c>
      <c r="HI6" s="180" t="s">
        <v>243</v>
      </c>
      <c r="HJ6" s="180" t="s">
        <v>287</v>
      </c>
      <c r="HK6" s="180" t="s">
        <v>321</v>
      </c>
      <c r="HL6" s="180" t="s">
        <v>350</v>
      </c>
      <c r="HM6" s="180" t="s">
        <v>372</v>
      </c>
      <c r="HN6" s="180" t="s">
        <v>390</v>
      </c>
      <c r="HO6" s="180" t="s">
        <v>402</v>
      </c>
      <c r="HP6" s="180" t="s">
        <v>409</v>
      </c>
      <c r="HQ6" s="180" t="s">
        <v>418</v>
      </c>
      <c r="HR6" s="180" t="s">
        <v>380</v>
      </c>
      <c r="HS6" s="180" t="s">
        <v>433</v>
      </c>
      <c r="HT6" s="180" t="s">
        <v>439</v>
      </c>
      <c r="HU6" s="180" t="s">
        <v>444</v>
      </c>
      <c r="HV6" s="180" t="s">
        <v>389</v>
      </c>
      <c r="HW6" s="180" t="s">
        <v>401</v>
      </c>
      <c r="HX6" s="180" t="s">
        <v>450</v>
      </c>
      <c r="HY6" s="180" t="s">
        <v>454</v>
      </c>
      <c r="HZ6" s="180" t="s">
        <v>456</v>
      </c>
      <c r="IA6" s="180" t="s">
        <v>375</v>
      </c>
      <c r="IB6" s="180" t="s">
        <v>460</v>
      </c>
      <c r="IC6" s="180" t="s">
        <v>462</v>
      </c>
      <c r="ID6" s="180" t="s">
        <v>464</v>
      </c>
      <c r="IE6" s="180" t="s">
        <v>466</v>
      </c>
      <c r="IF6" s="180" t="s">
        <v>467</v>
      </c>
      <c r="IG6" s="180" t="s">
        <v>468</v>
      </c>
      <c r="IH6" s="180" t="s">
        <v>469</v>
      </c>
      <c r="II6" s="389" t="s">
        <v>805</v>
      </c>
      <c r="IJ6" s="181" t="s">
        <v>114</v>
      </c>
      <c r="IK6" s="180" t="s">
        <v>184</v>
      </c>
      <c r="IL6" s="180" t="s">
        <v>244</v>
      </c>
      <c r="IM6" s="180" t="s">
        <v>288</v>
      </c>
      <c r="IN6" s="180" t="s">
        <v>322</v>
      </c>
      <c r="IO6" s="180" t="s">
        <v>351</v>
      </c>
      <c r="IP6" s="180" t="s">
        <v>373</v>
      </c>
      <c r="IQ6" s="385" t="s">
        <v>806</v>
      </c>
      <c r="IR6" s="181" t="s">
        <v>104</v>
      </c>
      <c r="IS6" s="181" t="s">
        <v>185</v>
      </c>
      <c r="IT6" s="181" t="s">
        <v>245</v>
      </c>
      <c r="IU6" s="181" t="s">
        <v>114</v>
      </c>
      <c r="IV6" s="385" t="s">
        <v>807</v>
      </c>
      <c r="IW6" s="181" t="s">
        <v>104</v>
      </c>
      <c r="IX6" s="181" t="s">
        <v>186</v>
      </c>
      <c r="IY6" s="181" t="s">
        <v>185</v>
      </c>
      <c r="IZ6" s="181" t="s">
        <v>245</v>
      </c>
      <c r="JA6" s="181" t="s">
        <v>114</v>
      </c>
      <c r="JB6" s="385" t="s">
        <v>808</v>
      </c>
      <c r="JC6" s="592"/>
      <c r="JD6" s="15"/>
      <c r="JE6" s="15"/>
      <c r="JF6" s="300"/>
      <c r="JG6" s="300"/>
      <c r="JH6" s="15"/>
      <c r="JI6" s="15"/>
      <c r="JJ6" s="15"/>
      <c r="JK6" s="15"/>
      <c r="JL6" s="16"/>
      <c r="JM6" s="15"/>
      <c r="JN6" s="15"/>
      <c r="JO6" s="15"/>
      <c r="JP6" s="15"/>
    </row>
    <row r="7" spans="1:279" s="1" customFormat="1" ht="16.95" customHeight="1" x14ac:dyDescent="0.3">
      <c r="A7" s="641"/>
      <c r="B7" s="92" t="s">
        <v>687</v>
      </c>
      <c r="C7" s="92" t="s">
        <v>687</v>
      </c>
      <c r="D7" s="146" t="s">
        <v>687</v>
      </c>
      <c r="E7" s="95" t="s">
        <v>687</v>
      </c>
      <c r="F7" s="95" t="s">
        <v>687</v>
      </c>
      <c r="G7" s="95" t="s">
        <v>687</v>
      </c>
      <c r="H7" s="146" t="s">
        <v>687</v>
      </c>
      <c r="I7" s="151" t="s">
        <v>687</v>
      </c>
      <c r="J7" s="96" t="s">
        <v>687</v>
      </c>
      <c r="K7" s="96" t="s">
        <v>687</v>
      </c>
      <c r="L7" s="96" t="s">
        <v>687</v>
      </c>
      <c r="M7" s="96" t="s">
        <v>687</v>
      </c>
      <c r="N7" s="96" t="s">
        <v>687</v>
      </c>
      <c r="O7" s="96" t="s">
        <v>687</v>
      </c>
      <c r="P7" s="96" t="s">
        <v>687</v>
      </c>
      <c r="Q7" s="96" t="s">
        <v>687</v>
      </c>
      <c r="R7" s="96" t="s">
        <v>687</v>
      </c>
      <c r="S7" s="96" t="s">
        <v>687</v>
      </c>
      <c r="T7" s="96" t="s">
        <v>687</v>
      </c>
      <c r="U7" s="96" t="s">
        <v>687</v>
      </c>
      <c r="V7" s="96" t="s">
        <v>687</v>
      </c>
      <c r="W7" s="96" t="s">
        <v>687</v>
      </c>
      <c r="X7" s="96" t="s">
        <v>687</v>
      </c>
      <c r="Y7" s="96" t="s">
        <v>687</v>
      </c>
      <c r="Z7" s="96" t="s">
        <v>687</v>
      </c>
      <c r="AA7" s="96" t="s">
        <v>687</v>
      </c>
      <c r="AB7" s="96" t="s">
        <v>687</v>
      </c>
      <c r="AC7" s="143" t="s">
        <v>687</v>
      </c>
      <c r="AD7" s="146" t="s">
        <v>687</v>
      </c>
      <c r="AE7" s="151" t="s">
        <v>687</v>
      </c>
      <c r="AF7" s="96" t="s">
        <v>687</v>
      </c>
      <c r="AG7" s="96" t="s">
        <v>687</v>
      </c>
      <c r="AH7" s="96" t="s">
        <v>687</v>
      </c>
      <c r="AI7" s="96" t="s">
        <v>687</v>
      </c>
      <c r="AJ7" s="96" t="s">
        <v>687</v>
      </c>
      <c r="AK7" s="96" t="s">
        <v>687</v>
      </c>
      <c r="AL7" s="96" t="s">
        <v>687</v>
      </c>
      <c r="AM7" s="143" t="s">
        <v>687</v>
      </c>
      <c r="AN7" s="161" t="s">
        <v>687</v>
      </c>
      <c r="AO7" s="156" t="s">
        <v>687</v>
      </c>
      <c r="AP7" s="143" t="s">
        <v>687</v>
      </c>
      <c r="AQ7" s="143" t="s">
        <v>687</v>
      </c>
      <c r="AR7" s="143" t="s">
        <v>687</v>
      </c>
      <c r="AS7" s="143" t="s">
        <v>687</v>
      </c>
      <c r="AT7" s="143" t="s">
        <v>687</v>
      </c>
      <c r="AU7" s="143" t="s">
        <v>687</v>
      </c>
      <c r="AV7" s="273" t="s">
        <v>687</v>
      </c>
      <c r="AW7" s="156" t="s">
        <v>687</v>
      </c>
      <c r="AX7" s="143" t="s">
        <v>687</v>
      </c>
      <c r="AY7" s="273" t="s">
        <v>687</v>
      </c>
      <c r="AZ7" s="156" t="s">
        <v>687</v>
      </c>
      <c r="BA7" s="143" t="s">
        <v>687</v>
      </c>
      <c r="BB7" s="143" t="s">
        <v>687</v>
      </c>
      <c r="BC7" s="143"/>
      <c r="BD7" s="273" t="s">
        <v>687</v>
      </c>
      <c r="BE7" s="143" t="s">
        <v>687</v>
      </c>
      <c r="BF7" s="143" t="s">
        <v>687</v>
      </c>
      <c r="BG7" s="143" t="s">
        <v>687</v>
      </c>
      <c r="BH7" s="273" t="s">
        <v>687</v>
      </c>
      <c r="BI7" s="156" t="s">
        <v>687</v>
      </c>
      <c r="BJ7" s="143" t="s">
        <v>687</v>
      </c>
      <c r="BK7" s="143" t="s">
        <v>687</v>
      </c>
      <c r="BL7" s="143" t="s">
        <v>687</v>
      </c>
      <c r="BM7" s="273" t="s">
        <v>687</v>
      </c>
      <c r="BN7" s="143" t="s">
        <v>687</v>
      </c>
      <c r="BO7" s="143" t="s">
        <v>687</v>
      </c>
      <c r="BP7" s="143" t="s">
        <v>687</v>
      </c>
      <c r="BQ7" s="143" t="s">
        <v>687</v>
      </c>
      <c r="BR7" s="273" t="s">
        <v>687</v>
      </c>
      <c r="BS7" s="143" t="s">
        <v>687</v>
      </c>
      <c r="BT7" s="143" t="s">
        <v>687</v>
      </c>
      <c r="BU7" s="143" t="s">
        <v>687</v>
      </c>
      <c r="BV7" s="143" t="s">
        <v>687</v>
      </c>
      <c r="BW7" s="143" t="s">
        <v>687</v>
      </c>
      <c r="BX7" s="273" t="s">
        <v>687</v>
      </c>
      <c r="BY7" s="143" t="s">
        <v>687</v>
      </c>
      <c r="BZ7" s="143" t="s">
        <v>687</v>
      </c>
      <c r="CA7" s="143" t="s">
        <v>687</v>
      </c>
      <c r="CB7" s="143" t="s">
        <v>687</v>
      </c>
      <c r="CC7" s="143" t="s">
        <v>687</v>
      </c>
      <c r="CD7" s="273" t="s">
        <v>687</v>
      </c>
      <c r="CE7" s="143" t="s">
        <v>687</v>
      </c>
      <c r="CF7" s="143" t="s">
        <v>687</v>
      </c>
      <c r="CG7" s="143" t="s">
        <v>687</v>
      </c>
      <c r="CH7" s="143" t="s">
        <v>687</v>
      </c>
      <c r="CI7" s="143" t="s">
        <v>687</v>
      </c>
      <c r="CJ7" s="143" t="s">
        <v>687</v>
      </c>
      <c r="CK7" s="143" t="s">
        <v>687</v>
      </c>
      <c r="CL7" s="273" t="s">
        <v>687</v>
      </c>
      <c r="CM7" s="143" t="s">
        <v>687</v>
      </c>
      <c r="CN7" s="143" t="s">
        <v>687</v>
      </c>
      <c r="CO7" s="143" t="s">
        <v>687</v>
      </c>
      <c r="CP7" s="143" t="s">
        <v>687</v>
      </c>
      <c r="CQ7" s="143" t="s">
        <v>687</v>
      </c>
      <c r="CR7" s="143" t="s">
        <v>687</v>
      </c>
      <c r="CS7" s="273" t="s">
        <v>687</v>
      </c>
      <c r="CT7" s="143" t="s">
        <v>687</v>
      </c>
      <c r="CU7" s="143" t="s">
        <v>687</v>
      </c>
      <c r="CV7" s="143" t="s">
        <v>687</v>
      </c>
      <c r="CW7" s="143" t="s">
        <v>687</v>
      </c>
      <c r="CX7" s="143" t="s">
        <v>687</v>
      </c>
      <c r="CY7" s="143" t="s">
        <v>687</v>
      </c>
      <c r="CZ7" s="143" t="s">
        <v>687</v>
      </c>
      <c r="DA7" s="143" t="s">
        <v>687</v>
      </c>
      <c r="DB7" s="273" t="s">
        <v>687</v>
      </c>
      <c r="DC7" s="143" t="s">
        <v>687</v>
      </c>
      <c r="DD7" s="143" t="s">
        <v>687</v>
      </c>
      <c r="DE7" s="143" t="s">
        <v>687</v>
      </c>
      <c r="DF7" s="273" t="s">
        <v>687</v>
      </c>
      <c r="DG7" s="151" t="s">
        <v>687</v>
      </c>
      <c r="DH7" s="96" t="s">
        <v>687</v>
      </c>
      <c r="DI7" s="96" t="s">
        <v>687</v>
      </c>
      <c r="DJ7" s="96" t="s">
        <v>687</v>
      </c>
      <c r="DK7" s="96" t="s">
        <v>687</v>
      </c>
      <c r="DL7" s="96" t="s">
        <v>687</v>
      </c>
      <c r="DM7" s="96" t="s">
        <v>687</v>
      </c>
      <c r="DN7" s="293" t="s">
        <v>687</v>
      </c>
      <c r="DO7" s="143" t="s">
        <v>687</v>
      </c>
      <c r="DP7" s="143" t="s">
        <v>687</v>
      </c>
      <c r="DQ7" s="143" t="s">
        <v>687</v>
      </c>
      <c r="DR7" s="143" t="s">
        <v>687</v>
      </c>
      <c r="DS7" s="143" t="s">
        <v>687</v>
      </c>
      <c r="DT7" s="143" t="s">
        <v>687</v>
      </c>
      <c r="DU7" s="143" t="s">
        <v>687</v>
      </c>
      <c r="DV7" s="143" t="s">
        <v>687</v>
      </c>
      <c r="DW7" s="143" t="s">
        <v>687</v>
      </c>
      <c r="DX7" s="273" t="s">
        <v>687</v>
      </c>
      <c r="DY7" s="143" t="s">
        <v>687</v>
      </c>
      <c r="DZ7" s="143" t="s">
        <v>687</v>
      </c>
      <c r="EA7" s="143" t="s">
        <v>687</v>
      </c>
      <c r="EB7" s="273" t="s">
        <v>687</v>
      </c>
      <c r="EC7" s="143" t="s">
        <v>687</v>
      </c>
      <c r="ED7" s="143" t="s">
        <v>687</v>
      </c>
      <c r="EE7" s="143" t="s">
        <v>687</v>
      </c>
      <c r="EF7" s="143" t="s">
        <v>687</v>
      </c>
      <c r="EG7" s="143" t="s">
        <v>687</v>
      </c>
      <c r="EH7" s="273" t="s">
        <v>687</v>
      </c>
      <c r="EI7" s="143" t="s">
        <v>687</v>
      </c>
      <c r="EJ7" s="143" t="s">
        <v>687</v>
      </c>
      <c r="EK7" s="143" t="s">
        <v>687</v>
      </c>
      <c r="EL7" s="143" t="s">
        <v>687</v>
      </c>
      <c r="EM7" s="143" t="s">
        <v>687</v>
      </c>
      <c r="EN7" s="143" t="s">
        <v>687</v>
      </c>
      <c r="EO7" s="273" t="s">
        <v>687</v>
      </c>
      <c r="EP7" s="143" t="s">
        <v>687</v>
      </c>
      <c r="EQ7" s="143" t="s">
        <v>687</v>
      </c>
      <c r="ER7" s="143" t="s">
        <v>687</v>
      </c>
      <c r="ES7" s="273" t="s">
        <v>687</v>
      </c>
      <c r="ET7" s="143" t="s">
        <v>687</v>
      </c>
      <c r="EU7" s="143" t="s">
        <v>687</v>
      </c>
      <c r="EV7" s="143" t="s">
        <v>687</v>
      </c>
      <c r="EW7" s="273" t="s">
        <v>687</v>
      </c>
      <c r="EX7" s="143" t="s">
        <v>687</v>
      </c>
      <c r="EY7" s="143" t="s">
        <v>687</v>
      </c>
      <c r="EZ7" s="143" t="s">
        <v>687</v>
      </c>
      <c r="FA7" s="273" t="s">
        <v>687</v>
      </c>
      <c r="FB7" s="143" t="s">
        <v>687</v>
      </c>
      <c r="FC7" s="143" t="s">
        <v>687</v>
      </c>
      <c r="FD7" s="143" t="s">
        <v>687</v>
      </c>
      <c r="FE7" s="143" t="s">
        <v>687</v>
      </c>
      <c r="FF7" s="143" t="s">
        <v>687</v>
      </c>
      <c r="FG7" s="273" t="s">
        <v>687</v>
      </c>
      <c r="FH7" s="143" t="s">
        <v>687</v>
      </c>
      <c r="FI7" s="143" t="s">
        <v>687</v>
      </c>
      <c r="FJ7" s="143" t="s">
        <v>687</v>
      </c>
      <c r="FK7" s="143" t="s">
        <v>687</v>
      </c>
      <c r="FL7" s="273" t="s">
        <v>687</v>
      </c>
      <c r="FM7" s="143" t="s">
        <v>687</v>
      </c>
      <c r="FN7" s="143" t="s">
        <v>687</v>
      </c>
      <c r="FO7" s="143" t="s">
        <v>687</v>
      </c>
      <c r="FP7" s="156"/>
      <c r="FQ7" s="273" t="s">
        <v>687</v>
      </c>
      <c r="FR7" s="143" t="s">
        <v>687</v>
      </c>
      <c r="FS7" s="143" t="s">
        <v>687</v>
      </c>
      <c r="FT7" s="143" t="s">
        <v>687</v>
      </c>
      <c r="FU7" s="273" t="s">
        <v>687</v>
      </c>
      <c r="FV7" s="143" t="s">
        <v>687</v>
      </c>
      <c r="FW7" s="143" t="s">
        <v>687</v>
      </c>
      <c r="FX7" s="143" t="s">
        <v>687</v>
      </c>
      <c r="FY7" s="273" t="s">
        <v>687</v>
      </c>
      <c r="FZ7" s="143" t="s">
        <v>687</v>
      </c>
      <c r="GA7" s="143"/>
      <c r="GB7" s="143"/>
      <c r="GC7" s="143" t="s">
        <v>687</v>
      </c>
      <c r="GD7" s="143" t="s">
        <v>687</v>
      </c>
      <c r="GE7" s="143" t="s">
        <v>687</v>
      </c>
      <c r="GF7" s="143" t="s">
        <v>687</v>
      </c>
      <c r="GG7" s="143" t="s">
        <v>687</v>
      </c>
      <c r="GH7" s="143" t="s">
        <v>687</v>
      </c>
      <c r="GI7" s="143" t="s">
        <v>687</v>
      </c>
      <c r="GJ7" s="143" t="s">
        <v>687</v>
      </c>
      <c r="GK7" s="143" t="s">
        <v>687</v>
      </c>
      <c r="GL7" s="143" t="s">
        <v>687</v>
      </c>
      <c r="GM7" s="143" t="s">
        <v>687</v>
      </c>
      <c r="GN7" s="143" t="s">
        <v>687</v>
      </c>
      <c r="GO7" s="143" t="s">
        <v>687</v>
      </c>
      <c r="GP7" s="143" t="s">
        <v>687</v>
      </c>
      <c r="GQ7" s="143" t="s">
        <v>687</v>
      </c>
      <c r="GR7" s="143" t="s">
        <v>687</v>
      </c>
      <c r="GS7" s="143" t="s">
        <v>687</v>
      </c>
      <c r="GT7" s="273" t="s">
        <v>687</v>
      </c>
      <c r="GU7" s="143" t="s">
        <v>687</v>
      </c>
      <c r="GV7" s="143" t="s">
        <v>687</v>
      </c>
      <c r="GW7" s="143" t="s">
        <v>687</v>
      </c>
      <c r="GX7" s="143" t="s">
        <v>687</v>
      </c>
      <c r="GY7" s="143" t="s">
        <v>687</v>
      </c>
      <c r="GZ7" s="143" t="s">
        <v>687</v>
      </c>
      <c r="HA7" s="143" t="s">
        <v>687</v>
      </c>
      <c r="HB7" s="143" t="s">
        <v>687</v>
      </c>
      <c r="HC7" s="143" t="s">
        <v>687</v>
      </c>
      <c r="HD7" s="143" t="s">
        <v>687</v>
      </c>
      <c r="HE7" s="143" t="s">
        <v>687</v>
      </c>
      <c r="HF7" s="273" t="s">
        <v>687</v>
      </c>
      <c r="HG7" s="143" t="s">
        <v>687</v>
      </c>
      <c r="HH7" s="143" t="s">
        <v>687</v>
      </c>
      <c r="HI7" s="143" t="s">
        <v>687</v>
      </c>
      <c r="HJ7" s="143" t="s">
        <v>687</v>
      </c>
      <c r="HK7" s="143" t="s">
        <v>687</v>
      </c>
      <c r="HL7" s="143" t="s">
        <v>687</v>
      </c>
      <c r="HM7" s="143" t="s">
        <v>687</v>
      </c>
      <c r="HN7" s="143" t="s">
        <v>687</v>
      </c>
      <c r="HO7" s="143" t="s">
        <v>687</v>
      </c>
      <c r="HP7" s="143" t="s">
        <v>687</v>
      </c>
      <c r="HQ7" s="143" t="s">
        <v>687</v>
      </c>
      <c r="HR7" s="143" t="s">
        <v>687</v>
      </c>
      <c r="HS7" s="143" t="s">
        <v>687</v>
      </c>
      <c r="HT7" s="143" t="s">
        <v>687</v>
      </c>
      <c r="HU7" s="143" t="s">
        <v>687</v>
      </c>
      <c r="HV7" s="143" t="s">
        <v>687</v>
      </c>
      <c r="HW7" s="143" t="s">
        <v>687</v>
      </c>
      <c r="HX7" s="143" t="s">
        <v>687</v>
      </c>
      <c r="HY7" s="143" t="s">
        <v>687</v>
      </c>
      <c r="HZ7" s="143" t="s">
        <v>687</v>
      </c>
      <c r="IA7" s="143" t="s">
        <v>687</v>
      </c>
      <c r="IB7" s="143" t="s">
        <v>687</v>
      </c>
      <c r="IC7" s="143" t="s">
        <v>687</v>
      </c>
      <c r="ID7" s="143" t="s">
        <v>687</v>
      </c>
      <c r="IE7" s="143" t="s">
        <v>687</v>
      </c>
      <c r="IF7" s="143" t="s">
        <v>687</v>
      </c>
      <c r="IG7" s="143" t="s">
        <v>687</v>
      </c>
      <c r="IH7" s="143" t="s">
        <v>687</v>
      </c>
      <c r="II7" s="273" t="s">
        <v>687</v>
      </c>
      <c r="IJ7" s="143" t="s">
        <v>687</v>
      </c>
      <c r="IK7" s="143" t="s">
        <v>687</v>
      </c>
      <c r="IL7" s="143" t="s">
        <v>687</v>
      </c>
      <c r="IM7" s="143" t="s">
        <v>687</v>
      </c>
      <c r="IN7" s="143" t="s">
        <v>687</v>
      </c>
      <c r="IO7" s="143" t="s">
        <v>687</v>
      </c>
      <c r="IP7" s="143" t="s">
        <v>687</v>
      </c>
      <c r="IQ7" s="273" t="s">
        <v>687</v>
      </c>
      <c r="IR7" s="156" t="s">
        <v>687</v>
      </c>
      <c r="IS7" s="143" t="s">
        <v>687</v>
      </c>
      <c r="IT7" s="143" t="s">
        <v>687</v>
      </c>
      <c r="IU7" s="143" t="s">
        <v>687</v>
      </c>
      <c r="IV7" s="273" t="s">
        <v>687</v>
      </c>
      <c r="IW7" s="143" t="s">
        <v>687</v>
      </c>
      <c r="IX7" s="143" t="s">
        <v>687</v>
      </c>
      <c r="IY7" s="143" t="s">
        <v>687</v>
      </c>
      <c r="IZ7" s="143" t="s">
        <v>687</v>
      </c>
      <c r="JA7" s="143" t="s">
        <v>687</v>
      </c>
      <c r="JB7" s="273" t="s">
        <v>687</v>
      </c>
      <c r="JC7" s="638"/>
      <c r="JD7" s="15"/>
      <c r="JE7" s="15"/>
      <c r="JF7" s="15"/>
      <c r="JG7" s="15"/>
      <c r="JH7" s="15"/>
      <c r="JI7" s="15"/>
      <c r="JJ7" s="15"/>
      <c r="JK7" s="15"/>
      <c r="JL7" s="16"/>
      <c r="JM7" s="15"/>
      <c r="JN7" s="15"/>
      <c r="JO7" s="15"/>
      <c r="JP7" s="15"/>
    </row>
    <row r="8" spans="1:279" ht="15" customHeight="1" x14ac:dyDescent="0.35">
      <c r="A8" s="573">
        <v>45748</v>
      </c>
      <c r="B8" s="344">
        <f>SUMPRODUCT(('Intrapartum Care'!$C$7:$C$745=B$6)*('Intrapartum Care'!$F$7:$F$745&gt;=Lists!$AE2)*('Intrapartum Care'!$F$7:$F$745&lt;=Lists!$AF2))</f>
        <v>0</v>
      </c>
      <c r="C8" s="289">
        <f>SUMPRODUCT(('Intrapartum Care'!$C$7:$C$745=C$6)*('Intrapartum Care'!$F$7:$F$745&gt;=Lists!$AE2)*('Intrapartum Care'!$F$7:$F$745&lt;=Lists!$AF2))</f>
        <v>0</v>
      </c>
      <c r="D8" s="227">
        <f>SUM(B8:C8)</f>
        <v>0</v>
      </c>
      <c r="E8" s="290">
        <f>SUMPRODUCT(('Intrapartum Care'!$D$7:$D$745=E$6)*('Intrapartum Care'!$F$7:$F$745&gt;=Lists!$AE2)*('Intrapartum Care'!$F$7:$F$745&lt;=Lists!$AF2))</f>
        <v>0</v>
      </c>
      <c r="F8" s="290">
        <f>SUMPRODUCT(('Intrapartum Care'!$D$7:$D$745=F$6)*('Intrapartum Care'!$F$7:$F$745&gt;=Lists!$AE2)*('Intrapartum Care'!$F$7:$F$745&lt;=Lists!$AF2))</f>
        <v>0</v>
      </c>
      <c r="G8" s="290">
        <f>SUMPRODUCT(('Intrapartum Care'!$D$7:$D$745=G$6)*('Intrapartum Care'!$F$7:$F$745&gt;=Lists!$AE2)*('Intrapartum Care'!$F$7:$F$745&lt;=Lists!$AF2))</f>
        <v>0</v>
      </c>
      <c r="H8" s="227">
        <f>SUM(E8)</f>
        <v>0</v>
      </c>
      <c r="I8" s="284">
        <f>SUMPRODUCT(('Intrapartum Care'!$E$7:$E$745=I$6)*('Intrapartum Care'!$F$7:$F$745&gt;=Lists!$AE2)*('Intrapartum Care'!$F$7:$F$745&lt;=Lists!$AF2))</f>
        <v>0</v>
      </c>
      <c r="J8" s="271">
        <f>SUMPRODUCT(('Intrapartum Care'!$E$7:$E$745=J$6)*('Intrapartum Care'!$F$7:$F$745&gt;=Lists!$AE2)*('Intrapartum Care'!$F$7:$F$745&lt;=Lists!$AF2))</f>
        <v>0</v>
      </c>
      <c r="K8" s="271">
        <f>SUMPRODUCT(('Intrapartum Care'!$E$7:$E$745=K$6)*('Intrapartum Care'!$F$7:$F$745&gt;=Lists!$AE2)*('Intrapartum Care'!$F$7:$F$745&lt;=Lists!$AF2))</f>
        <v>0</v>
      </c>
      <c r="L8" s="271">
        <f>SUMPRODUCT(('Intrapartum Care'!$E$7:$E$745=L$6)*('Intrapartum Care'!$F$7:$F$745&gt;=Lists!$AE2)*('Intrapartum Care'!$F$7:$F$745&lt;=Lists!$AF2))</f>
        <v>0</v>
      </c>
      <c r="M8" s="271">
        <f>SUMPRODUCT(('Intrapartum Care'!$E$7:$E$745=M$6)*('Intrapartum Care'!$F$7:$F$745&gt;=Lists!$AE2)*('Intrapartum Care'!$F$7:$F$745&lt;=Lists!$AF2))</f>
        <v>0</v>
      </c>
      <c r="N8" s="271">
        <f>SUMPRODUCT(('Intrapartum Care'!$E$7:$E$745=N$6)*('Intrapartum Care'!$F$7:$F$745&gt;=Lists!$AE2)*('Intrapartum Care'!$F$7:$F$745&lt;=Lists!$AF2))</f>
        <v>0</v>
      </c>
      <c r="O8" s="271">
        <f>SUMPRODUCT(('Intrapartum Care'!$E$7:$E$745=O$6)*('Intrapartum Care'!$F$7:$F$745&gt;=Lists!$AE2)*('Intrapartum Care'!$F$7:$F$745&lt;=Lists!$AF2))</f>
        <v>0</v>
      </c>
      <c r="P8" s="271">
        <f>SUMPRODUCT(('Intrapartum Care'!$E$7:$E$745=P$6)*('Intrapartum Care'!$F$7:$F$745&gt;=Lists!$AE2)*('Intrapartum Care'!$F$7:$F$745&lt;=Lists!$AF2))</f>
        <v>0</v>
      </c>
      <c r="Q8" s="271">
        <f>SUMPRODUCT(('Intrapartum Care'!$E$7:$E$745=Q$6)*('Intrapartum Care'!$F$7:$F$745&gt;=Lists!$AE2)*('Intrapartum Care'!$F$7:$F$745&lt;=Lists!$AF2))</f>
        <v>0</v>
      </c>
      <c r="R8" s="271">
        <f>SUMPRODUCT(('Intrapartum Care'!$E$7:$E$745=R$6)*('Intrapartum Care'!$F$7:$F$745&gt;=Lists!$AE2)*('Intrapartum Care'!$F$7:$F$745&lt;=Lists!$AF2))</f>
        <v>0</v>
      </c>
      <c r="S8" s="271">
        <f>SUMPRODUCT(('Intrapartum Care'!$E$7:$E$745=S$6)*('Intrapartum Care'!$F$7:$F$745&gt;=Lists!$AE2)*('Intrapartum Care'!$F$7:$F$745&lt;=Lists!$AF2))</f>
        <v>0</v>
      </c>
      <c r="T8" s="271">
        <f>SUMPRODUCT(('Intrapartum Care'!$E$7:$E$745=T$6)*('Intrapartum Care'!$F$7:$F$745&gt;=Lists!$AE2)*('Intrapartum Care'!$F$7:$F$745&lt;=Lists!$AF2))</f>
        <v>0</v>
      </c>
      <c r="U8" s="271">
        <f>SUMPRODUCT(('Intrapartum Care'!$E$7:$E$745=U$6)*('Intrapartum Care'!$F$7:$F$745&gt;=Lists!$AE2)*('Intrapartum Care'!$F$7:$F$745&lt;=Lists!$AF2))</f>
        <v>0</v>
      </c>
      <c r="V8" s="271">
        <f>SUMPRODUCT(('Intrapartum Care'!$E$7:$E$745=V$6)*('Intrapartum Care'!$F$7:$F$745&gt;=Lists!$AE2)*('Intrapartum Care'!$F$7:$F$745&lt;=Lists!$AF2))</f>
        <v>0</v>
      </c>
      <c r="W8" s="271">
        <f>SUMPRODUCT(('Intrapartum Care'!$E$7:$E$745=W$6)*('Intrapartum Care'!$F$7:$F$745&gt;=Lists!$AE2)*('Intrapartum Care'!$F$7:$F$745&lt;=Lists!$AF2))</f>
        <v>0</v>
      </c>
      <c r="X8" s="271">
        <f>SUMPRODUCT(('Intrapartum Care'!$E$7:$E$745=X$6)*('Intrapartum Care'!$F$7:$F$745&gt;=Lists!$AE2)*('Intrapartum Care'!$F$7:$F$745&lt;=Lists!$AF2))</f>
        <v>0</v>
      </c>
      <c r="Y8" s="271">
        <f>SUMPRODUCT(('Intrapartum Care'!$E$7:$E$745=Y$6)*('Intrapartum Care'!$F$7:$F$745&gt;=Lists!$AE2)*('Intrapartum Care'!$F$7:$F$745&lt;=Lists!$AF2))</f>
        <v>0</v>
      </c>
      <c r="Z8" s="271">
        <f>SUMPRODUCT(('Intrapartum Care'!$E$7:$E$745=Z$6)*('Intrapartum Care'!$F$7:$F$745&gt;=Lists!$AE2)*('Intrapartum Care'!$F$7:$F$745&lt;=Lists!$AF2))</f>
        <v>0</v>
      </c>
      <c r="AA8" s="271">
        <f>SUMPRODUCT(('Intrapartum Care'!$E$7:$E$745=AA$6)*('Intrapartum Care'!$F$7:$F$745&gt;=Lists!$AE2)*('Intrapartum Care'!$F$7:$F$745&lt;=Lists!$AF2))</f>
        <v>0</v>
      </c>
      <c r="AB8" s="271">
        <f>SUMPRODUCT(('Intrapartum Care'!$E$7:$E$745=AB$6)*('Intrapartum Care'!$F$7:$F$745&gt;=Lists!$AE2)*('Intrapartum Care'!$F$7:$F$745&lt;=Lists!$AF2))</f>
        <v>0</v>
      </c>
      <c r="AC8" s="272">
        <f>SUMPRODUCT(('Intrapartum Care'!$E$7:$E$745=AC$6)*('Intrapartum Care'!$F$7:$F$745&gt;=Lists!$AE2)*('Intrapartum Care'!$F$7:$F$745&lt;=Lists!$AF2))</f>
        <v>0</v>
      </c>
      <c r="AD8" s="227">
        <f>SUM(I8:AC8)</f>
        <v>0</v>
      </c>
      <c r="AE8" s="284">
        <f>SUMPRODUCT(('Intrapartum Care'!$H$7:$H$745=AE$6)*('Intrapartum Care'!$F$7:$F$745&gt;=Lists!$AE2)*('Intrapartum Care'!$F$7:$F$745&lt;=Lists!$AF2))</f>
        <v>0</v>
      </c>
      <c r="AF8" s="271">
        <f>SUMPRODUCT(('Intrapartum Care'!$H$7:$H$745=AF$6)*('Intrapartum Care'!$F$7:$F$745&gt;=Lists!$AE2)*('Intrapartum Care'!$F$7:$F$745&lt;=Lists!$AF2))</f>
        <v>0</v>
      </c>
      <c r="AG8" s="271">
        <f>SUMPRODUCT(('Intrapartum Care'!$H$7:$H$745=AG$6)*('Intrapartum Care'!$F$7:$F$745&gt;=Lists!$AE2)*('Intrapartum Care'!$F$7:$F$745&lt;=Lists!$AF2))</f>
        <v>0</v>
      </c>
      <c r="AH8" s="271">
        <f>SUMPRODUCT(('Intrapartum Care'!$H$7:$H$745=AH$6)*('Intrapartum Care'!$F$7:$F$745&gt;=Lists!$AE2)*('Intrapartum Care'!$F$7:$F$745&lt;=Lists!$AF2))</f>
        <v>0</v>
      </c>
      <c r="AI8" s="271">
        <f>SUMPRODUCT(('Intrapartum Care'!$H$7:$H$745=AI$6)*('Intrapartum Care'!$F$7:$F$745&gt;=Lists!$AE2)*('Intrapartum Care'!$F$7:$F$745&lt;=Lists!$AF2))</f>
        <v>0</v>
      </c>
      <c r="AJ8" s="271">
        <f>SUMPRODUCT(('Intrapartum Care'!$H$7:$H$745=AJ$6)*('Intrapartum Care'!$F$7:$F$745&gt;=Lists!$AE2)*('Intrapartum Care'!$F$7:$F$745&lt;=Lists!$AF2))</f>
        <v>0</v>
      </c>
      <c r="AK8" s="271">
        <f>SUMPRODUCT(('Intrapartum Care'!$H$7:$H$745=AK$6)*('Intrapartum Care'!$F$7:$F$745&gt;=Lists!$AE2)*('Intrapartum Care'!$F$7:$F$745&lt;=Lists!$AF2))</f>
        <v>0</v>
      </c>
      <c r="AL8" s="271">
        <f>SUMPRODUCT(('Intrapartum Care'!$H$7:$H$745=AL$6)*('Intrapartum Care'!$F$7:$F$745&gt;=Lists!$AE2)*('Intrapartum Care'!$F$7:$F$745&lt;=Lists!$AF2))</f>
        <v>0</v>
      </c>
      <c r="AM8" s="272">
        <f>SUMPRODUCT(('Intrapartum Care'!$H$7:$H$745=AM$6)*('Intrapartum Care'!$F$7:$F$745&gt;=Lists!$AE2)*('Intrapartum Care'!$F$7:$F$745&lt;=Lists!$AF2))</f>
        <v>0</v>
      </c>
      <c r="AN8" s="227">
        <f>SUM(AE8:AM8)</f>
        <v>0</v>
      </c>
      <c r="AO8" s="284">
        <f>SUMPRODUCT(('Intrapartum Care'!$I$7:$I$745=AO$6)*('Intrapartum Care'!$F$7:$F$745&gt;=Lists!$AE2)*('Intrapartum Care'!$F$7:$F$745&lt;=Lists!$AF2))</f>
        <v>0</v>
      </c>
      <c r="AP8" s="271">
        <f>SUMPRODUCT(('Intrapartum Care'!$I$7:$I$745=AP$6)*('Intrapartum Care'!$F$7:$F$745&gt;=Lists!$AE2)*('Intrapartum Care'!$F$7:$F$745&lt;=Lists!$AF2))</f>
        <v>0</v>
      </c>
      <c r="AQ8" s="271">
        <f>SUMPRODUCT(('Intrapartum Care'!$I$7:$I$745=AQ$6)*('Intrapartum Care'!$F$7:$F$745&gt;=Lists!$AE2)*('Intrapartum Care'!$F$7:$F$745&lt;=Lists!$AF2))</f>
        <v>0</v>
      </c>
      <c r="AR8" s="271">
        <f>SUMPRODUCT(('Intrapartum Care'!$I$7:$I$745=AR$6)*('Intrapartum Care'!$F$7:$F$745&gt;=Lists!$AE2)*('Intrapartum Care'!$F$7:$F$745&lt;=Lists!$AF2))</f>
        <v>0</v>
      </c>
      <c r="AS8" s="271">
        <f>SUMPRODUCT(('Intrapartum Care'!$I$7:$I$745=AS$6)*('Intrapartum Care'!$F$7:$F$745&gt;=Lists!$AE2)*('Intrapartum Care'!$F$7:$F$745&lt;=Lists!$AF2))</f>
        <v>0</v>
      </c>
      <c r="AT8" s="271">
        <f>SUMPRODUCT(('Intrapartum Care'!$I$7:$I$745=AT$6)*('Intrapartum Care'!$F$7:$F$745&gt;=Lists!$AE2)*('Intrapartum Care'!$F$7:$F$745&lt;=Lists!$AF2))</f>
        <v>0</v>
      </c>
      <c r="AU8" s="290">
        <f>SUMPRODUCT(('Intrapartum Care'!$I$7:$I$745=AU$6)*('Intrapartum Care'!$F$7:$F$745&gt;=Lists!$AE2)*('Intrapartum Care'!$F$7:$F$745&lt;=Lists!$AF2))</f>
        <v>0</v>
      </c>
      <c r="AV8" s="227">
        <f>SUM(AO8:AU8)</f>
        <v>0</v>
      </c>
      <c r="AW8" s="284">
        <f>SUMPRODUCT(('Intrapartum Care'!$J$7:$J$745=AW$6)*('Intrapartum Care'!$F$7:$F$745&gt;=Lists!$AE2)*('Intrapartum Care'!$F$7:$F$745&lt;=Lists!$AF2))</f>
        <v>0</v>
      </c>
      <c r="AX8" s="290">
        <f>SUMPRODUCT(('Intrapartum Care'!$J$7:$J$745=AX$6)*('Intrapartum Care'!$F$7:$F$745&gt;=Lists!$AE2)*('Intrapartum Care'!$F$7:$F$745&lt;=Lists!$AF2))</f>
        <v>0</v>
      </c>
      <c r="AY8" s="227">
        <f>SUM(AW8:AX8)</f>
        <v>0</v>
      </c>
      <c r="AZ8" s="291">
        <f>SUMPRODUCT(('Intrapartum Care'!$R$7:$R$745=AZ$6)*('Intrapartum Care'!$F$7:$F$745&gt;=Lists!$AE2)*('Intrapartum Care'!$F$7:$F$745&lt;=Lists!$AF2))</f>
        <v>0</v>
      </c>
      <c r="BA8" s="271">
        <f>SUMPRODUCT(('Intrapartum Care'!$R$7:$R$745=BA$6)*('Intrapartum Care'!$F$7:$F$745&gt;=Lists!$AE2)*('Intrapartum Care'!$F$7:$F$745&lt;=Lists!$AF2))</f>
        <v>0</v>
      </c>
      <c r="BB8" s="271">
        <f>SUMPRODUCT(('Intrapartum Care'!$R$7:$R$745=BB$6)*('Intrapartum Care'!$F$7:$F$745&gt;=Lists!$AE2)*('Intrapartum Care'!$F$7:$F$745&lt;=Lists!$AF2))</f>
        <v>0</v>
      </c>
      <c r="BC8" s="290">
        <f>SUMPRODUCT(('Intrapartum Care'!$R$7:$R$745=BC$6)*('Intrapartum Care'!$F$7:$F$745&gt;=Lists!$AE2)*('Intrapartum Care'!$F$7:$F$745&lt;=Lists!$AF2))</f>
        <v>0</v>
      </c>
      <c r="BD8" s="227">
        <f>SUM(AZ8:BC8)</f>
        <v>0</v>
      </c>
      <c r="BE8" s="291">
        <f>SUMPRODUCT(('Intrapartum Care'!$S$7:$S$745=BE$6)*('Intrapartum Care'!$F$7:$F$745&gt;=Lists!$AE2)*('Intrapartum Care'!$F$7:$F$745&lt;=Lists!$AF2))</f>
        <v>0</v>
      </c>
      <c r="BF8" s="271">
        <f>SUMPRODUCT(('Intrapartum Care'!$S$7:$S$745=BF$6)*('Intrapartum Care'!$F$7:$F$745&gt;=Lists!$AE2)*('Intrapartum Care'!$F$7:$F$745&lt;=Lists!$AF2))</f>
        <v>0</v>
      </c>
      <c r="BG8" s="272">
        <f>SUMPRODUCT(('Intrapartum Care'!$S$7:$S$745=BG$6)*('Intrapartum Care'!$F$7:$F$745&gt;=Lists!$AE2)*('Intrapartum Care'!$F$7:$F$745&lt;=Lists!$AF2))</f>
        <v>0</v>
      </c>
      <c r="BH8" s="227">
        <f>SUM(BE8:BG8)</f>
        <v>0</v>
      </c>
      <c r="BI8" s="290">
        <f>SUMPRODUCT(('Intrapartum Care'!$T$7:$T$745=BI$6)*('Intrapartum Care'!$F$7:$F$745&gt;=Lists!$AE2)*('Intrapartum Care'!$F$7:$F$745&lt;=Lists!$AF2))</f>
        <v>0</v>
      </c>
      <c r="BJ8" s="290">
        <f>SUMPRODUCT(('Intrapartum Care'!$T$7:$T$745=BJ$6)*('Intrapartum Care'!$F$7:$F$745&gt;=Lists!$AE2)*('Intrapartum Care'!$F$7:$F$745&lt;=Lists!$AF2))</f>
        <v>0</v>
      </c>
      <c r="BK8" s="290">
        <f>SUMPRODUCT(('Intrapartum Care'!$T$7:$T$745=BK$6)*('Intrapartum Care'!$F$7:$F$745&gt;=Lists!$AE2)*('Intrapartum Care'!$F$7:$F$745&lt;=Lists!$AF2))</f>
        <v>0</v>
      </c>
      <c r="BL8" s="290">
        <f>SUMPRODUCT(('Intrapartum Care'!$T$7:$T$745=BL$6)*('Intrapartum Care'!$F$7:$F$745&gt;=Lists!$AE2)*('Intrapartum Care'!$F$7:$F$745&lt;=Lists!$AF2))</f>
        <v>0</v>
      </c>
      <c r="BM8" s="227">
        <f>SUM(BI8:BL8)</f>
        <v>0</v>
      </c>
      <c r="BN8" s="290">
        <f>SUMPRODUCT(('Intrapartum Care'!$U$7:$U$745=BN$6)*('Intrapartum Care'!$F$7:$F$745&gt;=Lists!$AE2)*('Intrapartum Care'!$F$7:$F$745&lt;=Lists!$AF2))</f>
        <v>0</v>
      </c>
      <c r="BO8" s="290">
        <f>SUMPRODUCT(('Intrapartum Care'!$U$7:$U$745=BO$6)*('Intrapartum Care'!$F$7:$F$745&gt;=Lists!$AE2)*('Intrapartum Care'!$F$7:$F$745&lt;=Lists!$AF2))</f>
        <v>0</v>
      </c>
      <c r="BP8" s="290">
        <f>SUMPRODUCT(('Intrapartum Care'!$U$7:$U$745=BP$6)*('Intrapartum Care'!$F$7:$F$745&gt;=Lists!$AE2)*('Intrapartum Care'!$F$7:$F$745&lt;=Lists!$AF2))</f>
        <v>0</v>
      </c>
      <c r="BQ8" s="290">
        <f>SUMPRODUCT(('Intrapartum Care'!$U$7:$U$745=BQ$6)*('Intrapartum Care'!$F$7:$F$745&gt;=Lists!$AE2)*('Intrapartum Care'!$F$7:$F$745&lt;=Lists!$AF2))</f>
        <v>0</v>
      </c>
      <c r="BR8" s="227">
        <f>SUM(BN8:BQ8)</f>
        <v>0</v>
      </c>
      <c r="BS8" s="290">
        <f>SUMPRODUCT(('Intrapartum Care'!$V$7:$V$745=BS$6)*('Intrapartum Care'!$F$7:$F$745&gt;=Lists!$AE2)*('Intrapartum Care'!$F$7:$F$745&lt;=Lists!$AF2))</f>
        <v>0</v>
      </c>
      <c r="BT8" s="290">
        <f>SUMPRODUCT(('Intrapartum Care'!$V$7:$V$745=BT$6)*('Intrapartum Care'!$F$7:$F$745&gt;=Lists!$AE2)*('Intrapartum Care'!$F$7:$F$745&lt;=Lists!$AF2))</f>
        <v>0</v>
      </c>
      <c r="BU8" s="290">
        <f>SUMPRODUCT(('Intrapartum Care'!$V$7:$V$745=BU$6)*('Intrapartum Care'!$F$7:$F$745&gt;=Lists!$AE2)*('Intrapartum Care'!$F$7:$F$745&lt;=Lists!$AF2))</f>
        <v>0</v>
      </c>
      <c r="BV8" s="290">
        <f>SUMPRODUCT(('Intrapartum Care'!$V$7:$V$745=BV$6)*('Intrapartum Care'!$F$7:$F$745&gt;=Lists!$AE2)*('Intrapartum Care'!$F$7:$F$745&lt;=Lists!$AF2))</f>
        <v>0</v>
      </c>
      <c r="BW8" s="290">
        <f>SUMPRODUCT(('Intrapartum Care'!$V$7:$V$745=BW$6)*('Intrapartum Care'!$F$7:$F$745&gt;=Lists!$AE2)*('Intrapartum Care'!$F$7:$F$745&lt;=Lists!$AF2))</f>
        <v>0</v>
      </c>
      <c r="BX8" s="227">
        <f>SUM(BT8:BW8)</f>
        <v>0</v>
      </c>
      <c r="BY8" s="290">
        <f>SUMPRODUCT(('Intrapartum Care'!$W$7:$W$745=BY$6)*('Intrapartum Care'!$F$7:$F$745&gt;=Lists!$AE2)*('Intrapartum Care'!$F$7:$F$745&lt;=Lists!$AF2))</f>
        <v>0</v>
      </c>
      <c r="BZ8" s="290">
        <f>SUMPRODUCT(('Intrapartum Care'!$W$7:$W$745=BZ$6)*('Intrapartum Care'!$F$7:$F$745&gt;=Lists!$AE2)*('Intrapartum Care'!$F$7:$F$745&lt;=Lists!$AF2))</f>
        <v>0</v>
      </c>
      <c r="CA8" s="290">
        <f>SUMPRODUCT(('Intrapartum Care'!$W$7:$W$745=CA$6)*('Intrapartum Care'!$F$7:$F$745&gt;=Lists!$AE2)*('Intrapartum Care'!$F$7:$F$745&lt;=Lists!$AF2))</f>
        <v>0</v>
      </c>
      <c r="CB8" s="290">
        <f>SUMPRODUCT(('Intrapartum Care'!$W$7:$W$745=CB$6)*('Intrapartum Care'!$F$7:$F$745&gt;=Lists!$AE2)*('Intrapartum Care'!$F$7:$F$745&lt;=Lists!$AF2))</f>
        <v>0</v>
      </c>
      <c r="CC8" s="290">
        <f>SUMPRODUCT(('Intrapartum Care'!$W$7:$W$745=CC$6)*('Intrapartum Care'!$F$7:$F$745&gt;=Lists!$AE2)*('Intrapartum Care'!$F$7:$F$745&lt;=Lists!$AF2))</f>
        <v>0</v>
      </c>
      <c r="CD8" s="227">
        <f>SUM(BY8:CC8)</f>
        <v>0</v>
      </c>
      <c r="CE8" s="290">
        <f>SUMPRODUCT(('Intrapartum Care'!$X$7:$X$745=CE$6)*('Intrapartum Care'!$F$7:$F$745&gt;=Lists!$AE2)*('Intrapartum Care'!$F$7:$F$745&lt;=Lists!$AF2))</f>
        <v>0</v>
      </c>
      <c r="CF8" s="290">
        <f>SUMPRODUCT(('Intrapartum Care'!$X$7:$X$745=CF$6)*('Intrapartum Care'!$F$7:$F$745&gt;=Lists!$AE2)*('Intrapartum Care'!$F$7:$F$745&lt;=Lists!$AF2))</f>
        <v>0</v>
      </c>
      <c r="CG8" s="290">
        <f>SUMPRODUCT(('Intrapartum Care'!$X$7:$X$745=CG$6)*('Intrapartum Care'!$F$7:$F$745&gt;=Lists!$AE2)*('Intrapartum Care'!$F$7:$F$745&lt;=Lists!$AF2))</f>
        <v>0</v>
      </c>
      <c r="CH8" s="290">
        <f>SUMPRODUCT(('Intrapartum Care'!$X$7:$X$745=CH$6)*('Intrapartum Care'!$F$7:$F$745&gt;=Lists!$AE2)*('Intrapartum Care'!$F$7:$F$745&lt;=Lists!$AF2))</f>
        <v>0</v>
      </c>
      <c r="CI8" s="290">
        <f>SUMPRODUCT(('Intrapartum Care'!$X$7:$X$745=CI$6)*('Intrapartum Care'!$F$7:$F$745&gt;=Lists!$AE2)*('Intrapartum Care'!$F$7:$F$745&lt;=Lists!$AF2))</f>
        <v>0</v>
      </c>
      <c r="CJ8" s="290">
        <f>SUMPRODUCT(('Intrapartum Care'!$X$7:$X$745=CJ$6)*('Intrapartum Care'!$F$7:$F$745&gt;=Lists!$AE2)*('Intrapartum Care'!$F$7:$F$745&lt;=Lists!$AF2))</f>
        <v>0</v>
      </c>
      <c r="CK8" s="290">
        <f>SUMPRODUCT(('Intrapartum Care'!$X$7:$X$745=CK$6)*('Intrapartum Care'!$F$7:$F$745&gt;=Lists!$AE2)*('Intrapartum Care'!$F$7:$F$745&lt;=Lists!$AF2))</f>
        <v>0</v>
      </c>
      <c r="CL8" s="227">
        <f>SUM(CE8:CK8)</f>
        <v>0</v>
      </c>
      <c r="CM8" s="290">
        <f>SUMPRODUCT(('Intrapartum Care'!$Y$7:$Y$745=CM$6)*('Intrapartum Care'!$F$7:$F$745&gt;=Lists!$AE2)*('Intrapartum Care'!$F$7:$F$745&lt;=Lists!$AF2))</f>
        <v>0</v>
      </c>
      <c r="CN8" s="290">
        <f>SUMPRODUCT(('Intrapartum Care'!$Y$7:$Y$745=CN$6)*('Intrapartum Care'!$F$7:$F$745&gt;=Lists!$AE2)*('Intrapartum Care'!$F$7:$F$745&lt;=Lists!$AF2))</f>
        <v>0</v>
      </c>
      <c r="CO8" s="290">
        <f>SUMPRODUCT(('Intrapartum Care'!$Y$7:$Y$745=CO$6)*('Intrapartum Care'!$F$7:$F$745&gt;=Lists!$AE2)*('Intrapartum Care'!$F$7:$F$745&lt;=Lists!$AF2))</f>
        <v>0</v>
      </c>
      <c r="CP8" s="290">
        <f>SUMPRODUCT(('Intrapartum Care'!$Y$7:$Y$745=CP$6)*('Intrapartum Care'!$F$7:$F$745&gt;=Lists!$AE2)*('Intrapartum Care'!$F$7:$F$745&lt;=Lists!$AF2))</f>
        <v>0</v>
      </c>
      <c r="CQ8" s="290">
        <f>SUMPRODUCT(('Intrapartum Care'!$Y$7:$Y$745=CQ$6)*('Intrapartum Care'!$F$7:$F$745&gt;=Lists!$AE2)*('Intrapartum Care'!$F$7:$F$745&lt;=Lists!$AF2))</f>
        <v>0</v>
      </c>
      <c r="CR8" s="290">
        <f>SUMPRODUCT(('Intrapartum Care'!$Y$7:$Y$745=CR$6)*('Intrapartum Care'!$F$7:$F$745&gt;=Lists!$AE2)*('Intrapartum Care'!$F$7:$F$745&lt;=Lists!$AF2))</f>
        <v>0</v>
      </c>
      <c r="CS8" s="227">
        <f>SUM(CM8:CR8)</f>
        <v>0</v>
      </c>
      <c r="CT8" s="290">
        <f>SUMPRODUCT(('Intrapartum Care'!$Z$7:$Z$745=CT$6)*('Intrapartum Care'!$F$7:$F$745&gt;=Lists!$AE2)*('Intrapartum Care'!$F$7:$F$745&lt;=Lists!$AF2))</f>
        <v>0</v>
      </c>
      <c r="CU8" s="290">
        <f>SUMPRODUCT(('Intrapartum Care'!$Z$7:$Z$745=CU$6)*('Intrapartum Care'!$F$7:$F$745&gt;=Lists!$AE2)*('Intrapartum Care'!$F$7:$F$745&lt;=Lists!$AF2))</f>
        <v>0</v>
      </c>
      <c r="CV8" s="290">
        <f>SUMPRODUCT(('Intrapartum Care'!$Z$7:$Z$745=CV$6)*('Intrapartum Care'!$F$7:$F$745&gt;=Lists!$AE2)*('Intrapartum Care'!$F$7:$F$745&lt;=Lists!$AF2))</f>
        <v>0</v>
      </c>
      <c r="CW8" s="290">
        <f>SUMPRODUCT(('Intrapartum Care'!$Z$7:$Z$745=CW$6)*('Intrapartum Care'!$F$7:$F$745&gt;=Lists!$AE2)*('Intrapartum Care'!$F$7:$F$745&lt;=Lists!$AF2))</f>
        <v>0</v>
      </c>
      <c r="CX8" s="290">
        <f>SUMPRODUCT(('Intrapartum Care'!$Z$7:$Z$745=CX$6)*('Intrapartum Care'!$F$7:$F$745&gt;=Lists!$AE2)*('Intrapartum Care'!$F$7:$F$745&lt;=Lists!$AF2))</f>
        <v>0</v>
      </c>
      <c r="CY8" s="290">
        <f>SUMPRODUCT(('Intrapartum Care'!$Z$7:$Z$745=CY$6)*('Intrapartum Care'!$F$7:$F$745&gt;=Lists!$AE2)*('Intrapartum Care'!$F$7:$F$745&lt;=Lists!$AF2))</f>
        <v>0</v>
      </c>
      <c r="CZ8" s="290">
        <f>SUMPRODUCT(('Intrapartum Care'!$Z$7:$Z$745=CZ$6)*('Intrapartum Care'!$F$7:$F$745&gt;=Lists!$AE2)*('Intrapartum Care'!$F$7:$F$745&lt;=Lists!$AF2))</f>
        <v>0</v>
      </c>
      <c r="DA8" s="290">
        <f>SUMPRODUCT(('Intrapartum Care'!$Z$7:$Z$745=DA$6)*('Intrapartum Care'!$F$7:$F$745&gt;=Lists!$AE2)*('Intrapartum Care'!$F$7:$F$745&lt;=Lists!$AF2))</f>
        <v>0</v>
      </c>
      <c r="DB8" s="227">
        <f>SUM(CT8:DA8)</f>
        <v>0</v>
      </c>
      <c r="DC8" s="290">
        <f>SUMPRODUCT(('Intrapartum Care'!$AA$7:$AA$745=DC$6)*('Intrapartum Care'!$F$7:$F$745&gt;=Lists!$AE2)*('Intrapartum Care'!$F$7:$F$745&lt;=Lists!$AF2))</f>
        <v>0</v>
      </c>
      <c r="DD8" s="290">
        <f>SUMPRODUCT(('Intrapartum Care'!$AA$7:$AA$745=DD$6)*('Intrapartum Care'!$F$7:$F$745&gt;=Lists!$AE2)*('Intrapartum Care'!$F$7:$F$745&lt;=Lists!$AF2))</f>
        <v>0</v>
      </c>
      <c r="DE8" s="290">
        <f>SUMPRODUCT(('Intrapartum Care'!$AA$7:$AA$745=DE$6)*('Intrapartum Care'!$F$7:$F$745&gt;=Lists!$AE2)*('Intrapartum Care'!$F$7:$F$745&lt;=Lists!$AF2))</f>
        <v>0</v>
      </c>
      <c r="DF8" s="227">
        <f>SUM(DC8:DE8)</f>
        <v>0</v>
      </c>
      <c r="DG8" s="295">
        <f>SUMPRODUCT(('Intrapartum Care'!$AB$7:$AB$745=DG$6)*('Intrapartum Care'!$F$7:$F$745&gt;=Lists!$AE2)*('Intrapartum Care'!$F$7:$F$745&lt;=Lists!$AF2))</f>
        <v>0</v>
      </c>
      <c r="DH8" s="290">
        <f>SUMPRODUCT(('Intrapartum Care'!$AB$7:$AB$745=DH$6)*('Intrapartum Care'!$F$7:$F$745&gt;=Lists!$AE2)*('Intrapartum Care'!$F$7:$F$745&lt;=Lists!$AF2))</f>
        <v>0</v>
      </c>
      <c r="DI8" s="290">
        <f>SUMPRODUCT(('Intrapartum Care'!$AB$7:$AB$745=DI$6)*('Intrapartum Care'!$F$7:$F$745&gt;=Lists!$AE2)*('Intrapartum Care'!$F$7:$F$745&lt;=Lists!$AF2))</f>
        <v>0</v>
      </c>
      <c r="DJ8" s="290">
        <f>SUMPRODUCT(('Intrapartum Care'!$AB$7:$AB$745=DJ$6)*('Intrapartum Care'!$F$7:$F$745&gt;=Lists!$AE2)*('Intrapartum Care'!$F$7:$F$745&lt;=Lists!$AF2))</f>
        <v>0</v>
      </c>
      <c r="DK8" s="290">
        <f>SUMPRODUCT(('Intrapartum Care'!$AB$7:$AB$745=DK$6)*('Intrapartum Care'!$F$7:$F$745&gt;=Lists!$AE2)*('Intrapartum Care'!$F$7:$F$745&lt;=Lists!$AF2))</f>
        <v>0</v>
      </c>
      <c r="DL8" s="290">
        <f>SUMPRODUCT(('Intrapartum Care'!$AB$7:$AB$745=DL$6)*('Intrapartum Care'!$F$7:$F$745&gt;=Lists!$AE2)*('Intrapartum Care'!$F$7:$F$745&lt;=Lists!$AF2))</f>
        <v>0</v>
      </c>
      <c r="DM8" s="290">
        <f>SUMPRODUCT(('Intrapartum Care'!$AB$7:$AB$745=DM$6)*('Intrapartum Care'!$F$7:$F$745&gt;=Lists!$AE2)*('Intrapartum Care'!$F$7:$F$745&lt;=Lists!$AF2))</f>
        <v>0</v>
      </c>
      <c r="DN8" s="227">
        <f>SUM(DG8:DM8)</f>
        <v>0</v>
      </c>
      <c r="DO8" s="528">
        <f>SUMPRODUCT(('Intrapartum Care'!$AC$7:$AC$745=DO$6)*('Intrapartum Care'!$F$7:$F$745&gt;=Lists!$AE2)*('Intrapartum Care'!$F$7:$F$745&lt;=Lists!$AF2))</f>
        <v>0</v>
      </c>
      <c r="DP8" s="528">
        <f>SUMPRODUCT(('Intrapartum Care'!$AC$7:$AC$745=DP$6)*('Intrapartum Care'!$F$7:$F$745&gt;=Lists!$AE2)*('Intrapartum Care'!$F$7:$F$745&lt;=Lists!$AF2))</f>
        <v>0</v>
      </c>
      <c r="DQ8" s="528">
        <f>SUMPRODUCT(('Intrapartum Care'!$AC$7:$AC$745=DQ$6)*('Intrapartum Care'!$F$7:$F$745&gt;=Lists!$AE2)*('Intrapartum Care'!$F$7:$F$745&lt;=Lists!$AF2))</f>
        <v>0</v>
      </c>
      <c r="DR8" s="528">
        <f>SUMPRODUCT(('Intrapartum Care'!$AC$7:$AC$745=DR$6)*('Intrapartum Care'!$F$7:$F$745&gt;=Lists!$AE2)*('Intrapartum Care'!$F$7:$F$745&lt;=Lists!$AF2))</f>
        <v>0</v>
      </c>
      <c r="DS8" s="528">
        <f>SUMPRODUCT(('Intrapartum Care'!$AC$7:$AC$745=DS$6)*('Intrapartum Care'!$F$7:$F$745&gt;=Lists!$AE2)*('Intrapartum Care'!$F$7:$F$745&lt;=Lists!$AF2))</f>
        <v>0</v>
      </c>
      <c r="DT8" s="528">
        <f>SUMPRODUCT(('Intrapartum Care'!$AC$7:$AC$745=DT$6)*('Intrapartum Care'!$F$7:$F$745&gt;=Lists!$AE2)*('Intrapartum Care'!$F$7:$F$745&lt;=Lists!$AF2))</f>
        <v>0</v>
      </c>
      <c r="DU8" s="528">
        <f>SUMPRODUCT(('Intrapartum Care'!$AC$7:$AC$745=DU$6)*('Intrapartum Care'!$F$7:$F$745&gt;=Lists!$AE2)*('Intrapartum Care'!$F$7:$F$745&lt;=Lists!$AF2))</f>
        <v>0</v>
      </c>
      <c r="DV8" s="528">
        <f>SUMPRODUCT(('Intrapartum Care'!$AC$7:$AC$745=DV$6)*('Intrapartum Care'!$F$7:$F$745&gt;=Lists!$AE2)*('Intrapartum Care'!$F$7:$F$745&lt;=Lists!$AF2))</f>
        <v>0</v>
      </c>
      <c r="DW8" s="528">
        <f>SUMPRODUCT(('Intrapartum Care'!$AC$7:$AC$745=DW$6)*('Intrapartum Care'!$F$7:$F$745&gt;=Lists!$AE2)*('Intrapartum Care'!$F$7:$F$745&lt;=Lists!$AF2))</f>
        <v>0</v>
      </c>
      <c r="DX8" s="227">
        <f>SUM(DO8:DW8)</f>
        <v>0</v>
      </c>
      <c r="DY8" s="295">
        <f>SUMPRODUCT(('Intrapartum Care'!$AE$7:$AE$745=DY$6)*('Intrapartum Care'!$F$7:$F$745&gt;=Lists!$AE2)*('Intrapartum Care'!$F$7:$F$745&lt;=Lists!$AF2))</f>
        <v>0</v>
      </c>
      <c r="DZ8" s="295">
        <f>SUMPRODUCT(('Intrapartum Care'!$AE$7:$AE$745=DZ$6)*('Intrapartum Care'!$F$7:$F$745&gt;=Lists!$AE2)*('Intrapartum Care'!$F$7:$F$745&lt;=Lists!$AF2))</f>
        <v>0</v>
      </c>
      <c r="EA8" s="295">
        <f>SUMPRODUCT(('Intrapartum Care'!$AE$7:$AE$745=EA$6)*('Intrapartum Care'!$F$7:$F$745&gt;=Lists!$AE2)*('Intrapartum Care'!$F$7:$F$745&lt;=Lists!$AF2))</f>
        <v>0</v>
      </c>
      <c r="EB8" s="227">
        <f>SUM(DY8:EA8)</f>
        <v>0</v>
      </c>
      <c r="EC8" s="295">
        <f>SUMPRODUCT(('Intrapartum Care'!$AF$7:$AF$745=EC$6)*('Intrapartum Care'!$F$7:$F$745&gt;=Lists!$AE2)*('Intrapartum Care'!$F$7:$F$745&lt;=Lists!$AF2))</f>
        <v>0</v>
      </c>
      <c r="ED8" s="295">
        <f>SUMPRODUCT(('Intrapartum Care'!$AF$7:$AF$745=ED$6)*('Intrapartum Care'!$F$7:$F$745&gt;=Lists!$AE2)*('Intrapartum Care'!$F$7:$F$745&lt;=Lists!$AF2))</f>
        <v>0</v>
      </c>
      <c r="EE8" s="295">
        <f>SUMPRODUCT(('Intrapartum Care'!$AF$7:$AF$745=EE$6)*('Intrapartum Care'!$F$7:$F$745&gt;=Lists!$AE2)*('Intrapartum Care'!$F$7:$F$745&lt;=Lists!$AF2))</f>
        <v>0</v>
      </c>
      <c r="EF8" s="295">
        <f>SUMPRODUCT(('Intrapartum Care'!$AF$7:$AF$745=EF$6)*('Intrapartum Care'!$F$7:$F$745&gt;=Lists!$AE2)*('Intrapartum Care'!$F$7:$F$745&lt;=Lists!$AF2))</f>
        <v>0</v>
      </c>
      <c r="EG8" s="295">
        <f>SUMPRODUCT(('Intrapartum Care'!$AF$7:$AF$745=EG$6)*('Intrapartum Care'!$F$7:$F$745&gt;=Lists!$AE2)*('Intrapartum Care'!$F$7:$F$745&lt;=Lists!$AF2))</f>
        <v>0</v>
      </c>
      <c r="EH8" s="227">
        <f>SUM(EC8:EG8)</f>
        <v>0</v>
      </c>
      <c r="EI8" s="295">
        <f>SUMPRODUCT(('Intrapartum Care'!$AG$7:$AG$745=EI$6)*('Intrapartum Care'!$F$7:$F$745&gt;=Lists!$AE2)*('Intrapartum Care'!$F$7:$F$745&lt;=Lists!$AF2))</f>
        <v>0</v>
      </c>
      <c r="EJ8" s="295">
        <f>SUMPRODUCT(('Intrapartum Care'!$AG$7:$AG$745=EJ$6)*('Intrapartum Care'!$F$7:$F$745&gt;=Lists!$AE2)*('Intrapartum Care'!$F$7:$F$745&lt;=Lists!$AF2))</f>
        <v>0</v>
      </c>
      <c r="EK8" s="295">
        <f>SUMPRODUCT(('Intrapartum Care'!$AG$7:$AG$745=EK$6)*('Intrapartum Care'!$F$7:$F$745&gt;=Lists!$AE2)*('Intrapartum Care'!$F$7:$F$745&lt;=Lists!$AF2))</f>
        <v>0</v>
      </c>
      <c r="EL8" s="295">
        <f>SUMPRODUCT(('Intrapartum Care'!$AG$7:$AG$745=EL$6)*('Intrapartum Care'!$F$7:$F$745&gt;=Lists!$AE2)*('Intrapartum Care'!$F$7:$F$745&lt;=Lists!$AF2))</f>
        <v>0</v>
      </c>
      <c r="EM8" s="295">
        <f>SUMPRODUCT(('Intrapartum Care'!$AG$7:$AG$745=EM$6)*('Intrapartum Care'!$F$7:$F$745&gt;=Lists!$AE2)*('Intrapartum Care'!$F$7:$F$745&lt;=Lists!$AF2))</f>
        <v>0</v>
      </c>
      <c r="EN8" s="295">
        <f>SUMPRODUCT(('Intrapartum Care'!$AG$7:$AG$745=EN$6)*('Intrapartum Care'!$F$7:$F$745&gt;=Lists!$AE2)*('Intrapartum Care'!$F$7:$F$745&lt;=Lists!$AF2))</f>
        <v>0</v>
      </c>
      <c r="EO8" s="227">
        <f>SUM(EI8:EN8)</f>
        <v>0</v>
      </c>
      <c r="EP8" s="295">
        <f>SUMPRODUCT(('Intrapartum Care'!$AH$7:$AH$745=EP$6)*('Intrapartum Care'!$F$7:$F$745&gt;=Lists!$AE2)*('Intrapartum Care'!$F$7:$F$745&lt;=Lists!$AF2))</f>
        <v>0</v>
      </c>
      <c r="EQ8" s="295">
        <f>SUMPRODUCT(('Intrapartum Care'!$AH$7:$AH$745=EQ$6)*('Intrapartum Care'!$F$7:$F$745&gt;=Lists!$AE2)*('Intrapartum Care'!$F$7:$F$745&lt;=Lists!$AF2))</f>
        <v>0</v>
      </c>
      <c r="ER8" s="295">
        <f>SUMPRODUCT(('Intrapartum Care'!$AH$7:$AH$745=ER$6)*('Intrapartum Care'!$F$7:$F$745&gt;=Lists!$AE2)*('Intrapartum Care'!$F$7:$F$745&lt;=Lists!$AF2))</f>
        <v>0</v>
      </c>
      <c r="ES8" s="227">
        <f>SUM(EP8:ER8)</f>
        <v>0</v>
      </c>
      <c r="ET8" s="290">
        <f>SUMPRODUCT(('Intrapartum Care'!$AK$7:$AK$745=ET$6)*('Intrapartum Care'!$F$7:$F$745&gt;=Lists!$AE2)*('Intrapartum Care'!$F$7:$F$745&lt;=Lists!$AF2))</f>
        <v>0</v>
      </c>
      <c r="EU8" s="290">
        <f>SUMPRODUCT(('Intrapartum Care'!$AK$7:$AK$745=EU$6)*('Intrapartum Care'!$F$7:$F$745&gt;=Lists!$AE2)*('Intrapartum Care'!$F$7:$F$745&lt;=Lists!$AF2))</f>
        <v>0</v>
      </c>
      <c r="EV8" s="290">
        <f>SUMPRODUCT(('Intrapartum Care'!$AK$7:$AK$745=EV$6)*('Intrapartum Care'!$F$7:$F$745&gt;=Lists!$AE2)*('Intrapartum Care'!$F$7:$F$745&lt;=Lists!$AF2))</f>
        <v>0</v>
      </c>
      <c r="EW8" s="227">
        <f>SUM(ET8:EV8)</f>
        <v>0</v>
      </c>
      <c r="EX8" s="290">
        <f>SUMPRODUCT(('Intrapartum Care'!$AL$7:$AL$745=EX$6)*('Intrapartum Care'!$F$7:$F$745&gt;=Lists!$AE2)*('Intrapartum Care'!$F$7:$F$745&lt;=Lists!$AF2))</f>
        <v>0</v>
      </c>
      <c r="EY8" s="290">
        <f>SUMPRODUCT(('Intrapartum Care'!$AL$7:$AL$745=EY$6)*('Intrapartum Care'!$F$7:$F$745&gt;=Lists!$AE2)*('Intrapartum Care'!$F$7:$F$745&lt;=Lists!$AF2))</f>
        <v>0</v>
      </c>
      <c r="EZ8" s="290">
        <f>SUMPRODUCT(('Intrapartum Care'!$AL$7:$AL$745=EZ$6)*('Intrapartum Care'!$F$7:$F$745&gt;=Lists!$AE2)*('Intrapartum Care'!$F$7:$F$745&lt;=Lists!$AF2))</f>
        <v>0</v>
      </c>
      <c r="FA8" s="227">
        <f t="shared" ref="FA8:FA19" si="0">SUM(EX8:EZ8)</f>
        <v>0</v>
      </c>
      <c r="FB8" s="290">
        <f>SUMPRODUCT(('Intrapartum Care'!$AM$7:$AM$745=FB$6)*('Intrapartum Care'!$F$7:$F$745&gt;=Lists!$AE2)*('Intrapartum Care'!$F$7:$F$745&lt;=Lists!$AF2))</f>
        <v>0</v>
      </c>
      <c r="FC8" s="290">
        <f>SUMPRODUCT(('Intrapartum Care'!$AM$7:$AM$745=FC$6)*('Intrapartum Care'!$F$7:$F$745&gt;=Lists!$AE2)*('Intrapartum Care'!$F$7:$F$745&lt;=Lists!$AF2))</f>
        <v>0</v>
      </c>
      <c r="FD8" s="290">
        <f>SUMPRODUCT(('Intrapartum Care'!$AM$7:$AM$745=FD$6)*('Intrapartum Care'!$F$7:$F$745&gt;=Lists!$AE2)*('Intrapartum Care'!$F$7:$F$745&lt;=Lists!$AF2))</f>
        <v>0</v>
      </c>
      <c r="FE8" s="290">
        <f>SUMPRODUCT(('Intrapartum Care'!$AM$7:$AM$745=FE$6)*('Intrapartum Care'!$F$7:$F$745&gt;=Lists!$AE2)*('Intrapartum Care'!$F$7:$F$745&lt;=Lists!$AF2))</f>
        <v>0</v>
      </c>
      <c r="FF8" s="290">
        <f>SUMPRODUCT(('Intrapartum Care'!$AM$7:$AM$745=FF$6)*('Intrapartum Care'!$F$7:$F$745&gt;=Lists!$AE2)*('Intrapartum Care'!$F$7:$F$745&lt;=Lists!$AF2))</f>
        <v>0</v>
      </c>
      <c r="FG8" s="227">
        <f>SUM(FB8:FF8)</f>
        <v>0</v>
      </c>
      <c r="FH8" s="290">
        <f>SUMPRODUCT(('Intrapartum Care'!$AN$7:$AN$745=FH$6)*('Intrapartum Care'!$F$7:$F$745&gt;=Lists!$AE2)*('Intrapartum Care'!$F$7:$F$745&lt;=Lists!$AF2))</f>
        <v>0</v>
      </c>
      <c r="FI8" s="290">
        <f>SUMPRODUCT(('Intrapartum Care'!$AN$7:$AN$745=FI$6)*('Intrapartum Care'!$F$7:$F$745&gt;=Lists!$AE2)*('Intrapartum Care'!$F$7:$F$745&lt;=Lists!$AF2))</f>
        <v>0</v>
      </c>
      <c r="FJ8" s="290">
        <f>SUMPRODUCT(('Intrapartum Care'!$AN$7:$AN$745=FJ$6)*('Intrapartum Care'!$F$7:$F$745&gt;=Lists!$AE2)*('Intrapartum Care'!$F$7:$F$745&lt;=Lists!$AF2))</f>
        <v>0</v>
      </c>
      <c r="FK8" s="290">
        <f>SUMPRODUCT(('Intrapartum Care'!$AN$7:$AN$745=FK$6)*('Intrapartum Care'!$F$7:$F$745&gt;=Lists!$AE2)*('Intrapartum Care'!$F$7:$F$745&lt;=Lists!$AF2))</f>
        <v>0</v>
      </c>
      <c r="FL8" s="227">
        <f>SUM(FH8:FK8)</f>
        <v>0</v>
      </c>
      <c r="FM8" s="290">
        <f>SUMPRODUCT(('Intrapartum Care'!$AS$7:$AS$745=FM$6)*('Intrapartum Care'!$F$7:$F$745&gt;=Lists!$AE2)*('Intrapartum Care'!$F$7:$F$745&lt;=Lists!$AF2))</f>
        <v>0</v>
      </c>
      <c r="FN8" s="290">
        <f>SUMPRODUCT(('Intrapartum Care'!$AS$7:$AS$745=FN$6)*('Intrapartum Care'!$F$7:$F$745&gt;=Lists!$AE2)*('Intrapartum Care'!$F$7:$F$745&lt;=Lists!$AF2))</f>
        <v>0</v>
      </c>
      <c r="FO8" s="290">
        <f>SUMPRODUCT(('Intrapartum Care'!$AS$7:$AS$745=FO$6)*('Intrapartum Care'!$F$7:$F$745&gt;=Lists!$AE2)*('Intrapartum Care'!$F$7:$F$745&lt;=Lists!$AF2))</f>
        <v>0</v>
      </c>
      <c r="FP8" s="290">
        <f>SUMPRODUCT(('Intrapartum Care'!$AS$7:$AS$745=FP$6)*('Intrapartum Care'!$F$7:$F$745&gt;=Lists!$AE2)*('Intrapartum Care'!$F$7:$F$745&lt;=Lists!$AF2))</f>
        <v>0</v>
      </c>
      <c r="FQ8" s="227">
        <f>SUM(FM8:FP8)</f>
        <v>0</v>
      </c>
      <c r="FR8" s="290">
        <f>SUMPRODUCT(('Intrapartum Care'!$AZ$7:$AZ$745=FR$6)*('Intrapartum Care'!$F$7:$F$745&gt;=Lists!$AE2)*('Intrapartum Care'!$F$7:$F$745&lt;=Lists!$AF2))</f>
        <v>0</v>
      </c>
      <c r="FS8" s="290">
        <f>SUMPRODUCT(('Intrapartum Care'!$AZ$7:$AZ$745=FS$6)*('Intrapartum Care'!$F$7:$F$745&gt;=Lists!$AE2)*('Intrapartum Care'!$F$7:$F$745&lt;=Lists!$AF2))</f>
        <v>0</v>
      </c>
      <c r="FT8" s="290">
        <f>SUMPRODUCT(('Intrapartum Care'!$AZ$7:$AZ$745=FT$6)*('Intrapartum Care'!$F$7:$F$745&gt;=Lists!$AE2)*('Intrapartum Care'!$F$7:$F$745&lt;=Lists!$AF2))</f>
        <v>0</v>
      </c>
      <c r="FU8" s="227">
        <f>SUM(FR8:FT8)</f>
        <v>0</v>
      </c>
      <c r="FV8" s="290">
        <f>SUMPRODUCT(('Intrapartum Care'!$BA$7:$BA$745=FV$6)*('Intrapartum Care'!$F$7:$F$745&gt;=Lists!$AE2)*('Intrapartum Care'!$F$7:$F$745&lt;=Lists!$AF2))</f>
        <v>0</v>
      </c>
      <c r="FW8" s="290">
        <f>SUMPRODUCT(('Intrapartum Care'!$BA$7:$BA$745=FW$6)*('Intrapartum Care'!$F$7:$F$745&gt;=Lists!$AE2)*('Intrapartum Care'!$F$7:$F$745&lt;=Lists!$AF2))</f>
        <v>0</v>
      </c>
      <c r="FX8" s="290">
        <f>SUMPRODUCT(('Intrapartum Care'!$BA$7:$BA$745=FX$6)*('Intrapartum Care'!$F$7:$F$745&gt;=Lists!$AE2)*('Intrapartum Care'!$F$7:$F$745&lt;=Lists!$AF2))</f>
        <v>0</v>
      </c>
      <c r="FY8" s="227">
        <f>SUM(FV8:FX8)</f>
        <v>0</v>
      </c>
      <c r="FZ8" s="290">
        <f>SUMPRODUCT(('Intrapartum Care'!$BB$7:$BB$745=FZ$6)*('Intrapartum Care'!$F$7:$F$745&gt;=Lists!$AE2)*('Intrapartum Care'!$F$7:$F$745&lt;=Lists!$AF2))</f>
        <v>0</v>
      </c>
      <c r="GA8" s="290">
        <f>SUMPRODUCT(('Intrapartum Care'!$BB$7:$BB$745=GA$6)*('Intrapartum Care'!$F$7:$F$745&gt;=Lists!$AE2)*('Intrapartum Care'!$F$7:$F$745&lt;=Lists!$AF2))</f>
        <v>0</v>
      </c>
      <c r="GB8" s="290">
        <f>SUMPRODUCT(('Intrapartum Care'!$BB$7:$BB$745=GB$6)*('Intrapartum Care'!$F$7:$F$745&gt;=Lists!$AE2)*('Intrapartum Care'!$F$7:$F$745&lt;=Lists!$AF2))</f>
        <v>0</v>
      </c>
      <c r="GC8" s="290">
        <f>SUMPRODUCT(('Intrapartum Care'!$BB$7:$BB$745=GC$6)*('Intrapartum Care'!$F$7:$F$745&gt;=Lists!$AE2)*('Intrapartum Care'!$F$7:$F$745&lt;=Lists!$AF2))</f>
        <v>0</v>
      </c>
      <c r="GD8" s="290">
        <f>SUMPRODUCT(('Intrapartum Care'!$BB$7:$BB$745=GD$6)*('Intrapartum Care'!$F$7:$F$745&gt;=Lists!$AE2)*('Intrapartum Care'!$F$7:$F$745&lt;=Lists!$AF2))</f>
        <v>0</v>
      </c>
      <c r="GE8" s="290">
        <f>SUMPRODUCT(('Intrapartum Care'!$BB$7:$BB$745=GE$6)*('Intrapartum Care'!$F$7:$F$745&gt;=Lists!$AE2)*('Intrapartum Care'!$F$7:$F$745&lt;=Lists!$AF2))</f>
        <v>0</v>
      </c>
      <c r="GF8" s="290">
        <f>SUMPRODUCT(('Intrapartum Care'!$BB$7:$BB$745=GF$6)*('Intrapartum Care'!$F$7:$F$745&gt;=Lists!$AE2)*('Intrapartum Care'!$F$7:$F$745&lt;=Lists!$AF2))</f>
        <v>0</v>
      </c>
      <c r="GG8" s="290">
        <f>SUMPRODUCT(('Intrapartum Care'!$BB$7:$BB$745=GG$6)*('Intrapartum Care'!$F$7:$F$745&gt;=Lists!$AE2)*('Intrapartum Care'!$F$7:$F$745&lt;=Lists!$AF2))</f>
        <v>0</v>
      </c>
      <c r="GH8" s="290">
        <f>SUMPRODUCT(('Intrapartum Care'!$BB$7:$BB$745=GH$6)*('Intrapartum Care'!$F$7:$F$745&gt;=Lists!$AE2)*('Intrapartum Care'!$F$7:$F$745&lt;=Lists!$AF2))</f>
        <v>0</v>
      </c>
      <c r="GI8" s="290">
        <f>SUMPRODUCT(('Intrapartum Care'!$BB$7:$BB$745=GI$6)*('Intrapartum Care'!$F$7:$F$745&gt;=Lists!$AE2)*('Intrapartum Care'!$F$7:$F$745&lt;=Lists!$AF2))</f>
        <v>0</v>
      </c>
      <c r="GJ8" s="290">
        <f>SUMPRODUCT(('Intrapartum Care'!$BB$7:$BB$745=GJ$6)*('Intrapartum Care'!$F$7:$F$745&gt;=Lists!$AE2)*('Intrapartum Care'!$F$7:$F$745&lt;=Lists!$AF2))</f>
        <v>0</v>
      </c>
      <c r="GK8" s="290">
        <f>SUMPRODUCT(('Intrapartum Care'!$BB$7:$BB$745=GK$6)*('Intrapartum Care'!$F$7:$F$745&gt;=Lists!$AE2)*('Intrapartum Care'!$F$7:$F$745&lt;=Lists!$AF2))</f>
        <v>0</v>
      </c>
      <c r="GL8" s="290">
        <f>SUMPRODUCT(('Intrapartum Care'!$BB$7:$BB$745=GL$6)*('Intrapartum Care'!$F$7:$F$745&gt;=Lists!$AE2)*('Intrapartum Care'!$F$7:$F$745&lt;=Lists!$AF2))</f>
        <v>0</v>
      </c>
      <c r="GM8" s="290">
        <f>SUMPRODUCT(('Intrapartum Care'!$BB$7:$BB$745=GM$6)*('Intrapartum Care'!$F$7:$F$745&gt;=Lists!$AE2)*('Intrapartum Care'!$F$7:$F$745&lt;=Lists!$AF2))</f>
        <v>0</v>
      </c>
      <c r="GN8" s="290">
        <f>SUMPRODUCT(('Intrapartum Care'!$BB$7:$BB$745=GN$6)*('Intrapartum Care'!$F$7:$F$745&gt;=Lists!$AE2)*('Intrapartum Care'!$F$7:$F$745&lt;=Lists!$AF2))</f>
        <v>0</v>
      </c>
      <c r="GO8" s="290">
        <f>SUMPRODUCT(('Intrapartum Care'!$BB$7:$BB$745=GO$6)*('Intrapartum Care'!$F$7:$F$745&gt;=Lists!$AE2)*('Intrapartum Care'!$F$7:$F$745&lt;=Lists!$AF2))</f>
        <v>0</v>
      </c>
      <c r="GP8" s="290">
        <f>SUMPRODUCT(('Intrapartum Care'!$BB$7:$BB$745=GP$6)*('Intrapartum Care'!$F$7:$F$745&gt;=Lists!$AE2)*('Intrapartum Care'!$F$7:$F$745&lt;=Lists!$AF2))</f>
        <v>0</v>
      </c>
      <c r="GQ8" s="290">
        <f>SUMPRODUCT(('Intrapartum Care'!$BB$7:$BB$745=GQ$6)*('Intrapartum Care'!$F$7:$F$745&gt;=Lists!$AE2)*('Intrapartum Care'!$F$7:$F$745&lt;=Lists!$AF2))</f>
        <v>0</v>
      </c>
      <c r="GR8" s="290">
        <f>SUMPRODUCT(('Intrapartum Care'!$BB$7:$BB$745=GR$6)*('Intrapartum Care'!$F$7:$F$745&gt;=Lists!$AE2)*('Intrapartum Care'!$F$7:$F$745&lt;=Lists!$AF2))</f>
        <v>0</v>
      </c>
      <c r="GS8" s="290">
        <f>SUMPRODUCT(('Intrapartum Care'!$BB$7:$BB$745=GS$6)*('Intrapartum Care'!$F$7:$F$745&gt;=Lists!$AE2)*('Intrapartum Care'!$F$7:$F$745&lt;=Lists!$AF2))</f>
        <v>0</v>
      </c>
      <c r="GT8" s="227">
        <f>SUM(FZ8:GS8)</f>
        <v>0</v>
      </c>
      <c r="GU8" s="290">
        <f>SUMPRODUCT(('Intrapartum Care'!$BC$7:$BC$745=GU$6)*('Intrapartum Care'!$F$7:$F$745&gt;=Lists!$AE2)*('Intrapartum Care'!$F$7:$F$745&lt;=Lists!$AF2))</f>
        <v>0</v>
      </c>
      <c r="GV8" s="290">
        <f>SUMPRODUCT(('Intrapartum Care'!$BC$7:$BC$745=GV$6)*('Intrapartum Care'!$F$7:$F$745&gt;=Lists!$AE2)*('Intrapartum Care'!$F$7:$F$745&lt;=Lists!$AF2))</f>
        <v>0</v>
      </c>
      <c r="GW8" s="290">
        <f>SUMPRODUCT(('Intrapartum Care'!$BC$7:$BC$745=GW$6)*('Intrapartum Care'!$F$7:$F$745&gt;=Lists!$AE2)*('Intrapartum Care'!$F$7:$F$745&lt;=Lists!$AF2))</f>
        <v>0</v>
      </c>
      <c r="GX8" s="290">
        <f>SUMPRODUCT(('Intrapartum Care'!$BC$7:$BC$745=GX$6)*('Intrapartum Care'!$F$7:$F$745&gt;=Lists!$AE2)*('Intrapartum Care'!$F$7:$F$745&lt;=Lists!$AF2))</f>
        <v>0</v>
      </c>
      <c r="GY8" s="290">
        <f>SUMPRODUCT(('Intrapartum Care'!$BC$7:$BC$745=GY$6)*('Intrapartum Care'!$F$7:$F$745&gt;=Lists!$AE2)*('Intrapartum Care'!$F$7:$F$745&lt;=Lists!$AF2))</f>
        <v>0</v>
      </c>
      <c r="GZ8" s="290">
        <f>SUMPRODUCT(('Intrapartum Care'!$BC$7:$BC$745=GZ$6)*('Intrapartum Care'!$F$7:$F$745&gt;=Lists!$AE2)*('Intrapartum Care'!$F$7:$F$745&lt;=Lists!$AF2))</f>
        <v>0</v>
      </c>
      <c r="HA8" s="290">
        <f>SUMPRODUCT(('Intrapartum Care'!$BC$7:$BC$745=HA$6)*('Intrapartum Care'!$F$7:$F$745&gt;=Lists!$AE2)*('Intrapartum Care'!$F$7:$F$745&lt;=Lists!$AF2))</f>
        <v>0</v>
      </c>
      <c r="HB8" s="290">
        <f>SUMPRODUCT(('Intrapartum Care'!$BC$7:$BC$745=HB$6)*('Intrapartum Care'!$F$7:$F$745&gt;=Lists!$AE2)*('Intrapartum Care'!$F$7:$F$745&lt;=Lists!$AF2))</f>
        <v>0</v>
      </c>
      <c r="HC8" s="290">
        <f>SUMPRODUCT(('Intrapartum Care'!$BC$7:$BC$745=HC$6)*('Intrapartum Care'!$F$7:$F$745&gt;=Lists!$AE2)*('Intrapartum Care'!$F$7:$F$745&lt;=Lists!$AF2))</f>
        <v>0</v>
      </c>
      <c r="HD8" s="290">
        <f>SUMPRODUCT(('Intrapartum Care'!$BC$7:$BC$745=HD$6)*('Intrapartum Care'!$F$7:$F$745&gt;=Lists!$AE2)*('Intrapartum Care'!$F$7:$F$745&lt;=Lists!$AF2))</f>
        <v>0</v>
      </c>
      <c r="HE8" s="290">
        <f>SUMPRODUCT(('Intrapartum Care'!$BC$7:$BC$745=HE$6)*('Intrapartum Care'!$F$7:$F$745&gt;=Lists!$AE2)*('Intrapartum Care'!$F$7:$F$745&lt;=Lists!$AF2))</f>
        <v>0</v>
      </c>
      <c r="HF8" s="227">
        <f>SUM(GU8:HE8)</f>
        <v>0</v>
      </c>
      <c r="HG8" s="290">
        <f>SUMPRODUCT(('Intrapartum Care'!$BD$7:$BD$745=HG$6)*('Intrapartum Care'!$F$7:$F$745&gt;=Lists!$AE2)*('Intrapartum Care'!$F$7:$F$745&lt;=Lists!$AF2))</f>
        <v>0</v>
      </c>
      <c r="HH8" s="290">
        <f>SUMPRODUCT(('Intrapartum Care'!$BD$7:$BD$745=HH$6)*('Intrapartum Care'!$F$7:$F$745&gt;=Lists!$AE2)*('Intrapartum Care'!$F$7:$F$745&lt;=Lists!$AF2))</f>
        <v>0</v>
      </c>
      <c r="HI8" s="290">
        <f>SUMPRODUCT(('Intrapartum Care'!$BD$7:$BD$745=HI$6)*('Intrapartum Care'!$F$7:$F$745&gt;=Lists!$AE2)*('Intrapartum Care'!$F$7:$F$745&lt;=Lists!$AF2))</f>
        <v>0</v>
      </c>
      <c r="HJ8" s="290">
        <f>SUMPRODUCT(('Intrapartum Care'!$BD$7:$BD$745=HJ$6)*('Intrapartum Care'!$F$7:$F$745&gt;=Lists!$AE2)*('Intrapartum Care'!$F$7:$F$745&lt;=Lists!$AF2))</f>
        <v>0</v>
      </c>
      <c r="HK8" s="290">
        <f>SUMPRODUCT(('Intrapartum Care'!$BD$7:$BD$745=HK$6)*('Intrapartum Care'!$F$7:$F$745&gt;=Lists!$AE2)*('Intrapartum Care'!$F$7:$F$745&lt;=Lists!$AF2))</f>
        <v>0</v>
      </c>
      <c r="HL8" s="290">
        <f>SUMPRODUCT(('Intrapartum Care'!$BD$7:$BD$745=HL$6)*('Intrapartum Care'!$F$7:$F$745&gt;=Lists!$AE2)*('Intrapartum Care'!$F$7:$F$745&lt;=Lists!$AF2))</f>
        <v>0</v>
      </c>
      <c r="HM8" s="290">
        <f>SUMPRODUCT(('Intrapartum Care'!$BD$7:$BD$745=HM$6)*('Intrapartum Care'!$F$7:$F$745&gt;=Lists!$AE2)*('Intrapartum Care'!$F$7:$F$745&lt;=Lists!$AF2))</f>
        <v>0</v>
      </c>
      <c r="HN8" s="290">
        <f>SUMPRODUCT(('Intrapartum Care'!$BD$7:$BD$745=HN$6)*('Intrapartum Care'!$F$7:$F$745&gt;=Lists!$AE2)*('Intrapartum Care'!$F$7:$F$745&lt;=Lists!$AF2))</f>
        <v>0</v>
      </c>
      <c r="HO8" s="290">
        <f>SUMPRODUCT(('Intrapartum Care'!$BD$7:$BD$745=HO$6)*('Intrapartum Care'!$F$7:$F$745&gt;=Lists!$AE2)*('Intrapartum Care'!$F$7:$F$745&lt;=Lists!$AF2))</f>
        <v>0</v>
      </c>
      <c r="HP8" s="290">
        <f>SUMPRODUCT(('Intrapartum Care'!$BD$7:$BD$745=HP$6)*('Intrapartum Care'!$F$7:$F$745&gt;=Lists!$AE2)*('Intrapartum Care'!$F$7:$F$745&lt;=Lists!$AF2))</f>
        <v>0</v>
      </c>
      <c r="HQ8" s="290">
        <f>SUMPRODUCT(('Intrapartum Care'!$BD$7:$BD$745=HQ$6)*('Intrapartum Care'!$F$7:$F$745&gt;=Lists!$AE2)*('Intrapartum Care'!$F$7:$F$745&lt;=Lists!$AF2))</f>
        <v>0</v>
      </c>
      <c r="HR8" s="290">
        <f>SUMPRODUCT(('Intrapartum Care'!$BD$7:$BD$745=HR$6)*('Intrapartum Care'!$F$7:$F$745&gt;=Lists!$AE2)*('Intrapartum Care'!$F$7:$F$745&lt;=Lists!$AF2))</f>
        <v>0</v>
      </c>
      <c r="HS8" s="290">
        <f>SUMPRODUCT(('Intrapartum Care'!$BD$7:$BD$745=HS$6)*('Intrapartum Care'!$F$7:$F$745&gt;=Lists!$AE2)*('Intrapartum Care'!$F$7:$F$745&lt;=Lists!$AF2))</f>
        <v>0</v>
      </c>
      <c r="HT8" s="290">
        <f>SUMPRODUCT(('Intrapartum Care'!$BD$7:$BD$745=HT$6)*('Intrapartum Care'!$F$7:$F$745&gt;=Lists!$AE2)*('Intrapartum Care'!$F$7:$F$745&lt;=Lists!$AF2))</f>
        <v>0</v>
      </c>
      <c r="HU8" s="290">
        <f>SUMPRODUCT(('Intrapartum Care'!$BD$7:$BD$745=HU$6)*('Intrapartum Care'!$F$7:$F$745&gt;=Lists!$AE2)*('Intrapartum Care'!$F$7:$F$745&lt;=Lists!$AF2))</f>
        <v>0</v>
      </c>
      <c r="HV8" s="290">
        <f>SUMPRODUCT(('Intrapartum Care'!$BD$7:$BD$745=HV$6)*('Intrapartum Care'!$F$7:$F$745&gt;=Lists!$AE2)*('Intrapartum Care'!$F$7:$F$745&lt;=Lists!$AF2))</f>
        <v>0</v>
      </c>
      <c r="HW8" s="290">
        <f>SUMPRODUCT(('Intrapartum Care'!$BD$7:$BD$745=HW$6)*('Intrapartum Care'!$F$7:$F$745&gt;=Lists!$AE2)*('Intrapartum Care'!$F$7:$F$745&lt;=Lists!$AF2))</f>
        <v>0</v>
      </c>
      <c r="HX8" s="290">
        <f>SUMPRODUCT(('Intrapartum Care'!$BD$7:$BD$745=HX$6)*('Intrapartum Care'!$F$7:$F$745&gt;=Lists!$AE2)*('Intrapartum Care'!$F$7:$F$745&lt;=Lists!$AF2))</f>
        <v>0</v>
      </c>
      <c r="HY8" s="290">
        <f>SUMPRODUCT(('Intrapartum Care'!$BD$7:$BD$745=HY$6)*('Intrapartum Care'!$F$7:$F$745&gt;=Lists!$AE2)*('Intrapartum Care'!$F$7:$F$745&lt;=Lists!$AF2))</f>
        <v>0</v>
      </c>
      <c r="HZ8" s="290">
        <f>SUMPRODUCT(('Intrapartum Care'!$BD$7:$BD$745=HZ$6)*('Intrapartum Care'!$F$7:$F$745&gt;=Lists!$AE2)*('Intrapartum Care'!$F$7:$F$745&lt;=Lists!$AF2))</f>
        <v>0</v>
      </c>
      <c r="IA8" s="290">
        <f>SUMPRODUCT(('Intrapartum Care'!$BD$7:$BD$745=IA$6)*('Intrapartum Care'!$F$7:$F$745&gt;=Lists!$AE2)*('Intrapartum Care'!$F$7:$F$745&lt;=Lists!$AF2))</f>
        <v>0</v>
      </c>
      <c r="IB8" s="290">
        <f>SUMPRODUCT(('Intrapartum Care'!$BD$7:$BD$745=IB$6)*('Intrapartum Care'!$F$7:$F$745&gt;=Lists!$AE2)*('Intrapartum Care'!$F$7:$F$745&lt;=Lists!$AF2))</f>
        <v>0</v>
      </c>
      <c r="IC8" s="290">
        <f>SUMPRODUCT(('Intrapartum Care'!$BD$7:$BD$745=IC$6)*('Intrapartum Care'!$F$7:$F$745&gt;=Lists!$AE2)*('Intrapartum Care'!$F$7:$F$745&lt;=Lists!$AF2))</f>
        <v>0</v>
      </c>
      <c r="ID8" s="290">
        <f>SUMPRODUCT(('Intrapartum Care'!$BD$7:$BD$745=ID$6)*('Intrapartum Care'!$F$7:$F$745&gt;=Lists!$AE2)*('Intrapartum Care'!$F$7:$F$745&lt;=Lists!$AF2))</f>
        <v>0</v>
      </c>
      <c r="IE8" s="290">
        <f>SUMPRODUCT(('Intrapartum Care'!$BD$7:$BD$745=IE$6)*('Intrapartum Care'!$F$7:$F$745&gt;=Lists!$AE2)*('Intrapartum Care'!$F$7:$F$745&lt;=Lists!$AF2))</f>
        <v>0</v>
      </c>
      <c r="IF8" s="290">
        <f>SUMPRODUCT(('Intrapartum Care'!$BD$7:$BD$745=IF$6)*('Intrapartum Care'!$F$7:$F$745&gt;=Lists!$AE2)*('Intrapartum Care'!$F$7:$F$745&lt;=Lists!$AF2))</f>
        <v>0</v>
      </c>
      <c r="IG8" s="290">
        <f>SUMPRODUCT(('Intrapartum Care'!$BD$7:$BD$745=IG$6)*('Intrapartum Care'!$F$7:$F$745&gt;=Lists!$AE2)*('Intrapartum Care'!$F$7:$F$745&lt;=Lists!$AF2))</f>
        <v>0</v>
      </c>
      <c r="IH8" s="290">
        <f>SUMPRODUCT(('Intrapartum Care'!$BD$7:$BD$745=IH$6)*('Intrapartum Care'!$F$7:$F$745&gt;=Lists!$AE2)*('Intrapartum Care'!$F$7:$F$745&lt;=Lists!$AF2))</f>
        <v>0</v>
      </c>
      <c r="II8" s="227">
        <f>SUM(HG8:IH8)</f>
        <v>0</v>
      </c>
      <c r="IJ8" s="290">
        <f>SUMPRODUCT(('Intrapartum Care'!$BE$7:$BE$745=IJ$6)*('Intrapartum Care'!$F$7:$F$745&gt;=Lists!$AE2)*('Intrapartum Care'!$F$7:$F$745&lt;=Lists!$AF2))</f>
        <v>0</v>
      </c>
      <c r="IK8" s="290">
        <f>SUMPRODUCT(('Intrapartum Care'!$BE$7:$BE$745=IK$6)*('Intrapartum Care'!$F$7:$F$745&gt;=Lists!$AE2)*('Intrapartum Care'!$F$7:$F$745&lt;=Lists!$AF2))</f>
        <v>0</v>
      </c>
      <c r="IL8" s="290">
        <f>SUMPRODUCT(('Intrapartum Care'!$BE$7:$BE$745=IL$6)*('Intrapartum Care'!$F$7:$F$745&gt;=Lists!$AE2)*('Intrapartum Care'!$F$7:$F$745&lt;=Lists!$AF2))</f>
        <v>0</v>
      </c>
      <c r="IM8" s="290">
        <f>SUMPRODUCT(('Intrapartum Care'!$BE$7:$BE$745=IM$6)*('Intrapartum Care'!$F$7:$F$745&gt;=Lists!$AE2)*('Intrapartum Care'!$F$7:$F$745&lt;=Lists!$AF2))</f>
        <v>0</v>
      </c>
      <c r="IN8" s="290">
        <f>SUMPRODUCT(('Intrapartum Care'!$BE$7:$BE$745=IN$6)*('Intrapartum Care'!$F$7:$F$745&gt;=Lists!$AE2)*('Intrapartum Care'!$F$7:$F$745&lt;=Lists!$AF2))</f>
        <v>0</v>
      </c>
      <c r="IO8" s="290">
        <f>SUMPRODUCT(('Intrapartum Care'!$BE$7:$BE$745=IO$6)*('Intrapartum Care'!$F$7:$F$745&gt;=Lists!$AE2)*('Intrapartum Care'!$F$7:$F$745&lt;=Lists!$AF2))</f>
        <v>0</v>
      </c>
      <c r="IP8" s="290">
        <f>SUMPRODUCT(('Intrapartum Care'!$BE$7:$BE$745=IP$6)*('Intrapartum Care'!$F$7:$F$745&gt;=Lists!$AE2)*('Intrapartum Care'!$F$7:$F$745&lt;=Lists!$AF2))</f>
        <v>0</v>
      </c>
      <c r="IQ8" s="145">
        <f>SUM(IJ8:IP8)</f>
        <v>0</v>
      </c>
      <c r="IR8" s="290">
        <f>SUMPRODUCT(('Intrapartum Care'!$BF$7:$BF$745=IR$6)*('Intrapartum Care'!$F$7:$F$745&gt;=Lists!$AE2)*('Intrapartum Care'!$F$7:$F$745&lt;=Lists!$AF2))</f>
        <v>0</v>
      </c>
      <c r="IS8" s="290">
        <f>SUMPRODUCT(('Intrapartum Care'!$BF$7:$BF$745=IS$6)*('Intrapartum Care'!$F$7:$F$745&gt;=Lists!$AE2)*('Intrapartum Care'!$F$7:$F$745&lt;=Lists!$AF2))</f>
        <v>0</v>
      </c>
      <c r="IT8" s="290">
        <f>SUMPRODUCT(('Intrapartum Care'!$BF$7:$BF$745=IT$6)*('Intrapartum Care'!$F$7:$F$745&gt;=Lists!$AE2)*('Intrapartum Care'!$F$7:$F$745&lt;=Lists!$AF2))</f>
        <v>0</v>
      </c>
      <c r="IU8" s="290">
        <f>SUMPRODUCT(('Intrapartum Care'!$BF$7:$BF$745=IU$6)*('Intrapartum Care'!$F$7:$F$745&gt;=Lists!$AE2)*('Intrapartum Care'!$F$7:$F$745&lt;=Lists!$AF2))</f>
        <v>0</v>
      </c>
      <c r="IV8" s="145">
        <f>SUM(IR8:IU8)</f>
        <v>0</v>
      </c>
      <c r="IW8" s="290">
        <f>SUMPRODUCT(('Intrapartum Care'!$BH$7:$BH$745=IW$6)*('Intrapartum Care'!$F$7:$F$745&gt;=Lists!$AE2)*('Intrapartum Care'!$F$7:$F$745&lt;=Lists!$AF2))</f>
        <v>0</v>
      </c>
      <c r="IX8" s="290">
        <f>SUMPRODUCT(('Intrapartum Care'!$BH$7:$BH$745=IX$6)*('Intrapartum Care'!$F$7:$F$745&gt;=Lists!$AE2)*('Intrapartum Care'!$F$7:$F$745&lt;=Lists!$AF2))</f>
        <v>0</v>
      </c>
      <c r="IY8" s="290">
        <f>SUMPRODUCT(('Intrapartum Care'!$BH$7:$BH$745=IY$6)*('Intrapartum Care'!$F$7:$F$745&gt;=Lists!$AE2)*('Intrapartum Care'!$F$7:$F$745&lt;=Lists!$AF2))</f>
        <v>0</v>
      </c>
      <c r="IZ8" s="290">
        <f>SUMPRODUCT(('Intrapartum Care'!$BH$7:$BH$745=IZ$6)*('Intrapartum Care'!$F$7:$F$745&gt;=Lists!$AE2)*('Intrapartum Care'!$F$7:$F$745&lt;=Lists!$AF2))</f>
        <v>0</v>
      </c>
      <c r="JA8" s="290">
        <f>SUMPRODUCT(('Intrapartum Care'!$BH$7:$BH$745=JA$6)*('Intrapartum Care'!$F$7:$F$745&gt;=Lists!$AE2)*('Intrapartum Care'!$F$7:$F$745&lt;=Lists!$AF2))</f>
        <v>0</v>
      </c>
      <c r="JB8" s="550">
        <f>SUM(IW8:JA8)</f>
        <v>0</v>
      </c>
      <c r="JC8" s="243">
        <f t="shared" ref="JC8:JC19" si="1">SUM(D8,H8,AD8,AN8,AV8,AY8,BD8,BH8,BM8,BR8,BX8,CD8,CL8,CS8,DB8,DF8,DN8,DX8,EB8,EH8,EO8,ES8,EW8,FG8,FA8,FL8,FQ8,FU8,FY8,GT8,HF8,II8,IQ8,IV8,JB8)</f>
        <v>0</v>
      </c>
      <c r="JD8" s="15"/>
      <c r="JE8" s="15"/>
      <c r="JF8" s="15"/>
      <c r="JG8" s="15"/>
      <c r="JH8" s="15"/>
      <c r="JI8" s="15"/>
      <c r="JJ8" s="15"/>
      <c r="JK8" s="15"/>
      <c r="JL8" s="16"/>
      <c r="JM8" s="15"/>
      <c r="JN8" s="15"/>
      <c r="JO8" s="15"/>
      <c r="JP8" s="15"/>
    </row>
    <row r="9" spans="1:279" ht="15" customHeight="1" x14ac:dyDescent="0.35">
      <c r="A9" s="570">
        <v>45778</v>
      </c>
      <c r="B9" s="345">
        <f>SUMPRODUCT(('Intrapartum Care'!$C$7:$C$745=B$6)*('Intrapartum Care'!$F$7:$F$745&gt;=Lists!$AE3)*('Intrapartum Care'!$F$7:$F$745&lt;=Lists!$AF3))</f>
        <v>0</v>
      </c>
      <c r="C9" s="251">
        <f>SUMPRODUCT(('Intrapartum Care'!$C$7:$C$745=C$6)*('Intrapartum Care'!$F$7:$F$745&gt;=Lists!$AE3)*('Intrapartum Care'!$F$7:$F$745&lt;=Lists!$AF3))</f>
        <v>0</v>
      </c>
      <c r="D9" s="170">
        <f t="shared" ref="D9:D19" si="2">SUM(B9:C9)</f>
        <v>0</v>
      </c>
      <c r="E9" s="290">
        <f>SUMPRODUCT(('Intrapartum Care'!$D$7:$D$745=E$6)*('Intrapartum Care'!$F$7:$F$745&gt;=Lists!$AE3)*('Intrapartum Care'!$F$7:$F$745&lt;=Lists!$AF3))</f>
        <v>0</v>
      </c>
      <c r="F9" s="290">
        <f>SUMPRODUCT(('Intrapartum Care'!$D$7:$D$745=F$6)*('Intrapartum Care'!$F$7:$F$745&gt;=Lists!$AE3)*('Intrapartum Care'!$F$7:$F$745&lt;=Lists!$AF3))</f>
        <v>0</v>
      </c>
      <c r="G9" s="290">
        <f>SUMPRODUCT(('Intrapartum Care'!$D$7:$D$745=G$6)*('Intrapartum Care'!$F$7:$F$745&gt;=Lists!$AE3)*('Intrapartum Care'!$F$7:$F$745&lt;=Lists!$AF3))</f>
        <v>0</v>
      </c>
      <c r="H9" s="170">
        <f t="shared" ref="H9:H19" si="3">SUM(E9:G9)</f>
        <v>0</v>
      </c>
      <c r="I9" s="255">
        <f>SUMPRODUCT(('Intrapartum Care'!$E$7:$E$745=I$6)*('Intrapartum Care'!$F$7:$F$745&gt;=Lists!$AE3)*('Intrapartum Care'!$F$7:$F$745&lt;=Lists!$AF3))</f>
        <v>0</v>
      </c>
      <c r="J9" s="252">
        <f>SUMPRODUCT(('Intrapartum Care'!$E$7:$E$745=J$6)*('Intrapartum Care'!$F$7:$F$745&gt;=Lists!$AE3)*('Intrapartum Care'!$F$7:$F$745&lt;=Lists!$AF3))</f>
        <v>0</v>
      </c>
      <c r="K9" s="252">
        <f>SUMPRODUCT(('Intrapartum Care'!$E$7:$E$745=K$6)*('Intrapartum Care'!$F$7:$F$745&gt;=Lists!$AE3)*('Intrapartum Care'!$F$7:$F$745&lt;=Lists!$AF3))</f>
        <v>0</v>
      </c>
      <c r="L9" s="252">
        <f>SUMPRODUCT(('Intrapartum Care'!$E$7:$E$745=L$6)*('Intrapartum Care'!$F$7:$F$745&gt;=Lists!$AE3)*('Intrapartum Care'!$F$7:$F$745&lt;=Lists!$AF3))</f>
        <v>0</v>
      </c>
      <c r="M9" s="252">
        <f>SUMPRODUCT(('Intrapartum Care'!$E$7:$E$745=M$6)*('Intrapartum Care'!$F$7:$F$745&gt;=Lists!$AE3)*('Intrapartum Care'!$F$7:$F$745&lt;=Lists!$AF3))</f>
        <v>0</v>
      </c>
      <c r="N9" s="252">
        <f>SUMPRODUCT(('Intrapartum Care'!$E$7:$E$745=N$6)*('Intrapartum Care'!$F$7:$F$745&gt;=Lists!$AE3)*('Intrapartum Care'!$F$7:$F$745&lt;=Lists!$AF3))</f>
        <v>0</v>
      </c>
      <c r="O9" s="252">
        <f>SUMPRODUCT(('Intrapartum Care'!$E$7:$E$745=O$6)*('Intrapartum Care'!$F$7:$F$745&gt;=Lists!$AE3)*('Intrapartum Care'!$F$7:$F$745&lt;=Lists!$AF3))</f>
        <v>0</v>
      </c>
      <c r="P9" s="252">
        <f>SUMPRODUCT(('Intrapartum Care'!$E$7:$E$745=P$6)*('Intrapartum Care'!$F$7:$F$745&gt;=Lists!$AE3)*('Intrapartum Care'!$F$7:$F$745&lt;=Lists!$AF3))</f>
        <v>0</v>
      </c>
      <c r="Q9" s="252">
        <f>SUMPRODUCT(('Intrapartum Care'!$E$7:$E$745=Q$6)*('Intrapartum Care'!$F$7:$F$745&gt;=Lists!$AE3)*('Intrapartum Care'!$F$7:$F$745&lt;=Lists!$AF3))</f>
        <v>0</v>
      </c>
      <c r="R9" s="252">
        <f>SUMPRODUCT(('Intrapartum Care'!$E$7:$E$745=R$6)*('Intrapartum Care'!$F$7:$F$745&gt;=Lists!$AE3)*('Intrapartum Care'!$F$7:$F$745&lt;=Lists!$AF3))</f>
        <v>0</v>
      </c>
      <c r="S9" s="252">
        <f>SUMPRODUCT(('Intrapartum Care'!$E$7:$E$745=S$6)*('Intrapartum Care'!$F$7:$F$745&gt;=Lists!$AE3)*('Intrapartum Care'!$F$7:$F$745&lt;=Lists!$AF3))</f>
        <v>0</v>
      </c>
      <c r="T9" s="252">
        <f>SUMPRODUCT(('Intrapartum Care'!$E$7:$E$745=T$6)*('Intrapartum Care'!$F$7:$F$745&gt;=Lists!$AE3)*('Intrapartum Care'!$F$7:$F$745&lt;=Lists!$AF3))</f>
        <v>0</v>
      </c>
      <c r="U9" s="252">
        <f>SUMPRODUCT(('Intrapartum Care'!$E$7:$E$745=U$6)*('Intrapartum Care'!$F$7:$F$745&gt;=Lists!$AE3)*('Intrapartum Care'!$F$7:$F$745&lt;=Lists!$AF3))</f>
        <v>0</v>
      </c>
      <c r="V9" s="252">
        <f>SUMPRODUCT(('Intrapartum Care'!$E$7:$E$745=V$6)*('Intrapartum Care'!$F$7:$F$745&gt;=Lists!$AE3)*('Intrapartum Care'!$F$7:$F$745&lt;=Lists!$AF3))</f>
        <v>0</v>
      </c>
      <c r="W9" s="252">
        <f>SUMPRODUCT(('Intrapartum Care'!$E$7:$E$745=W$6)*('Intrapartum Care'!$F$7:$F$745&gt;=Lists!$AE3)*('Intrapartum Care'!$F$7:$F$745&lt;=Lists!$AF3))</f>
        <v>0</v>
      </c>
      <c r="X9" s="252">
        <f>SUMPRODUCT(('Intrapartum Care'!$E$7:$E$745=X$6)*('Intrapartum Care'!$F$7:$F$745&gt;=Lists!$AE3)*('Intrapartum Care'!$F$7:$F$745&lt;=Lists!$AF3))</f>
        <v>0</v>
      </c>
      <c r="Y9" s="252">
        <f>SUMPRODUCT(('Intrapartum Care'!$E$7:$E$745=Y$6)*('Intrapartum Care'!$F$7:$F$745&gt;=Lists!$AE3)*('Intrapartum Care'!$F$7:$F$745&lt;=Lists!$AF3))</f>
        <v>0</v>
      </c>
      <c r="Z9" s="252">
        <f>SUMPRODUCT(('Intrapartum Care'!$E$7:$E$745=Z$6)*('Intrapartum Care'!$F$7:$F$745&gt;=Lists!$AE3)*('Intrapartum Care'!$F$7:$F$745&lt;=Lists!$AF3))</f>
        <v>0</v>
      </c>
      <c r="AA9" s="252">
        <f>SUMPRODUCT(('Intrapartum Care'!$E$7:$E$745=AA$6)*('Intrapartum Care'!$F$7:$F$745&gt;=Lists!$AE3)*('Intrapartum Care'!$F$7:$F$745&lt;=Lists!$AF3))</f>
        <v>0</v>
      </c>
      <c r="AB9" s="252">
        <f>SUMPRODUCT(('Intrapartum Care'!$E$7:$E$745=AB$6)*('Intrapartum Care'!$F$7:$F$745&gt;=Lists!$AE3)*('Intrapartum Care'!$F$7:$F$745&lt;=Lists!$AF3))</f>
        <v>0</v>
      </c>
      <c r="AC9" s="264">
        <f>SUMPRODUCT(('Intrapartum Care'!$E$7:$E$745=AC$6)*('Intrapartum Care'!$F$7:$F$745&gt;=Lists!$AE3)*('Intrapartum Care'!$F$7:$F$745&lt;=Lists!$AF3))</f>
        <v>0</v>
      </c>
      <c r="AD9" s="227">
        <f t="shared" ref="AD9:AD19" si="4">SUM(I9:AC9)</f>
        <v>0</v>
      </c>
      <c r="AE9" s="255">
        <f>SUMPRODUCT(('Intrapartum Care'!$H$7:$H$745=AE$6)*('Intrapartum Care'!$F$7:$F$745&gt;=Lists!$AE3)*('Intrapartum Care'!$F$7:$F$745&lt;=Lists!$AF3))</f>
        <v>0</v>
      </c>
      <c r="AF9" s="252">
        <f>SUMPRODUCT(('Intrapartum Care'!$H$7:$H$745=AF$6)*('Intrapartum Care'!$F$7:$F$745&gt;=Lists!$AE3)*('Intrapartum Care'!$F$7:$F$745&lt;=Lists!$AF3))</f>
        <v>0</v>
      </c>
      <c r="AG9" s="252">
        <f>SUMPRODUCT(('Intrapartum Care'!$H$7:$H$745=AG$6)*('Intrapartum Care'!$F$7:$F$745&gt;=Lists!$AE3)*('Intrapartum Care'!$F$7:$F$745&lt;=Lists!$AF3))</f>
        <v>0</v>
      </c>
      <c r="AH9" s="252">
        <f>SUMPRODUCT(('Intrapartum Care'!$H$7:$H$745=AH$6)*('Intrapartum Care'!$F$7:$F$745&gt;=Lists!$AE3)*('Intrapartum Care'!$F$7:$F$745&lt;=Lists!$AF3))</f>
        <v>0</v>
      </c>
      <c r="AI9" s="252">
        <f>SUMPRODUCT(('Intrapartum Care'!$H$7:$H$745=AI$6)*('Intrapartum Care'!$F$7:$F$745&gt;=Lists!$AE3)*('Intrapartum Care'!$F$7:$F$745&lt;=Lists!$AF3))</f>
        <v>0</v>
      </c>
      <c r="AJ9" s="252">
        <f>SUMPRODUCT(('Intrapartum Care'!$H$7:$H$745=AJ$6)*('Intrapartum Care'!$F$7:$F$745&gt;=Lists!$AE3)*('Intrapartum Care'!$F$7:$F$745&lt;=Lists!$AF3))</f>
        <v>0</v>
      </c>
      <c r="AK9" s="252">
        <f>SUMPRODUCT(('Intrapartum Care'!$H$7:$H$745=AK$6)*('Intrapartum Care'!$F$7:$F$745&gt;=Lists!$AE3)*('Intrapartum Care'!$F$7:$F$745&lt;=Lists!$AF3))</f>
        <v>0</v>
      </c>
      <c r="AL9" s="252">
        <f>SUMPRODUCT(('Intrapartum Care'!$H$7:$H$745=AL$6)*('Intrapartum Care'!$F$7:$F$745&gt;=Lists!$AE3)*('Intrapartum Care'!$F$7:$F$745&lt;=Lists!$AF3))</f>
        <v>0</v>
      </c>
      <c r="AM9" s="264">
        <f>SUMPRODUCT(('Intrapartum Care'!$H$7:$H$745=AM$6)*('Intrapartum Care'!$F$7:$F$745&gt;=Lists!$AE3)*('Intrapartum Care'!$F$7:$F$745&lt;=Lists!$AF3))</f>
        <v>0</v>
      </c>
      <c r="AN9" s="170">
        <f t="shared" ref="AN9:AN19" si="5">SUM(AE9:AM9)</f>
        <v>0</v>
      </c>
      <c r="AO9" s="255">
        <f>SUMPRODUCT(('Intrapartum Care'!$I$7:$I$745=AO$6)*('Intrapartum Care'!$F$7:$F$745&gt;=Lists!$AE3)*('Intrapartum Care'!$F$7:$F$745&lt;=Lists!$AF3))</f>
        <v>0</v>
      </c>
      <c r="AP9" s="252">
        <f>SUMPRODUCT(('Intrapartum Care'!$I$7:$I$745=AP$6)*('Intrapartum Care'!$F$7:$F$745&gt;=Lists!$AE3)*('Intrapartum Care'!$F$7:$F$745&lt;=Lists!$AF3))</f>
        <v>0</v>
      </c>
      <c r="AQ9" s="252">
        <f>SUMPRODUCT(('Intrapartum Care'!$I$7:$I$745=AQ$6)*('Intrapartum Care'!$F$7:$F$745&gt;=Lists!$AE3)*('Intrapartum Care'!$F$7:$F$745&lt;=Lists!$AF3))</f>
        <v>0</v>
      </c>
      <c r="AR9" s="252">
        <f>SUMPRODUCT(('Intrapartum Care'!$I$7:$I$745=AR$6)*('Intrapartum Care'!$F$7:$F$745&gt;=Lists!$AE3)*('Intrapartum Care'!$F$7:$F$745&lt;=Lists!$AF3))</f>
        <v>0</v>
      </c>
      <c r="AS9" s="252">
        <f>SUMPRODUCT(('Intrapartum Care'!$I$7:$I$745=AS$6)*('Intrapartum Care'!$F$7:$F$745&gt;=Lists!$AE3)*('Intrapartum Care'!$F$7:$F$745&lt;=Lists!$AF3))</f>
        <v>0</v>
      </c>
      <c r="AT9" s="252">
        <f>SUMPRODUCT(('Intrapartum Care'!$I$7:$I$745=AT$6)*('Intrapartum Care'!$F$7:$F$745&gt;=Lists!$AE3)*('Intrapartum Care'!$F$7:$F$745&lt;=Lists!$AF3))</f>
        <v>0</v>
      </c>
      <c r="AU9" s="253">
        <f>SUMPRODUCT(('Intrapartum Care'!$I$7:$I$745=AU$6)*('Intrapartum Care'!$F$7:$F$745&gt;=Lists!$AE3)*('Intrapartum Care'!$F$7:$F$745&lt;=Lists!$AF3))</f>
        <v>0</v>
      </c>
      <c r="AV9" s="170">
        <f t="shared" ref="AV9:AV19" si="6">SUM(AO9:AU9)</f>
        <v>0</v>
      </c>
      <c r="AW9" s="255">
        <f>SUMPRODUCT(('Intrapartum Care'!$J$7:$J$745=AW$6)*('Intrapartum Care'!$F$7:$F$745&gt;=Lists!$AE3)*('Intrapartum Care'!$F$7:$F$745&lt;=Lists!$AF3))</f>
        <v>0</v>
      </c>
      <c r="AX9" s="253">
        <f>SUMPRODUCT(('Intrapartum Care'!$J$7:$J$745=AX$6)*('Intrapartum Care'!$F$7:$F$745&gt;=Lists!$AE3)*('Intrapartum Care'!$F$7:$F$745&lt;=Lists!$AF3))</f>
        <v>0</v>
      </c>
      <c r="AY9" s="170">
        <f t="shared" ref="AY9:AY19" si="7">SUM(AW9:AX9)</f>
        <v>0</v>
      </c>
      <c r="AZ9" s="263">
        <f>SUMPRODUCT(('Intrapartum Care'!$R$7:$R$745=AZ$6)*('Intrapartum Care'!$F$7:$F$745&gt;=Lists!$AE3)*('Intrapartum Care'!$F$7:$F$745&lt;=Lists!$AF3))</f>
        <v>0</v>
      </c>
      <c r="BA9" s="252">
        <f>SUMPRODUCT(('Intrapartum Care'!$R$7:$R$745=BA$6)*('Intrapartum Care'!$F$7:$F$745&gt;=Lists!$AE3)*('Intrapartum Care'!$F$7:$F$745&lt;=Lists!$AF3))</f>
        <v>0</v>
      </c>
      <c r="BB9" s="252">
        <f>SUMPRODUCT(('Intrapartum Care'!$R$7:$R$745=BB$6)*('Intrapartum Care'!$F$7:$F$745&gt;=Lists!$AE3)*('Intrapartum Care'!$F$7:$F$745&lt;=Lists!$AF3))</f>
        <v>0</v>
      </c>
      <c r="BC9" s="253">
        <f>SUMPRODUCT(('Intrapartum Care'!$R$7:$R$745=BC$6)*('Intrapartum Care'!$F$7:$F$745&gt;=Lists!$AE3)*('Intrapartum Care'!$F$7:$F$745&lt;=Lists!$AF3))</f>
        <v>0</v>
      </c>
      <c r="BD9" s="170">
        <f t="shared" ref="BD9:BD19" si="8">SUM(AZ9:BC9)</f>
        <v>0</v>
      </c>
      <c r="BE9" s="263">
        <f>SUMPRODUCT(('Intrapartum Care'!$S$7:$S$745=BE$6)*('Intrapartum Care'!$F$7:$F$745&gt;=Lists!$AE3)*('Intrapartum Care'!$F$7:$F$745&lt;=Lists!$AF3))</f>
        <v>0</v>
      </c>
      <c r="BF9" s="252">
        <f>SUMPRODUCT(('Intrapartum Care'!$S$7:$S$745=BF$6)*('Intrapartum Care'!$F$7:$F$745&gt;=Lists!$AE3)*('Intrapartum Care'!$F$7:$F$745&lt;=Lists!$AF3))</f>
        <v>0</v>
      </c>
      <c r="BG9" s="264">
        <f>SUMPRODUCT(('Intrapartum Care'!$S$7:$S$745=BG$6)*('Intrapartum Care'!$F$7:$F$745&gt;=Lists!$AE3)*('Intrapartum Care'!$F$7:$F$745&lt;=Lists!$AF3))</f>
        <v>0</v>
      </c>
      <c r="BH9" s="170">
        <f t="shared" ref="BH9:BH19" si="9">SUM(BE9:BG9)</f>
        <v>0</v>
      </c>
      <c r="BI9" s="290">
        <f>SUMPRODUCT(('Intrapartum Care'!$T$7:$T$745=BI$6)*('Intrapartum Care'!$F$7:$F$745&gt;=Lists!$AE3)*('Intrapartum Care'!$F$7:$F$745&lt;=Lists!$AF3))</f>
        <v>0</v>
      </c>
      <c r="BJ9" s="290">
        <f>SUMPRODUCT(('Intrapartum Care'!$T$7:$T$745=BJ$6)*('Intrapartum Care'!$F$7:$F$745&gt;=Lists!$AE3)*('Intrapartum Care'!$F$7:$F$745&lt;=Lists!$AF3))</f>
        <v>0</v>
      </c>
      <c r="BK9" s="290">
        <f>SUMPRODUCT(('Intrapartum Care'!$T$7:$T$745=BK$6)*('Intrapartum Care'!$F$7:$F$745&gt;=Lists!$AE3)*('Intrapartum Care'!$F$7:$F$745&lt;=Lists!$AF3))</f>
        <v>0</v>
      </c>
      <c r="BL9" s="290">
        <f>SUMPRODUCT(('Intrapartum Care'!$T$7:$T$745=BL$6)*('Intrapartum Care'!$F$7:$F$745&gt;=Lists!$AE3)*('Intrapartum Care'!$F$7:$F$745&lt;=Lists!$AF3))</f>
        <v>0</v>
      </c>
      <c r="BM9" s="227">
        <f t="shared" ref="BM9:BM19" si="10">SUM(BI9:BL9)</f>
        <v>0</v>
      </c>
      <c r="BN9" s="290">
        <f>SUMPRODUCT(('Intrapartum Care'!$U$7:$U$745=BN$6)*('Intrapartum Care'!$F$7:$F$745&gt;=Lists!$AE3)*('Intrapartum Care'!$F$7:$F$745&lt;=Lists!$AF3))</f>
        <v>0</v>
      </c>
      <c r="BO9" s="290">
        <f>SUMPRODUCT(('Intrapartum Care'!$U$7:$U$745=BO$6)*('Intrapartum Care'!$F$7:$F$745&gt;=Lists!$AE3)*('Intrapartum Care'!$F$7:$F$745&lt;=Lists!$AF3))</f>
        <v>0</v>
      </c>
      <c r="BP9" s="290">
        <f>SUMPRODUCT(('Intrapartum Care'!$U$7:$U$745=BP$6)*('Intrapartum Care'!$F$7:$F$745&gt;=Lists!$AE3)*('Intrapartum Care'!$F$7:$F$745&lt;=Lists!$AF3))</f>
        <v>0</v>
      </c>
      <c r="BQ9" s="290">
        <f>SUMPRODUCT(('Intrapartum Care'!$U$7:$U$745=BQ$6)*('Intrapartum Care'!$F$7:$F$745&gt;=Lists!$AE3)*('Intrapartum Care'!$F$7:$F$745&lt;=Lists!$AF3))</f>
        <v>0</v>
      </c>
      <c r="BR9" s="227">
        <f t="shared" ref="BR9:BR19" si="11">SUM(BN9:BQ9)</f>
        <v>0</v>
      </c>
      <c r="BS9" s="290">
        <f>SUMPRODUCT(('Intrapartum Care'!$V$7:$V$745=BS$6)*('Intrapartum Care'!$F$7:$F$745&gt;=Lists!$AE3)*('Intrapartum Care'!$F$7:$F$745&lt;=Lists!$AF3))</f>
        <v>0</v>
      </c>
      <c r="BT9" s="290">
        <f>SUMPRODUCT(('Intrapartum Care'!$V$7:$V$745=BT$6)*('Intrapartum Care'!$F$7:$F$745&gt;=Lists!$AE3)*('Intrapartum Care'!$F$7:$F$745&lt;=Lists!$AF3))</f>
        <v>0</v>
      </c>
      <c r="BU9" s="290">
        <f>SUMPRODUCT(('Intrapartum Care'!$V$7:$V$745=BU$6)*('Intrapartum Care'!$F$7:$F$745&gt;=Lists!$AE3)*('Intrapartum Care'!$F$7:$F$745&lt;=Lists!$AF3))</f>
        <v>0</v>
      </c>
      <c r="BV9" s="290">
        <f>SUMPRODUCT(('Intrapartum Care'!$V$7:$V$745=BV$6)*('Intrapartum Care'!$F$7:$F$745&gt;=Lists!$AE3)*('Intrapartum Care'!$F$7:$F$745&lt;=Lists!$AF3))</f>
        <v>0</v>
      </c>
      <c r="BW9" s="290">
        <f>SUMPRODUCT(('Intrapartum Care'!$V$7:$V$745=BW$6)*('Intrapartum Care'!$F$7:$F$745&gt;=Lists!$AE3)*('Intrapartum Care'!$F$7:$F$745&lt;=Lists!$AF3))</f>
        <v>0</v>
      </c>
      <c r="BX9" s="227">
        <f t="shared" ref="BX9:BX19" si="12">SUM(BT9:BW9)</f>
        <v>0</v>
      </c>
      <c r="BY9" s="290">
        <f>SUMPRODUCT(('Intrapartum Care'!$W$7:$W$745=BY$6)*('Intrapartum Care'!$F$7:$F$745&gt;=Lists!$AE3)*('Intrapartum Care'!$F$7:$F$745&lt;=Lists!$AF3))</f>
        <v>0</v>
      </c>
      <c r="BZ9" s="290">
        <f>SUMPRODUCT(('Intrapartum Care'!$W$7:$W$745=BZ$6)*('Intrapartum Care'!$F$7:$F$745&gt;=Lists!$AE3)*('Intrapartum Care'!$F$7:$F$745&lt;=Lists!$AF3))</f>
        <v>0</v>
      </c>
      <c r="CA9" s="290">
        <f>SUMPRODUCT(('Intrapartum Care'!$W$7:$W$745=CA$6)*('Intrapartum Care'!$F$7:$F$745&gt;=Lists!$AE3)*('Intrapartum Care'!$F$7:$F$745&lt;=Lists!$AF3))</f>
        <v>0</v>
      </c>
      <c r="CB9" s="290">
        <f>SUMPRODUCT(('Intrapartum Care'!$W$7:$W$745=CB$6)*('Intrapartum Care'!$F$7:$F$745&gt;=Lists!$AE3)*('Intrapartum Care'!$F$7:$F$745&lt;=Lists!$AF3))</f>
        <v>0</v>
      </c>
      <c r="CC9" s="290">
        <f>SUMPRODUCT(('Intrapartum Care'!$W$7:$W$745=CC$6)*('Intrapartum Care'!$F$7:$F$745&gt;=Lists!$AE3)*('Intrapartum Care'!$F$7:$F$745&lt;=Lists!$AF3))</f>
        <v>0</v>
      </c>
      <c r="CD9" s="227">
        <f t="shared" ref="CD9:CD18" si="13">SUM(BY9:CC9)</f>
        <v>0</v>
      </c>
      <c r="CE9" s="290">
        <f>SUMPRODUCT(('Intrapartum Care'!$X$7:$X$745=CE$6)*('Intrapartum Care'!$F$7:$F$745&gt;=Lists!$AE3)*('Intrapartum Care'!$F$7:$F$745&lt;=Lists!$AF3))</f>
        <v>0</v>
      </c>
      <c r="CF9" s="290">
        <f>SUMPRODUCT(('Intrapartum Care'!$X$7:$X$745=CF$6)*('Intrapartum Care'!$F$7:$F$745&gt;=Lists!$AE3)*('Intrapartum Care'!$F$7:$F$745&lt;=Lists!$AF3))</f>
        <v>0</v>
      </c>
      <c r="CG9" s="290">
        <f>SUMPRODUCT(('Intrapartum Care'!$X$7:$X$745=CG$6)*('Intrapartum Care'!$F$7:$F$745&gt;=Lists!$AE3)*('Intrapartum Care'!$F$7:$F$745&lt;=Lists!$AF3))</f>
        <v>0</v>
      </c>
      <c r="CH9" s="290">
        <f>SUMPRODUCT(('Intrapartum Care'!$X$7:$X$745=CH$6)*('Intrapartum Care'!$F$7:$F$745&gt;=Lists!$AE3)*('Intrapartum Care'!$F$7:$F$745&lt;=Lists!$AF3))</f>
        <v>0</v>
      </c>
      <c r="CI9" s="290">
        <f>SUMPRODUCT(('Intrapartum Care'!$X$7:$X$745=CI$6)*('Intrapartum Care'!$F$7:$F$745&gt;=Lists!$AE3)*('Intrapartum Care'!$F$7:$F$745&lt;=Lists!$AF3))</f>
        <v>0</v>
      </c>
      <c r="CJ9" s="290">
        <f>SUMPRODUCT(('Intrapartum Care'!$X$7:$X$745=CJ$6)*('Intrapartum Care'!$F$7:$F$745&gt;=Lists!$AE3)*('Intrapartum Care'!$F$7:$F$745&lt;=Lists!$AF3))</f>
        <v>0</v>
      </c>
      <c r="CK9" s="290">
        <f>SUMPRODUCT(('Intrapartum Care'!$X$7:$X$745=CK$6)*('Intrapartum Care'!$F$7:$F$745&gt;=Lists!$AE3)*('Intrapartum Care'!$F$7:$F$745&lt;=Lists!$AF3))</f>
        <v>0</v>
      </c>
      <c r="CL9" s="227">
        <f t="shared" ref="CL9:CL19" si="14">SUM(CE9:CK9)</f>
        <v>0</v>
      </c>
      <c r="CM9" s="290">
        <f>SUMPRODUCT(('Intrapartum Care'!$Y$7:$Y$745=CM$6)*('Intrapartum Care'!$F$7:$F$745&gt;=Lists!$AE3)*('Intrapartum Care'!$F$7:$F$745&lt;=Lists!$AF3))</f>
        <v>0</v>
      </c>
      <c r="CN9" s="290">
        <f>SUMPRODUCT(('Intrapartum Care'!$Y$7:$Y$745=CN$6)*('Intrapartum Care'!$F$7:$F$745&gt;=Lists!$AE3)*('Intrapartum Care'!$F$7:$F$745&lt;=Lists!$AF3))</f>
        <v>0</v>
      </c>
      <c r="CO9" s="290">
        <f>SUMPRODUCT(('Intrapartum Care'!$Y$7:$Y$745=CO$6)*('Intrapartum Care'!$F$7:$F$745&gt;=Lists!$AE3)*('Intrapartum Care'!$F$7:$F$745&lt;=Lists!$AF3))</f>
        <v>0</v>
      </c>
      <c r="CP9" s="290">
        <f>SUMPRODUCT(('Intrapartum Care'!$Y$7:$Y$745=CP$6)*('Intrapartum Care'!$F$7:$F$745&gt;=Lists!$AE3)*('Intrapartum Care'!$F$7:$F$745&lt;=Lists!$AF3))</f>
        <v>0</v>
      </c>
      <c r="CQ9" s="290">
        <f>SUMPRODUCT(('Intrapartum Care'!$Y$7:$Y$745=CQ$6)*('Intrapartum Care'!$F$7:$F$745&gt;=Lists!$AE3)*('Intrapartum Care'!$F$7:$F$745&lt;=Lists!$AF3))</f>
        <v>0</v>
      </c>
      <c r="CR9" s="290">
        <f>SUMPRODUCT(('Intrapartum Care'!$Y$7:$Y$745=CR$6)*('Intrapartum Care'!$F$7:$F$745&gt;=Lists!$AE3)*('Intrapartum Care'!$F$7:$F$745&lt;=Lists!$AF3))</f>
        <v>0</v>
      </c>
      <c r="CS9" s="227">
        <f t="shared" ref="CS9:CS19" si="15">SUM(CM9:CR9)</f>
        <v>0</v>
      </c>
      <c r="CT9" s="290">
        <f>SUMPRODUCT(('Intrapartum Care'!$Z$7:$Z$745=CT$6)*('Intrapartum Care'!$F$7:$F$745&gt;=Lists!$AE3)*('Intrapartum Care'!$F$7:$F$745&lt;=Lists!$AF3))</f>
        <v>0</v>
      </c>
      <c r="CU9" s="290">
        <f>SUMPRODUCT(('Intrapartum Care'!$Z$7:$Z$745=CU$6)*('Intrapartum Care'!$F$7:$F$745&gt;=Lists!$AE3)*('Intrapartum Care'!$F$7:$F$745&lt;=Lists!$AF3))</f>
        <v>0</v>
      </c>
      <c r="CV9" s="290">
        <f>SUMPRODUCT(('Intrapartum Care'!$Z$7:$Z$745=CV$6)*('Intrapartum Care'!$F$7:$F$745&gt;=Lists!$AE3)*('Intrapartum Care'!$F$7:$F$745&lt;=Lists!$AF3))</f>
        <v>0</v>
      </c>
      <c r="CW9" s="290">
        <f>SUMPRODUCT(('Intrapartum Care'!$Z$7:$Z$745=CW$6)*('Intrapartum Care'!$F$7:$F$745&gt;=Lists!$AE3)*('Intrapartum Care'!$F$7:$F$745&lt;=Lists!$AF3))</f>
        <v>0</v>
      </c>
      <c r="CX9" s="290">
        <f>SUMPRODUCT(('Intrapartum Care'!$Z$7:$Z$745=CX$6)*('Intrapartum Care'!$F$7:$F$745&gt;=Lists!$AE3)*('Intrapartum Care'!$F$7:$F$745&lt;=Lists!$AF3))</f>
        <v>0</v>
      </c>
      <c r="CY9" s="290">
        <f>SUMPRODUCT(('Intrapartum Care'!$Z$7:$Z$745=CY$6)*('Intrapartum Care'!$F$7:$F$745&gt;=Lists!$AE3)*('Intrapartum Care'!$F$7:$F$745&lt;=Lists!$AF3))</f>
        <v>0</v>
      </c>
      <c r="CZ9" s="290">
        <f>SUMPRODUCT(('Intrapartum Care'!$Z$7:$Z$745=CZ$6)*('Intrapartum Care'!$F$7:$F$745&gt;=Lists!$AE3)*('Intrapartum Care'!$F$7:$F$745&lt;=Lists!$AF3))</f>
        <v>0</v>
      </c>
      <c r="DA9" s="290">
        <f>SUMPRODUCT(('Intrapartum Care'!$Z$7:$Z$745=DA$6)*('Intrapartum Care'!$F$7:$F$745&gt;=Lists!$AE3)*('Intrapartum Care'!$F$7:$F$745&lt;=Lists!$AF3))</f>
        <v>0</v>
      </c>
      <c r="DB9" s="227">
        <f t="shared" ref="DB9:DB19" si="16">SUM(CT9:DA9)</f>
        <v>0</v>
      </c>
      <c r="DC9" s="290">
        <f>SUMPRODUCT(('Intrapartum Care'!$AA$7:$AA$745=DC$6)*('Intrapartum Care'!$F$7:$F$745&gt;=Lists!$AE3)*('Intrapartum Care'!$F$7:$F$745&lt;=Lists!$AF3))</f>
        <v>0</v>
      </c>
      <c r="DD9" s="290">
        <f>SUMPRODUCT(('Intrapartum Care'!$AA$7:$AA$745=DD$6)*('Intrapartum Care'!$F$7:$F$745&gt;=Lists!$AE3)*('Intrapartum Care'!$F$7:$F$745&lt;=Lists!$AF3))</f>
        <v>0</v>
      </c>
      <c r="DE9" s="290">
        <f>SUMPRODUCT(('Intrapartum Care'!$AA$7:$AA$745=DE$6)*('Intrapartum Care'!$F$7:$F$745&gt;=Lists!$AE3)*('Intrapartum Care'!$F$7:$F$745&lt;=Lists!$AF3))</f>
        <v>0</v>
      </c>
      <c r="DF9" s="227">
        <f t="shared" ref="DF9:DF19" si="17">SUM(DC9:DE9)</f>
        <v>0</v>
      </c>
      <c r="DG9" s="295">
        <f>SUMPRODUCT(('Intrapartum Care'!$AB$7:$AB$745=DG$6)*('Intrapartum Care'!$F$7:$F$745&gt;=Lists!$AE3)*('Intrapartum Care'!$F$7:$F$745&lt;=Lists!$AF3))</f>
        <v>0</v>
      </c>
      <c r="DH9" s="290">
        <f>SUMPRODUCT(('Intrapartum Care'!$AB$7:$AB$745=DH$6)*('Intrapartum Care'!$F$7:$F$745&gt;=Lists!$AE3)*('Intrapartum Care'!$F$7:$F$745&lt;=Lists!$AF3))</f>
        <v>0</v>
      </c>
      <c r="DI9" s="290">
        <f>SUMPRODUCT(('Intrapartum Care'!$AB$7:$AB$745=DI$6)*('Intrapartum Care'!$F$7:$F$745&gt;=Lists!$AE3)*('Intrapartum Care'!$F$7:$F$745&lt;=Lists!$AF3))</f>
        <v>0</v>
      </c>
      <c r="DJ9" s="290">
        <f>SUMPRODUCT(('Intrapartum Care'!$AB$7:$AB$745=DJ$6)*('Intrapartum Care'!$F$7:$F$745&gt;=Lists!$AE3)*('Intrapartum Care'!$F$7:$F$745&lt;=Lists!$AF3))</f>
        <v>0</v>
      </c>
      <c r="DK9" s="290">
        <f>SUMPRODUCT(('Intrapartum Care'!$AB$7:$AB$745=DK$6)*('Intrapartum Care'!$F$7:$F$745&gt;=Lists!$AE3)*('Intrapartum Care'!$F$7:$F$745&lt;=Lists!$AF3))</f>
        <v>0</v>
      </c>
      <c r="DL9" s="290">
        <f>SUMPRODUCT(('Intrapartum Care'!$AB$7:$AB$745=DL$6)*('Intrapartum Care'!$F$7:$F$745&gt;=Lists!$AE3)*('Intrapartum Care'!$F$7:$F$745&lt;=Lists!$AF3))</f>
        <v>0</v>
      </c>
      <c r="DM9" s="290">
        <f>SUMPRODUCT(('Intrapartum Care'!$AB$7:$AB$745=DM$6)*('Intrapartum Care'!$F$7:$F$745&gt;=Lists!$AE3)*('Intrapartum Care'!$F$7:$F$745&lt;=Lists!$AF3))</f>
        <v>0</v>
      </c>
      <c r="DN9" s="227">
        <f t="shared" ref="DN9:DN19" si="18">SUM(DG9:DM9)</f>
        <v>0</v>
      </c>
      <c r="DO9" s="528">
        <f>SUMPRODUCT(('Intrapartum Care'!$AC$7:$AC$745=DO$6)*('Intrapartum Care'!$F$7:$F$745&gt;=Lists!$AE3)*('Intrapartum Care'!$F$7:$F$745&lt;=Lists!$AF3))</f>
        <v>0</v>
      </c>
      <c r="DP9" s="528">
        <f>SUMPRODUCT(('Intrapartum Care'!$AC$7:$AC$745=DP$6)*('Intrapartum Care'!$F$7:$F$745&gt;=Lists!$AE3)*('Intrapartum Care'!$F$7:$F$745&lt;=Lists!$AF3))</f>
        <v>0</v>
      </c>
      <c r="DQ9" s="528">
        <f>SUMPRODUCT(('Intrapartum Care'!$AC$7:$AC$745=DQ$6)*('Intrapartum Care'!$F$7:$F$745&gt;=Lists!$AE3)*('Intrapartum Care'!$F$7:$F$745&lt;=Lists!$AF3))</f>
        <v>0</v>
      </c>
      <c r="DR9" s="528">
        <f>SUMPRODUCT(('Intrapartum Care'!$AC$7:$AC$745=DR$6)*('Intrapartum Care'!$F$7:$F$745&gt;=Lists!$AE3)*('Intrapartum Care'!$F$7:$F$745&lt;=Lists!$AF3))</f>
        <v>0</v>
      </c>
      <c r="DS9" s="528">
        <f>SUMPRODUCT(('Intrapartum Care'!$AC$7:$AC$745=DS$6)*('Intrapartum Care'!$F$7:$F$745&gt;=Lists!$AE3)*('Intrapartum Care'!$F$7:$F$745&lt;=Lists!$AF3))</f>
        <v>0</v>
      </c>
      <c r="DT9" s="528">
        <f>SUMPRODUCT(('Intrapartum Care'!$AC$7:$AC$745=DT$6)*('Intrapartum Care'!$F$7:$F$745&gt;=Lists!$AE3)*('Intrapartum Care'!$F$7:$F$745&lt;=Lists!$AF3))</f>
        <v>0</v>
      </c>
      <c r="DU9" s="528">
        <f>SUMPRODUCT(('Intrapartum Care'!$AC$7:$AC$745=DU$6)*('Intrapartum Care'!$F$7:$F$745&gt;=Lists!$AE3)*('Intrapartum Care'!$F$7:$F$745&lt;=Lists!$AF3))</f>
        <v>0</v>
      </c>
      <c r="DV9" s="528">
        <f>SUMPRODUCT(('Intrapartum Care'!$AC$7:$AC$745=DV$6)*('Intrapartum Care'!$F$7:$F$745&gt;=Lists!$AE3)*('Intrapartum Care'!$F$7:$F$745&lt;=Lists!$AF3))</f>
        <v>0</v>
      </c>
      <c r="DW9" s="528">
        <f>SUMPRODUCT(('Intrapartum Care'!$AC$7:$AC$745=DW$6)*('Intrapartum Care'!$F$7:$F$745&gt;=Lists!$AE3)*('Intrapartum Care'!$F$7:$F$745&lt;=Lists!$AF3))</f>
        <v>0</v>
      </c>
      <c r="DX9" s="227">
        <f t="shared" ref="DX9:DX19" si="19">SUM(DO9:DW9)</f>
        <v>0</v>
      </c>
      <c r="DY9" s="295">
        <f>SUMPRODUCT(('Intrapartum Care'!$AE$7:$AE$745=DY$6)*('Intrapartum Care'!$F$7:$F$745&gt;=Lists!$AE3)*('Intrapartum Care'!$F$7:$F$745&lt;=Lists!$AF3))</f>
        <v>0</v>
      </c>
      <c r="DZ9" s="295">
        <f>SUMPRODUCT(('Intrapartum Care'!$AE$7:$AE$745=DZ$6)*('Intrapartum Care'!$F$7:$F$745&gt;=Lists!$AE3)*('Intrapartum Care'!$F$7:$F$745&lt;=Lists!$AF3))</f>
        <v>0</v>
      </c>
      <c r="EA9" s="295">
        <f>SUMPRODUCT(('Intrapartum Care'!$AE$7:$AE$745=EA$6)*('Intrapartum Care'!$F$7:$F$745&gt;=Lists!$AE3)*('Intrapartum Care'!$F$7:$F$745&lt;=Lists!$AF3))</f>
        <v>0</v>
      </c>
      <c r="EB9" s="227">
        <f t="shared" ref="EB9:EB19" si="20">SUM(DY9:EA9)</f>
        <v>0</v>
      </c>
      <c r="EC9" s="295">
        <f>SUMPRODUCT(('Intrapartum Care'!$AF$7:$AF$745=EC$6)*('Intrapartum Care'!$F$7:$F$745&gt;=Lists!$AE3)*('Intrapartum Care'!$F$7:$F$745&lt;=Lists!$AF3))</f>
        <v>0</v>
      </c>
      <c r="ED9" s="295">
        <f>SUMPRODUCT(('Intrapartum Care'!$AF$7:$AF$745=ED$6)*('Intrapartum Care'!$F$7:$F$745&gt;=Lists!$AE3)*('Intrapartum Care'!$F$7:$F$745&lt;=Lists!$AF3))</f>
        <v>0</v>
      </c>
      <c r="EE9" s="295">
        <f>SUMPRODUCT(('Intrapartum Care'!$AF$7:$AF$745=EE$6)*('Intrapartum Care'!$F$7:$F$745&gt;=Lists!$AE3)*('Intrapartum Care'!$F$7:$F$745&lt;=Lists!$AF3))</f>
        <v>0</v>
      </c>
      <c r="EF9" s="295">
        <f>SUMPRODUCT(('Intrapartum Care'!$AF$7:$AF$745=EF$6)*('Intrapartum Care'!$F$7:$F$745&gt;=Lists!$AE3)*('Intrapartum Care'!$F$7:$F$745&lt;=Lists!$AF3))</f>
        <v>0</v>
      </c>
      <c r="EG9" s="295">
        <f>SUMPRODUCT(('Intrapartum Care'!$AF$7:$AF$745=EG$6)*('Intrapartum Care'!$F$7:$F$745&gt;=Lists!$AE3)*('Intrapartum Care'!$F$7:$F$745&lt;=Lists!$AF3))</f>
        <v>0</v>
      </c>
      <c r="EH9" s="227">
        <f t="shared" ref="EH9:EH19" si="21">SUM(EC9:EG9)</f>
        <v>0</v>
      </c>
      <c r="EI9" s="295">
        <f>SUMPRODUCT(('Intrapartum Care'!$AG$7:$AG$745=EI$6)*('Intrapartum Care'!$F$7:$F$745&gt;=Lists!$AE3)*('Intrapartum Care'!$F$7:$F$745&lt;=Lists!$AF3))</f>
        <v>0</v>
      </c>
      <c r="EJ9" s="295">
        <f>SUMPRODUCT(('Intrapartum Care'!$AG$7:$AG$745=EJ$6)*('Intrapartum Care'!$F$7:$F$745&gt;=Lists!$AE3)*('Intrapartum Care'!$F$7:$F$745&lt;=Lists!$AF3))</f>
        <v>0</v>
      </c>
      <c r="EK9" s="295">
        <f>SUMPRODUCT(('Intrapartum Care'!$AG$7:$AG$745=EK$6)*('Intrapartum Care'!$F$7:$F$745&gt;=Lists!$AE3)*('Intrapartum Care'!$F$7:$F$745&lt;=Lists!$AF3))</f>
        <v>0</v>
      </c>
      <c r="EL9" s="295">
        <f>SUMPRODUCT(('Intrapartum Care'!$AG$7:$AG$745=EL$6)*('Intrapartum Care'!$F$7:$F$745&gt;=Lists!$AE3)*('Intrapartum Care'!$F$7:$F$745&lt;=Lists!$AF3))</f>
        <v>0</v>
      </c>
      <c r="EM9" s="295">
        <f>SUMPRODUCT(('Intrapartum Care'!$AG$7:$AG$745=EM$6)*('Intrapartum Care'!$F$7:$F$745&gt;=Lists!$AE3)*('Intrapartum Care'!$F$7:$F$745&lt;=Lists!$AF3))</f>
        <v>0</v>
      </c>
      <c r="EN9" s="295">
        <f>SUMPRODUCT(('Intrapartum Care'!$AG$7:$AG$745=EN$6)*('Intrapartum Care'!$F$7:$F$745&gt;=Lists!$AE3)*('Intrapartum Care'!$F$7:$F$745&lt;=Lists!$AF3))</f>
        <v>0</v>
      </c>
      <c r="EO9" s="227">
        <f t="shared" ref="EO9:EO19" si="22">SUM(EI9:EN9)</f>
        <v>0</v>
      </c>
      <c r="EP9" s="295">
        <f>SUMPRODUCT(('Intrapartum Care'!$AH$7:$AH$745=EP$6)*('Intrapartum Care'!$F$7:$F$745&gt;=Lists!$AE3)*('Intrapartum Care'!$F$7:$F$745&lt;=Lists!$AF3))</f>
        <v>0</v>
      </c>
      <c r="EQ9" s="295">
        <f>SUMPRODUCT(('Intrapartum Care'!$AH$7:$AH$745=EQ$6)*('Intrapartum Care'!$F$7:$F$745&gt;=Lists!$AE3)*('Intrapartum Care'!$F$7:$F$745&lt;=Lists!$AF3))</f>
        <v>0</v>
      </c>
      <c r="ER9" s="295">
        <f>SUMPRODUCT(('Intrapartum Care'!$AH$7:$AH$745=ER$6)*('Intrapartum Care'!$F$7:$F$745&gt;=Lists!$AE3)*('Intrapartum Care'!$F$7:$F$745&lt;=Lists!$AF3))</f>
        <v>0</v>
      </c>
      <c r="ES9" s="227">
        <f t="shared" ref="ES9:ES19" si="23">SUM(EP9:ER9)</f>
        <v>0</v>
      </c>
      <c r="ET9" s="290">
        <f>SUMPRODUCT(('Intrapartum Care'!$AK$7:$AK$745=ET$6)*('Intrapartum Care'!$F$7:$F$745&gt;=Lists!$AE3)*('Intrapartum Care'!$F$7:$F$745&lt;=Lists!$AF3))</f>
        <v>0</v>
      </c>
      <c r="EU9" s="290">
        <f>SUMPRODUCT(('Intrapartum Care'!$AK$7:$AK$745=EU$6)*('Intrapartum Care'!$F$7:$F$745&gt;=Lists!$AE3)*('Intrapartum Care'!$F$7:$F$745&lt;=Lists!$AF3))</f>
        <v>0</v>
      </c>
      <c r="EV9" s="290">
        <f>SUMPRODUCT(('Intrapartum Care'!$AK$7:$AK$745=EV$6)*('Intrapartum Care'!$F$7:$F$745&gt;=Lists!$AE3)*('Intrapartum Care'!$F$7:$F$745&lt;=Lists!$AF3))</f>
        <v>0</v>
      </c>
      <c r="EW9" s="227">
        <f t="shared" ref="EW9:EW19" si="24">SUM(ET9:EV9)</f>
        <v>0</v>
      </c>
      <c r="EX9" s="290">
        <f>SUMPRODUCT(('Intrapartum Care'!$AL$7:$AL$745=EX$6)*('Intrapartum Care'!$F$7:$F$745&gt;=Lists!$AE3)*('Intrapartum Care'!$F$7:$F$745&lt;=Lists!$AF3))</f>
        <v>0</v>
      </c>
      <c r="EY9" s="290">
        <f>SUMPRODUCT(('Intrapartum Care'!$AL$7:$AL$745=EY$6)*('Intrapartum Care'!$F$7:$F$745&gt;=Lists!$AE3)*('Intrapartum Care'!$F$7:$F$745&lt;=Lists!$AF3))</f>
        <v>0</v>
      </c>
      <c r="EZ9" s="290">
        <f>SUMPRODUCT(('Intrapartum Care'!$AL$7:$AL$745=EZ$6)*('Intrapartum Care'!$F$7:$F$745&gt;=Lists!$AE3)*('Intrapartum Care'!$F$7:$F$745&lt;=Lists!$AF3))</f>
        <v>0</v>
      </c>
      <c r="FA9" s="227">
        <f t="shared" si="0"/>
        <v>0</v>
      </c>
      <c r="FB9" s="290">
        <f>SUMPRODUCT(('Intrapartum Care'!$AM$7:$AM$745=FB$6)*('Intrapartum Care'!$F$7:$F$745&gt;=Lists!$AE3)*('Intrapartum Care'!$F$7:$F$745&lt;=Lists!$AF3))</f>
        <v>0</v>
      </c>
      <c r="FC9" s="290">
        <f>SUMPRODUCT(('Intrapartum Care'!$AM$7:$AM$745=FC$6)*('Intrapartum Care'!$F$7:$F$745&gt;=Lists!$AE3)*('Intrapartum Care'!$F$7:$F$745&lt;=Lists!$AF3))</f>
        <v>0</v>
      </c>
      <c r="FD9" s="290">
        <f>SUMPRODUCT(('Intrapartum Care'!$AM$7:$AM$745=FD$6)*('Intrapartum Care'!$F$7:$F$745&gt;=Lists!$AE3)*('Intrapartum Care'!$F$7:$F$745&lt;=Lists!$AF3))</f>
        <v>0</v>
      </c>
      <c r="FE9" s="290">
        <f>SUMPRODUCT(('Intrapartum Care'!$AM$7:$AM$745=FE$6)*('Intrapartum Care'!$F$7:$F$745&gt;=Lists!$AE3)*('Intrapartum Care'!$F$7:$F$745&lt;=Lists!$AF3))</f>
        <v>0</v>
      </c>
      <c r="FF9" s="290">
        <f>SUMPRODUCT(('Intrapartum Care'!$AM$7:$AM$745=FF$6)*('Intrapartum Care'!$F$7:$F$745&gt;=Lists!$AE3)*('Intrapartum Care'!$F$7:$F$745&lt;=Lists!$AF3))</f>
        <v>0</v>
      </c>
      <c r="FG9" s="227">
        <f t="shared" ref="FG9:FG19" si="25">SUM(FB9:FF9)</f>
        <v>0</v>
      </c>
      <c r="FH9" s="290">
        <f>SUMPRODUCT(('Intrapartum Care'!$AN$7:$AN$745=FH$6)*('Intrapartum Care'!$F$7:$F$745&gt;=Lists!$AE3)*('Intrapartum Care'!$F$7:$F$745&lt;=Lists!$AF3))</f>
        <v>0</v>
      </c>
      <c r="FI9" s="290">
        <f>SUMPRODUCT(('Intrapartum Care'!$AN$7:$AN$745=FI$6)*('Intrapartum Care'!$F$7:$F$745&gt;=Lists!$AE3)*('Intrapartum Care'!$F$7:$F$745&lt;=Lists!$AF3))</f>
        <v>0</v>
      </c>
      <c r="FJ9" s="290">
        <f>SUMPRODUCT(('Intrapartum Care'!$AN$7:$AN$745=FJ$6)*('Intrapartum Care'!$F$7:$F$745&gt;=Lists!$AE3)*('Intrapartum Care'!$F$7:$F$745&lt;=Lists!$AF3))</f>
        <v>0</v>
      </c>
      <c r="FK9" s="290">
        <f>SUMPRODUCT(('Intrapartum Care'!$AN$7:$AN$745=FK$6)*('Intrapartum Care'!$F$7:$F$745&gt;=Lists!$AE3)*('Intrapartum Care'!$F$7:$F$745&lt;=Lists!$AF3))</f>
        <v>0</v>
      </c>
      <c r="FL9" s="227">
        <f t="shared" ref="FL9:FL19" si="26">SUM(FH9:FK9)</f>
        <v>0</v>
      </c>
      <c r="FM9" s="290">
        <f>SUMPRODUCT(('Intrapartum Care'!$AS$7:$AS$745=FM$6)*('Intrapartum Care'!$F$7:$F$745&gt;=Lists!$AE3)*('Intrapartum Care'!$F$7:$F$745&lt;=Lists!$AF3))</f>
        <v>0</v>
      </c>
      <c r="FN9" s="290">
        <f>SUMPRODUCT(('Intrapartum Care'!$AS$7:$AS$745=FN$6)*('Intrapartum Care'!$F$7:$F$745&gt;=Lists!$AE3)*('Intrapartum Care'!$F$7:$F$745&lt;=Lists!$AF3))</f>
        <v>0</v>
      </c>
      <c r="FO9" s="290">
        <f>SUMPRODUCT(('Intrapartum Care'!$AS$7:$AS$745=FO$6)*('Intrapartum Care'!$F$7:$F$745&gt;=Lists!$AE3)*('Intrapartum Care'!$F$7:$F$745&lt;=Lists!$AF3))</f>
        <v>0</v>
      </c>
      <c r="FP9" s="290">
        <f>SUMPRODUCT(('Intrapartum Care'!$AS$7:$AS$745=FP$6)*('Intrapartum Care'!$F$7:$F$745&gt;=Lists!$AE3)*('Intrapartum Care'!$F$7:$F$745&lt;=Lists!$AF3))</f>
        <v>0</v>
      </c>
      <c r="FQ9" s="227">
        <f t="shared" ref="FQ9:FQ19" si="27">SUM(FM9:FP9)</f>
        <v>0</v>
      </c>
      <c r="FR9" s="290">
        <f>SUMPRODUCT(('Intrapartum Care'!$AZ$7:$AZ$745=FR$6)*('Intrapartum Care'!$F$7:$F$745&gt;=Lists!$AE3)*('Intrapartum Care'!$F$7:$F$745&lt;=Lists!$AF3))</f>
        <v>0</v>
      </c>
      <c r="FS9" s="290">
        <f>SUMPRODUCT(('Intrapartum Care'!$AZ$7:$AZ$745=FS$6)*('Intrapartum Care'!$F$7:$F$745&gt;=Lists!$AE3)*('Intrapartum Care'!$F$7:$F$745&lt;=Lists!$AF3))</f>
        <v>0</v>
      </c>
      <c r="FT9" s="290">
        <f>SUMPRODUCT(('Intrapartum Care'!$AZ$7:$AZ$745=FT$6)*('Intrapartum Care'!$F$7:$F$745&gt;=Lists!$AE3)*('Intrapartum Care'!$F$7:$F$745&lt;=Lists!$AF3))</f>
        <v>0</v>
      </c>
      <c r="FU9" s="227">
        <f t="shared" ref="FU9:FU19" si="28">SUM(FR9:FT9)</f>
        <v>0</v>
      </c>
      <c r="FV9" s="290">
        <f>SUMPRODUCT(('Intrapartum Care'!$BA$7:$BA$745=FV$6)*('Intrapartum Care'!$F$7:$F$745&gt;=Lists!$AE3)*('Intrapartum Care'!$F$7:$F$745&lt;=Lists!$AF3))</f>
        <v>0</v>
      </c>
      <c r="FW9" s="290">
        <f>SUMPRODUCT(('Intrapartum Care'!$BA$7:$BA$745=FW$6)*('Intrapartum Care'!$F$7:$F$745&gt;=Lists!$AE3)*('Intrapartum Care'!$F$7:$F$745&lt;=Lists!$AF3))</f>
        <v>0</v>
      </c>
      <c r="FX9" s="290">
        <f>SUMPRODUCT(('Intrapartum Care'!$BA$7:$BA$745=FX$6)*('Intrapartum Care'!$F$7:$F$745&gt;=Lists!$AE3)*('Intrapartum Care'!$F$7:$F$745&lt;=Lists!$AF3))</f>
        <v>0</v>
      </c>
      <c r="FY9" s="227">
        <f t="shared" ref="FY9:FY19" si="29">SUM(FV9:FX9)</f>
        <v>0</v>
      </c>
      <c r="FZ9" s="290">
        <f>SUMPRODUCT(('Intrapartum Care'!$BB$7:$BB$745=FZ$6)*('Intrapartum Care'!$F$7:$F$745&gt;=Lists!$AE3)*('Intrapartum Care'!$F$7:$F$745&lt;=Lists!$AF3))</f>
        <v>0</v>
      </c>
      <c r="GA9" s="290">
        <f>SUMPRODUCT(('Intrapartum Care'!$BB$7:$BB$745=GA$6)*('Intrapartum Care'!$F$7:$F$745&gt;=Lists!$AE3)*('Intrapartum Care'!$F$7:$F$745&lt;=Lists!$AF3))</f>
        <v>0</v>
      </c>
      <c r="GB9" s="290">
        <f>SUMPRODUCT(('Intrapartum Care'!$BB$7:$BB$745=GB$6)*('Intrapartum Care'!$F$7:$F$745&gt;=Lists!$AE3)*('Intrapartum Care'!$F$7:$F$745&lt;=Lists!$AF3))</f>
        <v>0</v>
      </c>
      <c r="GC9" s="290">
        <f>SUMPRODUCT(('Intrapartum Care'!$BB$7:$BB$745=GC$6)*('Intrapartum Care'!$F$7:$F$745&gt;=Lists!$AE3)*('Intrapartum Care'!$F$7:$F$745&lt;=Lists!$AF3))</f>
        <v>0</v>
      </c>
      <c r="GD9" s="290">
        <f>SUMPRODUCT(('Intrapartum Care'!$BB$7:$BB$745=GD$6)*('Intrapartum Care'!$F$7:$F$745&gt;=Lists!$AE3)*('Intrapartum Care'!$F$7:$F$745&lt;=Lists!$AF3))</f>
        <v>0</v>
      </c>
      <c r="GE9" s="290">
        <f>SUMPRODUCT(('Intrapartum Care'!$BB$7:$BB$745=GE$6)*('Intrapartum Care'!$F$7:$F$745&gt;=Lists!$AE3)*('Intrapartum Care'!$F$7:$F$745&lt;=Lists!$AF3))</f>
        <v>0</v>
      </c>
      <c r="GF9" s="290">
        <f>SUMPRODUCT(('Intrapartum Care'!$BB$7:$BB$745=GF$6)*('Intrapartum Care'!$F$7:$F$745&gt;=Lists!$AE3)*('Intrapartum Care'!$F$7:$F$745&lt;=Lists!$AF3))</f>
        <v>0</v>
      </c>
      <c r="GG9" s="290">
        <f>SUMPRODUCT(('Intrapartum Care'!$BB$7:$BB$745=GG$6)*('Intrapartum Care'!$F$7:$F$745&gt;=Lists!$AE3)*('Intrapartum Care'!$F$7:$F$745&lt;=Lists!$AF3))</f>
        <v>0</v>
      </c>
      <c r="GH9" s="290">
        <f>SUMPRODUCT(('Intrapartum Care'!$BB$7:$BB$745=GH$6)*('Intrapartum Care'!$F$7:$F$745&gt;=Lists!$AE3)*('Intrapartum Care'!$F$7:$F$745&lt;=Lists!$AF3))</f>
        <v>0</v>
      </c>
      <c r="GI9" s="290">
        <f>SUMPRODUCT(('Intrapartum Care'!$BB$7:$BB$745=GI$6)*('Intrapartum Care'!$F$7:$F$745&gt;=Lists!$AE3)*('Intrapartum Care'!$F$7:$F$745&lt;=Lists!$AF3))</f>
        <v>0</v>
      </c>
      <c r="GJ9" s="290">
        <f>SUMPRODUCT(('Intrapartum Care'!$BB$7:$BB$745=GJ$6)*('Intrapartum Care'!$F$7:$F$745&gt;=Lists!$AE3)*('Intrapartum Care'!$F$7:$F$745&lt;=Lists!$AF3))</f>
        <v>0</v>
      </c>
      <c r="GK9" s="290">
        <f>SUMPRODUCT(('Intrapartum Care'!$BB$7:$BB$745=GK$6)*('Intrapartum Care'!$F$7:$F$745&gt;=Lists!$AE3)*('Intrapartum Care'!$F$7:$F$745&lt;=Lists!$AF3))</f>
        <v>0</v>
      </c>
      <c r="GL9" s="290">
        <f>SUMPRODUCT(('Intrapartum Care'!$BB$7:$BB$745=GL$6)*('Intrapartum Care'!$F$7:$F$745&gt;=Lists!$AE3)*('Intrapartum Care'!$F$7:$F$745&lt;=Lists!$AF3))</f>
        <v>0</v>
      </c>
      <c r="GM9" s="290">
        <f>SUMPRODUCT(('Intrapartum Care'!$BB$7:$BB$745=GM$6)*('Intrapartum Care'!$F$7:$F$745&gt;=Lists!$AE3)*('Intrapartum Care'!$F$7:$F$745&lt;=Lists!$AF3))</f>
        <v>0</v>
      </c>
      <c r="GN9" s="290">
        <f>SUMPRODUCT(('Intrapartum Care'!$BB$7:$BB$745=GN$6)*('Intrapartum Care'!$F$7:$F$745&gt;=Lists!$AE3)*('Intrapartum Care'!$F$7:$F$745&lt;=Lists!$AF3))</f>
        <v>0</v>
      </c>
      <c r="GO9" s="290">
        <f>SUMPRODUCT(('Intrapartum Care'!$BB$7:$BB$745=GO$6)*('Intrapartum Care'!$F$7:$F$745&gt;=Lists!$AE3)*('Intrapartum Care'!$F$7:$F$745&lt;=Lists!$AF3))</f>
        <v>0</v>
      </c>
      <c r="GP9" s="290">
        <f>SUMPRODUCT(('Intrapartum Care'!$BB$7:$BB$745=GP$6)*('Intrapartum Care'!$F$7:$F$745&gt;=Lists!$AE3)*('Intrapartum Care'!$F$7:$F$745&lt;=Lists!$AF3))</f>
        <v>0</v>
      </c>
      <c r="GQ9" s="290">
        <f>SUMPRODUCT(('Intrapartum Care'!$BB$7:$BB$745=GQ$6)*('Intrapartum Care'!$F$7:$F$745&gt;=Lists!$AE3)*('Intrapartum Care'!$F$7:$F$745&lt;=Lists!$AF3))</f>
        <v>0</v>
      </c>
      <c r="GR9" s="290">
        <f>SUMPRODUCT(('Intrapartum Care'!$BB$7:$BB$745=GR$6)*('Intrapartum Care'!$F$7:$F$745&gt;=Lists!$AE3)*('Intrapartum Care'!$F$7:$F$745&lt;=Lists!$AF3))</f>
        <v>0</v>
      </c>
      <c r="GS9" s="290">
        <f>SUMPRODUCT(('Intrapartum Care'!$BB$7:$BB$745=GS$6)*('Intrapartum Care'!$F$7:$F$745&gt;=Lists!$AE3)*('Intrapartum Care'!$F$7:$F$745&lt;=Lists!$AF3))</f>
        <v>0</v>
      </c>
      <c r="GT9" s="227">
        <f t="shared" ref="GT9:GT19" si="30">SUM(FZ9:GS9)</f>
        <v>0</v>
      </c>
      <c r="GU9" s="290">
        <f>SUMPRODUCT(('Intrapartum Care'!$BC$7:$BC$745=GU$6)*('Intrapartum Care'!$F$7:$F$745&gt;=Lists!$AE3)*('Intrapartum Care'!$F$7:$F$745&lt;=Lists!$AF3))</f>
        <v>0</v>
      </c>
      <c r="GV9" s="290">
        <f>SUMPRODUCT(('Intrapartum Care'!$BC$7:$BC$745=GV$6)*('Intrapartum Care'!$F$7:$F$745&gt;=Lists!$AE3)*('Intrapartum Care'!$F$7:$F$745&lt;=Lists!$AF3))</f>
        <v>0</v>
      </c>
      <c r="GW9" s="290">
        <f>SUMPRODUCT(('Intrapartum Care'!$BC$7:$BC$745=GW$6)*('Intrapartum Care'!$F$7:$F$745&gt;=Lists!$AE3)*('Intrapartum Care'!$F$7:$F$745&lt;=Lists!$AF3))</f>
        <v>0</v>
      </c>
      <c r="GX9" s="290">
        <f>SUMPRODUCT(('Intrapartum Care'!$BC$7:$BC$745=GX$6)*('Intrapartum Care'!$F$7:$F$745&gt;=Lists!$AE3)*('Intrapartum Care'!$F$7:$F$745&lt;=Lists!$AF3))</f>
        <v>0</v>
      </c>
      <c r="GY9" s="290">
        <f>SUMPRODUCT(('Intrapartum Care'!$BC$7:$BC$745=GY$6)*('Intrapartum Care'!$F$7:$F$745&gt;=Lists!$AE3)*('Intrapartum Care'!$F$7:$F$745&lt;=Lists!$AF3))</f>
        <v>0</v>
      </c>
      <c r="GZ9" s="290">
        <f>SUMPRODUCT(('Intrapartum Care'!$BC$7:$BC$745=GZ$6)*('Intrapartum Care'!$F$7:$F$745&gt;=Lists!$AE3)*('Intrapartum Care'!$F$7:$F$745&lt;=Lists!$AF3))</f>
        <v>0</v>
      </c>
      <c r="HA9" s="290">
        <f>SUMPRODUCT(('Intrapartum Care'!$BC$7:$BC$745=HA$6)*('Intrapartum Care'!$F$7:$F$745&gt;=Lists!$AE3)*('Intrapartum Care'!$F$7:$F$745&lt;=Lists!$AF3))</f>
        <v>0</v>
      </c>
      <c r="HB9" s="290">
        <f>SUMPRODUCT(('Intrapartum Care'!$BC$7:$BC$745=HB$6)*('Intrapartum Care'!$F$7:$F$745&gt;=Lists!$AE3)*('Intrapartum Care'!$F$7:$F$745&lt;=Lists!$AF3))</f>
        <v>0</v>
      </c>
      <c r="HC9" s="290">
        <f>SUMPRODUCT(('Intrapartum Care'!$BC$7:$BC$745=HC$6)*('Intrapartum Care'!$F$7:$F$745&gt;=Lists!$AE3)*('Intrapartum Care'!$F$7:$F$745&lt;=Lists!$AF3))</f>
        <v>0</v>
      </c>
      <c r="HD9" s="290">
        <f>SUMPRODUCT(('Intrapartum Care'!$BC$7:$BC$745=HD$6)*('Intrapartum Care'!$F$7:$F$745&gt;=Lists!$AE3)*('Intrapartum Care'!$F$7:$F$745&lt;=Lists!$AF3))</f>
        <v>0</v>
      </c>
      <c r="HE9" s="290">
        <f>SUMPRODUCT(('Intrapartum Care'!$BC$7:$BC$745=HE$6)*('Intrapartum Care'!$F$7:$F$745&gt;=Lists!$AE3)*('Intrapartum Care'!$F$7:$F$745&lt;=Lists!$AF3))</f>
        <v>0</v>
      </c>
      <c r="HF9" s="227">
        <f t="shared" ref="HF9:HF19" si="31">SUM(GU9:HE9)</f>
        <v>0</v>
      </c>
      <c r="HG9" s="290">
        <f>SUMPRODUCT(('Intrapartum Care'!$BD$7:$BD$745=HG$6)*('Intrapartum Care'!$F$7:$F$745&gt;=Lists!$AE3)*('Intrapartum Care'!$F$7:$F$745&lt;=Lists!$AF3))</f>
        <v>0</v>
      </c>
      <c r="HH9" s="290">
        <f>SUMPRODUCT(('Intrapartum Care'!$BD$7:$BD$745=HH$6)*('Intrapartum Care'!$F$7:$F$745&gt;=Lists!$AE3)*('Intrapartum Care'!$F$7:$F$745&lt;=Lists!$AF3))</f>
        <v>0</v>
      </c>
      <c r="HI9" s="290">
        <f>SUMPRODUCT(('Intrapartum Care'!$BD$7:$BD$745=HI$6)*('Intrapartum Care'!$F$7:$F$745&gt;=Lists!$AE3)*('Intrapartum Care'!$F$7:$F$745&lt;=Lists!$AF3))</f>
        <v>0</v>
      </c>
      <c r="HJ9" s="290">
        <f>SUMPRODUCT(('Intrapartum Care'!$BD$7:$BD$745=HJ$6)*('Intrapartum Care'!$F$7:$F$745&gt;=Lists!$AE3)*('Intrapartum Care'!$F$7:$F$745&lt;=Lists!$AF3))</f>
        <v>0</v>
      </c>
      <c r="HK9" s="290">
        <f>SUMPRODUCT(('Intrapartum Care'!$BD$7:$BD$745=HK$6)*('Intrapartum Care'!$F$7:$F$745&gt;=Lists!$AE3)*('Intrapartum Care'!$F$7:$F$745&lt;=Lists!$AF3))</f>
        <v>0</v>
      </c>
      <c r="HL9" s="290">
        <f>SUMPRODUCT(('Intrapartum Care'!$BD$7:$BD$745=HL$6)*('Intrapartum Care'!$F$7:$F$745&gt;=Lists!$AE3)*('Intrapartum Care'!$F$7:$F$745&lt;=Lists!$AF3))</f>
        <v>0</v>
      </c>
      <c r="HM9" s="290">
        <f>SUMPRODUCT(('Intrapartum Care'!$BD$7:$BD$745=HM$6)*('Intrapartum Care'!$F$7:$F$745&gt;=Lists!$AE3)*('Intrapartum Care'!$F$7:$F$745&lt;=Lists!$AF3))</f>
        <v>0</v>
      </c>
      <c r="HN9" s="290">
        <f>SUMPRODUCT(('Intrapartum Care'!$BD$7:$BD$745=HN$6)*('Intrapartum Care'!$F$7:$F$745&gt;=Lists!$AE3)*('Intrapartum Care'!$F$7:$F$745&lt;=Lists!$AF3))</f>
        <v>0</v>
      </c>
      <c r="HO9" s="290">
        <f>SUMPRODUCT(('Intrapartum Care'!$BD$7:$BD$745=HO$6)*('Intrapartum Care'!$F$7:$F$745&gt;=Lists!$AE3)*('Intrapartum Care'!$F$7:$F$745&lt;=Lists!$AF3))</f>
        <v>0</v>
      </c>
      <c r="HP9" s="290">
        <f>SUMPRODUCT(('Intrapartum Care'!$BD$7:$BD$745=HP$6)*('Intrapartum Care'!$F$7:$F$745&gt;=Lists!$AE3)*('Intrapartum Care'!$F$7:$F$745&lt;=Lists!$AF3))</f>
        <v>0</v>
      </c>
      <c r="HQ9" s="290">
        <f>SUMPRODUCT(('Intrapartum Care'!$BD$7:$BD$745=HQ$6)*('Intrapartum Care'!$F$7:$F$745&gt;=Lists!$AE3)*('Intrapartum Care'!$F$7:$F$745&lt;=Lists!$AF3))</f>
        <v>0</v>
      </c>
      <c r="HR9" s="290">
        <f>SUMPRODUCT(('Intrapartum Care'!$BD$7:$BD$745=HR$6)*('Intrapartum Care'!$F$7:$F$745&gt;=Lists!$AE3)*('Intrapartum Care'!$F$7:$F$745&lt;=Lists!$AF3))</f>
        <v>0</v>
      </c>
      <c r="HS9" s="290">
        <f>SUMPRODUCT(('Intrapartum Care'!$BD$7:$BD$745=HS$6)*('Intrapartum Care'!$F$7:$F$745&gt;=Lists!$AE3)*('Intrapartum Care'!$F$7:$F$745&lt;=Lists!$AF3))</f>
        <v>0</v>
      </c>
      <c r="HT9" s="290">
        <f>SUMPRODUCT(('Intrapartum Care'!$BD$7:$BD$745=HT$6)*('Intrapartum Care'!$F$7:$F$745&gt;=Lists!$AE3)*('Intrapartum Care'!$F$7:$F$745&lt;=Lists!$AF3))</f>
        <v>0</v>
      </c>
      <c r="HU9" s="290">
        <f>SUMPRODUCT(('Intrapartum Care'!$BD$7:$BD$745=HU$6)*('Intrapartum Care'!$F$7:$F$745&gt;=Lists!$AE3)*('Intrapartum Care'!$F$7:$F$745&lt;=Lists!$AF3))</f>
        <v>0</v>
      </c>
      <c r="HV9" s="290">
        <f>SUMPRODUCT(('Intrapartum Care'!$BD$7:$BD$745=HV$6)*('Intrapartum Care'!$F$7:$F$745&gt;=Lists!$AE3)*('Intrapartum Care'!$F$7:$F$745&lt;=Lists!$AF3))</f>
        <v>0</v>
      </c>
      <c r="HW9" s="290">
        <f>SUMPRODUCT(('Intrapartum Care'!$BD$7:$BD$745=HW$6)*('Intrapartum Care'!$F$7:$F$745&gt;=Lists!$AE3)*('Intrapartum Care'!$F$7:$F$745&lt;=Lists!$AF3))</f>
        <v>0</v>
      </c>
      <c r="HX9" s="290">
        <f>SUMPRODUCT(('Intrapartum Care'!$BD$7:$BD$745=HX$6)*('Intrapartum Care'!$F$7:$F$745&gt;=Lists!$AE3)*('Intrapartum Care'!$F$7:$F$745&lt;=Lists!$AF3))</f>
        <v>0</v>
      </c>
      <c r="HY9" s="290">
        <f>SUMPRODUCT(('Intrapartum Care'!$BD$7:$BD$745=HY$6)*('Intrapartum Care'!$F$7:$F$745&gt;=Lists!$AE3)*('Intrapartum Care'!$F$7:$F$745&lt;=Lists!$AF3))</f>
        <v>0</v>
      </c>
      <c r="HZ9" s="290">
        <f>SUMPRODUCT(('Intrapartum Care'!$BD$7:$BD$745=HZ$6)*('Intrapartum Care'!$F$7:$F$745&gt;=Lists!$AE3)*('Intrapartum Care'!$F$7:$F$745&lt;=Lists!$AF3))</f>
        <v>0</v>
      </c>
      <c r="IA9" s="290">
        <f>SUMPRODUCT(('Intrapartum Care'!$BD$7:$BD$745=IA$6)*('Intrapartum Care'!$F$7:$F$745&gt;=Lists!$AE3)*('Intrapartum Care'!$F$7:$F$745&lt;=Lists!$AF3))</f>
        <v>0</v>
      </c>
      <c r="IB9" s="290">
        <f>SUMPRODUCT(('Intrapartum Care'!$BD$7:$BD$745=IB$6)*('Intrapartum Care'!$F$7:$F$745&gt;=Lists!$AE3)*('Intrapartum Care'!$F$7:$F$745&lt;=Lists!$AF3))</f>
        <v>0</v>
      </c>
      <c r="IC9" s="290">
        <f>SUMPRODUCT(('Intrapartum Care'!$BD$7:$BD$745=IC$6)*('Intrapartum Care'!$F$7:$F$745&gt;=Lists!$AE3)*('Intrapartum Care'!$F$7:$F$745&lt;=Lists!$AF3))</f>
        <v>0</v>
      </c>
      <c r="ID9" s="290">
        <f>SUMPRODUCT(('Intrapartum Care'!$BD$7:$BD$745=ID$6)*('Intrapartum Care'!$F$7:$F$745&gt;=Lists!$AE3)*('Intrapartum Care'!$F$7:$F$745&lt;=Lists!$AF3))</f>
        <v>0</v>
      </c>
      <c r="IE9" s="290">
        <f>SUMPRODUCT(('Intrapartum Care'!$BD$7:$BD$745=IE$6)*('Intrapartum Care'!$F$7:$F$745&gt;=Lists!$AE3)*('Intrapartum Care'!$F$7:$F$745&lt;=Lists!$AF3))</f>
        <v>0</v>
      </c>
      <c r="IF9" s="290">
        <f>SUMPRODUCT(('Intrapartum Care'!$BD$7:$BD$745=IF$6)*('Intrapartum Care'!$F$7:$F$745&gt;=Lists!$AE3)*('Intrapartum Care'!$F$7:$F$745&lt;=Lists!$AF3))</f>
        <v>0</v>
      </c>
      <c r="IG9" s="290">
        <f>SUMPRODUCT(('Intrapartum Care'!$BD$7:$BD$745=IG$6)*('Intrapartum Care'!$F$7:$F$745&gt;=Lists!$AE3)*('Intrapartum Care'!$F$7:$F$745&lt;=Lists!$AF3))</f>
        <v>0</v>
      </c>
      <c r="IH9" s="290">
        <f>SUMPRODUCT(('Intrapartum Care'!$BD$7:$BD$745=IH$6)*('Intrapartum Care'!$F$7:$F$745&gt;=Lists!$AE3)*('Intrapartum Care'!$F$7:$F$745&lt;=Lists!$AF3))</f>
        <v>0</v>
      </c>
      <c r="II9" s="227">
        <f t="shared" ref="II9:II19" si="32">SUM(HG9:IH9)</f>
        <v>0</v>
      </c>
      <c r="IJ9" s="290">
        <f>SUMPRODUCT(('Intrapartum Care'!$BE$7:$BE$745=IJ$6)*('Intrapartum Care'!$F$7:$F$745&gt;=Lists!$AE3)*('Intrapartum Care'!$F$7:$F$745&lt;=Lists!$AF3))</f>
        <v>0</v>
      </c>
      <c r="IK9" s="290">
        <f>SUMPRODUCT(('Intrapartum Care'!$BE$7:$BE$745=IK$6)*('Intrapartum Care'!$F$7:$F$745&gt;=Lists!$AE3)*('Intrapartum Care'!$F$7:$F$745&lt;=Lists!$AF3))</f>
        <v>0</v>
      </c>
      <c r="IL9" s="290">
        <f>SUMPRODUCT(('Intrapartum Care'!$BE$7:$BE$745=IL$6)*('Intrapartum Care'!$F$7:$F$745&gt;=Lists!$AE3)*('Intrapartum Care'!$F$7:$F$745&lt;=Lists!$AF3))</f>
        <v>0</v>
      </c>
      <c r="IM9" s="290">
        <f>SUMPRODUCT(('Intrapartum Care'!$BE$7:$BE$745=IM$6)*('Intrapartum Care'!$F$7:$F$745&gt;=Lists!$AE3)*('Intrapartum Care'!$F$7:$F$745&lt;=Lists!$AF3))</f>
        <v>0</v>
      </c>
      <c r="IN9" s="290">
        <f>SUMPRODUCT(('Intrapartum Care'!$BE$7:$BE$745=IN$6)*('Intrapartum Care'!$F$7:$F$745&gt;=Lists!$AE3)*('Intrapartum Care'!$F$7:$F$745&lt;=Lists!$AF3))</f>
        <v>0</v>
      </c>
      <c r="IO9" s="290">
        <f>SUMPRODUCT(('Intrapartum Care'!$BE$7:$BE$745=IO$6)*('Intrapartum Care'!$F$7:$F$745&gt;=Lists!$AE3)*('Intrapartum Care'!$F$7:$F$745&lt;=Lists!$AF3))</f>
        <v>0</v>
      </c>
      <c r="IP9" s="290">
        <f>SUMPRODUCT(('Intrapartum Care'!$BE$7:$BE$745=IP$6)*('Intrapartum Care'!$F$7:$F$745&gt;=Lists!$AE3)*('Intrapartum Care'!$F$7:$F$745&lt;=Lists!$AF3))</f>
        <v>0</v>
      </c>
      <c r="IQ9" s="170">
        <f t="shared" ref="IQ9:IQ19" si="33">SUM(IJ9:IP9)</f>
        <v>0</v>
      </c>
      <c r="IR9" s="290">
        <f>SUMPRODUCT(('Intrapartum Care'!$BF$7:$BF$745=IR$6)*('Intrapartum Care'!$F$7:$F$745&gt;=Lists!$AE3)*('Intrapartum Care'!$F$7:$F$745&lt;=Lists!$AF3))</f>
        <v>0</v>
      </c>
      <c r="IS9" s="290">
        <f>SUMPRODUCT(('Intrapartum Care'!$BF$7:$BF$745=IS$6)*('Intrapartum Care'!$F$7:$F$745&gt;=Lists!$AE3)*('Intrapartum Care'!$F$7:$F$745&lt;=Lists!$AF3))</f>
        <v>0</v>
      </c>
      <c r="IT9" s="290">
        <f>SUMPRODUCT(('Intrapartum Care'!$BF$7:$BF$745=IT$6)*('Intrapartum Care'!$F$7:$F$745&gt;=Lists!$AE3)*('Intrapartum Care'!$F$7:$F$745&lt;=Lists!$AF3))</f>
        <v>0</v>
      </c>
      <c r="IU9" s="290">
        <f>SUMPRODUCT(('Intrapartum Care'!$BF$7:$BF$745=IU$6)*('Intrapartum Care'!$F$7:$F$745&gt;=Lists!$AE3)*('Intrapartum Care'!$F$7:$F$745&lt;=Lists!$AF3))</f>
        <v>0</v>
      </c>
      <c r="IV9" s="170">
        <f t="shared" ref="IV9:IV19" si="34">SUM(IR9:IU9)</f>
        <v>0</v>
      </c>
      <c r="IW9" s="290">
        <f>SUMPRODUCT(('Intrapartum Care'!$BH$7:$BH$745=IW$6)*('Intrapartum Care'!$F$7:$F$745&gt;=Lists!$AE3)*('Intrapartum Care'!$F$7:$F$745&lt;=Lists!$AF3))</f>
        <v>0</v>
      </c>
      <c r="IX9" s="290">
        <f>SUMPRODUCT(('Intrapartum Care'!$BH$7:$BH$745=IX$6)*('Intrapartum Care'!$F$7:$F$745&gt;=Lists!$AE3)*('Intrapartum Care'!$F$7:$F$745&lt;=Lists!$AF3))</f>
        <v>0</v>
      </c>
      <c r="IY9" s="290">
        <f>SUMPRODUCT(('Intrapartum Care'!$BH$7:$BH$745=IY$6)*('Intrapartum Care'!$F$7:$F$745&gt;=Lists!$AE3)*('Intrapartum Care'!$F$7:$F$745&lt;=Lists!$AF3))</f>
        <v>0</v>
      </c>
      <c r="IZ9" s="290">
        <f>SUMPRODUCT(('Intrapartum Care'!$BH$7:$BH$745=IZ$6)*('Intrapartum Care'!$F$7:$F$745&gt;=Lists!$AE3)*('Intrapartum Care'!$F$7:$F$745&lt;=Lists!$AF3))</f>
        <v>0</v>
      </c>
      <c r="JA9" s="290">
        <f>SUMPRODUCT(('Intrapartum Care'!$BH$7:$BH$745=JA$6)*('Intrapartum Care'!$F$7:$F$745&gt;=Lists!$AE3)*('Intrapartum Care'!$F$7:$F$745&lt;=Lists!$AF3))</f>
        <v>0</v>
      </c>
      <c r="JB9" s="551">
        <f t="shared" ref="JB9:JB19" si="35">SUM(IW9:JA9)</f>
        <v>0</v>
      </c>
      <c r="JC9" s="243">
        <f t="shared" si="1"/>
        <v>0</v>
      </c>
      <c r="JD9" s="15"/>
      <c r="JE9" s="15"/>
      <c r="JF9" s="15"/>
      <c r="JG9" s="15"/>
      <c r="JH9" s="15"/>
      <c r="JI9" s="15"/>
      <c r="JJ9" s="15"/>
      <c r="JK9" s="15"/>
      <c r="JL9" s="16"/>
      <c r="JM9" s="15"/>
      <c r="JN9" s="15"/>
      <c r="JO9" s="15"/>
      <c r="JP9" s="15"/>
    </row>
    <row r="10" spans="1:279" ht="15" customHeight="1" x14ac:dyDescent="0.35">
      <c r="A10" s="570">
        <v>45809</v>
      </c>
      <c r="B10" s="345">
        <f>SUMPRODUCT(('Intrapartum Care'!$C$7:$C$745=B$6)*('Intrapartum Care'!$F$7:$F$745&gt;=Lists!$AE4)*('Intrapartum Care'!$F$7:$F$745&lt;=Lists!$AF4))</f>
        <v>0</v>
      </c>
      <c r="C10" s="251">
        <f>SUMPRODUCT(('Intrapartum Care'!$C$7:$C$745=C$6)*('Intrapartum Care'!$F$7:$F$745&gt;=Lists!$AE4)*('Intrapartum Care'!$F$7:$F$745&lt;=Lists!$AF4))</f>
        <v>0</v>
      </c>
      <c r="D10" s="170">
        <f t="shared" si="2"/>
        <v>0</v>
      </c>
      <c r="E10" s="290">
        <f>SUMPRODUCT(('Intrapartum Care'!$D$7:$D$745=E$6)*('Intrapartum Care'!$F$7:$F$745&gt;=Lists!$AE4)*('Intrapartum Care'!$F$7:$F$745&lt;=Lists!$AF4))</f>
        <v>0</v>
      </c>
      <c r="F10" s="290">
        <f>SUMPRODUCT(('Intrapartum Care'!$D$7:$D$745=F$6)*('Intrapartum Care'!$F$7:$F$745&gt;=Lists!$AE4)*('Intrapartum Care'!$F$7:$F$745&lt;=Lists!$AF4))</f>
        <v>0</v>
      </c>
      <c r="G10" s="290">
        <f>SUMPRODUCT(('Intrapartum Care'!$D$7:$D$745=G$6)*('Intrapartum Care'!$F$7:$F$745&gt;=Lists!$AE4)*('Intrapartum Care'!$F$7:$F$745&lt;=Lists!$AF4))</f>
        <v>0</v>
      </c>
      <c r="H10" s="170">
        <f t="shared" si="3"/>
        <v>0</v>
      </c>
      <c r="I10" s="255">
        <f>SUMPRODUCT(('Intrapartum Care'!$E$7:$E$745=I$6)*('Intrapartum Care'!$F$7:$F$745&gt;=Lists!$AE4)*('Intrapartum Care'!$F$7:$F$745&lt;=Lists!$AF4))</f>
        <v>0</v>
      </c>
      <c r="J10" s="252">
        <f>SUMPRODUCT(('Intrapartum Care'!$E$7:$E$745=J$6)*('Intrapartum Care'!$F$7:$F$745&gt;=Lists!$AE4)*('Intrapartum Care'!$F$7:$F$745&lt;=Lists!$AF4))</f>
        <v>0</v>
      </c>
      <c r="K10" s="252">
        <f>SUMPRODUCT(('Intrapartum Care'!$E$7:$E$745=K$6)*('Intrapartum Care'!$F$7:$F$745&gt;=Lists!$AE4)*('Intrapartum Care'!$F$7:$F$745&lt;=Lists!$AF4))</f>
        <v>0</v>
      </c>
      <c r="L10" s="252">
        <f>SUMPRODUCT(('Intrapartum Care'!$E$7:$E$745=L$6)*('Intrapartum Care'!$F$7:$F$745&gt;=Lists!$AE4)*('Intrapartum Care'!$F$7:$F$745&lt;=Lists!$AF4))</f>
        <v>0</v>
      </c>
      <c r="M10" s="252">
        <f>SUMPRODUCT(('Intrapartum Care'!$E$7:$E$745=M$6)*('Intrapartum Care'!$F$7:$F$745&gt;=Lists!$AE4)*('Intrapartum Care'!$F$7:$F$745&lt;=Lists!$AF4))</f>
        <v>0</v>
      </c>
      <c r="N10" s="252">
        <f>SUMPRODUCT(('Intrapartum Care'!$E$7:$E$745=N$6)*('Intrapartum Care'!$F$7:$F$745&gt;=Lists!$AE4)*('Intrapartum Care'!$F$7:$F$745&lt;=Lists!$AF4))</f>
        <v>0</v>
      </c>
      <c r="O10" s="252">
        <f>SUMPRODUCT(('Intrapartum Care'!$E$7:$E$745=O$6)*('Intrapartum Care'!$F$7:$F$745&gt;=Lists!$AE4)*('Intrapartum Care'!$F$7:$F$745&lt;=Lists!$AF4))</f>
        <v>0</v>
      </c>
      <c r="P10" s="252">
        <f>SUMPRODUCT(('Intrapartum Care'!$E$7:$E$745=P$6)*('Intrapartum Care'!$F$7:$F$745&gt;=Lists!$AE4)*('Intrapartum Care'!$F$7:$F$745&lt;=Lists!$AF4))</f>
        <v>0</v>
      </c>
      <c r="Q10" s="252">
        <f>SUMPRODUCT(('Intrapartum Care'!$E$7:$E$745=Q$6)*('Intrapartum Care'!$F$7:$F$745&gt;=Lists!$AE4)*('Intrapartum Care'!$F$7:$F$745&lt;=Lists!$AF4))</f>
        <v>0</v>
      </c>
      <c r="R10" s="252">
        <f>SUMPRODUCT(('Intrapartum Care'!$E$7:$E$745=R$6)*('Intrapartum Care'!$F$7:$F$745&gt;=Lists!$AE4)*('Intrapartum Care'!$F$7:$F$745&lt;=Lists!$AF4))</f>
        <v>0</v>
      </c>
      <c r="S10" s="252">
        <f>SUMPRODUCT(('Intrapartum Care'!$E$7:$E$745=S$6)*('Intrapartum Care'!$F$7:$F$745&gt;=Lists!$AE4)*('Intrapartum Care'!$F$7:$F$745&lt;=Lists!$AF4))</f>
        <v>0</v>
      </c>
      <c r="T10" s="252">
        <f>SUMPRODUCT(('Intrapartum Care'!$E$7:$E$745=T$6)*('Intrapartum Care'!$F$7:$F$745&gt;=Lists!$AE4)*('Intrapartum Care'!$F$7:$F$745&lt;=Lists!$AF4))</f>
        <v>0</v>
      </c>
      <c r="U10" s="252">
        <f>SUMPRODUCT(('Intrapartum Care'!$E$7:$E$745=U$6)*('Intrapartum Care'!$F$7:$F$745&gt;=Lists!$AE4)*('Intrapartum Care'!$F$7:$F$745&lt;=Lists!$AF4))</f>
        <v>0</v>
      </c>
      <c r="V10" s="252">
        <f>SUMPRODUCT(('Intrapartum Care'!$E$7:$E$745=V$6)*('Intrapartum Care'!$F$7:$F$745&gt;=Lists!$AE4)*('Intrapartum Care'!$F$7:$F$745&lt;=Lists!$AF4))</f>
        <v>0</v>
      </c>
      <c r="W10" s="252">
        <f>SUMPRODUCT(('Intrapartum Care'!$E$7:$E$745=W$6)*('Intrapartum Care'!$F$7:$F$745&gt;=Lists!$AE4)*('Intrapartum Care'!$F$7:$F$745&lt;=Lists!$AF4))</f>
        <v>0</v>
      </c>
      <c r="X10" s="252">
        <f>SUMPRODUCT(('Intrapartum Care'!$E$7:$E$745=X$6)*('Intrapartum Care'!$F$7:$F$745&gt;=Lists!$AE4)*('Intrapartum Care'!$F$7:$F$745&lt;=Lists!$AF4))</f>
        <v>0</v>
      </c>
      <c r="Y10" s="252">
        <f>SUMPRODUCT(('Intrapartum Care'!$E$7:$E$745=Y$6)*('Intrapartum Care'!$F$7:$F$745&gt;=Lists!$AE4)*('Intrapartum Care'!$F$7:$F$745&lt;=Lists!$AF4))</f>
        <v>0</v>
      </c>
      <c r="Z10" s="252">
        <f>SUMPRODUCT(('Intrapartum Care'!$E$7:$E$745=Z$6)*('Intrapartum Care'!$F$7:$F$745&gt;=Lists!$AE4)*('Intrapartum Care'!$F$7:$F$745&lt;=Lists!$AF4))</f>
        <v>0</v>
      </c>
      <c r="AA10" s="252">
        <f>SUMPRODUCT(('Intrapartum Care'!$E$7:$E$745=AA$6)*('Intrapartum Care'!$F$7:$F$745&gt;=Lists!$AE4)*('Intrapartum Care'!$F$7:$F$745&lt;=Lists!$AF4))</f>
        <v>0</v>
      </c>
      <c r="AB10" s="252">
        <f>SUMPRODUCT(('Intrapartum Care'!$E$7:$E$745=AB$6)*('Intrapartum Care'!$F$7:$F$745&gt;=Lists!$AE4)*('Intrapartum Care'!$F$7:$F$745&lt;=Lists!$AF4))</f>
        <v>0</v>
      </c>
      <c r="AC10" s="264">
        <f>SUMPRODUCT(('Intrapartum Care'!$E$7:$E$745=AC$6)*('Intrapartum Care'!$F$7:$F$745&gt;=Lists!$AE4)*('Intrapartum Care'!$F$7:$F$745&lt;=Lists!$AF4))</f>
        <v>0</v>
      </c>
      <c r="AD10" s="227">
        <f t="shared" si="4"/>
        <v>0</v>
      </c>
      <c r="AE10" s="255">
        <f>SUMPRODUCT(('Intrapartum Care'!$H$7:$H$745=AE$6)*('Intrapartum Care'!$F$7:$F$745&gt;=Lists!$AE4)*('Intrapartum Care'!$F$7:$F$745&lt;=Lists!$AF4))</f>
        <v>0</v>
      </c>
      <c r="AF10" s="252">
        <f>SUMPRODUCT(('Intrapartum Care'!$H$7:$H$745=AF$6)*('Intrapartum Care'!$F$7:$F$745&gt;=Lists!$AE4)*('Intrapartum Care'!$F$7:$F$745&lt;=Lists!$AF4))</f>
        <v>0</v>
      </c>
      <c r="AG10" s="252">
        <f>SUMPRODUCT(('Intrapartum Care'!$H$7:$H$745=AG$6)*('Intrapartum Care'!$F$7:$F$745&gt;=Lists!$AE4)*('Intrapartum Care'!$F$7:$F$745&lt;=Lists!$AF4))</f>
        <v>0</v>
      </c>
      <c r="AH10" s="252">
        <f>SUMPRODUCT(('Intrapartum Care'!$H$7:$H$745=AH$6)*('Intrapartum Care'!$F$7:$F$745&gt;=Lists!$AE4)*('Intrapartum Care'!$F$7:$F$745&lt;=Lists!$AF4))</f>
        <v>0</v>
      </c>
      <c r="AI10" s="252">
        <f>SUMPRODUCT(('Intrapartum Care'!$H$7:$H$745=AI$6)*('Intrapartum Care'!$F$7:$F$745&gt;=Lists!$AE4)*('Intrapartum Care'!$F$7:$F$745&lt;=Lists!$AF4))</f>
        <v>0</v>
      </c>
      <c r="AJ10" s="252">
        <f>SUMPRODUCT(('Intrapartum Care'!$H$7:$H$745=AJ$6)*('Intrapartum Care'!$F$7:$F$745&gt;=Lists!$AE4)*('Intrapartum Care'!$F$7:$F$745&lt;=Lists!$AF4))</f>
        <v>0</v>
      </c>
      <c r="AK10" s="252">
        <f>SUMPRODUCT(('Intrapartum Care'!$H$7:$H$745=AK$6)*('Intrapartum Care'!$F$7:$F$745&gt;=Lists!$AE4)*('Intrapartum Care'!$F$7:$F$745&lt;=Lists!$AF4))</f>
        <v>0</v>
      </c>
      <c r="AL10" s="252">
        <f>SUMPRODUCT(('Intrapartum Care'!$H$7:$H$745=AL$6)*('Intrapartum Care'!$F$7:$F$745&gt;=Lists!$AE4)*('Intrapartum Care'!$F$7:$F$745&lt;=Lists!$AF4))</f>
        <v>0</v>
      </c>
      <c r="AM10" s="264">
        <f>SUMPRODUCT(('Intrapartum Care'!$H$7:$H$745=AM$6)*('Intrapartum Care'!$F$7:$F$745&gt;=Lists!$AE4)*('Intrapartum Care'!$F$7:$F$745&lt;=Lists!$AF4))</f>
        <v>0</v>
      </c>
      <c r="AN10" s="170">
        <f t="shared" si="5"/>
        <v>0</v>
      </c>
      <c r="AO10" s="255">
        <f>SUMPRODUCT(('Intrapartum Care'!$I$7:$I$745=AO$6)*('Intrapartum Care'!$F$7:$F$745&gt;=Lists!$AE4)*('Intrapartum Care'!$F$7:$F$745&lt;=Lists!$AF4))</f>
        <v>0</v>
      </c>
      <c r="AP10" s="252">
        <f>SUMPRODUCT(('Intrapartum Care'!$I$7:$I$745=AP$6)*('Intrapartum Care'!$F$7:$F$745&gt;=Lists!$AE4)*('Intrapartum Care'!$F$7:$F$745&lt;=Lists!$AF4))</f>
        <v>0</v>
      </c>
      <c r="AQ10" s="252">
        <f>SUMPRODUCT(('Intrapartum Care'!$I$7:$I$745=AQ$6)*('Intrapartum Care'!$F$7:$F$745&gt;=Lists!$AE4)*('Intrapartum Care'!$F$7:$F$745&lt;=Lists!$AF4))</f>
        <v>0</v>
      </c>
      <c r="AR10" s="252">
        <f>SUMPRODUCT(('Intrapartum Care'!$I$7:$I$745=AR$6)*('Intrapartum Care'!$F$7:$F$745&gt;=Lists!$AE4)*('Intrapartum Care'!$F$7:$F$745&lt;=Lists!$AF4))</f>
        <v>0</v>
      </c>
      <c r="AS10" s="252">
        <f>SUMPRODUCT(('Intrapartum Care'!$I$7:$I$745=AS$6)*('Intrapartum Care'!$F$7:$F$745&gt;=Lists!$AE4)*('Intrapartum Care'!$F$7:$F$745&lt;=Lists!$AF4))</f>
        <v>0</v>
      </c>
      <c r="AT10" s="252">
        <f>SUMPRODUCT(('Intrapartum Care'!$I$7:$I$745=AT$6)*('Intrapartum Care'!$F$7:$F$745&gt;=Lists!$AE4)*('Intrapartum Care'!$F$7:$F$745&lt;=Lists!$AF4))</f>
        <v>0</v>
      </c>
      <c r="AU10" s="253">
        <f>SUMPRODUCT(('Intrapartum Care'!$I$7:$I$745=AU$6)*('Intrapartum Care'!$F$7:$F$745&gt;=Lists!$AE4)*('Intrapartum Care'!$F$7:$F$745&lt;=Lists!$AF4))</f>
        <v>0</v>
      </c>
      <c r="AV10" s="170">
        <f t="shared" si="6"/>
        <v>0</v>
      </c>
      <c r="AW10" s="255">
        <f>SUMPRODUCT(('Intrapartum Care'!$J$7:$J$745=AW$6)*('Intrapartum Care'!$F$7:$F$745&gt;=Lists!$AE4)*('Intrapartum Care'!$F$7:$F$745&lt;=Lists!$AF4))</f>
        <v>0</v>
      </c>
      <c r="AX10" s="253">
        <f>SUMPRODUCT(('Intrapartum Care'!$J$7:$J$745=AX$6)*('Intrapartum Care'!$F$7:$F$745&gt;=Lists!$AE4)*('Intrapartum Care'!$F$7:$F$745&lt;=Lists!$AF4))</f>
        <v>0</v>
      </c>
      <c r="AY10" s="170">
        <f t="shared" si="7"/>
        <v>0</v>
      </c>
      <c r="AZ10" s="263">
        <f>SUMPRODUCT(('Intrapartum Care'!$R$7:$R$745=AZ$6)*('Intrapartum Care'!$F$7:$F$745&gt;=Lists!$AE4)*('Intrapartum Care'!$F$7:$F$745&lt;=Lists!$AF4))</f>
        <v>0</v>
      </c>
      <c r="BA10" s="252">
        <f>SUMPRODUCT(('Intrapartum Care'!$R$7:$R$745=BA$6)*('Intrapartum Care'!$F$7:$F$745&gt;=Lists!$AE4)*('Intrapartum Care'!$F$7:$F$745&lt;=Lists!$AF4))</f>
        <v>0</v>
      </c>
      <c r="BB10" s="252">
        <f>SUMPRODUCT(('Intrapartum Care'!$R$7:$R$745=BB$6)*('Intrapartum Care'!$F$7:$F$745&gt;=Lists!$AE4)*('Intrapartum Care'!$F$7:$F$745&lt;=Lists!$AF4))</f>
        <v>0</v>
      </c>
      <c r="BC10" s="253">
        <f>SUMPRODUCT(('Intrapartum Care'!$R$7:$R$745=BC$6)*('Intrapartum Care'!$F$7:$F$745&gt;=Lists!$AE4)*('Intrapartum Care'!$F$7:$F$745&lt;=Lists!$AF4))</f>
        <v>0</v>
      </c>
      <c r="BD10" s="170">
        <f t="shared" si="8"/>
        <v>0</v>
      </c>
      <c r="BE10" s="263">
        <f>SUMPRODUCT(('Intrapartum Care'!$S$7:$S$745=BE$6)*('Intrapartum Care'!$F$7:$F$745&gt;=Lists!$AE4)*('Intrapartum Care'!$F$7:$F$745&lt;=Lists!$AF4))</f>
        <v>0</v>
      </c>
      <c r="BF10" s="252">
        <f>SUMPRODUCT(('Intrapartum Care'!$S$7:$S$745=BF$6)*('Intrapartum Care'!$F$7:$F$745&gt;=Lists!$AE4)*('Intrapartum Care'!$F$7:$F$745&lt;=Lists!$AF4))</f>
        <v>0</v>
      </c>
      <c r="BG10" s="264">
        <f>SUMPRODUCT(('Intrapartum Care'!$S$7:$S$745=BG$6)*('Intrapartum Care'!$F$7:$F$745&gt;=Lists!$AE4)*('Intrapartum Care'!$F$7:$F$745&lt;=Lists!$AF4))</f>
        <v>0</v>
      </c>
      <c r="BH10" s="170">
        <f t="shared" si="9"/>
        <v>0</v>
      </c>
      <c r="BI10" s="290">
        <f>SUMPRODUCT(('Intrapartum Care'!$T$7:$T$745=BI$6)*('Intrapartum Care'!$F$7:$F$745&gt;=Lists!$AE4)*('Intrapartum Care'!$F$7:$F$745&lt;=Lists!$AF4))</f>
        <v>0</v>
      </c>
      <c r="BJ10" s="290">
        <f>SUMPRODUCT(('Intrapartum Care'!$T$7:$T$745=BJ$6)*('Intrapartum Care'!$F$7:$F$745&gt;=Lists!$AE4)*('Intrapartum Care'!$F$7:$F$745&lt;=Lists!$AF4))</f>
        <v>0</v>
      </c>
      <c r="BK10" s="290">
        <f>SUMPRODUCT(('Intrapartum Care'!$T$7:$T$745=BK$6)*('Intrapartum Care'!$F$7:$F$745&gt;=Lists!$AE4)*('Intrapartum Care'!$F$7:$F$745&lt;=Lists!$AF4))</f>
        <v>0</v>
      </c>
      <c r="BL10" s="290">
        <f>SUMPRODUCT(('Intrapartum Care'!$T$7:$T$745=BL$6)*('Intrapartum Care'!$F$7:$F$745&gt;=Lists!$AE4)*('Intrapartum Care'!$F$7:$F$745&lt;=Lists!$AF4))</f>
        <v>0</v>
      </c>
      <c r="BM10" s="227">
        <f t="shared" si="10"/>
        <v>0</v>
      </c>
      <c r="BN10" s="290">
        <f>SUMPRODUCT(('Intrapartum Care'!$U$7:$U$745=BN$6)*('Intrapartum Care'!$F$7:$F$745&gt;=Lists!$AE4)*('Intrapartum Care'!$F$7:$F$745&lt;=Lists!$AF4))</f>
        <v>0</v>
      </c>
      <c r="BO10" s="290">
        <f>SUMPRODUCT(('Intrapartum Care'!$U$7:$U$745=BO$6)*('Intrapartum Care'!$F$7:$F$745&gt;=Lists!$AE4)*('Intrapartum Care'!$F$7:$F$745&lt;=Lists!$AF4))</f>
        <v>0</v>
      </c>
      <c r="BP10" s="290">
        <f>SUMPRODUCT(('Intrapartum Care'!$U$7:$U$745=BP$6)*('Intrapartum Care'!$F$7:$F$745&gt;=Lists!$AE4)*('Intrapartum Care'!$F$7:$F$745&lt;=Lists!$AF4))</f>
        <v>0</v>
      </c>
      <c r="BQ10" s="290">
        <f>SUMPRODUCT(('Intrapartum Care'!$U$7:$U$745=BQ$6)*('Intrapartum Care'!$F$7:$F$745&gt;=Lists!$AE4)*('Intrapartum Care'!$F$7:$F$745&lt;=Lists!$AF4))</f>
        <v>0</v>
      </c>
      <c r="BR10" s="227">
        <f t="shared" si="11"/>
        <v>0</v>
      </c>
      <c r="BS10" s="290">
        <f>SUMPRODUCT(('Intrapartum Care'!$V$7:$V$745=BS$6)*('Intrapartum Care'!$F$7:$F$745&gt;=Lists!$AE4)*('Intrapartum Care'!$F$7:$F$745&lt;=Lists!$AF4))</f>
        <v>0</v>
      </c>
      <c r="BT10" s="290">
        <f>SUMPRODUCT(('Intrapartum Care'!$V$7:$V$745=BT$6)*('Intrapartum Care'!$F$7:$F$745&gt;=Lists!$AE4)*('Intrapartum Care'!$F$7:$F$745&lt;=Lists!$AF4))</f>
        <v>0</v>
      </c>
      <c r="BU10" s="290">
        <f>SUMPRODUCT(('Intrapartum Care'!$V$7:$V$745=BU$6)*('Intrapartum Care'!$F$7:$F$745&gt;=Lists!$AE4)*('Intrapartum Care'!$F$7:$F$745&lt;=Lists!$AF4))</f>
        <v>0</v>
      </c>
      <c r="BV10" s="290">
        <f>SUMPRODUCT(('Intrapartum Care'!$V$7:$V$745=BV$6)*('Intrapartum Care'!$F$7:$F$745&gt;=Lists!$AE4)*('Intrapartum Care'!$F$7:$F$745&lt;=Lists!$AF4))</f>
        <v>0</v>
      </c>
      <c r="BW10" s="290">
        <f>SUMPRODUCT(('Intrapartum Care'!$V$7:$V$745=BW$6)*('Intrapartum Care'!$F$7:$F$745&gt;=Lists!$AE4)*('Intrapartum Care'!$F$7:$F$745&lt;=Lists!$AF4))</f>
        <v>0</v>
      </c>
      <c r="BX10" s="227">
        <f t="shared" si="12"/>
        <v>0</v>
      </c>
      <c r="BY10" s="290">
        <f>SUMPRODUCT(('Intrapartum Care'!$W$7:$W$745=BY$6)*('Intrapartum Care'!$F$7:$F$745&gt;=Lists!$AE4)*('Intrapartum Care'!$F$7:$F$745&lt;=Lists!$AF4))</f>
        <v>0</v>
      </c>
      <c r="BZ10" s="290">
        <f>SUMPRODUCT(('Intrapartum Care'!$W$7:$W$745=BZ$6)*('Intrapartum Care'!$F$7:$F$745&gt;=Lists!$AE4)*('Intrapartum Care'!$F$7:$F$745&lt;=Lists!$AF4))</f>
        <v>0</v>
      </c>
      <c r="CA10" s="290">
        <f>SUMPRODUCT(('Intrapartum Care'!$W$7:$W$745=CA$6)*('Intrapartum Care'!$F$7:$F$745&gt;=Lists!$AE4)*('Intrapartum Care'!$F$7:$F$745&lt;=Lists!$AF4))</f>
        <v>0</v>
      </c>
      <c r="CB10" s="290">
        <f>SUMPRODUCT(('Intrapartum Care'!$W$7:$W$745=CB$6)*('Intrapartum Care'!$F$7:$F$745&gt;=Lists!$AE4)*('Intrapartum Care'!$F$7:$F$745&lt;=Lists!$AF4))</f>
        <v>0</v>
      </c>
      <c r="CC10" s="290">
        <f>SUMPRODUCT(('Intrapartum Care'!$W$7:$W$745=CC$6)*('Intrapartum Care'!$F$7:$F$745&gt;=Lists!$AE4)*('Intrapartum Care'!$F$7:$F$745&lt;=Lists!$AF4))</f>
        <v>0</v>
      </c>
      <c r="CD10" s="227">
        <f t="shared" si="13"/>
        <v>0</v>
      </c>
      <c r="CE10" s="290">
        <f>SUMPRODUCT(('Intrapartum Care'!$X$7:$X$745=CE$6)*('Intrapartum Care'!$F$7:$F$745&gt;=Lists!$AE4)*('Intrapartum Care'!$F$7:$F$745&lt;=Lists!$AF4))</f>
        <v>0</v>
      </c>
      <c r="CF10" s="290">
        <f>SUMPRODUCT(('Intrapartum Care'!$X$7:$X$745=CF$6)*('Intrapartum Care'!$F$7:$F$745&gt;=Lists!$AE4)*('Intrapartum Care'!$F$7:$F$745&lt;=Lists!$AF4))</f>
        <v>0</v>
      </c>
      <c r="CG10" s="290">
        <f>SUMPRODUCT(('Intrapartum Care'!$X$7:$X$745=CG$6)*('Intrapartum Care'!$F$7:$F$745&gt;=Lists!$AE4)*('Intrapartum Care'!$F$7:$F$745&lt;=Lists!$AF4))</f>
        <v>0</v>
      </c>
      <c r="CH10" s="290">
        <f>SUMPRODUCT(('Intrapartum Care'!$X$7:$X$745=CH$6)*('Intrapartum Care'!$F$7:$F$745&gt;=Lists!$AE4)*('Intrapartum Care'!$F$7:$F$745&lt;=Lists!$AF4))</f>
        <v>0</v>
      </c>
      <c r="CI10" s="290">
        <f>SUMPRODUCT(('Intrapartum Care'!$X$7:$X$745=CI$6)*('Intrapartum Care'!$F$7:$F$745&gt;=Lists!$AE4)*('Intrapartum Care'!$F$7:$F$745&lt;=Lists!$AF4))</f>
        <v>0</v>
      </c>
      <c r="CJ10" s="290">
        <f>SUMPRODUCT(('Intrapartum Care'!$X$7:$X$745=CJ$6)*('Intrapartum Care'!$F$7:$F$745&gt;=Lists!$AE4)*('Intrapartum Care'!$F$7:$F$745&lt;=Lists!$AF4))</f>
        <v>0</v>
      </c>
      <c r="CK10" s="290">
        <f>SUMPRODUCT(('Intrapartum Care'!$X$7:$X$745=CK$6)*('Intrapartum Care'!$F$7:$F$745&gt;=Lists!$AE4)*('Intrapartum Care'!$F$7:$F$745&lt;=Lists!$AF4))</f>
        <v>0</v>
      </c>
      <c r="CL10" s="227">
        <f t="shared" si="14"/>
        <v>0</v>
      </c>
      <c r="CM10" s="290">
        <f>SUMPRODUCT(('Intrapartum Care'!$Y$7:$Y$745=CM$6)*('Intrapartum Care'!$F$7:$F$745&gt;=Lists!$AE4)*('Intrapartum Care'!$F$7:$F$745&lt;=Lists!$AF4))</f>
        <v>0</v>
      </c>
      <c r="CN10" s="290">
        <f>SUMPRODUCT(('Intrapartum Care'!$Y$7:$Y$745=CN$6)*('Intrapartum Care'!$F$7:$F$745&gt;=Lists!$AE4)*('Intrapartum Care'!$F$7:$F$745&lt;=Lists!$AF4))</f>
        <v>0</v>
      </c>
      <c r="CO10" s="290">
        <f>SUMPRODUCT(('Intrapartum Care'!$Y$7:$Y$745=CO$6)*('Intrapartum Care'!$F$7:$F$745&gt;=Lists!$AE4)*('Intrapartum Care'!$F$7:$F$745&lt;=Lists!$AF4))</f>
        <v>0</v>
      </c>
      <c r="CP10" s="290">
        <f>SUMPRODUCT(('Intrapartum Care'!$Y$7:$Y$745=CP$6)*('Intrapartum Care'!$F$7:$F$745&gt;=Lists!$AE4)*('Intrapartum Care'!$F$7:$F$745&lt;=Lists!$AF4))</f>
        <v>0</v>
      </c>
      <c r="CQ10" s="290">
        <f>SUMPRODUCT(('Intrapartum Care'!$Y$7:$Y$745=CQ$6)*('Intrapartum Care'!$F$7:$F$745&gt;=Lists!$AE4)*('Intrapartum Care'!$F$7:$F$745&lt;=Lists!$AF4))</f>
        <v>0</v>
      </c>
      <c r="CR10" s="290">
        <f>SUMPRODUCT(('Intrapartum Care'!$Y$7:$Y$745=CR$6)*('Intrapartum Care'!$F$7:$F$745&gt;=Lists!$AE4)*('Intrapartum Care'!$F$7:$F$745&lt;=Lists!$AF4))</f>
        <v>0</v>
      </c>
      <c r="CS10" s="227">
        <f t="shared" si="15"/>
        <v>0</v>
      </c>
      <c r="CT10" s="290">
        <f>SUMPRODUCT(('Intrapartum Care'!$Z$7:$Z$745=CT$6)*('Intrapartum Care'!$F$7:$F$745&gt;=Lists!$AE4)*('Intrapartum Care'!$F$7:$F$745&lt;=Lists!$AF4))</f>
        <v>0</v>
      </c>
      <c r="CU10" s="290">
        <f>SUMPRODUCT(('Intrapartum Care'!$Z$7:$Z$745=CU$6)*('Intrapartum Care'!$F$7:$F$745&gt;=Lists!$AE4)*('Intrapartum Care'!$F$7:$F$745&lt;=Lists!$AF4))</f>
        <v>0</v>
      </c>
      <c r="CV10" s="290">
        <f>SUMPRODUCT(('Intrapartum Care'!$Z$7:$Z$745=CV$6)*('Intrapartum Care'!$F$7:$F$745&gt;=Lists!$AE4)*('Intrapartum Care'!$F$7:$F$745&lt;=Lists!$AF4))</f>
        <v>0</v>
      </c>
      <c r="CW10" s="290">
        <f>SUMPRODUCT(('Intrapartum Care'!$Z$7:$Z$745=CW$6)*('Intrapartum Care'!$F$7:$F$745&gt;=Lists!$AE4)*('Intrapartum Care'!$F$7:$F$745&lt;=Lists!$AF4))</f>
        <v>0</v>
      </c>
      <c r="CX10" s="290">
        <f>SUMPRODUCT(('Intrapartum Care'!$Z$7:$Z$745=CX$6)*('Intrapartum Care'!$F$7:$F$745&gt;=Lists!$AE4)*('Intrapartum Care'!$F$7:$F$745&lt;=Lists!$AF4))</f>
        <v>0</v>
      </c>
      <c r="CY10" s="290">
        <f>SUMPRODUCT(('Intrapartum Care'!$Z$7:$Z$745=CY$6)*('Intrapartum Care'!$F$7:$F$745&gt;=Lists!$AE4)*('Intrapartum Care'!$F$7:$F$745&lt;=Lists!$AF4))</f>
        <v>0</v>
      </c>
      <c r="CZ10" s="290">
        <f>SUMPRODUCT(('Intrapartum Care'!$Z$7:$Z$745=CZ$6)*('Intrapartum Care'!$F$7:$F$745&gt;=Lists!$AE4)*('Intrapartum Care'!$F$7:$F$745&lt;=Lists!$AF4))</f>
        <v>0</v>
      </c>
      <c r="DA10" s="290">
        <f>SUMPRODUCT(('Intrapartum Care'!$Z$7:$Z$745=DA$6)*('Intrapartum Care'!$F$7:$F$745&gt;=Lists!$AE4)*('Intrapartum Care'!$F$7:$F$745&lt;=Lists!$AF4))</f>
        <v>0</v>
      </c>
      <c r="DB10" s="227">
        <f t="shared" si="16"/>
        <v>0</v>
      </c>
      <c r="DC10" s="290">
        <f>SUMPRODUCT(('Intrapartum Care'!$AA$7:$AA$745=DC$6)*('Intrapartum Care'!$F$7:$F$745&gt;=Lists!$AE4)*('Intrapartum Care'!$F$7:$F$745&lt;=Lists!$AF4))</f>
        <v>0</v>
      </c>
      <c r="DD10" s="290">
        <f>SUMPRODUCT(('Intrapartum Care'!$AA$7:$AA$745=DD$6)*('Intrapartum Care'!$F$7:$F$745&gt;=Lists!$AE4)*('Intrapartum Care'!$F$7:$F$745&lt;=Lists!$AF4))</f>
        <v>0</v>
      </c>
      <c r="DE10" s="290">
        <f>SUMPRODUCT(('Intrapartum Care'!$AA$7:$AA$745=DE$6)*('Intrapartum Care'!$F$7:$F$745&gt;=Lists!$AE4)*('Intrapartum Care'!$F$7:$F$745&lt;=Lists!$AF4))</f>
        <v>0</v>
      </c>
      <c r="DF10" s="227">
        <f t="shared" si="17"/>
        <v>0</v>
      </c>
      <c r="DG10" s="295">
        <f>SUMPRODUCT(('Intrapartum Care'!$AB$7:$AB$745=DG$6)*('Intrapartum Care'!$F$7:$F$745&gt;=Lists!$AE4)*('Intrapartum Care'!$F$7:$F$745&lt;=Lists!$AF4))</f>
        <v>0</v>
      </c>
      <c r="DH10" s="290">
        <f>SUMPRODUCT(('Intrapartum Care'!$AB$7:$AB$745=DH$6)*('Intrapartum Care'!$F$7:$F$745&gt;=Lists!$AE4)*('Intrapartum Care'!$F$7:$F$745&lt;=Lists!$AF4))</f>
        <v>0</v>
      </c>
      <c r="DI10" s="290">
        <f>SUMPRODUCT(('Intrapartum Care'!$AB$7:$AB$745=DI$6)*('Intrapartum Care'!$F$7:$F$745&gt;=Lists!$AE4)*('Intrapartum Care'!$F$7:$F$745&lt;=Lists!$AF4))</f>
        <v>0</v>
      </c>
      <c r="DJ10" s="290">
        <f>SUMPRODUCT(('Intrapartum Care'!$AB$7:$AB$745=DJ$6)*('Intrapartum Care'!$F$7:$F$745&gt;=Lists!$AE4)*('Intrapartum Care'!$F$7:$F$745&lt;=Lists!$AF4))</f>
        <v>0</v>
      </c>
      <c r="DK10" s="290">
        <f>SUMPRODUCT(('Intrapartum Care'!$AB$7:$AB$745=DK$6)*('Intrapartum Care'!$F$7:$F$745&gt;=Lists!$AE4)*('Intrapartum Care'!$F$7:$F$745&lt;=Lists!$AF4))</f>
        <v>0</v>
      </c>
      <c r="DL10" s="290">
        <f>SUMPRODUCT(('Intrapartum Care'!$AB$7:$AB$745=DL$6)*('Intrapartum Care'!$F$7:$F$745&gt;=Lists!$AE4)*('Intrapartum Care'!$F$7:$F$745&lt;=Lists!$AF4))</f>
        <v>0</v>
      </c>
      <c r="DM10" s="290">
        <f>SUMPRODUCT(('Intrapartum Care'!$AB$7:$AB$745=DM$6)*('Intrapartum Care'!$F$7:$F$745&gt;=Lists!$AE4)*('Intrapartum Care'!$F$7:$F$745&lt;=Lists!$AF4))</f>
        <v>0</v>
      </c>
      <c r="DN10" s="227">
        <f t="shared" si="18"/>
        <v>0</v>
      </c>
      <c r="DO10" s="528">
        <f>SUMPRODUCT(('Intrapartum Care'!$AC$7:$AC$745=DO$6)*('Intrapartum Care'!$F$7:$F$745&gt;=Lists!$AE4)*('Intrapartum Care'!$F$7:$F$745&lt;=Lists!$AF4))</f>
        <v>0</v>
      </c>
      <c r="DP10" s="528">
        <f>SUMPRODUCT(('Intrapartum Care'!$AC$7:$AC$745=DP$6)*('Intrapartum Care'!$F$7:$F$745&gt;=Lists!$AE4)*('Intrapartum Care'!$F$7:$F$745&lt;=Lists!$AF4))</f>
        <v>0</v>
      </c>
      <c r="DQ10" s="528">
        <f>SUMPRODUCT(('Intrapartum Care'!$AC$7:$AC$745=DQ$6)*('Intrapartum Care'!$F$7:$F$745&gt;=Lists!$AE4)*('Intrapartum Care'!$F$7:$F$745&lt;=Lists!$AF4))</f>
        <v>0</v>
      </c>
      <c r="DR10" s="528">
        <f>SUMPRODUCT(('Intrapartum Care'!$AC$7:$AC$745=DR$6)*('Intrapartum Care'!$F$7:$F$745&gt;=Lists!$AE4)*('Intrapartum Care'!$F$7:$F$745&lt;=Lists!$AF4))</f>
        <v>0</v>
      </c>
      <c r="DS10" s="528">
        <f>SUMPRODUCT(('Intrapartum Care'!$AC$7:$AC$745=DS$6)*('Intrapartum Care'!$F$7:$F$745&gt;=Lists!$AE4)*('Intrapartum Care'!$F$7:$F$745&lt;=Lists!$AF4))</f>
        <v>0</v>
      </c>
      <c r="DT10" s="528">
        <f>SUMPRODUCT(('Intrapartum Care'!$AC$7:$AC$745=DT$6)*('Intrapartum Care'!$F$7:$F$745&gt;=Lists!$AE4)*('Intrapartum Care'!$F$7:$F$745&lt;=Lists!$AF4))</f>
        <v>0</v>
      </c>
      <c r="DU10" s="528">
        <f>SUMPRODUCT(('Intrapartum Care'!$AC$7:$AC$745=DU$6)*('Intrapartum Care'!$F$7:$F$745&gt;=Lists!$AE4)*('Intrapartum Care'!$F$7:$F$745&lt;=Lists!$AF4))</f>
        <v>0</v>
      </c>
      <c r="DV10" s="528">
        <f>SUMPRODUCT(('Intrapartum Care'!$AC$7:$AC$745=DV$6)*('Intrapartum Care'!$F$7:$F$745&gt;=Lists!$AE4)*('Intrapartum Care'!$F$7:$F$745&lt;=Lists!$AF4))</f>
        <v>0</v>
      </c>
      <c r="DW10" s="528">
        <f>SUMPRODUCT(('Intrapartum Care'!$AC$7:$AC$745=DW$6)*('Intrapartum Care'!$F$7:$F$745&gt;=Lists!$AE4)*('Intrapartum Care'!$F$7:$F$745&lt;=Lists!$AF4))</f>
        <v>0</v>
      </c>
      <c r="DX10" s="227">
        <f t="shared" si="19"/>
        <v>0</v>
      </c>
      <c r="DY10" s="295">
        <f>SUMPRODUCT(('Intrapartum Care'!$AE$7:$AE$745=DY$6)*('Intrapartum Care'!$F$7:$F$745&gt;=Lists!$AE4)*('Intrapartum Care'!$F$7:$F$745&lt;=Lists!$AF4))</f>
        <v>0</v>
      </c>
      <c r="DZ10" s="295">
        <f>SUMPRODUCT(('Intrapartum Care'!$AE$7:$AE$745=DZ$6)*('Intrapartum Care'!$F$7:$F$745&gt;=Lists!$AE4)*('Intrapartum Care'!$F$7:$F$745&lt;=Lists!$AF4))</f>
        <v>0</v>
      </c>
      <c r="EA10" s="295">
        <f>SUMPRODUCT(('Intrapartum Care'!$AE$7:$AE$745=EA$6)*('Intrapartum Care'!$F$7:$F$745&gt;=Lists!$AE4)*('Intrapartum Care'!$F$7:$F$745&lt;=Lists!$AF4))</f>
        <v>0</v>
      </c>
      <c r="EB10" s="227">
        <f t="shared" si="20"/>
        <v>0</v>
      </c>
      <c r="EC10" s="295">
        <f>SUMPRODUCT(('Intrapartum Care'!$AF$7:$AF$745=EC$6)*('Intrapartum Care'!$F$7:$F$745&gt;=Lists!$AE4)*('Intrapartum Care'!$F$7:$F$745&lt;=Lists!$AF4))</f>
        <v>0</v>
      </c>
      <c r="ED10" s="295">
        <f>SUMPRODUCT(('Intrapartum Care'!$AF$7:$AF$745=ED$6)*('Intrapartum Care'!$F$7:$F$745&gt;=Lists!$AE4)*('Intrapartum Care'!$F$7:$F$745&lt;=Lists!$AF4))</f>
        <v>0</v>
      </c>
      <c r="EE10" s="295">
        <f>SUMPRODUCT(('Intrapartum Care'!$AF$7:$AF$745=EE$6)*('Intrapartum Care'!$F$7:$F$745&gt;=Lists!$AE4)*('Intrapartum Care'!$F$7:$F$745&lt;=Lists!$AF4))</f>
        <v>0</v>
      </c>
      <c r="EF10" s="295">
        <f>SUMPRODUCT(('Intrapartum Care'!$AF$7:$AF$745=EF$6)*('Intrapartum Care'!$F$7:$F$745&gt;=Lists!$AE4)*('Intrapartum Care'!$F$7:$F$745&lt;=Lists!$AF4))</f>
        <v>0</v>
      </c>
      <c r="EG10" s="295">
        <f>SUMPRODUCT(('Intrapartum Care'!$AF$7:$AF$745=EG$6)*('Intrapartum Care'!$F$7:$F$745&gt;=Lists!$AE4)*('Intrapartum Care'!$F$7:$F$745&lt;=Lists!$AF4))</f>
        <v>0</v>
      </c>
      <c r="EH10" s="227">
        <f t="shared" si="21"/>
        <v>0</v>
      </c>
      <c r="EI10" s="295">
        <f>SUMPRODUCT(('Intrapartum Care'!$AG$7:$AG$745=EI$6)*('Intrapartum Care'!$F$7:$F$745&gt;=Lists!$AE4)*('Intrapartum Care'!$F$7:$F$745&lt;=Lists!$AF4))</f>
        <v>0</v>
      </c>
      <c r="EJ10" s="295">
        <f>SUMPRODUCT(('Intrapartum Care'!$AG$7:$AG$745=EJ$6)*('Intrapartum Care'!$F$7:$F$745&gt;=Lists!$AE4)*('Intrapartum Care'!$F$7:$F$745&lt;=Lists!$AF4))</f>
        <v>0</v>
      </c>
      <c r="EK10" s="295">
        <f>SUMPRODUCT(('Intrapartum Care'!$AG$7:$AG$745=EK$6)*('Intrapartum Care'!$F$7:$F$745&gt;=Lists!$AE4)*('Intrapartum Care'!$F$7:$F$745&lt;=Lists!$AF4))</f>
        <v>0</v>
      </c>
      <c r="EL10" s="295">
        <f>SUMPRODUCT(('Intrapartum Care'!$AG$7:$AG$745=EL$6)*('Intrapartum Care'!$F$7:$F$745&gt;=Lists!$AE4)*('Intrapartum Care'!$F$7:$F$745&lt;=Lists!$AF4))</f>
        <v>0</v>
      </c>
      <c r="EM10" s="295">
        <f>SUMPRODUCT(('Intrapartum Care'!$AG$7:$AG$745=EM$6)*('Intrapartum Care'!$F$7:$F$745&gt;=Lists!$AE4)*('Intrapartum Care'!$F$7:$F$745&lt;=Lists!$AF4))</f>
        <v>0</v>
      </c>
      <c r="EN10" s="295">
        <f>SUMPRODUCT(('Intrapartum Care'!$AG$7:$AG$745=EN$6)*('Intrapartum Care'!$F$7:$F$745&gt;=Lists!$AE4)*('Intrapartum Care'!$F$7:$F$745&lt;=Lists!$AF4))</f>
        <v>0</v>
      </c>
      <c r="EO10" s="227">
        <f t="shared" si="22"/>
        <v>0</v>
      </c>
      <c r="EP10" s="295">
        <f>SUMPRODUCT(('Intrapartum Care'!$AH$7:$AH$745=EP$6)*('Intrapartum Care'!$F$7:$F$745&gt;=Lists!$AE4)*('Intrapartum Care'!$F$7:$F$745&lt;=Lists!$AF4))</f>
        <v>0</v>
      </c>
      <c r="EQ10" s="295">
        <f>SUMPRODUCT(('Intrapartum Care'!$AH$7:$AH$745=EQ$6)*('Intrapartum Care'!$F$7:$F$745&gt;=Lists!$AE4)*('Intrapartum Care'!$F$7:$F$745&lt;=Lists!$AF4))</f>
        <v>0</v>
      </c>
      <c r="ER10" s="295">
        <f>SUMPRODUCT(('Intrapartum Care'!$AH$7:$AH$745=ER$6)*('Intrapartum Care'!$F$7:$F$745&gt;=Lists!$AE4)*('Intrapartum Care'!$F$7:$F$745&lt;=Lists!$AF4))</f>
        <v>0</v>
      </c>
      <c r="ES10" s="227">
        <f t="shared" si="23"/>
        <v>0</v>
      </c>
      <c r="ET10" s="290">
        <f>SUMPRODUCT(('Intrapartum Care'!$AK$7:$AK$745=ET$6)*('Intrapartum Care'!$F$7:$F$745&gt;=Lists!$AE4)*('Intrapartum Care'!$F$7:$F$745&lt;=Lists!$AF4))</f>
        <v>0</v>
      </c>
      <c r="EU10" s="290">
        <f>SUMPRODUCT(('Intrapartum Care'!$AK$7:$AK$745=EU$6)*('Intrapartum Care'!$F$7:$F$745&gt;=Lists!$AE4)*('Intrapartum Care'!$F$7:$F$745&lt;=Lists!$AF4))</f>
        <v>0</v>
      </c>
      <c r="EV10" s="290">
        <f>SUMPRODUCT(('Intrapartum Care'!$AK$7:$AK$745=EV$6)*('Intrapartum Care'!$F$7:$F$745&gt;=Lists!$AE4)*('Intrapartum Care'!$F$7:$F$745&lt;=Lists!$AF4))</f>
        <v>0</v>
      </c>
      <c r="EW10" s="227">
        <f t="shared" si="24"/>
        <v>0</v>
      </c>
      <c r="EX10" s="290">
        <f>SUMPRODUCT(('Intrapartum Care'!$AL$7:$AL$745=EX$6)*('Intrapartum Care'!$F$7:$F$745&gt;=Lists!$AE4)*('Intrapartum Care'!$F$7:$F$745&lt;=Lists!$AF4))</f>
        <v>0</v>
      </c>
      <c r="EY10" s="290">
        <f>SUMPRODUCT(('Intrapartum Care'!$AL$7:$AL$745=EY$6)*('Intrapartum Care'!$F$7:$F$745&gt;=Lists!$AE4)*('Intrapartum Care'!$F$7:$F$745&lt;=Lists!$AF4))</f>
        <v>0</v>
      </c>
      <c r="EZ10" s="290">
        <f>SUMPRODUCT(('Intrapartum Care'!$AL$7:$AL$745=EZ$6)*('Intrapartum Care'!$F$7:$F$745&gt;=Lists!$AE4)*('Intrapartum Care'!$F$7:$F$745&lt;=Lists!$AF4))</f>
        <v>0</v>
      </c>
      <c r="FA10" s="227">
        <f t="shared" si="0"/>
        <v>0</v>
      </c>
      <c r="FB10" s="290">
        <f>SUMPRODUCT(('Intrapartum Care'!$AM$7:$AM$745=FB$6)*('Intrapartum Care'!$F$7:$F$745&gt;=Lists!$AE4)*('Intrapartum Care'!$F$7:$F$745&lt;=Lists!$AF4))</f>
        <v>0</v>
      </c>
      <c r="FC10" s="290">
        <f>SUMPRODUCT(('Intrapartum Care'!$AM$7:$AM$745=FC$6)*('Intrapartum Care'!$F$7:$F$745&gt;=Lists!$AE4)*('Intrapartum Care'!$F$7:$F$745&lt;=Lists!$AF4))</f>
        <v>0</v>
      </c>
      <c r="FD10" s="290">
        <f>SUMPRODUCT(('Intrapartum Care'!$AM$7:$AM$745=FD$6)*('Intrapartum Care'!$F$7:$F$745&gt;=Lists!$AE4)*('Intrapartum Care'!$F$7:$F$745&lt;=Lists!$AF4))</f>
        <v>0</v>
      </c>
      <c r="FE10" s="290">
        <f>SUMPRODUCT(('Intrapartum Care'!$AM$7:$AM$745=FE$6)*('Intrapartum Care'!$F$7:$F$745&gt;=Lists!$AE4)*('Intrapartum Care'!$F$7:$F$745&lt;=Lists!$AF4))</f>
        <v>0</v>
      </c>
      <c r="FF10" s="290">
        <f>SUMPRODUCT(('Intrapartum Care'!$AM$7:$AM$745=FF$6)*('Intrapartum Care'!$F$7:$F$745&gt;=Lists!$AE4)*('Intrapartum Care'!$F$7:$F$745&lt;=Lists!$AF4))</f>
        <v>0</v>
      </c>
      <c r="FG10" s="227">
        <f t="shared" si="25"/>
        <v>0</v>
      </c>
      <c r="FH10" s="290">
        <f>SUMPRODUCT(('Intrapartum Care'!$AN$7:$AN$745=FH$6)*('Intrapartum Care'!$F$7:$F$745&gt;=Lists!$AE4)*('Intrapartum Care'!$F$7:$F$745&lt;=Lists!$AF4))</f>
        <v>0</v>
      </c>
      <c r="FI10" s="290">
        <f>SUMPRODUCT(('Intrapartum Care'!$AN$7:$AN$745=FI$6)*('Intrapartum Care'!$F$7:$F$745&gt;=Lists!$AE4)*('Intrapartum Care'!$F$7:$F$745&lt;=Lists!$AF4))</f>
        <v>0</v>
      </c>
      <c r="FJ10" s="290">
        <f>SUMPRODUCT(('Intrapartum Care'!$AN$7:$AN$745=FJ$6)*('Intrapartum Care'!$F$7:$F$745&gt;=Lists!$AE4)*('Intrapartum Care'!$F$7:$F$745&lt;=Lists!$AF4))</f>
        <v>0</v>
      </c>
      <c r="FK10" s="290">
        <f>SUMPRODUCT(('Intrapartum Care'!$AN$7:$AN$745=FK$6)*('Intrapartum Care'!$F$7:$F$745&gt;=Lists!$AE4)*('Intrapartum Care'!$F$7:$F$745&lt;=Lists!$AF4))</f>
        <v>0</v>
      </c>
      <c r="FL10" s="227">
        <f t="shared" si="26"/>
        <v>0</v>
      </c>
      <c r="FM10" s="290">
        <f>SUMPRODUCT(('Intrapartum Care'!$AS$7:$AS$745=FM$6)*('Intrapartum Care'!$F$7:$F$745&gt;=Lists!$AE4)*('Intrapartum Care'!$F$7:$F$745&lt;=Lists!$AF4))</f>
        <v>0</v>
      </c>
      <c r="FN10" s="290">
        <f>SUMPRODUCT(('Intrapartum Care'!$AS$7:$AS$745=FN$6)*('Intrapartum Care'!$F$7:$F$745&gt;=Lists!$AE4)*('Intrapartum Care'!$F$7:$F$745&lt;=Lists!$AF4))</f>
        <v>0</v>
      </c>
      <c r="FO10" s="290">
        <f>SUMPRODUCT(('Intrapartum Care'!$AS$7:$AS$745=FO$6)*('Intrapartum Care'!$F$7:$F$745&gt;=Lists!$AE4)*('Intrapartum Care'!$F$7:$F$745&lt;=Lists!$AF4))</f>
        <v>0</v>
      </c>
      <c r="FP10" s="290">
        <f>SUMPRODUCT(('Intrapartum Care'!$AS$7:$AS$745=FP$6)*('Intrapartum Care'!$F$7:$F$745&gt;=Lists!$AE4)*('Intrapartum Care'!$F$7:$F$745&lt;=Lists!$AF4))</f>
        <v>0</v>
      </c>
      <c r="FQ10" s="227">
        <f t="shared" si="27"/>
        <v>0</v>
      </c>
      <c r="FR10" s="290">
        <f>SUMPRODUCT(('Intrapartum Care'!$AZ$7:$AZ$745=FR$6)*('Intrapartum Care'!$F$7:$F$745&gt;=Lists!$AE4)*('Intrapartum Care'!$F$7:$F$745&lt;=Lists!$AF4))</f>
        <v>0</v>
      </c>
      <c r="FS10" s="290">
        <f>SUMPRODUCT(('Intrapartum Care'!$AZ$7:$AZ$745=FS$6)*('Intrapartum Care'!$F$7:$F$745&gt;=Lists!$AE4)*('Intrapartum Care'!$F$7:$F$745&lt;=Lists!$AF4))</f>
        <v>0</v>
      </c>
      <c r="FT10" s="290">
        <f>SUMPRODUCT(('Intrapartum Care'!$AZ$7:$AZ$745=FT$6)*('Intrapartum Care'!$F$7:$F$745&gt;=Lists!$AE4)*('Intrapartum Care'!$F$7:$F$745&lt;=Lists!$AF4))</f>
        <v>0</v>
      </c>
      <c r="FU10" s="227">
        <f t="shared" si="28"/>
        <v>0</v>
      </c>
      <c r="FV10" s="290">
        <f>SUMPRODUCT(('Intrapartum Care'!$BA$7:$BA$745=FV$6)*('Intrapartum Care'!$F$7:$F$745&gt;=Lists!$AE4)*('Intrapartum Care'!$F$7:$F$745&lt;=Lists!$AF4))</f>
        <v>0</v>
      </c>
      <c r="FW10" s="290">
        <f>SUMPRODUCT(('Intrapartum Care'!$BA$7:$BA$745=FW$6)*('Intrapartum Care'!$F$7:$F$745&gt;=Lists!$AE4)*('Intrapartum Care'!$F$7:$F$745&lt;=Lists!$AF4))</f>
        <v>0</v>
      </c>
      <c r="FX10" s="290">
        <f>SUMPRODUCT(('Intrapartum Care'!$BA$7:$BA$745=FX$6)*('Intrapartum Care'!$F$7:$F$745&gt;=Lists!$AE4)*('Intrapartum Care'!$F$7:$F$745&lt;=Lists!$AF4))</f>
        <v>0</v>
      </c>
      <c r="FY10" s="227">
        <f t="shared" si="29"/>
        <v>0</v>
      </c>
      <c r="FZ10" s="290">
        <f>SUMPRODUCT(('Intrapartum Care'!$BB$7:$BB$745=FZ$6)*('Intrapartum Care'!$F$7:$F$745&gt;=Lists!$AE4)*('Intrapartum Care'!$F$7:$F$745&lt;=Lists!$AF4))</f>
        <v>0</v>
      </c>
      <c r="GA10" s="290">
        <f>SUMPRODUCT(('Intrapartum Care'!$BB$7:$BB$745=GA$6)*('Intrapartum Care'!$F$7:$F$745&gt;=Lists!$AE4)*('Intrapartum Care'!$F$7:$F$745&lt;=Lists!$AF4))</f>
        <v>0</v>
      </c>
      <c r="GB10" s="290">
        <f>SUMPRODUCT(('Intrapartum Care'!$BB$7:$BB$745=GB$6)*('Intrapartum Care'!$F$7:$F$745&gt;=Lists!$AE4)*('Intrapartum Care'!$F$7:$F$745&lt;=Lists!$AF4))</f>
        <v>0</v>
      </c>
      <c r="GC10" s="290">
        <f>SUMPRODUCT(('Intrapartum Care'!$BB$7:$BB$745=GC$6)*('Intrapartum Care'!$F$7:$F$745&gt;=Lists!$AE4)*('Intrapartum Care'!$F$7:$F$745&lt;=Lists!$AF4))</f>
        <v>0</v>
      </c>
      <c r="GD10" s="290">
        <f>SUMPRODUCT(('Intrapartum Care'!$BB$7:$BB$745=GD$6)*('Intrapartum Care'!$F$7:$F$745&gt;=Lists!$AE4)*('Intrapartum Care'!$F$7:$F$745&lt;=Lists!$AF4))</f>
        <v>0</v>
      </c>
      <c r="GE10" s="290">
        <f>SUMPRODUCT(('Intrapartum Care'!$BB$7:$BB$745=GE$6)*('Intrapartum Care'!$F$7:$F$745&gt;=Lists!$AE4)*('Intrapartum Care'!$F$7:$F$745&lt;=Lists!$AF4))</f>
        <v>0</v>
      </c>
      <c r="GF10" s="290">
        <f>SUMPRODUCT(('Intrapartum Care'!$BB$7:$BB$745=GF$6)*('Intrapartum Care'!$F$7:$F$745&gt;=Lists!$AE4)*('Intrapartum Care'!$F$7:$F$745&lt;=Lists!$AF4))</f>
        <v>0</v>
      </c>
      <c r="GG10" s="290">
        <f>SUMPRODUCT(('Intrapartum Care'!$BB$7:$BB$745=GG$6)*('Intrapartum Care'!$F$7:$F$745&gt;=Lists!$AE4)*('Intrapartum Care'!$F$7:$F$745&lt;=Lists!$AF4))</f>
        <v>0</v>
      </c>
      <c r="GH10" s="290">
        <f>SUMPRODUCT(('Intrapartum Care'!$BB$7:$BB$745=GH$6)*('Intrapartum Care'!$F$7:$F$745&gt;=Lists!$AE4)*('Intrapartum Care'!$F$7:$F$745&lt;=Lists!$AF4))</f>
        <v>0</v>
      </c>
      <c r="GI10" s="290">
        <f>SUMPRODUCT(('Intrapartum Care'!$BB$7:$BB$745=GI$6)*('Intrapartum Care'!$F$7:$F$745&gt;=Lists!$AE4)*('Intrapartum Care'!$F$7:$F$745&lt;=Lists!$AF4))</f>
        <v>0</v>
      </c>
      <c r="GJ10" s="290">
        <f>SUMPRODUCT(('Intrapartum Care'!$BB$7:$BB$745=GJ$6)*('Intrapartum Care'!$F$7:$F$745&gt;=Lists!$AE4)*('Intrapartum Care'!$F$7:$F$745&lt;=Lists!$AF4))</f>
        <v>0</v>
      </c>
      <c r="GK10" s="290">
        <f>SUMPRODUCT(('Intrapartum Care'!$BB$7:$BB$745=GK$6)*('Intrapartum Care'!$F$7:$F$745&gt;=Lists!$AE4)*('Intrapartum Care'!$F$7:$F$745&lt;=Lists!$AF4))</f>
        <v>0</v>
      </c>
      <c r="GL10" s="290">
        <f>SUMPRODUCT(('Intrapartum Care'!$BB$7:$BB$745=GL$6)*('Intrapartum Care'!$F$7:$F$745&gt;=Lists!$AE4)*('Intrapartum Care'!$F$7:$F$745&lt;=Lists!$AF4))</f>
        <v>0</v>
      </c>
      <c r="GM10" s="290">
        <f>SUMPRODUCT(('Intrapartum Care'!$BB$7:$BB$745=GM$6)*('Intrapartum Care'!$F$7:$F$745&gt;=Lists!$AE4)*('Intrapartum Care'!$F$7:$F$745&lt;=Lists!$AF4))</f>
        <v>0</v>
      </c>
      <c r="GN10" s="290">
        <f>SUMPRODUCT(('Intrapartum Care'!$BB$7:$BB$745=GN$6)*('Intrapartum Care'!$F$7:$F$745&gt;=Lists!$AE4)*('Intrapartum Care'!$F$7:$F$745&lt;=Lists!$AF4))</f>
        <v>0</v>
      </c>
      <c r="GO10" s="290">
        <f>SUMPRODUCT(('Intrapartum Care'!$BB$7:$BB$745=GO$6)*('Intrapartum Care'!$F$7:$F$745&gt;=Lists!$AE4)*('Intrapartum Care'!$F$7:$F$745&lt;=Lists!$AF4))</f>
        <v>0</v>
      </c>
      <c r="GP10" s="290">
        <f>SUMPRODUCT(('Intrapartum Care'!$BB$7:$BB$745=GP$6)*('Intrapartum Care'!$F$7:$F$745&gt;=Lists!$AE4)*('Intrapartum Care'!$F$7:$F$745&lt;=Lists!$AF4))</f>
        <v>0</v>
      </c>
      <c r="GQ10" s="290">
        <f>SUMPRODUCT(('Intrapartum Care'!$BB$7:$BB$745=GQ$6)*('Intrapartum Care'!$F$7:$F$745&gt;=Lists!$AE4)*('Intrapartum Care'!$F$7:$F$745&lt;=Lists!$AF4))</f>
        <v>0</v>
      </c>
      <c r="GR10" s="290">
        <f>SUMPRODUCT(('Intrapartum Care'!$BB$7:$BB$745=GR$6)*('Intrapartum Care'!$F$7:$F$745&gt;=Lists!$AE4)*('Intrapartum Care'!$F$7:$F$745&lt;=Lists!$AF4))</f>
        <v>0</v>
      </c>
      <c r="GS10" s="290">
        <f>SUMPRODUCT(('Intrapartum Care'!$BB$7:$BB$745=GS$6)*('Intrapartum Care'!$F$7:$F$745&gt;=Lists!$AE4)*('Intrapartum Care'!$F$7:$F$745&lt;=Lists!$AF4))</f>
        <v>0</v>
      </c>
      <c r="GT10" s="227">
        <f t="shared" si="30"/>
        <v>0</v>
      </c>
      <c r="GU10" s="290">
        <f>SUMPRODUCT(('Intrapartum Care'!$BC$7:$BC$745=GU$6)*('Intrapartum Care'!$F$7:$F$745&gt;=Lists!$AE4)*('Intrapartum Care'!$F$7:$F$745&lt;=Lists!$AF4))</f>
        <v>0</v>
      </c>
      <c r="GV10" s="290">
        <f>SUMPRODUCT(('Intrapartum Care'!$BC$7:$BC$745=GV$6)*('Intrapartum Care'!$F$7:$F$745&gt;=Lists!$AE4)*('Intrapartum Care'!$F$7:$F$745&lt;=Lists!$AF4))</f>
        <v>0</v>
      </c>
      <c r="GW10" s="290">
        <f>SUMPRODUCT(('Intrapartum Care'!$BC$7:$BC$745=GW$6)*('Intrapartum Care'!$F$7:$F$745&gt;=Lists!$AE4)*('Intrapartum Care'!$F$7:$F$745&lt;=Lists!$AF4))</f>
        <v>0</v>
      </c>
      <c r="GX10" s="290">
        <f>SUMPRODUCT(('Intrapartum Care'!$BC$7:$BC$745=GX$6)*('Intrapartum Care'!$F$7:$F$745&gt;=Lists!$AE4)*('Intrapartum Care'!$F$7:$F$745&lt;=Lists!$AF4))</f>
        <v>0</v>
      </c>
      <c r="GY10" s="290">
        <f>SUMPRODUCT(('Intrapartum Care'!$BC$7:$BC$745=GY$6)*('Intrapartum Care'!$F$7:$F$745&gt;=Lists!$AE4)*('Intrapartum Care'!$F$7:$F$745&lt;=Lists!$AF4))</f>
        <v>0</v>
      </c>
      <c r="GZ10" s="290">
        <f>SUMPRODUCT(('Intrapartum Care'!$BC$7:$BC$745=GZ$6)*('Intrapartum Care'!$F$7:$F$745&gt;=Lists!$AE4)*('Intrapartum Care'!$F$7:$F$745&lt;=Lists!$AF4))</f>
        <v>0</v>
      </c>
      <c r="HA10" s="290">
        <f>SUMPRODUCT(('Intrapartum Care'!$BC$7:$BC$745=HA$6)*('Intrapartum Care'!$F$7:$F$745&gt;=Lists!$AE4)*('Intrapartum Care'!$F$7:$F$745&lt;=Lists!$AF4))</f>
        <v>0</v>
      </c>
      <c r="HB10" s="290">
        <f>SUMPRODUCT(('Intrapartum Care'!$BC$7:$BC$745=HB$6)*('Intrapartum Care'!$F$7:$F$745&gt;=Lists!$AE4)*('Intrapartum Care'!$F$7:$F$745&lt;=Lists!$AF4))</f>
        <v>0</v>
      </c>
      <c r="HC10" s="290">
        <f>SUMPRODUCT(('Intrapartum Care'!$BC$7:$BC$745=HC$6)*('Intrapartum Care'!$F$7:$F$745&gt;=Lists!$AE4)*('Intrapartum Care'!$F$7:$F$745&lt;=Lists!$AF4))</f>
        <v>0</v>
      </c>
      <c r="HD10" s="290">
        <f>SUMPRODUCT(('Intrapartum Care'!$BC$7:$BC$745=HD$6)*('Intrapartum Care'!$F$7:$F$745&gt;=Lists!$AE4)*('Intrapartum Care'!$F$7:$F$745&lt;=Lists!$AF4))</f>
        <v>0</v>
      </c>
      <c r="HE10" s="290">
        <f>SUMPRODUCT(('Intrapartum Care'!$BC$7:$BC$745=HE$6)*('Intrapartum Care'!$F$7:$F$745&gt;=Lists!$AE4)*('Intrapartum Care'!$F$7:$F$745&lt;=Lists!$AF4))</f>
        <v>0</v>
      </c>
      <c r="HF10" s="227">
        <f t="shared" si="31"/>
        <v>0</v>
      </c>
      <c r="HG10" s="290">
        <f>SUMPRODUCT(('Intrapartum Care'!$BD$7:$BD$745=HG$6)*('Intrapartum Care'!$F$7:$F$745&gt;=Lists!$AE4)*('Intrapartum Care'!$F$7:$F$745&lt;=Lists!$AF4))</f>
        <v>0</v>
      </c>
      <c r="HH10" s="290">
        <f>SUMPRODUCT(('Intrapartum Care'!$BD$7:$BD$745=HH$6)*('Intrapartum Care'!$F$7:$F$745&gt;=Lists!$AE4)*('Intrapartum Care'!$F$7:$F$745&lt;=Lists!$AF4))</f>
        <v>0</v>
      </c>
      <c r="HI10" s="290">
        <f>SUMPRODUCT(('Intrapartum Care'!$BD$7:$BD$745=HI$6)*('Intrapartum Care'!$F$7:$F$745&gt;=Lists!$AE4)*('Intrapartum Care'!$F$7:$F$745&lt;=Lists!$AF4))</f>
        <v>0</v>
      </c>
      <c r="HJ10" s="290">
        <f>SUMPRODUCT(('Intrapartum Care'!$BD$7:$BD$745=HJ$6)*('Intrapartum Care'!$F$7:$F$745&gt;=Lists!$AE4)*('Intrapartum Care'!$F$7:$F$745&lt;=Lists!$AF4))</f>
        <v>0</v>
      </c>
      <c r="HK10" s="290">
        <f>SUMPRODUCT(('Intrapartum Care'!$BD$7:$BD$745=HK$6)*('Intrapartum Care'!$F$7:$F$745&gt;=Lists!$AE4)*('Intrapartum Care'!$F$7:$F$745&lt;=Lists!$AF4))</f>
        <v>0</v>
      </c>
      <c r="HL10" s="290">
        <f>SUMPRODUCT(('Intrapartum Care'!$BD$7:$BD$745=HL$6)*('Intrapartum Care'!$F$7:$F$745&gt;=Lists!$AE4)*('Intrapartum Care'!$F$7:$F$745&lt;=Lists!$AF4))</f>
        <v>0</v>
      </c>
      <c r="HM10" s="290">
        <f>SUMPRODUCT(('Intrapartum Care'!$BD$7:$BD$745=HM$6)*('Intrapartum Care'!$F$7:$F$745&gt;=Lists!$AE4)*('Intrapartum Care'!$F$7:$F$745&lt;=Lists!$AF4))</f>
        <v>0</v>
      </c>
      <c r="HN10" s="290">
        <f>SUMPRODUCT(('Intrapartum Care'!$BD$7:$BD$745=HN$6)*('Intrapartum Care'!$F$7:$F$745&gt;=Lists!$AE4)*('Intrapartum Care'!$F$7:$F$745&lt;=Lists!$AF4))</f>
        <v>0</v>
      </c>
      <c r="HO10" s="290">
        <f>SUMPRODUCT(('Intrapartum Care'!$BD$7:$BD$745=HO$6)*('Intrapartum Care'!$F$7:$F$745&gt;=Lists!$AE4)*('Intrapartum Care'!$F$7:$F$745&lt;=Lists!$AF4))</f>
        <v>0</v>
      </c>
      <c r="HP10" s="290">
        <f>SUMPRODUCT(('Intrapartum Care'!$BD$7:$BD$745=HP$6)*('Intrapartum Care'!$F$7:$F$745&gt;=Lists!$AE4)*('Intrapartum Care'!$F$7:$F$745&lt;=Lists!$AF4))</f>
        <v>0</v>
      </c>
      <c r="HQ10" s="290">
        <f>SUMPRODUCT(('Intrapartum Care'!$BD$7:$BD$745=HQ$6)*('Intrapartum Care'!$F$7:$F$745&gt;=Lists!$AE4)*('Intrapartum Care'!$F$7:$F$745&lt;=Lists!$AF4))</f>
        <v>0</v>
      </c>
      <c r="HR10" s="290">
        <f>SUMPRODUCT(('Intrapartum Care'!$BD$7:$BD$745=HR$6)*('Intrapartum Care'!$F$7:$F$745&gt;=Lists!$AE4)*('Intrapartum Care'!$F$7:$F$745&lt;=Lists!$AF4))</f>
        <v>0</v>
      </c>
      <c r="HS10" s="290">
        <f>SUMPRODUCT(('Intrapartum Care'!$BD$7:$BD$745=HS$6)*('Intrapartum Care'!$F$7:$F$745&gt;=Lists!$AE4)*('Intrapartum Care'!$F$7:$F$745&lt;=Lists!$AF4))</f>
        <v>0</v>
      </c>
      <c r="HT10" s="290">
        <f>SUMPRODUCT(('Intrapartum Care'!$BD$7:$BD$745=HT$6)*('Intrapartum Care'!$F$7:$F$745&gt;=Lists!$AE4)*('Intrapartum Care'!$F$7:$F$745&lt;=Lists!$AF4))</f>
        <v>0</v>
      </c>
      <c r="HU10" s="290">
        <f>SUMPRODUCT(('Intrapartum Care'!$BD$7:$BD$745=HU$6)*('Intrapartum Care'!$F$7:$F$745&gt;=Lists!$AE4)*('Intrapartum Care'!$F$7:$F$745&lt;=Lists!$AF4))</f>
        <v>0</v>
      </c>
      <c r="HV10" s="290">
        <f>SUMPRODUCT(('Intrapartum Care'!$BD$7:$BD$745=HV$6)*('Intrapartum Care'!$F$7:$F$745&gt;=Lists!$AE4)*('Intrapartum Care'!$F$7:$F$745&lt;=Lists!$AF4))</f>
        <v>0</v>
      </c>
      <c r="HW10" s="290">
        <f>SUMPRODUCT(('Intrapartum Care'!$BD$7:$BD$745=HW$6)*('Intrapartum Care'!$F$7:$F$745&gt;=Lists!$AE4)*('Intrapartum Care'!$F$7:$F$745&lt;=Lists!$AF4))</f>
        <v>0</v>
      </c>
      <c r="HX10" s="290">
        <f>SUMPRODUCT(('Intrapartum Care'!$BD$7:$BD$745=HX$6)*('Intrapartum Care'!$F$7:$F$745&gt;=Lists!$AE4)*('Intrapartum Care'!$F$7:$F$745&lt;=Lists!$AF4))</f>
        <v>0</v>
      </c>
      <c r="HY10" s="290">
        <f>SUMPRODUCT(('Intrapartum Care'!$BD$7:$BD$745=HY$6)*('Intrapartum Care'!$F$7:$F$745&gt;=Lists!$AE4)*('Intrapartum Care'!$F$7:$F$745&lt;=Lists!$AF4))</f>
        <v>0</v>
      </c>
      <c r="HZ10" s="290">
        <f>SUMPRODUCT(('Intrapartum Care'!$BD$7:$BD$745=HZ$6)*('Intrapartum Care'!$F$7:$F$745&gt;=Lists!$AE4)*('Intrapartum Care'!$F$7:$F$745&lt;=Lists!$AF4))</f>
        <v>0</v>
      </c>
      <c r="IA10" s="290">
        <f>SUMPRODUCT(('Intrapartum Care'!$BD$7:$BD$745=IA$6)*('Intrapartum Care'!$F$7:$F$745&gt;=Lists!$AE4)*('Intrapartum Care'!$F$7:$F$745&lt;=Lists!$AF4))</f>
        <v>0</v>
      </c>
      <c r="IB10" s="290">
        <f>SUMPRODUCT(('Intrapartum Care'!$BD$7:$BD$745=IB$6)*('Intrapartum Care'!$F$7:$F$745&gt;=Lists!$AE4)*('Intrapartum Care'!$F$7:$F$745&lt;=Lists!$AF4))</f>
        <v>0</v>
      </c>
      <c r="IC10" s="290">
        <f>SUMPRODUCT(('Intrapartum Care'!$BD$7:$BD$745=IC$6)*('Intrapartum Care'!$F$7:$F$745&gt;=Lists!$AE4)*('Intrapartum Care'!$F$7:$F$745&lt;=Lists!$AF4))</f>
        <v>0</v>
      </c>
      <c r="ID10" s="290">
        <f>SUMPRODUCT(('Intrapartum Care'!$BD$7:$BD$745=ID$6)*('Intrapartum Care'!$F$7:$F$745&gt;=Lists!$AE4)*('Intrapartum Care'!$F$7:$F$745&lt;=Lists!$AF4))</f>
        <v>0</v>
      </c>
      <c r="IE10" s="290">
        <f>SUMPRODUCT(('Intrapartum Care'!$BD$7:$BD$745=IE$6)*('Intrapartum Care'!$F$7:$F$745&gt;=Lists!$AE4)*('Intrapartum Care'!$F$7:$F$745&lt;=Lists!$AF4))</f>
        <v>0</v>
      </c>
      <c r="IF10" s="290">
        <f>SUMPRODUCT(('Intrapartum Care'!$BD$7:$BD$745=IF$6)*('Intrapartum Care'!$F$7:$F$745&gt;=Lists!$AE4)*('Intrapartum Care'!$F$7:$F$745&lt;=Lists!$AF4))</f>
        <v>0</v>
      </c>
      <c r="IG10" s="290">
        <f>SUMPRODUCT(('Intrapartum Care'!$BD$7:$BD$745=IG$6)*('Intrapartum Care'!$F$7:$F$745&gt;=Lists!$AE4)*('Intrapartum Care'!$F$7:$F$745&lt;=Lists!$AF4))</f>
        <v>0</v>
      </c>
      <c r="IH10" s="290">
        <f>SUMPRODUCT(('Intrapartum Care'!$BD$7:$BD$745=IH$6)*('Intrapartum Care'!$F$7:$F$745&gt;=Lists!$AE4)*('Intrapartum Care'!$F$7:$F$745&lt;=Lists!$AF4))</f>
        <v>0</v>
      </c>
      <c r="II10" s="227">
        <f t="shared" si="32"/>
        <v>0</v>
      </c>
      <c r="IJ10" s="290">
        <f>SUMPRODUCT(('Intrapartum Care'!$BE$7:$BE$745=IJ$6)*('Intrapartum Care'!$F$7:$F$745&gt;=Lists!$AE4)*('Intrapartum Care'!$F$7:$F$745&lt;=Lists!$AF4))</f>
        <v>0</v>
      </c>
      <c r="IK10" s="290">
        <f>SUMPRODUCT(('Intrapartum Care'!$BE$7:$BE$745=IK$6)*('Intrapartum Care'!$F$7:$F$745&gt;=Lists!$AE4)*('Intrapartum Care'!$F$7:$F$745&lt;=Lists!$AF4))</f>
        <v>0</v>
      </c>
      <c r="IL10" s="290">
        <f>SUMPRODUCT(('Intrapartum Care'!$BE$7:$BE$745=IL$6)*('Intrapartum Care'!$F$7:$F$745&gt;=Lists!$AE4)*('Intrapartum Care'!$F$7:$F$745&lt;=Lists!$AF4))</f>
        <v>0</v>
      </c>
      <c r="IM10" s="290">
        <f>SUMPRODUCT(('Intrapartum Care'!$BE$7:$BE$745=IM$6)*('Intrapartum Care'!$F$7:$F$745&gt;=Lists!$AE4)*('Intrapartum Care'!$F$7:$F$745&lt;=Lists!$AF4))</f>
        <v>0</v>
      </c>
      <c r="IN10" s="290">
        <f>SUMPRODUCT(('Intrapartum Care'!$BE$7:$BE$745=IN$6)*('Intrapartum Care'!$F$7:$F$745&gt;=Lists!$AE4)*('Intrapartum Care'!$F$7:$F$745&lt;=Lists!$AF4))</f>
        <v>0</v>
      </c>
      <c r="IO10" s="290">
        <f>SUMPRODUCT(('Intrapartum Care'!$BE$7:$BE$745=IO$6)*('Intrapartum Care'!$F$7:$F$745&gt;=Lists!$AE4)*('Intrapartum Care'!$F$7:$F$745&lt;=Lists!$AF4))</f>
        <v>0</v>
      </c>
      <c r="IP10" s="290">
        <f>SUMPRODUCT(('Intrapartum Care'!$BE$7:$BE$745=IP$6)*('Intrapartum Care'!$F$7:$F$745&gt;=Lists!$AE4)*('Intrapartum Care'!$F$7:$F$745&lt;=Lists!$AF4))</f>
        <v>0</v>
      </c>
      <c r="IQ10" s="170">
        <f t="shared" si="33"/>
        <v>0</v>
      </c>
      <c r="IR10" s="290">
        <f>SUMPRODUCT(('Intrapartum Care'!$BF$7:$BF$745=IR$6)*('Intrapartum Care'!$F$7:$F$745&gt;=Lists!$AE4)*('Intrapartum Care'!$F$7:$F$745&lt;=Lists!$AF4))</f>
        <v>0</v>
      </c>
      <c r="IS10" s="290">
        <f>SUMPRODUCT(('Intrapartum Care'!$BF$7:$BF$745=IS$6)*('Intrapartum Care'!$F$7:$F$745&gt;=Lists!$AE4)*('Intrapartum Care'!$F$7:$F$745&lt;=Lists!$AF4))</f>
        <v>0</v>
      </c>
      <c r="IT10" s="290">
        <f>SUMPRODUCT(('Intrapartum Care'!$BF$7:$BF$745=IT$6)*('Intrapartum Care'!$F$7:$F$745&gt;=Lists!$AE4)*('Intrapartum Care'!$F$7:$F$745&lt;=Lists!$AF4))</f>
        <v>0</v>
      </c>
      <c r="IU10" s="290">
        <f>SUMPRODUCT(('Intrapartum Care'!$BF$7:$BF$745=IU$6)*('Intrapartum Care'!$F$7:$F$745&gt;=Lists!$AE4)*('Intrapartum Care'!$F$7:$F$745&lt;=Lists!$AF4))</f>
        <v>0</v>
      </c>
      <c r="IV10" s="170">
        <f t="shared" si="34"/>
        <v>0</v>
      </c>
      <c r="IW10" s="290">
        <f>SUMPRODUCT(('Intrapartum Care'!$BH$7:$BH$745=IW$6)*('Intrapartum Care'!$F$7:$F$745&gt;=Lists!$AE4)*('Intrapartum Care'!$F$7:$F$745&lt;=Lists!$AF4))</f>
        <v>0</v>
      </c>
      <c r="IX10" s="290">
        <f>SUMPRODUCT(('Intrapartum Care'!$BH$7:$BH$745=IX$6)*('Intrapartum Care'!$F$7:$F$745&gt;=Lists!$AE4)*('Intrapartum Care'!$F$7:$F$745&lt;=Lists!$AF4))</f>
        <v>0</v>
      </c>
      <c r="IY10" s="290">
        <f>SUMPRODUCT(('Intrapartum Care'!$BH$7:$BH$745=IY$6)*('Intrapartum Care'!$F$7:$F$745&gt;=Lists!$AE4)*('Intrapartum Care'!$F$7:$F$745&lt;=Lists!$AF4))</f>
        <v>0</v>
      </c>
      <c r="IZ10" s="290">
        <f>SUMPRODUCT(('Intrapartum Care'!$BH$7:$BH$745=IZ$6)*('Intrapartum Care'!$F$7:$F$745&gt;=Lists!$AE4)*('Intrapartum Care'!$F$7:$F$745&lt;=Lists!$AF4))</f>
        <v>0</v>
      </c>
      <c r="JA10" s="290">
        <f>SUMPRODUCT(('Intrapartum Care'!$BH$7:$BH$745=JA$6)*('Intrapartum Care'!$F$7:$F$745&gt;=Lists!$AE4)*('Intrapartum Care'!$F$7:$F$745&lt;=Lists!$AF4))</f>
        <v>0</v>
      </c>
      <c r="JB10" s="551">
        <f t="shared" si="35"/>
        <v>0</v>
      </c>
      <c r="JC10" s="243">
        <f t="shared" si="1"/>
        <v>0</v>
      </c>
      <c r="JD10" s="15"/>
      <c r="JE10" s="15"/>
      <c r="JF10" s="15"/>
      <c r="JG10" s="15"/>
      <c r="JH10" s="15"/>
      <c r="JI10" s="15"/>
      <c r="JJ10" s="15"/>
      <c r="JK10" s="15"/>
      <c r="JL10" s="16"/>
      <c r="JM10" s="15"/>
      <c r="JN10" s="15"/>
      <c r="JO10" s="15"/>
      <c r="JP10" s="15"/>
    </row>
    <row r="11" spans="1:279" ht="15" customHeight="1" x14ac:dyDescent="0.35">
      <c r="A11" s="570">
        <v>45839</v>
      </c>
      <c r="B11" s="345">
        <f>SUMPRODUCT(('Intrapartum Care'!$C$7:$C$745=B$6)*('Intrapartum Care'!$F$7:$F$745&gt;=Lists!$AE5)*('Intrapartum Care'!$F$7:$F$745&lt;=Lists!$AF5))</f>
        <v>0</v>
      </c>
      <c r="C11" s="251">
        <f>SUMPRODUCT(('Intrapartum Care'!$C$7:$C$745=C$6)*('Intrapartum Care'!$F$7:$F$745&gt;=Lists!$AE5)*('Intrapartum Care'!$F$7:$F$745&lt;=Lists!$AF5))</f>
        <v>0</v>
      </c>
      <c r="D11" s="170">
        <f t="shared" si="2"/>
        <v>0</v>
      </c>
      <c r="E11" s="290">
        <f>SUMPRODUCT(('Intrapartum Care'!$D$7:$D$745=E$6)*('Intrapartum Care'!$F$7:$F$745&gt;=Lists!$AE5)*('Intrapartum Care'!$F$7:$F$745&lt;=Lists!$AF5))</f>
        <v>0</v>
      </c>
      <c r="F11" s="290">
        <f>SUMPRODUCT(('Intrapartum Care'!$D$7:$D$745=F$6)*('Intrapartum Care'!$F$7:$F$745&gt;=Lists!$AE5)*('Intrapartum Care'!$F$7:$F$745&lt;=Lists!$AF5))</f>
        <v>0</v>
      </c>
      <c r="G11" s="290">
        <f>SUMPRODUCT(('Intrapartum Care'!$D$7:$D$745=G$6)*('Intrapartum Care'!$F$7:$F$745&gt;=Lists!$AE5)*('Intrapartum Care'!$F$7:$F$745&lt;=Lists!$AF5))</f>
        <v>0</v>
      </c>
      <c r="H11" s="170">
        <f t="shared" si="3"/>
        <v>0</v>
      </c>
      <c r="I11" s="255">
        <f>SUMPRODUCT(('Intrapartum Care'!$E$7:$E$745=I$6)*('Intrapartum Care'!$F$7:$F$745&gt;=Lists!$AE5)*('Intrapartum Care'!$F$7:$F$745&lt;=Lists!$AF5))</f>
        <v>0</v>
      </c>
      <c r="J11" s="252">
        <f>SUMPRODUCT(('Intrapartum Care'!$E$7:$E$745=J$6)*('Intrapartum Care'!$F$7:$F$745&gt;=Lists!$AE5)*('Intrapartum Care'!$F$7:$F$745&lt;=Lists!$AF5))</f>
        <v>0</v>
      </c>
      <c r="K11" s="252">
        <f>SUMPRODUCT(('Intrapartum Care'!$E$7:$E$745=K$6)*('Intrapartum Care'!$F$7:$F$745&gt;=Lists!$AE5)*('Intrapartum Care'!$F$7:$F$745&lt;=Lists!$AF5))</f>
        <v>0</v>
      </c>
      <c r="L11" s="252">
        <f>SUMPRODUCT(('Intrapartum Care'!$E$7:$E$745=L$6)*('Intrapartum Care'!$F$7:$F$745&gt;=Lists!$AE5)*('Intrapartum Care'!$F$7:$F$745&lt;=Lists!$AF5))</f>
        <v>0</v>
      </c>
      <c r="M11" s="252">
        <f>SUMPRODUCT(('Intrapartum Care'!$E$7:$E$745=M$6)*('Intrapartum Care'!$F$7:$F$745&gt;=Lists!$AE5)*('Intrapartum Care'!$F$7:$F$745&lt;=Lists!$AF5))</f>
        <v>0</v>
      </c>
      <c r="N11" s="252">
        <f>SUMPRODUCT(('Intrapartum Care'!$E$7:$E$745=N$6)*('Intrapartum Care'!$F$7:$F$745&gt;=Lists!$AE5)*('Intrapartum Care'!$F$7:$F$745&lt;=Lists!$AF5))</f>
        <v>0</v>
      </c>
      <c r="O11" s="252">
        <f>SUMPRODUCT(('Intrapartum Care'!$E$7:$E$745=O$6)*('Intrapartum Care'!$F$7:$F$745&gt;=Lists!$AE5)*('Intrapartum Care'!$F$7:$F$745&lt;=Lists!$AF5))</f>
        <v>0</v>
      </c>
      <c r="P11" s="252">
        <f>SUMPRODUCT(('Intrapartum Care'!$E$7:$E$745=P$6)*('Intrapartum Care'!$F$7:$F$745&gt;=Lists!$AE5)*('Intrapartum Care'!$F$7:$F$745&lt;=Lists!$AF5))</f>
        <v>0</v>
      </c>
      <c r="Q11" s="252">
        <f>SUMPRODUCT(('Intrapartum Care'!$E$7:$E$745=Q$6)*('Intrapartum Care'!$F$7:$F$745&gt;=Lists!$AE5)*('Intrapartum Care'!$F$7:$F$745&lt;=Lists!$AF5))</f>
        <v>0</v>
      </c>
      <c r="R11" s="252">
        <f>SUMPRODUCT(('Intrapartum Care'!$E$7:$E$745=R$6)*('Intrapartum Care'!$F$7:$F$745&gt;=Lists!$AE5)*('Intrapartum Care'!$F$7:$F$745&lt;=Lists!$AF5))</f>
        <v>0</v>
      </c>
      <c r="S11" s="252">
        <f>SUMPRODUCT(('Intrapartum Care'!$E$7:$E$745=S$6)*('Intrapartum Care'!$F$7:$F$745&gt;=Lists!$AE5)*('Intrapartum Care'!$F$7:$F$745&lt;=Lists!$AF5))</f>
        <v>0</v>
      </c>
      <c r="T11" s="252">
        <f>SUMPRODUCT(('Intrapartum Care'!$E$7:$E$745=T$6)*('Intrapartum Care'!$F$7:$F$745&gt;=Lists!$AE5)*('Intrapartum Care'!$F$7:$F$745&lt;=Lists!$AF5))</f>
        <v>0</v>
      </c>
      <c r="U11" s="252">
        <f>SUMPRODUCT(('Intrapartum Care'!$E$7:$E$745=U$6)*('Intrapartum Care'!$F$7:$F$745&gt;=Lists!$AE5)*('Intrapartum Care'!$F$7:$F$745&lt;=Lists!$AF5))</f>
        <v>0</v>
      </c>
      <c r="V11" s="252">
        <f>SUMPRODUCT(('Intrapartum Care'!$E$7:$E$745=V$6)*('Intrapartum Care'!$F$7:$F$745&gt;=Lists!$AE5)*('Intrapartum Care'!$F$7:$F$745&lt;=Lists!$AF5))</f>
        <v>0</v>
      </c>
      <c r="W11" s="252">
        <f>SUMPRODUCT(('Intrapartum Care'!$E$7:$E$745=W$6)*('Intrapartum Care'!$F$7:$F$745&gt;=Lists!$AE5)*('Intrapartum Care'!$F$7:$F$745&lt;=Lists!$AF5))</f>
        <v>0</v>
      </c>
      <c r="X11" s="252">
        <f>SUMPRODUCT(('Intrapartum Care'!$E$7:$E$745=X$6)*('Intrapartum Care'!$F$7:$F$745&gt;=Lists!$AE5)*('Intrapartum Care'!$F$7:$F$745&lt;=Lists!$AF5))</f>
        <v>0</v>
      </c>
      <c r="Y11" s="252">
        <f>SUMPRODUCT(('Intrapartum Care'!$E$7:$E$745=Y$6)*('Intrapartum Care'!$F$7:$F$745&gt;=Lists!$AE5)*('Intrapartum Care'!$F$7:$F$745&lt;=Lists!$AF5))</f>
        <v>0</v>
      </c>
      <c r="Z11" s="252">
        <f>SUMPRODUCT(('Intrapartum Care'!$E$7:$E$745=Z$6)*('Intrapartum Care'!$F$7:$F$745&gt;=Lists!$AE5)*('Intrapartum Care'!$F$7:$F$745&lt;=Lists!$AF5))</f>
        <v>0</v>
      </c>
      <c r="AA11" s="252">
        <f>SUMPRODUCT(('Intrapartum Care'!$E$7:$E$745=AA$6)*('Intrapartum Care'!$F$7:$F$745&gt;=Lists!$AE5)*('Intrapartum Care'!$F$7:$F$745&lt;=Lists!$AF5))</f>
        <v>0</v>
      </c>
      <c r="AB11" s="252">
        <f>SUMPRODUCT(('Intrapartum Care'!$E$7:$E$745=AB$6)*('Intrapartum Care'!$F$7:$F$745&gt;=Lists!$AE5)*('Intrapartum Care'!$F$7:$F$745&lt;=Lists!$AF5))</f>
        <v>0</v>
      </c>
      <c r="AC11" s="264">
        <f>SUMPRODUCT(('Intrapartum Care'!$E$7:$E$745=AC$6)*('Intrapartum Care'!$F$7:$F$745&gt;=Lists!$AE5)*('Intrapartum Care'!$F$7:$F$745&lt;=Lists!$AF5))</f>
        <v>0</v>
      </c>
      <c r="AD11" s="227">
        <f t="shared" si="4"/>
        <v>0</v>
      </c>
      <c r="AE11" s="255">
        <f>SUMPRODUCT(('Intrapartum Care'!$H$7:$H$745=AE$6)*('Intrapartum Care'!$F$7:$F$745&gt;=Lists!$AE5)*('Intrapartum Care'!$F$7:$F$745&lt;=Lists!$AF5))</f>
        <v>0</v>
      </c>
      <c r="AF11" s="252">
        <f>SUMPRODUCT(('Intrapartum Care'!$H$7:$H$745=AF$6)*('Intrapartum Care'!$F$7:$F$745&gt;=Lists!$AE5)*('Intrapartum Care'!$F$7:$F$745&lt;=Lists!$AF5))</f>
        <v>0</v>
      </c>
      <c r="AG11" s="252">
        <f>SUMPRODUCT(('Intrapartum Care'!$H$7:$H$745=AG$6)*('Intrapartum Care'!$F$7:$F$745&gt;=Lists!$AE5)*('Intrapartum Care'!$F$7:$F$745&lt;=Lists!$AF5))</f>
        <v>0</v>
      </c>
      <c r="AH11" s="252">
        <f>SUMPRODUCT(('Intrapartum Care'!$H$7:$H$745=AH$6)*('Intrapartum Care'!$F$7:$F$745&gt;=Lists!$AE5)*('Intrapartum Care'!$F$7:$F$745&lt;=Lists!$AF5))</f>
        <v>0</v>
      </c>
      <c r="AI11" s="252">
        <f>SUMPRODUCT(('Intrapartum Care'!$H$7:$H$745=AI$6)*('Intrapartum Care'!$F$7:$F$745&gt;=Lists!$AE5)*('Intrapartum Care'!$F$7:$F$745&lt;=Lists!$AF5))</f>
        <v>0</v>
      </c>
      <c r="AJ11" s="252">
        <f>SUMPRODUCT(('Intrapartum Care'!$H$7:$H$745=AJ$6)*('Intrapartum Care'!$F$7:$F$745&gt;=Lists!$AE5)*('Intrapartum Care'!$F$7:$F$745&lt;=Lists!$AF5))</f>
        <v>0</v>
      </c>
      <c r="AK11" s="252">
        <f>SUMPRODUCT(('Intrapartum Care'!$H$7:$H$745=AK$6)*('Intrapartum Care'!$F$7:$F$745&gt;=Lists!$AE5)*('Intrapartum Care'!$F$7:$F$745&lt;=Lists!$AF5))</f>
        <v>0</v>
      </c>
      <c r="AL11" s="252">
        <f>SUMPRODUCT(('Intrapartum Care'!$H$7:$H$745=AL$6)*('Intrapartum Care'!$F$7:$F$745&gt;=Lists!$AE5)*('Intrapartum Care'!$F$7:$F$745&lt;=Lists!$AF5))</f>
        <v>0</v>
      </c>
      <c r="AM11" s="264">
        <f>SUMPRODUCT(('Intrapartum Care'!$H$7:$H$745=AM$6)*('Intrapartum Care'!$F$7:$F$745&gt;=Lists!$AE5)*('Intrapartum Care'!$F$7:$F$745&lt;=Lists!$AF5))</f>
        <v>0</v>
      </c>
      <c r="AN11" s="170">
        <f t="shared" si="5"/>
        <v>0</v>
      </c>
      <c r="AO11" s="255">
        <f>SUMPRODUCT(('Intrapartum Care'!$I$7:$I$745=AO$6)*('Intrapartum Care'!$F$7:$F$745&gt;=Lists!$AE5)*('Intrapartum Care'!$F$7:$F$745&lt;=Lists!$AF5))</f>
        <v>0</v>
      </c>
      <c r="AP11" s="252">
        <f>SUMPRODUCT(('Intrapartum Care'!$I$7:$I$745=AP$6)*('Intrapartum Care'!$F$7:$F$745&gt;=Lists!$AE5)*('Intrapartum Care'!$F$7:$F$745&lt;=Lists!$AF5))</f>
        <v>0</v>
      </c>
      <c r="AQ11" s="252">
        <f>SUMPRODUCT(('Intrapartum Care'!$I$7:$I$745=AQ$6)*('Intrapartum Care'!$F$7:$F$745&gt;=Lists!$AE5)*('Intrapartum Care'!$F$7:$F$745&lt;=Lists!$AF5))</f>
        <v>0</v>
      </c>
      <c r="AR11" s="252">
        <f>SUMPRODUCT(('Intrapartum Care'!$I$7:$I$745=AR$6)*('Intrapartum Care'!$F$7:$F$745&gt;=Lists!$AE5)*('Intrapartum Care'!$F$7:$F$745&lt;=Lists!$AF5))</f>
        <v>0</v>
      </c>
      <c r="AS11" s="252">
        <f>SUMPRODUCT(('Intrapartum Care'!$I$7:$I$745=AS$6)*('Intrapartum Care'!$F$7:$F$745&gt;=Lists!$AE5)*('Intrapartum Care'!$F$7:$F$745&lt;=Lists!$AF5))</f>
        <v>0</v>
      </c>
      <c r="AT11" s="252">
        <f>SUMPRODUCT(('Intrapartum Care'!$I$7:$I$745=AT$6)*('Intrapartum Care'!$F$7:$F$745&gt;=Lists!$AE5)*('Intrapartum Care'!$F$7:$F$745&lt;=Lists!$AF5))</f>
        <v>0</v>
      </c>
      <c r="AU11" s="253">
        <f>SUMPRODUCT(('Intrapartum Care'!$I$7:$I$745=AU$6)*('Intrapartum Care'!$F$7:$F$745&gt;=Lists!$AE5)*('Intrapartum Care'!$F$7:$F$745&lt;=Lists!$AF5))</f>
        <v>0</v>
      </c>
      <c r="AV11" s="170">
        <f t="shared" si="6"/>
        <v>0</v>
      </c>
      <c r="AW11" s="255">
        <f>SUMPRODUCT(('Intrapartum Care'!$J$7:$J$745=AW$6)*('Intrapartum Care'!$F$7:$F$745&gt;=Lists!$AE5)*('Intrapartum Care'!$F$7:$F$745&lt;=Lists!$AF5))</f>
        <v>0</v>
      </c>
      <c r="AX11" s="253">
        <f>SUMPRODUCT(('Intrapartum Care'!$J$7:$J$745=AX$6)*('Intrapartum Care'!$F$7:$F$745&gt;=Lists!$AE5)*('Intrapartum Care'!$F$7:$F$745&lt;=Lists!$AF5))</f>
        <v>0</v>
      </c>
      <c r="AY11" s="170">
        <f t="shared" si="7"/>
        <v>0</v>
      </c>
      <c r="AZ11" s="263">
        <f>SUMPRODUCT(('Intrapartum Care'!$R$7:$R$745=AZ$6)*('Intrapartum Care'!$F$7:$F$745&gt;=Lists!$AE5)*('Intrapartum Care'!$F$7:$F$745&lt;=Lists!$AF5))</f>
        <v>0</v>
      </c>
      <c r="BA11" s="252">
        <f>SUMPRODUCT(('Intrapartum Care'!$R$7:$R$745=BA$6)*('Intrapartum Care'!$F$7:$F$745&gt;=Lists!$AE5)*('Intrapartum Care'!$F$7:$F$745&lt;=Lists!$AF5))</f>
        <v>0</v>
      </c>
      <c r="BB11" s="252">
        <f>SUMPRODUCT(('Intrapartum Care'!$R$7:$R$745=BB$6)*('Intrapartum Care'!$F$7:$F$745&gt;=Lists!$AE5)*('Intrapartum Care'!$F$7:$F$745&lt;=Lists!$AF5))</f>
        <v>0</v>
      </c>
      <c r="BC11" s="253">
        <f>SUMPRODUCT(('Intrapartum Care'!$R$7:$R$745=BC$6)*('Intrapartum Care'!$F$7:$F$745&gt;=Lists!$AE5)*('Intrapartum Care'!$F$7:$F$745&lt;=Lists!$AF5))</f>
        <v>0</v>
      </c>
      <c r="BD11" s="170">
        <f t="shared" si="8"/>
        <v>0</v>
      </c>
      <c r="BE11" s="263">
        <f>SUMPRODUCT(('Intrapartum Care'!$S$7:$S$745=BE$6)*('Intrapartum Care'!$F$7:$F$745&gt;=Lists!$AE5)*('Intrapartum Care'!$F$7:$F$745&lt;=Lists!$AF5))</f>
        <v>0</v>
      </c>
      <c r="BF11" s="252">
        <f>SUMPRODUCT(('Intrapartum Care'!$S$7:$S$745=BF$6)*('Intrapartum Care'!$F$7:$F$745&gt;=Lists!$AE5)*('Intrapartum Care'!$F$7:$F$745&lt;=Lists!$AF5))</f>
        <v>0</v>
      </c>
      <c r="BG11" s="264">
        <f>SUMPRODUCT(('Intrapartum Care'!$S$7:$S$745=BG$6)*('Intrapartum Care'!$F$7:$F$745&gt;=Lists!$AE5)*('Intrapartum Care'!$F$7:$F$745&lt;=Lists!$AF5))</f>
        <v>0</v>
      </c>
      <c r="BH11" s="170">
        <f t="shared" si="9"/>
        <v>0</v>
      </c>
      <c r="BI11" s="290">
        <f>SUMPRODUCT(('Intrapartum Care'!$T$7:$T$745=BI$6)*('Intrapartum Care'!$F$7:$F$745&gt;=Lists!$AE5)*('Intrapartum Care'!$F$7:$F$745&lt;=Lists!$AF5))</f>
        <v>0</v>
      </c>
      <c r="BJ11" s="290">
        <f>SUMPRODUCT(('Intrapartum Care'!$T$7:$T$745=BJ$6)*('Intrapartum Care'!$F$7:$F$745&gt;=Lists!$AE5)*('Intrapartum Care'!$F$7:$F$745&lt;=Lists!$AF5))</f>
        <v>0</v>
      </c>
      <c r="BK11" s="290">
        <f>SUMPRODUCT(('Intrapartum Care'!$T$7:$T$745=BK$6)*('Intrapartum Care'!$F$7:$F$745&gt;=Lists!$AE5)*('Intrapartum Care'!$F$7:$F$745&lt;=Lists!$AF5))</f>
        <v>0</v>
      </c>
      <c r="BL11" s="290">
        <f>SUMPRODUCT(('Intrapartum Care'!$T$7:$T$745=BL$6)*('Intrapartum Care'!$F$7:$F$745&gt;=Lists!$AE5)*('Intrapartum Care'!$F$7:$F$745&lt;=Lists!$AF5))</f>
        <v>0</v>
      </c>
      <c r="BM11" s="227">
        <f t="shared" si="10"/>
        <v>0</v>
      </c>
      <c r="BN11" s="290">
        <f>SUMPRODUCT(('Intrapartum Care'!$U$7:$U$745=BN$6)*('Intrapartum Care'!$F$7:$F$745&gt;=Lists!$AE5)*('Intrapartum Care'!$F$7:$F$745&lt;=Lists!$AF5))</f>
        <v>0</v>
      </c>
      <c r="BO11" s="290">
        <f>SUMPRODUCT(('Intrapartum Care'!$U$7:$U$745=BO$6)*('Intrapartum Care'!$F$7:$F$745&gt;=Lists!$AE5)*('Intrapartum Care'!$F$7:$F$745&lt;=Lists!$AF5))</f>
        <v>0</v>
      </c>
      <c r="BP11" s="290">
        <f>SUMPRODUCT(('Intrapartum Care'!$U$7:$U$745=BP$6)*('Intrapartum Care'!$F$7:$F$745&gt;=Lists!$AE5)*('Intrapartum Care'!$F$7:$F$745&lt;=Lists!$AF5))</f>
        <v>0</v>
      </c>
      <c r="BQ11" s="290">
        <f>SUMPRODUCT(('Intrapartum Care'!$U$7:$U$745=BQ$6)*('Intrapartum Care'!$F$7:$F$745&gt;=Lists!$AE5)*('Intrapartum Care'!$F$7:$F$745&lt;=Lists!$AF5))</f>
        <v>0</v>
      </c>
      <c r="BR11" s="227">
        <f t="shared" si="11"/>
        <v>0</v>
      </c>
      <c r="BS11" s="290">
        <f>SUMPRODUCT(('Intrapartum Care'!$V$7:$V$745=BS$6)*('Intrapartum Care'!$F$7:$F$745&gt;=Lists!$AE5)*('Intrapartum Care'!$F$7:$F$745&lt;=Lists!$AF5))</f>
        <v>0</v>
      </c>
      <c r="BT11" s="290">
        <f>SUMPRODUCT(('Intrapartum Care'!$V$7:$V$745=BT$6)*('Intrapartum Care'!$F$7:$F$745&gt;=Lists!$AE5)*('Intrapartum Care'!$F$7:$F$745&lt;=Lists!$AF5))</f>
        <v>0</v>
      </c>
      <c r="BU11" s="290">
        <f>SUMPRODUCT(('Intrapartum Care'!$V$7:$V$745=BU$6)*('Intrapartum Care'!$F$7:$F$745&gt;=Lists!$AE5)*('Intrapartum Care'!$F$7:$F$745&lt;=Lists!$AF5))</f>
        <v>0</v>
      </c>
      <c r="BV11" s="290">
        <f>SUMPRODUCT(('Intrapartum Care'!$V$7:$V$745=BV$6)*('Intrapartum Care'!$F$7:$F$745&gt;=Lists!$AE5)*('Intrapartum Care'!$F$7:$F$745&lt;=Lists!$AF5))</f>
        <v>0</v>
      </c>
      <c r="BW11" s="290">
        <f>SUMPRODUCT(('Intrapartum Care'!$V$7:$V$745=BW$6)*('Intrapartum Care'!$F$7:$F$745&gt;=Lists!$AE5)*('Intrapartum Care'!$F$7:$F$745&lt;=Lists!$AF5))</f>
        <v>0</v>
      </c>
      <c r="BX11" s="227">
        <f t="shared" si="12"/>
        <v>0</v>
      </c>
      <c r="BY11" s="290">
        <f>SUMPRODUCT(('Intrapartum Care'!$W$7:$W$745=BY$6)*('Intrapartum Care'!$F$7:$F$745&gt;=Lists!$AE5)*('Intrapartum Care'!$F$7:$F$745&lt;=Lists!$AF5))</f>
        <v>0</v>
      </c>
      <c r="BZ11" s="290">
        <f>SUMPRODUCT(('Intrapartum Care'!$W$7:$W$745=BZ$6)*('Intrapartum Care'!$F$7:$F$745&gt;=Lists!$AE5)*('Intrapartum Care'!$F$7:$F$745&lt;=Lists!$AF5))</f>
        <v>0</v>
      </c>
      <c r="CA11" s="290">
        <f>SUMPRODUCT(('Intrapartum Care'!$W$7:$W$745=CA$6)*('Intrapartum Care'!$F$7:$F$745&gt;=Lists!$AE5)*('Intrapartum Care'!$F$7:$F$745&lt;=Lists!$AF5))</f>
        <v>0</v>
      </c>
      <c r="CB11" s="290">
        <f>SUMPRODUCT(('Intrapartum Care'!$W$7:$W$745=CB$6)*('Intrapartum Care'!$F$7:$F$745&gt;=Lists!$AE5)*('Intrapartum Care'!$F$7:$F$745&lt;=Lists!$AF5))</f>
        <v>0</v>
      </c>
      <c r="CC11" s="290">
        <f>SUMPRODUCT(('Intrapartum Care'!$W$7:$W$745=CC$6)*('Intrapartum Care'!$F$7:$F$745&gt;=Lists!$AE5)*('Intrapartum Care'!$F$7:$F$745&lt;=Lists!$AF5))</f>
        <v>0</v>
      </c>
      <c r="CD11" s="227">
        <f t="shared" si="13"/>
        <v>0</v>
      </c>
      <c r="CE11" s="290">
        <f>SUMPRODUCT(('Intrapartum Care'!$X$7:$X$745=CE$6)*('Intrapartum Care'!$F$7:$F$745&gt;=Lists!$AE5)*('Intrapartum Care'!$F$7:$F$745&lt;=Lists!$AF5))</f>
        <v>0</v>
      </c>
      <c r="CF11" s="290">
        <f>SUMPRODUCT(('Intrapartum Care'!$X$7:$X$745=CF$6)*('Intrapartum Care'!$F$7:$F$745&gt;=Lists!$AE5)*('Intrapartum Care'!$F$7:$F$745&lt;=Lists!$AF5))</f>
        <v>0</v>
      </c>
      <c r="CG11" s="290">
        <f>SUMPRODUCT(('Intrapartum Care'!$X$7:$X$745=CG$6)*('Intrapartum Care'!$F$7:$F$745&gt;=Lists!$AE5)*('Intrapartum Care'!$F$7:$F$745&lt;=Lists!$AF5))</f>
        <v>0</v>
      </c>
      <c r="CH11" s="290">
        <f>SUMPRODUCT(('Intrapartum Care'!$X$7:$X$745=CH$6)*('Intrapartum Care'!$F$7:$F$745&gt;=Lists!$AE5)*('Intrapartum Care'!$F$7:$F$745&lt;=Lists!$AF5))</f>
        <v>0</v>
      </c>
      <c r="CI11" s="290">
        <f>SUMPRODUCT(('Intrapartum Care'!$X$7:$X$745=CI$6)*('Intrapartum Care'!$F$7:$F$745&gt;=Lists!$AE5)*('Intrapartum Care'!$F$7:$F$745&lt;=Lists!$AF5))</f>
        <v>0</v>
      </c>
      <c r="CJ11" s="290">
        <f>SUMPRODUCT(('Intrapartum Care'!$X$7:$X$745=CJ$6)*('Intrapartum Care'!$F$7:$F$745&gt;=Lists!$AE5)*('Intrapartum Care'!$F$7:$F$745&lt;=Lists!$AF5))</f>
        <v>0</v>
      </c>
      <c r="CK11" s="290">
        <f>SUMPRODUCT(('Intrapartum Care'!$X$7:$X$745=CK$6)*('Intrapartum Care'!$F$7:$F$745&gt;=Lists!$AE5)*('Intrapartum Care'!$F$7:$F$745&lt;=Lists!$AF5))</f>
        <v>0</v>
      </c>
      <c r="CL11" s="227">
        <f t="shared" si="14"/>
        <v>0</v>
      </c>
      <c r="CM11" s="290">
        <f>SUMPRODUCT(('Intrapartum Care'!$Y$7:$Y$745=CM$6)*('Intrapartum Care'!$F$7:$F$745&gt;=Lists!$AE5)*('Intrapartum Care'!$F$7:$F$745&lt;=Lists!$AF5))</f>
        <v>0</v>
      </c>
      <c r="CN11" s="290">
        <f>SUMPRODUCT(('Intrapartum Care'!$Y$7:$Y$745=CN$6)*('Intrapartum Care'!$F$7:$F$745&gt;=Lists!$AE5)*('Intrapartum Care'!$F$7:$F$745&lt;=Lists!$AF5))</f>
        <v>0</v>
      </c>
      <c r="CO11" s="290">
        <f>SUMPRODUCT(('Intrapartum Care'!$Y$7:$Y$745=CO$6)*('Intrapartum Care'!$F$7:$F$745&gt;=Lists!$AE5)*('Intrapartum Care'!$F$7:$F$745&lt;=Lists!$AF5))</f>
        <v>0</v>
      </c>
      <c r="CP11" s="290">
        <f>SUMPRODUCT(('Intrapartum Care'!$Y$7:$Y$745=CP$6)*('Intrapartum Care'!$F$7:$F$745&gt;=Lists!$AE5)*('Intrapartum Care'!$F$7:$F$745&lt;=Lists!$AF5))</f>
        <v>0</v>
      </c>
      <c r="CQ11" s="290">
        <f>SUMPRODUCT(('Intrapartum Care'!$Y$7:$Y$745=CQ$6)*('Intrapartum Care'!$F$7:$F$745&gt;=Lists!$AE5)*('Intrapartum Care'!$F$7:$F$745&lt;=Lists!$AF5))</f>
        <v>0</v>
      </c>
      <c r="CR11" s="290">
        <f>SUMPRODUCT(('Intrapartum Care'!$Y$7:$Y$745=CR$6)*('Intrapartum Care'!$F$7:$F$745&gt;=Lists!$AE5)*('Intrapartum Care'!$F$7:$F$745&lt;=Lists!$AF5))</f>
        <v>0</v>
      </c>
      <c r="CS11" s="227">
        <f t="shared" si="15"/>
        <v>0</v>
      </c>
      <c r="CT11" s="290">
        <f>SUMPRODUCT(('Intrapartum Care'!$Z$7:$Z$745=CT$6)*('Intrapartum Care'!$F$7:$F$745&gt;=Lists!$AE5)*('Intrapartum Care'!$F$7:$F$745&lt;=Lists!$AF5))</f>
        <v>0</v>
      </c>
      <c r="CU11" s="290">
        <f>SUMPRODUCT(('Intrapartum Care'!$Z$7:$Z$745=CU$6)*('Intrapartum Care'!$F$7:$F$745&gt;=Lists!$AE5)*('Intrapartum Care'!$F$7:$F$745&lt;=Lists!$AF5))</f>
        <v>0</v>
      </c>
      <c r="CV11" s="290">
        <f>SUMPRODUCT(('Intrapartum Care'!$Z$7:$Z$745=CV$6)*('Intrapartum Care'!$F$7:$F$745&gt;=Lists!$AE5)*('Intrapartum Care'!$F$7:$F$745&lt;=Lists!$AF5))</f>
        <v>0</v>
      </c>
      <c r="CW11" s="290">
        <f>SUMPRODUCT(('Intrapartum Care'!$Z$7:$Z$745=CW$6)*('Intrapartum Care'!$F$7:$F$745&gt;=Lists!$AE5)*('Intrapartum Care'!$F$7:$F$745&lt;=Lists!$AF5))</f>
        <v>0</v>
      </c>
      <c r="CX11" s="290">
        <f>SUMPRODUCT(('Intrapartum Care'!$Z$7:$Z$745=CX$6)*('Intrapartum Care'!$F$7:$F$745&gt;=Lists!$AE5)*('Intrapartum Care'!$F$7:$F$745&lt;=Lists!$AF5))</f>
        <v>0</v>
      </c>
      <c r="CY11" s="290">
        <f>SUMPRODUCT(('Intrapartum Care'!$Z$7:$Z$745=CY$6)*('Intrapartum Care'!$F$7:$F$745&gt;=Lists!$AE5)*('Intrapartum Care'!$F$7:$F$745&lt;=Lists!$AF5))</f>
        <v>0</v>
      </c>
      <c r="CZ11" s="290">
        <f>SUMPRODUCT(('Intrapartum Care'!$Z$7:$Z$745=CZ$6)*('Intrapartum Care'!$F$7:$F$745&gt;=Lists!$AE5)*('Intrapartum Care'!$F$7:$F$745&lt;=Lists!$AF5))</f>
        <v>0</v>
      </c>
      <c r="DA11" s="290">
        <f>SUMPRODUCT(('Intrapartum Care'!$Z$7:$Z$745=DA$6)*('Intrapartum Care'!$F$7:$F$745&gt;=Lists!$AE5)*('Intrapartum Care'!$F$7:$F$745&lt;=Lists!$AF5))</f>
        <v>0</v>
      </c>
      <c r="DB11" s="227">
        <f t="shared" si="16"/>
        <v>0</v>
      </c>
      <c r="DC11" s="290">
        <f>SUMPRODUCT(('Intrapartum Care'!$AA$7:$AA$745=DC$6)*('Intrapartum Care'!$F$7:$F$745&gt;=Lists!$AE5)*('Intrapartum Care'!$F$7:$F$745&lt;=Lists!$AF5))</f>
        <v>0</v>
      </c>
      <c r="DD11" s="290">
        <f>SUMPRODUCT(('Intrapartum Care'!$AA$7:$AA$745=DD$6)*('Intrapartum Care'!$F$7:$F$745&gt;=Lists!$AE5)*('Intrapartum Care'!$F$7:$F$745&lt;=Lists!$AF5))</f>
        <v>0</v>
      </c>
      <c r="DE11" s="290">
        <f>SUMPRODUCT(('Intrapartum Care'!$AA$7:$AA$745=DE$6)*('Intrapartum Care'!$F$7:$F$745&gt;=Lists!$AE5)*('Intrapartum Care'!$F$7:$F$745&lt;=Lists!$AF5))</f>
        <v>0</v>
      </c>
      <c r="DF11" s="227">
        <f t="shared" si="17"/>
        <v>0</v>
      </c>
      <c r="DG11" s="295">
        <f>SUMPRODUCT(('Intrapartum Care'!$AB$7:$AB$745=DG$6)*('Intrapartum Care'!$F$7:$F$745&gt;=Lists!$AE5)*('Intrapartum Care'!$F$7:$F$745&lt;=Lists!$AF5))</f>
        <v>0</v>
      </c>
      <c r="DH11" s="290">
        <f>SUMPRODUCT(('Intrapartum Care'!$AB$7:$AB$745=DH$6)*('Intrapartum Care'!$F$7:$F$745&gt;=Lists!$AE5)*('Intrapartum Care'!$F$7:$F$745&lt;=Lists!$AF5))</f>
        <v>0</v>
      </c>
      <c r="DI11" s="290">
        <f>SUMPRODUCT(('Intrapartum Care'!$AB$7:$AB$745=DI$6)*('Intrapartum Care'!$F$7:$F$745&gt;=Lists!$AE5)*('Intrapartum Care'!$F$7:$F$745&lt;=Lists!$AF5))</f>
        <v>0</v>
      </c>
      <c r="DJ11" s="290">
        <f>SUMPRODUCT(('Intrapartum Care'!$AB$7:$AB$745=DJ$6)*('Intrapartum Care'!$F$7:$F$745&gt;=Lists!$AE5)*('Intrapartum Care'!$F$7:$F$745&lt;=Lists!$AF5))</f>
        <v>0</v>
      </c>
      <c r="DK11" s="290">
        <f>SUMPRODUCT(('Intrapartum Care'!$AB$7:$AB$745=DK$6)*('Intrapartum Care'!$F$7:$F$745&gt;=Lists!$AE5)*('Intrapartum Care'!$F$7:$F$745&lt;=Lists!$AF5))</f>
        <v>0</v>
      </c>
      <c r="DL11" s="290">
        <f>SUMPRODUCT(('Intrapartum Care'!$AB$7:$AB$745=DL$6)*('Intrapartum Care'!$F$7:$F$745&gt;=Lists!$AE5)*('Intrapartum Care'!$F$7:$F$745&lt;=Lists!$AF5))</f>
        <v>0</v>
      </c>
      <c r="DM11" s="290">
        <f>SUMPRODUCT(('Intrapartum Care'!$AB$7:$AB$745=DM$6)*('Intrapartum Care'!$F$7:$F$745&gt;=Lists!$AE5)*('Intrapartum Care'!$F$7:$F$745&lt;=Lists!$AF5))</f>
        <v>0</v>
      </c>
      <c r="DN11" s="227">
        <f t="shared" si="18"/>
        <v>0</v>
      </c>
      <c r="DO11" s="528">
        <f>SUMPRODUCT(('Intrapartum Care'!$AC$7:$AC$745=DO$6)*('Intrapartum Care'!$F$7:$F$745&gt;=Lists!$AE5)*('Intrapartum Care'!$F$7:$F$745&lt;=Lists!$AF5))</f>
        <v>0</v>
      </c>
      <c r="DP11" s="528">
        <f>SUMPRODUCT(('Intrapartum Care'!$AC$7:$AC$745=DP$6)*('Intrapartum Care'!$F$7:$F$745&gt;=Lists!$AE5)*('Intrapartum Care'!$F$7:$F$745&lt;=Lists!$AF5))</f>
        <v>0</v>
      </c>
      <c r="DQ11" s="528">
        <f>SUMPRODUCT(('Intrapartum Care'!$AC$7:$AC$745=DQ$6)*('Intrapartum Care'!$F$7:$F$745&gt;=Lists!$AE5)*('Intrapartum Care'!$F$7:$F$745&lt;=Lists!$AF5))</f>
        <v>0</v>
      </c>
      <c r="DR11" s="528">
        <f>SUMPRODUCT(('Intrapartum Care'!$AC$7:$AC$745=DR$6)*('Intrapartum Care'!$F$7:$F$745&gt;=Lists!$AE5)*('Intrapartum Care'!$F$7:$F$745&lt;=Lists!$AF5))</f>
        <v>0</v>
      </c>
      <c r="DS11" s="528">
        <f>SUMPRODUCT(('Intrapartum Care'!$AC$7:$AC$745=DS$6)*('Intrapartum Care'!$F$7:$F$745&gt;=Lists!$AE5)*('Intrapartum Care'!$F$7:$F$745&lt;=Lists!$AF5))</f>
        <v>0</v>
      </c>
      <c r="DT11" s="528">
        <f>SUMPRODUCT(('Intrapartum Care'!$AC$7:$AC$745=DT$6)*('Intrapartum Care'!$F$7:$F$745&gt;=Lists!$AE5)*('Intrapartum Care'!$F$7:$F$745&lt;=Lists!$AF5))</f>
        <v>0</v>
      </c>
      <c r="DU11" s="528">
        <f>SUMPRODUCT(('Intrapartum Care'!$AC$7:$AC$745=DU$6)*('Intrapartum Care'!$F$7:$F$745&gt;=Lists!$AE5)*('Intrapartum Care'!$F$7:$F$745&lt;=Lists!$AF5))</f>
        <v>0</v>
      </c>
      <c r="DV11" s="528">
        <f>SUMPRODUCT(('Intrapartum Care'!$AC$7:$AC$745=DV$6)*('Intrapartum Care'!$F$7:$F$745&gt;=Lists!$AE5)*('Intrapartum Care'!$F$7:$F$745&lt;=Lists!$AF5))</f>
        <v>0</v>
      </c>
      <c r="DW11" s="528">
        <f>SUMPRODUCT(('Intrapartum Care'!$AC$7:$AC$745=DW$6)*('Intrapartum Care'!$F$7:$F$745&gt;=Lists!$AE5)*('Intrapartum Care'!$F$7:$F$745&lt;=Lists!$AF5))</f>
        <v>0</v>
      </c>
      <c r="DX11" s="227">
        <f t="shared" si="19"/>
        <v>0</v>
      </c>
      <c r="DY11" s="295">
        <f>SUMPRODUCT(('Intrapartum Care'!$AE$7:$AE$745=DY$6)*('Intrapartum Care'!$F$7:$F$745&gt;=Lists!$AE5)*('Intrapartum Care'!$F$7:$F$745&lt;=Lists!$AF5))</f>
        <v>0</v>
      </c>
      <c r="DZ11" s="295">
        <f>SUMPRODUCT(('Intrapartum Care'!$AE$7:$AE$745=DZ$6)*('Intrapartum Care'!$F$7:$F$745&gt;=Lists!$AE5)*('Intrapartum Care'!$F$7:$F$745&lt;=Lists!$AF5))</f>
        <v>0</v>
      </c>
      <c r="EA11" s="295">
        <f>SUMPRODUCT(('Intrapartum Care'!$AE$7:$AE$745=EA$6)*('Intrapartum Care'!$F$7:$F$745&gt;=Lists!$AE5)*('Intrapartum Care'!$F$7:$F$745&lt;=Lists!$AF5))</f>
        <v>0</v>
      </c>
      <c r="EB11" s="227">
        <f t="shared" si="20"/>
        <v>0</v>
      </c>
      <c r="EC11" s="295">
        <f>SUMPRODUCT(('Intrapartum Care'!$AF$7:$AF$745=EC$6)*('Intrapartum Care'!$F$7:$F$745&gt;=Lists!$AE5)*('Intrapartum Care'!$F$7:$F$745&lt;=Lists!$AF5))</f>
        <v>0</v>
      </c>
      <c r="ED11" s="295">
        <f>SUMPRODUCT(('Intrapartum Care'!$AF$7:$AF$745=ED$6)*('Intrapartum Care'!$F$7:$F$745&gt;=Lists!$AE5)*('Intrapartum Care'!$F$7:$F$745&lt;=Lists!$AF5))</f>
        <v>0</v>
      </c>
      <c r="EE11" s="295">
        <f>SUMPRODUCT(('Intrapartum Care'!$AF$7:$AF$745=EE$6)*('Intrapartum Care'!$F$7:$F$745&gt;=Lists!$AE5)*('Intrapartum Care'!$F$7:$F$745&lt;=Lists!$AF5))</f>
        <v>0</v>
      </c>
      <c r="EF11" s="295">
        <f>SUMPRODUCT(('Intrapartum Care'!$AF$7:$AF$745=EF$6)*('Intrapartum Care'!$F$7:$F$745&gt;=Lists!$AE5)*('Intrapartum Care'!$F$7:$F$745&lt;=Lists!$AF5))</f>
        <v>0</v>
      </c>
      <c r="EG11" s="295">
        <f>SUMPRODUCT(('Intrapartum Care'!$AF$7:$AF$745=EG$6)*('Intrapartum Care'!$F$7:$F$745&gt;=Lists!$AE5)*('Intrapartum Care'!$F$7:$F$745&lt;=Lists!$AF5))</f>
        <v>0</v>
      </c>
      <c r="EH11" s="227">
        <f t="shared" si="21"/>
        <v>0</v>
      </c>
      <c r="EI11" s="295">
        <f>SUMPRODUCT(('Intrapartum Care'!$AG$7:$AG$745=EI$6)*('Intrapartum Care'!$F$7:$F$745&gt;=Lists!$AE5)*('Intrapartum Care'!$F$7:$F$745&lt;=Lists!$AF5))</f>
        <v>0</v>
      </c>
      <c r="EJ11" s="295">
        <f>SUMPRODUCT(('Intrapartum Care'!$AG$7:$AG$745=EJ$6)*('Intrapartum Care'!$F$7:$F$745&gt;=Lists!$AE5)*('Intrapartum Care'!$F$7:$F$745&lt;=Lists!$AF5))</f>
        <v>0</v>
      </c>
      <c r="EK11" s="295">
        <f>SUMPRODUCT(('Intrapartum Care'!$AG$7:$AG$745=EK$6)*('Intrapartum Care'!$F$7:$F$745&gt;=Lists!$AE5)*('Intrapartum Care'!$F$7:$F$745&lt;=Lists!$AF5))</f>
        <v>0</v>
      </c>
      <c r="EL11" s="295">
        <f>SUMPRODUCT(('Intrapartum Care'!$AG$7:$AG$745=EL$6)*('Intrapartum Care'!$F$7:$F$745&gt;=Lists!$AE5)*('Intrapartum Care'!$F$7:$F$745&lt;=Lists!$AF5))</f>
        <v>0</v>
      </c>
      <c r="EM11" s="295">
        <f>SUMPRODUCT(('Intrapartum Care'!$AG$7:$AG$745=EM$6)*('Intrapartum Care'!$F$7:$F$745&gt;=Lists!$AE5)*('Intrapartum Care'!$F$7:$F$745&lt;=Lists!$AF5))</f>
        <v>0</v>
      </c>
      <c r="EN11" s="295">
        <f>SUMPRODUCT(('Intrapartum Care'!$AG$7:$AG$745=EN$6)*('Intrapartum Care'!$F$7:$F$745&gt;=Lists!$AE5)*('Intrapartum Care'!$F$7:$F$745&lt;=Lists!$AF5))</f>
        <v>0</v>
      </c>
      <c r="EO11" s="227">
        <f t="shared" si="22"/>
        <v>0</v>
      </c>
      <c r="EP11" s="295">
        <f>SUMPRODUCT(('Intrapartum Care'!$AH$7:$AH$745=EP$6)*('Intrapartum Care'!$F$7:$F$745&gt;=Lists!$AE5)*('Intrapartum Care'!$F$7:$F$745&lt;=Lists!$AF5))</f>
        <v>0</v>
      </c>
      <c r="EQ11" s="295">
        <f>SUMPRODUCT(('Intrapartum Care'!$AH$7:$AH$745=EQ$6)*('Intrapartum Care'!$F$7:$F$745&gt;=Lists!$AE5)*('Intrapartum Care'!$F$7:$F$745&lt;=Lists!$AF5))</f>
        <v>0</v>
      </c>
      <c r="ER11" s="295">
        <f>SUMPRODUCT(('Intrapartum Care'!$AH$7:$AH$745=ER$6)*('Intrapartum Care'!$F$7:$F$745&gt;=Lists!$AE5)*('Intrapartum Care'!$F$7:$F$745&lt;=Lists!$AF5))</f>
        <v>0</v>
      </c>
      <c r="ES11" s="227">
        <f t="shared" si="23"/>
        <v>0</v>
      </c>
      <c r="ET11" s="290">
        <f>SUMPRODUCT(('Intrapartum Care'!$AK$7:$AK$745=ET$6)*('Intrapartum Care'!$F$7:$F$745&gt;=Lists!$AE5)*('Intrapartum Care'!$F$7:$F$745&lt;=Lists!$AF5))</f>
        <v>0</v>
      </c>
      <c r="EU11" s="290">
        <f>SUMPRODUCT(('Intrapartum Care'!$AK$7:$AK$745=EU$6)*('Intrapartum Care'!$F$7:$F$745&gt;=Lists!$AE5)*('Intrapartum Care'!$F$7:$F$745&lt;=Lists!$AF5))</f>
        <v>0</v>
      </c>
      <c r="EV11" s="290">
        <f>SUMPRODUCT(('Intrapartum Care'!$AK$7:$AK$745=EV$6)*('Intrapartum Care'!$F$7:$F$745&gt;=Lists!$AE5)*('Intrapartum Care'!$F$7:$F$745&lt;=Lists!$AF5))</f>
        <v>0</v>
      </c>
      <c r="EW11" s="227">
        <f t="shared" si="24"/>
        <v>0</v>
      </c>
      <c r="EX11" s="290">
        <f>SUMPRODUCT(('Intrapartum Care'!$AL$7:$AL$745=EX$6)*('Intrapartum Care'!$F$7:$F$745&gt;=Lists!$AE5)*('Intrapartum Care'!$F$7:$F$745&lt;=Lists!$AF5))</f>
        <v>0</v>
      </c>
      <c r="EY11" s="290">
        <f>SUMPRODUCT(('Intrapartum Care'!$AL$7:$AL$745=EY$6)*('Intrapartum Care'!$F$7:$F$745&gt;=Lists!$AE5)*('Intrapartum Care'!$F$7:$F$745&lt;=Lists!$AF5))</f>
        <v>0</v>
      </c>
      <c r="EZ11" s="290">
        <f>SUMPRODUCT(('Intrapartum Care'!$AL$7:$AL$745=EZ$6)*('Intrapartum Care'!$F$7:$F$745&gt;=Lists!$AE5)*('Intrapartum Care'!$F$7:$F$745&lt;=Lists!$AF5))</f>
        <v>0</v>
      </c>
      <c r="FA11" s="227">
        <f t="shared" si="0"/>
        <v>0</v>
      </c>
      <c r="FB11" s="290">
        <f>SUMPRODUCT(('Intrapartum Care'!$AM$7:$AM$745=FB$6)*('Intrapartum Care'!$F$7:$F$745&gt;=Lists!$AE5)*('Intrapartum Care'!$F$7:$F$745&lt;=Lists!$AF5))</f>
        <v>0</v>
      </c>
      <c r="FC11" s="290">
        <f>SUMPRODUCT(('Intrapartum Care'!$AM$7:$AM$745=FC$6)*('Intrapartum Care'!$F$7:$F$745&gt;=Lists!$AE5)*('Intrapartum Care'!$F$7:$F$745&lt;=Lists!$AF5))</f>
        <v>0</v>
      </c>
      <c r="FD11" s="290">
        <f>SUMPRODUCT(('Intrapartum Care'!$AM$7:$AM$745=FD$6)*('Intrapartum Care'!$F$7:$F$745&gt;=Lists!$AE5)*('Intrapartum Care'!$F$7:$F$745&lt;=Lists!$AF5))</f>
        <v>0</v>
      </c>
      <c r="FE11" s="290">
        <f>SUMPRODUCT(('Intrapartum Care'!$AM$7:$AM$745=FE$6)*('Intrapartum Care'!$F$7:$F$745&gt;=Lists!$AE5)*('Intrapartum Care'!$F$7:$F$745&lt;=Lists!$AF5))</f>
        <v>0</v>
      </c>
      <c r="FF11" s="290">
        <f>SUMPRODUCT(('Intrapartum Care'!$AM$7:$AM$745=FF$6)*('Intrapartum Care'!$F$7:$F$745&gt;=Lists!$AE5)*('Intrapartum Care'!$F$7:$F$745&lt;=Lists!$AF5))</f>
        <v>0</v>
      </c>
      <c r="FG11" s="227">
        <f t="shared" si="25"/>
        <v>0</v>
      </c>
      <c r="FH11" s="290">
        <f>SUMPRODUCT(('Intrapartum Care'!$AN$7:$AN$745=FH$6)*('Intrapartum Care'!$F$7:$F$745&gt;=Lists!$AE5)*('Intrapartum Care'!$F$7:$F$745&lt;=Lists!$AF5))</f>
        <v>0</v>
      </c>
      <c r="FI11" s="290">
        <f>SUMPRODUCT(('Intrapartum Care'!$AN$7:$AN$745=FI$6)*('Intrapartum Care'!$F$7:$F$745&gt;=Lists!$AE5)*('Intrapartum Care'!$F$7:$F$745&lt;=Lists!$AF5))</f>
        <v>0</v>
      </c>
      <c r="FJ11" s="290">
        <f>SUMPRODUCT(('Intrapartum Care'!$AN$7:$AN$745=FJ$6)*('Intrapartum Care'!$F$7:$F$745&gt;=Lists!$AE5)*('Intrapartum Care'!$F$7:$F$745&lt;=Lists!$AF5))</f>
        <v>0</v>
      </c>
      <c r="FK11" s="290">
        <f>SUMPRODUCT(('Intrapartum Care'!$AN$7:$AN$745=FK$6)*('Intrapartum Care'!$F$7:$F$745&gt;=Lists!$AE5)*('Intrapartum Care'!$F$7:$F$745&lt;=Lists!$AF5))</f>
        <v>0</v>
      </c>
      <c r="FL11" s="227">
        <f t="shared" si="26"/>
        <v>0</v>
      </c>
      <c r="FM11" s="290">
        <f>SUMPRODUCT(('Intrapartum Care'!$AS$7:$AS$745=FM$6)*('Intrapartum Care'!$F$7:$F$745&gt;=Lists!$AE5)*('Intrapartum Care'!$F$7:$F$745&lt;=Lists!$AF5))</f>
        <v>0</v>
      </c>
      <c r="FN11" s="290">
        <f>SUMPRODUCT(('Intrapartum Care'!$AS$7:$AS$745=FN$6)*('Intrapartum Care'!$F$7:$F$745&gt;=Lists!$AE5)*('Intrapartum Care'!$F$7:$F$745&lt;=Lists!$AF5))</f>
        <v>0</v>
      </c>
      <c r="FO11" s="290">
        <f>SUMPRODUCT(('Intrapartum Care'!$AS$7:$AS$745=FO$6)*('Intrapartum Care'!$F$7:$F$745&gt;=Lists!$AE5)*('Intrapartum Care'!$F$7:$F$745&lt;=Lists!$AF5))</f>
        <v>0</v>
      </c>
      <c r="FP11" s="290">
        <f>SUMPRODUCT(('Intrapartum Care'!$AS$7:$AS$745=FP$6)*('Intrapartum Care'!$F$7:$F$745&gt;=Lists!$AE5)*('Intrapartum Care'!$F$7:$F$745&lt;=Lists!$AF5))</f>
        <v>0</v>
      </c>
      <c r="FQ11" s="227">
        <f t="shared" si="27"/>
        <v>0</v>
      </c>
      <c r="FR11" s="290">
        <f>SUMPRODUCT(('Intrapartum Care'!$AZ$7:$AZ$745=FR$6)*('Intrapartum Care'!$F$7:$F$745&gt;=Lists!$AE5)*('Intrapartum Care'!$F$7:$F$745&lt;=Lists!$AF5))</f>
        <v>0</v>
      </c>
      <c r="FS11" s="290">
        <f>SUMPRODUCT(('Intrapartum Care'!$AZ$7:$AZ$745=FS$6)*('Intrapartum Care'!$F$7:$F$745&gt;=Lists!$AE5)*('Intrapartum Care'!$F$7:$F$745&lt;=Lists!$AF5))</f>
        <v>0</v>
      </c>
      <c r="FT11" s="290">
        <f>SUMPRODUCT(('Intrapartum Care'!$AZ$7:$AZ$745=FT$6)*('Intrapartum Care'!$F$7:$F$745&gt;=Lists!$AE5)*('Intrapartum Care'!$F$7:$F$745&lt;=Lists!$AF5))</f>
        <v>0</v>
      </c>
      <c r="FU11" s="227">
        <f t="shared" si="28"/>
        <v>0</v>
      </c>
      <c r="FV11" s="290">
        <f>SUMPRODUCT(('Intrapartum Care'!$BA$7:$BA$745=FV$6)*('Intrapartum Care'!$F$7:$F$745&gt;=Lists!$AE5)*('Intrapartum Care'!$F$7:$F$745&lt;=Lists!$AF5))</f>
        <v>0</v>
      </c>
      <c r="FW11" s="290">
        <f>SUMPRODUCT(('Intrapartum Care'!$BA$7:$BA$745=FW$6)*('Intrapartum Care'!$F$7:$F$745&gt;=Lists!$AE5)*('Intrapartum Care'!$F$7:$F$745&lt;=Lists!$AF5))</f>
        <v>0</v>
      </c>
      <c r="FX11" s="290">
        <f>SUMPRODUCT(('Intrapartum Care'!$BA$7:$BA$745=FX$6)*('Intrapartum Care'!$F$7:$F$745&gt;=Lists!$AE5)*('Intrapartum Care'!$F$7:$F$745&lt;=Lists!$AF5))</f>
        <v>0</v>
      </c>
      <c r="FY11" s="227">
        <f t="shared" si="29"/>
        <v>0</v>
      </c>
      <c r="FZ11" s="290">
        <f>SUMPRODUCT(('Intrapartum Care'!$BB$7:$BB$745=FZ$6)*('Intrapartum Care'!$F$7:$F$745&gt;=Lists!$AE5)*('Intrapartum Care'!$F$7:$F$745&lt;=Lists!$AF5))</f>
        <v>0</v>
      </c>
      <c r="GA11" s="290">
        <f>SUMPRODUCT(('Intrapartum Care'!$BB$7:$BB$745=GA$6)*('Intrapartum Care'!$F$7:$F$745&gt;=Lists!$AE5)*('Intrapartum Care'!$F$7:$F$745&lt;=Lists!$AF5))</f>
        <v>0</v>
      </c>
      <c r="GB11" s="290">
        <f>SUMPRODUCT(('Intrapartum Care'!$BB$7:$BB$745=GB$6)*('Intrapartum Care'!$F$7:$F$745&gt;=Lists!$AE5)*('Intrapartum Care'!$F$7:$F$745&lt;=Lists!$AF5))</f>
        <v>0</v>
      </c>
      <c r="GC11" s="290">
        <f>SUMPRODUCT(('Intrapartum Care'!$BB$7:$BB$745=GC$6)*('Intrapartum Care'!$F$7:$F$745&gt;=Lists!$AE5)*('Intrapartum Care'!$F$7:$F$745&lt;=Lists!$AF5))</f>
        <v>0</v>
      </c>
      <c r="GD11" s="290">
        <f>SUMPRODUCT(('Intrapartum Care'!$BB$7:$BB$745=GD$6)*('Intrapartum Care'!$F$7:$F$745&gt;=Lists!$AE5)*('Intrapartum Care'!$F$7:$F$745&lt;=Lists!$AF5))</f>
        <v>0</v>
      </c>
      <c r="GE11" s="290">
        <f>SUMPRODUCT(('Intrapartum Care'!$BB$7:$BB$745=GE$6)*('Intrapartum Care'!$F$7:$F$745&gt;=Lists!$AE5)*('Intrapartum Care'!$F$7:$F$745&lt;=Lists!$AF5))</f>
        <v>0</v>
      </c>
      <c r="GF11" s="290">
        <f>SUMPRODUCT(('Intrapartum Care'!$BB$7:$BB$745=GF$6)*('Intrapartum Care'!$F$7:$F$745&gt;=Lists!$AE5)*('Intrapartum Care'!$F$7:$F$745&lt;=Lists!$AF5))</f>
        <v>0</v>
      </c>
      <c r="GG11" s="290">
        <f>SUMPRODUCT(('Intrapartum Care'!$BB$7:$BB$745=GG$6)*('Intrapartum Care'!$F$7:$F$745&gt;=Lists!$AE5)*('Intrapartum Care'!$F$7:$F$745&lt;=Lists!$AF5))</f>
        <v>0</v>
      </c>
      <c r="GH11" s="290">
        <f>SUMPRODUCT(('Intrapartum Care'!$BB$7:$BB$745=GH$6)*('Intrapartum Care'!$F$7:$F$745&gt;=Lists!$AE5)*('Intrapartum Care'!$F$7:$F$745&lt;=Lists!$AF5))</f>
        <v>0</v>
      </c>
      <c r="GI11" s="290">
        <f>SUMPRODUCT(('Intrapartum Care'!$BB$7:$BB$745=GI$6)*('Intrapartum Care'!$F$7:$F$745&gt;=Lists!$AE5)*('Intrapartum Care'!$F$7:$F$745&lt;=Lists!$AF5))</f>
        <v>0</v>
      </c>
      <c r="GJ11" s="290">
        <f>SUMPRODUCT(('Intrapartum Care'!$BB$7:$BB$745=GJ$6)*('Intrapartum Care'!$F$7:$F$745&gt;=Lists!$AE5)*('Intrapartum Care'!$F$7:$F$745&lt;=Lists!$AF5))</f>
        <v>0</v>
      </c>
      <c r="GK11" s="290">
        <f>SUMPRODUCT(('Intrapartum Care'!$BB$7:$BB$745=GK$6)*('Intrapartum Care'!$F$7:$F$745&gt;=Lists!$AE5)*('Intrapartum Care'!$F$7:$F$745&lt;=Lists!$AF5))</f>
        <v>0</v>
      </c>
      <c r="GL11" s="290">
        <f>SUMPRODUCT(('Intrapartum Care'!$BB$7:$BB$745=GL$6)*('Intrapartum Care'!$F$7:$F$745&gt;=Lists!$AE5)*('Intrapartum Care'!$F$7:$F$745&lt;=Lists!$AF5))</f>
        <v>0</v>
      </c>
      <c r="GM11" s="290">
        <f>SUMPRODUCT(('Intrapartum Care'!$BB$7:$BB$745=GM$6)*('Intrapartum Care'!$F$7:$F$745&gt;=Lists!$AE5)*('Intrapartum Care'!$F$7:$F$745&lt;=Lists!$AF5))</f>
        <v>0</v>
      </c>
      <c r="GN11" s="290">
        <f>SUMPRODUCT(('Intrapartum Care'!$BB$7:$BB$745=GN$6)*('Intrapartum Care'!$F$7:$F$745&gt;=Lists!$AE5)*('Intrapartum Care'!$F$7:$F$745&lt;=Lists!$AF5))</f>
        <v>0</v>
      </c>
      <c r="GO11" s="290">
        <f>SUMPRODUCT(('Intrapartum Care'!$BB$7:$BB$745=GO$6)*('Intrapartum Care'!$F$7:$F$745&gt;=Lists!$AE5)*('Intrapartum Care'!$F$7:$F$745&lt;=Lists!$AF5))</f>
        <v>0</v>
      </c>
      <c r="GP11" s="290">
        <f>SUMPRODUCT(('Intrapartum Care'!$BB$7:$BB$745=GP$6)*('Intrapartum Care'!$F$7:$F$745&gt;=Lists!$AE5)*('Intrapartum Care'!$F$7:$F$745&lt;=Lists!$AF5))</f>
        <v>0</v>
      </c>
      <c r="GQ11" s="290">
        <f>SUMPRODUCT(('Intrapartum Care'!$BB$7:$BB$745=GQ$6)*('Intrapartum Care'!$F$7:$F$745&gt;=Lists!$AE5)*('Intrapartum Care'!$F$7:$F$745&lt;=Lists!$AF5))</f>
        <v>0</v>
      </c>
      <c r="GR11" s="290">
        <f>SUMPRODUCT(('Intrapartum Care'!$BB$7:$BB$745=GR$6)*('Intrapartum Care'!$F$7:$F$745&gt;=Lists!$AE5)*('Intrapartum Care'!$F$7:$F$745&lt;=Lists!$AF5))</f>
        <v>0</v>
      </c>
      <c r="GS11" s="290">
        <f>SUMPRODUCT(('Intrapartum Care'!$BB$7:$BB$745=GS$6)*('Intrapartum Care'!$F$7:$F$745&gt;=Lists!$AE5)*('Intrapartum Care'!$F$7:$F$745&lt;=Lists!$AF5))</f>
        <v>0</v>
      </c>
      <c r="GT11" s="227">
        <f t="shared" si="30"/>
        <v>0</v>
      </c>
      <c r="GU11" s="290">
        <f>SUMPRODUCT(('Intrapartum Care'!$BC$7:$BC$745=GU$6)*('Intrapartum Care'!$F$7:$F$745&gt;=Lists!$AE5)*('Intrapartum Care'!$F$7:$F$745&lt;=Lists!$AF5))</f>
        <v>0</v>
      </c>
      <c r="GV11" s="290">
        <f>SUMPRODUCT(('Intrapartum Care'!$BC$7:$BC$745=GV$6)*('Intrapartum Care'!$F$7:$F$745&gt;=Lists!$AE5)*('Intrapartum Care'!$F$7:$F$745&lt;=Lists!$AF5))</f>
        <v>0</v>
      </c>
      <c r="GW11" s="290">
        <f>SUMPRODUCT(('Intrapartum Care'!$BC$7:$BC$745=GW$6)*('Intrapartum Care'!$F$7:$F$745&gt;=Lists!$AE5)*('Intrapartum Care'!$F$7:$F$745&lt;=Lists!$AF5))</f>
        <v>0</v>
      </c>
      <c r="GX11" s="290">
        <f>SUMPRODUCT(('Intrapartum Care'!$BC$7:$BC$745=GX$6)*('Intrapartum Care'!$F$7:$F$745&gt;=Lists!$AE5)*('Intrapartum Care'!$F$7:$F$745&lt;=Lists!$AF5))</f>
        <v>0</v>
      </c>
      <c r="GY11" s="290">
        <f>SUMPRODUCT(('Intrapartum Care'!$BC$7:$BC$745=GY$6)*('Intrapartum Care'!$F$7:$F$745&gt;=Lists!$AE5)*('Intrapartum Care'!$F$7:$F$745&lt;=Lists!$AF5))</f>
        <v>0</v>
      </c>
      <c r="GZ11" s="290">
        <f>SUMPRODUCT(('Intrapartum Care'!$BC$7:$BC$745=GZ$6)*('Intrapartum Care'!$F$7:$F$745&gt;=Lists!$AE5)*('Intrapartum Care'!$F$7:$F$745&lt;=Lists!$AF5))</f>
        <v>0</v>
      </c>
      <c r="HA11" s="290">
        <f>SUMPRODUCT(('Intrapartum Care'!$BC$7:$BC$745=HA$6)*('Intrapartum Care'!$F$7:$F$745&gt;=Lists!$AE5)*('Intrapartum Care'!$F$7:$F$745&lt;=Lists!$AF5))</f>
        <v>0</v>
      </c>
      <c r="HB11" s="290">
        <f>SUMPRODUCT(('Intrapartum Care'!$BC$7:$BC$745=HB$6)*('Intrapartum Care'!$F$7:$F$745&gt;=Lists!$AE5)*('Intrapartum Care'!$F$7:$F$745&lt;=Lists!$AF5))</f>
        <v>0</v>
      </c>
      <c r="HC11" s="290">
        <f>SUMPRODUCT(('Intrapartum Care'!$BC$7:$BC$745=HC$6)*('Intrapartum Care'!$F$7:$F$745&gt;=Lists!$AE5)*('Intrapartum Care'!$F$7:$F$745&lt;=Lists!$AF5))</f>
        <v>0</v>
      </c>
      <c r="HD11" s="290">
        <f>SUMPRODUCT(('Intrapartum Care'!$BC$7:$BC$745=HD$6)*('Intrapartum Care'!$F$7:$F$745&gt;=Lists!$AE5)*('Intrapartum Care'!$F$7:$F$745&lt;=Lists!$AF5))</f>
        <v>0</v>
      </c>
      <c r="HE11" s="290">
        <f>SUMPRODUCT(('Intrapartum Care'!$BC$7:$BC$745=HE$6)*('Intrapartum Care'!$F$7:$F$745&gt;=Lists!$AE5)*('Intrapartum Care'!$F$7:$F$745&lt;=Lists!$AF5))</f>
        <v>0</v>
      </c>
      <c r="HF11" s="227">
        <f t="shared" si="31"/>
        <v>0</v>
      </c>
      <c r="HG11" s="290">
        <f>SUMPRODUCT(('Intrapartum Care'!$BD$7:$BD$745=HG$6)*('Intrapartum Care'!$F$7:$F$745&gt;=Lists!$AE5)*('Intrapartum Care'!$F$7:$F$745&lt;=Lists!$AF5))</f>
        <v>0</v>
      </c>
      <c r="HH11" s="290">
        <f>SUMPRODUCT(('Intrapartum Care'!$BD$7:$BD$745=HH$6)*('Intrapartum Care'!$F$7:$F$745&gt;=Lists!$AE5)*('Intrapartum Care'!$F$7:$F$745&lt;=Lists!$AF5))</f>
        <v>0</v>
      </c>
      <c r="HI11" s="290">
        <f>SUMPRODUCT(('Intrapartum Care'!$BD$7:$BD$745=HI$6)*('Intrapartum Care'!$F$7:$F$745&gt;=Lists!$AE5)*('Intrapartum Care'!$F$7:$F$745&lt;=Lists!$AF5))</f>
        <v>0</v>
      </c>
      <c r="HJ11" s="290">
        <f>SUMPRODUCT(('Intrapartum Care'!$BD$7:$BD$745=HJ$6)*('Intrapartum Care'!$F$7:$F$745&gt;=Lists!$AE5)*('Intrapartum Care'!$F$7:$F$745&lt;=Lists!$AF5))</f>
        <v>0</v>
      </c>
      <c r="HK11" s="290">
        <f>SUMPRODUCT(('Intrapartum Care'!$BD$7:$BD$745=HK$6)*('Intrapartum Care'!$F$7:$F$745&gt;=Lists!$AE5)*('Intrapartum Care'!$F$7:$F$745&lt;=Lists!$AF5))</f>
        <v>0</v>
      </c>
      <c r="HL11" s="290">
        <f>SUMPRODUCT(('Intrapartum Care'!$BD$7:$BD$745=HL$6)*('Intrapartum Care'!$F$7:$F$745&gt;=Lists!$AE5)*('Intrapartum Care'!$F$7:$F$745&lt;=Lists!$AF5))</f>
        <v>0</v>
      </c>
      <c r="HM11" s="290">
        <f>SUMPRODUCT(('Intrapartum Care'!$BD$7:$BD$745=HM$6)*('Intrapartum Care'!$F$7:$F$745&gt;=Lists!$AE5)*('Intrapartum Care'!$F$7:$F$745&lt;=Lists!$AF5))</f>
        <v>0</v>
      </c>
      <c r="HN11" s="290">
        <f>SUMPRODUCT(('Intrapartum Care'!$BD$7:$BD$745=HN$6)*('Intrapartum Care'!$F$7:$F$745&gt;=Lists!$AE5)*('Intrapartum Care'!$F$7:$F$745&lt;=Lists!$AF5))</f>
        <v>0</v>
      </c>
      <c r="HO11" s="290">
        <f>SUMPRODUCT(('Intrapartum Care'!$BD$7:$BD$745=HO$6)*('Intrapartum Care'!$F$7:$F$745&gt;=Lists!$AE5)*('Intrapartum Care'!$F$7:$F$745&lt;=Lists!$AF5))</f>
        <v>0</v>
      </c>
      <c r="HP11" s="290">
        <f>SUMPRODUCT(('Intrapartum Care'!$BD$7:$BD$745=HP$6)*('Intrapartum Care'!$F$7:$F$745&gt;=Lists!$AE5)*('Intrapartum Care'!$F$7:$F$745&lt;=Lists!$AF5))</f>
        <v>0</v>
      </c>
      <c r="HQ11" s="290">
        <f>SUMPRODUCT(('Intrapartum Care'!$BD$7:$BD$745=HQ$6)*('Intrapartum Care'!$F$7:$F$745&gt;=Lists!$AE5)*('Intrapartum Care'!$F$7:$F$745&lt;=Lists!$AF5))</f>
        <v>0</v>
      </c>
      <c r="HR11" s="290">
        <f>SUMPRODUCT(('Intrapartum Care'!$BD$7:$BD$745=HR$6)*('Intrapartum Care'!$F$7:$F$745&gt;=Lists!$AE5)*('Intrapartum Care'!$F$7:$F$745&lt;=Lists!$AF5))</f>
        <v>0</v>
      </c>
      <c r="HS11" s="290">
        <f>SUMPRODUCT(('Intrapartum Care'!$BD$7:$BD$745=HS$6)*('Intrapartum Care'!$F$7:$F$745&gt;=Lists!$AE5)*('Intrapartum Care'!$F$7:$F$745&lt;=Lists!$AF5))</f>
        <v>0</v>
      </c>
      <c r="HT11" s="290">
        <f>SUMPRODUCT(('Intrapartum Care'!$BD$7:$BD$745=HT$6)*('Intrapartum Care'!$F$7:$F$745&gt;=Lists!$AE5)*('Intrapartum Care'!$F$7:$F$745&lt;=Lists!$AF5))</f>
        <v>0</v>
      </c>
      <c r="HU11" s="290">
        <f>SUMPRODUCT(('Intrapartum Care'!$BD$7:$BD$745=HU$6)*('Intrapartum Care'!$F$7:$F$745&gt;=Lists!$AE5)*('Intrapartum Care'!$F$7:$F$745&lt;=Lists!$AF5))</f>
        <v>0</v>
      </c>
      <c r="HV11" s="290">
        <f>SUMPRODUCT(('Intrapartum Care'!$BD$7:$BD$745=HV$6)*('Intrapartum Care'!$F$7:$F$745&gt;=Lists!$AE5)*('Intrapartum Care'!$F$7:$F$745&lt;=Lists!$AF5))</f>
        <v>0</v>
      </c>
      <c r="HW11" s="290">
        <f>SUMPRODUCT(('Intrapartum Care'!$BD$7:$BD$745=HW$6)*('Intrapartum Care'!$F$7:$F$745&gt;=Lists!$AE5)*('Intrapartum Care'!$F$7:$F$745&lt;=Lists!$AF5))</f>
        <v>0</v>
      </c>
      <c r="HX11" s="290">
        <f>SUMPRODUCT(('Intrapartum Care'!$BD$7:$BD$745=HX$6)*('Intrapartum Care'!$F$7:$F$745&gt;=Lists!$AE5)*('Intrapartum Care'!$F$7:$F$745&lt;=Lists!$AF5))</f>
        <v>0</v>
      </c>
      <c r="HY11" s="290">
        <f>SUMPRODUCT(('Intrapartum Care'!$BD$7:$BD$745=HY$6)*('Intrapartum Care'!$F$7:$F$745&gt;=Lists!$AE5)*('Intrapartum Care'!$F$7:$F$745&lt;=Lists!$AF5))</f>
        <v>0</v>
      </c>
      <c r="HZ11" s="290">
        <f>SUMPRODUCT(('Intrapartum Care'!$BD$7:$BD$745=HZ$6)*('Intrapartum Care'!$F$7:$F$745&gt;=Lists!$AE5)*('Intrapartum Care'!$F$7:$F$745&lt;=Lists!$AF5))</f>
        <v>0</v>
      </c>
      <c r="IA11" s="290">
        <f>SUMPRODUCT(('Intrapartum Care'!$BD$7:$BD$745=IA$6)*('Intrapartum Care'!$F$7:$F$745&gt;=Lists!$AE5)*('Intrapartum Care'!$F$7:$F$745&lt;=Lists!$AF5))</f>
        <v>0</v>
      </c>
      <c r="IB11" s="290">
        <f>SUMPRODUCT(('Intrapartum Care'!$BD$7:$BD$745=IB$6)*('Intrapartum Care'!$F$7:$F$745&gt;=Lists!$AE5)*('Intrapartum Care'!$F$7:$F$745&lt;=Lists!$AF5))</f>
        <v>0</v>
      </c>
      <c r="IC11" s="290">
        <f>SUMPRODUCT(('Intrapartum Care'!$BD$7:$BD$745=IC$6)*('Intrapartum Care'!$F$7:$F$745&gt;=Lists!$AE5)*('Intrapartum Care'!$F$7:$F$745&lt;=Lists!$AF5))</f>
        <v>0</v>
      </c>
      <c r="ID11" s="290">
        <f>SUMPRODUCT(('Intrapartum Care'!$BD$7:$BD$745=ID$6)*('Intrapartum Care'!$F$7:$F$745&gt;=Lists!$AE5)*('Intrapartum Care'!$F$7:$F$745&lt;=Lists!$AF5))</f>
        <v>0</v>
      </c>
      <c r="IE11" s="290">
        <f>SUMPRODUCT(('Intrapartum Care'!$BD$7:$BD$745=IE$6)*('Intrapartum Care'!$F$7:$F$745&gt;=Lists!$AE5)*('Intrapartum Care'!$F$7:$F$745&lt;=Lists!$AF5))</f>
        <v>0</v>
      </c>
      <c r="IF11" s="290">
        <f>SUMPRODUCT(('Intrapartum Care'!$BD$7:$BD$745=IF$6)*('Intrapartum Care'!$F$7:$F$745&gt;=Lists!$AE5)*('Intrapartum Care'!$F$7:$F$745&lt;=Lists!$AF5))</f>
        <v>0</v>
      </c>
      <c r="IG11" s="290">
        <f>SUMPRODUCT(('Intrapartum Care'!$BD$7:$BD$745=IG$6)*('Intrapartum Care'!$F$7:$F$745&gt;=Lists!$AE5)*('Intrapartum Care'!$F$7:$F$745&lt;=Lists!$AF5))</f>
        <v>0</v>
      </c>
      <c r="IH11" s="290">
        <f>SUMPRODUCT(('Intrapartum Care'!$BD$7:$BD$745=IH$6)*('Intrapartum Care'!$F$7:$F$745&gt;=Lists!$AE5)*('Intrapartum Care'!$F$7:$F$745&lt;=Lists!$AF5))</f>
        <v>0</v>
      </c>
      <c r="II11" s="227">
        <f t="shared" si="32"/>
        <v>0</v>
      </c>
      <c r="IJ11" s="290">
        <f>SUMPRODUCT(('Intrapartum Care'!$BE$7:$BE$745=IJ$6)*('Intrapartum Care'!$F$7:$F$745&gt;=Lists!$AE5)*('Intrapartum Care'!$F$7:$F$745&lt;=Lists!$AF5))</f>
        <v>0</v>
      </c>
      <c r="IK11" s="290">
        <f>SUMPRODUCT(('Intrapartum Care'!$BE$7:$BE$745=IK$6)*('Intrapartum Care'!$F$7:$F$745&gt;=Lists!$AE5)*('Intrapartum Care'!$F$7:$F$745&lt;=Lists!$AF5))</f>
        <v>0</v>
      </c>
      <c r="IL11" s="290">
        <f>SUMPRODUCT(('Intrapartum Care'!$BE$7:$BE$745=IL$6)*('Intrapartum Care'!$F$7:$F$745&gt;=Lists!$AE5)*('Intrapartum Care'!$F$7:$F$745&lt;=Lists!$AF5))</f>
        <v>0</v>
      </c>
      <c r="IM11" s="290">
        <f>SUMPRODUCT(('Intrapartum Care'!$BE$7:$BE$745=IM$6)*('Intrapartum Care'!$F$7:$F$745&gt;=Lists!$AE5)*('Intrapartum Care'!$F$7:$F$745&lt;=Lists!$AF5))</f>
        <v>0</v>
      </c>
      <c r="IN11" s="290">
        <f>SUMPRODUCT(('Intrapartum Care'!$BE$7:$BE$745=IN$6)*('Intrapartum Care'!$F$7:$F$745&gt;=Lists!$AE5)*('Intrapartum Care'!$F$7:$F$745&lt;=Lists!$AF5))</f>
        <v>0</v>
      </c>
      <c r="IO11" s="290">
        <f>SUMPRODUCT(('Intrapartum Care'!$BE$7:$BE$745=IO$6)*('Intrapartum Care'!$F$7:$F$745&gt;=Lists!$AE5)*('Intrapartum Care'!$F$7:$F$745&lt;=Lists!$AF5))</f>
        <v>0</v>
      </c>
      <c r="IP11" s="290">
        <f>SUMPRODUCT(('Intrapartum Care'!$BE$7:$BE$745=IP$6)*('Intrapartum Care'!$F$7:$F$745&gt;=Lists!$AE5)*('Intrapartum Care'!$F$7:$F$745&lt;=Lists!$AF5))</f>
        <v>0</v>
      </c>
      <c r="IQ11" s="170">
        <f t="shared" si="33"/>
        <v>0</v>
      </c>
      <c r="IR11" s="290">
        <f>SUMPRODUCT(('Intrapartum Care'!$BF$7:$BF$745=IR$6)*('Intrapartum Care'!$F$7:$F$745&gt;=Lists!$AE5)*('Intrapartum Care'!$F$7:$F$745&lt;=Lists!$AF5))</f>
        <v>0</v>
      </c>
      <c r="IS11" s="290">
        <f>SUMPRODUCT(('Intrapartum Care'!$BF$7:$BF$745=IS$6)*('Intrapartum Care'!$F$7:$F$745&gt;=Lists!$AE5)*('Intrapartum Care'!$F$7:$F$745&lt;=Lists!$AF5))</f>
        <v>0</v>
      </c>
      <c r="IT11" s="290">
        <f>SUMPRODUCT(('Intrapartum Care'!$BF$7:$BF$745=IT$6)*('Intrapartum Care'!$F$7:$F$745&gt;=Lists!$AE5)*('Intrapartum Care'!$F$7:$F$745&lt;=Lists!$AF5))</f>
        <v>0</v>
      </c>
      <c r="IU11" s="290">
        <f>SUMPRODUCT(('Intrapartum Care'!$BF$7:$BF$745=IU$6)*('Intrapartum Care'!$F$7:$F$745&gt;=Lists!$AE5)*('Intrapartum Care'!$F$7:$F$745&lt;=Lists!$AF5))</f>
        <v>0</v>
      </c>
      <c r="IV11" s="170">
        <f t="shared" si="34"/>
        <v>0</v>
      </c>
      <c r="IW11" s="290">
        <f>SUMPRODUCT(('Intrapartum Care'!$BH$7:$BH$745=IW$6)*('Intrapartum Care'!$F$7:$F$745&gt;=Lists!$AE5)*('Intrapartum Care'!$F$7:$F$745&lt;=Lists!$AF5))</f>
        <v>0</v>
      </c>
      <c r="IX11" s="290">
        <f>SUMPRODUCT(('Intrapartum Care'!$BH$7:$BH$745=IX$6)*('Intrapartum Care'!$F$7:$F$745&gt;=Lists!$AE5)*('Intrapartum Care'!$F$7:$F$745&lt;=Lists!$AF5))</f>
        <v>0</v>
      </c>
      <c r="IY11" s="290">
        <f>SUMPRODUCT(('Intrapartum Care'!$BH$7:$BH$745=IY$6)*('Intrapartum Care'!$F$7:$F$745&gt;=Lists!$AE5)*('Intrapartum Care'!$F$7:$F$745&lt;=Lists!$AF5))</f>
        <v>0</v>
      </c>
      <c r="IZ11" s="290">
        <f>SUMPRODUCT(('Intrapartum Care'!$BH$7:$BH$745=IZ$6)*('Intrapartum Care'!$F$7:$F$745&gt;=Lists!$AE5)*('Intrapartum Care'!$F$7:$F$745&lt;=Lists!$AF5))</f>
        <v>0</v>
      </c>
      <c r="JA11" s="290">
        <f>SUMPRODUCT(('Intrapartum Care'!$BH$7:$BH$745=JA$6)*('Intrapartum Care'!$F$7:$F$745&gt;=Lists!$AE5)*('Intrapartum Care'!$F$7:$F$745&lt;=Lists!$AF5))</f>
        <v>0</v>
      </c>
      <c r="JB11" s="551">
        <f t="shared" si="35"/>
        <v>0</v>
      </c>
      <c r="JC11" s="243">
        <f t="shared" si="1"/>
        <v>0</v>
      </c>
      <c r="JD11" s="15"/>
      <c r="JE11" s="15"/>
      <c r="JF11" s="15"/>
      <c r="JG11" s="15"/>
      <c r="JH11" s="15"/>
      <c r="JI11" s="15"/>
      <c r="JJ11" s="15"/>
      <c r="JK11" s="15"/>
      <c r="JL11" s="16"/>
      <c r="JM11" s="15"/>
      <c r="JN11" s="15"/>
      <c r="JO11" s="15"/>
      <c r="JP11" s="15"/>
    </row>
    <row r="12" spans="1:279" ht="15" customHeight="1" x14ac:dyDescent="0.35">
      <c r="A12" s="570">
        <v>45870</v>
      </c>
      <c r="B12" s="345">
        <f>SUMPRODUCT(('Intrapartum Care'!$C$7:$C$745=B$6)*('Intrapartum Care'!$F$7:$F$745&gt;=Lists!$AE6)*('Intrapartum Care'!$F$7:$F$745&lt;=Lists!$AF6))</f>
        <v>0</v>
      </c>
      <c r="C12" s="251">
        <f>SUMPRODUCT(('Intrapartum Care'!$C$7:$C$745=C$6)*('Intrapartum Care'!$F$7:$F$745&gt;=Lists!$AE6)*('Intrapartum Care'!$F$7:$F$745&lt;=Lists!$AF6))</f>
        <v>0</v>
      </c>
      <c r="D12" s="170">
        <f t="shared" si="2"/>
        <v>0</v>
      </c>
      <c r="E12" s="290">
        <f>SUMPRODUCT(('Intrapartum Care'!$D$7:$D$745=E$6)*('Intrapartum Care'!$F$7:$F$745&gt;=Lists!$AE6)*('Intrapartum Care'!$F$7:$F$745&lt;=Lists!$AF6))</f>
        <v>0</v>
      </c>
      <c r="F12" s="290">
        <f>SUMPRODUCT(('Intrapartum Care'!$D$7:$D$745=F$6)*('Intrapartum Care'!$F$7:$F$745&gt;=Lists!$AE6)*('Intrapartum Care'!$F$7:$F$745&lt;=Lists!$AF6))</f>
        <v>0</v>
      </c>
      <c r="G12" s="290">
        <f>SUMPRODUCT(('Intrapartum Care'!$D$7:$D$745=G$6)*('Intrapartum Care'!$F$7:$F$745&gt;=Lists!$AE6)*('Intrapartum Care'!$F$7:$F$745&lt;=Lists!$AF6))</f>
        <v>0</v>
      </c>
      <c r="H12" s="170">
        <f t="shared" si="3"/>
        <v>0</v>
      </c>
      <c r="I12" s="255">
        <f>SUMPRODUCT(('Intrapartum Care'!$E$7:$E$745=I$6)*('Intrapartum Care'!$F$7:$F$745&gt;=Lists!$AE6)*('Intrapartum Care'!$F$7:$F$745&lt;=Lists!$AF6))</f>
        <v>0</v>
      </c>
      <c r="J12" s="252">
        <f>SUMPRODUCT(('Intrapartum Care'!$E$7:$E$745=J$6)*('Intrapartum Care'!$F$7:$F$745&gt;=Lists!$AE6)*('Intrapartum Care'!$F$7:$F$745&lt;=Lists!$AF6))</f>
        <v>0</v>
      </c>
      <c r="K12" s="252">
        <f>SUMPRODUCT(('Intrapartum Care'!$E$7:$E$745=K$6)*('Intrapartum Care'!$F$7:$F$745&gt;=Lists!$AE6)*('Intrapartum Care'!$F$7:$F$745&lt;=Lists!$AF6))</f>
        <v>0</v>
      </c>
      <c r="L12" s="252">
        <f>SUMPRODUCT(('Intrapartum Care'!$E$7:$E$745=L$6)*('Intrapartum Care'!$F$7:$F$745&gt;=Lists!$AE6)*('Intrapartum Care'!$F$7:$F$745&lt;=Lists!$AF6))</f>
        <v>0</v>
      </c>
      <c r="M12" s="252">
        <f>SUMPRODUCT(('Intrapartum Care'!$E$7:$E$745=M$6)*('Intrapartum Care'!$F$7:$F$745&gt;=Lists!$AE6)*('Intrapartum Care'!$F$7:$F$745&lt;=Lists!$AF6))</f>
        <v>0</v>
      </c>
      <c r="N12" s="252">
        <f>SUMPRODUCT(('Intrapartum Care'!$E$7:$E$745=N$6)*('Intrapartum Care'!$F$7:$F$745&gt;=Lists!$AE6)*('Intrapartum Care'!$F$7:$F$745&lt;=Lists!$AF6))</f>
        <v>0</v>
      </c>
      <c r="O12" s="252">
        <f>SUMPRODUCT(('Intrapartum Care'!$E$7:$E$745=O$6)*('Intrapartum Care'!$F$7:$F$745&gt;=Lists!$AE6)*('Intrapartum Care'!$F$7:$F$745&lt;=Lists!$AF6))</f>
        <v>0</v>
      </c>
      <c r="P12" s="252">
        <f>SUMPRODUCT(('Intrapartum Care'!$E$7:$E$745=P$6)*('Intrapartum Care'!$F$7:$F$745&gt;=Lists!$AE6)*('Intrapartum Care'!$F$7:$F$745&lt;=Lists!$AF6))</f>
        <v>0</v>
      </c>
      <c r="Q12" s="252">
        <f>SUMPRODUCT(('Intrapartum Care'!$E$7:$E$745=Q$6)*('Intrapartum Care'!$F$7:$F$745&gt;=Lists!$AE6)*('Intrapartum Care'!$F$7:$F$745&lt;=Lists!$AF6))</f>
        <v>0</v>
      </c>
      <c r="R12" s="252">
        <f>SUMPRODUCT(('Intrapartum Care'!$E$7:$E$745=R$6)*('Intrapartum Care'!$F$7:$F$745&gt;=Lists!$AE6)*('Intrapartum Care'!$F$7:$F$745&lt;=Lists!$AF6))</f>
        <v>0</v>
      </c>
      <c r="S12" s="252">
        <f>SUMPRODUCT(('Intrapartum Care'!$E$7:$E$745=S$6)*('Intrapartum Care'!$F$7:$F$745&gt;=Lists!$AE6)*('Intrapartum Care'!$F$7:$F$745&lt;=Lists!$AF6))</f>
        <v>0</v>
      </c>
      <c r="T12" s="252">
        <f>SUMPRODUCT(('Intrapartum Care'!$E$7:$E$745=T$6)*('Intrapartum Care'!$F$7:$F$745&gt;=Lists!$AE6)*('Intrapartum Care'!$F$7:$F$745&lt;=Lists!$AF6))</f>
        <v>0</v>
      </c>
      <c r="U12" s="252">
        <f>SUMPRODUCT(('Intrapartum Care'!$E$7:$E$745=U$6)*('Intrapartum Care'!$F$7:$F$745&gt;=Lists!$AE6)*('Intrapartum Care'!$F$7:$F$745&lt;=Lists!$AF6))</f>
        <v>0</v>
      </c>
      <c r="V12" s="252">
        <f>SUMPRODUCT(('Intrapartum Care'!$E$7:$E$745=V$6)*('Intrapartum Care'!$F$7:$F$745&gt;=Lists!$AE6)*('Intrapartum Care'!$F$7:$F$745&lt;=Lists!$AF6))</f>
        <v>0</v>
      </c>
      <c r="W12" s="252">
        <f>SUMPRODUCT(('Intrapartum Care'!$E$7:$E$745=W$6)*('Intrapartum Care'!$F$7:$F$745&gt;=Lists!$AE6)*('Intrapartum Care'!$F$7:$F$745&lt;=Lists!$AF6))</f>
        <v>0</v>
      </c>
      <c r="X12" s="252">
        <f>SUMPRODUCT(('Intrapartum Care'!$E$7:$E$745=X$6)*('Intrapartum Care'!$F$7:$F$745&gt;=Lists!$AE6)*('Intrapartum Care'!$F$7:$F$745&lt;=Lists!$AF6))</f>
        <v>0</v>
      </c>
      <c r="Y12" s="252">
        <f>SUMPRODUCT(('Intrapartum Care'!$E$7:$E$745=Y$6)*('Intrapartum Care'!$F$7:$F$745&gt;=Lists!$AE6)*('Intrapartum Care'!$F$7:$F$745&lt;=Lists!$AF6))</f>
        <v>0</v>
      </c>
      <c r="Z12" s="252">
        <f>SUMPRODUCT(('Intrapartum Care'!$E$7:$E$745=Z$6)*('Intrapartum Care'!$F$7:$F$745&gt;=Lists!$AE6)*('Intrapartum Care'!$F$7:$F$745&lt;=Lists!$AF6))</f>
        <v>0</v>
      </c>
      <c r="AA12" s="252">
        <f>SUMPRODUCT(('Intrapartum Care'!$E$7:$E$745=AA$6)*('Intrapartum Care'!$F$7:$F$745&gt;=Lists!$AE6)*('Intrapartum Care'!$F$7:$F$745&lt;=Lists!$AF6))</f>
        <v>0</v>
      </c>
      <c r="AB12" s="252">
        <f>SUMPRODUCT(('Intrapartum Care'!$E$7:$E$745=AB$6)*('Intrapartum Care'!$F$7:$F$745&gt;=Lists!$AE6)*('Intrapartum Care'!$F$7:$F$745&lt;=Lists!$AF6))</f>
        <v>0</v>
      </c>
      <c r="AC12" s="264">
        <f>SUMPRODUCT(('Intrapartum Care'!$E$7:$E$745=AC$6)*('Intrapartum Care'!$F$7:$F$745&gt;=Lists!$AE6)*('Intrapartum Care'!$F$7:$F$745&lt;=Lists!$AF6))</f>
        <v>0</v>
      </c>
      <c r="AD12" s="227">
        <f t="shared" si="4"/>
        <v>0</v>
      </c>
      <c r="AE12" s="255">
        <f>SUMPRODUCT(('Intrapartum Care'!$H$7:$H$745=AE$6)*('Intrapartum Care'!$F$7:$F$745&gt;=Lists!$AE6)*('Intrapartum Care'!$F$7:$F$745&lt;=Lists!$AF6))</f>
        <v>0</v>
      </c>
      <c r="AF12" s="252">
        <f>SUMPRODUCT(('Intrapartum Care'!$H$7:$H$745=AF$6)*('Intrapartum Care'!$F$7:$F$745&gt;=Lists!$AE6)*('Intrapartum Care'!$F$7:$F$745&lt;=Lists!$AF6))</f>
        <v>0</v>
      </c>
      <c r="AG12" s="252">
        <f>SUMPRODUCT(('Intrapartum Care'!$H$7:$H$745=AG$6)*('Intrapartum Care'!$F$7:$F$745&gt;=Lists!$AE6)*('Intrapartum Care'!$F$7:$F$745&lt;=Lists!$AF6))</f>
        <v>0</v>
      </c>
      <c r="AH12" s="252">
        <f>SUMPRODUCT(('Intrapartum Care'!$H$7:$H$745=AH$6)*('Intrapartum Care'!$F$7:$F$745&gt;=Lists!$AE6)*('Intrapartum Care'!$F$7:$F$745&lt;=Lists!$AF6))</f>
        <v>0</v>
      </c>
      <c r="AI12" s="252">
        <f>SUMPRODUCT(('Intrapartum Care'!$H$7:$H$745=AI$6)*('Intrapartum Care'!$F$7:$F$745&gt;=Lists!$AE6)*('Intrapartum Care'!$F$7:$F$745&lt;=Lists!$AF6))</f>
        <v>0</v>
      </c>
      <c r="AJ12" s="252">
        <f>SUMPRODUCT(('Intrapartum Care'!$H$7:$H$745=AJ$6)*('Intrapartum Care'!$F$7:$F$745&gt;=Lists!$AE6)*('Intrapartum Care'!$F$7:$F$745&lt;=Lists!$AF6))</f>
        <v>0</v>
      </c>
      <c r="AK12" s="252">
        <f>SUMPRODUCT(('Intrapartum Care'!$H$7:$H$745=AK$6)*('Intrapartum Care'!$F$7:$F$745&gt;=Lists!$AE6)*('Intrapartum Care'!$F$7:$F$745&lt;=Lists!$AF6))</f>
        <v>0</v>
      </c>
      <c r="AL12" s="252">
        <f>SUMPRODUCT(('Intrapartum Care'!$H$7:$H$745=AL$6)*('Intrapartum Care'!$F$7:$F$745&gt;=Lists!$AE6)*('Intrapartum Care'!$F$7:$F$745&lt;=Lists!$AF6))</f>
        <v>0</v>
      </c>
      <c r="AM12" s="264">
        <f>SUMPRODUCT(('Intrapartum Care'!$H$7:$H$745=AM$6)*('Intrapartum Care'!$F$7:$F$745&gt;=Lists!$AE6)*('Intrapartum Care'!$F$7:$F$745&lt;=Lists!$AF6))</f>
        <v>0</v>
      </c>
      <c r="AN12" s="170">
        <f t="shared" si="5"/>
        <v>0</v>
      </c>
      <c r="AO12" s="255">
        <f>SUMPRODUCT(('Intrapartum Care'!$I$7:$I$745=AO$6)*('Intrapartum Care'!$F$7:$F$745&gt;=Lists!$AE6)*('Intrapartum Care'!$F$7:$F$745&lt;=Lists!$AF6))</f>
        <v>0</v>
      </c>
      <c r="AP12" s="252">
        <f>SUMPRODUCT(('Intrapartum Care'!$I$7:$I$745=AP$6)*('Intrapartum Care'!$F$7:$F$745&gt;=Lists!$AE6)*('Intrapartum Care'!$F$7:$F$745&lt;=Lists!$AF6))</f>
        <v>0</v>
      </c>
      <c r="AQ12" s="252">
        <f>SUMPRODUCT(('Intrapartum Care'!$I$7:$I$745=AQ$6)*('Intrapartum Care'!$F$7:$F$745&gt;=Lists!$AE6)*('Intrapartum Care'!$F$7:$F$745&lt;=Lists!$AF6))</f>
        <v>0</v>
      </c>
      <c r="AR12" s="252">
        <f>SUMPRODUCT(('Intrapartum Care'!$I$7:$I$745=AR$6)*('Intrapartum Care'!$F$7:$F$745&gt;=Lists!$AE6)*('Intrapartum Care'!$F$7:$F$745&lt;=Lists!$AF6))</f>
        <v>0</v>
      </c>
      <c r="AS12" s="252">
        <f>SUMPRODUCT(('Intrapartum Care'!$I$7:$I$745=AS$6)*('Intrapartum Care'!$F$7:$F$745&gt;=Lists!$AE6)*('Intrapartum Care'!$F$7:$F$745&lt;=Lists!$AF6))</f>
        <v>0</v>
      </c>
      <c r="AT12" s="252">
        <f>SUMPRODUCT(('Intrapartum Care'!$I$7:$I$745=AT$6)*('Intrapartum Care'!$F$7:$F$745&gt;=Lists!$AE6)*('Intrapartum Care'!$F$7:$F$745&lt;=Lists!$AF6))</f>
        <v>0</v>
      </c>
      <c r="AU12" s="253">
        <f>SUMPRODUCT(('Intrapartum Care'!$I$7:$I$745=AU$6)*('Intrapartum Care'!$F$7:$F$745&gt;=Lists!$AE6)*('Intrapartum Care'!$F$7:$F$745&lt;=Lists!$AF6))</f>
        <v>0</v>
      </c>
      <c r="AV12" s="170">
        <f t="shared" si="6"/>
        <v>0</v>
      </c>
      <c r="AW12" s="255">
        <f>SUMPRODUCT(('Intrapartum Care'!$J$7:$J$745=AW$6)*('Intrapartum Care'!$F$7:$F$745&gt;=Lists!$AE6)*('Intrapartum Care'!$F$7:$F$745&lt;=Lists!$AF6))</f>
        <v>0</v>
      </c>
      <c r="AX12" s="253">
        <f>SUMPRODUCT(('Intrapartum Care'!$J$7:$J$745=AX$6)*('Intrapartum Care'!$F$7:$F$745&gt;=Lists!$AE6)*('Intrapartum Care'!$F$7:$F$745&lt;=Lists!$AF6))</f>
        <v>0</v>
      </c>
      <c r="AY12" s="170">
        <f t="shared" si="7"/>
        <v>0</v>
      </c>
      <c r="AZ12" s="263">
        <f>SUMPRODUCT(('Intrapartum Care'!$R$7:$R$745=AZ$6)*('Intrapartum Care'!$F$7:$F$745&gt;=Lists!$AE6)*('Intrapartum Care'!$F$7:$F$745&lt;=Lists!$AF6))</f>
        <v>0</v>
      </c>
      <c r="BA12" s="252">
        <f>SUMPRODUCT(('Intrapartum Care'!$R$7:$R$745=BA$6)*('Intrapartum Care'!$F$7:$F$745&gt;=Lists!$AE6)*('Intrapartum Care'!$F$7:$F$745&lt;=Lists!$AF6))</f>
        <v>0</v>
      </c>
      <c r="BB12" s="252">
        <f>SUMPRODUCT(('Intrapartum Care'!$R$7:$R$745=BB$6)*('Intrapartum Care'!$F$7:$F$745&gt;=Lists!$AE6)*('Intrapartum Care'!$F$7:$F$745&lt;=Lists!$AF6))</f>
        <v>0</v>
      </c>
      <c r="BC12" s="253">
        <f>SUMPRODUCT(('Intrapartum Care'!$R$7:$R$745=BC$6)*('Intrapartum Care'!$F$7:$F$745&gt;=Lists!$AE6)*('Intrapartum Care'!$F$7:$F$745&lt;=Lists!$AF6))</f>
        <v>0</v>
      </c>
      <c r="BD12" s="170">
        <f t="shared" si="8"/>
        <v>0</v>
      </c>
      <c r="BE12" s="263">
        <f>SUMPRODUCT(('Intrapartum Care'!$S$7:$S$745=BE$6)*('Intrapartum Care'!$F$7:$F$745&gt;=Lists!$AE6)*('Intrapartum Care'!$F$7:$F$745&lt;=Lists!$AF6))</f>
        <v>0</v>
      </c>
      <c r="BF12" s="252">
        <f>SUMPRODUCT(('Intrapartum Care'!$S$7:$S$745=BF$6)*('Intrapartum Care'!$F$7:$F$745&gt;=Lists!$AE6)*('Intrapartum Care'!$F$7:$F$745&lt;=Lists!$AF6))</f>
        <v>0</v>
      </c>
      <c r="BG12" s="264">
        <f>SUMPRODUCT(('Intrapartum Care'!$S$7:$S$745=BG$6)*('Intrapartum Care'!$F$7:$F$745&gt;=Lists!$AE6)*('Intrapartum Care'!$F$7:$F$745&lt;=Lists!$AF6))</f>
        <v>0</v>
      </c>
      <c r="BH12" s="170">
        <f t="shared" si="9"/>
        <v>0</v>
      </c>
      <c r="BI12" s="290">
        <f>SUMPRODUCT(('Intrapartum Care'!$T$7:$T$745=BI$6)*('Intrapartum Care'!$F$7:$F$745&gt;=Lists!$AE6)*('Intrapartum Care'!$F$7:$F$745&lt;=Lists!$AF6))</f>
        <v>0</v>
      </c>
      <c r="BJ12" s="290">
        <f>SUMPRODUCT(('Intrapartum Care'!$T$7:$T$745=BJ$6)*('Intrapartum Care'!$F$7:$F$745&gt;=Lists!$AE6)*('Intrapartum Care'!$F$7:$F$745&lt;=Lists!$AF6))</f>
        <v>0</v>
      </c>
      <c r="BK12" s="290">
        <f>SUMPRODUCT(('Intrapartum Care'!$T$7:$T$745=BK$6)*('Intrapartum Care'!$F$7:$F$745&gt;=Lists!$AE6)*('Intrapartum Care'!$F$7:$F$745&lt;=Lists!$AF6))</f>
        <v>0</v>
      </c>
      <c r="BL12" s="290">
        <f>SUMPRODUCT(('Intrapartum Care'!$T$7:$T$745=BL$6)*('Intrapartum Care'!$F$7:$F$745&gt;=Lists!$AE6)*('Intrapartum Care'!$F$7:$F$745&lt;=Lists!$AF6))</f>
        <v>0</v>
      </c>
      <c r="BM12" s="227">
        <f t="shared" si="10"/>
        <v>0</v>
      </c>
      <c r="BN12" s="290">
        <f>SUMPRODUCT(('Intrapartum Care'!$U$7:$U$745=BN$6)*('Intrapartum Care'!$F$7:$F$745&gt;=Lists!$AE6)*('Intrapartum Care'!$F$7:$F$745&lt;=Lists!$AF6))</f>
        <v>0</v>
      </c>
      <c r="BO12" s="290">
        <f>SUMPRODUCT(('Intrapartum Care'!$U$7:$U$745=BO$6)*('Intrapartum Care'!$F$7:$F$745&gt;=Lists!$AE6)*('Intrapartum Care'!$F$7:$F$745&lt;=Lists!$AF6))</f>
        <v>0</v>
      </c>
      <c r="BP12" s="290">
        <f>SUMPRODUCT(('Intrapartum Care'!$U$7:$U$745=BP$6)*('Intrapartum Care'!$F$7:$F$745&gt;=Lists!$AE6)*('Intrapartum Care'!$F$7:$F$745&lt;=Lists!$AF6))</f>
        <v>0</v>
      </c>
      <c r="BQ12" s="290">
        <f>SUMPRODUCT(('Intrapartum Care'!$U$7:$U$745=BQ$6)*('Intrapartum Care'!$F$7:$F$745&gt;=Lists!$AE6)*('Intrapartum Care'!$F$7:$F$745&lt;=Lists!$AF6))</f>
        <v>0</v>
      </c>
      <c r="BR12" s="227">
        <f t="shared" si="11"/>
        <v>0</v>
      </c>
      <c r="BS12" s="290">
        <f>SUMPRODUCT(('Intrapartum Care'!$V$7:$V$745=BS$6)*('Intrapartum Care'!$F$7:$F$745&gt;=Lists!$AE6)*('Intrapartum Care'!$F$7:$F$745&lt;=Lists!$AF6))</f>
        <v>0</v>
      </c>
      <c r="BT12" s="290">
        <f>SUMPRODUCT(('Intrapartum Care'!$V$7:$V$745=BT$6)*('Intrapartum Care'!$F$7:$F$745&gt;=Lists!$AE6)*('Intrapartum Care'!$F$7:$F$745&lt;=Lists!$AF6))</f>
        <v>0</v>
      </c>
      <c r="BU12" s="290">
        <f>SUMPRODUCT(('Intrapartum Care'!$V$7:$V$745=BU$6)*('Intrapartum Care'!$F$7:$F$745&gt;=Lists!$AE6)*('Intrapartum Care'!$F$7:$F$745&lt;=Lists!$AF6))</f>
        <v>0</v>
      </c>
      <c r="BV12" s="290">
        <f>SUMPRODUCT(('Intrapartum Care'!$V$7:$V$745=BV$6)*('Intrapartum Care'!$F$7:$F$745&gt;=Lists!$AE6)*('Intrapartum Care'!$F$7:$F$745&lt;=Lists!$AF6))</f>
        <v>0</v>
      </c>
      <c r="BW12" s="290">
        <f>SUMPRODUCT(('Intrapartum Care'!$V$7:$V$745=BW$6)*('Intrapartum Care'!$F$7:$F$745&gt;=Lists!$AE6)*('Intrapartum Care'!$F$7:$F$745&lt;=Lists!$AF6))</f>
        <v>0</v>
      </c>
      <c r="BX12" s="227">
        <f t="shared" si="12"/>
        <v>0</v>
      </c>
      <c r="BY12" s="290">
        <f>SUMPRODUCT(('Intrapartum Care'!$W$7:$W$745=BY$6)*('Intrapartum Care'!$F$7:$F$745&gt;=Lists!$AE6)*('Intrapartum Care'!$F$7:$F$745&lt;=Lists!$AF6))</f>
        <v>0</v>
      </c>
      <c r="BZ12" s="290">
        <f>SUMPRODUCT(('Intrapartum Care'!$W$7:$W$745=BZ$6)*('Intrapartum Care'!$F$7:$F$745&gt;=Lists!$AE6)*('Intrapartum Care'!$F$7:$F$745&lt;=Lists!$AF6))</f>
        <v>0</v>
      </c>
      <c r="CA12" s="290">
        <f>SUMPRODUCT(('Intrapartum Care'!$W$7:$W$745=CA$6)*('Intrapartum Care'!$F$7:$F$745&gt;=Lists!$AE6)*('Intrapartum Care'!$F$7:$F$745&lt;=Lists!$AF6))</f>
        <v>0</v>
      </c>
      <c r="CB12" s="290">
        <f>SUMPRODUCT(('Intrapartum Care'!$W$7:$W$745=CB$6)*('Intrapartum Care'!$F$7:$F$745&gt;=Lists!$AE6)*('Intrapartum Care'!$F$7:$F$745&lt;=Lists!$AF6))</f>
        <v>0</v>
      </c>
      <c r="CC12" s="290">
        <f>SUMPRODUCT(('Intrapartum Care'!$W$7:$W$745=CC$6)*('Intrapartum Care'!$F$7:$F$745&gt;=Lists!$AE6)*('Intrapartum Care'!$F$7:$F$745&lt;=Lists!$AF6))</f>
        <v>0</v>
      </c>
      <c r="CD12" s="227">
        <f t="shared" si="13"/>
        <v>0</v>
      </c>
      <c r="CE12" s="290">
        <f>SUMPRODUCT(('Intrapartum Care'!$X$7:$X$745=CE$6)*('Intrapartum Care'!$F$7:$F$745&gt;=Lists!$AE6)*('Intrapartum Care'!$F$7:$F$745&lt;=Lists!$AF6))</f>
        <v>0</v>
      </c>
      <c r="CF12" s="290">
        <f>SUMPRODUCT(('Intrapartum Care'!$X$7:$X$745=CF$6)*('Intrapartum Care'!$F$7:$F$745&gt;=Lists!$AE6)*('Intrapartum Care'!$F$7:$F$745&lt;=Lists!$AF6))</f>
        <v>0</v>
      </c>
      <c r="CG12" s="290">
        <f>SUMPRODUCT(('Intrapartum Care'!$X$7:$X$745=CG$6)*('Intrapartum Care'!$F$7:$F$745&gt;=Lists!$AE6)*('Intrapartum Care'!$F$7:$F$745&lt;=Lists!$AF6))</f>
        <v>0</v>
      </c>
      <c r="CH12" s="290">
        <f>SUMPRODUCT(('Intrapartum Care'!$X$7:$X$745=CH$6)*('Intrapartum Care'!$F$7:$F$745&gt;=Lists!$AE6)*('Intrapartum Care'!$F$7:$F$745&lt;=Lists!$AF6))</f>
        <v>0</v>
      </c>
      <c r="CI12" s="290">
        <f>SUMPRODUCT(('Intrapartum Care'!$X$7:$X$745=CI$6)*('Intrapartum Care'!$F$7:$F$745&gt;=Lists!$AE6)*('Intrapartum Care'!$F$7:$F$745&lt;=Lists!$AF6))</f>
        <v>0</v>
      </c>
      <c r="CJ12" s="290">
        <f>SUMPRODUCT(('Intrapartum Care'!$X$7:$X$745=CJ$6)*('Intrapartum Care'!$F$7:$F$745&gt;=Lists!$AE6)*('Intrapartum Care'!$F$7:$F$745&lt;=Lists!$AF6))</f>
        <v>0</v>
      </c>
      <c r="CK12" s="290">
        <f>SUMPRODUCT(('Intrapartum Care'!$X$7:$X$745=CK$6)*('Intrapartum Care'!$F$7:$F$745&gt;=Lists!$AE6)*('Intrapartum Care'!$F$7:$F$745&lt;=Lists!$AF6))</f>
        <v>0</v>
      </c>
      <c r="CL12" s="227">
        <f t="shared" si="14"/>
        <v>0</v>
      </c>
      <c r="CM12" s="290">
        <f>SUMPRODUCT(('Intrapartum Care'!$Y$7:$Y$745=CM$6)*('Intrapartum Care'!$F$7:$F$745&gt;=Lists!$AE6)*('Intrapartum Care'!$F$7:$F$745&lt;=Lists!$AF6))</f>
        <v>0</v>
      </c>
      <c r="CN12" s="290">
        <f>SUMPRODUCT(('Intrapartum Care'!$Y$7:$Y$745=CN$6)*('Intrapartum Care'!$F$7:$F$745&gt;=Lists!$AE6)*('Intrapartum Care'!$F$7:$F$745&lt;=Lists!$AF6))</f>
        <v>0</v>
      </c>
      <c r="CO12" s="290">
        <f>SUMPRODUCT(('Intrapartum Care'!$Y$7:$Y$745=CO$6)*('Intrapartum Care'!$F$7:$F$745&gt;=Lists!$AE6)*('Intrapartum Care'!$F$7:$F$745&lt;=Lists!$AF6))</f>
        <v>0</v>
      </c>
      <c r="CP12" s="290">
        <f>SUMPRODUCT(('Intrapartum Care'!$Y$7:$Y$745=CP$6)*('Intrapartum Care'!$F$7:$F$745&gt;=Lists!$AE6)*('Intrapartum Care'!$F$7:$F$745&lt;=Lists!$AF6))</f>
        <v>0</v>
      </c>
      <c r="CQ12" s="290">
        <f>SUMPRODUCT(('Intrapartum Care'!$Y$7:$Y$745=CQ$6)*('Intrapartum Care'!$F$7:$F$745&gt;=Lists!$AE6)*('Intrapartum Care'!$F$7:$F$745&lt;=Lists!$AF6))</f>
        <v>0</v>
      </c>
      <c r="CR12" s="290">
        <f>SUMPRODUCT(('Intrapartum Care'!$Y$7:$Y$745=CR$6)*('Intrapartum Care'!$F$7:$F$745&gt;=Lists!$AE6)*('Intrapartum Care'!$F$7:$F$745&lt;=Lists!$AF6))</f>
        <v>0</v>
      </c>
      <c r="CS12" s="227">
        <f t="shared" si="15"/>
        <v>0</v>
      </c>
      <c r="CT12" s="290">
        <f>SUMPRODUCT(('Intrapartum Care'!$Z$7:$Z$745=CT$6)*('Intrapartum Care'!$F$7:$F$745&gt;=Lists!$AE6)*('Intrapartum Care'!$F$7:$F$745&lt;=Lists!$AF6))</f>
        <v>0</v>
      </c>
      <c r="CU12" s="290">
        <f>SUMPRODUCT(('Intrapartum Care'!$Z$7:$Z$745=CU$6)*('Intrapartum Care'!$F$7:$F$745&gt;=Lists!$AE6)*('Intrapartum Care'!$F$7:$F$745&lt;=Lists!$AF6))</f>
        <v>0</v>
      </c>
      <c r="CV12" s="290">
        <f>SUMPRODUCT(('Intrapartum Care'!$Z$7:$Z$745=CV$6)*('Intrapartum Care'!$F$7:$F$745&gt;=Lists!$AE6)*('Intrapartum Care'!$F$7:$F$745&lt;=Lists!$AF6))</f>
        <v>0</v>
      </c>
      <c r="CW12" s="290">
        <f>SUMPRODUCT(('Intrapartum Care'!$Z$7:$Z$745=CW$6)*('Intrapartum Care'!$F$7:$F$745&gt;=Lists!$AE6)*('Intrapartum Care'!$F$7:$F$745&lt;=Lists!$AF6))</f>
        <v>0</v>
      </c>
      <c r="CX12" s="290">
        <f>SUMPRODUCT(('Intrapartum Care'!$Z$7:$Z$745=CX$6)*('Intrapartum Care'!$F$7:$F$745&gt;=Lists!$AE6)*('Intrapartum Care'!$F$7:$F$745&lt;=Lists!$AF6))</f>
        <v>0</v>
      </c>
      <c r="CY12" s="290">
        <f>SUMPRODUCT(('Intrapartum Care'!$Z$7:$Z$745=CY$6)*('Intrapartum Care'!$F$7:$F$745&gt;=Lists!$AE6)*('Intrapartum Care'!$F$7:$F$745&lt;=Lists!$AF6))</f>
        <v>0</v>
      </c>
      <c r="CZ12" s="290">
        <f>SUMPRODUCT(('Intrapartum Care'!$Z$7:$Z$745=CZ$6)*('Intrapartum Care'!$F$7:$F$745&gt;=Lists!$AE6)*('Intrapartum Care'!$F$7:$F$745&lt;=Lists!$AF6))</f>
        <v>0</v>
      </c>
      <c r="DA12" s="290">
        <f>SUMPRODUCT(('Intrapartum Care'!$Z$7:$Z$745=DA$6)*('Intrapartum Care'!$F$7:$F$745&gt;=Lists!$AE6)*('Intrapartum Care'!$F$7:$F$745&lt;=Lists!$AF6))</f>
        <v>0</v>
      </c>
      <c r="DB12" s="227">
        <f t="shared" si="16"/>
        <v>0</v>
      </c>
      <c r="DC12" s="290">
        <f>SUMPRODUCT(('Intrapartum Care'!$AA$7:$AA$745=DC$6)*('Intrapartum Care'!$F$7:$F$745&gt;=Lists!$AE6)*('Intrapartum Care'!$F$7:$F$745&lt;=Lists!$AF6))</f>
        <v>0</v>
      </c>
      <c r="DD12" s="290">
        <f>SUMPRODUCT(('Intrapartum Care'!$AA$7:$AA$745=DD$6)*('Intrapartum Care'!$F$7:$F$745&gt;=Lists!$AE6)*('Intrapartum Care'!$F$7:$F$745&lt;=Lists!$AF6))</f>
        <v>0</v>
      </c>
      <c r="DE12" s="290">
        <f>SUMPRODUCT(('Intrapartum Care'!$AA$7:$AA$745=DE$6)*('Intrapartum Care'!$F$7:$F$745&gt;=Lists!$AE6)*('Intrapartum Care'!$F$7:$F$745&lt;=Lists!$AF6))</f>
        <v>0</v>
      </c>
      <c r="DF12" s="227">
        <f t="shared" si="17"/>
        <v>0</v>
      </c>
      <c r="DG12" s="295">
        <f>SUMPRODUCT(('Intrapartum Care'!$AB$7:$AB$745=DG$6)*('Intrapartum Care'!$F$7:$F$745&gt;=Lists!$AE6)*('Intrapartum Care'!$F$7:$F$745&lt;=Lists!$AF6))</f>
        <v>0</v>
      </c>
      <c r="DH12" s="290">
        <f>SUMPRODUCT(('Intrapartum Care'!$AB$7:$AB$745=DH$6)*('Intrapartum Care'!$F$7:$F$745&gt;=Lists!$AE6)*('Intrapartum Care'!$F$7:$F$745&lt;=Lists!$AF6))</f>
        <v>0</v>
      </c>
      <c r="DI12" s="290">
        <f>SUMPRODUCT(('Intrapartum Care'!$AB$7:$AB$745=DI$6)*('Intrapartum Care'!$F$7:$F$745&gt;=Lists!$AE6)*('Intrapartum Care'!$F$7:$F$745&lt;=Lists!$AF6))</f>
        <v>0</v>
      </c>
      <c r="DJ12" s="290">
        <f>SUMPRODUCT(('Intrapartum Care'!$AB$7:$AB$745=DJ$6)*('Intrapartum Care'!$F$7:$F$745&gt;=Lists!$AE6)*('Intrapartum Care'!$F$7:$F$745&lt;=Lists!$AF6))</f>
        <v>0</v>
      </c>
      <c r="DK12" s="290">
        <f>SUMPRODUCT(('Intrapartum Care'!$AB$7:$AB$745=DK$6)*('Intrapartum Care'!$F$7:$F$745&gt;=Lists!$AE6)*('Intrapartum Care'!$F$7:$F$745&lt;=Lists!$AF6))</f>
        <v>0</v>
      </c>
      <c r="DL12" s="290">
        <f>SUMPRODUCT(('Intrapartum Care'!$AB$7:$AB$745=DL$6)*('Intrapartum Care'!$F$7:$F$745&gt;=Lists!$AE6)*('Intrapartum Care'!$F$7:$F$745&lt;=Lists!$AF6))</f>
        <v>0</v>
      </c>
      <c r="DM12" s="290">
        <f>SUMPRODUCT(('Intrapartum Care'!$AB$7:$AB$745=DM$6)*('Intrapartum Care'!$F$7:$F$745&gt;=Lists!$AE6)*('Intrapartum Care'!$F$7:$F$745&lt;=Lists!$AF6))</f>
        <v>0</v>
      </c>
      <c r="DN12" s="227">
        <f t="shared" si="18"/>
        <v>0</v>
      </c>
      <c r="DO12" s="528">
        <f>SUMPRODUCT(('Intrapartum Care'!$AC$7:$AC$745=DO$6)*('Intrapartum Care'!$F$7:$F$745&gt;=Lists!$AE6)*('Intrapartum Care'!$F$7:$F$745&lt;=Lists!$AF6))</f>
        <v>0</v>
      </c>
      <c r="DP12" s="528">
        <f>SUMPRODUCT(('Intrapartum Care'!$AC$7:$AC$745=DP$6)*('Intrapartum Care'!$F$7:$F$745&gt;=Lists!$AE6)*('Intrapartum Care'!$F$7:$F$745&lt;=Lists!$AF6))</f>
        <v>0</v>
      </c>
      <c r="DQ12" s="528">
        <f>SUMPRODUCT(('Intrapartum Care'!$AC$7:$AC$745=DQ$6)*('Intrapartum Care'!$F$7:$F$745&gt;=Lists!$AE6)*('Intrapartum Care'!$F$7:$F$745&lt;=Lists!$AF6))</f>
        <v>0</v>
      </c>
      <c r="DR12" s="528">
        <f>SUMPRODUCT(('Intrapartum Care'!$AC$7:$AC$745=DR$6)*('Intrapartum Care'!$F$7:$F$745&gt;=Lists!$AE6)*('Intrapartum Care'!$F$7:$F$745&lt;=Lists!$AF6))</f>
        <v>0</v>
      </c>
      <c r="DS12" s="528">
        <f>SUMPRODUCT(('Intrapartum Care'!$AC$7:$AC$745=DS$6)*('Intrapartum Care'!$F$7:$F$745&gt;=Lists!$AE6)*('Intrapartum Care'!$F$7:$F$745&lt;=Lists!$AF6))</f>
        <v>0</v>
      </c>
      <c r="DT12" s="528">
        <f>SUMPRODUCT(('Intrapartum Care'!$AC$7:$AC$745=DT$6)*('Intrapartum Care'!$F$7:$F$745&gt;=Lists!$AE6)*('Intrapartum Care'!$F$7:$F$745&lt;=Lists!$AF6))</f>
        <v>0</v>
      </c>
      <c r="DU12" s="528">
        <f>SUMPRODUCT(('Intrapartum Care'!$AC$7:$AC$745=DU$6)*('Intrapartum Care'!$F$7:$F$745&gt;=Lists!$AE6)*('Intrapartum Care'!$F$7:$F$745&lt;=Lists!$AF6))</f>
        <v>0</v>
      </c>
      <c r="DV12" s="528">
        <f>SUMPRODUCT(('Intrapartum Care'!$AC$7:$AC$745=DV$6)*('Intrapartum Care'!$F$7:$F$745&gt;=Lists!$AE6)*('Intrapartum Care'!$F$7:$F$745&lt;=Lists!$AF6))</f>
        <v>0</v>
      </c>
      <c r="DW12" s="528">
        <f>SUMPRODUCT(('Intrapartum Care'!$AC$7:$AC$745=DW$6)*('Intrapartum Care'!$F$7:$F$745&gt;=Lists!$AE6)*('Intrapartum Care'!$F$7:$F$745&lt;=Lists!$AF6))</f>
        <v>0</v>
      </c>
      <c r="DX12" s="227">
        <f t="shared" si="19"/>
        <v>0</v>
      </c>
      <c r="DY12" s="295">
        <f>SUMPRODUCT(('Intrapartum Care'!$AE$7:$AE$745=DY$6)*('Intrapartum Care'!$F$7:$F$745&gt;=Lists!$AE6)*('Intrapartum Care'!$F$7:$F$745&lt;=Lists!$AF6))</f>
        <v>0</v>
      </c>
      <c r="DZ12" s="295">
        <f>SUMPRODUCT(('Intrapartum Care'!$AE$7:$AE$745=DZ$6)*('Intrapartum Care'!$F$7:$F$745&gt;=Lists!$AE6)*('Intrapartum Care'!$F$7:$F$745&lt;=Lists!$AF6))</f>
        <v>0</v>
      </c>
      <c r="EA12" s="295">
        <f>SUMPRODUCT(('Intrapartum Care'!$AE$7:$AE$745=EA$6)*('Intrapartum Care'!$F$7:$F$745&gt;=Lists!$AE6)*('Intrapartum Care'!$F$7:$F$745&lt;=Lists!$AF6))</f>
        <v>0</v>
      </c>
      <c r="EB12" s="227">
        <f t="shared" si="20"/>
        <v>0</v>
      </c>
      <c r="EC12" s="295">
        <f>SUMPRODUCT(('Intrapartum Care'!$AF$7:$AF$745=EC$6)*('Intrapartum Care'!$F$7:$F$745&gt;=Lists!$AE6)*('Intrapartum Care'!$F$7:$F$745&lt;=Lists!$AF6))</f>
        <v>0</v>
      </c>
      <c r="ED12" s="295">
        <f>SUMPRODUCT(('Intrapartum Care'!$AF$7:$AF$745=ED$6)*('Intrapartum Care'!$F$7:$F$745&gt;=Lists!$AE6)*('Intrapartum Care'!$F$7:$F$745&lt;=Lists!$AF6))</f>
        <v>0</v>
      </c>
      <c r="EE12" s="295">
        <f>SUMPRODUCT(('Intrapartum Care'!$AF$7:$AF$745=EE$6)*('Intrapartum Care'!$F$7:$F$745&gt;=Lists!$AE6)*('Intrapartum Care'!$F$7:$F$745&lt;=Lists!$AF6))</f>
        <v>0</v>
      </c>
      <c r="EF12" s="295">
        <f>SUMPRODUCT(('Intrapartum Care'!$AF$7:$AF$745=EF$6)*('Intrapartum Care'!$F$7:$F$745&gt;=Lists!$AE6)*('Intrapartum Care'!$F$7:$F$745&lt;=Lists!$AF6))</f>
        <v>0</v>
      </c>
      <c r="EG12" s="295">
        <f>SUMPRODUCT(('Intrapartum Care'!$AF$7:$AF$745=EG$6)*('Intrapartum Care'!$F$7:$F$745&gt;=Lists!$AE6)*('Intrapartum Care'!$F$7:$F$745&lt;=Lists!$AF6))</f>
        <v>0</v>
      </c>
      <c r="EH12" s="227">
        <f t="shared" si="21"/>
        <v>0</v>
      </c>
      <c r="EI12" s="295">
        <f>SUMPRODUCT(('Intrapartum Care'!$AG$7:$AG$745=EI$6)*('Intrapartum Care'!$F$7:$F$745&gt;=Lists!$AE6)*('Intrapartum Care'!$F$7:$F$745&lt;=Lists!$AF6))</f>
        <v>0</v>
      </c>
      <c r="EJ12" s="295">
        <f>SUMPRODUCT(('Intrapartum Care'!$AG$7:$AG$745=EJ$6)*('Intrapartum Care'!$F$7:$F$745&gt;=Lists!$AE6)*('Intrapartum Care'!$F$7:$F$745&lt;=Lists!$AF6))</f>
        <v>0</v>
      </c>
      <c r="EK12" s="295">
        <f>SUMPRODUCT(('Intrapartum Care'!$AG$7:$AG$745=EK$6)*('Intrapartum Care'!$F$7:$F$745&gt;=Lists!$AE6)*('Intrapartum Care'!$F$7:$F$745&lt;=Lists!$AF6))</f>
        <v>0</v>
      </c>
      <c r="EL12" s="295">
        <f>SUMPRODUCT(('Intrapartum Care'!$AG$7:$AG$745=EL$6)*('Intrapartum Care'!$F$7:$F$745&gt;=Lists!$AE6)*('Intrapartum Care'!$F$7:$F$745&lt;=Lists!$AF6))</f>
        <v>0</v>
      </c>
      <c r="EM12" s="295">
        <f>SUMPRODUCT(('Intrapartum Care'!$AG$7:$AG$745=EM$6)*('Intrapartum Care'!$F$7:$F$745&gt;=Lists!$AE6)*('Intrapartum Care'!$F$7:$F$745&lt;=Lists!$AF6))</f>
        <v>0</v>
      </c>
      <c r="EN12" s="295">
        <f>SUMPRODUCT(('Intrapartum Care'!$AG$7:$AG$745=EN$6)*('Intrapartum Care'!$F$7:$F$745&gt;=Lists!$AE6)*('Intrapartum Care'!$F$7:$F$745&lt;=Lists!$AF6))</f>
        <v>0</v>
      </c>
      <c r="EO12" s="227">
        <f t="shared" si="22"/>
        <v>0</v>
      </c>
      <c r="EP12" s="295">
        <f>SUMPRODUCT(('Intrapartum Care'!$AH$7:$AH$745=EP$6)*('Intrapartum Care'!$F$7:$F$745&gt;=Lists!$AE6)*('Intrapartum Care'!$F$7:$F$745&lt;=Lists!$AF6))</f>
        <v>0</v>
      </c>
      <c r="EQ12" s="295">
        <f>SUMPRODUCT(('Intrapartum Care'!$AH$7:$AH$745=EQ$6)*('Intrapartum Care'!$F$7:$F$745&gt;=Lists!$AE6)*('Intrapartum Care'!$F$7:$F$745&lt;=Lists!$AF6))</f>
        <v>0</v>
      </c>
      <c r="ER12" s="295">
        <f>SUMPRODUCT(('Intrapartum Care'!$AH$7:$AH$745=ER$6)*('Intrapartum Care'!$F$7:$F$745&gt;=Lists!$AE6)*('Intrapartum Care'!$F$7:$F$745&lt;=Lists!$AF6))</f>
        <v>0</v>
      </c>
      <c r="ES12" s="227">
        <f t="shared" si="23"/>
        <v>0</v>
      </c>
      <c r="ET12" s="290">
        <f>SUMPRODUCT(('Intrapartum Care'!$AK$7:$AK$745=ET$6)*('Intrapartum Care'!$F$7:$F$745&gt;=Lists!$AE6)*('Intrapartum Care'!$F$7:$F$745&lt;=Lists!$AF6))</f>
        <v>0</v>
      </c>
      <c r="EU12" s="290">
        <f>SUMPRODUCT(('Intrapartum Care'!$AK$7:$AK$745=EU$6)*('Intrapartum Care'!$F$7:$F$745&gt;=Lists!$AE6)*('Intrapartum Care'!$F$7:$F$745&lt;=Lists!$AF6))</f>
        <v>0</v>
      </c>
      <c r="EV12" s="290">
        <f>SUMPRODUCT(('Intrapartum Care'!$AK$7:$AK$745=EV$6)*('Intrapartum Care'!$F$7:$F$745&gt;=Lists!$AE6)*('Intrapartum Care'!$F$7:$F$745&lt;=Lists!$AF6))</f>
        <v>0</v>
      </c>
      <c r="EW12" s="227">
        <f t="shared" si="24"/>
        <v>0</v>
      </c>
      <c r="EX12" s="290">
        <f>SUMPRODUCT(('Intrapartum Care'!$AL$7:$AL$745=EX$6)*('Intrapartum Care'!$F$7:$F$745&gt;=Lists!$AE6)*('Intrapartum Care'!$F$7:$F$745&lt;=Lists!$AF6))</f>
        <v>0</v>
      </c>
      <c r="EY12" s="290">
        <f>SUMPRODUCT(('Intrapartum Care'!$AL$7:$AL$745=EY$6)*('Intrapartum Care'!$F$7:$F$745&gt;=Lists!$AE6)*('Intrapartum Care'!$F$7:$F$745&lt;=Lists!$AF6))</f>
        <v>0</v>
      </c>
      <c r="EZ12" s="290">
        <f>SUMPRODUCT(('Intrapartum Care'!$AL$7:$AL$745=EZ$6)*('Intrapartum Care'!$F$7:$F$745&gt;=Lists!$AE6)*('Intrapartum Care'!$F$7:$F$745&lt;=Lists!$AF6))</f>
        <v>0</v>
      </c>
      <c r="FA12" s="227">
        <f t="shared" si="0"/>
        <v>0</v>
      </c>
      <c r="FB12" s="290">
        <f>SUMPRODUCT(('Intrapartum Care'!$AM$7:$AM$745=FB$6)*('Intrapartum Care'!$F$7:$F$745&gt;=Lists!$AE6)*('Intrapartum Care'!$F$7:$F$745&lt;=Lists!$AF6))</f>
        <v>0</v>
      </c>
      <c r="FC12" s="290">
        <f>SUMPRODUCT(('Intrapartum Care'!$AM$7:$AM$745=FC$6)*('Intrapartum Care'!$F$7:$F$745&gt;=Lists!$AE6)*('Intrapartum Care'!$F$7:$F$745&lt;=Lists!$AF6))</f>
        <v>0</v>
      </c>
      <c r="FD12" s="290">
        <f>SUMPRODUCT(('Intrapartum Care'!$AM$7:$AM$745=FD$6)*('Intrapartum Care'!$F$7:$F$745&gt;=Lists!$AE6)*('Intrapartum Care'!$F$7:$F$745&lt;=Lists!$AF6))</f>
        <v>0</v>
      </c>
      <c r="FE12" s="290">
        <f>SUMPRODUCT(('Intrapartum Care'!$AM$7:$AM$745=FE$6)*('Intrapartum Care'!$F$7:$F$745&gt;=Lists!$AE6)*('Intrapartum Care'!$F$7:$F$745&lt;=Lists!$AF6))</f>
        <v>0</v>
      </c>
      <c r="FF12" s="290">
        <f>SUMPRODUCT(('Intrapartum Care'!$AM$7:$AM$745=FF$6)*('Intrapartum Care'!$F$7:$F$745&gt;=Lists!$AE6)*('Intrapartum Care'!$F$7:$F$745&lt;=Lists!$AF6))</f>
        <v>0</v>
      </c>
      <c r="FG12" s="227">
        <f t="shared" si="25"/>
        <v>0</v>
      </c>
      <c r="FH12" s="290">
        <f>SUMPRODUCT(('Intrapartum Care'!$AN$7:$AN$745=FH$6)*('Intrapartum Care'!$F$7:$F$745&gt;=Lists!$AE6)*('Intrapartum Care'!$F$7:$F$745&lt;=Lists!$AF6))</f>
        <v>0</v>
      </c>
      <c r="FI12" s="290">
        <f>SUMPRODUCT(('Intrapartum Care'!$AN$7:$AN$745=FI$6)*('Intrapartum Care'!$F$7:$F$745&gt;=Lists!$AE6)*('Intrapartum Care'!$F$7:$F$745&lt;=Lists!$AF6))</f>
        <v>0</v>
      </c>
      <c r="FJ12" s="290">
        <f>SUMPRODUCT(('Intrapartum Care'!$AN$7:$AN$745=FJ$6)*('Intrapartum Care'!$F$7:$F$745&gt;=Lists!$AE6)*('Intrapartum Care'!$F$7:$F$745&lt;=Lists!$AF6))</f>
        <v>0</v>
      </c>
      <c r="FK12" s="290">
        <f>SUMPRODUCT(('Intrapartum Care'!$AN$7:$AN$745=FK$6)*('Intrapartum Care'!$F$7:$F$745&gt;=Lists!$AE6)*('Intrapartum Care'!$F$7:$F$745&lt;=Lists!$AF6))</f>
        <v>0</v>
      </c>
      <c r="FL12" s="227">
        <f t="shared" si="26"/>
        <v>0</v>
      </c>
      <c r="FM12" s="290">
        <f>SUMPRODUCT(('Intrapartum Care'!$AS$7:$AS$745=FM$6)*('Intrapartum Care'!$F$7:$F$745&gt;=Lists!$AE6)*('Intrapartum Care'!$F$7:$F$745&lt;=Lists!$AF6))</f>
        <v>0</v>
      </c>
      <c r="FN12" s="290">
        <f>SUMPRODUCT(('Intrapartum Care'!$AS$7:$AS$745=FN$6)*('Intrapartum Care'!$F$7:$F$745&gt;=Lists!$AE6)*('Intrapartum Care'!$F$7:$F$745&lt;=Lists!$AF6))</f>
        <v>0</v>
      </c>
      <c r="FO12" s="290">
        <f>SUMPRODUCT(('Intrapartum Care'!$AS$7:$AS$745=FO$6)*('Intrapartum Care'!$F$7:$F$745&gt;=Lists!$AE6)*('Intrapartum Care'!$F$7:$F$745&lt;=Lists!$AF6))</f>
        <v>0</v>
      </c>
      <c r="FP12" s="290">
        <f>SUMPRODUCT(('Intrapartum Care'!$AS$7:$AS$745=FP$6)*('Intrapartum Care'!$F$7:$F$745&gt;=Lists!$AE6)*('Intrapartum Care'!$F$7:$F$745&lt;=Lists!$AF6))</f>
        <v>0</v>
      </c>
      <c r="FQ12" s="227">
        <f t="shared" si="27"/>
        <v>0</v>
      </c>
      <c r="FR12" s="290">
        <f>SUMPRODUCT(('Intrapartum Care'!$AZ$7:$AZ$745=FR$6)*('Intrapartum Care'!$F$7:$F$745&gt;=Lists!$AE6)*('Intrapartum Care'!$F$7:$F$745&lt;=Lists!$AF6))</f>
        <v>0</v>
      </c>
      <c r="FS12" s="290">
        <f>SUMPRODUCT(('Intrapartum Care'!$AZ$7:$AZ$745=FS$6)*('Intrapartum Care'!$F$7:$F$745&gt;=Lists!$AE6)*('Intrapartum Care'!$F$7:$F$745&lt;=Lists!$AF6))</f>
        <v>0</v>
      </c>
      <c r="FT12" s="290">
        <f>SUMPRODUCT(('Intrapartum Care'!$AZ$7:$AZ$745=FT$6)*('Intrapartum Care'!$F$7:$F$745&gt;=Lists!$AE6)*('Intrapartum Care'!$F$7:$F$745&lt;=Lists!$AF6))</f>
        <v>0</v>
      </c>
      <c r="FU12" s="227">
        <f t="shared" si="28"/>
        <v>0</v>
      </c>
      <c r="FV12" s="290">
        <f>SUMPRODUCT(('Intrapartum Care'!$BA$7:$BA$745=FV$6)*('Intrapartum Care'!$F$7:$F$745&gt;=Lists!$AE6)*('Intrapartum Care'!$F$7:$F$745&lt;=Lists!$AF6))</f>
        <v>0</v>
      </c>
      <c r="FW12" s="290">
        <f>SUMPRODUCT(('Intrapartum Care'!$BA$7:$BA$745=FW$6)*('Intrapartum Care'!$F$7:$F$745&gt;=Lists!$AE6)*('Intrapartum Care'!$F$7:$F$745&lt;=Lists!$AF6))</f>
        <v>0</v>
      </c>
      <c r="FX12" s="290">
        <f>SUMPRODUCT(('Intrapartum Care'!$BA$7:$BA$745=FX$6)*('Intrapartum Care'!$F$7:$F$745&gt;=Lists!$AE6)*('Intrapartum Care'!$F$7:$F$745&lt;=Lists!$AF6))</f>
        <v>0</v>
      </c>
      <c r="FY12" s="227">
        <f t="shared" si="29"/>
        <v>0</v>
      </c>
      <c r="FZ12" s="290">
        <f>SUMPRODUCT(('Intrapartum Care'!$BB$7:$BB$745=FZ$6)*('Intrapartum Care'!$F$7:$F$745&gt;=Lists!$AE6)*('Intrapartum Care'!$F$7:$F$745&lt;=Lists!$AF6))</f>
        <v>0</v>
      </c>
      <c r="GA12" s="290">
        <f>SUMPRODUCT(('Intrapartum Care'!$BB$7:$BB$745=GA$6)*('Intrapartum Care'!$F$7:$F$745&gt;=Lists!$AE6)*('Intrapartum Care'!$F$7:$F$745&lt;=Lists!$AF6))</f>
        <v>0</v>
      </c>
      <c r="GB12" s="290">
        <f>SUMPRODUCT(('Intrapartum Care'!$BB$7:$BB$745=GB$6)*('Intrapartum Care'!$F$7:$F$745&gt;=Lists!$AE6)*('Intrapartum Care'!$F$7:$F$745&lt;=Lists!$AF6))</f>
        <v>0</v>
      </c>
      <c r="GC12" s="290">
        <f>SUMPRODUCT(('Intrapartum Care'!$BB$7:$BB$745=GC$6)*('Intrapartum Care'!$F$7:$F$745&gt;=Lists!$AE6)*('Intrapartum Care'!$F$7:$F$745&lt;=Lists!$AF6))</f>
        <v>0</v>
      </c>
      <c r="GD12" s="290">
        <f>SUMPRODUCT(('Intrapartum Care'!$BB$7:$BB$745=GD$6)*('Intrapartum Care'!$F$7:$F$745&gt;=Lists!$AE6)*('Intrapartum Care'!$F$7:$F$745&lt;=Lists!$AF6))</f>
        <v>0</v>
      </c>
      <c r="GE12" s="290">
        <f>SUMPRODUCT(('Intrapartum Care'!$BB$7:$BB$745=GE$6)*('Intrapartum Care'!$F$7:$F$745&gt;=Lists!$AE6)*('Intrapartum Care'!$F$7:$F$745&lt;=Lists!$AF6))</f>
        <v>0</v>
      </c>
      <c r="GF12" s="290">
        <f>SUMPRODUCT(('Intrapartum Care'!$BB$7:$BB$745=GF$6)*('Intrapartum Care'!$F$7:$F$745&gt;=Lists!$AE6)*('Intrapartum Care'!$F$7:$F$745&lt;=Lists!$AF6))</f>
        <v>0</v>
      </c>
      <c r="GG12" s="290">
        <f>SUMPRODUCT(('Intrapartum Care'!$BB$7:$BB$745=GG$6)*('Intrapartum Care'!$F$7:$F$745&gt;=Lists!$AE6)*('Intrapartum Care'!$F$7:$F$745&lt;=Lists!$AF6))</f>
        <v>0</v>
      </c>
      <c r="GH12" s="290">
        <f>SUMPRODUCT(('Intrapartum Care'!$BB$7:$BB$745=GH$6)*('Intrapartum Care'!$F$7:$F$745&gt;=Lists!$AE6)*('Intrapartum Care'!$F$7:$F$745&lt;=Lists!$AF6))</f>
        <v>0</v>
      </c>
      <c r="GI12" s="290">
        <f>SUMPRODUCT(('Intrapartum Care'!$BB$7:$BB$745=GI$6)*('Intrapartum Care'!$F$7:$F$745&gt;=Lists!$AE6)*('Intrapartum Care'!$F$7:$F$745&lt;=Lists!$AF6))</f>
        <v>0</v>
      </c>
      <c r="GJ12" s="290">
        <f>SUMPRODUCT(('Intrapartum Care'!$BB$7:$BB$745=GJ$6)*('Intrapartum Care'!$F$7:$F$745&gt;=Lists!$AE6)*('Intrapartum Care'!$F$7:$F$745&lt;=Lists!$AF6))</f>
        <v>0</v>
      </c>
      <c r="GK12" s="290">
        <f>SUMPRODUCT(('Intrapartum Care'!$BB$7:$BB$745=GK$6)*('Intrapartum Care'!$F$7:$F$745&gt;=Lists!$AE6)*('Intrapartum Care'!$F$7:$F$745&lt;=Lists!$AF6))</f>
        <v>0</v>
      </c>
      <c r="GL12" s="290">
        <f>SUMPRODUCT(('Intrapartum Care'!$BB$7:$BB$745=GL$6)*('Intrapartum Care'!$F$7:$F$745&gt;=Lists!$AE6)*('Intrapartum Care'!$F$7:$F$745&lt;=Lists!$AF6))</f>
        <v>0</v>
      </c>
      <c r="GM12" s="290">
        <f>SUMPRODUCT(('Intrapartum Care'!$BB$7:$BB$745=GM$6)*('Intrapartum Care'!$F$7:$F$745&gt;=Lists!$AE6)*('Intrapartum Care'!$F$7:$F$745&lt;=Lists!$AF6))</f>
        <v>0</v>
      </c>
      <c r="GN12" s="290">
        <f>SUMPRODUCT(('Intrapartum Care'!$BB$7:$BB$745=GN$6)*('Intrapartum Care'!$F$7:$F$745&gt;=Lists!$AE6)*('Intrapartum Care'!$F$7:$F$745&lt;=Lists!$AF6))</f>
        <v>0</v>
      </c>
      <c r="GO12" s="290">
        <f>SUMPRODUCT(('Intrapartum Care'!$BB$7:$BB$745=GO$6)*('Intrapartum Care'!$F$7:$F$745&gt;=Lists!$AE6)*('Intrapartum Care'!$F$7:$F$745&lt;=Lists!$AF6))</f>
        <v>0</v>
      </c>
      <c r="GP12" s="290">
        <f>SUMPRODUCT(('Intrapartum Care'!$BB$7:$BB$745=GP$6)*('Intrapartum Care'!$F$7:$F$745&gt;=Lists!$AE6)*('Intrapartum Care'!$F$7:$F$745&lt;=Lists!$AF6))</f>
        <v>0</v>
      </c>
      <c r="GQ12" s="290">
        <f>SUMPRODUCT(('Intrapartum Care'!$BB$7:$BB$745=GQ$6)*('Intrapartum Care'!$F$7:$F$745&gt;=Lists!$AE6)*('Intrapartum Care'!$F$7:$F$745&lt;=Lists!$AF6))</f>
        <v>0</v>
      </c>
      <c r="GR12" s="290">
        <f>SUMPRODUCT(('Intrapartum Care'!$BB$7:$BB$745=GR$6)*('Intrapartum Care'!$F$7:$F$745&gt;=Lists!$AE6)*('Intrapartum Care'!$F$7:$F$745&lt;=Lists!$AF6))</f>
        <v>0</v>
      </c>
      <c r="GS12" s="290">
        <f>SUMPRODUCT(('Intrapartum Care'!$BB$7:$BB$745=GS$6)*('Intrapartum Care'!$F$7:$F$745&gt;=Lists!$AE6)*('Intrapartum Care'!$F$7:$F$745&lt;=Lists!$AF6))</f>
        <v>0</v>
      </c>
      <c r="GT12" s="227">
        <f t="shared" si="30"/>
        <v>0</v>
      </c>
      <c r="GU12" s="290">
        <f>SUMPRODUCT(('Intrapartum Care'!$BC$7:$BC$745=GU$6)*('Intrapartum Care'!$F$7:$F$745&gt;=Lists!$AE6)*('Intrapartum Care'!$F$7:$F$745&lt;=Lists!$AF6))</f>
        <v>0</v>
      </c>
      <c r="GV12" s="290">
        <f>SUMPRODUCT(('Intrapartum Care'!$BC$7:$BC$745=GV$6)*('Intrapartum Care'!$F$7:$F$745&gt;=Lists!$AE6)*('Intrapartum Care'!$F$7:$F$745&lt;=Lists!$AF6))</f>
        <v>0</v>
      </c>
      <c r="GW12" s="290">
        <f>SUMPRODUCT(('Intrapartum Care'!$BC$7:$BC$745=GW$6)*('Intrapartum Care'!$F$7:$F$745&gt;=Lists!$AE6)*('Intrapartum Care'!$F$7:$F$745&lt;=Lists!$AF6))</f>
        <v>0</v>
      </c>
      <c r="GX12" s="290">
        <f>SUMPRODUCT(('Intrapartum Care'!$BC$7:$BC$745=GX$6)*('Intrapartum Care'!$F$7:$F$745&gt;=Lists!$AE6)*('Intrapartum Care'!$F$7:$F$745&lt;=Lists!$AF6))</f>
        <v>0</v>
      </c>
      <c r="GY12" s="290">
        <f>SUMPRODUCT(('Intrapartum Care'!$BC$7:$BC$745=GY$6)*('Intrapartum Care'!$F$7:$F$745&gt;=Lists!$AE6)*('Intrapartum Care'!$F$7:$F$745&lt;=Lists!$AF6))</f>
        <v>0</v>
      </c>
      <c r="GZ12" s="290">
        <f>SUMPRODUCT(('Intrapartum Care'!$BC$7:$BC$745=GZ$6)*('Intrapartum Care'!$F$7:$F$745&gt;=Lists!$AE6)*('Intrapartum Care'!$F$7:$F$745&lt;=Lists!$AF6))</f>
        <v>0</v>
      </c>
      <c r="HA12" s="290">
        <f>SUMPRODUCT(('Intrapartum Care'!$BC$7:$BC$745=HA$6)*('Intrapartum Care'!$F$7:$F$745&gt;=Lists!$AE6)*('Intrapartum Care'!$F$7:$F$745&lt;=Lists!$AF6))</f>
        <v>0</v>
      </c>
      <c r="HB12" s="290">
        <f>SUMPRODUCT(('Intrapartum Care'!$BC$7:$BC$745=HB$6)*('Intrapartum Care'!$F$7:$F$745&gt;=Lists!$AE6)*('Intrapartum Care'!$F$7:$F$745&lt;=Lists!$AF6))</f>
        <v>0</v>
      </c>
      <c r="HC12" s="290">
        <f>SUMPRODUCT(('Intrapartum Care'!$BC$7:$BC$745=HC$6)*('Intrapartum Care'!$F$7:$F$745&gt;=Lists!$AE6)*('Intrapartum Care'!$F$7:$F$745&lt;=Lists!$AF6))</f>
        <v>0</v>
      </c>
      <c r="HD12" s="290">
        <f>SUMPRODUCT(('Intrapartum Care'!$BC$7:$BC$745=HD$6)*('Intrapartum Care'!$F$7:$F$745&gt;=Lists!$AE6)*('Intrapartum Care'!$F$7:$F$745&lt;=Lists!$AF6))</f>
        <v>0</v>
      </c>
      <c r="HE12" s="290">
        <f>SUMPRODUCT(('Intrapartum Care'!$BC$7:$BC$745=HE$6)*('Intrapartum Care'!$F$7:$F$745&gt;=Lists!$AE6)*('Intrapartum Care'!$F$7:$F$745&lt;=Lists!$AF6))</f>
        <v>0</v>
      </c>
      <c r="HF12" s="227">
        <f t="shared" si="31"/>
        <v>0</v>
      </c>
      <c r="HG12" s="290">
        <f>SUMPRODUCT(('Intrapartum Care'!$BD$7:$BD$745=HG$6)*('Intrapartum Care'!$F$7:$F$745&gt;=Lists!$AE6)*('Intrapartum Care'!$F$7:$F$745&lt;=Lists!$AF6))</f>
        <v>0</v>
      </c>
      <c r="HH12" s="290">
        <f>SUMPRODUCT(('Intrapartum Care'!$BD$7:$BD$745=HH$6)*('Intrapartum Care'!$F$7:$F$745&gt;=Lists!$AE6)*('Intrapartum Care'!$F$7:$F$745&lt;=Lists!$AF6))</f>
        <v>0</v>
      </c>
      <c r="HI12" s="290">
        <f>SUMPRODUCT(('Intrapartum Care'!$BD$7:$BD$745=HI$6)*('Intrapartum Care'!$F$7:$F$745&gt;=Lists!$AE6)*('Intrapartum Care'!$F$7:$F$745&lt;=Lists!$AF6))</f>
        <v>0</v>
      </c>
      <c r="HJ12" s="290">
        <f>SUMPRODUCT(('Intrapartum Care'!$BD$7:$BD$745=HJ$6)*('Intrapartum Care'!$F$7:$F$745&gt;=Lists!$AE6)*('Intrapartum Care'!$F$7:$F$745&lt;=Lists!$AF6))</f>
        <v>0</v>
      </c>
      <c r="HK12" s="290">
        <f>SUMPRODUCT(('Intrapartum Care'!$BD$7:$BD$745=HK$6)*('Intrapartum Care'!$F$7:$F$745&gt;=Lists!$AE6)*('Intrapartum Care'!$F$7:$F$745&lt;=Lists!$AF6))</f>
        <v>0</v>
      </c>
      <c r="HL12" s="290">
        <f>SUMPRODUCT(('Intrapartum Care'!$BD$7:$BD$745=HL$6)*('Intrapartum Care'!$F$7:$F$745&gt;=Lists!$AE6)*('Intrapartum Care'!$F$7:$F$745&lt;=Lists!$AF6))</f>
        <v>0</v>
      </c>
      <c r="HM12" s="290">
        <f>SUMPRODUCT(('Intrapartum Care'!$BD$7:$BD$745=HM$6)*('Intrapartum Care'!$F$7:$F$745&gt;=Lists!$AE6)*('Intrapartum Care'!$F$7:$F$745&lt;=Lists!$AF6))</f>
        <v>0</v>
      </c>
      <c r="HN12" s="290">
        <f>SUMPRODUCT(('Intrapartum Care'!$BD$7:$BD$745=HN$6)*('Intrapartum Care'!$F$7:$F$745&gt;=Lists!$AE6)*('Intrapartum Care'!$F$7:$F$745&lt;=Lists!$AF6))</f>
        <v>0</v>
      </c>
      <c r="HO12" s="290">
        <f>SUMPRODUCT(('Intrapartum Care'!$BD$7:$BD$745=HO$6)*('Intrapartum Care'!$F$7:$F$745&gt;=Lists!$AE6)*('Intrapartum Care'!$F$7:$F$745&lt;=Lists!$AF6))</f>
        <v>0</v>
      </c>
      <c r="HP12" s="290">
        <f>SUMPRODUCT(('Intrapartum Care'!$BD$7:$BD$745=HP$6)*('Intrapartum Care'!$F$7:$F$745&gt;=Lists!$AE6)*('Intrapartum Care'!$F$7:$F$745&lt;=Lists!$AF6))</f>
        <v>0</v>
      </c>
      <c r="HQ12" s="290">
        <f>SUMPRODUCT(('Intrapartum Care'!$BD$7:$BD$745=HQ$6)*('Intrapartum Care'!$F$7:$F$745&gt;=Lists!$AE6)*('Intrapartum Care'!$F$7:$F$745&lt;=Lists!$AF6))</f>
        <v>0</v>
      </c>
      <c r="HR12" s="290">
        <f>SUMPRODUCT(('Intrapartum Care'!$BD$7:$BD$745=HR$6)*('Intrapartum Care'!$F$7:$F$745&gt;=Lists!$AE6)*('Intrapartum Care'!$F$7:$F$745&lt;=Lists!$AF6))</f>
        <v>0</v>
      </c>
      <c r="HS12" s="290">
        <f>SUMPRODUCT(('Intrapartum Care'!$BD$7:$BD$745=HS$6)*('Intrapartum Care'!$F$7:$F$745&gt;=Lists!$AE6)*('Intrapartum Care'!$F$7:$F$745&lt;=Lists!$AF6))</f>
        <v>0</v>
      </c>
      <c r="HT12" s="290">
        <f>SUMPRODUCT(('Intrapartum Care'!$BD$7:$BD$745=HT$6)*('Intrapartum Care'!$F$7:$F$745&gt;=Lists!$AE6)*('Intrapartum Care'!$F$7:$F$745&lt;=Lists!$AF6))</f>
        <v>0</v>
      </c>
      <c r="HU12" s="290">
        <f>SUMPRODUCT(('Intrapartum Care'!$BD$7:$BD$745=HU$6)*('Intrapartum Care'!$F$7:$F$745&gt;=Lists!$AE6)*('Intrapartum Care'!$F$7:$F$745&lt;=Lists!$AF6))</f>
        <v>0</v>
      </c>
      <c r="HV12" s="290">
        <f>SUMPRODUCT(('Intrapartum Care'!$BD$7:$BD$745=HV$6)*('Intrapartum Care'!$F$7:$F$745&gt;=Lists!$AE6)*('Intrapartum Care'!$F$7:$F$745&lt;=Lists!$AF6))</f>
        <v>0</v>
      </c>
      <c r="HW12" s="290">
        <f>SUMPRODUCT(('Intrapartum Care'!$BD$7:$BD$745=HW$6)*('Intrapartum Care'!$F$7:$F$745&gt;=Lists!$AE6)*('Intrapartum Care'!$F$7:$F$745&lt;=Lists!$AF6))</f>
        <v>0</v>
      </c>
      <c r="HX12" s="290">
        <f>SUMPRODUCT(('Intrapartum Care'!$BD$7:$BD$745=HX$6)*('Intrapartum Care'!$F$7:$F$745&gt;=Lists!$AE6)*('Intrapartum Care'!$F$7:$F$745&lt;=Lists!$AF6))</f>
        <v>0</v>
      </c>
      <c r="HY12" s="290">
        <f>SUMPRODUCT(('Intrapartum Care'!$BD$7:$BD$745=HY$6)*('Intrapartum Care'!$F$7:$F$745&gt;=Lists!$AE6)*('Intrapartum Care'!$F$7:$F$745&lt;=Lists!$AF6))</f>
        <v>0</v>
      </c>
      <c r="HZ12" s="290">
        <f>SUMPRODUCT(('Intrapartum Care'!$BD$7:$BD$745=HZ$6)*('Intrapartum Care'!$F$7:$F$745&gt;=Lists!$AE6)*('Intrapartum Care'!$F$7:$F$745&lt;=Lists!$AF6))</f>
        <v>0</v>
      </c>
      <c r="IA12" s="290">
        <f>SUMPRODUCT(('Intrapartum Care'!$BD$7:$BD$745=IA$6)*('Intrapartum Care'!$F$7:$F$745&gt;=Lists!$AE6)*('Intrapartum Care'!$F$7:$F$745&lt;=Lists!$AF6))</f>
        <v>0</v>
      </c>
      <c r="IB12" s="290">
        <f>SUMPRODUCT(('Intrapartum Care'!$BD$7:$BD$745=IB$6)*('Intrapartum Care'!$F$7:$F$745&gt;=Lists!$AE6)*('Intrapartum Care'!$F$7:$F$745&lt;=Lists!$AF6))</f>
        <v>0</v>
      </c>
      <c r="IC12" s="290">
        <f>SUMPRODUCT(('Intrapartum Care'!$BD$7:$BD$745=IC$6)*('Intrapartum Care'!$F$7:$F$745&gt;=Lists!$AE6)*('Intrapartum Care'!$F$7:$F$745&lt;=Lists!$AF6))</f>
        <v>0</v>
      </c>
      <c r="ID12" s="290">
        <f>SUMPRODUCT(('Intrapartum Care'!$BD$7:$BD$745=ID$6)*('Intrapartum Care'!$F$7:$F$745&gt;=Lists!$AE6)*('Intrapartum Care'!$F$7:$F$745&lt;=Lists!$AF6))</f>
        <v>0</v>
      </c>
      <c r="IE12" s="290">
        <f>SUMPRODUCT(('Intrapartum Care'!$BD$7:$BD$745=IE$6)*('Intrapartum Care'!$F$7:$F$745&gt;=Lists!$AE6)*('Intrapartum Care'!$F$7:$F$745&lt;=Lists!$AF6))</f>
        <v>0</v>
      </c>
      <c r="IF12" s="290">
        <f>SUMPRODUCT(('Intrapartum Care'!$BD$7:$BD$745=IF$6)*('Intrapartum Care'!$F$7:$F$745&gt;=Lists!$AE6)*('Intrapartum Care'!$F$7:$F$745&lt;=Lists!$AF6))</f>
        <v>0</v>
      </c>
      <c r="IG12" s="290">
        <f>SUMPRODUCT(('Intrapartum Care'!$BD$7:$BD$745=IG$6)*('Intrapartum Care'!$F$7:$F$745&gt;=Lists!$AE6)*('Intrapartum Care'!$F$7:$F$745&lt;=Lists!$AF6))</f>
        <v>0</v>
      </c>
      <c r="IH12" s="290">
        <f>SUMPRODUCT(('Intrapartum Care'!$BD$7:$BD$745=IH$6)*('Intrapartum Care'!$F$7:$F$745&gt;=Lists!$AE6)*('Intrapartum Care'!$F$7:$F$745&lt;=Lists!$AF6))</f>
        <v>0</v>
      </c>
      <c r="II12" s="227">
        <f t="shared" si="32"/>
        <v>0</v>
      </c>
      <c r="IJ12" s="290">
        <f>SUMPRODUCT(('Intrapartum Care'!$BE$7:$BE$745=IJ$6)*('Intrapartum Care'!$F$7:$F$745&gt;=Lists!$AE6)*('Intrapartum Care'!$F$7:$F$745&lt;=Lists!$AF6))</f>
        <v>0</v>
      </c>
      <c r="IK12" s="290">
        <f>SUMPRODUCT(('Intrapartum Care'!$BE$7:$BE$745=IK$6)*('Intrapartum Care'!$F$7:$F$745&gt;=Lists!$AE6)*('Intrapartum Care'!$F$7:$F$745&lt;=Lists!$AF6))</f>
        <v>0</v>
      </c>
      <c r="IL12" s="290">
        <f>SUMPRODUCT(('Intrapartum Care'!$BE$7:$BE$745=IL$6)*('Intrapartum Care'!$F$7:$F$745&gt;=Lists!$AE6)*('Intrapartum Care'!$F$7:$F$745&lt;=Lists!$AF6))</f>
        <v>0</v>
      </c>
      <c r="IM12" s="290">
        <f>SUMPRODUCT(('Intrapartum Care'!$BE$7:$BE$745=IM$6)*('Intrapartum Care'!$F$7:$F$745&gt;=Lists!$AE6)*('Intrapartum Care'!$F$7:$F$745&lt;=Lists!$AF6))</f>
        <v>0</v>
      </c>
      <c r="IN12" s="290">
        <f>SUMPRODUCT(('Intrapartum Care'!$BE$7:$BE$745=IN$6)*('Intrapartum Care'!$F$7:$F$745&gt;=Lists!$AE6)*('Intrapartum Care'!$F$7:$F$745&lt;=Lists!$AF6))</f>
        <v>0</v>
      </c>
      <c r="IO12" s="290">
        <f>SUMPRODUCT(('Intrapartum Care'!$BE$7:$BE$745=IO$6)*('Intrapartum Care'!$F$7:$F$745&gt;=Lists!$AE6)*('Intrapartum Care'!$F$7:$F$745&lt;=Lists!$AF6))</f>
        <v>0</v>
      </c>
      <c r="IP12" s="290">
        <f>SUMPRODUCT(('Intrapartum Care'!$BE$7:$BE$745=IP$6)*('Intrapartum Care'!$F$7:$F$745&gt;=Lists!$AE6)*('Intrapartum Care'!$F$7:$F$745&lt;=Lists!$AF6))</f>
        <v>0</v>
      </c>
      <c r="IQ12" s="170">
        <f t="shared" si="33"/>
        <v>0</v>
      </c>
      <c r="IR12" s="290">
        <f>SUMPRODUCT(('Intrapartum Care'!$BF$7:$BF$745=IR$6)*('Intrapartum Care'!$F$7:$F$745&gt;=Lists!$AE6)*('Intrapartum Care'!$F$7:$F$745&lt;=Lists!$AF6))</f>
        <v>0</v>
      </c>
      <c r="IS12" s="290">
        <f>SUMPRODUCT(('Intrapartum Care'!$BF$7:$BF$745=IS$6)*('Intrapartum Care'!$F$7:$F$745&gt;=Lists!$AE6)*('Intrapartum Care'!$F$7:$F$745&lt;=Lists!$AF6))</f>
        <v>0</v>
      </c>
      <c r="IT12" s="290">
        <f>SUMPRODUCT(('Intrapartum Care'!$BF$7:$BF$745=IT$6)*('Intrapartum Care'!$F$7:$F$745&gt;=Lists!$AE6)*('Intrapartum Care'!$F$7:$F$745&lt;=Lists!$AF6))</f>
        <v>0</v>
      </c>
      <c r="IU12" s="290">
        <f>SUMPRODUCT(('Intrapartum Care'!$BF$7:$BF$745=IU$6)*('Intrapartum Care'!$F$7:$F$745&gt;=Lists!$AE6)*('Intrapartum Care'!$F$7:$F$745&lt;=Lists!$AF6))</f>
        <v>0</v>
      </c>
      <c r="IV12" s="170">
        <f t="shared" si="34"/>
        <v>0</v>
      </c>
      <c r="IW12" s="290">
        <f>SUMPRODUCT(('Intrapartum Care'!$BH$7:$BH$745=IW$6)*('Intrapartum Care'!$F$7:$F$745&gt;=Lists!$AE6)*('Intrapartum Care'!$F$7:$F$745&lt;=Lists!$AF6))</f>
        <v>0</v>
      </c>
      <c r="IX12" s="290">
        <f>SUMPRODUCT(('Intrapartum Care'!$BH$7:$BH$745=IX$6)*('Intrapartum Care'!$F$7:$F$745&gt;=Lists!$AE6)*('Intrapartum Care'!$F$7:$F$745&lt;=Lists!$AF6))</f>
        <v>0</v>
      </c>
      <c r="IY12" s="290">
        <f>SUMPRODUCT(('Intrapartum Care'!$BH$7:$BH$745=IY$6)*('Intrapartum Care'!$F$7:$F$745&gt;=Lists!$AE6)*('Intrapartum Care'!$F$7:$F$745&lt;=Lists!$AF6))</f>
        <v>0</v>
      </c>
      <c r="IZ12" s="290">
        <f>SUMPRODUCT(('Intrapartum Care'!$BH$7:$BH$745=IZ$6)*('Intrapartum Care'!$F$7:$F$745&gt;=Lists!$AE6)*('Intrapartum Care'!$F$7:$F$745&lt;=Lists!$AF6))</f>
        <v>0</v>
      </c>
      <c r="JA12" s="290">
        <f>SUMPRODUCT(('Intrapartum Care'!$BH$7:$BH$745=JA$6)*('Intrapartum Care'!$F$7:$F$745&gt;=Lists!$AE6)*('Intrapartum Care'!$F$7:$F$745&lt;=Lists!$AF6))</f>
        <v>0</v>
      </c>
      <c r="JB12" s="551">
        <f t="shared" si="35"/>
        <v>0</v>
      </c>
      <c r="JC12" s="243">
        <f t="shared" si="1"/>
        <v>0</v>
      </c>
      <c r="JD12" s="15"/>
      <c r="JE12" s="15"/>
      <c r="JF12" s="15"/>
      <c r="JG12" s="15"/>
      <c r="JH12" s="15"/>
      <c r="JI12" s="15"/>
      <c r="JJ12" s="15"/>
      <c r="JK12" s="15"/>
      <c r="JL12" s="16"/>
      <c r="JM12" s="15"/>
      <c r="JN12" s="15"/>
      <c r="JO12" s="15"/>
      <c r="JP12" s="15"/>
    </row>
    <row r="13" spans="1:279" ht="15" customHeight="1" x14ac:dyDescent="0.35">
      <c r="A13" s="570">
        <v>45901</v>
      </c>
      <c r="B13" s="345">
        <f>SUMPRODUCT(('Intrapartum Care'!$C$7:$C$745=B$6)*('Intrapartum Care'!$F$7:$F$745&gt;=Lists!$AE7)*('Intrapartum Care'!$F$7:$F$745&lt;=Lists!$AF7))</f>
        <v>0</v>
      </c>
      <c r="C13" s="251">
        <f>SUMPRODUCT(('Intrapartum Care'!$C$7:$C$745=C$6)*('Intrapartum Care'!$F$7:$F$745&gt;=Lists!$AE7)*('Intrapartum Care'!$F$7:$F$745&lt;=Lists!$AF7))</f>
        <v>0</v>
      </c>
      <c r="D13" s="170">
        <f t="shared" si="2"/>
        <v>0</v>
      </c>
      <c r="E13" s="290">
        <f>SUMPRODUCT(('Intrapartum Care'!$D$7:$D$745=E$6)*('Intrapartum Care'!$F$7:$F$745&gt;=Lists!$AE7)*('Intrapartum Care'!$F$7:$F$745&lt;=Lists!$AF7))</f>
        <v>0</v>
      </c>
      <c r="F13" s="290">
        <f>SUMPRODUCT(('Intrapartum Care'!$D$7:$D$745=F$6)*('Intrapartum Care'!$F$7:$F$745&gt;=Lists!$AE7)*('Intrapartum Care'!$F$7:$F$745&lt;=Lists!$AF7))</f>
        <v>0</v>
      </c>
      <c r="G13" s="290">
        <f>SUMPRODUCT(('Intrapartum Care'!$D$7:$D$745=G$6)*('Intrapartum Care'!$F$7:$F$745&gt;=Lists!$AE7)*('Intrapartum Care'!$F$7:$F$745&lt;=Lists!$AF7))</f>
        <v>0</v>
      </c>
      <c r="H13" s="170">
        <f t="shared" si="3"/>
        <v>0</v>
      </c>
      <c r="I13" s="255">
        <f>SUMPRODUCT(('Intrapartum Care'!$E$7:$E$745=I$6)*('Intrapartum Care'!$F$7:$F$745&gt;=Lists!$AE7)*('Intrapartum Care'!$F$7:$F$745&lt;=Lists!$AF7))</f>
        <v>0</v>
      </c>
      <c r="J13" s="252">
        <f>SUMPRODUCT(('Intrapartum Care'!$E$7:$E$745=J$6)*('Intrapartum Care'!$F$7:$F$745&gt;=Lists!$AE7)*('Intrapartum Care'!$F$7:$F$745&lt;=Lists!$AF7))</f>
        <v>0</v>
      </c>
      <c r="K13" s="252">
        <f>SUMPRODUCT(('Intrapartum Care'!$E$7:$E$745=K$6)*('Intrapartum Care'!$F$7:$F$745&gt;=Lists!$AE7)*('Intrapartum Care'!$F$7:$F$745&lt;=Lists!$AF7))</f>
        <v>0</v>
      </c>
      <c r="L13" s="252">
        <f>SUMPRODUCT(('Intrapartum Care'!$E$7:$E$745=L$6)*('Intrapartum Care'!$F$7:$F$745&gt;=Lists!$AE7)*('Intrapartum Care'!$F$7:$F$745&lt;=Lists!$AF7))</f>
        <v>0</v>
      </c>
      <c r="M13" s="252">
        <f>SUMPRODUCT(('Intrapartum Care'!$E$7:$E$745=M$6)*('Intrapartum Care'!$F$7:$F$745&gt;=Lists!$AE7)*('Intrapartum Care'!$F$7:$F$745&lt;=Lists!$AF7))</f>
        <v>0</v>
      </c>
      <c r="N13" s="252">
        <f>SUMPRODUCT(('Intrapartum Care'!$E$7:$E$745=N$6)*('Intrapartum Care'!$F$7:$F$745&gt;=Lists!$AE7)*('Intrapartum Care'!$F$7:$F$745&lt;=Lists!$AF7))</f>
        <v>0</v>
      </c>
      <c r="O13" s="252">
        <f>SUMPRODUCT(('Intrapartum Care'!$E$7:$E$745=O$6)*('Intrapartum Care'!$F$7:$F$745&gt;=Lists!$AE7)*('Intrapartum Care'!$F$7:$F$745&lt;=Lists!$AF7))</f>
        <v>0</v>
      </c>
      <c r="P13" s="252">
        <f>SUMPRODUCT(('Intrapartum Care'!$E$7:$E$745=P$6)*('Intrapartum Care'!$F$7:$F$745&gt;=Lists!$AE7)*('Intrapartum Care'!$F$7:$F$745&lt;=Lists!$AF7))</f>
        <v>0</v>
      </c>
      <c r="Q13" s="252">
        <f>SUMPRODUCT(('Intrapartum Care'!$E$7:$E$745=Q$6)*('Intrapartum Care'!$F$7:$F$745&gt;=Lists!$AE7)*('Intrapartum Care'!$F$7:$F$745&lt;=Lists!$AF7))</f>
        <v>0</v>
      </c>
      <c r="R13" s="252">
        <f>SUMPRODUCT(('Intrapartum Care'!$E$7:$E$745=R$6)*('Intrapartum Care'!$F$7:$F$745&gt;=Lists!$AE7)*('Intrapartum Care'!$F$7:$F$745&lt;=Lists!$AF7))</f>
        <v>0</v>
      </c>
      <c r="S13" s="252">
        <f>SUMPRODUCT(('Intrapartum Care'!$E$7:$E$745=S$6)*('Intrapartum Care'!$F$7:$F$745&gt;=Lists!$AE7)*('Intrapartum Care'!$F$7:$F$745&lt;=Lists!$AF7))</f>
        <v>0</v>
      </c>
      <c r="T13" s="252">
        <f>SUMPRODUCT(('Intrapartum Care'!$E$7:$E$745=T$6)*('Intrapartum Care'!$F$7:$F$745&gt;=Lists!$AE7)*('Intrapartum Care'!$F$7:$F$745&lt;=Lists!$AF7))</f>
        <v>0</v>
      </c>
      <c r="U13" s="252">
        <f>SUMPRODUCT(('Intrapartum Care'!$E$7:$E$745=U$6)*('Intrapartum Care'!$F$7:$F$745&gt;=Lists!$AE7)*('Intrapartum Care'!$F$7:$F$745&lt;=Lists!$AF7))</f>
        <v>0</v>
      </c>
      <c r="V13" s="252">
        <f>SUMPRODUCT(('Intrapartum Care'!$E$7:$E$745=V$6)*('Intrapartum Care'!$F$7:$F$745&gt;=Lists!$AE7)*('Intrapartum Care'!$F$7:$F$745&lt;=Lists!$AF7))</f>
        <v>0</v>
      </c>
      <c r="W13" s="252">
        <f>SUMPRODUCT(('Intrapartum Care'!$E$7:$E$745=W$6)*('Intrapartum Care'!$F$7:$F$745&gt;=Lists!$AE7)*('Intrapartum Care'!$F$7:$F$745&lt;=Lists!$AF7))</f>
        <v>0</v>
      </c>
      <c r="X13" s="252">
        <f>SUMPRODUCT(('Intrapartum Care'!$E$7:$E$745=X$6)*('Intrapartum Care'!$F$7:$F$745&gt;=Lists!$AE7)*('Intrapartum Care'!$F$7:$F$745&lt;=Lists!$AF7))</f>
        <v>0</v>
      </c>
      <c r="Y13" s="252">
        <f>SUMPRODUCT(('Intrapartum Care'!$E$7:$E$745=Y$6)*('Intrapartum Care'!$F$7:$F$745&gt;=Lists!$AE7)*('Intrapartum Care'!$F$7:$F$745&lt;=Lists!$AF7))</f>
        <v>0</v>
      </c>
      <c r="Z13" s="252">
        <f>SUMPRODUCT(('Intrapartum Care'!$E$7:$E$745=Z$6)*('Intrapartum Care'!$F$7:$F$745&gt;=Lists!$AE7)*('Intrapartum Care'!$F$7:$F$745&lt;=Lists!$AF7))</f>
        <v>0</v>
      </c>
      <c r="AA13" s="252">
        <f>SUMPRODUCT(('Intrapartum Care'!$E$7:$E$745=AA$6)*('Intrapartum Care'!$F$7:$F$745&gt;=Lists!$AE7)*('Intrapartum Care'!$F$7:$F$745&lt;=Lists!$AF7))</f>
        <v>0</v>
      </c>
      <c r="AB13" s="252">
        <f>SUMPRODUCT(('Intrapartum Care'!$E$7:$E$745=AB$6)*('Intrapartum Care'!$F$7:$F$745&gt;=Lists!$AE7)*('Intrapartum Care'!$F$7:$F$745&lt;=Lists!$AF7))</f>
        <v>0</v>
      </c>
      <c r="AC13" s="264">
        <f>SUMPRODUCT(('Intrapartum Care'!$E$7:$E$745=AC$6)*('Intrapartum Care'!$F$7:$F$745&gt;=Lists!$AE7)*('Intrapartum Care'!$F$7:$F$745&lt;=Lists!$AF7))</f>
        <v>0</v>
      </c>
      <c r="AD13" s="227">
        <f t="shared" si="4"/>
        <v>0</v>
      </c>
      <c r="AE13" s="255">
        <f>SUMPRODUCT(('Intrapartum Care'!$H$7:$H$745=AE$6)*('Intrapartum Care'!$F$7:$F$745&gt;=Lists!$AE7)*('Intrapartum Care'!$F$7:$F$745&lt;=Lists!$AF7))</f>
        <v>0</v>
      </c>
      <c r="AF13" s="252">
        <f>SUMPRODUCT(('Intrapartum Care'!$H$7:$H$745=AF$6)*('Intrapartum Care'!$F$7:$F$745&gt;=Lists!$AE7)*('Intrapartum Care'!$F$7:$F$745&lt;=Lists!$AF7))</f>
        <v>0</v>
      </c>
      <c r="AG13" s="252">
        <f>SUMPRODUCT(('Intrapartum Care'!$H$7:$H$745=AG$6)*('Intrapartum Care'!$F$7:$F$745&gt;=Lists!$AE7)*('Intrapartum Care'!$F$7:$F$745&lt;=Lists!$AF7))</f>
        <v>0</v>
      </c>
      <c r="AH13" s="252">
        <f>SUMPRODUCT(('Intrapartum Care'!$H$7:$H$745=AH$6)*('Intrapartum Care'!$F$7:$F$745&gt;=Lists!$AE7)*('Intrapartum Care'!$F$7:$F$745&lt;=Lists!$AF7))</f>
        <v>0</v>
      </c>
      <c r="AI13" s="252">
        <f>SUMPRODUCT(('Intrapartum Care'!$H$7:$H$745=AI$6)*('Intrapartum Care'!$F$7:$F$745&gt;=Lists!$AE7)*('Intrapartum Care'!$F$7:$F$745&lt;=Lists!$AF7))</f>
        <v>0</v>
      </c>
      <c r="AJ13" s="252">
        <f>SUMPRODUCT(('Intrapartum Care'!$H$7:$H$745=AJ$6)*('Intrapartum Care'!$F$7:$F$745&gt;=Lists!$AE7)*('Intrapartum Care'!$F$7:$F$745&lt;=Lists!$AF7))</f>
        <v>0</v>
      </c>
      <c r="AK13" s="252">
        <f>SUMPRODUCT(('Intrapartum Care'!$H$7:$H$745=AK$6)*('Intrapartum Care'!$F$7:$F$745&gt;=Lists!$AE7)*('Intrapartum Care'!$F$7:$F$745&lt;=Lists!$AF7))</f>
        <v>0</v>
      </c>
      <c r="AL13" s="252">
        <f>SUMPRODUCT(('Intrapartum Care'!$H$7:$H$745=AL$6)*('Intrapartum Care'!$F$7:$F$745&gt;=Lists!$AE7)*('Intrapartum Care'!$F$7:$F$745&lt;=Lists!$AF7))</f>
        <v>0</v>
      </c>
      <c r="AM13" s="264">
        <f>SUMPRODUCT(('Intrapartum Care'!$H$7:$H$745=AM$6)*('Intrapartum Care'!$F$7:$F$745&gt;=Lists!$AE7)*('Intrapartum Care'!$F$7:$F$745&lt;=Lists!$AF7))</f>
        <v>0</v>
      </c>
      <c r="AN13" s="170">
        <f t="shared" si="5"/>
        <v>0</v>
      </c>
      <c r="AO13" s="255">
        <f>SUMPRODUCT(('Intrapartum Care'!$I$7:$I$745=AO$6)*('Intrapartum Care'!$F$7:$F$745&gt;=Lists!$AE7)*('Intrapartum Care'!$F$7:$F$745&lt;=Lists!$AF7))</f>
        <v>0</v>
      </c>
      <c r="AP13" s="252">
        <f>SUMPRODUCT(('Intrapartum Care'!$I$7:$I$745=AP$6)*('Intrapartum Care'!$F$7:$F$745&gt;=Lists!$AE7)*('Intrapartum Care'!$F$7:$F$745&lt;=Lists!$AF7))</f>
        <v>0</v>
      </c>
      <c r="AQ13" s="252">
        <f>SUMPRODUCT(('Intrapartum Care'!$I$7:$I$745=AQ$6)*('Intrapartum Care'!$F$7:$F$745&gt;=Lists!$AE7)*('Intrapartum Care'!$F$7:$F$745&lt;=Lists!$AF7))</f>
        <v>0</v>
      </c>
      <c r="AR13" s="252">
        <f>SUMPRODUCT(('Intrapartum Care'!$I$7:$I$745=AR$6)*('Intrapartum Care'!$F$7:$F$745&gt;=Lists!$AE7)*('Intrapartum Care'!$F$7:$F$745&lt;=Lists!$AF7))</f>
        <v>0</v>
      </c>
      <c r="AS13" s="252">
        <f>SUMPRODUCT(('Intrapartum Care'!$I$7:$I$745=AS$6)*('Intrapartum Care'!$F$7:$F$745&gt;=Lists!$AE7)*('Intrapartum Care'!$F$7:$F$745&lt;=Lists!$AF7))</f>
        <v>0</v>
      </c>
      <c r="AT13" s="252">
        <f>SUMPRODUCT(('Intrapartum Care'!$I$7:$I$745=AT$6)*('Intrapartum Care'!$F$7:$F$745&gt;=Lists!$AE7)*('Intrapartum Care'!$F$7:$F$745&lt;=Lists!$AF7))</f>
        <v>0</v>
      </c>
      <c r="AU13" s="253">
        <f>SUMPRODUCT(('Intrapartum Care'!$I$7:$I$745=AU$6)*('Intrapartum Care'!$F$7:$F$745&gt;=Lists!$AE7)*('Intrapartum Care'!$F$7:$F$745&lt;=Lists!$AF7))</f>
        <v>0</v>
      </c>
      <c r="AV13" s="170">
        <f t="shared" si="6"/>
        <v>0</v>
      </c>
      <c r="AW13" s="255">
        <f>SUMPRODUCT(('Intrapartum Care'!$J$7:$J$745=AW$6)*('Intrapartum Care'!$F$7:$F$745&gt;=Lists!$AE7)*('Intrapartum Care'!$F$7:$F$745&lt;=Lists!$AF7))</f>
        <v>0</v>
      </c>
      <c r="AX13" s="253">
        <f>SUMPRODUCT(('Intrapartum Care'!$J$7:$J$745=AX$6)*('Intrapartum Care'!$F$7:$F$745&gt;=Lists!$AE7)*('Intrapartum Care'!$F$7:$F$745&lt;=Lists!$AF7))</f>
        <v>0</v>
      </c>
      <c r="AY13" s="170">
        <f t="shared" si="7"/>
        <v>0</v>
      </c>
      <c r="AZ13" s="263">
        <f>SUMPRODUCT(('Intrapartum Care'!$R$7:$R$745=AZ$6)*('Intrapartum Care'!$F$7:$F$745&gt;=Lists!$AE7)*('Intrapartum Care'!$F$7:$F$745&lt;=Lists!$AF7))</f>
        <v>0</v>
      </c>
      <c r="BA13" s="252">
        <f>SUMPRODUCT(('Intrapartum Care'!$R$7:$R$745=BA$6)*('Intrapartum Care'!$F$7:$F$745&gt;=Lists!$AE7)*('Intrapartum Care'!$F$7:$F$745&lt;=Lists!$AF7))</f>
        <v>0</v>
      </c>
      <c r="BB13" s="252">
        <f>SUMPRODUCT(('Intrapartum Care'!$R$7:$R$745=BB$6)*('Intrapartum Care'!$F$7:$F$745&gt;=Lists!$AE7)*('Intrapartum Care'!$F$7:$F$745&lt;=Lists!$AF7))</f>
        <v>0</v>
      </c>
      <c r="BC13" s="253">
        <f>SUMPRODUCT(('Intrapartum Care'!$R$7:$R$745=BC$6)*('Intrapartum Care'!$F$7:$F$745&gt;=Lists!$AE7)*('Intrapartum Care'!$F$7:$F$745&lt;=Lists!$AF7))</f>
        <v>0</v>
      </c>
      <c r="BD13" s="170">
        <f t="shared" si="8"/>
        <v>0</v>
      </c>
      <c r="BE13" s="263">
        <f>SUMPRODUCT(('Intrapartum Care'!$S$7:$S$745=BE$6)*('Intrapartum Care'!$F$7:$F$745&gt;=Lists!$AE7)*('Intrapartum Care'!$F$7:$F$745&lt;=Lists!$AF7))</f>
        <v>0</v>
      </c>
      <c r="BF13" s="252">
        <f>SUMPRODUCT(('Intrapartum Care'!$S$7:$S$745=BF$6)*('Intrapartum Care'!$F$7:$F$745&gt;=Lists!$AE7)*('Intrapartum Care'!$F$7:$F$745&lt;=Lists!$AF7))</f>
        <v>0</v>
      </c>
      <c r="BG13" s="264">
        <f>SUMPRODUCT(('Intrapartum Care'!$S$7:$S$745=BG$6)*('Intrapartum Care'!$F$7:$F$745&gt;=Lists!$AE7)*('Intrapartum Care'!$F$7:$F$745&lt;=Lists!$AF7))</f>
        <v>0</v>
      </c>
      <c r="BH13" s="170">
        <f t="shared" si="9"/>
        <v>0</v>
      </c>
      <c r="BI13" s="290">
        <f>SUMPRODUCT(('Intrapartum Care'!$T$7:$T$745=BI$6)*('Intrapartum Care'!$F$7:$F$745&gt;=Lists!$AE7)*('Intrapartum Care'!$F$7:$F$745&lt;=Lists!$AF7))</f>
        <v>0</v>
      </c>
      <c r="BJ13" s="290">
        <f>SUMPRODUCT(('Intrapartum Care'!$T$7:$T$745=BJ$6)*('Intrapartum Care'!$F$7:$F$745&gt;=Lists!$AE7)*('Intrapartum Care'!$F$7:$F$745&lt;=Lists!$AF7))</f>
        <v>0</v>
      </c>
      <c r="BK13" s="290">
        <f>SUMPRODUCT(('Intrapartum Care'!$T$7:$T$745=BK$6)*('Intrapartum Care'!$F$7:$F$745&gt;=Lists!$AE7)*('Intrapartum Care'!$F$7:$F$745&lt;=Lists!$AF7))</f>
        <v>0</v>
      </c>
      <c r="BL13" s="290">
        <f>SUMPRODUCT(('Intrapartum Care'!$T$7:$T$745=BL$6)*('Intrapartum Care'!$F$7:$F$745&gt;=Lists!$AE7)*('Intrapartum Care'!$F$7:$F$745&lt;=Lists!$AF7))</f>
        <v>0</v>
      </c>
      <c r="BM13" s="227">
        <f t="shared" si="10"/>
        <v>0</v>
      </c>
      <c r="BN13" s="290">
        <f>SUMPRODUCT(('Intrapartum Care'!$U$7:$U$745=BN$6)*('Intrapartum Care'!$F$7:$F$745&gt;=Lists!$AE7)*('Intrapartum Care'!$F$7:$F$745&lt;=Lists!$AF7))</f>
        <v>0</v>
      </c>
      <c r="BO13" s="290">
        <f>SUMPRODUCT(('Intrapartum Care'!$U$7:$U$745=BO$6)*('Intrapartum Care'!$F$7:$F$745&gt;=Lists!$AE7)*('Intrapartum Care'!$F$7:$F$745&lt;=Lists!$AF7))</f>
        <v>0</v>
      </c>
      <c r="BP13" s="290">
        <f>SUMPRODUCT(('Intrapartum Care'!$U$7:$U$745=BP$6)*('Intrapartum Care'!$F$7:$F$745&gt;=Lists!$AE7)*('Intrapartum Care'!$F$7:$F$745&lt;=Lists!$AF7))</f>
        <v>0</v>
      </c>
      <c r="BQ13" s="290">
        <f>SUMPRODUCT(('Intrapartum Care'!$U$7:$U$745=BQ$6)*('Intrapartum Care'!$F$7:$F$745&gt;=Lists!$AE7)*('Intrapartum Care'!$F$7:$F$745&lt;=Lists!$AF7))</f>
        <v>0</v>
      </c>
      <c r="BR13" s="227">
        <f t="shared" si="11"/>
        <v>0</v>
      </c>
      <c r="BS13" s="290">
        <f>SUMPRODUCT(('Intrapartum Care'!$V$7:$V$745=BS$6)*('Intrapartum Care'!$F$7:$F$745&gt;=Lists!$AE7)*('Intrapartum Care'!$F$7:$F$745&lt;=Lists!$AF7))</f>
        <v>0</v>
      </c>
      <c r="BT13" s="290">
        <f>SUMPRODUCT(('Intrapartum Care'!$V$7:$V$745=BT$6)*('Intrapartum Care'!$F$7:$F$745&gt;=Lists!$AE7)*('Intrapartum Care'!$F$7:$F$745&lt;=Lists!$AF7))</f>
        <v>0</v>
      </c>
      <c r="BU13" s="290">
        <f>SUMPRODUCT(('Intrapartum Care'!$V$7:$V$745=BU$6)*('Intrapartum Care'!$F$7:$F$745&gt;=Lists!$AE7)*('Intrapartum Care'!$F$7:$F$745&lt;=Lists!$AF7))</f>
        <v>0</v>
      </c>
      <c r="BV13" s="290">
        <f>SUMPRODUCT(('Intrapartum Care'!$V$7:$V$745=BV$6)*('Intrapartum Care'!$F$7:$F$745&gt;=Lists!$AE7)*('Intrapartum Care'!$F$7:$F$745&lt;=Lists!$AF7))</f>
        <v>0</v>
      </c>
      <c r="BW13" s="290">
        <f>SUMPRODUCT(('Intrapartum Care'!$V$7:$V$745=BW$6)*('Intrapartum Care'!$F$7:$F$745&gt;=Lists!$AE7)*('Intrapartum Care'!$F$7:$F$745&lt;=Lists!$AF7))</f>
        <v>0</v>
      </c>
      <c r="BX13" s="227">
        <f t="shared" si="12"/>
        <v>0</v>
      </c>
      <c r="BY13" s="290">
        <f>SUMPRODUCT(('Intrapartum Care'!$W$7:$W$745=BY$6)*('Intrapartum Care'!$F$7:$F$745&gt;=Lists!$AE7)*('Intrapartum Care'!$F$7:$F$745&lt;=Lists!$AF7))</f>
        <v>0</v>
      </c>
      <c r="BZ13" s="290">
        <f>SUMPRODUCT(('Intrapartum Care'!$W$7:$W$745=BZ$6)*('Intrapartum Care'!$F$7:$F$745&gt;=Lists!$AE7)*('Intrapartum Care'!$F$7:$F$745&lt;=Lists!$AF7))</f>
        <v>0</v>
      </c>
      <c r="CA13" s="290">
        <f>SUMPRODUCT(('Intrapartum Care'!$W$7:$W$745=CA$6)*('Intrapartum Care'!$F$7:$F$745&gt;=Lists!$AE7)*('Intrapartum Care'!$F$7:$F$745&lt;=Lists!$AF7))</f>
        <v>0</v>
      </c>
      <c r="CB13" s="290">
        <f>SUMPRODUCT(('Intrapartum Care'!$W$7:$W$745=CB$6)*('Intrapartum Care'!$F$7:$F$745&gt;=Lists!$AE7)*('Intrapartum Care'!$F$7:$F$745&lt;=Lists!$AF7))</f>
        <v>0</v>
      </c>
      <c r="CC13" s="290">
        <f>SUMPRODUCT(('Intrapartum Care'!$W$7:$W$745=CC$6)*('Intrapartum Care'!$F$7:$F$745&gt;=Lists!$AE7)*('Intrapartum Care'!$F$7:$F$745&lt;=Lists!$AF7))</f>
        <v>0</v>
      </c>
      <c r="CD13" s="227">
        <f t="shared" si="13"/>
        <v>0</v>
      </c>
      <c r="CE13" s="290">
        <f>SUMPRODUCT(('Intrapartum Care'!$X$7:$X$745=CE$6)*('Intrapartum Care'!$F$7:$F$745&gt;=Lists!$AE7)*('Intrapartum Care'!$F$7:$F$745&lt;=Lists!$AF7))</f>
        <v>0</v>
      </c>
      <c r="CF13" s="290">
        <f>SUMPRODUCT(('Intrapartum Care'!$X$7:$X$745=CF$6)*('Intrapartum Care'!$F$7:$F$745&gt;=Lists!$AE7)*('Intrapartum Care'!$F$7:$F$745&lt;=Lists!$AF7))</f>
        <v>0</v>
      </c>
      <c r="CG13" s="290">
        <f>SUMPRODUCT(('Intrapartum Care'!$X$7:$X$745=CG$6)*('Intrapartum Care'!$F$7:$F$745&gt;=Lists!$AE7)*('Intrapartum Care'!$F$7:$F$745&lt;=Lists!$AF7))</f>
        <v>0</v>
      </c>
      <c r="CH13" s="290">
        <f>SUMPRODUCT(('Intrapartum Care'!$X$7:$X$745=CH$6)*('Intrapartum Care'!$F$7:$F$745&gt;=Lists!$AE7)*('Intrapartum Care'!$F$7:$F$745&lt;=Lists!$AF7))</f>
        <v>0</v>
      </c>
      <c r="CI13" s="290">
        <f>SUMPRODUCT(('Intrapartum Care'!$X$7:$X$745=CI$6)*('Intrapartum Care'!$F$7:$F$745&gt;=Lists!$AE7)*('Intrapartum Care'!$F$7:$F$745&lt;=Lists!$AF7))</f>
        <v>0</v>
      </c>
      <c r="CJ13" s="290">
        <f>SUMPRODUCT(('Intrapartum Care'!$X$7:$X$745=CJ$6)*('Intrapartum Care'!$F$7:$F$745&gt;=Lists!$AE7)*('Intrapartum Care'!$F$7:$F$745&lt;=Lists!$AF7))</f>
        <v>0</v>
      </c>
      <c r="CK13" s="290">
        <f>SUMPRODUCT(('Intrapartum Care'!$X$7:$X$745=CK$6)*('Intrapartum Care'!$F$7:$F$745&gt;=Lists!$AE7)*('Intrapartum Care'!$F$7:$F$745&lt;=Lists!$AF7))</f>
        <v>0</v>
      </c>
      <c r="CL13" s="227">
        <f t="shared" si="14"/>
        <v>0</v>
      </c>
      <c r="CM13" s="290">
        <f>SUMPRODUCT(('Intrapartum Care'!$Y$7:$Y$745=CM$6)*('Intrapartum Care'!$F$7:$F$745&gt;=Lists!$AE7)*('Intrapartum Care'!$F$7:$F$745&lt;=Lists!$AF7))</f>
        <v>0</v>
      </c>
      <c r="CN13" s="290">
        <f>SUMPRODUCT(('Intrapartum Care'!$Y$7:$Y$745=CN$6)*('Intrapartum Care'!$F$7:$F$745&gt;=Lists!$AE7)*('Intrapartum Care'!$F$7:$F$745&lt;=Lists!$AF7))</f>
        <v>0</v>
      </c>
      <c r="CO13" s="290">
        <f>SUMPRODUCT(('Intrapartum Care'!$Y$7:$Y$745=CO$6)*('Intrapartum Care'!$F$7:$F$745&gt;=Lists!$AE7)*('Intrapartum Care'!$F$7:$F$745&lt;=Lists!$AF7))</f>
        <v>0</v>
      </c>
      <c r="CP13" s="290">
        <f>SUMPRODUCT(('Intrapartum Care'!$Y$7:$Y$745=CP$6)*('Intrapartum Care'!$F$7:$F$745&gt;=Lists!$AE7)*('Intrapartum Care'!$F$7:$F$745&lt;=Lists!$AF7))</f>
        <v>0</v>
      </c>
      <c r="CQ13" s="290">
        <f>SUMPRODUCT(('Intrapartum Care'!$Y$7:$Y$745=CQ$6)*('Intrapartum Care'!$F$7:$F$745&gt;=Lists!$AE7)*('Intrapartum Care'!$F$7:$F$745&lt;=Lists!$AF7))</f>
        <v>0</v>
      </c>
      <c r="CR13" s="290">
        <f>SUMPRODUCT(('Intrapartum Care'!$Y$7:$Y$745=CR$6)*('Intrapartum Care'!$F$7:$F$745&gt;=Lists!$AE7)*('Intrapartum Care'!$F$7:$F$745&lt;=Lists!$AF7))</f>
        <v>0</v>
      </c>
      <c r="CS13" s="227">
        <f t="shared" si="15"/>
        <v>0</v>
      </c>
      <c r="CT13" s="290">
        <f>SUMPRODUCT(('Intrapartum Care'!$Z$7:$Z$745=CT$6)*('Intrapartum Care'!$F$7:$F$745&gt;=Lists!$AE7)*('Intrapartum Care'!$F$7:$F$745&lt;=Lists!$AF7))</f>
        <v>0</v>
      </c>
      <c r="CU13" s="290">
        <f>SUMPRODUCT(('Intrapartum Care'!$Z$7:$Z$745=CU$6)*('Intrapartum Care'!$F$7:$F$745&gt;=Lists!$AE7)*('Intrapartum Care'!$F$7:$F$745&lt;=Lists!$AF7))</f>
        <v>0</v>
      </c>
      <c r="CV13" s="290">
        <f>SUMPRODUCT(('Intrapartum Care'!$Z$7:$Z$745=CV$6)*('Intrapartum Care'!$F$7:$F$745&gt;=Lists!$AE7)*('Intrapartum Care'!$F$7:$F$745&lt;=Lists!$AF7))</f>
        <v>0</v>
      </c>
      <c r="CW13" s="290">
        <f>SUMPRODUCT(('Intrapartum Care'!$Z$7:$Z$745=CW$6)*('Intrapartum Care'!$F$7:$F$745&gt;=Lists!$AE7)*('Intrapartum Care'!$F$7:$F$745&lt;=Lists!$AF7))</f>
        <v>0</v>
      </c>
      <c r="CX13" s="290">
        <f>SUMPRODUCT(('Intrapartum Care'!$Z$7:$Z$745=CX$6)*('Intrapartum Care'!$F$7:$F$745&gt;=Lists!$AE7)*('Intrapartum Care'!$F$7:$F$745&lt;=Lists!$AF7))</f>
        <v>0</v>
      </c>
      <c r="CY13" s="290">
        <f>SUMPRODUCT(('Intrapartum Care'!$Z$7:$Z$745=CY$6)*('Intrapartum Care'!$F$7:$F$745&gt;=Lists!$AE7)*('Intrapartum Care'!$F$7:$F$745&lt;=Lists!$AF7))</f>
        <v>0</v>
      </c>
      <c r="CZ13" s="290">
        <f>SUMPRODUCT(('Intrapartum Care'!$Z$7:$Z$745=CZ$6)*('Intrapartum Care'!$F$7:$F$745&gt;=Lists!$AE7)*('Intrapartum Care'!$F$7:$F$745&lt;=Lists!$AF7))</f>
        <v>0</v>
      </c>
      <c r="DA13" s="290">
        <f>SUMPRODUCT(('Intrapartum Care'!$Z$7:$Z$745=DA$6)*('Intrapartum Care'!$F$7:$F$745&gt;=Lists!$AE7)*('Intrapartum Care'!$F$7:$F$745&lt;=Lists!$AF7))</f>
        <v>0</v>
      </c>
      <c r="DB13" s="227">
        <f t="shared" si="16"/>
        <v>0</v>
      </c>
      <c r="DC13" s="290">
        <f>SUMPRODUCT(('Intrapartum Care'!$AA$7:$AA$745=DC$6)*('Intrapartum Care'!$F$7:$F$745&gt;=Lists!$AE7)*('Intrapartum Care'!$F$7:$F$745&lt;=Lists!$AF7))</f>
        <v>0</v>
      </c>
      <c r="DD13" s="290">
        <f>SUMPRODUCT(('Intrapartum Care'!$AA$7:$AA$745=DD$6)*('Intrapartum Care'!$F$7:$F$745&gt;=Lists!$AE7)*('Intrapartum Care'!$F$7:$F$745&lt;=Lists!$AF7))</f>
        <v>0</v>
      </c>
      <c r="DE13" s="290">
        <f>SUMPRODUCT(('Intrapartum Care'!$AA$7:$AA$745=DE$6)*('Intrapartum Care'!$F$7:$F$745&gt;=Lists!$AE7)*('Intrapartum Care'!$F$7:$F$745&lt;=Lists!$AF7))</f>
        <v>0</v>
      </c>
      <c r="DF13" s="227">
        <f t="shared" si="17"/>
        <v>0</v>
      </c>
      <c r="DG13" s="295">
        <f>SUMPRODUCT(('Intrapartum Care'!$AB$7:$AB$745=DG$6)*('Intrapartum Care'!$F$7:$F$745&gt;=Lists!$AE7)*('Intrapartum Care'!$F$7:$F$745&lt;=Lists!$AF7))</f>
        <v>0</v>
      </c>
      <c r="DH13" s="290">
        <f>SUMPRODUCT(('Intrapartum Care'!$AB$7:$AB$745=DH$6)*('Intrapartum Care'!$F$7:$F$745&gt;=Lists!$AE7)*('Intrapartum Care'!$F$7:$F$745&lt;=Lists!$AF7))</f>
        <v>0</v>
      </c>
      <c r="DI13" s="290">
        <f>SUMPRODUCT(('Intrapartum Care'!$AB$7:$AB$745=DI$6)*('Intrapartum Care'!$F$7:$F$745&gt;=Lists!$AE7)*('Intrapartum Care'!$F$7:$F$745&lt;=Lists!$AF7))</f>
        <v>0</v>
      </c>
      <c r="DJ13" s="290">
        <f>SUMPRODUCT(('Intrapartum Care'!$AB$7:$AB$745=DJ$6)*('Intrapartum Care'!$F$7:$F$745&gt;=Lists!$AE7)*('Intrapartum Care'!$F$7:$F$745&lt;=Lists!$AF7))</f>
        <v>0</v>
      </c>
      <c r="DK13" s="290">
        <f>SUMPRODUCT(('Intrapartum Care'!$AB$7:$AB$745=DK$6)*('Intrapartum Care'!$F$7:$F$745&gt;=Lists!$AE7)*('Intrapartum Care'!$F$7:$F$745&lt;=Lists!$AF7))</f>
        <v>0</v>
      </c>
      <c r="DL13" s="290">
        <f>SUMPRODUCT(('Intrapartum Care'!$AB$7:$AB$745=DL$6)*('Intrapartum Care'!$F$7:$F$745&gt;=Lists!$AE7)*('Intrapartum Care'!$F$7:$F$745&lt;=Lists!$AF7))</f>
        <v>0</v>
      </c>
      <c r="DM13" s="290">
        <f>SUMPRODUCT(('Intrapartum Care'!$AB$7:$AB$745=DM$6)*('Intrapartum Care'!$F$7:$F$745&gt;=Lists!$AE7)*('Intrapartum Care'!$F$7:$F$745&lt;=Lists!$AF7))</f>
        <v>0</v>
      </c>
      <c r="DN13" s="227">
        <f t="shared" si="18"/>
        <v>0</v>
      </c>
      <c r="DO13" s="528">
        <f>SUMPRODUCT(('Intrapartum Care'!$AC$7:$AC$745=DO$6)*('Intrapartum Care'!$F$7:$F$745&gt;=Lists!$AE7)*('Intrapartum Care'!$F$7:$F$745&lt;=Lists!$AF7))</f>
        <v>0</v>
      </c>
      <c r="DP13" s="528">
        <f>SUMPRODUCT(('Intrapartum Care'!$AC$7:$AC$745=DP$6)*('Intrapartum Care'!$F$7:$F$745&gt;=Lists!$AE7)*('Intrapartum Care'!$F$7:$F$745&lt;=Lists!$AF7))</f>
        <v>0</v>
      </c>
      <c r="DQ13" s="528">
        <f>SUMPRODUCT(('Intrapartum Care'!$AC$7:$AC$745=DQ$6)*('Intrapartum Care'!$F$7:$F$745&gt;=Lists!$AE7)*('Intrapartum Care'!$F$7:$F$745&lt;=Lists!$AF7))</f>
        <v>0</v>
      </c>
      <c r="DR13" s="528">
        <f>SUMPRODUCT(('Intrapartum Care'!$AC$7:$AC$745=DR$6)*('Intrapartum Care'!$F$7:$F$745&gt;=Lists!$AE7)*('Intrapartum Care'!$F$7:$F$745&lt;=Lists!$AF7))</f>
        <v>0</v>
      </c>
      <c r="DS13" s="528">
        <f>SUMPRODUCT(('Intrapartum Care'!$AC$7:$AC$745=DS$6)*('Intrapartum Care'!$F$7:$F$745&gt;=Lists!$AE7)*('Intrapartum Care'!$F$7:$F$745&lt;=Lists!$AF7))</f>
        <v>0</v>
      </c>
      <c r="DT13" s="528">
        <f>SUMPRODUCT(('Intrapartum Care'!$AC$7:$AC$745=DT$6)*('Intrapartum Care'!$F$7:$F$745&gt;=Lists!$AE7)*('Intrapartum Care'!$F$7:$F$745&lt;=Lists!$AF7))</f>
        <v>0</v>
      </c>
      <c r="DU13" s="528">
        <f>SUMPRODUCT(('Intrapartum Care'!$AC$7:$AC$745=DU$6)*('Intrapartum Care'!$F$7:$F$745&gt;=Lists!$AE7)*('Intrapartum Care'!$F$7:$F$745&lt;=Lists!$AF7))</f>
        <v>0</v>
      </c>
      <c r="DV13" s="528">
        <f>SUMPRODUCT(('Intrapartum Care'!$AC$7:$AC$745=DV$6)*('Intrapartum Care'!$F$7:$F$745&gt;=Lists!$AE7)*('Intrapartum Care'!$F$7:$F$745&lt;=Lists!$AF7))</f>
        <v>0</v>
      </c>
      <c r="DW13" s="528">
        <f>SUMPRODUCT(('Intrapartum Care'!$AC$7:$AC$745=DW$6)*('Intrapartum Care'!$F$7:$F$745&gt;=Lists!$AE7)*('Intrapartum Care'!$F$7:$F$745&lt;=Lists!$AF7))</f>
        <v>0</v>
      </c>
      <c r="DX13" s="227">
        <f t="shared" si="19"/>
        <v>0</v>
      </c>
      <c r="DY13" s="295">
        <f>SUMPRODUCT(('Intrapartum Care'!$AE$7:$AE$745=DY$6)*('Intrapartum Care'!$F$7:$F$745&gt;=Lists!$AE7)*('Intrapartum Care'!$F$7:$F$745&lt;=Lists!$AF7))</f>
        <v>0</v>
      </c>
      <c r="DZ13" s="295">
        <f>SUMPRODUCT(('Intrapartum Care'!$AE$7:$AE$745=DZ$6)*('Intrapartum Care'!$F$7:$F$745&gt;=Lists!$AE7)*('Intrapartum Care'!$F$7:$F$745&lt;=Lists!$AF7))</f>
        <v>0</v>
      </c>
      <c r="EA13" s="295">
        <f>SUMPRODUCT(('Intrapartum Care'!$AE$7:$AE$745=EA$6)*('Intrapartum Care'!$F$7:$F$745&gt;=Lists!$AE7)*('Intrapartum Care'!$F$7:$F$745&lt;=Lists!$AF7))</f>
        <v>0</v>
      </c>
      <c r="EB13" s="227">
        <f t="shared" si="20"/>
        <v>0</v>
      </c>
      <c r="EC13" s="295">
        <f>SUMPRODUCT(('Intrapartum Care'!$AF$7:$AF$745=EC$6)*('Intrapartum Care'!$F$7:$F$745&gt;=Lists!$AE7)*('Intrapartum Care'!$F$7:$F$745&lt;=Lists!$AF7))</f>
        <v>0</v>
      </c>
      <c r="ED13" s="295">
        <f>SUMPRODUCT(('Intrapartum Care'!$AF$7:$AF$745=ED$6)*('Intrapartum Care'!$F$7:$F$745&gt;=Lists!$AE7)*('Intrapartum Care'!$F$7:$F$745&lt;=Lists!$AF7))</f>
        <v>0</v>
      </c>
      <c r="EE13" s="295">
        <f>SUMPRODUCT(('Intrapartum Care'!$AF$7:$AF$745=EE$6)*('Intrapartum Care'!$F$7:$F$745&gt;=Lists!$AE7)*('Intrapartum Care'!$F$7:$F$745&lt;=Lists!$AF7))</f>
        <v>0</v>
      </c>
      <c r="EF13" s="295">
        <f>SUMPRODUCT(('Intrapartum Care'!$AF$7:$AF$745=EF$6)*('Intrapartum Care'!$F$7:$F$745&gt;=Lists!$AE7)*('Intrapartum Care'!$F$7:$F$745&lt;=Lists!$AF7))</f>
        <v>0</v>
      </c>
      <c r="EG13" s="295">
        <f>SUMPRODUCT(('Intrapartum Care'!$AF$7:$AF$745=EG$6)*('Intrapartum Care'!$F$7:$F$745&gt;=Lists!$AE7)*('Intrapartum Care'!$F$7:$F$745&lt;=Lists!$AF7))</f>
        <v>0</v>
      </c>
      <c r="EH13" s="227">
        <f t="shared" si="21"/>
        <v>0</v>
      </c>
      <c r="EI13" s="295">
        <f>SUMPRODUCT(('Intrapartum Care'!$AG$7:$AG$745=EI$6)*('Intrapartum Care'!$F$7:$F$745&gt;=Lists!$AE7)*('Intrapartum Care'!$F$7:$F$745&lt;=Lists!$AF7))</f>
        <v>0</v>
      </c>
      <c r="EJ13" s="295">
        <f>SUMPRODUCT(('Intrapartum Care'!$AG$7:$AG$745=EJ$6)*('Intrapartum Care'!$F$7:$F$745&gt;=Lists!$AE7)*('Intrapartum Care'!$F$7:$F$745&lt;=Lists!$AF7))</f>
        <v>0</v>
      </c>
      <c r="EK13" s="295">
        <f>SUMPRODUCT(('Intrapartum Care'!$AG$7:$AG$745=EK$6)*('Intrapartum Care'!$F$7:$F$745&gt;=Lists!$AE7)*('Intrapartum Care'!$F$7:$F$745&lt;=Lists!$AF7))</f>
        <v>0</v>
      </c>
      <c r="EL13" s="295">
        <f>SUMPRODUCT(('Intrapartum Care'!$AG$7:$AG$745=EL$6)*('Intrapartum Care'!$F$7:$F$745&gt;=Lists!$AE7)*('Intrapartum Care'!$F$7:$F$745&lt;=Lists!$AF7))</f>
        <v>0</v>
      </c>
      <c r="EM13" s="295">
        <f>SUMPRODUCT(('Intrapartum Care'!$AG$7:$AG$745=EM$6)*('Intrapartum Care'!$F$7:$F$745&gt;=Lists!$AE7)*('Intrapartum Care'!$F$7:$F$745&lt;=Lists!$AF7))</f>
        <v>0</v>
      </c>
      <c r="EN13" s="295">
        <f>SUMPRODUCT(('Intrapartum Care'!$AG$7:$AG$745=EN$6)*('Intrapartum Care'!$F$7:$F$745&gt;=Lists!$AE7)*('Intrapartum Care'!$F$7:$F$745&lt;=Lists!$AF7))</f>
        <v>0</v>
      </c>
      <c r="EO13" s="227">
        <f t="shared" si="22"/>
        <v>0</v>
      </c>
      <c r="EP13" s="295">
        <f>SUMPRODUCT(('Intrapartum Care'!$AH$7:$AH$745=EP$6)*('Intrapartum Care'!$F$7:$F$745&gt;=Lists!$AE7)*('Intrapartum Care'!$F$7:$F$745&lt;=Lists!$AF7))</f>
        <v>0</v>
      </c>
      <c r="EQ13" s="295">
        <f>SUMPRODUCT(('Intrapartum Care'!$AH$7:$AH$745=EQ$6)*('Intrapartum Care'!$F$7:$F$745&gt;=Lists!$AE7)*('Intrapartum Care'!$F$7:$F$745&lt;=Lists!$AF7))</f>
        <v>0</v>
      </c>
      <c r="ER13" s="295">
        <f>SUMPRODUCT(('Intrapartum Care'!$AH$7:$AH$745=ER$6)*('Intrapartum Care'!$F$7:$F$745&gt;=Lists!$AE7)*('Intrapartum Care'!$F$7:$F$745&lt;=Lists!$AF7))</f>
        <v>0</v>
      </c>
      <c r="ES13" s="227">
        <f t="shared" si="23"/>
        <v>0</v>
      </c>
      <c r="ET13" s="290">
        <f>SUMPRODUCT(('Intrapartum Care'!$AK$7:$AK$745=ET$6)*('Intrapartum Care'!$F$7:$F$745&gt;=Lists!$AE7)*('Intrapartum Care'!$F$7:$F$745&lt;=Lists!$AF7))</f>
        <v>0</v>
      </c>
      <c r="EU13" s="290">
        <f>SUMPRODUCT(('Intrapartum Care'!$AK$7:$AK$745=EU$6)*('Intrapartum Care'!$F$7:$F$745&gt;=Lists!$AE7)*('Intrapartum Care'!$F$7:$F$745&lt;=Lists!$AF7))</f>
        <v>0</v>
      </c>
      <c r="EV13" s="290">
        <f>SUMPRODUCT(('Intrapartum Care'!$AK$7:$AK$745=EV$6)*('Intrapartum Care'!$F$7:$F$745&gt;=Lists!$AE7)*('Intrapartum Care'!$F$7:$F$745&lt;=Lists!$AF7))</f>
        <v>0</v>
      </c>
      <c r="EW13" s="227">
        <f t="shared" si="24"/>
        <v>0</v>
      </c>
      <c r="EX13" s="290">
        <f>SUMPRODUCT(('Intrapartum Care'!$AL$7:$AL$745=EX$6)*('Intrapartum Care'!$F$7:$F$745&gt;=Lists!$AE7)*('Intrapartum Care'!$F$7:$F$745&lt;=Lists!$AF7))</f>
        <v>0</v>
      </c>
      <c r="EY13" s="290">
        <f>SUMPRODUCT(('Intrapartum Care'!$AL$7:$AL$745=EY$6)*('Intrapartum Care'!$F$7:$F$745&gt;=Lists!$AE7)*('Intrapartum Care'!$F$7:$F$745&lt;=Lists!$AF7))</f>
        <v>0</v>
      </c>
      <c r="EZ13" s="290">
        <f>SUMPRODUCT(('Intrapartum Care'!$AL$7:$AL$745=EZ$6)*('Intrapartum Care'!$F$7:$F$745&gt;=Lists!$AE7)*('Intrapartum Care'!$F$7:$F$745&lt;=Lists!$AF7))</f>
        <v>0</v>
      </c>
      <c r="FA13" s="227">
        <f t="shared" si="0"/>
        <v>0</v>
      </c>
      <c r="FB13" s="290">
        <f>SUMPRODUCT(('Intrapartum Care'!$AM$7:$AM$745=FB$6)*('Intrapartum Care'!$F$7:$F$745&gt;=Lists!$AE7)*('Intrapartum Care'!$F$7:$F$745&lt;=Lists!$AF7))</f>
        <v>0</v>
      </c>
      <c r="FC13" s="290">
        <f>SUMPRODUCT(('Intrapartum Care'!$AM$7:$AM$745=FC$6)*('Intrapartum Care'!$F$7:$F$745&gt;=Lists!$AE7)*('Intrapartum Care'!$F$7:$F$745&lt;=Lists!$AF7))</f>
        <v>0</v>
      </c>
      <c r="FD13" s="290">
        <f>SUMPRODUCT(('Intrapartum Care'!$AM$7:$AM$745=FD$6)*('Intrapartum Care'!$F$7:$F$745&gt;=Lists!$AE7)*('Intrapartum Care'!$F$7:$F$745&lt;=Lists!$AF7))</f>
        <v>0</v>
      </c>
      <c r="FE13" s="290">
        <f>SUMPRODUCT(('Intrapartum Care'!$AM$7:$AM$745=FE$6)*('Intrapartum Care'!$F$7:$F$745&gt;=Lists!$AE7)*('Intrapartum Care'!$F$7:$F$745&lt;=Lists!$AF7))</f>
        <v>0</v>
      </c>
      <c r="FF13" s="290">
        <f>SUMPRODUCT(('Intrapartum Care'!$AM$7:$AM$745=FF$6)*('Intrapartum Care'!$F$7:$F$745&gt;=Lists!$AE7)*('Intrapartum Care'!$F$7:$F$745&lt;=Lists!$AF7))</f>
        <v>0</v>
      </c>
      <c r="FG13" s="227">
        <f t="shared" si="25"/>
        <v>0</v>
      </c>
      <c r="FH13" s="290">
        <f>SUMPRODUCT(('Intrapartum Care'!$AN$7:$AN$745=FH$6)*('Intrapartum Care'!$F$7:$F$745&gt;=Lists!$AE7)*('Intrapartum Care'!$F$7:$F$745&lt;=Lists!$AF7))</f>
        <v>0</v>
      </c>
      <c r="FI13" s="290">
        <f>SUMPRODUCT(('Intrapartum Care'!$AN$7:$AN$745=FI$6)*('Intrapartum Care'!$F$7:$F$745&gt;=Lists!$AE7)*('Intrapartum Care'!$F$7:$F$745&lt;=Lists!$AF7))</f>
        <v>0</v>
      </c>
      <c r="FJ13" s="290">
        <f>SUMPRODUCT(('Intrapartum Care'!$AN$7:$AN$745=FJ$6)*('Intrapartum Care'!$F$7:$F$745&gt;=Lists!$AE7)*('Intrapartum Care'!$F$7:$F$745&lt;=Lists!$AF7))</f>
        <v>0</v>
      </c>
      <c r="FK13" s="290">
        <f>SUMPRODUCT(('Intrapartum Care'!$AN$7:$AN$745=FK$6)*('Intrapartum Care'!$F$7:$F$745&gt;=Lists!$AE7)*('Intrapartum Care'!$F$7:$F$745&lt;=Lists!$AF7))</f>
        <v>0</v>
      </c>
      <c r="FL13" s="227">
        <f t="shared" si="26"/>
        <v>0</v>
      </c>
      <c r="FM13" s="290">
        <f>SUMPRODUCT(('Intrapartum Care'!$AS$7:$AS$745=FM$6)*('Intrapartum Care'!$F$7:$F$745&gt;=Lists!$AE7)*('Intrapartum Care'!$F$7:$F$745&lt;=Lists!$AF7))</f>
        <v>0</v>
      </c>
      <c r="FN13" s="290">
        <f>SUMPRODUCT(('Intrapartum Care'!$AS$7:$AS$745=FN$6)*('Intrapartum Care'!$F$7:$F$745&gt;=Lists!$AE7)*('Intrapartum Care'!$F$7:$F$745&lt;=Lists!$AF7))</f>
        <v>0</v>
      </c>
      <c r="FO13" s="290">
        <f>SUMPRODUCT(('Intrapartum Care'!$AS$7:$AS$745=FO$6)*('Intrapartum Care'!$F$7:$F$745&gt;=Lists!$AE7)*('Intrapartum Care'!$F$7:$F$745&lt;=Lists!$AF7))</f>
        <v>0</v>
      </c>
      <c r="FP13" s="290">
        <f>SUMPRODUCT(('Intrapartum Care'!$AS$7:$AS$745=FP$6)*('Intrapartum Care'!$F$7:$F$745&gt;=Lists!$AE7)*('Intrapartum Care'!$F$7:$F$745&lt;=Lists!$AF7))</f>
        <v>0</v>
      </c>
      <c r="FQ13" s="227">
        <f t="shared" si="27"/>
        <v>0</v>
      </c>
      <c r="FR13" s="290">
        <f>SUMPRODUCT(('Intrapartum Care'!$AZ$7:$AZ$745=FR$6)*('Intrapartum Care'!$F$7:$F$745&gt;=Lists!$AE7)*('Intrapartum Care'!$F$7:$F$745&lt;=Lists!$AF7))</f>
        <v>0</v>
      </c>
      <c r="FS13" s="290">
        <f>SUMPRODUCT(('Intrapartum Care'!$AZ$7:$AZ$745=FS$6)*('Intrapartum Care'!$F$7:$F$745&gt;=Lists!$AE7)*('Intrapartum Care'!$F$7:$F$745&lt;=Lists!$AF7))</f>
        <v>0</v>
      </c>
      <c r="FT13" s="290">
        <f>SUMPRODUCT(('Intrapartum Care'!$AZ$7:$AZ$745=FT$6)*('Intrapartum Care'!$F$7:$F$745&gt;=Lists!$AE7)*('Intrapartum Care'!$F$7:$F$745&lt;=Lists!$AF7))</f>
        <v>0</v>
      </c>
      <c r="FU13" s="227">
        <f t="shared" si="28"/>
        <v>0</v>
      </c>
      <c r="FV13" s="290">
        <f>SUMPRODUCT(('Intrapartum Care'!$BA$7:$BA$745=FV$6)*('Intrapartum Care'!$F$7:$F$745&gt;=Lists!$AE7)*('Intrapartum Care'!$F$7:$F$745&lt;=Lists!$AF7))</f>
        <v>0</v>
      </c>
      <c r="FW13" s="290">
        <f>SUMPRODUCT(('Intrapartum Care'!$BA$7:$BA$745=FW$6)*('Intrapartum Care'!$F$7:$F$745&gt;=Lists!$AE7)*('Intrapartum Care'!$F$7:$F$745&lt;=Lists!$AF7))</f>
        <v>0</v>
      </c>
      <c r="FX13" s="290">
        <f>SUMPRODUCT(('Intrapartum Care'!$BA$7:$BA$745=FX$6)*('Intrapartum Care'!$F$7:$F$745&gt;=Lists!$AE7)*('Intrapartum Care'!$F$7:$F$745&lt;=Lists!$AF7))</f>
        <v>0</v>
      </c>
      <c r="FY13" s="227">
        <f t="shared" si="29"/>
        <v>0</v>
      </c>
      <c r="FZ13" s="290">
        <f>SUMPRODUCT(('Intrapartum Care'!$BB$7:$BB$745=FZ$6)*('Intrapartum Care'!$F$7:$F$745&gt;=Lists!$AE7)*('Intrapartum Care'!$F$7:$F$745&lt;=Lists!$AF7))</f>
        <v>0</v>
      </c>
      <c r="GA13" s="290">
        <f>SUMPRODUCT(('Intrapartum Care'!$BB$7:$BB$745=GA$6)*('Intrapartum Care'!$F$7:$F$745&gt;=Lists!$AE7)*('Intrapartum Care'!$F$7:$F$745&lt;=Lists!$AF7))</f>
        <v>0</v>
      </c>
      <c r="GB13" s="290">
        <f>SUMPRODUCT(('Intrapartum Care'!$BB$7:$BB$745=GB$6)*('Intrapartum Care'!$F$7:$F$745&gt;=Lists!$AE7)*('Intrapartum Care'!$F$7:$F$745&lt;=Lists!$AF7))</f>
        <v>0</v>
      </c>
      <c r="GC13" s="290">
        <f>SUMPRODUCT(('Intrapartum Care'!$BB$7:$BB$745=GC$6)*('Intrapartum Care'!$F$7:$F$745&gt;=Lists!$AE7)*('Intrapartum Care'!$F$7:$F$745&lt;=Lists!$AF7))</f>
        <v>0</v>
      </c>
      <c r="GD13" s="290">
        <f>SUMPRODUCT(('Intrapartum Care'!$BB$7:$BB$745=GD$6)*('Intrapartum Care'!$F$7:$F$745&gt;=Lists!$AE7)*('Intrapartum Care'!$F$7:$F$745&lt;=Lists!$AF7))</f>
        <v>0</v>
      </c>
      <c r="GE13" s="290">
        <f>SUMPRODUCT(('Intrapartum Care'!$BB$7:$BB$745=GE$6)*('Intrapartum Care'!$F$7:$F$745&gt;=Lists!$AE7)*('Intrapartum Care'!$F$7:$F$745&lt;=Lists!$AF7))</f>
        <v>0</v>
      </c>
      <c r="GF13" s="290">
        <f>SUMPRODUCT(('Intrapartum Care'!$BB$7:$BB$745=GF$6)*('Intrapartum Care'!$F$7:$F$745&gt;=Lists!$AE7)*('Intrapartum Care'!$F$7:$F$745&lt;=Lists!$AF7))</f>
        <v>0</v>
      </c>
      <c r="GG13" s="290">
        <f>SUMPRODUCT(('Intrapartum Care'!$BB$7:$BB$745=GG$6)*('Intrapartum Care'!$F$7:$F$745&gt;=Lists!$AE7)*('Intrapartum Care'!$F$7:$F$745&lt;=Lists!$AF7))</f>
        <v>0</v>
      </c>
      <c r="GH13" s="290">
        <f>SUMPRODUCT(('Intrapartum Care'!$BB$7:$BB$745=GH$6)*('Intrapartum Care'!$F$7:$F$745&gt;=Lists!$AE7)*('Intrapartum Care'!$F$7:$F$745&lt;=Lists!$AF7))</f>
        <v>0</v>
      </c>
      <c r="GI13" s="290">
        <f>SUMPRODUCT(('Intrapartum Care'!$BB$7:$BB$745=GI$6)*('Intrapartum Care'!$F$7:$F$745&gt;=Lists!$AE7)*('Intrapartum Care'!$F$7:$F$745&lt;=Lists!$AF7))</f>
        <v>0</v>
      </c>
      <c r="GJ13" s="290">
        <f>SUMPRODUCT(('Intrapartum Care'!$BB$7:$BB$745=GJ$6)*('Intrapartum Care'!$F$7:$F$745&gt;=Lists!$AE7)*('Intrapartum Care'!$F$7:$F$745&lt;=Lists!$AF7))</f>
        <v>0</v>
      </c>
      <c r="GK13" s="290">
        <f>SUMPRODUCT(('Intrapartum Care'!$BB$7:$BB$745=GK$6)*('Intrapartum Care'!$F$7:$F$745&gt;=Lists!$AE7)*('Intrapartum Care'!$F$7:$F$745&lt;=Lists!$AF7))</f>
        <v>0</v>
      </c>
      <c r="GL13" s="290">
        <f>SUMPRODUCT(('Intrapartum Care'!$BB$7:$BB$745=GL$6)*('Intrapartum Care'!$F$7:$F$745&gt;=Lists!$AE7)*('Intrapartum Care'!$F$7:$F$745&lt;=Lists!$AF7))</f>
        <v>0</v>
      </c>
      <c r="GM13" s="290">
        <f>SUMPRODUCT(('Intrapartum Care'!$BB$7:$BB$745=GM$6)*('Intrapartum Care'!$F$7:$F$745&gt;=Lists!$AE7)*('Intrapartum Care'!$F$7:$F$745&lt;=Lists!$AF7))</f>
        <v>0</v>
      </c>
      <c r="GN13" s="290">
        <f>SUMPRODUCT(('Intrapartum Care'!$BB$7:$BB$745=GN$6)*('Intrapartum Care'!$F$7:$F$745&gt;=Lists!$AE7)*('Intrapartum Care'!$F$7:$F$745&lt;=Lists!$AF7))</f>
        <v>0</v>
      </c>
      <c r="GO13" s="290">
        <f>SUMPRODUCT(('Intrapartum Care'!$BB$7:$BB$745=GO$6)*('Intrapartum Care'!$F$7:$F$745&gt;=Lists!$AE7)*('Intrapartum Care'!$F$7:$F$745&lt;=Lists!$AF7))</f>
        <v>0</v>
      </c>
      <c r="GP13" s="290">
        <f>SUMPRODUCT(('Intrapartum Care'!$BB$7:$BB$745=GP$6)*('Intrapartum Care'!$F$7:$F$745&gt;=Lists!$AE7)*('Intrapartum Care'!$F$7:$F$745&lt;=Lists!$AF7))</f>
        <v>0</v>
      </c>
      <c r="GQ13" s="290">
        <f>SUMPRODUCT(('Intrapartum Care'!$BB$7:$BB$745=GQ$6)*('Intrapartum Care'!$F$7:$F$745&gt;=Lists!$AE7)*('Intrapartum Care'!$F$7:$F$745&lt;=Lists!$AF7))</f>
        <v>0</v>
      </c>
      <c r="GR13" s="290">
        <f>SUMPRODUCT(('Intrapartum Care'!$BB$7:$BB$745=GR$6)*('Intrapartum Care'!$F$7:$F$745&gt;=Lists!$AE7)*('Intrapartum Care'!$F$7:$F$745&lt;=Lists!$AF7))</f>
        <v>0</v>
      </c>
      <c r="GS13" s="290">
        <f>SUMPRODUCT(('Intrapartum Care'!$BB$7:$BB$745=GS$6)*('Intrapartum Care'!$F$7:$F$745&gt;=Lists!$AE7)*('Intrapartum Care'!$F$7:$F$745&lt;=Lists!$AF7))</f>
        <v>0</v>
      </c>
      <c r="GT13" s="227">
        <f t="shared" si="30"/>
        <v>0</v>
      </c>
      <c r="GU13" s="290">
        <f>SUMPRODUCT(('Intrapartum Care'!$BC$7:$BC$745=GU$6)*('Intrapartum Care'!$F$7:$F$745&gt;=Lists!$AE7)*('Intrapartum Care'!$F$7:$F$745&lt;=Lists!$AF7))</f>
        <v>0</v>
      </c>
      <c r="GV13" s="290">
        <f>SUMPRODUCT(('Intrapartum Care'!$BC$7:$BC$745=GV$6)*('Intrapartum Care'!$F$7:$F$745&gt;=Lists!$AE7)*('Intrapartum Care'!$F$7:$F$745&lt;=Lists!$AF7))</f>
        <v>0</v>
      </c>
      <c r="GW13" s="290">
        <f>SUMPRODUCT(('Intrapartum Care'!$BC$7:$BC$745=GW$6)*('Intrapartum Care'!$F$7:$F$745&gt;=Lists!$AE7)*('Intrapartum Care'!$F$7:$F$745&lt;=Lists!$AF7))</f>
        <v>0</v>
      </c>
      <c r="GX13" s="290">
        <f>SUMPRODUCT(('Intrapartum Care'!$BC$7:$BC$745=GX$6)*('Intrapartum Care'!$F$7:$F$745&gt;=Lists!$AE7)*('Intrapartum Care'!$F$7:$F$745&lt;=Lists!$AF7))</f>
        <v>0</v>
      </c>
      <c r="GY13" s="290">
        <f>SUMPRODUCT(('Intrapartum Care'!$BC$7:$BC$745=GY$6)*('Intrapartum Care'!$F$7:$F$745&gt;=Lists!$AE7)*('Intrapartum Care'!$F$7:$F$745&lt;=Lists!$AF7))</f>
        <v>0</v>
      </c>
      <c r="GZ13" s="290">
        <f>SUMPRODUCT(('Intrapartum Care'!$BC$7:$BC$745=GZ$6)*('Intrapartum Care'!$F$7:$F$745&gt;=Lists!$AE7)*('Intrapartum Care'!$F$7:$F$745&lt;=Lists!$AF7))</f>
        <v>0</v>
      </c>
      <c r="HA13" s="290">
        <f>SUMPRODUCT(('Intrapartum Care'!$BC$7:$BC$745=HA$6)*('Intrapartum Care'!$F$7:$F$745&gt;=Lists!$AE7)*('Intrapartum Care'!$F$7:$F$745&lt;=Lists!$AF7))</f>
        <v>0</v>
      </c>
      <c r="HB13" s="290">
        <f>SUMPRODUCT(('Intrapartum Care'!$BC$7:$BC$745=HB$6)*('Intrapartum Care'!$F$7:$F$745&gt;=Lists!$AE7)*('Intrapartum Care'!$F$7:$F$745&lt;=Lists!$AF7))</f>
        <v>0</v>
      </c>
      <c r="HC13" s="290">
        <f>SUMPRODUCT(('Intrapartum Care'!$BC$7:$BC$745=HC$6)*('Intrapartum Care'!$F$7:$F$745&gt;=Lists!$AE7)*('Intrapartum Care'!$F$7:$F$745&lt;=Lists!$AF7))</f>
        <v>0</v>
      </c>
      <c r="HD13" s="290">
        <f>SUMPRODUCT(('Intrapartum Care'!$BC$7:$BC$745=HD$6)*('Intrapartum Care'!$F$7:$F$745&gt;=Lists!$AE7)*('Intrapartum Care'!$F$7:$F$745&lt;=Lists!$AF7))</f>
        <v>0</v>
      </c>
      <c r="HE13" s="290">
        <f>SUMPRODUCT(('Intrapartum Care'!$BC$7:$BC$745=HE$6)*('Intrapartum Care'!$F$7:$F$745&gt;=Lists!$AE7)*('Intrapartum Care'!$F$7:$F$745&lt;=Lists!$AF7))</f>
        <v>0</v>
      </c>
      <c r="HF13" s="227">
        <f t="shared" si="31"/>
        <v>0</v>
      </c>
      <c r="HG13" s="290">
        <f>SUMPRODUCT(('Intrapartum Care'!$BD$7:$BD$745=HG$6)*('Intrapartum Care'!$F$7:$F$745&gt;=Lists!$AE7)*('Intrapartum Care'!$F$7:$F$745&lt;=Lists!$AF7))</f>
        <v>0</v>
      </c>
      <c r="HH13" s="290">
        <f>SUMPRODUCT(('Intrapartum Care'!$BD$7:$BD$745=HH$6)*('Intrapartum Care'!$F$7:$F$745&gt;=Lists!$AE7)*('Intrapartum Care'!$F$7:$F$745&lt;=Lists!$AF7))</f>
        <v>0</v>
      </c>
      <c r="HI13" s="290">
        <f>SUMPRODUCT(('Intrapartum Care'!$BD$7:$BD$745=HI$6)*('Intrapartum Care'!$F$7:$F$745&gt;=Lists!$AE7)*('Intrapartum Care'!$F$7:$F$745&lt;=Lists!$AF7))</f>
        <v>0</v>
      </c>
      <c r="HJ13" s="290">
        <f>SUMPRODUCT(('Intrapartum Care'!$BD$7:$BD$745=HJ$6)*('Intrapartum Care'!$F$7:$F$745&gt;=Lists!$AE7)*('Intrapartum Care'!$F$7:$F$745&lt;=Lists!$AF7))</f>
        <v>0</v>
      </c>
      <c r="HK13" s="290">
        <f>SUMPRODUCT(('Intrapartum Care'!$BD$7:$BD$745=HK$6)*('Intrapartum Care'!$F$7:$F$745&gt;=Lists!$AE7)*('Intrapartum Care'!$F$7:$F$745&lt;=Lists!$AF7))</f>
        <v>0</v>
      </c>
      <c r="HL13" s="290">
        <f>SUMPRODUCT(('Intrapartum Care'!$BD$7:$BD$745=HL$6)*('Intrapartum Care'!$F$7:$F$745&gt;=Lists!$AE7)*('Intrapartum Care'!$F$7:$F$745&lt;=Lists!$AF7))</f>
        <v>0</v>
      </c>
      <c r="HM13" s="290">
        <f>SUMPRODUCT(('Intrapartum Care'!$BD$7:$BD$745=HM$6)*('Intrapartum Care'!$F$7:$F$745&gt;=Lists!$AE7)*('Intrapartum Care'!$F$7:$F$745&lt;=Lists!$AF7))</f>
        <v>0</v>
      </c>
      <c r="HN13" s="290">
        <f>SUMPRODUCT(('Intrapartum Care'!$BD$7:$BD$745=HN$6)*('Intrapartum Care'!$F$7:$F$745&gt;=Lists!$AE7)*('Intrapartum Care'!$F$7:$F$745&lt;=Lists!$AF7))</f>
        <v>0</v>
      </c>
      <c r="HO13" s="290">
        <f>SUMPRODUCT(('Intrapartum Care'!$BD$7:$BD$745=HO$6)*('Intrapartum Care'!$F$7:$F$745&gt;=Lists!$AE7)*('Intrapartum Care'!$F$7:$F$745&lt;=Lists!$AF7))</f>
        <v>0</v>
      </c>
      <c r="HP13" s="290">
        <f>SUMPRODUCT(('Intrapartum Care'!$BD$7:$BD$745=HP$6)*('Intrapartum Care'!$F$7:$F$745&gt;=Lists!$AE7)*('Intrapartum Care'!$F$7:$F$745&lt;=Lists!$AF7))</f>
        <v>0</v>
      </c>
      <c r="HQ13" s="290">
        <f>SUMPRODUCT(('Intrapartum Care'!$BD$7:$BD$745=HQ$6)*('Intrapartum Care'!$F$7:$F$745&gt;=Lists!$AE7)*('Intrapartum Care'!$F$7:$F$745&lt;=Lists!$AF7))</f>
        <v>0</v>
      </c>
      <c r="HR13" s="290">
        <f>SUMPRODUCT(('Intrapartum Care'!$BD$7:$BD$745=HR$6)*('Intrapartum Care'!$F$7:$F$745&gt;=Lists!$AE7)*('Intrapartum Care'!$F$7:$F$745&lt;=Lists!$AF7))</f>
        <v>0</v>
      </c>
      <c r="HS13" s="290">
        <f>SUMPRODUCT(('Intrapartum Care'!$BD$7:$BD$745=HS$6)*('Intrapartum Care'!$F$7:$F$745&gt;=Lists!$AE7)*('Intrapartum Care'!$F$7:$F$745&lt;=Lists!$AF7))</f>
        <v>0</v>
      </c>
      <c r="HT13" s="290">
        <f>SUMPRODUCT(('Intrapartum Care'!$BD$7:$BD$745=HT$6)*('Intrapartum Care'!$F$7:$F$745&gt;=Lists!$AE7)*('Intrapartum Care'!$F$7:$F$745&lt;=Lists!$AF7))</f>
        <v>0</v>
      </c>
      <c r="HU13" s="290">
        <f>SUMPRODUCT(('Intrapartum Care'!$BD$7:$BD$745=HU$6)*('Intrapartum Care'!$F$7:$F$745&gt;=Lists!$AE7)*('Intrapartum Care'!$F$7:$F$745&lt;=Lists!$AF7))</f>
        <v>0</v>
      </c>
      <c r="HV13" s="290">
        <f>SUMPRODUCT(('Intrapartum Care'!$BD$7:$BD$745=HV$6)*('Intrapartum Care'!$F$7:$F$745&gt;=Lists!$AE7)*('Intrapartum Care'!$F$7:$F$745&lt;=Lists!$AF7))</f>
        <v>0</v>
      </c>
      <c r="HW13" s="290">
        <f>SUMPRODUCT(('Intrapartum Care'!$BD$7:$BD$745=HW$6)*('Intrapartum Care'!$F$7:$F$745&gt;=Lists!$AE7)*('Intrapartum Care'!$F$7:$F$745&lt;=Lists!$AF7))</f>
        <v>0</v>
      </c>
      <c r="HX13" s="290">
        <f>SUMPRODUCT(('Intrapartum Care'!$BD$7:$BD$745=HX$6)*('Intrapartum Care'!$F$7:$F$745&gt;=Lists!$AE7)*('Intrapartum Care'!$F$7:$F$745&lt;=Lists!$AF7))</f>
        <v>0</v>
      </c>
      <c r="HY13" s="290">
        <f>SUMPRODUCT(('Intrapartum Care'!$BD$7:$BD$745=HY$6)*('Intrapartum Care'!$F$7:$F$745&gt;=Lists!$AE7)*('Intrapartum Care'!$F$7:$F$745&lt;=Lists!$AF7))</f>
        <v>0</v>
      </c>
      <c r="HZ13" s="290">
        <f>SUMPRODUCT(('Intrapartum Care'!$BD$7:$BD$745=HZ$6)*('Intrapartum Care'!$F$7:$F$745&gt;=Lists!$AE7)*('Intrapartum Care'!$F$7:$F$745&lt;=Lists!$AF7))</f>
        <v>0</v>
      </c>
      <c r="IA13" s="290">
        <f>SUMPRODUCT(('Intrapartum Care'!$BD$7:$BD$745=IA$6)*('Intrapartum Care'!$F$7:$F$745&gt;=Lists!$AE7)*('Intrapartum Care'!$F$7:$F$745&lt;=Lists!$AF7))</f>
        <v>0</v>
      </c>
      <c r="IB13" s="290">
        <f>SUMPRODUCT(('Intrapartum Care'!$BD$7:$BD$745=IB$6)*('Intrapartum Care'!$F$7:$F$745&gt;=Lists!$AE7)*('Intrapartum Care'!$F$7:$F$745&lt;=Lists!$AF7))</f>
        <v>0</v>
      </c>
      <c r="IC13" s="290">
        <f>SUMPRODUCT(('Intrapartum Care'!$BD$7:$BD$745=IC$6)*('Intrapartum Care'!$F$7:$F$745&gt;=Lists!$AE7)*('Intrapartum Care'!$F$7:$F$745&lt;=Lists!$AF7))</f>
        <v>0</v>
      </c>
      <c r="ID13" s="290">
        <f>SUMPRODUCT(('Intrapartum Care'!$BD$7:$BD$745=ID$6)*('Intrapartum Care'!$F$7:$F$745&gt;=Lists!$AE7)*('Intrapartum Care'!$F$7:$F$745&lt;=Lists!$AF7))</f>
        <v>0</v>
      </c>
      <c r="IE13" s="290">
        <f>SUMPRODUCT(('Intrapartum Care'!$BD$7:$BD$745=IE$6)*('Intrapartum Care'!$F$7:$F$745&gt;=Lists!$AE7)*('Intrapartum Care'!$F$7:$F$745&lt;=Lists!$AF7))</f>
        <v>0</v>
      </c>
      <c r="IF13" s="290">
        <f>SUMPRODUCT(('Intrapartum Care'!$BD$7:$BD$745=IF$6)*('Intrapartum Care'!$F$7:$F$745&gt;=Lists!$AE7)*('Intrapartum Care'!$F$7:$F$745&lt;=Lists!$AF7))</f>
        <v>0</v>
      </c>
      <c r="IG13" s="290">
        <f>SUMPRODUCT(('Intrapartum Care'!$BD$7:$BD$745=IG$6)*('Intrapartum Care'!$F$7:$F$745&gt;=Lists!$AE7)*('Intrapartum Care'!$F$7:$F$745&lt;=Lists!$AF7))</f>
        <v>0</v>
      </c>
      <c r="IH13" s="290">
        <f>SUMPRODUCT(('Intrapartum Care'!$BD$7:$BD$745=IH$6)*('Intrapartum Care'!$F$7:$F$745&gt;=Lists!$AE7)*('Intrapartum Care'!$F$7:$F$745&lt;=Lists!$AF7))</f>
        <v>0</v>
      </c>
      <c r="II13" s="227">
        <f t="shared" si="32"/>
        <v>0</v>
      </c>
      <c r="IJ13" s="290">
        <f>SUMPRODUCT(('Intrapartum Care'!$BE$7:$BE$745=IJ$6)*('Intrapartum Care'!$F$7:$F$745&gt;=Lists!$AE7)*('Intrapartum Care'!$F$7:$F$745&lt;=Lists!$AF7))</f>
        <v>0</v>
      </c>
      <c r="IK13" s="290">
        <f>SUMPRODUCT(('Intrapartum Care'!$BE$7:$BE$745=IK$6)*('Intrapartum Care'!$F$7:$F$745&gt;=Lists!$AE7)*('Intrapartum Care'!$F$7:$F$745&lt;=Lists!$AF7))</f>
        <v>0</v>
      </c>
      <c r="IL13" s="290">
        <f>SUMPRODUCT(('Intrapartum Care'!$BE$7:$BE$745=IL$6)*('Intrapartum Care'!$F$7:$F$745&gt;=Lists!$AE7)*('Intrapartum Care'!$F$7:$F$745&lt;=Lists!$AF7))</f>
        <v>0</v>
      </c>
      <c r="IM13" s="290">
        <f>SUMPRODUCT(('Intrapartum Care'!$BE$7:$BE$745=IM$6)*('Intrapartum Care'!$F$7:$F$745&gt;=Lists!$AE7)*('Intrapartum Care'!$F$7:$F$745&lt;=Lists!$AF7))</f>
        <v>0</v>
      </c>
      <c r="IN13" s="290">
        <f>SUMPRODUCT(('Intrapartum Care'!$BE$7:$BE$745=IN$6)*('Intrapartum Care'!$F$7:$F$745&gt;=Lists!$AE7)*('Intrapartum Care'!$F$7:$F$745&lt;=Lists!$AF7))</f>
        <v>0</v>
      </c>
      <c r="IO13" s="290">
        <f>SUMPRODUCT(('Intrapartum Care'!$BE$7:$BE$745=IO$6)*('Intrapartum Care'!$F$7:$F$745&gt;=Lists!$AE7)*('Intrapartum Care'!$F$7:$F$745&lt;=Lists!$AF7))</f>
        <v>0</v>
      </c>
      <c r="IP13" s="290">
        <f>SUMPRODUCT(('Intrapartum Care'!$BE$7:$BE$745=IP$6)*('Intrapartum Care'!$F$7:$F$745&gt;=Lists!$AE7)*('Intrapartum Care'!$F$7:$F$745&lt;=Lists!$AF7))</f>
        <v>0</v>
      </c>
      <c r="IQ13" s="170">
        <f t="shared" si="33"/>
        <v>0</v>
      </c>
      <c r="IR13" s="290">
        <f>SUMPRODUCT(('Intrapartum Care'!$BF$7:$BF$745=IR$6)*('Intrapartum Care'!$F$7:$F$745&gt;=Lists!$AE7)*('Intrapartum Care'!$F$7:$F$745&lt;=Lists!$AF7))</f>
        <v>0</v>
      </c>
      <c r="IS13" s="290">
        <f>SUMPRODUCT(('Intrapartum Care'!$BF$7:$BF$745=IS$6)*('Intrapartum Care'!$F$7:$F$745&gt;=Lists!$AE7)*('Intrapartum Care'!$F$7:$F$745&lt;=Lists!$AF7))</f>
        <v>0</v>
      </c>
      <c r="IT13" s="290">
        <f>SUMPRODUCT(('Intrapartum Care'!$BF$7:$BF$745=IT$6)*('Intrapartum Care'!$F$7:$F$745&gt;=Lists!$AE7)*('Intrapartum Care'!$F$7:$F$745&lt;=Lists!$AF7))</f>
        <v>0</v>
      </c>
      <c r="IU13" s="290">
        <f>SUMPRODUCT(('Intrapartum Care'!$BF$7:$BF$745=IU$6)*('Intrapartum Care'!$F$7:$F$745&gt;=Lists!$AE7)*('Intrapartum Care'!$F$7:$F$745&lt;=Lists!$AF7))</f>
        <v>0</v>
      </c>
      <c r="IV13" s="170">
        <f t="shared" si="34"/>
        <v>0</v>
      </c>
      <c r="IW13" s="290">
        <f>SUMPRODUCT(('Intrapartum Care'!$BH$7:$BH$745=IW$6)*('Intrapartum Care'!$F$7:$F$745&gt;=Lists!$AE7)*('Intrapartum Care'!$F$7:$F$745&lt;=Lists!$AF7))</f>
        <v>0</v>
      </c>
      <c r="IX13" s="290">
        <f>SUMPRODUCT(('Intrapartum Care'!$BH$7:$BH$745=IX$6)*('Intrapartum Care'!$F$7:$F$745&gt;=Lists!$AE7)*('Intrapartum Care'!$F$7:$F$745&lt;=Lists!$AF7))</f>
        <v>0</v>
      </c>
      <c r="IY13" s="290">
        <f>SUMPRODUCT(('Intrapartum Care'!$BH$7:$BH$745=IY$6)*('Intrapartum Care'!$F$7:$F$745&gt;=Lists!$AE7)*('Intrapartum Care'!$F$7:$F$745&lt;=Lists!$AF7))</f>
        <v>0</v>
      </c>
      <c r="IZ13" s="290">
        <f>SUMPRODUCT(('Intrapartum Care'!$BH$7:$BH$745=IZ$6)*('Intrapartum Care'!$F$7:$F$745&gt;=Lists!$AE7)*('Intrapartum Care'!$F$7:$F$745&lt;=Lists!$AF7))</f>
        <v>0</v>
      </c>
      <c r="JA13" s="290">
        <f>SUMPRODUCT(('Intrapartum Care'!$BH$7:$BH$745=JA$6)*('Intrapartum Care'!$F$7:$F$745&gt;=Lists!$AE7)*('Intrapartum Care'!$F$7:$F$745&lt;=Lists!$AF7))</f>
        <v>0</v>
      </c>
      <c r="JB13" s="551">
        <f t="shared" si="35"/>
        <v>0</v>
      </c>
      <c r="JC13" s="243">
        <f t="shared" si="1"/>
        <v>0</v>
      </c>
      <c r="JD13" s="15"/>
      <c r="JE13" s="15"/>
      <c r="JF13" s="15"/>
      <c r="JG13" s="15"/>
      <c r="JH13" s="15"/>
      <c r="JI13" s="15"/>
      <c r="JJ13" s="15"/>
      <c r="JK13" s="15"/>
      <c r="JL13" s="16"/>
      <c r="JM13" s="15"/>
      <c r="JN13" s="15"/>
      <c r="JO13" s="15"/>
      <c r="JP13" s="15"/>
    </row>
    <row r="14" spans="1:279" ht="15" customHeight="1" x14ac:dyDescent="0.35">
      <c r="A14" s="570">
        <v>45931</v>
      </c>
      <c r="B14" s="345">
        <f>SUMPRODUCT(('Intrapartum Care'!$C$7:$C$745=B$6)*('Intrapartum Care'!$F$7:$F$745&gt;=Lists!$AE8)*('Intrapartum Care'!$F$7:$F$745&lt;=Lists!$AF8))</f>
        <v>0</v>
      </c>
      <c r="C14" s="251">
        <f>SUMPRODUCT(('Intrapartum Care'!$C$7:$C$745=C$6)*('Intrapartum Care'!$F$7:$F$745&gt;=Lists!$AE8)*('Intrapartum Care'!$F$7:$F$745&lt;=Lists!$AF8))</f>
        <v>0</v>
      </c>
      <c r="D14" s="170">
        <f t="shared" si="2"/>
        <v>0</v>
      </c>
      <c r="E14" s="290">
        <f>SUMPRODUCT(('Intrapartum Care'!$D$7:$D$745=E$6)*('Intrapartum Care'!$F$7:$F$745&gt;=Lists!$AE8)*('Intrapartum Care'!$F$7:$F$745&lt;=Lists!$AF8))</f>
        <v>0</v>
      </c>
      <c r="F14" s="290">
        <f>SUMPRODUCT(('Intrapartum Care'!$D$7:$D$745=F$6)*('Intrapartum Care'!$F$7:$F$745&gt;=Lists!$AE8)*('Intrapartum Care'!$F$7:$F$745&lt;=Lists!$AF8))</f>
        <v>0</v>
      </c>
      <c r="G14" s="290">
        <f>SUMPRODUCT(('Intrapartum Care'!$D$7:$D$745=G$6)*('Intrapartum Care'!$F$7:$F$745&gt;=Lists!$AE8)*('Intrapartum Care'!$F$7:$F$745&lt;=Lists!$AF8))</f>
        <v>0</v>
      </c>
      <c r="H14" s="170">
        <f t="shared" si="3"/>
        <v>0</v>
      </c>
      <c r="I14" s="255">
        <f>SUMPRODUCT(('Intrapartum Care'!$E$7:$E$745=I$6)*('Intrapartum Care'!$F$7:$F$745&gt;=Lists!$AE8)*('Intrapartum Care'!$F$7:$F$745&lt;=Lists!$AF8))</f>
        <v>0</v>
      </c>
      <c r="J14" s="252">
        <f>SUMPRODUCT(('Intrapartum Care'!$E$7:$E$745=J$6)*('Intrapartum Care'!$F$7:$F$745&gt;=Lists!$AE8)*('Intrapartum Care'!$F$7:$F$745&lt;=Lists!$AF8))</f>
        <v>0</v>
      </c>
      <c r="K14" s="252">
        <f>SUMPRODUCT(('Intrapartum Care'!$E$7:$E$745=K$6)*('Intrapartum Care'!$F$7:$F$745&gt;=Lists!$AE8)*('Intrapartum Care'!$F$7:$F$745&lt;=Lists!$AF8))</f>
        <v>0</v>
      </c>
      <c r="L14" s="252">
        <f>SUMPRODUCT(('Intrapartum Care'!$E$7:$E$745=L$6)*('Intrapartum Care'!$F$7:$F$745&gt;=Lists!$AE8)*('Intrapartum Care'!$F$7:$F$745&lt;=Lists!$AF8))</f>
        <v>0</v>
      </c>
      <c r="M14" s="252">
        <f>SUMPRODUCT(('Intrapartum Care'!$E$7:$E$745=M$6)*('Intrapartum Care'!$F$7:$F$745&gt;=Lists!$AE8)*('Intrapartum Care'!$F$7:$F$745&lt;=Lists!$AF8))</f>
        <v>0</v>
      </c>
      <c r="N14" s="252">
        <f>SUMPRODUCT(('Intrapartum Care'!$E$7:$E$745=N$6)*('Intrapartum Care'!$F$7:$F$745&gt;=Lists!$AE8)*('Intrapartum Care'!$F$7:$F$745&lt;=Lists!$AF8))</f>
        <v>0</v>
      </c>
      <c r="O14" s="252">
        <f>SUMPRODUCT(('Intrapartum Care'!$E$7:$E$745=O$6)*('Intrapartum Care'!$F$7:$F$745&gt;=Lists!$AE8)*('Intrapartum Care'!$F$7:$F$745&lt;=Lists!$AF8))</f>
        <v>0</v>
      </c>
      <c r="P14" s="252">
        <f>SUMPRODUCT(('Intrapartum Care'!$E$7:$E$745=P$6)*('Intrapartum Care'!$F$7:$F$745&gt;=Lists!$AE8)*('Intrapartum Care'!$F$7:$F$745&lt;=Lists!$AF8))</f>
        <v>0</v>
      </c>
      <c r="Q14" s="252">
        <f>SUMPRODUCT(('Intrapartum Care'!$E$7:$E$745=Q$6)*('Intrapartum Care'!$F$7:$F$745&gt;=Lists!$AE8)*('Intrapartum Care'!$F$7:$F$745&lt;=Lists!$AF8))</f>
        <v>0</v>
      </c>
      <c r="R14" s="252">
        <f>SUMPRODUCT(('Intrapartum Care'!$E$7:$E$745=R$6)*('Intrapartum Care'!$F$7:$F$745&gt;=Lists!$AE8)*('Intrapartum Care'!$F$7:$F$745&lt;=Lists!$AF8))</f>
        <v>0</v>
      </c>
      <c r="S14" s="252">
        <f>SUMPRODUCT(('Intrapartum Care'!$E$7:$E$745=S$6)*('Intrapartum Care'!$F$7:$F$745&gt;=Lists!$AE8)*('Intrapartum Care'!$F$7:$F$745&lt;=Lists!$AF8))</f>
        <v>0</v>
      </c>
      <c r="T14" s="252">
        <f>SUMPRODUCT(('Intrapartum Care'!$E$7:$E$745=T$6)*('Intrapartum Care'!$F$7:$F$745&gt;=Lists!$AE8)*('Intrapartum Care'!$F$7:$F$745&lt;=Lists!$AF8))</f>
        <v>0</v>
      </c>
      <c r="U14" s="252">
        <f>SUMPRODUCT(('Intrapartum Care'!$E$7:$E$745=U$6)*('Intrapartum Care'!$F$7:$F$745&gt;=Lists!$AE8)*('Intrapartum Care'!$F$7:$F$745&lt;=Lists!$AF8))</f>
        <v>0</v>
      </c>
      <c r="V14" s="252">
        <f>SUMPRODUCT(('Intrapartum Care'!$E$7:$E$745=V$6)*('Intrapartum Care'!$F$7:$F$745&gt;=Lists!$AE8)*('Intrapartum Care'!$F$7:$F$745&lt;=Lists!$AF8))</f>
        <v>0</v>
      </c>
      <c r="W14" s="252">
        <f>SUMPRODUCT(('Intrapartum Care'!$E$7:$E$745=W$6)*('Intrapartum Care'!$F$7:$F$745&gt;=Lists!$AE8)*('Intrapartum Care'!$F$7:$F$745&lt;=Lists!$AF8))</f>
        <v>0</v>
      </c>
      <c r="X14" s="252">
        <f>SUMPRODUCT(('Intrapartum Care'!$E$7:$E$745=X$6)*('Intrapartum Care'!$F$7:$F$745&gt;=Lists!$AE8)*('Intrapartum Care'!$F$7:$F$745&lt;=Lists!$AF8))</f>
        <v>0</v>
      </c>
      <c r="Y14" s="252">
        <f>SUMPRODUCT(('Intrapartum Care'!$E$7:$E$745=Y$6)*('Intrapartum Care'!$F$7:$F$745&gt;=Lists!$AE8)*('Intrapartum Care'!$F$7:$F$745&lt;=Lists!$AF8))</f>
        <v>0</v>
      </c>
      <c r="Z14" s="252">
        <f>SUMPRODUCT(('Intrapartum Care'!$E$7:$E$745=Z$6)*('Intrapartum Care'!$F$7:$F$745&gt;=Lists!$AE8)*('Intrapartum Care'!$F$7:$F$745&lt;=Lists!$AF8))</f>
        <v>0</v>
      </c>
      <c r="AA14" s="252">
        <f>SUMPRODUCT(('Intrapartum Care'!$E$7:$E$745=AA$6)*('Intrapartum Care'!$F$7:$F$745&gt;=Lists!$AE8)*('Intrapartum Care'!$F$7:$F$745&lt;=Lists!$AF8))</f>
        <v>0</v>
      </c>
      <c r="AB14" s="252">
        <f>SUMPRODUCT(('Intrapartum Care'!$E$7:$E$745=AB$6)*('Intrapartum Care'!$F$7:$F$745&gt;=Lists!$AE8)*('Intrapartum Care'!$F$7:$F$745&lt;=Lists!$AF8))</f>
        <v>0</v>
      </c>
      <c r="AC14" s="264">
        <f>SUMPRODUCT(('Intrapartum Care'!$E$7:$E$745=AC$6)*('Intrapartum Care'!$F$7:$F$745&gt;=Lists!$AE8)*('Intrapartum Care'!$F$7:$F$745&lt;=Lists!$AF8))</f>
        <v>0</v>
      </c>
      <c r="AD14" s="227">
        <f t="shared" si="4"/>
        <v>0</v>
      </c>
      <c r="AE14" s="255">
        <f>SUMPRODUCT(('Intrapartum Care'!$H$7:$H$745=AE$6)*('Intrapartum Care'!$F$7:$F$745&gt;=Lists!$AE8)*('Intrapartum Care'!$F$7:$F$745&lt;=Lists!$AF8))</f>
        <v>0</v>
      </c>
      <c r="AF14" s="252">
        <f>SUMPRODUCT(('Intrapartum Care'!$H$7:$H$745=AF$6)*('Intrapartum Care'!$F$7:$F$745&gt;=Lists!$AE8)*('Intrapartum Care'!$F$7:$F$745&lt;=Lists!$AF8))</f>
        <v>0</v>
      </c>
      <c r="AG14" s="252">
        <f>SUMPRODUCT(('Intrapartum Care'!$H$7:$H$745=AG$6)*('Intrapartum Care'!$F$7:$F$745&gt;=Lists!$AE8)*('Intrapartum Care'!$F$7:$F$745&lt;=Lists!$AF8))</f>
        <v>0</v>
      </c>
      <c r="AH14" s="252">
        <f>SUMPRODUCT(('Intrapartum Care'!$H$7:$H$745=AH$6)*('Intrapartum Care'!$F$7:$F$745&gt;=Lists!$AE8)*('Intrapartum Care'!$F$7:$F$745&lt;=Lists!$AF8))</f>
        <v>0</v>
      </c>
      <c r="AI14" s="252">
        <f>SUMPRODUCT(('Intrapartum Care'!$H$7:$H$745=AI$6)*('Intrapartum Care'!$F$7:$F$745&gt;=Lists!$AE8)*('Intrapartum Care'!$F$7:$F$745&lt;=Lists!$AF8))</f>
        <v>0</v>
      </c>
      <c r="AJ14" s="252">
        <f>SUMPRODUCT(('Intrapartum Care'!$H$7:$H$745=AJ$6)*('Intrapartum Care'!$F$7:$F$745&gt;=Lists!$AE8)*('Intrapartum Care'!$F$7:$F$745&lt;=Lists!$AF8))</f>
        <v>0</v>
      </c>
      <c r="AK14" s="252">
        <f>SUMPRODUCT(('Intrapartum Care'!$H$7:$H$745=AK$6)*('Intrapartum Care'!$F$7:$F$745&gt;=Lists!$AE8)*('Intrapartum Care'!$F$7:$F$745&lt;=Lists!$AF8))</f>
        <v>0</v>
      </c>
      <c r="AL14" s="252">
        <f>SUMPRODUCT(('Intrapartum Care'!$H$7:$H$745=AL$6)*('Intrapartum Care'!$F$7:$F$745&gt;=Lists!$AE8)*('Intrapartum Care'!$F$7:$F$745&lt;=Lists!$AF8))</f>
        <v>0</v>
      </c>
      <c r="AM14" s="264">
        <f>SUMPRODUCT(('Intrapartum Care'!$H$7:$H$745=AM$6)*('Intrapartum Care'!$F$7:$F$745&gt;=Lists!$AE8)*('Intrapartum Care'!$F$7:$F$745&lt;=Lists!$AF8))</f>
        <v>0</v>
      </c>
      <c r="AN14" s="170">
        <f t="shared" si="5"/>
        <v>0</v>
      </c>
      <c r="AO14" s="255">
        <f>SUMPRODUCT(('Intrapartum Care'!$I$7:$I$745=AO$6)*('Intrapartum Care'!$F$7:$F$745&gt;=Lists!$AE8)*('Intrapartum Care'!$F$7:$F$745&lt;=Lists!$AF8))</f>
        <v>0</v>
      </c>
      <c r="AP14" s="252">
        <f>SUMPRODUCT(('Intrapartum Care'!$I$7:$I$745=AP$6)*('Intrapartum Care'!$F$7:$F$745&gt;=Lists!$AE8)*('Intrapartum Care'!$F$7:$F$745&lt;=Lists!$AF8))</f>
        <v>0</v>
      </c>
      <c r="AQ14" s="252">
        <f>SUMPRODUCT(('Intrapartum Care'!$I$7:$I$745=AQ$6)*('Intrapartum Care'!$F$7:$F$745&gt;=Lists!$AE8)*('Intrapartum Care'!$F$7:$F$745&lt;=Lists!$AF8))</f>
        <v>0</v>
      </c>
      <c r="AR14" s="252">
        <f>SUMPRODUCT(('Intrapartum Care'!$I$7:$I$745=AR$6)*('Intrapartum Care'!$F$7:$F$745&gt;=Lists!$AE8)*('Intrapartum Care'!$F$7:$F$745&lt;=Lists!$AF8))</f>
        <v>0</v>
      </c>
      <c r="AS14" s="252">
        <f>SUMPRODUCT(('Intrapartum Care'!$I$7:$I$745=AS$6)*('Intrapartum Care'!$F$7:$F$745&gt;=Lists!$AE8)*('Intrapartum Care'!$F$7:$F$745&lt;=Lists!$AF8))</f>
        <v>0</v>
      </c>
      <c r="AT14" s="252">
        <f>SUMPRODUCT(('Intrapartum Care'!$I$7:$I$745=AT$6)*('Intrapartum Care'!$F$7:$F$745&gt;=Lists!$AE8)*('Intrapartum Care'!$F$7:$F$745&lt;=Lists!$AF8))</f>
        <v>0</v>
      </c>
      <c r="AU14" s="253">
        <f>SUMPRODUCT(('Intrapartum Care'!$I$7:$I$745=AU$6)*('Intrapartum Care'!$F$7:$F$745&gt;=Lists!$AE8)*('Intrapartum Care'!$F$7:$F$745&lt;=Lists!$AF8))</f>
        <v>0</v>
      </c>
      <c r="AV14" s="170">
        <f t="shared" si="6"/>
        <v>0</v>
      </c>
      <c r="AW14" s="255">
        <f>SUMPRODUCT(('Intrapartum Care'!$J$7:$J$745=AW$6)*('Intrapartum Care'!$F$7:$F$745&gt;=Lists!$AE8)*('Intrapartum Care'!$F$7:$F$745&lt;=Lists!$AF8))</f>
        <v>0</v>
      </c>
      <c r="AX14" s="253">
        <f>SUMPRODUCT(('Intrapartum Care'!$J$7:$J$745=AX$6)*('Intrapartum Care'!$F$7:$F$745&gt;=Lists!$AE8)*('Intrapartum Care'!$F$7:$F$745&lt;=Lists!$AF8))</f>
        <v>0</v>
      </c>
      <c r="AY14" s="170">
        <f t="shared" si="7"/>
        <v>0</v>
      </c>
      <c r="AZ14" s="263">
        <f>SUMPRODUCT(('Intrapartum Care'!$R$7:$R$745=AZ$6)*('Intrapartum Care'!$F$7:$F$745&gt;=Lists!$AE8)*('Intrapartum Care'!$F$7:$F$745&lt;=Lists!$AF8))</f>
        <v>0</v>
      </c>
      <c r="BA14" s="252">
        <f>SUMPRODUCT(('Intrapartum Care'!$R$7:$R$745=BA$6)*('Intrapartum Care'!$F$7:$F$745&gt;=Lists!$AE8)*('Intrapartum Care'!$F$7:$F$745&lt;=Lists!$AF8))</f>
        <v>0</v>
      </c>
      <c r="BB14" s="252">
        <f>SUMPRODUCT(('Intrapartum Care'!$R$7:$R$745=BB$6)*('Intrapartum Care'!$F$7:$F$745&gt;=Lists!$AE8)*('Intrapartum Care'!$F$7:$F$745&lt;=Lists!$AF8))</f>
        <v>0</v>
      </c>
      <c r="BC14" s="253">
        <f>SUMPRODUCT(('Intrapartum Care'!$R$7:$R$745=BC$6)*('Intrapartum Care'!$F$7:$F$745&gt;=Lists!$AE8)*('Intrapartum Care'!$F$7:$F$745&lt;=Lists!$AF8))</f>
        <v>0</v>
      </c>
      <c r="BD14" s="170">
        <f t="shared" si="8"/>
        <v>0</v>
      </c>
      <c r="BE14" s="263">
        <f>SUMPRODUCT(('Intrapartum Care'!$S$7:$S$745=BE$6)*('Intrapartum Care'!$F$7:$F$745&gt;=Lists!$AE8)*('Intrapartum Care'!$F$7:$F$745&lt;=Lists!$AF8))</f>
        <v>0</v>
      </c>
      <c r="BF14" s="252">
        <f>SUMPRODUCT(('Intrapartum Care'!$S$7:$S$745=BF$6)*('Intrapartum Care'!$F$7:$F$745&gt;=Lists!$AE8)*('Intrapartum Care'!$F$7:$F$745&lt;=Lists!$AF8))</f>
        <v>0</v>
      </c>
      <c r="BG14" s="264">
        <f>SUMPRODUCT(('Intrapartum Care'!$S$7:$S$745=BG$6)*('Intrapartum Care'!$F$7:$F$745&gt;=Lists!$AE8)*('Intrapartum Care'!$F$7:$F$745&lt;=Lists!$AF8))</f>
        <v>0</v>
      </c>
      <c r="BH14" s="170">
        <f t="shared" si="9"/>
        <v>0</v>
      </c>
      <c r="BI14" s="290">
        <f>SUMPRODUCT(('Intrapartum Care'!$T$7:$T$745=BI$6)*('Intrapartum Care'!$F$7:$F$745&gt;=Lists!$AE8)*('Intrapartum Care'!$F$7:$F$745&lt;=Lists!$AF8))</f>
        <v>0</v>
      </c>
      <c r="BJ14" s="290">
        <f>SUMPRODUCT(('Intrapartum Care'!$T$7:$T$745=BJ$6)*('Intrapartum Care'!$F$7:$F$745&gt;=Lists!$AE8)*('Intrapartum Care'!$F$7:$F$745&lt;=Lists!$AF8))</f>
        <v>0</v>
      </c>
      <c r="BK14" s="290">
        <f>SUMPRODUCT(('Intrapartum Care'!$T$7:$T$745=BK$6)*('Intrapartum Care'!$F$7:$F$745&gt;=Lists!$AE8)*('Intrapartum Care'!$F$7:$F$745&lt;=Lists!$AF8))</f>
        <v>0</v>
      </c>
      <c r="BL14" s="290">
        <f>SUMPRODUCT(('Intrapartum Care'!$T$7:$T$745=BL$6)*('Intrapartum Care'!$F$7:$F$745&gt;=Lists!$AE8)*('Intrapartum Care'!$F$7:$F$745&lt;=Lists!$AF8))</f>
        <v>0</v>
      </c>
      <c r="BM14" s="227">
        <f t="shared" si="10"/>
        <v>0</v>
      </c>
      <c r="BN14" s="290">
        <f>SUMPRODUCT(('Intrapartum Care'!$U$7:$U$745=BN$6)*('Intrapartum Care'!$F$7:$F$745&gt;=Lists!$AE8)*('Intrapartum Care'!$F$7:$F$745&lt;=Lists!$AF8))</f>
        <v>0</v>
      </c>
      <c r="BO14" s="290">
        <f>SUMPRODUCT(('Intrapartum Care'!$U$7:$U$745=BO$6)*('Intrapartum Care'!$F$7:$F$745&gt;=Lists!$AE8)*('Intrapartum Care'!$F$7:$F$745&lt;=Lists!$AF8))</f>
        <v>0</v>
      </c>
      <c r="BP14" s="290">
        <f>SUMPRODUCT(('Intrapartum Care'!$U$7:$U$745=BP$6)*('Intrapartum Care'!$F$7:$F$745&gt;=Lists!$AE8)*('Intrapartum Care'!$F$7:$F$745&lt;=Lists!$AF8))</f>
        <v>0</v>
      </c>
      <c r="BQ14" s="290">
        <f>SUMPRODUCT(('Intrapartum Care'!$U$7:$U$745=BQ$6)*('Intrapartum Care'!$F$7:$F$745&gt;=Lists!$AE8)*('Intrapartum Care'!$F$7:$F$745&lt;=Lists!$AF8))</f>
        <v>0</v>
      </c>
      <c r="BR14" s="227">
        <f t="shared" si="11"/>
        <v>0</v>
      </c>
      <c r="BS14" s="290">
        <f>SUMPRODUCT(('Intrapartum Care'!$V$7:$V$745=BS$6)*('Intrapartum Care'!$F$7:$F$745&gt;=Lists!$AE8)*('Intrapartum Care'!$F$7:$F$745&lt;=Lists!$AF8))</f>
        <v>0</v>
      </c>
      <c r="BT14" s="290">
        <f>SUMPRODUCT(('Intrapartum Care'!$V$7:$V$745=BT$6)*('Intrapartum Care'!$F$7:$F$745&gt;=Lists!$AE8)*('Intrapartum Care'!$F$7:$F$745&lt;=Lists!$AF8))</f>
        <v>0</v>
      </c>
      <c r="BU14" s="290">
        <f>SUMPRODUCT(('Intrapartum Care'!$V$7:$V$745=BU$6)*('Intrapartum Care'!$F$7:$F$745&gt;=Lists!$AE8)*('Intrapartum Care'!$F$7:$F$745&lt;=Lists!$AF8))</f>
        <v>0</v>
      </c>
      <c r="BV14" s="290">
        <f>SUMPRODUCT(('Intrapartum Care'!$V$7:$V$745=BV$6)*('Intrapartum Care'!$F$7:$F$745&gt;=Lists!$AE8)*('Intrapartum Care'!$F$7:$F$745&lt;=Lists!$AF8))</f>
        <v>0</v>
      </c>
      <c r="BW14" s="290">
        <f>SUMPRODUCT(('Intrapartum Care'!$V$7:$V$745=BW$6)*('Intrapartum Care'!$F$7:$F$745&gt;=Lists!$AE8)*('Intrapartum Care'!$F$7:$F$745&lt;=Lists!$AF8))</f>
        <v>0</v>
      </c>
      <c r="BX14" s="227">
        <f t="shared" si="12"/>
        <v>0</v>
      </c>
      <c r="BY14" s="290">
        <f>SUMPRODUCT(('Intrapartum Care'!$W$7:$W$745=BY$6)*('Intrapartum Care'!$F$7:$F$745&gt;=Lists!$AE8)*('Intrapartum Care'!$F$7:$F$745&lt;=Lists!$AF8))</f>
        <v>0</v>
      </c>
      <c r="BZ14" s="290">
        <f>SUMPRODUCT(('Intrapartum Care'!$W$7:$W$745=BZ$6)*('Intrapartum Care'!$F$7:$F$745&gt;=Lists!$AE8)*('Intrapartum Care'!$F$7:$F$745&lt;=Lists!$AF8))</f>
        <v>0</v>
      </c>
      <c r="CA14" s="290">
        <f>SUMPRODUCT(('Intrapartum Care'!$W$7:$W$745=CA$6)*('Intrapartum Care'!$F$7:$F$745&gt;=Lists!$AE8)*('Intrapartum Care'!$F$7:$F$745&lt;=Lists!$AF8))</f>
        <v>0</v>
      </c>
      <c r="CB14" s="290">
        <f>SUMPRODUCT(('Intrapartum Care'!$W$7:$W$745=CB$6)*('Intrapartum Care'!$F$7:$F$745&gt;=Lists!$AE8)*('Intrapartum Care'!$F$7:$F$745&lt;=Lists!$AF8))</f>
        <v>0</v>
      </c>
      <c r="CC14" s="290">
        <f>SUMPRODUCT(('Intrapartum Care'!$W$7:$W$745=CC$6)*('Intrapartum Care'!$F$7:$F$745&gt;=Lists!$AE8)*('Intrapartum Care'!$F$7:$F$745&lt;=Lists!$AF8))</f>
        <v>0</v>
      </c>
      <c r="CD14" s="227">
        <f t="shared" si="13"/>
        <v>0</v>
      </c>
      <c r="CE14" s="290">
        <f>SUMPRODUCT(('Intrapartum Care'!$X$7:$X$745=CE$6)*('Intrapartum Care'!$F$7:$F$745&gt;=Lists!$AE8)*('Intrapartum Care'!$F$7:$F$745&lt;=Lists!$AF8))</f>
        <v>0</v>
      </c>
      <c r="CF14" s="290">
        <f>SUMPRODUCT(('Intrapartum Care'!$X$7:$X$745=CF$6)*('Intrapartum Care'!$F$7:$F$745&gt;=Lists!$AE8)*('Intrapartum Care'!$F$7:$F$745&lt;=Lists!$AF8))</f>
        <v>0</v>
      </c>
      <c r="CG14" s="290">
        <f>SUMPRODUCT(('Intrapartum Care'!$X$7:$X$745=CG$6)*('Intrapartum Care'!$F$7:$F$745&gt;=Lists!$AE8)*('Intrapartum Care'!$F$7:$F$745&lt;=Lists!$AF8))</f>
        <v>0</v>
      </c>
      <c r="CH14" s="290">
        <f>SUMPRODUCT(('Intrapartum Care'!$X$7:$X$745=CH$6)*('Intrapartum Care'!$F$7:$F$745&gt;=Lists!$AE8)*('Intrapartum Care'!$F$7:$F$745&lt;=Lists!$AF8))</f>
        <v>0</v>
      </c>
      <c r="CI14" s="290">
        <f>SUMPRODUCT(('Intrapartum Care'!$X$7:$X$745=CI$6)*('Intrapartum Care'!$F$7:$F$745&gt;=Lists!$AE8)*('Intrapartum Care'!$F$7:$F$745&lt;=Lists!$AF8))</f>
        <v>0</v>
      </c>
      <c r="CJ14" s="290">
        <f>SUMPRODUCT(('Intrapartum Care'!$X$7:$X$745=CJ$6)*('Intrapartum Care'!$F$7:$F$745&gt;=Lists!$AE8)*('Intrapartum Care'!$F$7:$F$745&lt;=Lists!$AF8))</f>
        <v>0</v>
      </c>
      <c r="CK14" s="290">
        <f>SUMPRODUCT(('Intrapartum Care'!$X$7:$X$745=CK$6)*('Intrapartum Care'!$F$7:$F$745&gt;=Lists!$AE8)*('Intrapartum Care'!$F$7:$F$745&lt;=Lists!$AF8))</f>
        <v>0</v>
      </c>
      <c r="CL14" s="227">
        <f t="shared" si="14"/>
        <v>0</v>
      </c>
      <c r="CM14" s="290">
        <f>SUMPRODUCT(('Intrapartum Care'!$Y$7:$Y$745=CM$6)*('Intrapartum Care'!$F$7:$F$745&gt;=Lists!$AE8)*('Intrapartum Care'!$F$7:$F$745&lt;=Lists!$AF8))</f>
        <v>0</v>
      </c>
      <c r="CN14" s="290">
        <f>SUMPRODUCT(('Intrapartum Care'!$Y$7:$Y$745=CN$6)*('Intrapartum Care'!$F$7:$F$745&gt;=Lists!$AE8)*('Intrapartum Care'!$F$7:$F$745&lt;=Lists!$AF8))</f>
        <v>0</v>
      </c>
      <c r="CO14" s="290">
        <f>SUMPRODUCT(('Intrapartum Care'!$Y$7:$Y$745=CO$6)*('Intrapartum Care'!$F$7:$F$745&gt;=Lists!$AE8)*('Intrapartum Care'!$F$7:$F$745&lt;=Lists!$AF8))</f>
        <v>0</v>
      </c>
      <c r="CP14" s="290">
        <f>SUMPRODUCT(('Intrapartum Care'!$Y$7:$Y$745=CP$6)*('Intrapartum Care'!$F$7:$F$745&gt;=Lists!$AE8)*('Intrapartum Care'!$F$7:$F$745&lt;=Lists!$AF8))</f>
        <v>0</v>
      </c>
      <c r="CQ14" s="290">
        <f>SUMPRODUCT(('Intrapartum Care'!$Y$7:$Y$745=CQ$6)*('Intrapartum Care'!$F$7:$F$745&gt;=Lists!$AE8)*('Intrapartum Care'!$F$7:$F$745&lt;=Lists!$AF8))</f>
        <v>0</v>
      </c>
      <c r="CR14" s="290">
        <f>SUMPRODUCT(('Intrapartum Care'!$Y$7:$Y$745=CR$6)*('Intrapartum Care'!$F$7:$F$745&gt;=Lists!$AE8)*('Intrapartum Care'!$F$7:$F$745&lt;=Lists!$AF8))</f>
        <v>0</v>
      </c>
      <c r="CS14" s="227">
        <f t="shared" si="15"/>
        <v>0</v>
      </c>
      <c r="CT14" s="290">
        <f>SUMPRODUCT(('Intrapartum Care'!$Z$7:$Z$745=CT$6)*('Intrapartum Care'!$F$7:$F$745&gt;=Lists!$AE8)*('Intrapartum Care'!$F$7:$F$745&lt;=Lists!$AF8))</f>
        <v>0</v>
      </c>
      <c r="CU14" s="290">
        <f>SUMPRODUCT(('Intrapartum Care'!$Z$7:$Z$745=CU$6)*('Intrapartum Care'!$F$7:$F$745&gt;=Lists!$AE8)*('Intrapartum Care'!$F$7:$F$745&lt;=Lists!$AF8))</f>
        <v>0</v>
      </c>
      <c r="CV14" s="290">
        <f>SUMPRODUCT(('Intrapartum Care'!$Z$7:$Z$745=CV$6)*('Intrapartum Care'!$F$7:$F$745&gt;=Lists!$AE8)*('Intrapartum Care'!$F$7:$F$745&lt;=Lists!$AF8))</f>
        <v>0</v>
      </c>
      <c r="CW14" s="290">
        <f>SUMPRODUCT(('Intrapartum Care'!$Z$7:$Z$745=CW$6)*('Intrapartum Care'!$F$7:$F$745&gt;=Lists!$AE8)*('Intrapartum Care'!$F$7:$F$745&lt;=Lists!$AF8))</f>
        <v>0</v>
      </c>
      <c r="CX14" s="290">
        <f>SUMPRODUCT(('Intrapartum Care'!$Z$7:$Z$745=CX$6)*('Intrapartum Care'!$F$7:$F$745&gt;=Lists!$AE8)*('Intrapartum Care'!$F$7:$F$745&lt;=Lists!$AF8))</f>
        <v>0</v>
      </c>
      <c r="CY14" s="290">
        <f>SUMPRODUCT(('Intrapartum Care'!$Z$7:$Z$745=CY$6)*('Intrapartum Care'!$F$7:$F$745&gt;=Lists!$AE8)*('Intrapartum Care'!$F$7:$F$745&lt;=Lists!$AF8))</f>
        <v>0</v>
      </c>
      <c r="CZ14" s="290">
        <f>SUMPRODUCT(('Intrapartum Care'!$Z$7:$Z$745=CZ$6)*('Intrapartum Care'!$F$7:$F$745&gt;=Lists!$AE8)*('Intrapartum Care'!$F$7:$F$745&lt;=Lists!$AF8))</f>
        <v>0</v>
      </c>
      <c r="DA14" s="290">
        <f>SUMPRODUCT(('Intrapartum Care'!$Z$7:$Z$745=DA$6)*('Intrapartum Care'!$F$7:$F$745&gt;=Lists!$AE8)*('Intrapartum Care'!$F$7:$F$745&lt;=Lists!$AF8))</f>
        <v>0</v>
      </c>
      <c r="DB14" s="227">
        <f t="shared" si="16"/>
        <v>0</v>
      </c>
      <c r="DC14" s="290">
        <f>SUMPRODUCT(('Intrapartum Care'!$AA$7:$AA$745=DC$6)*('Intrapartum Care'!$F$7:$F$745&gt;=Lists!$AE8)*('Intrapartum Care'!$F$7:$F$745&lt;=Lists!$AF8))</f>
        <v>0</v>
      </c>
      <c r="DD14" s="290">
        <f>SUMPRODUCT(('Intrapartum Care'!$AA$7:$AA$745=DD$6)*('Intrapartum Care'!$F$7:$F$745&gt;=Lists!$AE8)*('Intrapartum Care'!$F$7:$F$745&lt;=Lists!$AF8))</f>
        <v>0</v>
      </c>
      <c r="DE14" s="290">
        <f>SUMPRODUCT(('Intrapartum Care'!$AA$7:$AA$745=DE$6)*('Intrapartum Care'!$F$7:$F$745&gt;=Lists!$AE8)*('Intrapartum Care'!$F$7:$F$745&lt;=Lists!$AF8))</f>
        <v>0</v>
      </c>
      <c r="DF14" s="227">
        <f t="shared" si="17"/>
        <v>0</v>
      </c>
      <c r="DG14" s="295">
        <f>SUMPRODUCT(('Intrapartum Care'!$AB$7:$AB$745=DG$6)*('Intrapartum Care'!$F$7:$F$745&gt;=Lists!$AE8)*('Intrapartum Care'!$F$7:$F$745&lt;=Lists!$AF8))</f>
        <v>0</v>
      </c>
      <c r="DH14" s="290">
        <f>SUMPRODUCT(('Intrapartum Care'!$AB$7:$AB$745=DH$6)*('Intrapartum Care'!$F$7:$F$745&gt;=Lists!$AE8)*('Intrapartum Care'!$F$7:$F$745&lt;=Lists!$AF8))</f>
        <v>0</v>
      </c>
      <c r="DI14" s="290">
        <f>SUMPRODUCT(('Intrapartum Care'!$AB$7:$AB$745=DI$6)*('Intrapartum Care'!$F$7:$F$745&gt;=Lists!$AE8)*('Intrapartum Care'!$F$7:$F$745&lt;=Lists!$AF8))</f>
        <v>0</v>
      </c>
      <c r="DJ14" s="290">
        <f>SUMPRODUCT(('Intrapartum Care'!$AB$7:$AB$745=DJ$6)*('Intrapartum Care'!$F$7:$F$745&gt;=Lists!$AE8)*('Intrapartum Care'!$F$7:$F$745&lt;=Lists!$AF8))</f>
        <v>0</v>
      </c>
      <c r="DK14" s="290">
        <f>SUMPRODUCT(('Intrapartum Care'!$AB$7:$AB$745=DK$6)*('Intrapartum Care'!$F$7:$F$745&gt;=Lists!$AE8)*('Intrapartum Care'!$F$7:$F$745&lt;=Lists!$AF8))</f>
        <v>0</v>
      </c>
      <c r="DL14" s="290">
        <f>SUMPRODUCT(('Intrapartum Care'!$AB$7:$AB$745=DL$6)*('Intrapartum Care'!$F$7:$F$745&gt;=Lists!$AE8)*('Intrapartum Care'!$F$7:$F$745&lt;=Lists!$AF8))</f>
        <v>0</v>
      </c>
      <c r="DM14" s="290">
        <f>SUMPRODUCT(('Intrapartum Care'!$AB$7:$AB$745=DM$6)*('Intrapartum Care'!$F$7:$F$745&gt;=Lists!$AE8)*('Intrapartum Care'!$F$7:$F$745&lt;=Lists!$AF8))</f>
        <v>0</v>
      </c>
      <c r="DN14" s="227">
        <f t="shared" si="18"/>
        <v>0</v>
      </c>
      <c r="DO14" s="528">
        <f>SUMPRODUCT(('Intrapartum Care'!$AC$7:$AC$745=DO$6)*('Intrapartum Care'!$F$7:$F$745&gt;=Lists!$AE8)*('Intrapartum Care'!$F$7:$F$745&lt;=Lists!$AF8))</f>
        <v>0</v>
      </c>
      <c r="DP14" s="528">
        <f>SUMPRODUCT(('Intrapartum Care'!$AC$7:$AC$745=DP$6)*('Intrapartum Care'!$F$7:$F$745&gt;=Lists!$AE8)*('Intrapartum Care'!$F$7:$F$745&lt;=Lists!$AF8))</f>
        <v>0</v>
      </c>
      <c r="DQ14" s="528">
        <f>SUMPRODUCT(('Intrapartum Care'!$AC$7:$AC$745=DQ$6)*('Intrapartum Care'!$F$7:$F$745&gt;=Lists!$AE8)*('Intrapartum Care'!$F$7:$F$745&lt;=Lists!$AF8))</f>
        <v>0</v>
      </c>
      <c r="DR14" s="528">
        <f>SUMPRODUCT(('Intrapartum Care'!$AC$7:$AC$745=DR$6)*('Intrapartum Care'!$F$7:$F$745&gt;=Lists!$AE8)*('Intrapartum Care'!$F$7:$F$745&lt;=Lists!$AF8))</f>
        <v>0</v>
      </c>
      <c r="DS14" s="528">
        <f>SUMPRODUCT(('Intrapartum Care'!$AC$7:$AC$745=DS$6)*('Intrapartum Care'!$F$7:$F$745&gt;=Lists!$AE8)*('Intrapartum Care'!$F$7:$F$745&lt;=Lists!$AF8))</f>
        <v>0</v>
      </c>
      <c r="DT14" s="528">
        <f>SUMPRODUCT(('Intrapartum Care'!$AC$7:$AC$745=DT$6)*('Intrapartum Care'!$F$7:$F$745&gt;=Lists!$AE8)*('Intrapartum Care'!$F$7:$F$745&lt;=Lists!$AF8))</f>
        <v>0</v>
      </c>
      <c r="DU14" s="528">
        <f>SUMPRODUCT(('Intrapartum Care'!$AC$7:$AC$745=DU$6)*('Intrapartum Care'!$F$7:$F$745&gt;=Lists!$AE8)*('Intrapartum Care'!$F$7:$F$745&lt;=Lists!$AF8))</f>
        <v>0</v>
      </c>
      <c r="DV14" s="528">
        <f>SUMPRODUCT(('Intrapartum Care'!$AC$7:$AC$745=DV$6)*('Intrapartum Care'!$F$7:$F$745&gt;=Lists!$AE8)*('Intrapartum Care'!$F$7:$F$745&lt;=Lists!$AF8))</f>
        <v>0</v>
      </c>
      <c r="DW14" s="528">
        <f>SUMPRODUCT(('Intrapartum Care'!$AC$7:$AC$745=DW$6)*('Intrapartum Care'!$F$7:$F$745&gt;=Lists!$AE8)*('Intrapartum Care'!$F$7:$F$745&lt;=Lists!$AF8))</f>
        <v>0</v>
      </c>
      <c r="DX14" s="227">
        <f t="shared" si="19"/>
        <v>0</v>
      </c>
      <c r="DY14" s="295">
        <f>SUMPRODUCT(('Intrapartum Care'!$AE$7:$AE$745=DY$6)*('Intrapartum Care'!$F$7:$F$745&gt;=Lists!$AE8)*('Intrapartum Care'!$F$7:$F$745&lt;=Lists!$AF8))</f>
        <v>0</v>
      </c>
      <c r="DZ14" s="295">
        <f>SUMPRODUCT(('Intrapartum Care'!$AE$7:$AE$745=DZ$6)*('Intrapartum Care'!$F$7:$F$745&gt;=Lists!$AE8)*('Intrapartum Care'!$F$7:$F$745&lt;=Lists!$AF8))</f>
        <v>0</v>
      </c>
      <c r="EA14" s="295">
        <f>SUMPRODUCT(('Intrapartum Care'!$AE$7:$AE$745=EA$6)*('Intrapartum Care'!$F$7:$F$745&gt;=Lists!$AE8)*('Intrapartum Care'!$F$7:$F$745&lt;=Lists!$AF8))</f>
        <v>0</v>
      </c>
      <c r="EB14" s="227">
        <f t="shared" si="20"/>
        <v>0</v>
      </c>
      <c r="EC14" s="295">
        <f>SUMPRODUCT(('Intrapartum Care'!$AF$7:$AF$745=EC$6)*('Intrapartum Care'!$F$7:$F$745&gt;=Lists!$AE8)*('Intrapartum Care'!$F$7:$F$745&lt;=Lists!$AF8))</f>
        <v>0</v>
      </c>
      <c r="ED14" s="295">
        <f>SUMPRODUCT(('Intrapartum Care'!$AF$7:$AF$745=ED$6)*('Intrapartum Care'!$F$7:$F$745&gt;=Lists!$AE8)*('Intrapartum Care'!$F$7:$F$745&lt;=Lists!$AF8))</f>
        <v>0</v>
      </c>
      <c r="EE14" s="295">
        <f>SUMPRODUCT(('Intrapartum Care'!$AF$7:$AF$745=EE$6)*('Intrapartum Care'!$F$7:$F$745&gt;=Lists!$AE8)*('Intrapartum Care'!$F$7:$F$745&lt;=Lists!$AF8))</f>
        <v>0</v>
      </c>
      <c r="EF14" s="295">
        <f>SUMPRODUCT(('Intrapartum Care'!$AF$7:$AF$745=EF$6)*('Intrapartum Care'!$F$7:$F$745&gt;=Lists!$AE8)*('Intrapartum Care'!$F$7:$F$745&lt;=Lists!$AF8))</f>
        <v>0</v>
      </c>
      <c r="EG14" s="295">
        <f>SUMPRODUCT(('Intrapartum Care'!$AF$7:$AF$745=EG$6)*('Intrapartum Care'!$F$7:$F$745&gt;=Lists!$AE8)*('Intrapartum Care'!$F$7:$F$745&lt;=Lists!$AF8))</f>
        <v>0</v>
      </c>
      <c r="EH14" s="227">
        <f t="shared" si="21"/>
        <v>0</v>
      </c>
      <c r="EI14" s="295">
        <f>SUMPRODUCT(('Intrapartum Care'!$AG$7:$AG$745=EI$6)*('Intrapartum Care'!$F$7:$F$745&gt;=Lists!$AE8)*('Intrapartum Care'!$F$7:$F$745&lt;=Lists!$AF8))</f>
        <v>0</v>
      </c>
      <c r="EJ14" s="295">
        <f>SUMPRODUCT(('Intrapartum Care'!$AG$7:$AG$745=EJ$6)*('Intrapartum Care'!$F$7:$F$745&gt;=Lists!$AE8)*('Intrapartum Care'!$F$7:$F$745&lt;=Lists!$AF8))</f>
        <v>0</v>
      </c>
      <c r="EK14" s="295">
        <f>SUMPRODUCT(('Intrapartum Care'!$AG$7:$AG$745=EK$6)*('Intrapartum Care'!$F$7:$F$745&gt;=Lists!$AE8)*('Intrapartum Care'!$F$7:$F$745&lt;=Lists!$AF8))</f>
        <v>0</v>
      </c>
      <c r="EL14" s="295">
        <f>SUMPRODUCT(('Intrapartum Care'!$AG$7:$AG$745=EL$6)*('Intrapartum Care'!$F$7:$F$745&gt;=Lists!$AE8)*('Intrapartum Care'!$F$7:$F$745&lt;=Lists!$AF8))</f>
        <v>0</v>
      </c>
      <c r="EM14" s="295">
        <f>SUMPRODUCT(('Intrapartum Care'!$AG$7:$AG$745=EM$6)*('Intrapartum Care'!$F$7:$F$745&gt;=Lists!$AE8)*('Intrapartum Care'!$F$7:$F$745&lt;=Lists!$AF8))</f>
        <v>0</v>
      </c>
      <c r="EN14" s="295">
        <f>SUMPRODUCT(('Intrapartum Care'!$AG$7:$AG$745=EN$6)*('Intrapartum Care'!$F$7:$F$745&gt;=Lists!$AE8)*('Intrapartum Care'!$F$7:$F$745&lt;=Lists!$AF8))</f>
        <v>0</v>
      </c>
      <c r="EO14" s="227">
        <f t="shared" si="22"/>
        <v>0</v>
      </c>
      <c r="EP14" s="295">
        <f>SUMPRODUCT(('Intrapartum Care'!$AH$7:$AH$745=EP$6)*('Intrapartum Care'!$F$7:$F$745&gt;=Lists!$AE8)*('Intrapartum Care'!$F$7:$F$745&lt;=Lists!$AF8))</f>
        <v>0</v>
      </c>
      <c r="EQ14" s="295">
        <f>SUMPRODUCT(('Intrapartum Care'!$AH$7:$AH$745=EQ$6)*('Intrapartum Care'!$F$7:$F$745&gt;=Lists!$AE8)*('Intrapartum Care'!$F$7:$F$745&lt;=Lists!$AF8))</f>
        <v>0</v>
      </c>
      <c r="ER14" s="295">
        <f>SUMPRODUCT(('Intrapartum Care'!$AH$7:$AH$745=ER$6)*('Intrapartum Care'!$F$7:$F$745&gt;=Lists!$AE8)*('Intrapartum Care'!$F$7:$F$745&lt;=Lists!$AF8))</f>
        <v>0</v>
      </c>
      <c r="ES14" s="227">
        <f t="shared" si="23"/>
        <v>0</v>
      </c>
      <c r="ET14" s="290">
        <f>SUMPRODUCT(('Intrapartum Care'!$AK$7:$AK$745=ET$6)*('Intrapartum Care'!$F$7:$F$745&gt;=Lists!$AE8)*('Intrapartum Care'!$F$7:$F$745&lt;=Lists!$AF8))</f>
        <v>0</v>
      </c>
      <c r="EU14" s="290">
        <f>SUMPRODUCT(('Intrapartum Care'!$AK$7:$AK$745=EU$6)*('Intrapartum Care'!$F$7:$F$745&gt;=Lists!$AE8)*('Intrapartum Care'!$F$7:$F$745&lt;=Lists!$AF8))</f>
        <v>0</v>
      </c>
      <c r="EV14" s="290">
        <f>SUMPRODUCT(('Intrapartum Care'!$AK$7:$AK$745=EV$6)*('Intrapartum Care'!$F$7:$F$745&gt;=Lists!$AE8)*('Intrapartum Care'!$F$7:$F$745&lt;=Lists!$AF8))</f>
        <v>0</v>
      </c>
      <c r="EW14" s="227">
        <f t="shared" si="24"/>
        <v>0</v>
      </c>
      <c r="EX14" s="290">
        <f>SUMPRODUCT(('Intrapartum Care'!$AL$7:$AL$745=EX$6)*('Intrapartum Care'!$F$7:$F$745&gt;=Lists!$AE8)*('Intrapartum Care'!$F$7:$F$745&lt;=Lists!$AF8))</f>
        <v>0</v>
      </c>
      <c r="EY14" s="290">
        <f>SUMPRODUCT(('Intrapartum Care'!$AL$7:$AL$745=EY$6)*('Intrapartum Care'!$F$7:$F$745&gt;=Lists!$AE8)*('Intrapartum Care'!$F$7:$F$745&lt;=Lists!$AF8))</f>
        <v>0</v>
      </c>
      <c r="EZ14" s="290">
        <f>SUMPRODUCT(('Intrapartum Care'!$AL$7:$AL$745=EZ$6)*('Intrapartum Care'!$F$7:$F$745&gt;=Lists!$AE8)*('Intrapartum Care'!$F$7:$F$745&lt;=Lists!$AF8))</f>
        <v>0</v>
      </c>
      <c r="FA14" s="227">
        <f t="shared" si="0"/>
        <v>0</v>
      </c>
      <c r="FB14" s="290">
        <f>SUMPRODUCT(('Intrapartum Care'!$AM$7:$AM$745=FB$6)*('Intrapartum Care'!$F$7:$F$745&gt;=Lists!$AE8)*('Intrapartum Care'!$F$7:$F$745&lt;=Lists!$AF8))</f>
        <v>0</v>
      </c>
      <c r="FC14" s="290">
        <f>SUMPRODUCT(('Intrapartum Care'!$AM$7:$AM$745=FC$6)*('Intrapartum Care'!$F$7:$F$745&gt;=Lists!$AE8)*('Intrapartum Care'!$F$7:$F$745&lt;=Lists!$AF8))</f>
        <v>0</v>
      </c>
      <c r="FD14" s="290">
        <f>SUMPRODUCT(('Intrapartum Care'!$AM$7:$AM$745=FD$6)*('Intrapartum Care'!$F$7:$F$745&gt;=Lists!$AE8)*('Intrapartum Care'!$F$7:$F$745&lt;=Lists!$AF8))</f>
        <v>0</v>
      </c>
      <c r="FE14" s="290">
        <f>SUMPRODUCT(('Intrapartum Care'!$AM$7:$AM$745=FE$6)*('Intrapartum Care'!$F$7:$F$745&gt;=Lists!$AE8)*('Intrapartum Care'!$F$7:$F$745&lt;=Lists!$AF8))</f>
        <v>0</v>
      </c>
      <c r="FF14" s="290">
        <f>SUMPRODUCT(('Intrapartum Care'!$AM$7:$AM$745=FF$6)*('Intrapartum Care'!$F$7:$F$745&gt;=Lists!$AE8)*('Intrapartum Care'!$F$7:$F$745&lt;=Lists!$AF8))</f>
        <v>0</v>
      </c>
      <c r="FG14" s="227">
        <f t="shared" si="25"/>
        <v>0</v>
      </c>
      <c r="FH14" s="290">
        <f>SUMPRODUCT(('Intrapartum Care'!$AN$7:$AN$745=FH$6)*('Intrapartum Care'!$F$7:$F$745&gt;=Lists!$AE8)*('Intrapartum Care'!$F$7:$F$745&lt;=Lists!$AF8))</f>
        <v>0</v>
      </c>
      <c r="FI14" s="290">
        <f>SUMPRODUCT(('Intrapartum Care'!$AN$7:$AN$745=FI$6)*('Intrapartum Care'!$F$7:$F$745&gt;=Lists!$AE8)*('Intrapartum Care'!$F$7:$F$745&lt;=Lists!$AF8))</f>
        <v>0</v>
      </c>
      <c r="FJ14" s="290">
        <f>SUMPRODUCT(('Intrapartum Care'!$AN$7:$AN$745=FJ$6)*('Intrapartum Care'!$F$7:$F$745&gt;=Lists!$AE8)*('Intrapartum Care'!$F$7:$F$745&lt;=Lists!$AF8))</f>
        <v>0</v>
      </c>
      <c r="FK14" s="290">
        <f>SUMPRODUCT(('Intrapartum Care'!$AN$7:$AN$745=FK$6)*('Intrapartum Care'!$F$7:$F$745&gt;=Lists!$AE8)*('Intrapartum Care'!$F$7:$F$745&lt;=Lists!$AF8))</f>
        <v>0</v>
      </c>
      <c r="FL14" s="227">
        <f t="shared" si="26"/>
        <v>0</v>
      </c>
      <c r="FM14" s="290">
        <f>SUMPRODUCT(('Intrapartum Care'!$AS$7:$AS$745=FM$6)*('Intrapartum Care'!$F$7:$F$745&gt;=Lists!$AE8)*('Intrapartum Care'!$F$7:$F$745&lt;=Lists!$AF8))</f>
        <v>0</v>
      </c>
      <c r="FN14" s="290">
        <f>SUMPRODUCT(('Intrapartum Care'!$AS$7:$AS$745=FN$6)*('Intrapartum Care'!$F$7:$F$745&gt;=Lists!$AE8)*('Intrapartum Care'!$F$7:$F$745&lt;=Lists!$AF8))</f>
        <v>0</v>
      </c>
      <c r="FO14" s="290">
        <f>SUMPRODUCT(('Intrapartum Care'!$AS$7:$AS$745=FO$6)*('Intrapartum Care'!$F$7:$F$745&gt;=Lists!$AE8)*('Intrapartum Care'!$F$7:$F$745&lt;=Lists!$AF8))</f>
        <v>0</v>
      </c>
      <c r="FP14" s="290">
        <f>SUMPRODUCT(('Intrapartum Care'!$AS$7:$AS$745=FP$6)*('Intrapartum Care'!$F$7:$F$745&gt;=Lists!$AE8)*('Intrapartum Care'!$F$7:$F$745&lt;=Lists!$AF8))</f>
        <v>0</v>
      </c>
      <c r="FQ14" s="227">
        <f t="shared" si="27"/>
        <v>0</v>
      </c>
      <c r="FR14" s="290">
        <f>SUMPRODUCT(('Intrapartum Care'!$AZ$7:$AZ$745=FR$6)*('Intrapartum Care'!$F$7:$F$745&gt;=Lists!$AE8)*('Intrapartum Care'!$F$7:$F$745&lt;=Lists!$AF8))</f>
        <v>0</v>
      </c>
      <c r="FS14" s="290">
        <f>SUMPRODUCT(('Intrapartum Care'!$AZ$7:$AZ$745=FS$6)*('Intrapartum Care'!$F$7:$F$745&gt;=Lists!$AE8)*('Intrapartum Care'!$F$7:$F$745&lt;=Lists!$AF8))</f>
        <v>0</v>
      </c>
      <c r="FT14" s="290">
        <f>SUMPRODUCT(('Intrapartum Care'!$AZ$7:$AZ$745=FT$6)*('Intrapartum Care'!$F$7:$F$745&gt;=Lists!$AE8)*('Intrapartum Care'!$F$7:$F$745&lt;=Lists!$AF8))</f>
        <v>0</v>
      </c>
      <c r="FU14" s="227">
        <f t="shared" si="28"/>
        <v>0</v>
      </c>
      <c r="FV14" s="290">
        <f>SUMPRODUCT(('Intrapartum Care'!$BA$7:$BA$745=FV$6)*('Intrapartum Care'!$F$7:$F$745&gt;=Lists!$AE8)*('Intrapartum Care'!$F$7:$F$745&lt;=Lists!$AF8))</f>
        <v>0</v>
      </c>
      <c r="FW14" s="290">
        <f>SUMPRODUCT(('Intrapartum Care'!$BA$7:$BA$745=FW$6)*('Intrapartum Care'!$F$7:$F$745&gt;=Lists!$AE8)*('Intrapartum Care'!$F$7:$F$745&lt;=Lists!$AF8))</f>
        <v>0</v>
      </c>
      <c r="FX14" s="290">
        <f>SUMPRODUCT(('Intrapartum Care'!$BA$7:$BA$745=FX$6)*('Intrapartum Care'!$F$7:$F$745&gt;=Lists!$AE8)*('Intrapartum Care'!$F$7:$F$745&lt;=Lists!$AF8))</f>
        <v>0</v>
      </c>
      <c r="FY14" s="227">
        <f t="shared" si="29"/>
        <v>0</v>
      </c>
      <c r="FZ14" s="290">
        <f>SUMPRODUCT(('Intrapartum Care'!$BB$7:$BB$745=FZ$6)*('Intrapartum Care'!$F$7:$F$745&gt;=Lists!$AE8)*('Intrapartum Care'!$F$7:$F$745&lt;=Lists!$AF8))</f>
        <v>0</v>
      </c>
      <c r="GA14" s="290">
        <f>SUMPRODUCT(('Intrapartum Care'!$BB$7:$BB$745=GA$6)*('Intrapartum Care'!$F$7:$F$745&gt;=Lists!$AE8)*('Intrapartum Care'!$F$7:$F$745&lt;=Lists!$AF8))</f>
        <v>0</v>
      </c>
      <c r="GB14" s="290">
        <f>SUMPRODUCT(('Intrapartum Care'!$BB$7:$BB$745=GB$6)*('Intrapartum Care'!$F$7:$F$745&gt;=Lists!$AE8)*('Intrapartum Care'!$F$7:$F$745&lt;=Lists!$AF8))</f>
        <v>0</v>
      </c>
      <c r="GC14" s="290">
        <f>SUMPRODUCT(('Intrapartum Care'!$BB$7:$BB$745=GC$6)*('Intrapartum Care'!$F$7:$F$745&gt;=Lists!$AE8)*('Intrapartum Care'!$F$7:$F$745&lt;=Lists!$AF8))</f>
        <v>0</v>
      </c>
      <c r="GD14" s="290">
        <f>SUMPRODUCT(('Intrapartum Care'!$BB$7:$BB$745=GD$6)*('Intrapartum Care'!$F$7:$F$745&gt;=Lists!$AE8)*('Intrapartum Care'!$F$7:$F$745&lt;=Lists!$AF8))</f>
        <v>0</v>
      </c>
      <c r="GE14" s="290">
        <f>SUMPRODUCT(('Intrapartum Care'!$BB$7:$BB$745=GE$6)*('Intrapartum Care'!$F$7:$F$745&gt;=Lists!$AE8)*('Intrapartum Care'!$F$7:$F$745&lt;=Lists!$AF8))</f>
        <v>0</v>
      </c>
      <c r="GF14" s="290">
        <f>SUMPRODUCT(('Intrapartum Care'!$BB$7:$BB$745=GF$6)*('Intrapartum Care'!$F$7:$F$745&gt;=Lists!$AE8)*('Intrapartum Care'!$F$7:$F$745&lt;=Lists!$AF8))</f>
        <v>0</v>
      </c>
      <c r="GG14" s="290">
        <f>SUMPRODUCT(('Intrapartum Care'!$BB$7:$BB$745=GG$6)*('Intrapartum Care'!$F$7:$F$745&gt;=Lists!$AE8)*('Intrapartum Care'!$F$7:$F$745&lt;=Lists!$AF8))</f>
        <v>0</v>
      </c>
      <c r="GH14" s="290">
        <f>SUMPRODUCT(('Intrapartum Care'!$BB$7:$BB$745=GH$6)*('Intrapartum Care'!$F$7:$F$745&gt;=Lists!$AE8)*('Intrapartum Care'!$F$7:$F$745&lt;=Lists!$AF8))</f>
        <v>0</v>
      </c>
      <c r="GI14" s="290">
        <f>SUMPRODUCT(('Intrapartum Care'!$BB$7:$BB$745=GI$6)*('Intrapartum Care'!$F$7:$F$745&gt;=Lists!$AE8)*('Intrapartum Care'!$F$7:$F$745&lt;=Lists!$AF8))</f>
        <v>0</v>
      </c>
      <c r="GJ14" s="290">
        <f>SUMPRODUCT(('Intrapartum Care'!$BB$7:$BB$745=GJ$6)*('Intrapartum Care'!$F$7:$F$745&gt;=Lists!$AE8)*('Intrapartum Care'!$F$7:$F$745&lt;=Lists!$AF8))</f>
        <v>0</v>
      </c>
      <c r="GK14" s="290">
        <f>SUMPRODUCT(('Intrapartum Care'!$BB$7:$BB$745=GK$6)*('Intrapartum Care'!$F$7:$F$745&gt;=Lists!$AE8)*('Intrapartum Care'!$F$7:$F$745&lt;=Lists!$AF8))</f>
        <v>0</v>
      </c>
      <c r="GL14" s="290">
        <f>SUMPRODUCT(('Intrapartum Care'!$BB$7:$BB$745=GL$6)*('Intrapartum Care'!$F$7:$F$745&gt;=Lists!$AE8)*('Intrapartum Care'!$F$7:$F$745&lt;=Lists!$AF8))</f>
        <v>0</v>
      </c>
      <c r="GM14" s="290">
        <f>SUMPRODUCT(('Intrapartum Care'!$BB$7:$BB$745=GM$6)*('Intrapartum Care'!$F$7:$F$745&gt;=Lists!$AE8)*('Intrapartum Care'!$F$7:$F$745&lt;=Lists!$AF8))</f>
        <v>0</v>
      </c>
      <c r="GN14" s="290">
        <f>SUMPRODUCT(('Intrapartum Care'!$BB$7:$BB$745=GN$6)*('Intrapartum Care'!$F$7:$F$745&gt;=Lists!$AE8)*('Intrapartum Care'!$F$7:$F$745&lt;=Lists!$AF8))</f>
        <v>0</v>
      </c>
      <c r="GO14" s="290">
        <f>SUMPRODUCT(('Intrapartum Care'!$BB$7:$BB$745=GO$6)*('Intrapartum Care'!$F$7:$F$745&gt;=Lists!$AE8)*('Intrapartum Care'!$F$7:$F$745&lt;=Lists!$AF8))</f>
        <v>0</v>
      </c>
      <c r="GP14" s="290">
        <f>SUMPRODUCT(('Intrapartum Care'!$BB$7:$BB$745=GP$6)*('Intrapartum Care'!$F$7:$F$745&gt;=Lists!$AE8)*('Intrapartum Care'!$F$7:$F$745&lt;=Lists!$AF8))</f>
        <v>0</v>
      </c>
      <c r="GQ14" s="290">
        <f>SUMPRODUCT(('Intrapartum Care'!$BB$7:$BB$745=GQ$6)*('Intrapartum Care'!$F$7:$F$745&gt;=Lists!$AE8)*('Intrapartum Care'!$F$7:$F$745&lt;=Lists!$AF8))</f>
        <v>0</v>
      </c>
      <c r="GR14" s="290">
        <f>SUMPRODUCT(('Intrapartum Care'!$BB$7:$BB$745=GR$6)*('Intrapartum Care'!$F$7:$F$745&gt;=Lists!$AE8)*('Intrapartum Care'!$F$7:$F$745&lt;=Lists!$AF8))</f>
        <v>0</v>
      </c>
      <c r="GS14" s="290">
        <f>SUMPRODUCT(('Intrapartum Care'!$BB$7:$BB$745=GS$6)*('Intrapartum Care'!$F$7:$F$745&gt;=Lists!$AE8)*('Intrapartum Care'!$F$7:$F$745&lt;=Lists!$AF8))</f>
        <v>0</v>
      </c>
      <c r="GT14" s="227">
        <f t="shared" si="30"/>
        <v>0</v>
      </c>
      <c r="GU14" s="290">
        <f>SUMPRODUCT(('Intrapartum Care'!$BC$7:$BC$745=GU$6)*('Intrapartum Care'!$F$7:$F$745&gt;=Lists!$AE8)*('Intrapartum Care'!$F$7:$F$745&lt;=Lists!$AF8))</f>
        <v>0</v>
      </c>
      <c r="GV14" s="290">
        <f>SUMPRODUCT(('Intrapartum Care'!$BC$7:$BC$745=GV$6)*('Intrapartum Care'!$F$7:$F$745&gt;=Lists!$AE8)*('Intrapartum Care'!$F$7:$F$745&lt;=Lists!$AF8))</f>
        <v>0</v>
      </c>
      <c r="GW14" s="290">
        <f>SUMPRODUCT(('Intrapartum Care'!$BC$7:$BC$745=GW$6)*('Intrapartum Care'!$F$7:$F$745&gt;=Lists!$AE8)*('Intrapartum Care'!$F$7:$F$745&lt;=Lists!$AF8))</f>
        <v>0</v>
      </c>
      <c r="GX14" s="290">
        <f>SUMPRODUCT(('Intrapartum Care'!$BC$7:$BC$745=GX$6)*('Intrapartum Care'!$F$7:$F$745&gt;=Lists!$AE8)*('Intrapartum Care'!$F$7:$F$745&lt;=Lists!$AF8))</f>
        <v>0</v>
      </c>
      <c r="GY14" s="290">
        <f>SUMPRODUCT(('Intrapartum Care'!$BC$7:$BC$745=GY$6)*('Intrapartum Care'!$F$7:$F$745&gt;=Lists!$AE8)*('Intrapartum Care'!$F$7:$F$745&lt;=Lists!$AF8))</f>
        <v>0</v>
      </c>
      <c r="GZ14" s="290">
        <f>SUMPRODUCT(('Intrapartum Care'!$BC$7:$BC$745=GZ$6)*('Intrapartum Care'!$F$7:$F$745&gt;=Lists!$AE8)*('Intrapartum Care'!$F$7:$F$745&lt;=Lists!$AF8))</f>
        <v>0</v>
      </c>
      <c r="HA14" s="290">
        <f>SUMPRODUCT(('Intrapartum Care'!$BC$7:$BC$745=HA$6)*('Intrapartum Care'!$F$7:$F$745&gt;=Lists!$AE8)*('Intrapartum Care'!$F$7:$F$745&lt;=Lists!$AF8))</f>
        <v>0</v>
      </c>
      <c r="HB14" s="290">
        <f>SUMPRODUCT(('Intrapartum Care'!$BC$7:$BC$745=HB$6)*('Intrapartum Care'!$F$7:$F$745&gt;=Lists!$AE8)*('Intrapartum Care'!$F$7:$F$745&lt;=Lists!$AF8))</f>
        <v>0</v>
      </c>
      <c r="HC14" s="290">
        <f>SUMPRODUCT(('Intrapartum Care'!$BC$7:$BC$745=HC$6)*('Intrapartum Care'!$F$7:$F$745&gt;=Lists!$AE8)*('Intrapartum Care'!$F$7:$F$745&lt;=Lists!$AF8))</f>
        <v>0</v>
      </c>
      <c r="HD14" s="290">
        <f>SUMPRODUCT(('Intrapartum Care'!$BC$7:$BC$745=HD$6)*('Intrapartum Care'!$F$7:$F$745&gt;=Lists!$AE8)*('Intrapartum Care'!$F$7:$F$745&lt;=Lists!$AF8))</f>
        <v>0</v>
      </c>
      <c r="HE14" s="290">
        <f>SUMPRODUCT(('Intrapartum Care'!$BC$7:$BC$745=HE$6)*('Intrapartum Care'!$F$7:$F$745&gt;=Lists!$AE8)*('Intrapartum Care'!$F$7:$F$745&lt;=Lists!$AF8))</f>
        <v>0</v>
      </c>
      <c r="HF14" s="227">
        <f t="shared" si="31"/>
        <v>0</v>
      </c>
      <c r="HG14" s="290">
        <f>SUMPRODUCT(('Intrapartum Care'!$BD$7:$BD$745=HG$6)*('Intrapartum Care'!$F$7:$F$745&gt;=Lists!$AE8)*('Intrapartum Care'!$F$7:$F$745&lt;=Lists!$AF8))</f>
        <v>0</v>
      </c>
      <c r="HH14" s="290">
        <f>SUMPRODUCT(('Intrapartum Care'!$BD$7:$BD$745=HH$6)*('Intrapartum Care'!$F$7:$F$745&gt;=Lists!$AE8)*('Intrapartum Care'!$F$7:$F$745&lt;=Lists!$AF8))</f>
        <v>0</v>
      </c>
      <c r="HI14" s="290">
        <f>SUMPRODUCT(('Intrapartum Care'!$BD$7:$BD$745=HI$6)*('Intrapartum Care'!$F$7:$F$745&gt;=Lists!$AE8)*('Intrapartum Care'!$F$7:$F$745&lt;=Lists!$AF8))</f>
        <v>0</v>
      </c>
      <c r="HJ14" s="290">
        <f>SUMPRODUCT(('Intrapartum Care'!$BD$7:$BD$745=HJ$6)*('Intrapartum Care'!$F$7:$F$745&gt;=Lists!$AE8)*('Intrapartum Care'!$F$7:$F$745&lt;=Lists!$AF8))</f>
        <v>0</v>
      </c>
      <c r="HK14" s="290">
        <f>SUMPRODUCT(('Intrapartum Care'!$BD$7:$BD$745=HK$6)*('Intrapartum Care'!$F$7:$F$745&gt;=Lists!$AE8)*('Intrapartum Care'!$F$7:$F$745&lt;=Lists!$AF8))</f>
        <v>0</v>
      </c>
      <c r="HL14" s="290">
        <f>SUMPRODUCT(('Intrapartum Care'!$BD$7:$BD$745=HL$6)*('Intrapartum Care'!$F$7:$F$745&gt;=Lists!$AE8)*('Intrapartum Care'!$F$7:$F$745&lt;=Lists!$AF8))</f>
        <v>0</v>
      </c>
      <c r="HM14" s="290">
        <f>SUMPRODUCT(('Intrapartum Care'!$BD$7:$BD$745=HM$6)*('Intrapartum Care'!$F$7:$F$745&gt;=Lists!$AE8)*('Intrapartum Care'!$F$7:$F$745&lt;=Lists!$AF8))</f>
        <v>0</v>
      </c>
      <c r="HN14" s="290">
        <f>SUMPRODUCT(('Intrapartum Care'!$BD$7:$BD$745=HN$6)*('Intrapartum Care'!$F$7:$F$745&gt;=Lists!$AE8)*('Intrapartum Care'!$F$7:$F$745&lt;=Lists!$AF8))</f>
        <v>0</v>
      </c>
      <c r="HO14" s="290">
        <f>SUMPRODUCT(('Intrapartum Care'!$BD$7:$BD$745=HO$6)*('Intrapartum Care'!$F$7:$F$745&gt;=Lists!$AE8)*('Intrapartum Care'!$F$7:$F$745&lt;=Lists!$AF8))</f>
        <v>0</v>
      </c>
      <c r="HP14" s="290">
        <f>SUMPRODUCT(('Intrapartum Care'!$BD$7:$BD$745=HP$6)*('Intrapartum Care'!$F$7:$F$745&gt;=Lists!$AE8)*('Intrapartum Care'!$F$7:$F$745&lt;=Lists!$AF8))</f>
        <v>0</v>
      </c>
      <c r="HQ14" s="290">
        <f>SUMPRODUCT(('Intrapartum Care'!$BD$7:$BD$745=HQ$6)*('Intrapartum Care'!$F$7:$F$745&gt;=Lists!$AE8)*('Intrapartum Care'!$F$7:$F$745&lt;=Lists!$AF8))</f>
        <v>0</v>
      </c>
      <c r="HR14" s="290">
        <f>SUMPRODUCT(('Intrapartum Care'!$BD$7:$BD$745=HR$6)*('Intrapartum Care'!$F$7:$F$745&gt;=Lists!$AE8)*('Intrapartum Care'!$F$7:$F$745&lt;=Lists!$AF8))</f>
        <v>0</v>
      </c>
      <c r="HS14" s="290">
        <f>SUMPRODUCT(('Intrapartum Care'!$BD$7:$BD$745=HS$6)*('Intrapartum Care'!$F$7:$F$745&gt;=Lists!$AE8)*('Intrapartum Care'!$F$7:$F$745&lt;=Lists!$AF8))</f>
        <v>0</v>
      </c>
      <c r="HT14" s="290">
        <f>SUMPRODUCT(('Intrapartum Care'!$BD$7:$BD$745=HT$6)*('Intrapartum Care'!$F$7:$F$745&gt;=Lists!$AE8)*('Intrapartum Care'!$F$7:$F$745&lt;=Lists!$AF8))</f>
        <v>0</v>
      </c>
      <c r="HU14" s="290">
        <f>SUMPRODUCT(('Intrapartum Care'!$BD$7:$BD$745=HU$6)*('Intrapartum Care'!$F$7:$F$745&gt;=Lists!$AE8)*('Intrapartum Care'!$F$7:$F$745&lt;=Lists!$AF8))</f>
        <v>0</v>
      </c>
      <c r="HV14" s="290">
        <f>SUMPRODUCT(('Intrapartum Care'!$BD$7:$BD$745=HV$6)*('Intrapartum Care'!$F$7:$F$745&gt;=Lists!$AE8)*('Intrapartum Care'!$F$7:$F$745&lt;=Lists!$AF8))</f>
        <v>0</v>
      </c>
      <c r="HW14" s="290">
        <f>SUMPRODUCT(('Intrapartum Care'!$BD$7:$BD$745=HW$6)*('Intrapartum Care'!$F$7:$F$745&gt;=Lists!$AE8)*('Intrapartum Care'!$F$7:$F$745&lt;=Lists!$AF8))</f>
        <v>0</v>
      </c>
      <c r="HX14" s="290">
        <f>SUMPRODUCT(('Intrapartum Care'!$BD$7:$BD$745=HX$6)*('Intrapartum Care'!$F$7:$F$745&gt;=Lists!$AE8)*('Intrapartum Care'!$F$7:$F$745&lt;=Lists!$AF8))</f>
        <v>0</v>
      </c>
      <c r="HY14" s="290">
        <f>SUMPRODUCT(('Intrapartum Care'!$BD$7:$BD$745=HY$6)*('Intrapartum Care'!$F$7:$F$745&gt;=Lists!$AE8)*('Intrapartum Care'!$F$7:$F$745&lt;=Lists!$AF8))</f>
        <v>0</v>
      </c>
      <c r="HZ14" s="290">
        <f>SUMPRODUCT(('Intrapartum Care'!$BD$7:$BD$745=HZ$6)*('Intrapartum Care'!$F$7:$F$745&gt;=Lists!$AE8)*('Intrapartum Care'!$F$7:$F$745&lt;=Lists!$AF8))</f>
        <v>0</v>
      </c>
      <c r="IA14" s="290">
        <f>SUMPRODUCT(('Intrapartum Care'!$BD$7:$BD$745=IA$6)*('Intrapartum Care'!$F$7:$F$745&gt;=Lists!$AE8)*('Intrapartum Care'!$F$7:$F$745&lt;=Lists!$AF8))</f>
        <v>0</v>
      </c>
      <c r="IB14" s="290">
        <f>SUMPRODUCT(('Intrapartum Care'!$BD$7:$BD$745=IB$6)*('Intrapartum Care'!$F$7:$F$745&gt;=Lists!$AE8)*('Intrapartum Care'!$F$7:$F$745&lt;=Lists!$AF8))</f>
        <v>0</v>
      </c>
      <c r="IC14" s="290">
        <f>SUMPRODUCT(('Intrapartum Care'!$BD$7:$BD$745=IC$6)*('Intrapartum Care'!$F$7:$F$745&gt;=Lists!$AE8)*('Intrapartum Care'!$F$7:$F$745&lt;=Lists!$AF8))</f>
        <v>0</v>
      </c>
      <c r="ID14" s="290">
        <f>SUMPRODUCT(('Intrapartum Care'!$BD$7:$BD$745=ID$6)*('Intrapartum Care'!$F$7:$F$745&gt;=Lists!$AE8)*('Intrapartum Care'!$F$7:$F$745&lt;=Lists!$AF8))</f>
        <v>0</v>
      </c>
      <c r="IE14" s="290">
        <f>SUMPRODUCT(('Intrapartum Care'!$BD$7:$BD$745=IE$6)*('Intrapartum Care'!$F$7:$F$745&gt;=Lists!$AE8)*('Intrapartum Care'!$F$7:$F$745&lt;=Lists!$AF8))</f>
        <v>0</v>
      </c>
      <c r="IF14" s="290">
        <f>SUMPRODUCT(('Intrapartum Care'!$BD$7:$BD$745=IF$6)*('Intrapartum Care'!$F$7:$F$745&gt;=Lists!$AE8)*('Intrapartum Care'!$F$7:$F$745&lt;=Lists!$AF8))</f>
        <v>0</v>
      </c>
      <c r="IG14" s="290">
        <f>SUMPRODUCT(('Intrapartum Care'!$BD$7:$BD$745=IG$6)*('Intrapartum Care'!$F$7:$F$745&gt;=Lists!$AE8)*('Intrapartum Care'!$F$7:$F$745&lt;=Lists!$AF8))</f>
        <v>0</v>
      </c>
      <c r="IH14" s="290">
        <f>SUMPRODUCT(('Intrapartum Care'!$BD$7:$BD$745=IH$6)*('Intrapartum Care'!$F$7:$F$745&gt;=Lists!$AE8)*('Intrapartum Care'!$F$7:$F$745&lt;=Lists!$AF8))</f>
        <v>0</v>
      </c>
      <c r="II14" s="227">
        <f t="shared" si="32"/>
        <v>0</v>
      </c>
      <c r="IJ14" s="290">
        <f>SUMPRODUCT(('Intrapartum Care'!$BE$7:$BE$745=IJ$6)*('Intrapartum Care'!$F$7:$F$745&gt;=Lists!$AE8)*('Intrapartum Care'!$F$7:$F$745&lt;=Lists!$AF8))</f>
        <v>0</v>
      </c>
      <c r="IK14" s="290">
        <f>SUMPRODUCT(('Intrapartum Care'!$BE$7:$BE$745=IK$6)*('Intrapartum Care'!$F$7:$F$745&gt;=Lists!$AE8)*('Intrapartum Care'!$F$7:$F$745&lt;=Lists!$AF8))</f>
        <v>0</v>
      </c>
      <c r="IL14" s="290">
        <f>SUMPRODUCT(('Intrapartum Care'!$BE$7:$BE$745=IL$6)*('Intrapartum Care'!$F$7:$F$745&gt;=Lists!$AE8)*('Intrapartum Care'!$F$7:$F$745&lt;=Lists!$AF8))</f>
        <v>0</v>
      </c>
      <c r="IM14" s="290">
        <f>SUMPRODUCT(('Intrapartum Care'!$BE$7:$BE$745=IM$6)*('Intrapartum Care'!$F$7:$F$745&gt;=Lists!$AE8)*('Intrapartum Care'!$F$7:$F$745&lt;=Lists!$AF8))</f>
        <v>0</v>
      </c>
      <c r="IN14" s="290">
        <f>SUMPRODUCT(('Intrapartum Care'!$BE$7:$BE$745=IN$6)*('Intrapartum Care'!$F$7:$F$745&gt;=Lists!$AE8)*('Intrapartum Care'!$F$7:$F$745&lt;=Lists!$AF8))</f>
        <v>0</v>
      </c>
      <c r="IO14" s="290">
        <f>SUMPRODUCT(('Intrapartum Care'!$BE$7:$BE$745=IO$6)*('Intrapartum Care'!$F$7:$F$745&gt;=Lists!$AE8)*('Intrapartum Care'!$F$7:$F$745&lt;=Lists!$AF8))</f>
        <v>0</v>
      </c>
      <c r="IP14" s="290">
        <f>SUMPRODUCT(('Intrapartum Care'!$BE$7:$BE$745=IP$6)*('Intrapartum Care'!$F$7:$F$745&gt;=Lists!$AE8)*('Intrapartum Care'!$F$7:$F$745&lt;=Lists!$AF8))</f>
        <v>0</v>
      </c>
      <c r="IQ14" s="170">
        <f t="shared" si="33"/>
        <v>0</v>
      </c>
      <c r="IR14" s="290">
        <f>SUMPRODUCT(('Intrapartum Care'!$BF$7:$BF$745=IR$6)*('Intrapartum Care'!$F$7:$F$745&gt;=Lists!$AE8)*('Intrapartum Care'!$F$7:$F$745&lt;=Lists!$AF8))</f>
        <v>0</v>
      </c>
      <c r="IS14" s="290">
        <f>SUMPRODUCT(('Intrapartum Care'!$BF$7:$BF$745=IS$6)*('Intrapartum Care'!$F$7:$F$745&gt;=Lists!$AE8)*('Intrapartum Care'!$F$7:$F$745&lt;=Lists!$AF8))</f>
        <v>0</v>
      </c>
      <c r="IT14" s="290">
        <f>SUMPRODUCT(('Intrapartum Care'!$BF$7:$BF$745=IT$6)*('Intrapartum Care'!$F$7:$F$745&gt;=Lists!$AE8)*('Intrapartum Care'!$F$7:$F$745&lt;=Lists!$AF8))</f>
        <v>0</v>
      </c>
      <c r="IU14" s="290">
        <f>SUMPRODUCT(('Intrapartum Care'!$BF$7:$BF$745=IU$6)*('Intrapartum Care'!$F$7:$F$745&gt;=Lists!$AE8)*('Intrapartum Care'!$F$7:$F$745&lt;=Lists!$AF8))</f>
        <v>0</v>
      </c>
      <c r="IV14" s="170">
        <f t="shared" si="34"/>
        <v>0</v>
      </c>
      <c r="IW14" s="290">
        <f>SUMPRODUCT(('Intrapartum Care'!$BH$7:$BH$745=IW$6)*('Intrapartum Care'!$F$7:$F$745&gt;=Lists!$AE8)*('Intrapartum Care'!$F$7:$F$745&lt;=Lists!$AF8))</f>
        <v>0</v>
      </c>
      <c r="IX14" s="290">
        <f>SUMPRODUCT(('Intrapartum Care'!$BH$7:$BH$745=IX$6)*('Intrapartum Care'!$F$7:$F$745&gt;=Lists!$AE8)*('Intrapartum Care'!$F$7:$F$745&lt;=Lists!$AF8))</f>
        <v>0</v>
      </c>
      <c r="IY14" s="290">
        <f>SUMPRODUCT(('Intrapartum Care'!$BH$7:$BH$745=IY$6)*('Intrapartum Care'!$F$7:$F$745&gt;=Lists!$AE8)*('Intrapartum Care'!$F$7:$F$745&lt;=Lists!$AF8))</f>
        <v>0</v>
      </c>
      <c r="IZ14" s="290">
        <f>SUMPRODUCT(('Intrapartum Care'!$BH$7:$BH$745=IZ$6)*('Intrapartum Care'!$F$7:$F$745&gt;=Lists!$AE8)*('Intrapartum Care'!$F$7:$F$745&lt;=Lists!$AF8))</f>
        <v>0</v>
      </c>
      <c r="JA14" s="290">
        <f>SUMPRODUCT(('Intrapartum Care'!$BH$7:$BH$745=JA$6)*('Intrapartum Care'!$F$7:$F$745&gt;=Lists!$AE8)*('Intrapartum Care'!$F$7:$F$745&lt;=Lists!$AF8))</f>
        <v>0</v>
      </c>
      <c r="JB14" s="551">
        <f t="shared" si="35"/>
        <v>0</v>
      </c>
      <c r="JC14" s="243">
        <f t="shared" si="1"/>
        <v>0</v>
      </c>
      <c r="JD14" s="15"/>
      <c r="JE14" s="15"/>
      <c r="JF14" s="15"/>
      <c r="JG14" s="15"/>
      <c r="JH14" s="15"/>
      <c r="JI14" s="15"/>
      <c r="JJ14" s="15"/>
      <c r="JK14" s="15"/>
      <c r="JL14" s="16"/>
      <c r="JM14" s="15"/>
      <c r="JN14" s="15"/>
      <c r="JO14" s="15"/>
      <c r="JP14" s="15"/>
    </row>
    <row r="15" spans="1:279" ht="15" customHeight="1" x14ac:dyDescent="0.35">
      <c r="A15" s="570">
        <v>45962</v>
      </c>
      <c r="B15" s="345">
        <f>SUMPRODUCT(('Intrapartum Care'!$C$7:$C$745=B$6)*('Intrapartum Care'!$F$7:$F$745&gt;=Lists!$AE9)*('Intrapartum Care'!$F$7:$F$745&lt;=Lists!$AF9))</f>
        <v>0</v>
      </c>
      <c r="C15" s="251">
        <f>SUMPRODUCT(('Intrapartum Care'!$C$7:$C$745=C$6)*('Intrapartum Care'!$F$7:$F$745&gt;=Lists!$AE9)*('Intrapartum Care'!$F$7:$F$745&lt;=Lists!$AF9))</f>
        <v>0</v>
      </c>
      <c r="D15" s="170">
        <f t="shared" si="2"/>
        <v>0</v>
      </c>
      <c r="E15" s="290">
        <f>SUMPRODUCT(('Intrapartum Care'!$D$7:$D$745=E$6)*('Intrapartum Care'!$F$7:$F$745&gt;=Lists!$AE9)*('Intrapartum Care'!$F$7:$F$745&lt;=Lists!$AF9))</f>
        <v>0</v>
      </c>
      <c r="F15" s="290">
        <f>SUMPRODUCT(('Intrapartum Care'!$D$7:$D$745=F$6)*('Intrapartum Care'!$F$7:$F$745&gt;=Lists!$AE9)*('Intrapartum Care'!$F$7:$F$745&lt;=Lists!$AF9))</f>
        <v>0</v>
      </c>
      <c r="G15" s="290">
        <f>SUMPRODUCT(('Intrapartum Care'!$D$7:$D$745=G$6)*('Intrapartum Care'!$F$7:$F$745&gt;=Lists!$AE9)*('Intrapartum Care'!$F$7:$F$745&lt;=Lists!$AF9))</f>
        <v>0</v>
      </c>
      <c r="H15" s="170">
        <f t="shared" si="3"/>
        <v>0</v>
      </c>
      <c r="I15" s="255">
        <f>SUMPRODUCT(('Intrapartum Care'!$E$7:$E$745=I$6)*('Intrapartum Care'!$F$7:$F$745&gt;=Lists!$AE9)*('Intrapartum Care'!$F$7:$F$745&lt;=Lists!$AF9))</f>
        <v>0</v>
      </c>
      <c r="J15" s="252">
        <f>SUMPRODUCT(('Intrapartum Care'!$E$7:$E$745=J$6)*('Intrapartum Care'!$F$7:$F$745&gt;=Lists!$AE9)*('Intrapartum Care'!$F$7:$F$745&lt;=Lists!$AF9))</f>
        <v>0</v>
      </c>
      <c r="K15" s="252">
        <f>SUMPRODUCT(('Intrapartum Care'!$E$7:$E$745=K$6)*('Intrapartum Care'!$F$7:$F$745&gt;=Lists!$AE9)*('Intrapartum Care'!$F$7:$F$745&lt;=Lists!$AF9))</f>
        <v>0</v>
      </c>
      <c r="L15" s="252">
        <f>SUMPRODUCT(('Intrapartum Care'!$E$7:$E$745=L$6)*('Intrapartum Care'!$F$7:$F$745&gt;=Lists!$AE9)*('Intrapartum Care'!$F$7:$F$745&lt;=Lists!$AF9))</f>
        <v>0</v>
      </c>
      <c r="M15" s="252">
        <f>SUMPRODUCT(('Intrapartum Care'!$E$7:$E$745=M$6)*('Intrapartum Care'!$F$7:$F$745&gt;=Lists!$AE9)*('Intrapartum Care'!$F$7:$F$745&lt;=Lists!$AF9))</f>
        <v>0</v>
      </c>
      <c r="N15" s="252">
        <f>SUMPRODUCT(('Intrapartum Care'!$E$7:$E$745=N$6)*('Intrapartum Care'!$F$7:$F$745&gt;=Lists!$AE9)*('Intrapartum Care'!$F$7:$F$745&lt;=Lists!$AF9))</f>
        <v>0</v>
      </c>
      <c r="O15" s="252">
        <f>SUMPRODUCT(('Intrapartum Care'!$E$7:$E$745=O$6)*('Intrapartum Care'!$F$7:$F$745&gt;=Lists!$AE9)*('Intrapartum Care'!$F$7:$F$745&lt;=Lists!$AF9))</f>
        <v>0</v>
      </c>
      <c r="P15" s="252">
        <f>SUMPRODUCT(('Intrapartum Care'!$E$7:$E$745=P$6)*('Intrapartum Care'!$F$7:$F$745&gt;=Lists!$AE9)*('Intrapartum Care'!$F$7:$F$745&lt;=Lists!$AF9))</f>
        <v>0</v>
      </c>
      <c r="Q15" s="252">
        <f>SUMPRODUCT(('Intrapartum Care'!$E$7:$E$745=Q$6)*('Intrapartum Care'!$F$7:$F$745&gt;=Lists!$AE9)*('Intrapartum Care'!$F$7:$F$745&lt;=Lists!$AF9))</f>
        <v>0</v>
      </c>
      <c r="R15" s="252">
        <f>SUMPRODUCT(('Intrapartum Care'!$E$7:$E$745=R$6)*('Intrapartum Care'!$F$7:$F$745&gt;=Lists!$AE9)*('Intrapartum Care'!$F$7:$F$745&lt;=Lists!$AF9))</f>
        <v>0</v>
      </c>
      <c r="S15" s="252">
        <f>SUMPRODUCT(('Intrapartum Care'!$E$7:$E$745=S$6)*('Intrapartum Care'!$F$7:$F$745&gt;=Lists!$AE9)*('Intrapartum Care'!$F$7:$F$745&lt;=Lists!$AF9))</f>
        <v>0</v>
      </c>
      <c r="T15" s="252">
        <f>SUMPRODUCT(('Intrapartum Care'!$E$7:$E$745=T$6)*('Intrapartum Care'!$F$7:$F$745&gt;=Lists!$AE9)*('Intrapartum Care'!$F$7:$F$745&lt;=Lists!$AF9))</f>
        <v>0</v>
      </c>
      <c r="U15" s="252">
        <f>SUMPRODUCT(('Intrapartum Care'!$E$7:$E$745=U$6)*('Intrapartum Care'!$F$7:$F$745&gt;=Lists!$AE9)*('Intrapartum Care'!$F$7:$F$745&lt;=Lists!$AF9))</f>
        <v>0</v>
      </c>
      <c r="V15" s="252">
        <f>SUMPRODUCT(('Intrapartum Care'!$E$7:$E$745=V$6)*('Intrapartum Care'!$F$7:$F$745&gt;=Lists!$AE9)*('Intrapartum Care'!$F$7:$F$745&lt;=Lists!$AF9))</f>
        <v>0</v>
      </c>
      <c r="W15" s="252">
        <f>SUMPRODUCT(('Intrapartum Care'!$E$7:$E$745=W$6)*('Intrapartum Care'!$F$7:$F$745&gt;=Lists!$AE9)*('Intrapartum Care'!$F$7:$F$745&lt;=Lists!$AF9))</f>
        <v>0</v>
      </c>
      <c r="X15" s="252">
        <f>SUMPRODUCT(('Intrapartum Care'!$E$7:$E$745=X$6)*('Intrapartum Care'!$F$7:$F$745&gt;=Lists!$AE9)*('Intrapartum Care'!$F$7:$F$745&lt;=Lists!$AF9))</f>
        <v>0</v>
      </c>
      <c r="Y15" s="252">
        <f>SUMPRODUCT(('Intrapartum Care'!$E$7:$E$745=Y$6)*('Intrapartum Care'!$F$7:$F$745&gt;=Lists!$AE9)*('Intrapartum Care'!$F$7:$F$745&lt;=Lists!$AF9))</f>
        <v>0</v>
      </c>
      <c r="Z15" s="252">
        <f>SUMPRODUCT(('Intrapartum Care'!$E$7:$E$745=Z$6)*('Intrapartum Care'!$F$7:$F$745&gt;=Lists!$AE9)*('Intrapartum Care'!$F$7:$F$745&lt;=Lists!$AF9))</f>
        <v>0</v>
      </c>
      <c r="AA15" s="252">
        <f>SUMPRODUCT(('Intrapartum Care'!$E$7:$E$745=AA$6)*('Intrapartum Care'!$F$7:$F$745&gt;=Lists!$AE9)*('Intrapartum Care'!$F$7:$F$745&lt;=Lists!$AF9))</f>
        <v>0</v>
      </c>
      <c r="AB15" s="252">
        <f>SUMPRODUCT(('Intrapartum Care'!$E$7:$E$745=AB$6)*('Intrapartum Care'!$F$7:$F$745&gt;=Lists!$AE9)*('Intrapartum Care'!$F$7:$F$745&lt;=Lists!$AF9))</f>
        <v>0</v>
      </c>
      <c r="AC15" s="264">
        <f>SUMPRODUCT(('Intrapartum Care'!$E$7:$E$745=AC$6)*('Intrapartum Care'!$F$7:$F$745&gt;=Lists!$AE9)*('Intrapartum Care'!$F$7:$F$745&lt;=Lists!$AF9))</f>
        <v>0</v>
      </c>
      <c r="AD15" s="227">
        <f t="shared" si="4"/>
        <v>0</v>
      </c>
      <c r="AE15" s="255">
        <f>SUMPRODUCT(('Intrapartum Care'!$H$7:$H$745=AE$6)*('Intrapartum Care'!$F$7:$F$745&gt;=Lists!$AE9)*('Intrapartum Care'!$F$7:$F$745&lt;=Lists!$AF9))</f>
        <v>0</v>
      </c>
      <c r="AF15" s="252">
        <f>SUMPRODUCT(('Intrapartum Care'!$H$7:$H$745=AF$6)*('Intrapartum Care'!$F$7:$F$745&gt;=Lists!$AE9)*('Intrapartum Care'!$F$7:$F$745&lt;=Lists!$AF9))</f>
        <v>0</v>
      </c>
      <c r="AG15" s="252">
        <f>SUMPRODUCT(('Intrapartum Care'!$H$7:$H$745=AG$6)*('Intrapartum Care'!$F$7:$F$745&gt;=Lists!$AE9)*('Intrapartum Care'!$F$7:$F$745&lt;=Lists!$AF9))</f>
        <v>0</v>
      </c>
      <c r="AH15" s="252">
        <f>SUMPRODUCT(('Intrapartum Care'!$H$7:$H$745=AH$6)*('Intrapartum Care'!$F$7:$F$745&gt;=Lists!$AE9)*('Intrapartum Care'!$F$7:$F$745&lt;=Lists!$AF9))</f>
        <v>0</v>
      </c>
      <c r="AI15" s="252">
        <f>SUMPRODUCT(('Intrapartum Care'!$H$7:$H$745=AI$6)*('Intrapartum Care'!$F$7:$F$745&gt;=Lists!$AE9)*('Intrapartum Care'!$F$7:$F$745&lt;=Lists!$AF9))</f>
        <v>0</v>
      </c>
      <c r="AJ15" s="252">
        <f>SUMPRODUCT(('Intrapartum Care'!$H$7:$H$745=AJ$6)*('Intrapartum Care'!$F$7:$F$745&gt;=Lists!$AE9)*('Intrapartum Care'!$F$7:$F$745&lt;=Lists!$AF9))</f>
        <v>0</v>
      </c>
      <c r="AK15" s="252">
        <f>SUMPRODUCT(('Intrapartum Care'!$H$7:$H$745=AK$6)*('Intrapartum Care'!$F$7:$F$745&gt;=Lists!$AE9)*('Intrapartum Care'!$F$7:$F$745&lt;=Lists!$AF9))</f>
        <v>0</v>
      </c>
      <c r="AL15" s="252">
        <f>SUMPRODUCT(('Intrapartum Care'!$H$7:$H$745=AL$6)*('Intrapartum Care'!$F$7:$F$745&gt;=Lists!$AE9)*('Intrapartum Care'!$F$7:$F$745&lt;=Lists!$AF9))</f>
        <v>0</v>
      </c>
      <c r="AM15" s="264">
        <f>SUMPRODUCT(('Intrapartum Care'!$H$7:$H$745=AM$6)*('Intrapartum Care'!$F$7:$F$745&gt;=Lists!$AE9)*('Intrapartum Care'!$F$7:$F$745&lt;=Lists!$AF9))</f>
        <v>0</v>
      </c>
      <c r="AN15" s="170">
        <f t="shared" si="5"/>
        <v>0</v>
      </c>
      <c r="AO15" s="255">
        <f>SUMPRODUCT(('Intrapartum Care'!$I$7:$I$745=AO$6)*('Intrapartum Care'!$F$7:$F$745&gt;=Lists!$AE9)*('Intrapartum Care'!$F$7:$F$745&lt;=Lists!$AF9))</f>
        <v>0</v>
      </c>
      <c r="AP15" s="252">
        <f>SUMPRODUCT(('Intrapartum Care'!$I$7:$I$745=AP$6)*('Intrapartum Care'!$F$7:$F$745&gt;=Lists!$AE9)*('Intrapartum Care'!$F$7:$F$745&lt;=Lists!$AF9))</f>
        <v>0</v>
      </c>
      <c r="AQ15" s="252">
        <f>SUMPRODUCT(('Intrapartum Care'!$I$7:$I$745=AQ$6)*('Intrapartum Care'!$F$7:$F$745&gt;=Lists!$AE9)*('Intrapartum Care'!$F$7:$F$745&lt;=Lists!$AF9))</f>
        <v>0</v>
      </c>
      <c r="AR15" s="252">
        <f>SUMPRODUCT(('Intrapartum Care'!$I$7:$I$745=AR$6)*('Intrapartum Care'!$F$7:$F$745&gt;=Lists!$AE9)*('Intrapartum Care'!$F$7:$F$745&lt;=Lists!$AF9))</f>
        <v>0</v>
      </c>
      <c r="AS15" s="252">
        <f>SUMPRODUCT(('Intrapartum Care'!$I$7:$I$745=AS$6)*('Intrapartum Care'!$F$7:$F$745&gt;=Lists!$AE9)*('Intrapartum Care'!$F$7:$F$745&lt;=Lists!$AF9))</f>
        <v>0</v>
      </c>
      <c r="AT15" s="252">
        <f>SUMPRODUCT(('Intrapartum Care'!$I$7:$I$745=AT$6)*('Intrapartum Care'!$F$7:$F$745&gt;=Lists!$AE9)*('Intrapartum Care'!$F$7:$F$745&lt;=Lists!$AF9))</f>
        <v>0</v>
      </c>
      <c r="AU15" s="253">
        <f>SUMPRODUCT(('Intrapartum Care'!$I$7:$I$745=AU$6)*('Intrapartum Care'!$F$7:$F$745&gt;=Lists!$AE9)*('Intrapartum Care'!$F$7:$F$745&lt;=Lists!$AF9))</f>
        <v>0</v>
      </c>
      <c r="AV15" s="170">
        <f t="shared" si="6"/>
        <v>0</v>
      </c>
      <c r="AW15" s="255">
        <f>SUMPRODUCT(('Intrapartum Care'!$J$7:$J$745=AW$6)*('Intrapartum Care'!$F$7:$F$745&gt;=Lists!$AE9)*('Intrapartum Care'!$F$7:$F$745&lt;=Lists!$AF9))</f>
        <v>0</v>
      </c>
      <c r="AX15" s="253">
        <f>SUMPRODUCT(('Intrapartum Care'!$J$7:$J$745=AX$6)*('Intrapartum Care'!$F$7:$F$745&gt;=Lists!$AE9)*('Intrapartum Care'!$F$7:$F$745&lt;=Lists!$AF9))</f>
        <v>0</v>
      </c>
      <c r="AY15" s="170">
        <f t="shared" si="7"/>
        <v>0</v>
      </c>
      <c r="AZ15" s="263">
        <f>SUMPRODUCT(('Intrapartum Care'!$R$7:$R$745=AZ$6)*('Intrapartum Care'!$F$7:$F$745&gt;=Lists!$AE9)*('Intrapartum Care'!$F$7:$F$745&lt;=Lists!$AF9))</f>
        <v>0</v>
      </c>
      <c r="BA15" s="252">
        <f>SUMPRODUCT(('Intrapartum Care'!$R$7:$R$745=BA$6)*('Intrapartum Care'!$F$7:$F$745&gt;=Lists!$AE9)*('Intrapartum Care'!$F$7:$F$745&lt;=Lists!$AF9))</f>
        <v>0</v>
      </c>
      <c r="BB15" s="252">
        <f>SUMPRODUCT(('Intrapartum Care'!$R$7:$R$745=BB$6)*('Intrapartum Care'!$F$7:$F$745&gt;=Lists!$AE9)*('Intrapartum Care'!$F$7:$F$745&lt;=Lists!$AF9))</f>
        <v>0</v>
      </c>
      <c r="BC15" s="253">
        <f>SUMPRODUCT(('Intrapartum Care'!$R$7:$R$745=BC$6)*('Intrapartum Care'!$F$7:$F$745&gt;=Lists!$AE9)*('Intrapartum Care'!$F$7:$F$745&lt;=Lists!$AF9))</f>
        <v>0</v>
      </c>
      <c r="BD15" s="170">
        <f t="shared" si="8"/>
        <v>0</v>
      </c>
      <c r="BE15" s="263">
        <f>SUMPRODUCT(('Intrapartum Care'!$S$7:$S$745=BE$6)*('Intrapartum Care'!$F$7:$F$745&gt;=Lists!$AE9)*('Intrapartum Care'!$F$7:$F$745&lt;=Lists!$AF9))</f>
        <v>0</v>
      </c>
      <c r="BF15" s="252">
        <f>SUMPRODUCT(('Intrapartum Care'!$S$7:$S$745=BF$6)*('Intrapartum Care'!$F$7:$F$745&gt;=Lists!$AE9)*('Intrapartum Care'!$F$7:$F$745&lt;=Lists!$AF9))</f>
        <v>0</v>
      </c>
      <c r="BG15" s="264">
        <f>SUMPRODUCT(('Intrapartum Care'!$S$7:$S$745=BG$6)*('Intrapartum Care'!$F$7:$F$745&gt;=Lists!$AE9)*('Intrapartum Care'!$F$7:$F$745&lt;=Lists!$AF9))</f>
        <v>0</v>
      </c>
      <c r="BH15" s="170">
        <f t="shared" si="9"/>
        <v>0</v>
      </c>
      <c r="BI15" s="290">
        <f>SUMPRODUCT(('Intrapartum Care'!$T$7:$T$745=BI$6)*('Intrapartum Care'!$F$7:$F$745&gt;=Lists!$AE9)*('Intrapartum Care'!$F$7:$F$745&lt;=Lists!$AF9))</f>
        <v>0</v>
      </c>
      <c r="BJ15" s="290">
        <f>SUMPRODUCT(('Intrapartum Care'!$T$7:$T$745=BJ$6)*('Intrapartum Care'!$F$7:$F$745&gt;=Lists!$AE9)*('Intrapartum Care'!$F$7:$F$745&lt;=Lists!$AF9))</f>
        <v>0</v>
      </c>
      <c r="BK15" s="290">
        <f>SUMPRODUCT(('Intrapartum Care'!$T$7:$T$745=BK$6)*('Intrapartum Care'!$F$7:$F$745&gt;=Lists!$AE9)*('Intrapartum Care'!$F$7:$F$745&lt;=Lists!$AF9))</f>
        <v>0</v>
      </c>
      <c r="BL15" s="290">
        <f>SUMPRODUCT(('Intrapartum Care'!$T$7:$T$745=BL$6)*('Intrapartum Care'!$F$7:$F$745&gt;=Lists!$AE9)*('Intrapartum Care'!$F$7:$F$745&lt;=Lists!$AF9))</f>
        <v>0</v>
      </c>
      <c r="BM15" s="227">
        <f t="shared" si="10"/>
        <v>0</v>
      </c>
      <c r="BN15" s="290">
        <f>SUMPRODUCT(('Intrapartum Care'!$U$7:$U$745=BN$6)*('Intrapartum Care'!$F$7:$F$745&gt;=Lists!$AE9)*('Intrapartum Care'!$F$7:$F$745&lt;=Lists!$AF9))</f>
        <v>0</v>
      </c>
      <c r="BO15" s="290">
        <f>SUMPRODUCT(('Intrapartum Care'!$U$7:$U$745=BO$6)*('Intrapartum Care'!$F$7:$F$745&gt;=Lists!$AE9)*('Intrapartum Care'!$F$7:$F$745&lt;=Lists!$AF9))</f>
        <v>0</v>
      </c>
      <c r="BP15" s="290">
        <f>SUMPRODUCT(('Intrapartum Care'!$U$7:$U$745=BP$6)*('Intrapartum Care'!$F$7:$F$745&gt;=Lists!$AE9)*('Intrapartum Care'!$F$7:$F$745&lt;=Lists!$AF9))</f>
        <v>0</v>
      </c>
      <c r="BQ15" s="290">
        <f>SUMPRODUCT(('Intrapartum Care'!$U$7:$U$745=BQ$6)*('Intrapartum Care'!$F$7:$F$745&gt;=Lists!$AE9)*('Intrapartum Care'!$F$7:$F$745&lt;=Lists!$AF9))</f>
        <v>0</v>
      </c>
      <c r="BR15" s="227">
        <f t="shared" si="11"/>
        <v>0</v>
      </c>
      <c r="BS15" s="290">
        <f>SUMPRODUCT(('Intrapartum Care'!$V$7:$V$745=BS$6)*('Intrapartum Care'!$F$7:$F$745&gt;=Lists!$AE9)*('Intrapartum Care'!$F$7:$F$745&lt;=Lists!$AF9))</f>
        <v>0</v>
      </c>
      <c r="BT15" s="290">
        <f>SUMPRODUCT(('Intrapartum Care'!$V$7:$V$745=BT$6)*('Intrapartum Care'!$F$7:$F$745&gt;=Lists!$AE9)*('Intrapartum Care'!$F$7:$F$745&lt;=Lists!$AF9))</f>
        <v>0</v>
      </c>
      <c r="BU15" s="290">
        <f>SUMPRODUCT(('Intrapartum Care'!$V$7:$V$745=BU$6)*('Intrapartum Care'!$F$7:$F$745&gt;=Lists!$AE9)*('Intrapartum Care'!$F$7:$F$745&lt;=Lists!$AF9))</f>
        <v>0</v>
      </c>
      <c r="BV15" s="290">
        <f>SUMPRODUCT(('Intrapartum Care'!$V$7:$V$745=BV$6)*('Intrapartum Care'!$F$7:$F$745&gt;=Lists!$AE9)*('Intrapartum Care'!$F$7:$F$745&lt;=Lists!$AF9))</f>
        <v>0</v>
      </c>
      <c r="BW15" s="290">
        <f>SUMPRODUCT(('Intrapartum Care'!$V$7:$V$745=BW$6)*('Intrapartum Care'!$F$7:$F$745&gt;=Lists!$AE9)*('Intrapartum Care'!$F$7:$F$745&lt;=Lists!$AF9))</f>
        <v>0</v>
      </c>
      <c r="BX15" s="227">
        <f t="shared" si="12"/>
        <v>0</v>
      </c>
      <c r="BY15" s="290">
        <f>SUMPRODUCT(('Intrapartum Care'!$W$7:$W$745=BY$6)*('Intrapartum Care'!$F$7:$F$745&gt;=Lists!$AE9)*('Intrapartum Care'!$F$7:$F$745&lt;=Lists!$AF9))</f>
        <v>0</v>
      </c>
      <c r="BZ15" s="290">
        <f>SUMPRODUCT(('Intrapartum Care'!$W$7:$W$745=BZ$6)*('Intrapartum Care'!$F$7:$F$745&gt;=Lists!$AE9)*('Intrapartum Care'!$F$7:$F$745&lt;=Lists!$AF9))</f>
        <v>0</v>
      </c>
      <c r="CA15" s="290">
        <f>SUMPRODUCT(('Intrapartum Care'!$W$7:$W$745=CA$6)*('Intrapartum Care'!$F$7:$F$745&gt;=Lists!$AE9)*('Intrapartum Care'!$F$7:$F$745&lt;=Lists!$AF9))</f>
        <v>0</v>
      </c>
      <c r="CB15" s="290">
        <f>SUMPRODUCT(('Intrapartum Care'!$W$7:$W$745=CB$6)*('Intrapartum Care'!$F$7:$F$745&gt;=Lists!$AE9)*('Intrapartum Care'!$F$7:$F$745&lt;=Lists!$AF9))</f>
        <v>0</v>
      </c>
      <c r="CC15" s="290">
        <f>SUMPRODUCT(('Intrapartum Care'!$W$7:$W$745=CC$6)*('Intrapartum Care'!$F$7:$F$745&gt;=Lists!$AE9)*('Intrapartum Care'!$F$7:$F$745&lt;=Lists!$AF9))</f>
        <v>0</v>
      </c>
      <c r="CD15" s="227">
        <f t="shared" si="13"/>
        <v>0</v>
      </c>
      <c r="CE15" s="290">
        <f>SUMPRODUCT(('Intrapartum Care'!$X$7:$X$745=CE$6)*('Intrapartum Care'!$F$7:$F$745&gt;=Lists!$AE9)*('Intrapartum Care'!$F$7:$F$745&lt;=Lists!$AF9))</f>
        <v>0</v>
      </c>
      <c r="CF15" s="290">
        <f>SUMPRODUCT(('Intrapartum Care'!$X$7:$X$745=CF$6)*('Intrapartum Care'!$F$7:$F$745&gt;=Lists!$AE9)*('Intrapartum Care'!$F$7:$F$745&lt;=Lists!$AF9))</f>
        <v>0</v>
      </c>
      <c r="CG15" s="290">
        <f>SUMPRODUCT(('Intrapartum Care'!$X$7:$X$745=CG$6)*('Intrapartum Care'!$F$7:$F$745&gt;=Lists!$AE9)*('Intrapartum Care'!$F$7:$F$745&lt;=Lists!$AF9))</f>
        <v>0</v>
      </c>
      <c r="CH15" s="290">
        <f>SUMPRODUCT(('Intrapartum Care'!$X$7:$X$745=CH$6)*('Intrapartum Care'!$F$7:$F$745&gt;=Lists!$AE9)*('Intrapartum Care'!$F$7:$F$745&lt;=Lists!$AF9))</f>
        <v>0</v>
      </c>
      <c r="CI15" s="290">
        <f>SUMPRODUCT(('Intrapartum Care'!$X$7:$X$745=CI$6)*('Intrapartum Care'!$F$7:$F$745&gt;=Lists!$AE9)*('Intrapartum Care'!$F$7:$F$745&lt;=Lists!$AF9))</f>
        <v>0</v>
      </c>
      <c r="CJ15" s="290">
        <f>SUMPRODUCT(('Intrapartum Care'!$X$7:$X$745=CJ$6)*('Intrapartum Care'!$F$7:$F$745&gt;=Lists!$AE9)*('Intrapartum Care'!$F$7:$F$745&lt;=Lists!$AF9))</f>
        <v>0</v>
      </c>
      <c r="CK15" s="290">
        <f>SUMPRODUCT(('Intrapartum Care'!$X$7:$X$745=CK$6)*('Intrapartum Care'!$F$7:$F$745&gt;=Lists!$AE9)*('Intrapartum Care'!$F$7:$F$745&lt;=Lists!$AF9))</f>
        <v>0</v>
      </c>
      <c r="CL15" s="227">
        <f t="shared" si="14"/>
        <v>0</v>
      </c>
      <c r="CM15" s="290">
        <f>SUMPRODUCT(('Intrapartum Care'!$Y$7:$Y$745=CM$6)*('Intrapartum Care'!$F$7:$F$745&gt;=Lists!$AE9)*('Intrapartum Care'!$F$7:$F$745&lt;=Lists!$AF9))</f>
        <v>0</v>
      </c>
      <c r="CN15" s="290">
        <f>SUMPRODUCT(('Intrapartum Care'!$Y$7:$Y$745=CN$6)*('Intrapartum Care'!$F$7:$F$745&gt;=Lists!$AE9)*('Intrapartum Care'!$F$7:$F$745&lt;=Lists!$AF9))</f>
        <v>0</v>
      </c>
      <c r="CO15" s="290">
        <f>SUMPRODUCT(('Intrapartum Care'!$Y$7:$Y$745=CO$6)*('Intrapartum Care'!$F$7:$F$745&gt;=Lists!$AE9)*('Intrapartum Care'!$F$7:$F$745&lt;=Lists!$AF9))</f>
        <v>0</v>
      </c>
      <c r="CP15" s="290">
        <f>SUMPRODUCT(('Intrapartum Care'!$Y$7:$Y$745=CP$6)*('Intrapartum Care'!$F$7:$F$745&gt;=Lists!$AE9)*('Intrapartum Care'!$F$7:$F$745&lt;=Lists!$AF9))</f>
        <v>0</v>
      </c>
      <c r="CQ15" s="290">
        <f>SUMPRODUCT(('Intrapartum Care'!$Y$7:$Y$745=CQ$6)*('Intrapartum Care'!$F$7:$F$745&gt;=Lists!$AE9)*('Intrapartum Care'!$F$7:$F$745&lt;=Lists!$AF9))</f>
        <v>0</v>
      </c>
      <c r="CR15" s="290">
        <f>SUMPRODUCT(('Intrapartum Care'!$Y$7:$Y$745=CR$6)*('Intrapartum Care'!$F$7:$F$745&gt;=Lists!$AE9)*('Intrapartum Care'!$F$7:$F$745&lt;=Lists!$AF9))</f>
        <v>0</v>
      </c>
      <c r="CS15" s="227">
        <f t="shared" si="15"/>
        <v>0</v>
      </c>
      <c r="CT15" s="290">
        <f>SUMPRODUCT(('Intrapartum Care'!$Z$7:$Z$745=CT$6)*('Intrapartum Care'!$F$7:$F$745&gt;=Lists!$AE9)*('Intrapartum Care'!$F$7:$F$745&lt;=Lists!$AF9))</f>
        <v>0</v>
      </c>
      <c r="CU15" s="290">
        <f>SUMPRODUCT(('Intrapartum Care'!$Z$7:$Z$745=CU$6)*('Intrapartum Care'!$F$7:$F$745&gt;=Lists!$AE9)*('Intrapartum Care'!$F$7:$F$745&lt;=Lists!$AF9))</f>
        <v>0</v>
      </c>
      <c r="CV15" s="290">
        <f>SUMPRODUCT(('Intrapartum Care'!$Z$7:$Z$745=CV$6)*('Intrapartum Care'!$F$7:$F$745&gt;=Lists!$AE9)*('Intrapartum Care'!$F$7:$F$745&lt;=Lists!$AF9))</f>
        <v>0</v>
      </c>
      <c r="CW15" s="290">
        <f>SUMPRODUCT(('Intrapartum Care'!$Z$7:$Z$745=CW$6)*('Intrapartum Care'!$F$7:$F$745&gt;=Lists!$AE9)*('Intrapartum Care'!$F$7:$F$745&lt;=Lists!$AF9))</f>
        <v>0</v>
      </c>
      <c r="CX15" s="290">
        <f>SUMPRODUCT(('Intrapartum Care'!$Z$7:$Z$745=CX$6)*('Intrapartum Care'!$F$7:$F$745&gt;=Lists!$AE9)*('Intrapartum Care'!$F$7:$F$745&lt;=Lists!$AF9))</f>
        <v>0</v>
      </c>
      <c r="CY15" s="290">
        <f>SUMPRODUCT(('Intrapartum Care'!$Z$7:$Z$745=CY$6)*('Intrapartum Care'!$F$7:$F$745&gt;=Lists!$AE9)*('Intrapartum Care'!$F$7:$F$745&lt;=Lists!$AF9))</f>
        <v>0</v>
      </c>
      <c r="CZ15" s="290">
        <f>SUMPRODUCT(('Intrapartum Care'!$Z$7:$Z$745=CZ$6)*('Intrapartum Care'!$F$7:$F$745&gt;=Lists!$AE9)*('Intrapartum Care'!$F$7:$F$745&lt;=Lists!$AF9))</f>
        <v>0</v>
      </c>
      <c r="DA15" s="290">
        <f>SUMPRODUCT(('Intrapartum Care'!$Z$7:$Z$745=DA$6)*('Intrapartum Care'!$F$7:$F$745&gt;=Lists!$AE9)*('Intrapartum Care'!$F$7:$F$745&lt;=Lists!$AF9))</f>
        <v>0</v>
      </c>
      <c r="DB15" s="227">
        <f t="shared" si="16"/>
        <v>0</v>
      </c>
      <c r="DC15" s="290">
        <f>SUMPRODUCT(('Intrapartum Care'!$AA$7:$AA$745=DC$6)*('Intrapartum Care'!$F$7:$F$745&gt;=Lists!$AE9)*('Intrapartum Care'!$F$7:$F$745&lt;=Lists!$AF9))</f>
        <v>0</v>
      </c>
      <c r="DD15" s="290">
        <f>SUMPRODUCT(('Intrapartum Care'!$AA$7:$AA$745=DD$6)*('Intrapartum Care'!$F$7:$F$745&gt;=Lists!$AE9)*('Intrapartum Care'!$F$7:$F$745&lt;=Lists!$AF9))</f>
        <v>0</v>
      </c>
      <c r="DE15" s="290">
        <f>SUMPRODUCT(('Intrapartum Care'!$AA$7:$AA$745=DE$6)*('Intrapartum Care'!$F$7:$F$745&gt;=Lists!$AE9)*('Intrapartum Care'!$F$7:$F$745&lt;=Lists!$AF9))</f>
        <v>0</v>
      </c>
      <c r="DF15" s="227">
        <f t="shared" si="17"/>
        <v>0</v>
      </c>
      <c r="DG15" s="295">
        <f>SUMPRODUCT(('Intrapartum Care'!$AB$7:$AB$745=DG$6)*('Intrapartum Care'!$F$7:$F$745&gt;=Lists!$AE9)*('Intrapartum Care'!$F$7:$F$745&lt;=Lists!$AF9))</f>
        <v>0</v>
      </c>
      <c r="DH15" s="290">
        <f>SUMPRODUCT(('Intrapartum Care'!$AB$7:$AB$745=DH$6)*('Intrapartum Care'!$F$7:$F$745&gt;=Lists!$AE9)*('Intrapartum Care'!$F$7:$F$745&lt;=Lists!$AF9))</f>
        <v>0</v>
      </c>
      <c r="DI15" s="290">
        <f>SUMPRODUCT(('Intrapartum Care'!$AB$7:$AB$745=DI$6)*('Intrapartum Care'!$F$7:$F$745&gt;=Lists!$AE9)*('Intrapartum Care'!$F$7:$F$745&lt;=Lists!$AF9))</f>
        <v>0</v>
      </c>
      <c r="DJ15" s="290">
        <f>SUMPRODUCT(('Intrapartum Care'!$AB$7:$AB$745=DJ$6)*('Intrapartum Care'!$F$7:$F$745&gt;=Lists!$AE9)*('Intrapartum Care'!$F$7:$F$745&lt;=Lists!$AF9))</f>
        <v>0</v>
      </c>
      <c r="DK15" s="290">
        <f>SUMPRODUCT(('Intrapartum Care'!$AB$7:$AB$745=DK$6)*('Intrapartum Care'!$F$7:$F$745&gt;=Lists!$AE9)*('Intrapartum Care'!$F$7:$F$745&lt;=Lists!$AF9))</f>
        <v>0</v>
      </c>
      <c r="DL15" s="290">
        <f>SUMPRODUCT(('Intrapartum Care'!$AB$7:$AB$745=DL$6)*('Intrapartum Care'!$F$7:$F$745&gt;=Lists!$AE9)*('Intrapartum Care'!$F$7:$F$745&lt;=Lists!$AF9))</f>
        <v>0</v>
      </c>
      <c r="DM15" s="290">
        <f>SUMPRODUCT(('Intrapartum Care'!$AB$7:$AB$745=DM$6)*('Intrapartum Care'!$F$7:$F$745&gt;=Lists!$AE9)*('Intrapartum Care'!$F$7:$F$745&lt;=Lists!$AF9))</f>
        <v>0</v>
      </c>
      <c r="DN15" s="227">
        <f t="shared" si="18"/>
        <v>0</v>
      </c>
      <c r="DO15" s="528">
        <f>SUMPRODUCT(('Intrapartum Care'!$AC$7:$AC$745=DO$6)*('Intrapartum Care'!$F$7:$F$745&gt;=Lists!$AE9)*('Intrapartum Care'!$F$7:$F$745&lt;=Lists!$AF9))</f>
        <v>0</v>
      </c>
      <c r="DP15" s="528">
        <f>SUMPRODUCT(('Intrapartum Care'!$AC$7:$AC$745=DP$6)*('Intrapartum Care'!$F$7:$F$745&gt;=Lists!$AE9)*('Intrapartum Care'!$F$7:$F$745&lt;=Lists!$AF9))</f>
        <v>0</v>
      </c>
      <c r="DQ15" s="528">
        <f>SUMPRODUCT(('Intrapartum Care'!$AC$7:$AC$745=DQ$6)*('Intrapartum Care'!$F$7:$F$745&gt;=Lists!$AE9)*('Intrapartum Care'!$F$7:$F$745&lt;=Lists!$AF9))</f>
        <v>0</v>
      </c>
      <c r="DR15" s="528">
        <f>SUMPRODUCT(('Intrapartum Care'!$AC$7:$AC$745=DR$6)*('Intrapartum Care'!$F$7:$F$745&gt;=Lists!$AE9)*('Intrapartum Care'!$F$7:$F$745&lt;=Lists!$AF9))</f>
        <v>0</v>
      </c>
      <c r="DS15" s="528">
        <f>SUMPRODUCT(('Intrapartum Care'!$AC$7:$AC$745=DS$6)*('Intrapartum Care'!$F$7:$F$745&gt;=Lists!$AE9)*('Intrapartum Care'!$F$7:$F$745&lt;=Lists!$AF9))</f>
        <v>0</v>
      </c>
      <c r="DT15" s="528">
        <f>SUMPRODUCT(('Intrapartum Care'!$AC$7:$AC$745=DT$6)*('Intrapartum Care'!$F$7:$F$745&gt;=Lists!$AE9)*('Intrapartum Care'!$F$7:$F$745&lt;=Lists!$AF9))</f>
        <v>0</v>
      </c>
      <c r="DU15" s="528">
        <f>SUMPRODUCT(('Intrapartum Care'!$AC$7:$AC$745=DU$6)*('Intrapartum Care'!$F$7:$F$745&gt;=Lists!$AE9)*('Intrapartum Care'!$F$7:$F$745&lt;=Lists!$AF9))</f>
        <v>0</v>
      </c>
      <c r="DV15" s="528">
        <f>SUMPRODUCT(('Intrapartum Care'!$AC$7:$AC$745=DV$6)*('Intrapartum Care'!$F$7:$F$745&gt;=Lists!$AE9)*('Intrapartum Care'!$F$7:$F$745&lt;=Lists!$AF9))</f>
        <v>0</v>
      </c>
      <c r="DW15" s="528">
        <f>SUMPRODUCT(('Intrapartum Care'!$AC$7:$AC$745=DW$6)*('Intrapartum Care'!$F$7:$F$745&gt;=Lists!$AE9)*('Intrapartum Care'!$F$7:$F$745&lt;=Lists!$AF9))</f>
        <v>0</v>
      </c>
      <c r="DX15" s="227">
        <f t="shared" si="19"/>
        <v>0</v>
      </c>
      <c r="DY15" s="295">
        <f>SUMPRODUCT(('Intrapartum Care'!$AE$7:$AE$745=DY$6)*('Intrapartum Care'!$F$7:$F$745&gt;=Lists!$AE9)*('Intrapartum Care'!$F$7:$F$745&lt;=Lists!$AF9))</f>
        <v>0</v>
      </c>
      <c r="DZ15" s="295">
        <f>SUMPRODUCT(('Intrapartum Care'!$AE$7:$AE$745=DZ$6)*('Intrapartum Care'!$F$7:$F$745&gt;=Lists!$AE9)*('Intrapartum Care'!$F$7:$F$745&lt;=Lists!$AF9))</f>
        <v>0</v>
      </c>
      <c r="EA15" s="295">
        <f>SUMPRODUCT(('Intrapartum Care'!$AE$7:$AE$745=EA$6)*('Intrapartum Care'!$F$7:$F$745&gt;=Lists!$AE9)*('Intrapartum Care'!$F$7:$F$745&lt;=Lists!$AF9))</f>
        <v>0</v>
      </c>
      <c r="EB15" s="227">
        <f t="shared" si="20"/>
        <v>0</v>
      </c>
      <c r="EC15" s="295">
        <f>SUMPRODUCT(('Intrapartum Care'!$AF$7:$AF$745=EC$6)*('Intrapartum Care'!$F$7:$F$745&gt;=Lists!$AE9)*('Intrapartum Care'!$F$7:$F$745&lt;=Lists!$AF9))</f>
        <v>0</v>
      </c>
      <c r="ED15" s="295">
        <f>SUMPRODUCT(('Intrapartum Care'!$AF$7:$AF$745=ED$6)*('Intrapartum Care'!$F$7:$F$745&gt;=Lists!$AE9)*('Intrapartum Care'!$F$7:$F$745&lt;=Lists!$AF9))</f>
        <v>0</v>
      </c>
      <c r="EE15" s="295">
        <f>SUMPRODUCT(('Intrapartum Care'!$AF$7:$AF$745=EE$6)*('Intrapartum Care'!$F$7:$F$745&gt;=Lists!$AE9)*('Intrapartum Care'!$F$7:$F$745&lt;=Lists!$AF9))</f>
        <v>0</v>
      </c>
      <c r="EF15" s="295">
        <f>SUMPRODUCT(('Intrapartum Care'!$AF$7:$AF$745=EF$6)*('Intrapartum Care'!$F$7:$F$745&gt;=Lists!$AE9)*('Intrapartum Care'!$F$7:$F$745&lt;=Lists!$AF9))</f>
        <v>0</v>
      </c>
      <c r="EG15" s="295">
        <f>SUMPRODUCT(('Intrapartum Care'!$AF$7:$AF$745=EG$6)*('Intrapartum Care'!$F$7:$F$745&gt;=Lists!$AE9)*('Intrapartum Care'!$F$7:$F$745&lt;=Lists!$AF9))</f>
        <v>0</v>
      </c>
      <c r="EH15" s="227">
        <f t="shared" si="21"/>
        <v>0</v>
      </c>
      <c r="EI15" s="295">
        <f>SUMPRODUCT(('Intrapartum Care'!$AG$7:$AG$745=EI$6)*('Intrapartum Care'!$F$7:$F$745&gt;=Lists!$AE9)*('Intrapartum Care'!$F$7:$F$745&lt;=Lists!$AF9))</f>
        <v>0</v>
      </c>
      <c r="EJ15" s="295">
        <f>SUMPRODUCT(('Intrapartum Care'!$AG$7:$AG$745=EJ$6)*('Intrapartum Care'!$F$7:$F$745&gt;=Lists!$AE9)*('Intrapartum Care'!$F$7:$F$745&lt;=Lists!$AF9))</f>
        <v>0</v>
      </c>
      <c r="EK15" s="295">
        <f>SUMPRODUCT(('Intrapartum Care'!$AG$7:$AG$745=EK$6)*('Intrapartum Care'!$F$7:$F$745&gt;=Lists!$AE9)*('Intrapartum Care'!$F$7:$F$745&lt;=Lists!$AF9))</f>
        <v>0</v>
      </c>
      <c r="EL15" s="295">
        <f>SUMPRODUCT(('Intrapartum Care'!$AG$7:$AG$745=EL$6)*('Intrapartum Care'!$F$7:$F$745&gt;=Lists!$AE9)*('Intrapartum Care'!$F$7:$F$745&lt;=Lists!$AF9))</f>
        <v>0</v>
      </c>
      <c r="EM15" s="295">
        <f>SUMPRODUCT(('Intrapartum Care'!$AG$7:$AG$745=EM$6)*('Intrapartum Care'!$F$7:$F$745&gt;=Lists!$AE9)*('Intrapartum Care'!$F$7:$F$745&lt;=Lists!$AF9))</f>
        <v>0</v>
      </c>
      <c r="EN15" s="295">
        <f>SUMPRODUCT(('Intrapartum Care'!$AG$7:$AG$745=EN$6)*('Intrapartum Care'!$F$7:$F$745&gt;=Lists!$AE9)*('Intrapartum Care'!$F$7:$F$745&lt;=Lists!$AF9))</f>
        <v>0</v>
      </c>
      <c r="EO15" s="227">
        <f t="shared" si="22"/>
        <v>0</v>
      </c>
      <c r="EP15" s="295">
        <f>SUMPRODUCT(('Intrapartum Care'!$AH$7:$AH$745=EP$6)*('Intrapartum Care'!$F$7:$F$745&gt;=Lists!$AE9)*('Intrapartum Care'!$F$7:$F$745&lt;=Lists!$AF9))</f>
        <v>0</v>
      </c>
      <c r="EQ15" s="295">
        <f>SUMPRODUCT(('Intrapartum Care'!$AH$7:$AH$745=EQ$6)*('Intrapartum Care'!$F$7:$F$745&gt;=Lists!$AE9)*('Intrapartum Care'!$F$7:$F$745&lt;=Lists!$AF9))</f>
        <v>0</v>
      </c>
      <c r="ER15" s="295">
        <f>SUMPRODUCT(('Intrapartum Care'!$AH$7:$AH$745=ER$6)*('Intrapartum Care'!$F$7:$F$745&gt;=Lists!$AE9)*('Intrapartum Care'!$F$7:$F$745&lt;=Lists!$AF9))</f>
        <v>0</v>
      </c>
      <c r="ES15" s="227">
        <f t="shared" si="23"/>
        <v>0</v>
      </c>
      <c r="ET15" s="290">
        <f>SUMPRODUCT(('Intrapartum Care'!$AK$7:$AK$745=ET$6)*('Intrapartum Care'!$F$7:$F$745&gt;=Lists!$AE9)*('Intrapartum Care'!$F$7:$F$745&lt;=Lists!$AF9))</f>
        <v>0</v>
      </c>
      <c r="EU15" s="290">
        <f>SUMPRODUCT(('Intrapartum Care'!$AK$7:$AK$745=EU$6)*('Intrapartum Care'!$F$7:$F$745&gt;=Lists!$AE9)*('Intrapartum Care'!$F$7:$F$745&lt;=Lists!$AF9))</f>
        <v>0</v>
      </c>
      <c r="EV15" s="290">
        <f>SUMPRODUCT(('Intrapartum Care'!$AK$7:$AK$745=EV$6)*('Intrapartum Care'!$F$7:$F$745&gt;=Lists!$AE9)*('Intrapartum Care'!$F$7:$F$745&lt;=Lists!$AF9))</f>
        <v>0</v>
      </c>
      <c r="EW15" s="227">
        <f t="shared" si="24"/>
        <v>0</v>
      </c>
      <c r="EX15" s="290">
        <f>SUMPRODUCT(('Intrapartum Care'!$AL$7:$AL$745=EX$6)*('Intrapartum Care'!$F$7:$F$745&gt;=Lists!$AE9)*('Intrapartum Care'!$F$7:$F$745&lt;=Lists!$AF9))</f>
        <v>0</v>
      </c>
      <c r="EY15" s="290">
        <f>SUMPRODUCT(('Intrapartum Care'!$AL$7:$AL$745=EY$6)*('Intrapartum Care'!$F$7:$F$745&gt;=Lists!$AE9)*('Intrapartum Care'!$F$7:$F$745&lt;=Lists!$AF9))</f>
        <v>0</v>
      </c>
      <c r="EZ15" s="290">
        <f>SUMPRODUCT(('Intrapartum Care'!$AL$7:$AL$745=EZ$6)*('Intrapartum Care'!$F$7:$F$745&gt;=Lists!$AE9)*('Intrapartum Care'!$F$7:$F$745&lt;=Lists!$AF9))</f>
        <v>0</v>
      </c>
      <c r="FA15" s="227">
        <f t="shared" si="0"/>
        <v>0</v>
      </c>
      <c r="FB15" s="290">
        <f>SUMPRODUCT(('Intrapartum Care'!$AM$7:$AM$745=FB$6)*('Intrapartum Care'!$F$7:$F$745&gt;=Lists!$AE9)*('Intrapartum Care'!$F$7:$F$745&lt;=Lists!$AF9))</f>
        <v>0</v>
      </c>
      <c r="FC15" s="290">
        <f>SUMPRODUCT(('Intrapartum Care'!$AM$7:$AM$745=FC$6)*('Intrapartum Care'!$F$7:$F$745&gt;=Lists!$AE9)*('Intrapartum Care'!$F$7:$F$745&lt;=Lists!$AF9))</f>
        <v>0</v>
      </c>
      <c r="FD15" s="290">
        <f>SUMPRODUCT(('Intrapartum Care'!$AM$7:$AM$745=FD$6)*('Intrapartum Care'!$F$7:$F$745&gt;=Lists!$AE9)*('Intrapartum Care'!$F$7:$F$745&lt;=Lists!$AF9))</f>
        <v>0</v>
      </c>
      <c r="FE15" s="290">
        <f>SUMPRODUCT(('Intrapartum Care'!$AM$7:$AM$745=FE$6)*('Intrapartum Care'!$F$7:$F$745&gt;=Lists!$AE9)*('Intrapartum Care'!$F$7:$F$745&lt;=Lists!$AF9))</f>
        <v>0</v>
      </c>
      <c r="FF15" s="290">
        <f>SUMPRODUCT(('Intrapartum Care'!$AM$7:$AM$745=FF$6)*('Intrapartum Care'!$F$7:$F$745&gt;=Lists!$AE9)*('Intrapartum Care'!$F$7:$F$745&lt;=Lists!$AF9))</f>
        <v>0</v>
      </c>
      <c r="FG15" s="227">
        <f t="shared" si="25"/>
        <v>0</v>
      </c>
      <c r="FH15" s="290">
        <f>SUMPRODUCT(('Intrapartum Care'!$AN$7:$AN$745=FH$6)*('Intrapartum Care'!$F$7:$F$745&gt;=Lists!$AE9)*('Intrapartum Care'!$F$7:$F$745&lt;=Lists!$AF9))</f>
        <v>0</v>
      </c>
      <c r="FI15" s="290">
        <f>SUMPRODUCT(('Intrapartum Care'!$AN$7:$AN$745=FI$6)*('Intrapartum Care'!$F$7:$F$745&gt;=Lists!$AE9)*('Intrapartum Care'!$F$7:$F$745&lt;=Lists!$AF9))</f>
        <v>0</v>
      </c>
      <c r="FJ15" s="290">
        <f>SUMPRODUCT(('Intrapartum Care'!$AN$7:$AN$745=FJ$6)*('Intrapartum Care'!$F$7:$F$745&gt;=Lists!$AE9)*('Intrapartum Care'!$F$7:$F$745&lt;=Lists!$AF9))</f>
        <v>0</v>
      </c>
      <c r="FK15" s="290">
        <f>SUMPRODUCT(('Intrapartum Care'!$AN$7:$AN$745=FK$6)*('Intrapartum Care'!$F$7:$F$745&gt;=Lists!$AE9)*('Intrapartum Care'!$F$7:$F$745&lt;=Lists!$AF9))</f>
        <v>0</v>
      </c>
      <c r="FL15" s="227">
        <f t="shared" si="26"/>
        <v>0</v>
      </c>
      <c r="FM15" s="290">
        <f>SUMPRODUCT(('Intrapartum Care'!$AS$7:$AS$745=FM$6)*('Intrapartum Care'!$F$7:$F$745&gt;=Lists!$AE9)*('Intrapartum Care'!$F$7:$F$745&lt;=Lists!$AF9))</f>
        <v>0</v>
      </c>
      <c r="FN15" s="290">
        <f>SUMPRODUCT(('Intrapartum Care'!$AS$7:$AS$745=FN$6)*('Intrapartum Care'!$F$7:$F$745&gt;=Lists!$AE9)*('Intrapartum Care'!$F$7:$F$745&lt;=Lists!$AF9))</f>
        <v>0</v>
      </c>
      <c r="FO15" s="290">
        <f>SUMPRODUCT(('Intrapartum Care'!$AS$7:$AS$745=FO$6)*('Intrapartum Care'!$F$7:$F$745&gt;=Lists!$AE9)*('Intrapartum Care'!$F$7:$F$745&lt;=Lists!$AF9))</f>
        <v>0</v>
      </c>
      <c r="FP15" s="290">
        <f>SUMPRODUCT(('Intrapartum Care'!$AS$7:$AS$745=FP$6)*('Intrapartum Care'!$F$7:$F$745&gt;=Lists!$AE9)*('Intrapartum Care'!$F$7:$F$745&lt;=Lists!$AF9))</f>
        <v>0</v>
      </c>
      <c r="FQ15" s="227">
        <f t="shared" si="27"/>
        <v>0</v>
      </c>
      <c r="FR15" s="290">
        <f>SUMPRODUCT(('Intrapartum Care'!$AZ$7:$AZ$745=FR$6)*('Intrapartum Care'!$F$7:$F$745&gt;=Lists!$AE9)*('Intrapartum Care'!$F$7:$F$745&lt;=Lists!$AF9))</f>
        <v>0</v>
      </c>
      <c r="FS15" s="290">
        <f>SUMPRODUCT(('Intrapartum Care'!$AZ$7:$AZ$745=FS$6)*('Intrapartum Care'!$F$7:$F$745&gt;=Lists!$AE9)*('Intrapartum Care'!$F$7:$F$745&lt;=Lists!$AF9))</f>
        <v>0</v>
      </c>
      <c r="FT15" s="290">
        <f>SUMPRODUCT(('Intrapartum Care'!$AZ$7:$AZ$745=FT$6)*('Intrapartum Care'!$F$7:$F$745&gt;=Lists!$AE9)*('Intrapartum Care'!$F$7:$F$745&lt;=Lists!$AF9))</f>
        <v>0</v>
      </c>
      <c r="FU15" s="227">
        <f t="shared" si="28"/>
        <v>0</v>
      </c>
      <c r="FV15" s="290">
        <f>SUMPRODUCT(('Intrapartum Care'!$BA$7:$BA$745=FV$6)*('Intrapartum Care'!$F$7:$F$745&gt;=Lists!$AE9)*('Intrapartum Care'!$F$7:$F$745&lt;=Lists!$AF9))</f>
        <v>0</v>
      </c>
      <c r="FW15" s="290">
        <f>SUMPRODUCT(('Intrapartum Care'!$BA$7:$BA$745=FW$6)*('Intrapartum Care'!$F$7:$F$745&gt;=Lists!$AE9)*('Intrapartum Care'!$F$7:$F$745&lt;=Lists!$AF9))</f>
        <v>0</v>
      </c>
      <c r="FX15" s="290">
        <f>SUMPRODUCT(('Intrapartum Care'!$BA$7:$BA$745=FX$6)*('Intrapartum Care'!$F$7:$F$745&gt;=Lists!$AE9)*('Intrapartum Care'!$F$7:$F$745&lt;=Lists!$AF9))</f>
        <v>0</v>
      </c>
      <c r="FY15" s="227">
        <f t="shared" si="29"/>
        <v>0</v>
      </c>
      <c r="FZ15" s="290">
        <f>SUMPRODUCT(('Intrapartum Care'!$BB$7:$BB$745=FZ$6)*('Intrapartum Care'!$F$7:$F$745&gt;=Lists!$AE9)*('Intrapartum Care'!$F$7:$F$745&lt;=Lists!$AF9))</f>
        <v>0</v>
      </c>
      <c r="GA15" s="290">
        <f>SUMPRODUCT(('Intrapartum Care'!$BB$7:$BB$745=GA$6)*('Intrapartum Care'!$F$7:$F$745&gt;=Lists!$AE9)*('Intrapartum Care'!$F$7:$F$745&lt;=Lists!$AF9))</f>
        <v>0</v>
      </c>
      <c r="GB15" s="290">
        <f>SUMPRODUCT(('Intrapartum Care'!$BB$7:$BB$745=GB$6)*('Intrapartum Care'!$F$7:$F$745&gt;=Lists!$AE9)*('Intrapartum Care'!$F$7:$F$745&lt;=Lists!$AF9))</f>
        <v>0</v>
      </c>
      <c r="GC15" s="290">
        <f>SUMPRODUCT(('Intrapartum Care'!$BB$7:$BB$745=GC$6)*('Intrapartum Care'!$F$7:$F$745&gt;=Lists!$AE9)*('Intrapartum Care'!$F$7:$F$745&lt;=Lists!$AF9))</f>
        <v>0</v>
      </c>
      <c r="GD15" s="290">
        <f>SUMPRODUCT(('Intrapartum Care'!$BB$7:$BB$745=GD$6)*('Intrapartum Care'!$F$7:$F$745&gt;=Lists!$AE9)*('Intrapartum Care'!$F$7:$F$745&lt;=Lists!$AF9))</f>
        <v>0</v>
      </c>
      <c r="GE15" s="290">
        <f>SUMPRODUCT(('Intrapartum Care'!$BB$7:$BB$745=GE$6)*('Intrapartum Care'!$F$7:$F$745&gt;=Lists!$AE9)*('Intrapartum Care'!$F$7:$F$745&lt;=Lists!$AF9))</f>
        <v>0</v>
      </c>
      <c r="GF15" s="290">
        <f>SUMPRODUCT(('Intrapartum Care'!$BB$7:$BB$745=GF$6)*('Intrapartum Care'!$F$7:$F$745&gt;=Lists!$AE9)*('Intrapartum Care'!$F$7:$F$745&lt;=Lists!$AF9))</f>
        <v>0</v>
      </c>
      <c r="GG15" s="290">
        <f>SUMPRODUCT(('Intrapartum Care'!$BB$7:$BB$745=GG$6)*('Intrapartum Care'!$F$7:$F$745&gt;=Lists!$AE9)*('Intrapartum Care'!$F$7:$F$745&lt;=Lists!$AF9))</f>
        <v>0</v>
      </c>
      <c r="GH15" s="290">
        <f>SUMPRODUCT(('Intrapartum Care'!$BB$7:$BB$745=GH$6)*('Intrapartum Care'!$F$7:$F$745&gt;=Lists!$AE9)*('Intrapartum Care'!$F$7:$F$745&lt;=Lists!$AF9))</f>
        <v>0</v>
      </c>
      <c r="GI15" s="290">
        <f>SUMPRODUCT(('Intrapartum Care'!$BB$7:$BB$745=GI$6)*('Intrapartum Care'!$F$7:$F$745&gt;=Lists!$AE9)*('Intrapartum Care'!$F$7:$F$745&lt;=Lists!$AF9))</f>
        <v>0</v>
      </c>
      <c r="GJ15" s="290">
        <f>SUMPRODUCT(('Intrapartum Care'!$BB$7:$BB$745=GJ$6)*('Intrapartum Care'!$F$7:$F$745&gt;=Lists!$AE9)*('Intrapartum Care'!$F$7:$F$745&lt;=Lists!$AF9))</f>
        <v>0</v>
      </c>
      <c r="GK15" s="290">
        <f>SUMPRODUCT(('Intrapartum Care'!$BB$7:$BB$745=GK$6)*('Intrapartum Care'!$F$7:$F$745&gt;=Lists!$AE9)*('Intrapartum Care'!$F$7:$F$745&lt;=Lists!$AF9))</f>
        <v>0</v>
      </c>
      <c r="GL15" s="290">
        <f>SUMPRODUCT(('Intrapartum Care'!$BB$7:$BB$745=GL$6)*('Intrapartum Care'!$F$7:$F$745&gt;=Lists!$AE9)*('Intrapartum Care'!$F$7:$F$745&lt;=Lists!$AF9))</f>
        <v>0</v>
      </c>
      <c r="GM15" s="290">
        <f>SUMPRODUCT(('Intrapartum Care'!$BB$7:$BB$745=GM$6)*('Intrapartum Care'!$F$7:$F$745&gt;=Lists!$AE9)*('Intrapartum Care'!$F$7:$F$745&lt;=Lists!$AF9))</f>
        <v>0</v>
      </c>
      <c r="GN15" s="290">
        <f>SUMPRODUCT(('Intrapartum Care'!$BB$7:$BB$745=GN$6)*('Intrapartum Care'!$F$7:$F$745&gt;=Lists!$AE9)*('Intrapartum Care'!$F$7:$F$745&lt;=Lists!$AF9))</f>
        <v>0</v>
      </c>
      <c r="GO15" s="290">
        <f>SUMPRODUCT(('Intrapartum Care'!$BB$7:$BB$745=GO$6)*('Intrapartum Care'!$F$7:$F$745&gt;=Lists!$AE9)*('Intrapartum Care'!$F$7:$F$745&lt;=Lists!$AF9))</f>
        <v>0</v>
      </c>
      <c r="GP15" s="290">
        <f>SUMPRODUCT(('Intrapartum Care'!$BB$7:$BB$745=GP$6)*('Intrapartum Care'!$F$7:$F$745&gt;=Lists!$AE9)*('Intrapartum Care'!$F$7:$F$745&lt;=Lists!$AF9))</f>
        <v>0</v>
      </c>
      <c r="GQ15" s="290">
        <f>SUMPRODUCT(('Intrapartum Care'!$BB$7:$BB$745=GQ$6)*('Intrapartum Care'!$F$7:$F$745&gt;=Lists!$AE9)*('Intrapartum Care'!$F$7:$F$745&lt;=Lists!$AF9))</f>
        <v>0</v>
      </c>
      <c r="GR15" s="290">
        <f>SUMPRODUCT(('Intrapartum Care'!$BB$7:$BB$745=GR$6)*('Intrapartum Care'!$F$7:$F$745&gt;=Lists!$AE9)*('Intrapartum Care'!$F$7:$F$745&lt;=Lists!$AF9))</f>
        <v>0</v>
      </c>
      <c r="GS15" s="290">
        <f>SUMPRODUCT(('Intrapartum Care'!$BB$7:$BB$745=GS$6)*('Intrapartum Care'!$F$7:$F$745&gt;=Lists!$AE9)*('Intrapartum Care'!$F$7:$F$745&lt;=Lists!$AF9))</f>
        <v>0</v>
      </c>
      <c r="GT15" s="227">
        <f t="shared" si="30"/>
        <v>0</v>
      </c>
      <c r="GU15" s="290">
        <f>SUMPRODUCT(('Intrapartum Care'!$BC$7:$BC$745=GU$6)*('Intrapartum Care'!$F$7:$F$745&gt;=Lists!$AE9)*('Intrapartum Care'!$F$7:$F$745&lt;=Lists!$AF9))</f>
        <v>0</v>
      </c>
      <c r="GV15" s="290">
        <f>SUMPRODUCT(('Intrapartum Care'!$BC$7:$BC$745=GV$6)*('Intrapartum Care'!$F$7:$F$745&gt;=Lists!$AE9)*('Intrapartum Care'!$F$7:$F$745&lt;=Lists!$AF9))</f>
        <v>0</v>
      </c>
      <c r="GW15" s="290">
        <f>SUMPRODUCT(('Intrapartum Care'!$BC$7:$BC$745=GW$6)*('Intrapartum Care'!$F$7:$F$745&gt;=Lists!$AE9)*('Intrapartum Care'!$F$7:$F$745&lt;=Lists!$AF9))</f>
        <v>0</v>
      </c>
      <c r="GX15" s="290">
        <f>SUMPRODUCT(('Intrapartum Care'!$BC$7:$BC$745=GX$6)*('Intrapartum Care'!$F$7:$F$745&gt;=Lists!$AE9)*('Intrapartum Care'!$F$7:$F$745&lt;=Lists!$AF9))</f>
        <v>0</v>
      </c>
      <c r="GY15" s="290">
        <f>SUMPRODUCT(('Intrapartum Care'!$BC$7:$BC$745=GY$6)*('Intrapartum Care'!$F$7:$F$745&gt;=Lists!$AE9)*('Intrapartum Care'!$F$7:$F$745&lt;=Lists!$AF9))</f>
        <v>0</v>
      </c>
      <c r="GZ15" s="290">
        <f>SUMPRODUCT(('Intrapartum Care'!$BC$7:$BC$745=GZ$6)*('Intrapartum Care'!$F$7:$F$745&gt;=Lists!$AE9)*('Intrapartum Care'!$F$7:$F$745&lt;=Lists!$AF9))</f>
        <v>0</v>
      </c>
      <c r="HA15" s="290">
        <f>SUMPRODUCT(('Intrapartum Care'!$BC$7:$BC$745=HA$6)*('Intrapartum Care'!$F$7:$F$745&gt;=Lists!$AE9)*('Intrapartum Care'!$F$7:$F$745&lt;=Lists!$AF9))</f>
        <v>0</v>
      </c>
      <c r="HB15" s="290">
        <f>SUMPRODUCT(('Intrapartum Care'!$BC$7:$BC$745=HB$6)*('Intrapartum Care'!$F$7:$F$745&gt;=Lists!$AE9)*('Intrapartum Care'!$F$7:$F$745&lt;=Lists!$AF9))</f>
        <v>0</v>
      </c>
      <c r="HC15" s="290">
        <f>SUMPRODUCT(('Intrapartum Care'!$BC$7:$BC$745=HC$6)*('Intrapartum Care'!$F$7:$F$745&gt;=Lists!$AE9)*('Intrapartum Care'!$F$7:$F$745&lt;=Lists!$AF9))</f>
        <v>0</v>
      </c>
      <c r="HD15" s="290">
        <f>SUMPRODUCT(('Intrapartum Care'!$BC$7:$BC$745=HD$6)*('Intrapartum Care'!$F$7:$F$745&gt;=Lists!$AE9)*('Intrapartum Care'!$F$7:$F$745&lt;=Lists!$AF9))</f>
        <v>0</v>
      </c>
      <c r="HE15" s="290">
        <f>SUMPRODUCT(('Intrapartum Care'!$BC$7:$BC$745=HE$6)*('Intrapartum Care'!$F$7:$F$745&gt;=Lists!$AE9)*('Intrapartum Care'!$F$7:$F$745&lt;=Lists!$AF9))</f>
        <v>0</v>
      </c>
      <c r="HF15" s="227">
        <f t="shared" si="31"/>
        <v>0</v>
      </c>
      <c r="HG15" s="290">
        <f>SUMPRODUCT(('Intrapartum Care'!$BD$7:$BD$745=HG$6)*('Intrapartum Care'!$F$7:$F$745&gt;=Lists!$AE9)*('Intrapartum Care'!$F$7:$F$745&lt;=Lists!$AF9))</f>
        <v>0</v>
      </c>
      <c r="HH15" s="290">
        <f>SUMPRODUCT(('Intrapartum Care'!$BD$7:$BD$745=HH$6)*('Intrapartum Care'!$F$7:$F$745&gt;=Lists!$AE9)*('Intrapartum Care'!$F$7:$F$745&lt;=Lists!$AF9))</f>
        <v>0</v>
      </c>
      <c r="HI15" s="290">
        <f>SUMPRODUCT(('Intrapartum Care'!$BD$7:$BD$745=HI$6)*('Intrapartum Care'!$F$7:$F$745&gt;=Lists!$AE9)*('Intrapartum Care'!$F$7:$F$745&lt;=Lists!$AF9))</f>
        <v>0</v>
      </c>
      <c r="HJ15" s="290">
        <f>SUMPRODUCT(('Intrapartum Care'!$BD$7:$BD$745=HJ$6)*('Intrapartum Care'!$F$7:$F$745&gt;=Lists!$AE9)*('Intrapartum Care'!$F$7:$F$745&lt;=Lists!$AF9))</f>
        <v>0</v>
      </c>
      <c r="HK15" s="290">
        <f>SUMPRODUCT(('Intrapartum Care'!$BD$7:$BD$745=HK$6)*('Intrapartum Care'!$F$7:$F$745&gt;=Lists!$AE9)*('Intrapartum Care'!$F$7:$F$745&lt;=Lists!$AF9))</f>
        <v>0</v>
      </c>
      <c r="HL15" s="290">
        <f>SUMPRODUCT(('Intrapartum Care'!$BD$7:$BD$745=HL$6)*('Intrapartum Care'!$F$7:$F$745&gt;=Lists!$AE9)*('Intrapartum Care'!$F$7:$F$745&lt;=Lists!$AF9))</f>
        <v>0</v>
      </c>
      <c r="HM15" s="290">
        <f>SUMPRODUCT(('Intrapartum Care'!$BD$7:$BD$745=HM$6)*('Intrapartum Care'!$F$7:$F$745&gt;=Lists!$AE9)*('Intrapartum Care'!$F$7:$F$745&lt;=Lists!$AF9))</f>
        <v>0</v>
      </c>
      <c r="HN15" s="290">
        <f>SUMPRODUCT(('Intrapartum Care'!$BD$7:$BD$745=HN$6)*('Intrapartum Care'!$F$7:$F$745&gt;=Lists!$AE9)*('Intrapartum Care'!$F$7:$F$745&lt;=Lists!$AF9))</f>
        <v>0</v>
      </c>
      <c r="HO15" s="290">
        <f>SUMPRODUCT(('Intrapartum Care'!$BD$7:$BD$745=HO$6)*('Intrapartum Care'!$F$7:$F$745&gt;=Lists!$AE9)*('Intrapartum Care'!$F$7:$F$745&lt;=Lists!$AF9))</f>
        <v>0</v>
      </c>
      <c r="HP15" s="290">
        <f>SUMPRODUCT(('Intrapartum Care'!$BD$7:$BD$745=HP$6)*('Intrapartum Care'!$F$7:$F$745&gt;=Lists!$AE9)*('Intrapartum Care'!$F$7:$F$745&lt;=Lists!$AF9))</f>
        <v>0</v>
      </c>
      <c r="HQ15" s="290">
        <f>SUMPRODUCT(('Intrapartum Care'!$BD$7:$BD$745=HQ$6)*('Intrapartum Care'!$F$7:$F$745&gt;=Lists!$AE9)*('Intrapartum Care'!$F$7:$F$745&lt;=Lists!$AF9))</f>
        <v>0</v>
      </c>
      <c r="HR15" s="290">
        <f>SUMPRODUCT(('Intrapartum Care'!$BD$7:$BD$745=HR$6)*('Intrapartum Care'!$F$7:$F$745&gt;=Lists!$AE9)*('Intrapartum Care'!$F$7:$F$745&lt;=Lists!$AF9))</f>
        <v>0</v>
      </c>
      <c r="HS15" s="290">
        <f>SUMPRODUCT(('Intrapartum Care'!$BD$7:$BD$745=HS$6)*('Intrapartum Care'!$F$7:$F$745&gt;=Lists!$AE9)*('Intrapartum Care'!$F$7:$F$745&lt;=Lists!$AF9))</f>
        <v>0</v>
      </c>
      <c r="HT15" s="290">
        <f>SUMPRODUCT(('Intrapartum Care'!$BD$7:$BD$745=HT$6)*('Intrapartum Care'!$F$7:$F$745&gt;=Lists!$AE9)*('Intrapartum Care'!$F$7:$F$745&lt;=Lists!$AF9))</f>
        <v>0</v>
      </c>
      <c r="HU15" s="290">
        <f>SUMPRODUCT(('Intrapartum Care'!$BD$7:$BD$745=HU$6)*('Intrapartum Care'!$F$7:$F$745&gt;=Lists!$AE9)*('Intrapartum Care'!$F$7:$F$745&lt;=Lists!$AF9))</f>
        <v>0</v>
      </c>
      <c r="HV15" s="290">
        <f>SUMPRODUCT(('Intrapartum Care'!$BD$7:$BD$745=HV$6)*('Intrapartum Care'!$F$7:$F$745&gt;=Lists!$AE9)*('Intrapartum Care'!$F$7:$F$745&lt;=Lists!$AF9))</f>
        <v>0</v>
      </c>
      <c r="HW15" s="290">
        <f>SUMPRODUCT(('Intrapartum Care'!$BD$7:$BD$745=HW$6)*('Intrapartum Care'!$F$7:$F$745&gt;=Lists!$AE9)*('Intrapartum Care'!$F$7:$F$745&lt;=Lists!$AF9))</f>
        <v>0</v>
      </c>
      <c r="HX15" s="290">
        <f>SUMPRODUCT(('Intrapartum Care'!$BD$7:$BD$745=HX$6)*('Intrapartum Care'!$F$7:$F$745&gt;=Lists!$AE9)*('Intrapartum Care'!$F$7:$F$745&lt;=Lists!$AF9))</f>
        <v>0</v>
      </c>
      <c r="HY15" s="290">
        <f>SUMPRODUCT(('Intrapartum Care'!$BD$7:$BD$745=HY$6)*('Intrapartum Care'!$F$7:$F$745&gt;=Lists!$AE9)*('Intrapartum Care'!$F$7:$F$745&lt;=Lists!$AF9))</f>
        <v>0</v>
      </c>
      <c r="HZ15" s="290">
        <f>SUMPRODUCT(('Intrapartum Care'!$BD$7:$BD$745=HZ$6)*('Intrapartum Care'!$F$7:$F$745&gt;=Lists!$AE9)*('Intrapartum Care'!$F$7:$F$745&lt;=Lists!$AF9))</f>
        <v>0</v>
      </c>
      <c r="IA15" s="290">
        <f>SUMPRODUCT(('Intrapartum Care'!$BD$7:$BD$745=IA$6)*('Intrapartum Care'!$F$7:$F$745&gt;=Lists!$AE9)*('Intrapartum Care'!$F$7:$F$745&lt;=Lists!$AF9))</f>
        <v>0</v>
      </c>
      <c r="IB15" s="290">
        <f>SUMPRODUCT(('Intrapartum Care'!$BD$7:$BD$745=IB$6)*('Intrapartum Care'!$F$7:$F$745&gt;=Lists!$AE9)*('Intrapartum Care'!$F$7:$F$745&lt;=Lists!$AF9))</f>
        <v>0</v>
      </c>
      <c r="IC15" s="290">
        <f>SUMPRODUCT(('Intrapartum Care'!$BD$7:$BD$745=IC$6)*('Intrapartum Care'!$F$7:$F$745&gt;=Lists!$AE9)*('Intrapartum Care'!$F$7:$F$745&lt;=Lists!$AF9))</f>
        <v>0</v>
      </c>
      <c r="ID15" s="290">
        <f>SUMPRODUCT(('Intrapartum Care'!$BD$7:$BD$745=ID$6)*('Intrapartum Care'!$F$7:$F$745&gt;=Lists!$AE9)*('Intrapartum Care'!$F$7:$F$745&lt;=Lists!$AF9))</f>
        <v>0</v>
      </c>
      <c r="IE15" s="290">
        <f>SUMPRODUCT(('Intrapartum Care'!$BD$7:$BD$745=IE$6)*('Intrapartum Care'!$F$7:$F$745&gt;=Lists!$AE9)*('Intrapartum Care'!$F$7:$F$745&lt;=Lists!$AF9))</f>
        <v>0</v>
      </c>
      <c r="IF15" s="290">
        <f>SUMPRODUCT(('Intrapartum Care'!$BD$7:$BD$745=IF$6)*('Intrapartum Care'!$F$7:$F$745&gt;=Lists!$AE9)*('Intrapartum Care'!$F$7:$F$745&lt;=Lists!$AF9))</f>
        <v>0</v>
      </c>
      <c r="IG15" s="290">
        <f>SUMPRODUCT(('Intrapartum Care'!$BD$7:$BD$745=IG$6)*('Intrapartum Care'!$F$7:$F$745&gt;=Lists!$AE9)*('Intrapartum Care'!$F$7:$F$745&lt;=Lists!$AF9))</f>
        <v>0</v>
      </c>
      <c r="IH15" s="290">
        <f>SUMPRODUCT(('Intrapartum Care'!$BD$7:$BD$745=IH$6)*('Intrapartum Care'!$F$7:$F$745&gt;=Lists!$AE9)*('Intrapartum Care'!$F$7:$F$745&lt;=Lists!$AF9))</f>
        <v>0</v>
      </c>
      <c r="II15" s="227">
        <f t="shared" si="32"/>
        <v>0</v>
      </c>
      <c r="IJ15" s="290">
        <f>SUMPRODUCT(('Intrapartum Care'!$BE$7:$BE$745=IJ$6)*('Intrapartum Care'!$F$7:$F$745&gt;=Lists!$AE9)*('Intrapartum Care'!$F$7:$F$745&lt;=Lists!$AF9))</f>
        <v>0</v>
      </c>
      <c r="IK15" s="290">
        <f>SUMPRODUCT(('Intrapartum Care'!$BE$7:$BE$745=IK$6)*('Intrapartum Care'!$F$7:$F$745&gt;=Lists!$AE9)*('Intrapartum Care'!$F$7:$F$745&lt;=Lists!$AF9))</f>
        <v>0</v>
      </c>
      <c r="IL15" s="290">
        <f>SUMPRODUCT(('Intrapartum Care'!$BE$7:$BE$745=IL$6)*('Intrapartum Care'!$F$7:$F$745&gt;=Lists!$AE9)*('Intrapartum Care'!$F$7:$F$745&lt;=Lists!$AF9))</f>
        <v>0</v>
      </c>
      <c r="IM15" s="290">
        <f>SUMPRODUCT(('Intrapartum Care'!$BE$7:$BE$745=IM$6)*('Intrapartum Care'!$F$7:$F$745&gt;=Lists!$AE9)*('Intrapartum Care'!$F$7:$F$745&lt;=Lists!$AF9))</f>
        <v>0</v>
      </c>
      <c r="IN15" s="290">
        <f>SUMPRODUCT(('Intrapartum Care'!$BE$7:$BE$745=IN$6)*('Intrapartum Care'!$F$7:$F$745&gt;=Lists!$AE9)*('Intrapartum Care'!$F$7:$F$745&lt;=Lists!$AF9))</f>
        <v>0</v>
      </c>
      <c r="IO15" s="290">
        <f>SUMPRODUCT(('Intrapartum Care'!$BE$7:$BE$745=IO$6)*('Intrapartum Care'!$F$7:$F$745&gt;=Lists!$AE9)*('Intrapartum Care'!$F$7:$F$745&lt;=Lists!$AF9))</f>
        <v>0</v>
      </c>
      <c r="IP15" s="290">
        <f>SUMPRODUCT(('Intrapartum Care'!$BE$7:$BE$745=IP$6)*('Intrapartum Care'!$F$7:$F$745&gt;=Lists!$AE9)*('Intrapartum Care'!$F$7:$F$745&lt;=Lists!$AF9))</f>
        <v>0</v>
      </c>
      <c r="IQ15" s="170">
        <f t="shared" si="33"/>
        <v>0</v>
      </c>
      <c r="IR15" s="290">
        <f>SUMPRODUCT(('Intrapartum Care'!$BF$7:$BF$745=IR$6)*('Intrapartum Care'!$F$7:$F$745&gt;=Lists!$AE9)*('Intrapartum Care'!$F$7:$F$745&lt;=Lists!$AF9))</f>
        <v>0</v>
      </c>
      <c r="IS15" s="290">
        <f>SUMPRODUCT(('Intrapartum Care'!$BF$7:$BF$745=IS$6)*('Intrapartum Care'!$F$7:$F$745&gt;=Lists!$AE9)*('Intrapartum Care'!$F$7:$F$745&lt;=Lists!$AF9))</f>
        <v>0</v>
      </c>
      <c r="IT15" s="290">
        <f>SUMPRODUCT(('Intrapartum Care'!$BF$7:$BF$745=IT$6)*('Intrapartum Care'!$F$7:$F$745&gt;=Lists!$AE9)*('Intrapartum Care'!$F$7:$F$745&lt;=Lists!$AF9))</f>
        <v>0</v>
      </c>
      <c r="IU15" s="290">
        <f>SUMPRODUCT(('Intrapartum Care'!$BF$7:$BF$745=IU$6)*('Intrapartum Care'!$F$7:$F$745&gt;=Lists!$AE9)*('Intrapartum Care'!$F$7:$F$745&lt;=Lists!$AF9))</f>
        <v>0</v>
      </c>
      <c r="IV15" s="170">
        <f t="shared" si="34"/>
        <v>0</v>
      </c>
      <c r="IW15" s="290">
        <f>SUMPRODUCT(('Intrapartum Care'!$BH$7:$BH$745=IW$6)*('Intrapartum Care'!$F$7:$F$745&gt;=Lists!$AE9)*('Intrapartum Care'!$F$7:$F$745&lt;=Lists!$AF9))</f>
        <v>0</v>
      </c>
      <c r="IX15" s="290">
        <f>SUMPRODUCT(('Intrapartum Care'!$BH$7:$BH$745=IX$6)*('Intrapartum Care'!$F$7:$F$745&gt;=Lists!$AE9)*('Intrapartum Care'!$F$7:$F$745&lt;=Lists!$AF9))</f>
        <v>0</v>
      </c>
      <c r="IY15" s="290">
        <f>SUMPRODUCT(('Intrapartum Care'!$BH$7:$BH$745=IY$6)*('Intrapartum Care'!$F$7:$F$745&gt;=Lists!$AE9)*('Intrapartum Care'!$F$7:$F$745&lt;=Lists!$AF9))</f>
        <v>0</v>
      </c>
      <c r="IZ15" s="290">
        <f>SUMPRODUCT(('Intrapartum Care'!$BH$7:$BH$745=IZ$6)*('Intrapartum Care'!$F$7:$F$745&gt;=Lists!$AE9)*('Intrapartum Care'!$F$7:$F$745&lt;=Lists!$AF9))</f>
        <v>0</v>
      </c>
      <c r="JA15" s="290">
        <f>SUMPRODUCT(('Intrapartum Care'!$BH$7:$BH$745=JA$6)*('Intrapartum Care'!$F$7:$F$745&gt;=Lists!$AE9)*('Intrapartum Care'!$F$7:$F$745&lt;=Lists!$AF9))</f>
        <v>0</v>
      </c>
      <c r="JB15" s="551">
        <f t="shared" si="35"/>
        <v>0</v>
      </c>
      <c r="JC15" s="243">
        <f t="shared" si="1"/>
        <v>0</v>
      </c>
      <c r="JD15" s="15"/>
      <c r="JE15" s="15"/>
      <c r="JF15" s="15"/>
      <c r="JG15" s="15"/>
      <c r="JH15" s="15"/>
      <c r="JI15" s="15"/>
      <c r="JJ15" s="15"/>
      <c r="JK15" s="15"/>
      <c r="JL15" s="16"/>
      <c r="JM15" s="15"/>
      <c r="JN15" s="15"/>
      <c r="JO15" s="15"/>
      <c r="JP15" s="15"/>
    </row>
    <row r="16" spans="1:279" ht="15" customHeight="1" x14ac:dyDescent="0.35">
      <c r="A16" s="570">
        <v>45992</v>
      </c>
      <c r="B16" s="345">
        <f>SUMPRODUCT(('Intrapartum Care'!$C$7:$C$745=B$6)*('Intrapartum Care'!$F$7:$F$745&gt;=Lists!$AE10)*('Intrapartum Care'!$F$7:$F$745&lt;=Lists!$AF10))</f>
        <v>0</v>
      </c>
      <c r="C16" s="251">
        <f>SUMPRODUCT(('Intrapartum Care'!$C$7:$C$745=C$6)*('Intrapartum Care'!$F$7:$F$745&gt;=Lists!$AE10)*('Intrapartum Care'!$F$7:$F$745&lt;=Lists!$AF10))</f>
        <v>0</v>
      </c>
      <c r="D16" s="170">
        <f t="shared" si="2"/>
        <v>0</v>
      </c>
      <c r="E16" s="290">
        <f>SUMPRODUCT(('Intrapartum Care'!$D$7:$D$745=E$6)*('Intrapartum Care'!$F$7:$F$745&gt;=Lists!$AE10)*('Intrapartum Care'!$F$7:$F$745&lt;=Lists!$AF10))</f>
        <v>0</v>
      </c>
      <c r="F16" s="290">
        <f>SUMPRODUCT(('Intrapartum Care'!$D$7:$D$745=F$6)*('Intrapartum Care'!$F$7:$F$745&gt;=Lists!$AE10)*('Intrapartum Care'!$F$7:$F$745&lt;=Lists!$AF10))</f>
        <v>0</v>
      </c>
      <c r="G16" s="290">
        <f>SUMPRODUCT(('Intrapartum Care'!$D$7:$D$745=G$6)*('Intrapartum Care'!$F$7:$F$745&gt;=Lists!$AE10)*('Intrapartum Care'!$F$7:$F$745&lt;=Lists!$AF10))</f>
        <v>0</v>
      </c>
      <c r="H16" s="170">
        <f t="shared" si="3"/>
        <v>0</v>
      </c>
      <c r="I16" s="255">
        <f>SUMPRODUCT(('Intrapartum Care'!$E$7:$E$745=I$6)*('Intrapartum Care'!$F$7:$F$745&gt;=Lists!$AE10)*('Intrapartum Care'!$F$7:$F$745&lt;=Lists!$AF10))</f>
        <v>0</v>
      </c>
      <c r="J16" s="252">
        <f>SUMPRODUCT(('Intrapartum Care'!$E$7:$E$745=J$6)*('Intrapartum Care'!$F$7:$F$745&gt;=Lists!$AE10)*('Intrapartum Care'!$F$7:$F$745&lt;=Lists!$AF10))</f>
        <v>0</v>
      </c>
      <c r="K16" s="252">
        <f>SUMPRODUCT(('Intrapartum Care'!$E$7:$E$745=K$6)*('Intrapartum Care'!$F$7:$F$745&gt;=Lists!$AE10)*('Intrapartum Care'!$F$7:$F$745&lt;=Lists!$AF10))</f>
        <v>0</v>
      </c>
      <c r="L16" s="252">
        <f>SUMPRODUCT(('Intrapartum Care'!$E$7:$E$745=L$6)*('Intrapartum Care'!$F$7:$F$745&gt;=Lists!$AE10)*('Intrapartum Care'!$F$7:$F$745&lt;=Lists!$AF10))</f>
        <v>0</v>
      </c>
      <c r="M16" s="252">
        <f>SUMPRODUCT(('Intrapartum Care'!$E$7:$E$745=M$6)*('Intrapartum Care'!$F$7:$F$745&gt;=Lists!$AE10)*('Intrapartum Care'!$F$7:$F$745&lt;=Lists!$AF10))</f>
        <v>0</v>
      </c>
      <c r="N16" s="252">
        <f>SUMPRODUCT(('Intrapartum Care'!$E$7:$E$745=N$6)*('Intrapartum Care'!$F$7:$F$745&gt;=Lists!$AE10)*('Intrapartum Care'!$F$7:$F$745&lt;=Lists!$AF10))</f>
        <v>0</v>
      </c>
      <c r="O16" s="252">
        <f>SUMPRODUCT(('Intrapartum Care'!$E$7:$E$745=O$6)*('Intrapartum Care'!$F$7:$F$745&gt;=Lists!$AE10)*('Intrapartum Care'!$F$7:$F$745&lt;=Lists!$AF10))</f>
        <v>0</v>
      </c>
      <c r="P16" s="252">
        <f>SUMPRODUCT(('Intrapartum Care'!$E$7:$E$745=P$6)*('Intrapartum Care'!$F$7:$F$745&gt;=Lists!$AE10)*('Intrapartum Care'!$F$7:$F$745&lt;=Lists!$AF10))</f>
        <v>0</v>
      </c>
      <c r="Q16" s="252">
        <f>SUMPRODUCT(('Intrapartum Care'!$E$7:$E$745=Q$6)*('Intrapartum Care'!$F$7:$F$745&gt;=Lists!$AE10)*('Intrapartum Care'!$F$7:$F$745&lt;=Lists!$AF10))</f>
        <v>0</v>
      </c>
      <c r="R16" s="252">
        <f>SUMPRODUCT(('Intrapartum Care'!$E$7:$E$745=R$6)*('Intrapartum Care'!$F$7:$F$745&gt;=Lists!$AE10)*('Intrapartum Care'!$F$7:$F$745&lt;=Lists!$AF10))</f>
        <v>0</v>
      </c>
      <c r="S16" s="252">
        <f>SUMPRODUCT(('Intrapartum Care'!$E$7:$E$745=S$6)*('Intrapartum Care'!$F$7:$F$745&gt;=Lists!$AE10)*('Intrapartum Care'!$F$7:$F$745&lt;=Lists!$AF10))</f>
        <v>0</v>
      </c>
      <c r="T16" s="252">
        <f>SUMPRODUCT(('Intrapartum Care'!$E$7:$E$745=T$6)*('Intrapartum Care'!$F$7:$F$745&gt;=Lists!$AE10)*('Intrapartum Care'!$F$7:$F$745&lt;=Lists!$AF10))</f>
        <v>0</v>
      </c>
      <c r="U16" s="252">
        <f>SUMPRODUCT(('Intrapartum Care'!$E$7:$E$745=U$6)*('Intrapartum Care'!$F$7:$F$745&gt;=Lists!$AE10)*('Intrapartum Care'!$F$7:$F$745&lt;=Lists!$AF10))</f>
        <v>0</v>
      </c>
      <c r="V16" s="252">
        <f>SUMPRODUCT(('Intrapartum Care'!$E$7:$E$745=V$6)*('Intrapartum Care'!$F$7:$F$745&gt;=Lists!$AE10)*('Intrapartum Care'!$F$7:$F$745&lt;=Lists!$AF10))</f>
        <v>0</v>
      </c>
      <c r="W16" s="252">
        <f>SUMPRODUCT(('Intrapartum Care'!$E$7:$E$745=W$6)*('Intrapartum Care'!$F$7:$F$745&gt;=Lists!$AE10)*('Intrapartum Care'!$F$7:$F$745&lt;=Lists!$AF10))</f>
        <v>0</v>
      </c>
      <c r="X16" s="252">
        <f>SUMPRODUCT(('Intrapartum Care'!$E$7:$E$745=X$6)*('Intrapartum Care'!$F$7:$F$745&gt;=Lists!$AE10)*('Intrapartum Care'!$F$7:$F$745&lt;=Lists!$AF10))</f>
        <v>0</v>
      </c>
      <c r="Y16" s="252">
        <f>SUMPRODUCT(('Intrapartum Care'!$E$7:$E$745=Y$6)*('Intrapartum Care'!$F$7:$F$745&gt;=Lists!$AE10)*('Intrapartum Care'!$F$7:$F$745&lt;=Lists!$AF10))</f>
        <v>0</v>
      </c>
      <c r="Z16" s="252">
        <f>SUMPRODUCT(('Intrapartum Care'!$E$7:$E$745=Z$6)*('Intrapartum Care'!$F$7:$F$745&gt;=Lists!$AE10)*('Intrapartum Care'!$F$7:$F$745&lt;=Lists!$AF10))</f>
        <v>0</v>
      </c>
      <c r="AA16" s="252">
        <f>SUMPRODUCT(('Intrapartum Care'!$E$7:$E$745=AA$6)*('Intrapartum Care'!$F$7:$F$745&gt;=Lists!$AE10)*('Intrapartum Care'!$F$7:$F$745&lt;=Lists!$AF10))</f>
        <v>0</v>
      </c>
      <c r="AB16" s="252">
        <f>SUMPRODUCT(('Intrapartum Care'!$E$7:$E$745=AB$6)*('Intrapartum Care'!$F$7:$F$745&gt;=Lists!$AE10)*('Intrapartum Care'!$F$7:$F$745&lt;=Lists!$AF10))</f>
        <v>0</v>
      </c>
      <c r="AC16" s="264">
        <f>SUMPRODUCT(('Intrapartum Care'!$E$7:$E$745=AC$6)*('Intrapartum Care'!$F$7:$F$745&gt;=Lists!$AE10)*('Intrapartum Care'!$F$7:$F$745&lt;=Lists!$AF10))</f>
        <v>0</v>
      </c>
      <c r="AD16" s="227">
        <f t="shared" si="4"/>
        <v>0</v>
      </c>
      <c r="AE16" s="255">
        <f>SUMPRODUCT(('Intrapartum Care'!$H$7:$H$745=AE$6)*('Intrapartum Care'!$F$7:$F$745&gt;=Lists!$AE10)*('Intrapartum Care'!$F$7:$F$745&lt;=Lists!$AF10))</f>
        <v>0</v>
      </c>
      <c r="AF16" s="252">
        <f>SUMPRODUCT(('Intrapartum Care'!$H$7:$H$745=AF$6)*('Intrapartum Care'!$F$7:$F$745&gt;=Lists!$AE10)*('Intrapartum Care'!$F$7:$F$745&lt;=Lists!$AF10))</f>
        <v>0</v>
      </c>
      <c r="AG16" s="252">
        <f>SUMPRODUCT(('Intrapartum Care'!$H$7:$H$745=AG$6)*('Intrapartum Care'!$F$7:$F$745&gt;=Lists!$AE10)*('Intrapartum Care'!$F$7:$F$745&lt;=Lists!$AF10))</f>
        <v>0</v>
      </c>
      <c r="AH16" s="252">
        <f>SUMPRODUCT(('Intrapartum Care'!$H$7:$H$745=AH$6)*('Intrapartum Care'!$F$7:$F$745&gt;=Lists!$AE10)*('Intrapartum Care'!$F$7:$F$745&lt;=Lists!$AF10))</f>
        <v>0</v>
      </c>
      <c r="AI16" s="252">
        <f>SUMPRODUCT(('Intrapartum Care'!$H$7:$H$745=AI$6)*('Intrapartum Care'!$F$7:$F$745&gt;=Lists!$AE10)*('Intrapartum Care'!$F$7:$F$745&lt;=Lists!$AF10))</f>
        <v>0</v>
      </c>
      <c r="AJ16" s="252">
        <f>SUMPRODUCT(('Intrapartum Care'!$H$7:$H$745=AJ$6)*('Intrapartum Care'!$F$7:$F$745&gt;=Lists!$AE10)*('Intrapartum Care'!$F$7:$F$745&lt;=Lists!$AF10))</f>
        <v>0</v>
      </c>
      <c r="AK16" s="252">
        <f>SUMPRODUCT(('Intrapartum Care'!$H$7:$H$745=AK$6)*('Intrapartum Care'!$F$7:$F$745&gt;=Lists!$AE10)*('Intrapartum Care'!$F$7:$F$745&lt;=Lists!$AF10))</f>
        <v>0</v>
      </c>
      <c r="AL16" s="252">
        <f>SUMPRODUCT(('Intrapartum Care'!$H$7:$H$745=AL$6)*('Intrapartum Care'!$F$7:$F$745&gt;=Lists!$AE10)*('Intrapartum Care'!$F$7:$F$745&lt;=Lists!$AF10))</f>
        <v>0</v>
      </c>
      <c r="AM16" s="264">
        <f>SUMPRODUCT(('Intrapartum Care'!$H$7:$H$745=AM$6)*('Intrapartum Care'!$F$7:$F$745&gt;=Lists!$AE10)*('Intrapartum Care'!$F$7:$F$745&lt;=Lists!$AF10))</f>
        <v>0</v>
      </c>
      <c r="AN16" s="170">
        <f t="shared" si="5"/>
        <v>0</v>
      </c>
      <c r="AO16" s="255">
        <f>SUMPRODUCT(('Intrapartum Care'!$I$7:$I$745=AO$6)*('Intrapartum Care'!$F$7:$F$745&gt;=Lists!$AE10)*('Intrapartum Care'!$F$7:$F$745&lt;=Lists!$AF10))</f>
        <v>0</v>
      </c>
      <c r="AP16" s="252">
        <f>SUMPRODUCT(('Intrapartum Care'!$I$7:$I$745=AP$6)*('Intrapartum Care'!$F$7:$F$745&gt;=Lists!$AE10)*('Intrapartum Care'!$F$7:$F$745&lt;=Lists!$AF10))</f>
        <v>0</v>
      </c>
      <c r="AQ16" s="252">
        <f>SUMPRODUCT(('Intrapartum Care'!$I$7:$I$745=AQ$6)*('Intrapartum Care'!$F$7:$F$745&gt;=Lists!$AE10)*('Intrapartum Care'!$F$7:$F$745&lt;=Lists!$AF10))</f>
        <v>0</v>
      </c>
      <c r="AR16" s="252">
        <f>SUMPRODUCT(('Intrapartum Care'!$I$7:$I$745=AR$6)*('Intrapartum Care'!$F$7:$F$745&gt;=Lists!$AE10)*('Intrapartum Care'!$F$7:$F$745&lt;=Lists!$AF10))</f>
        <v>0</v>
      </c>
      <c r="AS16" s="252">
        <f>SUMPRODUCT(('Intrapartum Care'!$I$7:$I$745=AS$6)*('Intrapartum Care'!$F$7:$F$745&gt;=Lists!$AE10)*('Intrapartum Care'!$F$7:$F$745&lt;=Lists!$AF10))</f>
        <v>0</v>
      </c>
      <c r="AT16" s="252">
        <f>SUMPRODUCT(('Intrapartum Care'!$I$7:$I$745=AT$6)*('Intrapartum Care'!$F$7:$F$745&gt;=Lists!$AE10)*('Intrapartum Care'!$F$7:$F$745&lt;=Lists!$AF10))</f>
        <v>0</v>
      </c>
      <c r="AU16" s="253">
        <f>SUMPRODUCT(('Intrapartum Care'!$I$7:$I$745=AU$6)*('Intrapartum Care'!$F$7:$F$745&gt;=Lists!$AE10)*('Intrapartum Care'!$F$7:$F$745&lt;=Lists!$AF10))</f>
        <v>0</v>
      </c>
      <c r="AV16" s="170">
        <f t="shared" si="6"/>
        <v>0</v>
      </c>
      <c r="AW16" s="255">
        <f>SUMPRODUCT(('Intrapartum Care'!$J$7:$J$745=AW$6)*('Intrapartum Care'!$F$7:$F$745&gt;=Lists!$AE10)*('Intrapartum Care'!$F$7:$F$745&lt;=Lists!$AF10))</f>
        <v>0</v>
      </c>
      <c r="AX16" s="253">
        <f>SUMPRODUCT(('Intrapartum Care'!$J$7:$J$745=AX$6)*('Intrapartum Care'!$F$7:$F$745&gt;=Lists!$AE10)*('Intrapartum Care'!$F$7:$F$745&lt;=Lists!$AF10))</f>
        <v>0</v>
      </c>
      <c r="AY16" s="170">
        <f t="shared" si="7"/>
        <v>0</v>
      </c>
      <c r="AZ16" s="263">
        <f>SUMPRODUCT(('Intrapartum Care'!$R$7:$R$745=AZ$6)*('Intrapartum Care'!$F$7:$F$745&gt;=Lists!$AE10)*('Intrapartum Care'!$F$7:$F$745&lt;=Lists!$AF10))</f>
        <v>0</v>
      </c>
      <c r="BA16" s="252">
        <f>SUMPRODUCT(('Intrapartum Care'!$R$7:$R$745=BA$6)*('Intrapartum Care'!$F$7:$F$745&gt;=Lists!$AE10)*('Intrapartum Care'!$F$7:$F$745&lt;=Lists!$AF10))</f>
        <v>0</v>
      </c>
      <c r="BB16" s="252">
        <f>SUMPRODUCT(('Intrapartum Care'!$R$7:$R$745=BB$6)*('Intrapartum Care'!$F$7:$F$745&gt;=Lists!$AE10)*('Intrapartum Care'!$F$7:$F$745&lt;=Lists!$AF10))</f>
        <v>0</v>
      </c>
      <c r="BC16" s="253">
        <f>SUMPRODUCT(('Intrapartum Care'!$R$7:$R$745=BC$6)*('Intrapartum Care'!$F$7:$F$745&gt;=Lists!$AE10)*('Intrapartum Care'!$F$7:$F$745&lt;=Lists!$AF10))</f>
        <v>0</v>
      </c>
      <c r="BD16" s="170">
        <f t="shared" si="8"/>
        <v>0</v>
      </c>
      <c r="BE16" s="263">
        <f>SUMPRODUCT(('Intrapartum Care'!$S$7:$S$745=BE$6)*('Intrapartum Care'!$F$7:$F$745&gt;=Lists!$AE10)*('Intrapartum Care'!$F$7:$F$745&lt;=Lists!$AF10))</f>
        <v>0</v>
      </c>
      <c r="BF16" s="252">
        <f>SUMPRODUCT(('Intrapartum Care'!$S$7:$S$745=BF$6)*('Intrapartum Care'!$F$7:$F$745&gt;=Lists!$AE10)*('Intrapartum Care'!$F$7:$F$745&lt;=Lists!$AF10))</f>
        <v>0</v>
      </c>
      <c r="BG16" s="264">
        <f>SUMPRODUCT(('Intrapartum Care'!$S$7:$S$745=BG$6)*('Intrapartum Care'!$F$7:$F$745&gt;=Lists!$AE10)*('Intrapartum Care'!$F$7:$F$745&lt;=Lists!$AF10))</f>
        <v>0</v>
      </c>
      <c r="BH16" s="170">
        <f t="shared" si="9"/>
        <v>0</v>
      </c>
      <c r="BI16" s="290">
        <f>SUMPRODUCT(('Intrapartum Care'!$T$7:$T$745=BI$6)*('Intrapartum Care'!$F$7:$F$745&gt;=Lists!$AE10)*('Intrapartum Care'!$F$7:$F$745&lt;=Lists!$AF10))</f>
        <v>0</v>
      </c>
      <c r="BJ16" s="290">
        <f>SUMPRODUCT(('Intrapartum Care'!$T$7:$T$745=BJ$6)*('Intrapartum Care'!$F$7:$F$745&gt;=Lists!$AE10)*('Intrapartum Care'!$F$7:$F$745&lt;=Lists!$AF10))</f>
        <v>0</v>
      </c>
      <c r="BK16" s="290">
        <f>SUMPRODUCT(('Intrapartum Care'!$T$7:$T$745=BK$6)*('Intrapartum Care'!$F$7:$F$745&gt;=Lists!$AE10)*('Intrapartum Care'!$F$7:$F$745&lt;=Lists!$AF10))</f>
        <v>0</v>
      </c>
      <c r="BL16" s="290">
        <f>SUMPRODUCT(('Intrapartum Care'!$T$7:$T$745=BL$6)*('Intrapartum Care'!$F$7:$F$745&gt;=Lists!$AE10)*('Intrapartum Care'!$F$7:$F$745&lt;=Lists!$AF10))</f>
        <v>0</v>
      </c>
      <c r="BM16" s="227">
        <f t="shared" si="10"/>
        <v>0</v>
      </c>
      <c r="BN16" s="290">
        <f>SUMPRODUCT(('Intrapartum Care'!$U$7:$U$745=BN$6)*('Intrapartum Care'!$F$7:$F$745&gt;=Lists!$AE10)*('Intrapartum Care'!$F$7:$F$745&lt;=Lists!$AF10))</f>
        <v>0</v>
      </c>
      <c r="BO16" s="290">
        <f>SUMPRODUCT(('Intrapartum Care'!$U$7:$U$745=BO$6)*('Intrapartum Care'!$F$7:$F$745&gt;=Lists!$AE10)*('Intrapartum Care'!$F$7:$F$745&lt;=Lists!$AF10))</f>
        <v>0</v>
      </c>
      <c r="BP16" s="290">
        <f>SUMPRODUCT(('Intrapartum Care'!$U$7:$U$745=BP$6)*('Intrapartum Care'!$F$7:$F$745&gt;=Lists!$AE10)*('Intrapartum Care'!$F$7:$F$745&lt;=Lists!$AF10))</f>
        <v>0</v>
      </c>
      <c r="BQ16" s="290">
        <f>SUMPRODUCT(('Intrapartum Care'!$U$7:$U$745=BQ$6)*('Intrapartum Care'!$F$7:$F$745&gt;=Lists!$AE10)*('Intrapartum Care'!$F$7:$F$745&lt;=Lists!$AF10))</f>
        <v>0</v>
      </c>
      <c r="BR16" s="227">
        <f t="shared" si="11"/>
        <v>0</v>
      </c>
      <c r="BS16" s="290">
        <f>SUMPRODUCT(('Intrapartum Care'!$V$7:$V$745=BS$6)*('Intrapartum Care'!$F$7:$F$745&gt;=Lists!$AE10)*('Intrapartum Care'!$F$7:$F$745&lt;=Lists!$AF10))</f>
        <v>0</v>
      </c>
      <c r="BT16" s="290">
        <f>SUMPRODUCT(('Intrapartum Care'!$V$7:$V$745=BT$6)*('Intrapartum Care'!$F$7:$F$745&gt;=Lists!$AE10)*('Intrapartum Care'!$F$7:$F$745&lt;=Lists!$AF10))</f>
        <v>0</v>
      </c>
      <c r="BU16" s="290">
        <f>SUMPRODUCT(('Intrapartum Care'!$V$7:$V$745=BU$6)*('Intrapartum Care'!$F$7:$F$745&gt;=Lists!$AE10)*('Intrapartum Care'!$F$7:$F$745&lt;=Lists!$AF10))</f>
        <v>0</v>
      </c>
      <c r="BV16" s="290">
        <f>SUMPRODUCT(('Intrapartum Care'!$V$7:$V$745=BV$6)*('Intrapartum Care'!$F$7:$F$745&gt;=Lists!$AE10)*('Intrapartum Care'!$F$7:$F$745&lt;=Lists!$AF10))</f>
        <v>0</v>
      </c>
      <c r="BW16" s="290">
        <f>SUMPRODUCT(('Intrapartum Care'!$V$7:$V$745=BW$6)*('Intrapartum Care'!$F$7:$F$745&gt;=Lists!$AE10)*('Intrapartum Care'!$F$7:$F$745&lt;=Lists!$AF10))</f>
        <v>0</v>
      </c>
      <c r="BX16" s="227">
        <f t="shared" si="12"/>
        <v>0</v>
      </c>
      <c r="BY16" s="290">
        <f>SUMPRODUCT(('Intrapartum Care'!$W$7:$W$745=BY$6)*('Intrapartum Care'!$F$7:$F$745&gt;=Lists!$AE10)*('Intrapartum Care'!$F$7:$F$745&lt;=Lists!$AF10))</f>
        <v>0</v>
      </c>
      <c r="BZ16" s="290">
        <f>SUMPRODUCT(('Intrapartum Care'!$W$7:$W$745=BZ$6)*('Intrapartum Care'!$F$7:$F$745&gt;=Lists!$AE10)*('Intrapartum Care'!$F$7:$F$745&lt;=Lists!$AF10))</f>
        <v>0</v>
      </c>
      <c r="CA16" s="290">
        <f>SUMPRODUCT(('Intrapartum Care'!$W$7:$W$745=CA$6)*('Intrapartum Care'!$F$7:$F$745&gt;=Lists!$AE10)*('Intrapartum Care'!$F$7:$F$745&lt;=Lists!$AF10))</f>
        <v>0</v>
      </c>
      <c r="CB16" s="290">
        <f>SUMPRODUCT(('Intrapartum Care'!$W$7:$W$745=CB$6)*('Intrapartum Care'!$F$7:$F$745&gt;=Lists!$AE10)*('Intrapartum Care'!$F$7:$F$745&lt;=Lists!$AF10))</f>
        <v>0</v>
      </c>
      <c r="CC16" s="290">
        <f>SUMPRODUCT(('Intrapartum Care'!$W$7:$W$745=CC$6)*('Intrapartum Care'!$F$7:$F$745&gt;=Lists!$AE10)*('Intrapartum Care'!$F$7:$F$745&lt;=Lists!$AF10))</f>
        <v>0</v>
      </c>
      <c r="CD16" s="227">
        <f t="shared" si="13"/>
        <v>0</v>
      </c>
      <c r="CE16" s="290">
        <f>SUMPRODUCT(('Intrapartum Care'!$X$7:$X$745=CE$6)*('Intrapartum Care'!$F$7:$F$745&gt;=Lists!$AE10)*('Intrapartum Care'!$F$7:$F$745&lt;=Lists!$AF10))</f>
        <v>0</v>
      </c>
      <c r="CF16" s="290">
        <f>SUMPRODUCT(('Intrapartum Care'!$X$7:$X$745=CF$6)*('Intrapartum Care'!$F$7:$F$745&gt;=Lists!$AE10)*('Intrapartum Care'!$F$7:$F$745&lt;=Lists!$AF10))</f>
        <v>0</v>
      </c>
      <c r="CG16" s="290">
        <f>SUMPRODUCT(('Intrapartum Care'!$X$7:$X$745=CG$6)*('Intrapartum Care'!$F$7:$F$745&gt;=Lists!$AE10)*('Intrapartum Care'!$F$7:$F$745&lt;=Lists!$AF10))</f>
        <v>0</v>
      </c>
      <c r="CH16" s="290">
        <f>SUMPRODUCT(('Intrapartum Care'!$X$7:$X$745=CH$6)*('Intrapartum Care'!$F$7:$F$745&gt;=Lists!$AE10)*('Intrapartum Care'!$F$7:$F$745&lt;=Lists!$AF10))</f>
        <v>0</v>
      </c>
      <c r="CI16" s="290">
        <f>SUMPRODUCT(('Intrapartum Care'!$X$7:$X$745=CI$6)*('Intrapartum Care'!$F$7:$F$745&gt;=Lists!$AE10)*('Intrapartum Care'!$F$7:$F$745&lt;=Lists!$AF10))</f>
        <v>0</v>
      </c>
      <c r="CJ16" s="290">
        <f>SUMPRODUCT(('Intrapartum Care'!$X$7:$X$745=CJ$6)*('Intrapartum Care'!$F$7:$F$745&gt;=Lists!$AE10)*('Intrapartum Care'!$F$7:$F$745&lt;=Lists!$AF10))</f>
        <v>0</v>
      </c>
      <c r="CK16" s="290">
        <f>SUMPRODUCT(('Intrapartum Care'!$X$7:$X$745=CK$6)*('Intrapartum Care'!$F$7:$F$745&gt;=Lists!$AE10)*('Intrapartum Care'!$F$7:$F$745&lt;=Lists!$AF10))</f>
        <v>0</v>
      </c>
      <c r="CL16" s="227">
        <f t="shared" si="14"/>
        <v>0</v>
      </c>
      <c r="CM16" s="290">
        <f>SUMPRODUCT(('Intrapartum Care'!$Y$7:$Y$745=CM$6)*('Intrapartum Care'!$F$7:$F$745&gt;=Lists!$AE10)*('Intrapartum Care'!$F$7:$F$745&lt;=Lists!$AF10))</f>
        <v>0</v>
      </c>
      <c r="CN16" s="290">
        <f>SUMPRODUCT(('Intrapartum Care'!$Y$7:$Y$745=CN$6)*('Intrapartum Care'!$F$7:$F$745&gt;=Lists!$AE10)*('Intrapartum Care'!$F$7:$F$745&lt;=Lists!$AF10))</f>
        <v>0</v>
      </c>
      <c r="CO16" s="290">
        <f>SUMPRODUCT(('Intrapartum Care'!$Y$7:$Y$745=CO$6)*('Intrapartum Care'!$F$7:$F$745&gt;=Lists!$AE10)*('Intrapartum Care'!$F$7:$F$745&lt;=Lists!$AF10))</f>
        <v>0</v>
      </c>
      <c r="CP16" s="290">
        <f>SUMPRODUCT(('Intrapartum Care'!$Y$7:$Y$745=CP$6)*('Intrapartum Care'!$F$7:$F$745&gt;=Lists!$AE10)*('Intrapartum Care'!$F$7:$F$745&lt;=Lists!$AF10))</f>
        <v>0</v>
      </c>
      <c r="CQ16" s="290">
        <f>SUMPRODUCT(('Intrapartum Care'!$Y$7:$Y$745=CQ$6)*('Intrapartum Care'!$F$7:$F$745&gt;=Lists!$AE10)*('Intrapartum Care'!$F$7:$F$745&lt;=Lists!$AF10))</f>
        <v>0</v>
      </c>
      <c r="CR16" s="290">
        <f>SUMPRODUCT(('Intrapartum Care'!$Y$7:$Y$745=CR$6)*('Intrapartum Care'!$F$7:$F$745&gt;=Lists!$AE10)*('Intrapartum Care'!$F$7:$F$745&lt;=Lists!$AF10))</f>
        <v>0</v>
      </c>
      <c r="CS16" s="227">
        <f t="shared" si="15"/>
        <v>0</v>
      </c>
      <c r="CT16" s="290">
        <f>SUMPRODUCT(('Intrapartum Care'!$Z$7:$Z$745=CT$6)*('Intrapartum Care'!$F$7:$F$745&gt;=Lists!$AE10)*('Intrapartum Care'!$F$7:$F$745&lt;=Lists!$AF10))</f>
        <v>0</v>
      </c>
      <c r="CU16" s="290">
        <f>SUMPRODUCT(('Intrapartum Care'!$Z$7:$Z$745=CU$6)*('Intrapartum Care'!$F$7:$F$745&gt;=Lists!$AE10)*('Intrapartum Care'!$F$7:$F$745&lt;=Lists!$AF10))</f>
        <v>0</v>
      </c>
      <c r="CV16" s="290">
        <f>SUMPRODUCT(('Intrapartum Care'!$Z$7:$Z$745=CV$6)*('Intrapartum Care'!$F$7:$F$745&gt;=Lists!$AE10)*('Intrapartum Care'!$F$7:$F$745&lt;=Lists!$AF10))</f>
        <v>0</v>
      </c>
      <c r="CW16" s="290">
        <f>SUMPRODUCT(('Intrapartum Care'!$Z$7:$Z$745=CW$6)*('Intrapartum Care'!$F$7:$F$745&gt;=Lists!$AE10)*('Intrapartum Care'!$F$7:$F$745&lt;=Lists!$AF10))</f>
        <v>0</v>
      </c>
      <c r="CX16" s="290">
        <f>SUMPRODUCT(('Intrapartum Care'!$Z$7:$Z$745=CX$6)*('Intrapartum Care'!$F$7:$F$745&gt;=Lists!$AE10)*('Intrapartum Care'!$F$7:$F$745&lt;=Lists!$AF10))</f>
        <v>0</v>
      </c>
      <c r="CY16" s="290">
        <f>SUMPRODUCT(('Intrapartum Care'!$Z$7:$Z$745=CY$6)*('Intrapartum Care'!$F$7:$F$745&gt;=Lists!$AE10)*('Intrapartum Care'!$F$7:$F$745&lt;=Lists!$AF10))</f>
        <v>0</v>
      </c>
      <c r="CZ16" s="290">
        <f>SUMPRODUCT(('Intrapartum Care'!$Z$7:$Z$745=CZ$6)*('Intrapartum Care'!$F$7:$F$745&gt;=Lists!$AE10)*('Intrapartum Care'!$F$7:$F$745&lt;=Lists!$AF10))</f>
        <v>0</v>
      </c>
      <c r="DA16" s="290">
        <f>SUMPRODUCT(('Intrapartum Care'!$Z$7:$Z$745=DA$6)*('Intrapartum Care'!$F$7:$F$745&gt;=Lists!$AE10)*('Intrapartum Care'!$F$7:$F$745&lt;=Lists!$AF10))</f>
        <v>0</v>
      </c>
      <c r="DB16" s="227">
        <f t="shared" si="16"/>
        <v>0</v>
      </c>
      <c r="DC16" s="290">
        <f>SUMPRODUCT(('Intrapartum Care'!$AA$7:$AA$745=DC$6)*('Intrapartum Care'!$F$7:$F$745&gt;=Lists!$AE10)*('Intrapartum Care'!$F$7:$F$745&lt;=Lists!$AF10))</f>
        <v>0</v>
      </c>
      <c r="DD16" s="290">
        <f>SUMPRODUCT(('Intrapartum Care'!$AA$7:$AA$745=DD$6)*('Intrapartum Care'!$F$7:$F$745&gt;=Lists!$AE10)*('Intrapartum Care'!$F$7:$F$745&lt;=Lists!$AF10))</f>
        <v>0</v>
      </c>
      <c r="DE16" s="290">
        <f>SUMPRODUCT(('Intrapartum Care'!$AA$7:$AA$745=DE$6)*('Intrapartum Care'!$F$7:$F$745&gt;=Lists!$AE10)*('Intrapartum Care'!$F$7:$F$745&lt;=Lists!$AF10))</f>
        <v>0</v>
      </c>
      <c r="DF16" s="227">
        <f t="shared" si="17"/>
        <v>0</v>
      </c>
      <c r="DG16" s="295">
        <f>SUMPRODUCT(('Intrapartum Care'!$AB$7:$AB$745=DG$6)*('Intrapartum Care'!$F$7:$F$745&gt;=Lists!$AE10)*('Intrapartum Care'!$F$7:$F$745&lt;=Lists!$AF10))</f>
        <v>0</v>
      </c>
      <c r="DH16" s="290">
        <f>SUMPRODUCT(('Intrapartum Care'!$AB$7:$AB$745=DH$6)*('Intrapartum Care'!$F$7:$F$745&gt;=Lists!$AE10)*('Intrapartum Care'!$F$7:$F$745&lt;=Lists!$AF10))</f>
        <v>0</v>
      </c>
      <c r="DI16" s="290">
        <f>SUMPRODUCT(('Intrapartum Care'!$AB$7:$AB$745=DI$6)*('Intrapartum Care'!$F$7:$F$745&gt;=Lists!$AE10)*('Intrapartum Care'!$F$7:$F$745&lt;=Lists!$AF10))</f>
        <v>0</v>
      </c>
      <c r="DJ16" s="290">
        <f>SUMPRODUCT(('Intrapartum Care'!$AB$7:$AB$745=DJ$6)*('Intrapartum Care'!$F$7:$F$745&gt;=Lists!$AE10)*('Intrapartum Care'!$F$7:$F$745&lt;=Lists!$AF10))</f>
        <v>0</v>
      </c>
      <c r="DK16" s="290">
        <f>SUMPRODUCT(('Intrapartum Care'!$AB$7:$AB$745=DK$6)*('Intrapartum Care'!$F$7:$F$745&gt;=Lists!$AE10)*('Intrapartum Care'!$F$7:$F$745&lt;=Lists!$AF10))</f>
        <v>0</v>
      </c>
      <c r="DL16" s="290">
        <f>SUMPRODUCT(('Intrapartum Care'!$AB$7:$AB$745=DL$6)*('Intrapartum Care'!$F$7:$F$745&gt;=Lists!$AE10)*('Intrapartum Care'!$F$7:$F$745&lt;=Lists!$AF10))</f>
        <v>0</v>
      </c>
      <c r="DM16" s="290">
        <f>SUMPRODUCT(('Intrapartum Care'!$AB$7:$AB$745=DM$6)*('Intrapartum Care'!$F$7:$F$745&gt;=Lists!$AE10)*('Intrapartum Care'!$F$7:$F$745&lt;=Lists!$AF10))</f>
        <v>0</v>
      </c>
      <c r="DN16" s="227">
        <f t="shared" si="18"/>
        <v>0</v>
      </c>
      <c r="DO16" s="528">
        <f>SUMPRODUCT(('Intrapartum Care'!$AC$7:$AC$745=DO$6)*('Intrapartum Care'!$F$7:$F$745&gt;=Lists!$AE10)*('Intrapartum Care'!$F$7:$F$745&lt;=Lists!$AF10))</f>
        <v>0</v>
      </c>
      <c r="DP16" s="528">
        <f>SUMPRODUCT(('Intrapartum Care'!$AC$7:$AC$745=DP$6)*('Intrapartum Care'!$F$7:$F$745&gt;=Lists!$AE10)*('Intrapartum Care'!$F$7:$F$745&lt;=Lists!$AF10))</f>
        <v>0</v>
      </c>
      <c r="DQ16" s="528">
        <f>SUMPRODUCT(('Intrapartum Care'!$AC$7:$AC$745=DQ$6)*('Intrapartum Care'!$F$7:$F$745&gt;=Lists!$AE10)*('Intrapartum Care'!$F$7:$F$745&lt;=Lists!$AF10))</f>
        <v>0</v>
      </c>
      <c r="DR16" s="528">
        <f>SUMPRODUCT(('Intrapartum Care'!$AC$7:$AC$745=DR$6)*('Intrapartum Care'!$F$7:$F$745&gt;=Lists!$AE10)*('Intrapartum Care'!$F$7:$F$745&lt;=Lists!$AF10))</f>
        <v>0</v>
      </c>
      <c r="DS16" s="528">
        <f>SUMPRODUCT(('Intrapartum Care'!$AC$7:$AC$745=DS$6)*('Intrapartum Care'!$F$7:$F$745&gt;=Lists!$AE10)*('Intrapartum Care'!$F$7:$F$745&lt;=Lists!$AF10))</f>
        <v>0</v>
      </c>
      <c r="DT16" s="528">
        <f>SUMPRODUCT(('Intrapartum Care'!$AC$7:$AC$745=DT$6)*('Intrapartum Care'!$F$7:$F$745&gt;=Lists!$AE10)*('Intrapartum Care'!$F$7:$F$745&lt;=Lists!$AF10))</f>
        <v>0</v>
      </c>
      <c r="DU16" s="528">
        <f>SUMPRODUCT(('Intrapartum Care'!$AC$7:$AC$745=DU$6)*('Intrapartum Care'!$F$7:$F$745&gt;=Lists!$AE10)*('Intrapartum Care'!$F$7:$F$745&lt;=Lists!$AF10))</f>
        <v>0</v>
      </c>
      <c r="DV16" s="528">
        <f>SUMPRODUCT(('Intrapartum Care'!$AC$7:$AC$745=DV$6)*('Intrapartum Care'!$F$7:$F$745&gt;=Lists!$AE10)*('Intrapartum Care'!$F$7:$F$745&lt;=Lists!$AF10))</f>
        <v>0</v>
      </c>
      <c r="DW16" s="528">
        <f>SUMPRODUCT(('Intrapartum Care'!$AC$7:$AC$745=DW$6)*('Intrapartum Care'!$F$7:$F$745&gt;=Lists!$AE10)*('Intrapartum Care'!$F$7:$F$745&lt;=Lists!$AF10))</f>
        <v>0</v>
      </c>
      <c r="DX16" s="227">
        <f t="shared" si="19"/>
        <v>0</v>
      </c>
      <c r="DY16" s="295">
        <f>SUMPRODUCT(('Intrapartum Care'!$AE$7:$AE$745=DY$6)*('Intrapartum Care'!$F$7:$F$745&gt;=Lists!$AE10)*('Intrapartum Care'!$F$7:$F$745&lt;=Lists!$AF10))</f>
        <v>0</v>
      </c>
      <c r="DZ16" s="295">
        <f>SUMPRODUCT(('Intrapartum Care'!$AE$7:$AE$745=DZ$6)*('Intrapartum Care'!$F$7:$F$745&gt;=Lists!$AE10)*('Intrapartum Care'!$F$7:$F$745&lt;=Lists!$AF10))</f>
        <v>0</v>
      </c>
      <c r="EA16" s="295">
        <f>SUMPRODUCT(('Intrapartum Care'!$AE$7:$AE$745=EA$6)*('Intrapartum Care'!$F$7:$F$745&gt;=Lists!$AE10)*('Intrapartum Care'!$F$7:$F$745&lt;=Lists!$AF10))</f>
        <v>0</v>
      </c>
      <c r="EB16" s="227">
        <f t="shared" si="20"/>
        <v>0</v>
      </c>
      <c r="EC16" s="295">
        <f>SUMPRODUCT(('Intrapartum Care'!$AF$7:$AF$745=EC$6)*('Intrapartum Care'!$F$7:$F$745&gt;=Lists!$AE10)*('Intrapartum Care'!$F$7:$F$745&lt;=Lists!$AF10))</f>
        <v>0</v>
      </c>
      <c r="ED16" s="295">
        <f>SUMPRODUCT(('Intrapartum Care'!$AF$7:$AF$745=ED$6)*('Intrapartum Care'!$F$7:$F$745&gt;=Lists!$AE10)*('Intrapartum Care'!$F$7:$F$745&lt;=Lists!$AF10))</f>
        <v>0</v>
      </c>
      <c r="EE16" s="295">
        <f>SUMPRODUCT(('Intrapartum Care'!$AF$7:$AF$745=EE$6)*('Intrapartum Care'!$F$7:$F$745&gt;=Lists!$AE10)*('Intrapartum Care'!$F$7:$F$745&lt;=Lists!$AF10))</f>
        <v>0</v>
      </c>
      <c r="EF16" s="295">
        <f>SUMPRODUCT(('Intrapartum Care'!$AF$7:$AF$745=EF$6)*('Intrapartum Care'!$F$7:$F$745&gt;=Lists!$AE10)*('Intrapartum Care'!$F$7:$F$745&lt;=Lists!$AF10))</f>
        <v>0</v>
      </c>
      <c r="EG16" s="295">
        <f>SUMPRODUCT(('Intrapartum Care'!$AF$7:$AF$745=EG$6)*('Intrapartum Care'!$F$7:$F$745&gt;=Lists!$AE10)*('Intrapartum Care'!$F$7:$F$745&lt;=Lists!$AF10))</f>
        <v>0</v>
      </c>
      <c r="EH16" s="227">
        <f t="shared" si="21"/>
        <v>0</v>
      </c>
      <c r="EI16" s="295">
        <f>SUMPRODUCT(('Intrapartum Care'!$AG$7:$AG$745=EI$6)*('Intrapartum Care'!$F$7:$F$745&gt;=Lists!$AE10)*('Intrapartum Care'!$F$7:$F$745&lt;=Lists!$AF10))</f>
        <v>0</v>
      </c>
      <c r="EJ16" s="295">
        <f>SUMPRODUCT(('Intrapartum Care'!$AG$7:$AG$745=EJ$6)*('Intrapartum Care'!$F$7:$F$745&gt;=Lists!$AE10)*('Intrapartum Care'!$F$7:$F$745&lt;=Lists!$AF10))</f>
        <v>0</v>
      </c>
      <c r="EK16" s="295">
        <f>SUMPRODUCT(('Intrapartum Care'!$AG$7:$AG$745=EK$6)*('Intrapartum Care'!$F$7:$F$745&gt;=Lists!$AE10)*('Intrapartum Care'!$F$7:$F$745&lt;=Lists!$AF10))</f>
        <v>0</v>
      </c>
      <c r="EL16" s="295">
        <f>SUMPRODUCT(('Intrapartum Care'!$AG$7:$AG$745=EL$6)*('Intrapartum Care'!$F$7:$F$745&gt;=Lists!$AE10)*('Intrapartum Care'!$F$7:$F$745&lt;=Lists!$AF10))</f>
        <v>0</v>
      </c>
      <c r="EM16" s="295">
        <f>SUMPRODUCT(('Intrapartum Care'!$AG$7:$AG$745=EM$6)*('Intrapartum Care'!$F$7:$F$745&gt;=Lists!$AE10)*('Intrapartum Care'!$F$7:$F$745&lt;=Lists!$AF10))</f>
        <v>0</v>
      </c>
      <c r="EN16" s="295">
        <f>SUMPRODUCT(('Intrapartum Care'!$AG$7:$AG$745=EN$6)*('Intrapartum Care'!$F$7:$F$745&gt;=Lists!$AE10)*('Intrapartum Care'!$F$7:$F$745&lt;=Lists!$AF10))</f>
        <v>0</v>
      </c>
      <c r="EO16" s="227">
        <f t="shared" si="22"/>
        <v>0</v>
      </c>
      <c r="EP16" s="295">
        <f>SUMPRODUCT(('Intrapartum Care'!$AH$7:$AH$745=EP$6)*('Intrapartum Care'!$F$7:$F$745&gt;=Lists!$AE10)*('Intrapartum Care'!$F$7:$F$745&lt;=Lists!$AF10))</f>
        <v>0</v>
      </c>
      <c r="EQ16" s="295">
        <f>SUMPRODUCT(('Intrapartum Care'!$AH$7:$AH$745=EQ$6)*('Intrapartum Care'!$F$7:$F$745&gt;=Lists!$AE10)*('Intrapartum Care'!$F$7:$F$745&lt;=Lists!$AF10))</f>
        <v>0</v>
      </c>
      <c r="ER16" s="295">
        <f>SUMPRODUCT(('Intrapartum Care'!$AH$7:$AH$745=ER$6)*('Intrapartum Care'!$F$7:$F$745&gt;=Lists!$AE10)*('Intrapartum Care'!$F$7:$F$745&lt;=Lists!$AF10))</f>
        <v>0</v>
      </c>
      <c r="ES16" s="227">
        <f t="shared" si="23"/>
        <v>0</v>
      </c>
      <c r="ET16" s="290">
        <f>SUMPRODUCT(('Intrapartum Care'!$AK$7:$AK$745=ET$6)*('Intrapartum Care'!$F$7:$F$745&gt;=Lists!$AE10)*('Intrapartum Care'!$F$7:$F$745&lt;=Lists!$AF10))</f>
        <v>0</v>
      </c>
      <c r="EU16" s="290">
        <f>SUMPRODUCT(('Intrapartum Care'!$AK$7:$AK$745=EU$6)*('Intrapartum Care'!$F$7:$F$745&gt;=Lists!$AE10)*('Intrapartum Care'!$F$7:$F$745&lt;=Lists!$AF10))</f>
        <v>0</v>
      </c>
      <c r="EV16" s="290">
        <f>SUMPRODUCT(('Intrapartum Care'!$AK$7:$AK$745=EV$6)*('Intrapartum Care'!$F$7:$F$745&gt;=Lists!$AE10)*('Intrapartum Care'!$F$7:$F$745&lt;=Lists!$AF10))</f>
        <v>0</v>
      </c>
      <c r="EW16" s="227">
        <f t="shared" si="24"/>
        <v>0</v>
      </c>
      <c r="EX16" s="290">
        <f>SUMPRODUCT(('Intrapartum Care'!$AL$7:$AL$745=EX$6)*('Intrapartum Care'!$F$7:$F$745&gt;=Lists!$AE10)*('Intrapartum Care'!$F$7:$F$745&lt;=Lists!$AF10))</f>
        <v>0</v>
      </c>
      <c r="EY16" s="290">
        <f>SUMPRODUCT(('Intrapartum Care'!$AL$7:$AL$745=EY$6)*('Intrapartum Care'!$F$7:$F$745&gt;=Lists!$AE10)*('Intrapartum Care'!$F$7:$F$745&lt;=Lists!$AF10))</f>
        <v>0</v>
      </c>
      <c r="EZ16" s="290">
        <f>SUMPRODUCT(('Intrapartum Care'!$AL$7:$AL$745=EZ$6)*('Intrapartum Care'!$F$7:$F$745&gt;=Lists!$AE10)*('Intrapartum Care'!$F$7:$F$745&lt;=Lists!$AF10))</f>
        <v>0</v>
      </c>
      <c r="FA16" s="227">
        <f t="shared" si="0"/>
        <v>0</v>
      </c>
      <c r="FB16" s="290">
        <f>SUMPRODUCT(('Intrapartum Care'!$AM$7:$AM$745=FB$6)*('Intrapartum Care'!$F$7:$F$745&gt;=Lists!$AE10)*('Intrapartum Care'!$F$7:$F$745&lt;=Lists!$AF10))</f>
        <v>0</v>
      </c>
      <c r="FC16" s="290">
        <f>SUMPRODUCT(('Intrapartum Care'!$AM$7:$AM$745=FC$6)*('Intrapartum Care'!$F$7:$F$745&gt;=Lists!$AE10)*('Intrapartum Care'!$F$7:$F$745&lt;=Lists!$AF10))</f>
        <v>0</v>
      </c>
      <c r="FD16" s="290">
        <f>SUMPRODUCT(('Intrapartum Care'!$AM$7:$AM$745=FD$6)*('Intrapartum Care'!$F$7:$F$745&gt;=Lists!$AE10)*('Intrapartum Care'!$F$7:$F$745&lt;=Lists!$AF10))</f>
        <v>0</v>
      </c>
      <c r="FE16" s="290">
        <f>SUMPRODUCT(('Intrapartum Care'!$AM$7:$AM$745=FE$6)*('Intrapartum Care'!$F$7:$F$745&gt;=Lists!$AE10)*('Intrapartum Care'!$F$7:$F$745&lt;=Lists!$AF10))</f>
        <v>0</v>
      </c>
      <c r="FF16" s="290">
        <f>SUMPRODUCT(('Intrapartum Care'!$AM$7:$AM$745=FF$6)*('Intrapartum Care'!$F$7:$F$745&gt;=Lists!$AE10)*('Intrapartum Care'!$F$7:$F$745&lt;=Lists!$AF10))</f>
        <v>0</v>
      </c>
      <c r="FG16" s="227">
        <f t="shared" si="25"/>
        <v>0</v>
      </c>
      <c r="FH16" s="290">
        <f>SUMPRODUCT(('Intrapartum Care'!$AN$7:$AN$745=FH$6)*('Intrapartum Care'!$F$7:$F$745&gt;=Lists!$AE10)*('Intrapartum Care'!$F$7:$F$745&lt;=Lists!$AF10))</f>
        <v>0</v>
      </c>
      <c r="FI16" s="290">
        <f>SUMPRODUCT(('Intrapartum Care'!$AN$7:$AN$745=FI$6)*('Intrapartum Care'!$F$7:$F$745&gt;=Lists!$AE10)*('Intrapartum Care'!$F$7:$F$745&lt;=Lists!$AF10))</f>
        <v>0</v>
      </c>
      <c r="FJ16" s="290">
        <f>SUMPRODUCT(('Intrapartum Care'!$AN$7:$AN$745=FJ$6)*('Intrapartum Care'!$F$7:$F$745&gt;=Lists!$AE10)*('Intrapartum Care'!$F$7:$F$745&lt;=Lists!$AF10))</f>
        <v>0</v>
      </c>
      <c r="FK16" s="290">
        <f>SUMPRODUCT(('Intrapartum Care'!$AN$7:$AN$745=FK$6)*('Intrapartum Care'!$F$7:$F$745&gt;=Lists!$AE10)*('Intrapartum Care'!$F$7:$F$745&lt;=Lists!$AF10))</f>
        <v>0</v>
      </c>
      <c r="FL16" s="227">
        <f t="shared" si="26"/>
        <v>0</v>
      </c>
      <c r="FM16" s="290">
        <f>SUMPRODUCT(('Intrapartum Care'!$AS$7:$AS$745=FM$6)*('Intrapartum Care'!$F$7:$F$745&gt;=Lists!$AE10)*('Intrapartum Care'!$F$7:$F$745&lt;=Lists!$AF10))</f>
        <v>0</v>
      </c>
      <c r="FN16" s="290">
        <f>SUMPRODUCT(('Intrapartum Care'!$AS$7:$AS$745=FN$6)*('Intrapartum Care'!$F$7:$F$745&gt;=Lists!$AE10)*('Intrapartum Care'!$F$7:$F$745&lt;=Lists!$AF10))</f>
        <v>0</v>
      </c>
      <c r="FO16" s="290">
        <f>SUMPRODUCT(('Intrapartum Care'!$AS$7:$AS$745=FO$6)*('Intrapartum Care'!$F$7:$F$745&gt;=Lists!$AE10)*('Intrapartum Care'!$F$7:$F$745&lt;=Lists!$AF10))</f>
        <v>0</v>
      </c>
      <c r="FP16" s="290">
        <f>SUMPRODUCT(('Intrapartum Care'!$AS$7:$AS$745=FP$6)*('Intrapartum Care'!$F$7:$F$745&gt;=Lists!$AE10)*('Intrapartum Care'!$F$7:$F$745&lt;=Lists!$AF10))</f>
        <v>0</v>
      </c>
      <c r="FQ16" s="227">
        <f t="shared" si="27"/>
        <v>0</v>
      </c>
      <c r="FR16" s="290">
        <f>SUMPRODUCT(('Intrapartum Care'!$AZ$7:$AZ$745=FR$6)*('Intrapartum Care'!$F$7:$F$745&gt;=Lists!$AE10)*('Intrapartum Care'!$F$7:$F$745&lt;=Lists!$AF10))</f>
        <v>0</v>
      </c>
      <c r="FS16" s="290">
        <f>SUMPRODUCT(('Intrapartum Care'!$AZ$7:$AZ$745=FS$6)*('Intrapartum Care'!$F$7:$F$745&gt;=Lists!$AE10)*('Intrapartum Care'!$F$7:$F$745&lt;=Lists!$AF10))</f>
        <v>0</v>
      </c>
      <c r="FT16" s="290">
        <f>SUMPRODUCT(('Intrapartum Care'!$AZ$7:$AZ$745=FT$6)*('Intrapartum Care'!$F$7:$F$745&gt;=Lists!$AE10)*('Intrapartum Care'!$F$7:$F$745&lt;=Lists!$AF10))</f>
        <v>0</v>
      </c>
      <c r="FU16" s="227">
        <f t="shared" si="28"/>
        <v>0</v>
      </c>
      <c r="FV16" s="290">
        <f>SUMPRODUCT(('Intrapartum Care'!$BA$7:$BA$745=FV$6)*('Intrapartum Care'!$F$7:$F$745&gt;=Lists!$AE10)*('Intrapartum Care'!$F$7:$F$745&lt;=Lists!$AF10))</f>
        <v>0</v>
      </c>
      <c r="FW16" s="290">
        <f>SUMPRODUCT(('Intrapartum Care'!$BA$7:$BA$745=FW$6)*('Intrapartum Care'!$F$7:$F$745&gt;=Lists!$AE10)*('Intrapartum Care'!$F$7:$F$745&lt;=Lists!$AF10))</f>
        <v>0</v>
      </c>
      <c r="FX16" s="290">
        <f>SUMPRODUCT(('Intrapartum Care'!$BA$7:$BA$745=FX$6)*('Intrapartum Care'!$F$7:$F$745&gt;=Lists!$AE10)*('Intrapartum Care'!$F$7:$F$745&lt;=Lists!$AF10))</f>
        <v>0</v>
      </c>
      <c r="FY16" s="227">
        <f t="shared" si="29"/>
        <v>0</v>
      </c>
      <c r="FZ16" s="290">
        <f>SUMPRODUCT(('Intrapartum Care'!$BB$7:$BB$745=FZ$6)*('Intrapartum Care'!$F$7:$F$745&gt;=Lists!$AE10)*('Intrapartum Care'!$F$7:$F$745&lt;=Lists!$AF10))</f>
        <v>0</v>
      </c>
      <c r="GA16" s="290">
        <f>SUMPRODUCT(('Intrapartum Care'!$BB$7:$BB$745=GA$6)*('Intrapartum Care'!$F$7:$F$745&gt;=Lists!$AE10)*('Intrapartum Care'!$F$7:$F$745&lt;=Lists!$AF10))</f>
        <v>0</v>
      </c>
      <c r="GB16" s="290">
        <f>SUMPRODUCT(('Intrapartum Care'!$BB$7:$BB$745=GB$6)*('Intrapartum Care'!$F$7:$F$745&gt;=Lists!$AE10)*('Intrapartum Care'!$F$7:$F$745&lt;=Lists!$AF10))</f>
        <v>0</v>
      </c>
      <c r="GC16" s="290">
        <f>SUMPRODUCT(('Intrapartum Care'!$BB$7:$BB$745=GC$6)*('Intrapartum Care'!$F$7:$F$745&gt;=Lists!$AE10)*('Intrapartum Care'!$F$7:$F$745&lt;=Lists!$AF10))</f>
        <v>0</v>
      </c>
      <c r="GD16" s="290">
        <f>SUMPRODUCT(('Intrapartum Care'!$BB$7:$BB$745=GD$6)*('Intrapartum Care'!$F$7:$F$745&gt;=Lists!$AE10)*('Intrapartum Care'!$F$7:$F$745&lt;=Lists!$AF10))</f>
        <v>0</v>
      </c>
      <c r="GE16" s="290">
        <f>SUMPRODUCT(('Intrapartum Care'!$BB$7:$BB$745=GE$6)*('Intrapartum Care'!$F$7:$F$745&gt;=Lists!$AE10)*('Intrapartum Care'!$F$7:$F$745&lt;=Lists!$AF10))</f>
        <v>0</v>
      </c>
      <c r="GF16" s="290">
        <f>SUMPRODUCT(('Intrapartum Care'!$BB$7:$BB$745=GF$6)*('Intrapartum Care'!$F$7:$F$745&gt;=Lists!$AE10)*('Intrapartum Care'!$F$7:$F$745&lt;=Lists!$AF10))</f>
        <v>0</v>
      </c>
      <c r="GG16" s="290">
        <f>SUMPRODUCT(('Intrapartum Care'!$BB$7:$BB$745=GG$6)*('Intrapartum Care'!$F$7:$F$745&gt;=Lists!$AE10)*('Intrapartum Care'!$F$7:$F$745&lt;=Lists!$AF10))</f>
        <v>0</v>
      </c>
      <c r="GH16" s="290">
        <f>SUMPRODUCT(('Intrapartum Care'!$BB$7:$BB$745=GH$6)*('Intrapartum Care'!$F$7:$F$745&gt;=Lists!$AE10)*('Intrapartum Care'!$F$7:$F$745&lt;=Lists!$AF10))</f>
        <v>0</v>
      </c>
      <c r="GI16" s="290">
        <f>SUMPRODUCT(('Intrapartum Care'!$BB$7:$BB$745=GI$6)*('Intrapartum Care'!$F$7:$F$745&gt;=Lists!$AE10)*('Intrapartum Care'!$F$7:$F$745&lt;=Lists!$AF10))</f>
        <v>0</v>
      </c>
      <c r="GJ16" s="290">
        <f>SUMPRODUCT(('Intrapartum Care'!$BB$7:$BB$745=GJ$6)*('Intrapartum Care'!$F$7:$F$745&gt;=Lists!$AE10)*('Intrapartum Care'!$F$7:$F$745&lt;=Lists!$AF10))</f>
        <v>0</v>
      </c>
      <c r="GK16" s="290">
        <f>SUMPRODUCT(('Intrapartum Care'!$BB$7:$BB$745=GK$6)*('Intrapartum Care'!$F$7:$F$745&gt;=Lists!$AE10)*('Intrapartum Care'!$F$7:$F$745&lt;=Lists!$AF10))</f>
        <v>0</v>
      </c>
      <c r="GL16" s="290">
        <f>SUMPRODUCT(('Intrapartum Care'!$BB$7:$BB$745=GL$6)*('Intrapartum Care'!$F$7:$F$745&gt;=Lists!$AE10)*('Intrapartum Care'!$F$7:$F$745&lt;=Lists!$AF10))</f>
        <v>0</v>
      </c>
      <c r="GM16" s="290">
        <f>SUMPRODUCT(('Intrapartum Care'!$BB$7:$BB$745=GM$6)*('Intrapartum Care'!$F$7:$F$745&gt;=Lists!$AE10)*('Intrapartum Care'!$F$7:$F$745&lt;=Lists!$AF10))</f>
        <v>0</v>
      </c>
      <c r="GN16" s="290">
        <f>SUMPRODUCT(('Intrapartum Care'!$BB$7:$BB$745=GN$6)*('Intrapartum Care'!$F$7:$F$745&gt;=Lists!$AE10)*('Intrapartum Care'!$F$7:$F$745&lt;=Lists!$AF10))</f>
        <v>0</v>
      </c>
      <c r="GO16" s="290">
        <f>SUMPRODUCT(('Intrapartum Care'!$BB$7:$BB$745=GO$6)*('Intrapartum Care'!$F$7:$F$745&gt;=Lists!$AE10)*('Intrapartum Care'!$F$7:$F$745&lt;=Lists!$AF10))</f>
        <v>0</v>
      </c>
      <c r="GP16" s="290">
        <f>SUMPRODUCT(('Intrapartum Care'!$BB$7:$BB$745=GP$6)*('Intrapartum Care'!$F$7:$F$745&gt;=Lists!$AE10)*('Intrapartum Care'!$F$7:$F$745&lt;=Lists!$AF10))</f>
        <v>0</v>
      </c>
      <c r="GQ16" s="290">
        <f>SUMPRODUCT(('Intrapartum Care'!$BB$7:$BB$745=GQ$6)*('Intrapartum Care'!$F$7:$F$745&gt;=Lists!$AE10)*('Intrapartum Care'!$F$7:$F$745&lt;=Lists!$AF10))</f>
        <v>0</v>
      </c>
      <c r="GR16" s="290">
        <f>SUMPRODUCT(('Intrapartum Care'!$BB$7:$BB$745=GR$6)*('Intrapartum Care'!$F$7:$F$745&gt;=Lists!$AE10)*('Intrapartum Care'!$F$7:$F$745&lt;=Lists!$AF10))</f>
        <v>0</v>
      </c>
      <c r="GS16" s="290">
        <f>SUMPRODUCT(('Intrapartum Care'!$BB$7:$BB$745=GS$6)*('Intrapartum Care'!$F$7:$F$745&gt;=Lists!$AE10)*('Intrapartum Care'!$F$7:$F$745&lt;=Lists!$AF10))</f>
        <v>0</v>
      </c>
      <c r="GT16" s="227">
        <f t="shared" si="30"/>
        <v>0</v>
      </c>
      <c r="GU16" s="290">
        <f>SUMPRODUCT(('Intrapartum Care'!$BC$7:$BC$745=GU$6)*('Intrapartum Care'!$F$7:$F$745&gt;=Lists!$AE10)*('Intrapartum Care'!$F$7:$F$745&lt;=Lists!$AF10))</f>
        <v>0</v>
      </c>
      <c r="GV16" s="290">
        <f>SUMPRODUCT(('Intrapartum Care'!$BC$7:$BC$745=GV$6)*('Intrapartum Care'!$F$7:$F$745&gt;=Lists!$AE10)*('Intrapartum Care'!$F$7:$F$745&lt;=Lists!$AF10))</f>
        <v>0</v>
      </c>
      <c r="GW16" s="290">
        <f>SUMPRODUCT(('Intrapartum Care'!$BC$7:$BC$745=GW$6)*('Intrapartum Care'!$F$7:$F$745&gt;=Lists!$AE10)*('Intrapartum Care'!$F$7:$F$745&lt;=Lists!$AF10))</f>
        <v>0</v>
      </c>
      <c r="GX16" s="290">
        <f>SUMPRODUCT(('Intrapartum Care'!$BC$7:$BC$745=GX$6)*('Intrapartum Care'!$F$7:$F$745&gt;=Lists!$AE10)*('Intrapartum Care'!$F$7:$F$745&lt;=Lists!$AF10))</f>
        <v>0</v>
      </c>
      <c r="GY16" s="290">
        <f>SUMPRODUCT(('Intrapartum Care'!$BC$7:$BC$745=GY$6)*('Intrapartum Care'!$F$7:$F$745&gt;=Lists!$AE10)*('Intrapartum Care'!$F$7:$F$745&lt;=Lists!$AF10))</f>
        <v>0</v>
      </c>
      <c r="GZ16" s="290">
        <f>SUMPRODUCT(('Intrapartum Care'!$BC$7:$BC$745=GZ$6)*('Intrapartum Care'!$F$7:$F$745&gt;=Lists!$AE10)*('Intrapartum Care'!$F$7:$F$745&lt;=Lists!$AF10))</f>
        <v>0</v>
      </c>
      <c r="HA16" s="290">
        <f>SUMPRODUCT(('Intrapartum Care'!$BC$7:$BC$745=HA$6)*('Intrapartum Care'!$F$7:$F$745&gt;=Lists!$AE10)*('Intrapartum Care'!$F$7:$F$745&lt;=Lists!$AF10))</f>
        <v>0</v>
      </c>
      <c r="HB16" s="290">
        <f>SUMPRODUCT(('Intrapartum Care'!$BC$7:$BC$745=HB$6)*('Intrapartum Care'!$F$7:$F$745&gt;=Lists!$AE10)*('Intrapartum Care'!$F$7:$F$745&lt;=Lists!$AF10))</f>
        <v>0</v>
      </c>
      <c r="HC16" s="290">
        <f>SUMPRODUCT(('Intrapartum Care'!$BC$7:$BC$745=HC$6)*('Intrapartum Care'!$F$7:$F$745&gt;=Lists!$AE10)*('Intrapartum Care'!$F$7:$F$745&lt;=Lists!$AF10))</f>
        <v>0</v>
      </c>
      <c r="HD16" s="290">
        <f>SUMPRODUCT(('Intrapartum Care'!$BC$7:$BC$745=HD$6)*('Intrapartum Care'!$F$7:$F$745&gt;=Lists!$AE10)*('Intrapartum Care'!$F$7:$F$745&lt;=Lists!$AF10))</f>
        <v>0</v>
      </c>
      <c r="HE16" s="290">
        <f>SUMPRODUCT(('Intrapartum Care'!$BC$7:$BC$745=HE$6)*('Intrapartum Care'!$F$7:$F$745&gt;=Lists!$AE10)*('Intrapartum Care'!$F$7:$F$745&lt;=Lists!$AF10))</f>
        <v>0</v>
      </c>
      <c r="HF16" s="227">
        <f t="shared" si="31"/>
        <v>0</v>
      </c>
      <c r="HG16" s="290">
        <f>SUMPRODUCT(('Intrapartum Care'!$BD$7:$BD$745=HG$6)*('Intrapartum Care'!$F$7:$F$745&gt;=Lists!$AE10)*('Intrapartum Care'!$F$7:$F$745&lt;=Lists!$AF10))</f>
        <v>0</v>
      </c>
      <c r="HH16" s="290">
        <f>SUMPRODUCT(('Intrapartum Care'!$BD$7:$BD$745=HH$6)*('Intrapartum Care'!$F$7:$F$745&gt;=Lists!$AE10)*('Intrapartum Care'!$F$7:$F$745&lt;=Lists!$AF10))</f>
        <v>0</v>
      </c>
      <c r="HI16" s="290">
        <f>SUMPRODUCT(('Intrapartum Care'!$BD$7:$BD$745=HI$6)*('Intrapartum Care'!$F$7:$F$745&gt;=Lists!$AE10)*('Intrapartum Care'!$F$7:$F$745&lt;=Lists!$AF10))</f>
        <v>0</v>
      </c>
      <c r="HJ16" s="290">
        <f>SUMPRODUCT(('Intrapartum Care'!$BD$7:$BD$745=HJ$6)*('Intrapartum Care'!$F$7:$F$745&gt;=Lists!$AE10)*('Intrapartum Care'!$F$7:$F$745&lt;=Lists!$AF10))</f>
        <v>0</v>
      </c>
      <c r="HK16" s="290">
        <f>SUMPRODUCT(('Intrapartum Care'!$BD$7:$BD$745=HK$6)*('Intrapartum Care'!$F$7:$F$745&gt;=Lists!$AE10)*('Intrapartum Care'!$F$7:$F$745&lt;=Lists!$AF10))</f>
        <v>0</v>
      </c>
      <c r="HL16" s="290">
        <f>SUMPRODUCT(('Intrapartum Care'!$BD$7:$BD$745=HL$6)*('Intrapartum Care'!$F$7:$F$745&gt;=Lists!$AE10)*('Intrapartum Care'!$F$7:$F$745&lt;=Lists!$AF10))</f>
        <v>0</v>
      </c>
      <c r="HM16" s="290">
        <f>SUMPRODUCT(('Intrapartum Care'!$BD$7:$BD$745=HM$6)*('Intrapartum Care'!$F$7:$F$745&gt;=Lists!$AE10)*('Intrapartum Care'!$F$7:$F$745&lt;=Lists!$AF10))</f>
        <v>0</v>
      </c>
      <c r="HN16" s="290">
        <f>SUMPRODUCT(('Intrapartum Care'!$BD$7:$BD$745=HN$6)*('Intrapartum Care'!$F$7:$F$745&gt;=Lists!$AE10)*('Intrapartum Care'!$F$7:$F$745&lt;=Lists!$AF10))</f>
        <v>0</v>
      </c>
      <c r="HO16" s="290">
        <f>SUMPRODUCT(('Intrapartum Care'!$BD$7:$BD$745=HO$6)*('Intrapartum Care'!$F$7:$F$745&gt;=Lists!$AE10)*('Intrapartum Care'!$F$7:$F$745&lt;=Lists!$AF10))</f>
        <v>0</v>
      </c>
      <c r="HP16" s="290">
        <f>SUMPRODUCT(('Intrapartum Care'!$BD$7:$BD$745=HP$6)*('Intrapartum Care'!$F$7:$F$745&gt;=Lists!$AE10)*('Intrapartum Care'!$F$7:$F$745&lt;=Lists!$AF10))</f>
        <v>0</v>
      </c>
      <c r="HQ16" s="290">
        <f>SUMPRODUCT(('Intrapartum Care'!$BD$7:$BD$745=HQ$6)*('Intrapartum Care'!$F$7:$F$745&gt;=Lists!$AE10)*('Intrapartum Care'!$F$7:$F$745&lt;=Lists!$AF10))</f>
        <v>0</v>
      </c>
      <c r="HR16" s="290">
        <f>SUMPRODUCT(('Intrapartum Care'!$BD$7:$BD$745=HR$6)*('Intrapartum Care'!$F$7:$F$745&gt;=Lists!$AE10)*('Intrapartum Care'!$F$7:$F$745&lt;=Lists!$AF10))</f>
        <v>0</v>
      </c>
      <c r="HS16" s="290">
        <f>SUMPRODUCT(('Intrapartum Care'!$BD$7:$BD$745=HS$6)*('Intrapartum Care'!$F$7:$F$745&gt;=Lists!$AE10)*('Intrapartum Care'!$F$7:$F$745&lt;=Lists!$AF10))</f>
        <v>0</v>
      </c>
      <c r="HT16" s="290">
        <f>SUMPRODUCT(('Intrapartum Care'!$BD$7:$BD$745=HT$6)*('Intrapartum Care'!$F$7:$F$745&gt;=Lists!$AE10)*('Intrapartum Care'!$F$7:$F$745&lt;=Lists!$AF10))</f>
        <v>0</v>
      </c>
      <c r="HU16" s="290">
        <f>SUMPRODUCT(('Intrapartum Care'!$BD$7:$BD$745=HU$6)*('Intrapartum Care'!$F$7:$F$745&gt;=Lists!$AE10)*('Intrapartum Care'!$F$7:$F$745&lt;=Lists!$AF10))</f>
        <v>0</v>
      </c>
      <c r="HV16" s="290">
        <f>SUMPRODUCT(('Intrapartum Care'!$BD$7:$BD$745=HV$6)*('Intrapartum Care'!$F$7:$F$745&gt;=Lists!$AE10)*('Intrapartum Care'!$F$7:$F$745&lt;=Lists!$AF10))</f>
        <v>0</v>
      </c>
      <c r="HW16" s="290">
        <f>SUMPRODUCT(('Intrapartum Care'!$BD$7:$BD$745=HW$6)*('Intrapartum Care'!$F$7:$F$745&gt;=Lists!$AE10)*('Intrapartum Care'!$F$7:$F$745&lt;=Lists!$AF10))</f>
        <v>0</v>
      </c>
      <c r="HX16" s="290">
        <f>SUMPRODUCT(('Intrapartum Care'!$BD$7:$BD$745=HX$6)*('Intrapartum Care'!$F$7:$F$745&gt;=Lists!$AE10)*('Intrapartum Care'!$F$7:$F$745&lt;=Lists!$AF10))</f>
        <v>0</v>
      </c>
      <c r="HY16" s="290">
        <f>SUMPRODUCT(('Intrapartum Care'!$BD$7:$BD$745=HY$6)*('Intrapartum Care'!$F$7:$F$745&gt;=Lists!$AE10)*('Intrapartum Care'!$F$7:$F$745&lt;=Lists!$AF10))</f>
        <v>0</v>
      </c>
      <c r="HZ16" s="290">
        <f>SUMPRODUCT(('Intrapartum Care'!$BD$7:$BD$745=HZ$6)*('Intrapartum Care'!$F$7:$F$745&gt;=Lists!$AE10)*('Intrapartum Care'!$F$7:$F$745&lt;=Lists!$AF10))</f>
        <v>0</v>
      </c>
      <c r="IA16" s="290">
        <f>SUMPRODUCT(('Intrapartum Care'!$BD$7:$BD$745=IA$6)*('Intrapartum Care'!$F$7:$F$745&gt;=Lists!$AE10)*('Intrapartum Care'!$F$7:$F$745&lt;=Lists!$AF10))</f>
        <v>0</v>
      </c>
      <c r="IB16" s="290">
        <f>SUMPRODUCT(('Intrapartum Care'!$BD$7:$BD$745=IB$6)*('Intrapartum Care'!$F$7:$F$745&gt;=Lists!$AE10)*('Intrapartum Care'!$F$7:$F$745&lt;=Lists!$AF10))</f>
        <v>0</v>
      </c>
      <c r="IC16" s="290">
        <f>SUMPRODUCT(('Intrapartum Care'!$BD$7:$BD$745=IC$6)*('Intrapartum Care'!$F$7:$F$745&gt;=Lists!$AE10)*('Intrapartum Care'!$F$7:$F$745&lt;=Lists!$AF10))</f>
        <v>0</v>
      </c>
      <c r="ID16" s="290">
        <f>SUMPRODUCT(('Intrapartum Care'!$BD$7:$BD$745=ID$6)*('Intrapartum Care'!$F$7:$F$745&gt;=Lists!$AE10)*('Intrapartum Care'!$F$7:$F$745&lt;=Lists!$AF10))</f>
        <v>0</v>
      </c>
      <c r="IE16" s="290">
        <f>SUMPRODUCT(('Intrapartum Care'!$BD$7:$BD$745=IE$6)*('Intrapartum Care'!$F$7:$F$745&gt;=Lists!$AE10)*('Intrapartum Care'!$F$7:$F$745&lt;=Lists!$AF10))</f>
        <v>0</v>
      </c>
      <c r="IF16" s="290">
        <f>SUMPRODUCT(('Intrapartum Care'!$BD$7:$BD$745=IF$6)*('Intrapartum Care'!$F$7:$F$745&gt;=Lists!$AE10)*('Intrapartum Care'!$F$7:$F$745&lt;=Lists!$AF10))</f>
        <v>0</v>
      </c>
      <c r="IG16" s="290">
        <f>SUMPRODUCT(('Intrapartum Care'!$BD$7:$BD$745=IG$6)*('Intrapartum Care'!$F$7:$F$745&gt;=Lists!$AE10)*('Intrapartum Care'!$F$7:$F$745&lt;=Lists!$AF10))</f>
        <v>0</v>
      </c>
      <c r="IH16" s="290">
        <f>SUMPRODUCT(('Intrapartum Care'!$BD$7:$BD$745=IH$6)*('Intrapartum Care'!$F$7:$F$745&gt;=Lists!$AE10)*('Intrapartum Care'!$F$7:$F$745&lt;=Lists!$AF10))</f>
        <v>0</v>
      </c>
      <c r="II16" s="227">
        <f t="shared" si="32"/>
        <v>0</v>
      </c>
      <c r="IJ16" s="290">
        <f>SUMPRODUCT(('Intrapartum Care'!$BE$7:$BE$745=IJ$6)*('Intrapartum Care'!$F$7:$F$745&gt;=Lists!$AE10)*('Intrapartum Care'!$F$7:$F$745&lt;=Lists!$AF10))</f>
        <v>0</v>
      </c>
      <c r="IK16" s="290">
        <f>SUMPRODUCT(('Intrapartum Care'!$BE$7:$BE$745=IK$6)*('Intrapartum Care'!$F$7:$F$745&gt;=Lists!$AE10)*('Intrapartum Care'!$F$7:$F$745&lt;=Lists!$AF10))</f>
        <v>0</v>
      </c>
      <c r="IL16" s="290">
        <f>SUMPRODUCT(('Intrapartum Care'!$BE$7:$BE$745=IL$6)*('Intrapartum Care'!$F$7:$F$745&gt;=Lists!$AE10)*('Intrapartum Care'!$F$7:$F$745&lt;=Lists!$AF10))</f>
        <v>0</v>
      </c>
      <c r="IM16" s="290">
        <f>SUMPRODUCT(('Intrapartum Care'!$BE$7:$BE$745=IM$6)*('Intrapartum Care'!$F$7:$F$745&gt;=Lists!$AE10)*('Intrapartum Care'!$F$7:$F$745&lt;=Lists!$AF10))</f>
        <v>0</v>
      </c>
      <c r="IN16" s="290">
        <f>SUMPRODUCT(('Intrapartum Care'!$BE$7:$BE$745=IN$6)*('Intrapartum Care'!$F$7:$F$745&gt;=Lists!$AE10)*('Intrapartum Care'!$F$7:$F$745&lt;=Lists!$AF10))</f>
        <v>0</v>
      </c>
      <c r="IO16" s="290">
        <f>SUMPRODUCT(('Intrapartum Care'!$BE$7:$BE$745=IO$6)*('Intrapartum Care'!$F$7:$F$745&gt;=Lists!$AE10)*('Intrapartum Care'!$F$7:$F$745&lt;=Lists!$AF10))</f>
        <v>0</v>
      </c>
      <c r="IP16" s="290">
        <f>SUMPRODUCT(('Intrapartum Care'!$BE$7:$BE$745=IP$6)*('Intrapartum Care'!$F$7:$F$745&gt;=Lists!$AE10)*('Intrapartum Care'!$F$7:$F$745&lt;=Lists!$AF10))</f>
        <v>0</v>
      </c>
      <c r="IQ16" s="170">
        <f t="shared" si="33"/>
        <v>0</v>
      </c>
      <c r="IR16" s="290">
        <f>SUMPRODUCT(('Intrapartum Care'!$BF$7:$BF$745=IR$6)*('Intrapartum Care'!$F$7:$F$745&gt;=Lists!$AE10)*('Intrapartum Care'!$F$7:$F$745&lt;=Lists!$AF10))</f>
        <v>0</v>
      </c>
      <c r="IS16" s="290">
        <f>SUMPRODUCT(('Intrapartum Care'!$BF$7:$BF$745=IS$6)*('Intrapartum Care'!$F$7:$F$745&gt;=Lists!$AE10)*('Intrapartum Care'!$F$7:$F$745&lt;=Lists!$AF10))</f>
        <v>0</v>
      </c>
      <c r="IT16" s="290">
        <f>SUMPRODUCT(('Intrapartum Care'!$BF$7:$BF$745=IT$6)*('Intrapartum Care'!$F$7:$F$745&gt;=Lists!$AE10)*('Intrapartum Care'!$F$7:$F$745&lt;=Lists!$AF10))</f>
        <v>0</v>
      </c>
      <c r="IU16" s="290">
        <f>SUMPRODUCT(('Intrapartum Care'!$BF$7:$BF$745=IU$6)*('Intrapartum Care'!$F$7:$F$745&gt;=Lists!$AE10)*('Intrapartum Care'!$F$7:$F$745&lt;=Lists!$AF10))</f>
        <v>0</v>
      </c>
      <c r="IV16" s="170">
        <f t="shared" si="34"/>
        <v>0</v>
      </c>
      <c r="IW16" s="290">
        <f>SUMPRODUCT(('Intrapartum Care'!$BH$7:$BH$745=IW$6)*('Intrapartum Care'!$F$7:$F$745&gt;=Lists!$AE10)*('Intrapartum Care'!$F$7:$F$745&lt;=Lists!$AF10))</f>
        <v>0</v>
      </c>
      <c r="IX16" s="290">
        <f>SUMPRODUCT(('Intrapartum Care'!$BH$7:$BH$745=IX$6)*('Intrapartum Care'!$F$7:$F$745&gt;=Lists!$AE10)*('Intrapartum Care'!$F$7:$F$745&lt;=Lists!$AF10))</f>
        <v>0</v>
      </c>
      <c r="IY16" s="290">
        <f>SUMPRODUCT(('Intrapartum Care'!$BH$7:$BH$745=IY$6)*('Intrapartum Care'!$F$7:$F$745&gt;=Lists!$AE10)*('Intrapartum Care'!$F$7:$F$745&lt;=Lists!$AF10))</f>
        <v>0</v>
      </c>
      <c r="IZ16" s="290">
        <f>SUMPRODUCT(('Intrapartum Care'!$BH$7:$BH$745=IZ$6)*('Intrapartum Care'!$F$7:$F$745&gt;=Lists!$AE10)*('Intrapartum Care'!$F$7:$F$745&lt;=Lists!$AF10))</f>
        <v>0</v>
      </c>
      <c r="JA16" s="290">
        <f>SUMPRODUCT(('Intrapartum Care'!$BH$7:$BH$745=JA$6)*('Intrapartum Care'!$F$7:$F$745&gt;=Lists!$AE10)*('Intrapartum Care'!$F$7:$F$745&lt;=Lists!$AF10))</f>
        <v>0</v>
      </c>
      <c r="JB16" s="551">
        <f t="shared" si="35"/>
        <v>0</v>
      </c>
      <c r="JC16" s="243">
        <f t="shared" si="1"/>
        <v>0</v>
      </c>
      <c r="JD16" s="15"/>
      <c r="JE16" s="15"/>
      <c r="JF16" s="15"/>
      <c r="JG16" s="15"/>
      <c r="JH16" s="15"/>
      <c r="JI16" s="15"/>
      <c r="JJ16" s="15"/>
      <c r="JK16" s="15"/>
      <c r="JL16" s="16"/>
      <c r="JM16" s="15"/>
      <c r="JN16" s="15"/>
      <c r="JO16" s="15"/>
      <c r="JP16" s="15"/>
    </row>
    <row r="17" spans="1:276" ht="15" customHeight="1" x14ac:dyDescent="0.35">
      <c r="A17" s="570">
        <v>46023</v>
      </c>
      <c r="B17" s="345">
        <f>SUMPRODUCT(('Intrapartum Care'!$C$7:$C$745=B$6)*('Intrapartum Care'!$F$7:$F$745&gt;=Lists!$AE11)*('Intrapartum Care'!$F$7:$F$745&lt;=Lists!$AF11))</f>
        <v>0</v>
      </c>
      <c r="C17" s="251">
        <f>SUMPRODUCT(('Intrapartum Care'!$C$7:$C$745=C$6)*('Intrapartum Care'!$F$7:$F$745&gt;=Lists!$AE11)*('Intrapartum Care'!$F$7:$F$745&lt;=Lists!$AF11))</f>
        <v>0</v>
      </c>
      <c r="D17" s="170">
        <f t="shared" si="2"/>
        <v>0</v>
      </c>
      <c r="E17" s="290">
        <f>SUMPRODUCT(('Intrapartum Care'!$D$7:$D$745=E$6)*('Intrapartum Care'!$F$7:$F$745&gt;=Lists!$AE11)*('Intrapartum Care'!$F$7:$F$745&lt;=Lists!$AF11))</f>
        <v>0</v>
      </c>
      <c r="F17" s="290">
        <f>SUMPRODUCT(('Intrapartum Care'!$D$7:$D$745=F$6)*('Intrapartum Care'!$F$7:$F$745&gt;=Lists!$AE11)*('Intrapartum Care'!$F$7:$F$745&lt;=Lists!$AF11))</f>
        <v>0</v>
      </c>
      <c r="G17" s="290">
        <f>SUMPRODUCT(('Intrapartum Care'!$D$7:$D$745=G$6)*('Intrapartum Care'!$F$7:$F$745&gt;=Lists!$AE11)*('Intrapartum Care'!$F$7:$F$745&lt;=Lists!$AF11))</f>
        <v>0</v>
      </c>
      <c r="H17" s="170">
        <f t="shared" si="3"/>
        <v>0</v>
      </c>
      <c r="I17" s="255">
        <f>SUMPRODUCT(('Intrapartum Care'!$E$7:$E$745=I$6)*('Intrapartum Care'!$F$7:$F$745&gt;=Lists!$AE11)*('Intrapartum Care'!$F$7:$F$745&lt;=Lists!$AF11))</f>
        <v>0</v>
      </c>
      <c r="J17" s="252">
        <f>SUMPRODUCT(('Intrapartum Care'!$E$7:$E$745=J$6)*('Intrapartum Care'!$F$7:$F$745&gt;=Lists!$AE11)*('Intrapartum Care'!$F$7:$F$745&lt;=Lists!$AF11))</f>
        <v>0</v>
      </c>
      <c r="K17" s="252">
        <f>SUMPRODUCT(('Intrapartum Care'!$E$7:$E$745=K$6)*('Intrapartum Care'!$F$7:$F$745&gt;=Lists!$AE11)*('Intrapartum Care'!$F$7:$F$745&lt;=Lists!$AF11))</f>
        <v>0</v>
      </c>
      <c r="L17" s="252">
        <f>SUMPRODUCT(('Intrapartum Care'!$E$7:$E$745=L$6)*('Intrapartum Care'!$F$7:$F$745&gt;=Lists!$AE11)*('Intrapartum Care'!$F$7:$F$745&lt;=Lists!$AF11))</f>
        <v>0</v>
      </c>
      <c r="M17" s="252">
        <f>SUMPRODUCT(('Intrapartum Care'!$E$7:$E$745=M$6)*('Intrapartum Care'!$F$7:$F$745&gt;=Lists!$AE11)*('Intrapartum Care'!$F$7:$F$745&lt;=Lists!$AF11))</f>
        <v>0</v>
      </c>
      <c r="N17" s="252">
        <f>SUMPRODUCT(('Intrapartum Care'!$E$7:$E$745=N$6)*('Intrapartum Care'!$F$7:$F$745&gt;=Lists!$AE11)*('Intrapartum Care'!$F$7:$F$745&lt;=Lists!$AF11))</f>
        <v>0</v>
      </c>
      <c r="O17" s="252">
        <f>SUMPRODUCT(('Intrapartum Care'!$E$7:$E$745=O$6)*('Intrapartum Care'!$F$7:$F$745&gt;=Lists!$AE11)*('Intrapartum Care'!$F$7:$F$745&lt;=Lists!$AF11))</f>
        <v>0</v>
      </c>
      <c r="P17" s="252">
        <f>SUMPRODUCT(('Intrapartum Care'!$E$7:$E$745=P$6)*('Intrapartum Care'!$F$7:$F$745&gt;=Lists!$AE11)*('Intrapartum Care'!$F$7:$F$745&lt;=Lists!$AF11))</f>
        <v>0</v>
      </c>
      <c r="Q17" s="252">
        <f>SUMPRODUCT(('Intrapartum Care'!$E$7:$E$745=Q$6)*('Intrapartum Care'!$F$7:$F$745&gt;=Lists!$AE11)*('Intrapartum Care'!$F$7:$F$745&lt;=Lists!$AF11))</f>
        <v>0</v>
      </c>
      <c r="R17" s="252">
        <f>SUMPRODUCT(('Intrapartum Care'!$E$7:$E$745=R$6)*('Intrapartum Care'!$F$7:$F$745&gt;=Lists!$AE11)*('Intrapartum Care'!$F$7:$F$745&lt;=Lists!$AF11))</f>
        <v>0</v>
      </c>
      <c r="S17" s="252">
        <f>SUMPRODUCT(('Intrapartum Care'!$E$7:$E$745=S$6)*('Intrapartum Care'!$F$7:$F$745&gt;=Lists!$AE11)*('Intrapartum Care'!$F$7:$F$745&lt;=Lists!$AF11))</f>
        <v>0</v>
      </c>
      <c r="T17" s="252">
        <f>SUMPRODUCT(('Intrapartum Care'!$E$7:$E$745=T$6)*('Intrapartum Care'!$F$7:$F$745&gt;=Lists!$AE11)*('Intrapartum Care'!$F$7:$F$745&lt;=Lists!$AF11))</f>
        <v>0</v>
      </c>
      <c r="U17" s="252">
        <f>SUMPRODUCT(('Intrapartum Care'!$E$7:$E$745=U$6)*('Intrapartum Care'!$F$7:$F$745&gt;=Lists!$AE11)*('Intrapartum Care'!$F$7:$F$745&lt;=Lists!$AF11))</f>
        <v>0</v>
      </c>
      <c r="V17" s="252">
        <f>SUMPRODUCT(('Intrapartum Care'!$E$7:$E$745=V$6)*('Intrapartum Care'!$F$7:$F$745&gt;=Lists!$AE11)*('Intrapartum Care'!$F$7:$F$745&lt;=Lists!$AF11))</f>
        <v>0</v>
      </c>
      <c r="W17" s="252">
        <f>SUMPRODUCT(('Intrapartum Care'!$E$7:$E$745=W$6)*('Intrapartum Care'!$F$7:$F$745&gt;=Lists!$AE11)*('Intrapartum Care'!$F$7:$F$745&lt;=Lists!$AF11))</f>
        <v>0</v>
      </c>
      <c r="X17" s="252">
        <f>SUMPRODUCT(('Intrapartum Care'!$E$7:$E$745=X$6)*('Intrapartum Care'!$F$7:$F$745&gt;=Lists!$AE11)*('Intrapartum Care'!$F$7:$F$745&lt;=Lists!$AF11))</f>
        <v>0</v>
      </c>
      <c r="Y17" s="252">
        <f>SUMPRODUCT(('Intrapartum Care'!$E$7:$E$745=Y$6)*('Intrapartum Care'!$F$7:$F$745&gt;=Lists!$AE11)*('Intrapartum Care'!$F$7:$F$745&lt;=Lists!$AF11))</f>
        <v>0</v>
      </c>
      <c r="Z17" s="252">
        <f>SUMPRODUCT(('Intrapartum Care'!$E$7:$E$745=Z$6)*('Intrapartum Care'!$F$7:$F$745&gt;=Lists!$AE11)*('Intrapartum Care'!$F$7:$F$745&lt;=Lists!$AF11))</f>
        <v>0</v>
      </c>
      <c r="AA17" s="252">
        <f>SUMPRODUCT(('Intrapartum Care'!$E$7:$E$745=AA$6)*('Intrapartum Care'!$F$7:$F$745&gt;=Lists!$AE11)*('Intrapartum Care'!$F$7:$F$745&lt;=Lists!$AF11))</f>
        <v>0</v>
      </c>
      <c r="AB17" s="252">
        <f>SUMPRODUCT(('Intrapartum Care'!$E$7:$E$745=AB$6)*('Intrapartum Care'!$F$7:$F$745&gt;=Lists!$AE11)*('Intrapartum Care'!$F$7:$F$745&lt;=Lists!$AF11))</f>
        <v>0</v>
      </c>
      <c r="AC17" s="264">
        <f>SUMPRODUCT(('Intrapartum Care'!$E$7:$E$745=AC$6)*('Intrapartum Care'!$F$7:$F$745&gt;=Lists!$AE11)*('Intrapartum Care'!$F$7:$F$745&lt;=Lists!$AF11))</f>
        <v>0</v>
      </c>
      <c r="AD17" s="227">
        <f t="shared" si="4"/>
        <v>0</v>
      </c>
      <c r="AE17" s="255">
        <f>SUMPRODUCT(('Intrapartum Care'!$H$7:$H$745=AE$6)*('Intrapartum Care'!$F$7:$F$745&gt;=Lists!$AE11)*('Intrapartum Care'!$F$7:$F$745&lt;=Lists!$AF11))</f>
        <v>0</v>
      </c>
      <c r="AF17" s="252">
        <f>SUMPRODUCT(('Intrapartum Care'!$H$7:$H$745=AF$6)*('Intrapartum Care'!$F$7:$F$745&gt;=Lists!$AE11)*('Intrapartum Care'!$F$7:$F$745&lt;=Lists!$AF11))</f>
        <v>0</v>
      </c>
      <c r="AG17" s="252">
        <f>SUMPRODUCT(('Intrapartum Care'!$H$7:$H$745=AG$6)*('Intrapartum Care'!$F$7:$F$745&gt;=Lists!$AE11)*('Intrapartum Care'!$F$7:$F$745&lt;=Lists!$AF11))</f>
        <v>0</v>
      </c>
      <c r="AH17" s="252">
        <f>SUMPRODUCT(('Intrapartum Care'!$H$7:$H$745=AH$6)*('Intrapartum Care'!$F$7:$F$745&gt;=Lists!$AE11)*('Intrapartum Care'!$F$7:$F$745&lt;=Lists!$AF11))</f>
        <v>0</v>
      </c>
      <c r="AI17" s="252">
        <f>SUMPRODUCT(('Intrapartum Care'!$H$7:$H$745=AI$6)*('Intrapartum Care'!$F$7:$F$745&gt;=Lists!$AE11)*('Intrapartum Care'!$F$7:$F$745&lt;=Lists!$AF11))</f>
        <v>0</v>
      </c>
      <c r="AJ17" s="252">
        <f>SUMPRODUCT(('Intrapartum Care'!$H$7:$H$745=AJ$6)*('Intrapartum Care'!$F$7:$F$745&gt;=Lists!$AE11)*('Intrapartum Care'!$F$7:$F$745&lt;=Lists!$AF11))</f>
        <v>0</v>
      </c>
      <c r="AK17" s="252">
        <f>SUMPRODUCT(('Intrapartum Care'!$H$7:$H$745=AK$6)*('Intrapartum Care'!$F$7:$F$745&gt;=Lists!$AE11)*('Intrapartum Care'!$F$7:$F$745&lt;=Lists!$AF11))</f>
        <v>0</v>
      </c>
      <c r="AL17" s="252">
        <f>SUMPRODUCT(('Intrapartum Care'!$H$7:$H$745=AL$6)*('Intrapartum Care'!$F$7:$F$745&gt;=Lists!$AE11)*('Intrapartum Care'!$F$7:$F$745&lt;=Lists!$AF11))</f>
        <v>0</v>
      </c>
      <c r="AM17" s="264">
        <f>SUMPRODUCT(('Intrapartum Care'!$H$7:$H$745=AM$6)*('Intrapartum Care'!$F$7:$F$745&gt;=Lists!$AE11)*('Intrapartum Care'!$F$7:$F$745&lt;=Lists!$AF11))</f>
        <v>0</v>
      </c>
      <c r="AN17" s="170">
        <f t="shared" si="5"/>
        <v>0</v>
      </c>
      <c r="AO17" s="255">
        <f>SUMPRODUCT(('Intrapartum Care'!$I$7:$I$745=AO$6)*('Intrapartum Care'!$F$7:$F$745&gt;=Lists!$AE11)*('Intrapartum Care'!$F$7:$F$745&lt;=Lists!$AF11))</f>
        <v>0</v>
      </c>
      <c r="AP17" s="252">
        <f>SUMPRODUCT(('Intrapartum Care'!$I$7:$I$745=AP$6)*('Intrapartum Care'!$F$7:$F$745&gt;=Lists!$AE11)*('Intrapartum Care'!$F$7:$F$745&lt;=Lists!$AF11))</f>
        <v>0</v>
      </c>
      <c r="AQ17" s="252">
        <f>SUMPRODUCT(('Intrapartum Care'!$I$7:$I$745=AQ$6)*('Intrapartum Care'!$F$7:$F$745&gt;=Lists!$AE11)*('Intrapartum Care'!$F$7:$F$745&lt;=Lists!$AF11))</f>
        <v>0</v>
      </c>
      <c r="AR17" s="252">
        <f>SUMPRODUCT(('Intrapartum Care'!$I$7:$I$745=AR$6)*('Intrapartum Care'!$F$7:$F$745&gt;=Lists!$AE11)*('Intrapartum Care'!$F$7:$F$745&lt;=Lists!$AF11))</f>
        <v>0</v>
      </c>
      <c r="AS17" s="252">
        <f>SUMPRODUCT(('Intrapartum Care'!$I$7:$I$745=AS$6)*('Intrapartum Care'!$F$7:$F$745&gt;=Lists!$AE11)*('Intrapartum Care'!$F$7:$F$745&lt;=Lists!$AF11))</f>
        <v>0</v>
      </c>
      <c r="AT17" s="252">
        <f>SUMPRODUCT(('Intrapartum Care'!$I$7:$I$745=AT$6)*('Intrapartum Care'!$F$7:$F$745&gt;=Lists!$AE11)*('Intrapartum Care'!$F$7:$F$745&lt;=Lists!$AF11))</f>
        <v>0</v>
      </c>
      <c r="AU17" s="253">
        <f>SUMPRODUCT(('Intrapartum Care'!$I$7:$I$745=AU$6)*('Intrapartum Care'!$F$7:$F$745&gt;=Lists!$AE11)*('Intrapartum Care'!$F$7:$F$745&lt;=Lists!$AF11))</f>
        <v>0</v>
      </c>
      <c r="AV17" s="170">
        <f t="shared" si="6"/>
        <v>0</v>
      </c>
      <c r="AW17" s="255">
        <f>SUMPRODUCT(('Intrapartum Care'!$J$7:$J$745=AW$6)*('Intrapartum Care'!$F$7:$F$745&gt;=Lists!$AE11)*('Intrapartum Care'!$F$7:$F$745&lt;=Lists!$AF11))</f>
        <v>0</v>
      </c>
      <c r="AX17" s="253">
        <f>SUMPRODUCT(('Intrapartum Care'!$J$7:$J$745=AX$6)*('Intrapartum Care'!$F$7:$F$745&gt;=Lists!$AE11)*('Intrapartum Care'!$F$7:$F$745&lt;=Lists!$AF11))</f>
        <v>0</v>
      </c>
      <c r="AY17" s="170">
        <f t="shared" si="7"/>
        <v>0</v>
      </c>
      <c r="AZ17" s="263">
        <f>SUMPRODUCT(('Intrapartum Care'!$R$7:$R$745=AZ$6)*('Intrapartum Care'!$F$7:$F$745&gt;=Lists!$AE11)*('Intrapartum Care'!$F$7:$F$745&lt;=Lists!$AF11))</f>
        <v>0</v>
      </c>
      <c r="BA17" s="252">
        <f>SUMPRODUCT(('Intrapartum Care'!$R$7:$R$745=BA$6)*('Intrapartum Care'!$F$7:$F$745&gt;=Lists!$AE11)*('Intrapartum Care'!$F$7:$F$745&lt;=Lists!$AF11))</f>
        <v>0</v>
      </c>
      <c r="BB17" s="252">
        <f>SUMPRODUCT(('Intrapartum Care'!$R$7:$R$745=BB$6)*('Intrapartum Care'!$F$7:$F$745&gt;=Lists!$AE11)*('Intrapartum Care'!$F$7:$F$745&lt;=Lists!$AF11))</f>
        <v>0</v>
      </c>
      <c r="BC17" s="253">
        <f>SUMPRODUCT(('Intrapartum Care'!$R$7:$R$745=BC$6)*('Intrapartum Care'!$F$7:$F$745&gt;=Lists!$AE11)*('Intrapartum Care'!$F$7:$F$745&lt;=Lists!$AF11))</f>
        <v>0</v>
      </c>
      <c r="BD17" s="170">
        <f t="shared" si="8"/>
        <v>0</v>
      </c>
      <c r="BE17" s="263">
        <f>SUMPRODUCT(('Intrapartum Care'!$S$7:$S$745=BE$6)*('Intrapartum Care'!$F$7:$F$745&gt;=Lists!$AE11)*('Intrapartum Care'!$F$7:$F$745&lt;=Lists!$AF11))</f>
        <v>0</v>
      </c>
      <c r="BF17" s="252">
        <f>SUMPRODUCT(('Intrapartum Care'!$S$7:$S$745=BF$6)*('Intrapartum Care'!$F$7:$F$745&gt;=Lists!$AE11)*('Intrapartum Care'!$F$7:$F$745&lt;=Lists!$AF11))</f>
        <v>0</v>
      </c>
      <c r="BG17" s="264">
        <f>SUMPRODUCT(('Intrapartum Care'!$S$7:$S$745=BG$6)*('Intrapartum Care'!$F$7:$F$745&gt;=Lists!$AE11)*('Intrapartum Care'!$F$7:$F$745&lt;=Lists!$AF11))</f>
        <v>0</v>
      </c>
      <c r="BH17" s="170">
        <f t="shared" si="9"/>
        <v>0</v>
      </c>
      <c r="BI17" s="290">
        <f>SUMPRODUCT(('Intrapartum Care'!$T$7:$T$745=BI$6)*('Intrapartum Care'!$F$7:$F$745&gt;=Lists!$AE11)*('Intrapartum Care'!$F$7:$F$745&lt;=Lists!$AF11))</f>
        <v>0</v>
      </c>
      <c r="BJ17" s="290">
        <f>SUMPRODUCT(('Intrapartum Care'!$T$7:$T$745=BJ$6)*('Intrapartum Care'!$F$7:$F$745&gt;=Lists!$AE11)*('Intrapartum Care'!$F$7:$F$745&lt;=Lists!$AF11))</f>
        <v>0</v>
      </c>
      <c r="BK17" s="290">
        <f>SUMPRODUCT(('Intrapartum Care'!$T$7:$T$745=BK$6)*('Intrapartum Care'!$F$7:$F$745&gt;=Lists!$AE11)*('Intrapartum Care'!$F$7:$F$745&lt;=Lists!$AF11))</f>
        <v>0</v>
      </c>
      <c r="BL17" s="290">
        <f>SUMPRODUCT(('Intrapartum Care'!$T$7:$T$745=BL$6)*('Intrapartum Care'!$F$7:$F$745&gt;=Lists!$AE11)*('Intrapartum Care'!$F$7:$F$745&lt;=Lists!$AF11))</f>
        <v>0</v>
      </c>
      <c r="BM17" s="227">
        <f t="shared" si="10"/>
        <v>0</v>
      </c>
      <c r="BN17" s="290">
        <f>SUMPRODUCT(('Intrapartum Care'!$U$7:$U$745=BN$6)*('Intrapartum Care'!$F$7:$F$745&gt;=Lists!$AE11)*('Intrapartum Care'!$F$7:$F$745&lt;=Lists!$AF11))</f>
        <v>0</v>
      </c>
      <c r="BO17" s="290">
        <f>SUMPRODUCT(('Intrapartum Care'!$U$7:$U$745=BO$6)*('Intrapartum Care'!$F$7:$F$745&gt;=Lists!$AE11)*('Intrapartum Care'!$F$7:$F$745&lt;=Lists!$AF11))</f>
        <v>0</v>
      </c>
      <c r="BP17" s="290">
        <f>SUMPRODUCT(('Intrapartum Care'!$U$7:$U$745=BP$6)*('Intrapartum Care'!$F$7:$F$745&gt;=Lists!$AE11)*('Intrapartum Care'!$F$7:$F$745&lt;=Lists!$AF11))</f>
        <v>0</v>
      </c>
      <c r="BQ17" s="290">
        <f>SUMPRODUCT(('Intrapartum Care'!$U$7:$U$745=BQ$6)*('Intrapartum Care'!$F$7:$F$745&gt;=Lists!$AE11)*('Intrapartum Care'!$F$7:$F$745&lt;=Lists!$AF11))</f>
        <v>0</v>
      </c>
      <c r="BR17" s="227">
        <f t="shared" si="11"/>
        <v>0</v>
      </c>
      <c r="BS17" s="290">
        <f>SUMPRODUCT(('Intrapartum Care'!$V$7:$V$745=BS$6)*('Intrapartum Care'!$F$7:$F$745&gt;=Lists!$AE11)*('Intrapartum Care'!$F$7:$F$745&lt;=Lists!$AF11))</f>
        <v>0</v>
      </c>
      <c r="BT17" s="290">
        <f>SUMPRODUCT(('Intrapartum Care'!$V$7:$V$745=BT$6)*('Intrapartum Care'!$F$7:$F$745&gt;=Lists!$AE11)*('Intrapartum Care'!$F$7:$F$745&lt;=Lists!$AF11))</f>
        <v>0</v>
      </c>
      <c r="BU17" s="290">
        <f>SUMPRODUCT(('Intrapartum Care'!$V$7:$V$745=BU$6)*('Intrapartum Care'!$F$7:$F$745&gt;=Lists!$AE11)*('Intrapartum Care'!$F$7:$F$745&lt;=Lists!$AF11))</f>
        <v>0</v>
      </c>
      <c r="BV17" s="290">
        <f>SUMPRODUCT(('Intrapartum Care'!$V$7:$V$745=BV$6)*('Intrapartum Care'!$F$7:$F$745&gt;=Lists!$AE11)*('Intrapartum Care'!$F$7:$F$745&lt;=Lists!$AF11))</f>
        <v>0</v>
      </c>
      <c r="BW17" s="290">
        <f>SUMPRODUCT(('Intrapartum Care'!$V$7:$V$745=BW$6)*('Intrapartum Care'!$F$7:$F$745&gt;=Lists!$AE11)*('Intrapartum Care'!$F$7:$F$745&lt;=Lists!$AF11))</f>
        <v>0</v>
      </c>
      <c r="BX17" s="227">
        <f t="shared" si="12"/>
        <v>0</v>
      </c>
      <c r="BY17" s="290">
        <f>SUMPRODUCT(('Intrapartum Care'!$W$7:$W$745=BY$6)*('Intrapartum Care'!$F$7:$F$745&gt;=Lists!$AE11)*('Intrapartum Care'!$F$7:$F$745&lt;=Lists!$AF11))</f>
        <v>0</v>
      </c>
      <c r="BZ17" s="290">
        <f>SUMPRODUCT(('Intrapartum Care'!$W$7:$W$745=BZ$6)*('Intrapartum Care'!$F$7:$F$745&gt;=Lists!$AE11)*('Intrapartum Care'!$F$7:$F$745&lt;=Lists!$AF11))</f>
        <v>0</v>
      </c>
      <c r="CA17" s="290">
        <f>SUMPRODUCT(('Intrapartum Care'!$W$7:$W$745=CA$6)*('Intrapartum Care'!$F$7:$F$745&gt;=Lists!$AE11)*('Intrapartum Care'!$F$7:$F$745&lt;=Lists!$AF11))</f>
        <v>0</v>
      </c>
      <c r="CB17" s="290">
        <f>SUMPRODUCT(('Intrapartum Care'!$W$7:$W$745=CB$6)*('Intrapartum Care'!$F$7:$F$745&gt;=Lists!$AE11)*('Intrapartum Care'!$F$7:$F$745&lt;=Lists!$AF11))</f>
        <v>0</v>
      </c>
      <c r="CC17" s="290">
        <f>SUMPRODUCT(('Intrapartum Care'!$W$7:$W$745=CC$6)*('Intrapartum Care'!$F$7:$F$745&gt;=Lists!$AE11)*('Intrapartum Care'!$F$7:$F$745&lt;=Lists!$AF11))</f>
        <v>0</v>
      </c>
      <c r="CD17" s="227">
        <f t="shared" si="13"/>
        <v>0</v>
      </c>
      <c r="CE17" s="290">
        <f>SUMPRODUCT(('Intrapartum Care'!$X$7:$X$745=CE$6)*('Intrapartum Care'!$F$7:$F$745&gt;=Lists!$AE11)*('Intrapartum Care'!$F$7:$F$745&lt;=Lists!$AF11))</f>
        <v>0</v>
      </c>
      <c r="CF17" s="290">
        <f>SUMPRODUCT(('Intrapartum Care'!$X$7:$X$745=CF$6)*('Intrapartum Care'!$F$7:$F$745&gt;=Lists!$AE11)*('Intrapartum Care'!$F$7:$F$745&lt;=Lists!$AF11))</f>
        <v>0</v>
      </c>
      <c r="CG17" s="290">
        <f>SUMPRODUCT(('Intrapartum Care'!$X$7:$X$745=CG$6)*('Intrapartum Care'!$F$7:$F$745&gt;=Lists!$AE11)*('Intrapartum Care'!$F$7:$F$745&lt;=Lists!$AF11))</f>
        <v>0</v>
      </c>
      <c r="CH17" s="290">
        <f>SUMPRODUCT(('Intrapartum Care'!$X$7:$X$745=CH$6)*('Intrapartum Care'!$F$7:$F$745&gt;=Lists!$AE11)*('Intrapartum Care'!$F$7:$F$745&lt;=Lists!$AF11))</f>
        <v>0</v>
      </c>
      <c r="CI17" s="290">
        <f>SUMPRODUCT(('Intrapartum Care'!$X$7:$X$745=CI$6)*('Intrapartum Care'!$F$7:$F$745&gt;=Lists!$AE11)*('Intrapartum Care'!$F$7:$F$745&lt;=Lists!$AF11))</f>
        <v>0</v>
      </c>
      <c r="CJ17" s="290">
        <f>SUMPRODUCT(('Intrapartum Care'!$X$7:$X$745=CJ$6)*('Intrapartum Care'!$F$7:$F$745&gt;=Lists!$AE11)*('Intrapartum Care'!$F$7:$F$745&lt;=Lists!$AF11))</f>
        <v>0</v>
      </c>
      <c r="CK17" s="290">
        <f>SUMPRODUCT(('Intrapartum Care'!$X$7:$X$745=CK$6)*('Intrapartum Care'!$F$7:$F$745&gt;=Lists!$AE11)*('Intrapartum Care'!$F$7:$F$745&lt;=Lists!$AF11))</f>
        <v>0</v>
      </c>
      <c r="CL17" s="227">
        <f t="shared" si="14"/>
        <v>0</v>
      </c>
      <c r="CM17" s="290">
        <f>SUMPRODUCT(('Intrapartum Care'!$Y$7:$Y$745=CM$6)*('Intrapartum Care'!$F$7:$F$745&gt;=Lists!$AE11)*('Intrapartum Care'!$F$7:$F$745&lt;=Lists!$AF11))</f>
        <v>0</v>
      </c>
      <c r="CN17" s="290">
        <f>SUMPRODUCT(('Intrapartum Care'!$Y$7:$Y$745=CN$6)*('Intrapartum Care'!$F$7:$F$745&gt;=Lists!$AE11)*('Intrapartum Care'!$F$7:$F$745&lt;=Lists!$AF11))</f>
        <v>0</v>
      </c>
      <c r="CO17" s="290">
        <f>SUMPRODUCT(('Intrapartum Care'!$Y$7:$Y$745=CO$6)*('Intrapartum Care'!$F$7:$F$745&gt;=Lists!$AE11)*('Intrapartum Care'!$F$7:$F$745&lt;=Lists!$AF11))</f>
        <v>0</v>
      </c>
      <c r="CP17" s="290">
        <f>SUMPRODUCT(('Intrapartum Care'!$Y$7:$Y$745=CP$6)*('Intrapartum Care'!$F$7:$F$745&gt;=Lists!$AE11)*('Intrapartum Care'!$F$7:$F$745&lt;=Lists!$AF11))</f>
        <v>0</v>
      </c>
      <c r="CQ17" s="290">
        <f>SUMPRODUCT(('Intrapartum Care'!$Y$7:$Y$745=CQ$6)*('Intrapartum Care'!$F$7:$F$745&gt;=Lists!$AE11)*('Intrapartum Care'!$F$7:$F$745&lt;=Lists!$AF11))</f>
        <v>0</v>
      </c>
      <c r="CR17" s="290">
        <f>SUMPRODUCT(('Intrapartum Care'!$Y$7:$Y$745=CR$6)*('Intrapartum Care'!$F$7:$F$745&gt;=Lists!$AE11)*('Intrapartum Care'!$F$7:$F$745&lt;=Lists!$AF11))</f>
        <v>0</v>
      </c>
      <c r="CS17" s="227">
        <f t="shared" si="15"/>
        <v>0</v>
      </c>
      <c r="CT17" s="290">
        <f>SUMPRODUCT(('Intrapartum Care'!$Z$7:$Z$745=CT$6)*('Intrapartum Care'!$F$7:$F$745&gt;=Lists!$AE11)*('Intrapartum Care'!$F$7:$F$745&lt;=Lists!$AF11))</f>
        <v>0</v>
      </c>
      <c r="CU17" s="290">
        <f>SUMPRODUCT(('Intrapartum Care'!$Z$7:$Z$745=CU$6)*('Intrapartum Care'!$F$7:$F$745&gt;=Lists!$AE11)*('Intrapartum Care'!$F$7:$F$745&lt;=Lists!$AF11))</f>
        <v>0</v>
      </c>
      <c r="CV17" s="290">
        <f>SUMPRODUCT(('Intrapartum Care'!$Z$7:$Z$745=CV$6)*('Intrapartum Care'!$F$7:$F$745&gt;=Lists!$AE11)*('Intrapartum Care'!$F$7:$F$745&lt;=Lists!$AF11))</f>
        <v>0</v>
      </c>
      <c r="CW17" s="290">
        <f>SUMPRODUCT(('Intrapartum Care'!$Z$7:$Z$745=CW$6)*('Intrapartum Care'!$F$7:$F$745&gt;=Lists!$AE11)*('Intrapartum Care'!$F$7:$F$745&lt;=Lists!$AF11))</f>
        <v>0</v>
      </c>
      <c r="CX17" s="290">
        <f>SUMPRODUCT(('Intrapartum Care'!$Z$7:$Z$745=CX$6)*('Intrapartum Care'!$F$7:$F$745&gt;=Lists!$AE11)*('Intrapartum Care'!$F$7:$F$745&lt;=Lists!$AF11))</f>
        <v>0</v>
      </c>
      <c r="CY17" s="290">
        <f>SUMPRODUCT(('Intrapartum Care'!$Z$7:$Z$745=CY$6)*('Intrapartum Care'!$F$7:$F$745&gt;=Lists!$AE11)*('Intrapartum Care'!$F$7:$F$745&lt;=Lists!$AF11))</f>
        <v>0</v>
      </c>
      <c r="CZ17" s="290">
        <f>SUMPRODUCT(('Intrapartum Care'!$Z$7:$Z$745=CZ$6)*('Intrapartum Care'!$F$7:$F$745&gt;=Lists!$AE11)*('Intrapartum Care'!$F$7:$F$745&lt;=Lists!$AF11))</f>
        <v>0</v>
      </c>
      <c r="DA17" s="290">
        <f>SUMPRODUCT(('Intrapartum Care'!$Z$7:$Z$745=DA$6)*('Intrapartum Care'!$F$7:$F$745&gt;=Lists!$AE11)*('Intrapartum Care'!$F$7:$F$745&lt;=Lists!$AF11))</f>
        <v>0</v>
      </c>
      <c r="DB17" s="227">
        <f t="shared" si="16"/>
        <v>0</v>
      </c>
      <c r="DC17" s="290">
        <f>SUMPRODUCT(('Intrapartum Care'!$AA$7:$AA$745=DC$6)*('Intrapartum Care'!$F$7:$F$745&gt;=Lists!$AE11)*('Intrapartum Care'!$F$7:$F$745&lt;=Lists!$AF11))</f>
        <v>0</v>
      </c>
      <c r="DD17" s="290">
        <f>SUMPRODUCT(('Intrapartum Care'!$AA$7:$AA$745=DD$6)*('Intrapartum Care'!$F$7:$F$745&gt;=Lists!$AE11)*('Intrapartum Care'!$F$7:$F$745&lt;=Lists!$AF11))</f>
        <v>0</v>
      </c>
      <c r="DE17" s="290">
        <f>SUMPRODUCT(('Intrapartum Care'!$AA$7:$AA$745=DE$6)*('Intrapartum Care'!$F$7:$F$745&gt;=Lists!$AE11)*('Intrapartum Care'!$F$7:$F$745&lt;=Lists!$AF11))</f>
        <v>0</v>
      </c>
      <c r="DF17" s="227">
        <f t="shared" si="17"/>
        <v>0</v>
      </c>
      <c r="DG17" s="295">
        <f>SUMPRODUCT(('Intrapartum Care'!$AB$7:$AB$745=DG$6)*('Intrapartum Care'!$F$7:$F$745&gt;=Lists!$AE11)*('Intrapartum Care'!$F$7:$F$745&lt;=Lists!$AF11))</f>
        <v>0</v>
      </c>
      <c r="DH17" s="290">
        <f>SUMPRODUCT(('Intrapartum Care'!$AB$7:$AB$745=DH$6)*('Intrapartum Care'!$F$7:$F$745&gt;=Lists!$AE11)*('Intrapartum Care'!$F$7:$F$745&lt;=Lists!$AF11))</f>
        <v>0</v>
      </c>
      <c r="DI17" s="290">
        <f>SUMPRODUCT(('Intrapartum Care'!$AB$7:$AB$745=DI$6)*('Intrapartum Care'!$F$7:$F$745&gt;=Lists!$AE11)*('Intrapartum Care'!$F$7:$F$745&lt;=Lists!$AF11))</f>
        <v>0</v>
      </c>
      <c r="DJ17" s="290">
        <f>SUMPRODUCT(('Intrapartum Care'!$AB$7:$AB$745=DJ$6)*('Intrapartum Care'!$F$7:$F$745&gt;=Lists!$AE11)*('Intrapartum Care'!$F$7:$F$745&lt;=Lists!$AF11))</f>
        <v>0</v>
      </c>
      <c r="DK17" s="290">
        <f>SUMPRODUCT(('Intrapartum Care'!$AB$7:$AB$745=DK$6)*('Intrapartum Care'!$F$7:$F$745&gt;=Lists!$AE11)*('Intrapartum Care'!$F$7:$F$745&lt;=Lists!$AF11))</f>
        <v>0</v>
      </c>
      <c r="DL17" s="290">
        <f>SUMPRODUCT(('Intrapartum Care'!$AB$7:$AB$745=DL$6)*('Intrapartum Care'!$F$7:$F$745&gt;=Lists!$AE11)*('Intrapartum Care'!$F$7:$F$745&lt;=Lists!$AF11))</f>
        <v>0</v>
      </c>
      <c r="DM17" s="290">
        <f>SUMPRODUCT(('Intrapartum Care'!$AB$7:$AB$745=DM$6)*('Intrapartum Care'!$F$7:$F$745&gt;=Lists!$AE11)*('Intrapartum Care'!$F$7:$F$745&lt;=Lists!$AF11))</f>
        <v>0</v>
      </c>
      <c r="DN17" s="227">
        <f t="shared" si="18"/>
        <v>0</v>
      </c>
      <c r="DO17" s="528">
        <f>SUMPRODUCT(('Intrapartum Care'!$AC$7:$AC$745=DO$6)*('Intrapartum Care'!$F$7:$F$745&gt;=Lists!$AE11)*('Intrapartum Care'!$F$7:$F$745&lt;=Lists!$AF11))</f>
        <v>0</v>
      </c>
      <c r="DP17" s="528">
        <f>SUMPRODUCT(('Intrapartum Care'!$AC$7:$AC$745=DP$6)*('Intrapartum Care'!$F$7:$F$745&gt;=Lists!$AE11)*('Intrapartum Care'!$F$7:$F$745&lt;=Lists!$AF11))</f>
        <v>0</v>
      </c>
      <c r="DQ17" s="528">
        <f>SUMPRODUCT(('Intrapartum Care'!$AC$7:$AC$745=DQ$6)*('Intrapartum Care'!$F$7:$F$745&gt;=Lists!$AE11)*('Intrapartum Care'!$F$7:$F$745&lt;=Lists!$AF11))</f>
        <v>0</v>
      </c>
      <c r="DR17" s="528">
        <f>SUMPRODUCT(('Intrapartum Care'!$AC$7:$AC$745=DR$6)*('Intrapartum Care'!$F$7:$F$745&gt;=Lists!$AE11)*('Intrapartum Care'!$F$7:$F$745&lt;=Lists!$AF11))</f>
        <v>0</v>
      </c>
      <c r="DS17" s="528">
        <f>SUMPRODUCT(('Intrapartum Care'!$AC$7:$AC$745=DS$6)*('Intrapartum Care'!$F$7:$F$745&gt;=Lists!$AE11)*('Intrapartum Care'!$F$7:$F$745&lt;=Lists!$AF11))</f>
        <v>0</v>
      </c>
      <c r="DT17" s="528">
        <f>SUMPRODUCT(('Intrapartum Care'!$AC$7:$AC$745=DT$6)*('Intrapartum Care'!$F$7:$F$745&gt;=Lists!$AE11)*('Intrapartum Care'!$F$7:$F$745&lt;=Lists!$AF11))</f>
        <v>0</v>
      </c>
      <c r="DU17" s="528">
        <f>SUMPRODUCT(('Intrapartum Care'!$AC$7:$AC$745=DU$6)*('Intrapartum Care'!$F$7:$F$745&gt;=Lists!$AE11)*('Intrapartum Care'!$F$7:$F$745&lt;=Lists!$AF11))</f>
        <v>0</v>
      </c>
      <c r="DV17" s="528">
        <f>SUMPRODUCT(('Intrapartum Care'!$AC$7:$AC$745=DV$6)*('Intrapartum Care'!$F$7:$F$745&gt;=Lists!$AE11)*('Intrapartum Care'!$F$7:$F$745&lt;=Lists!$AF11))</f>
        <v>0</v>
      </c>
      <c r="DW17" s="528">
        <f>SUMPRODUCT(('Intrapartum Care'!$AC$7:$AC$745=DW$6)*('Intrapartum Care'!$F$7:$F$745&gt;=Lists!$AE11)*('Intrapartum Care'!$F$7:$F$745&lt;=Lists!$AF11))</f>
        <v>0</v>
      </c>
      <c r="DX17" s="227">
        <f t="shared" si="19"/>
        <v>0</v>
      </c>
      <c r="DY17" s="295">
        <f>SUMPRODUCT(('Intrapartum Care'!$AE$7:$AE$745=DY$6)*('Intrapartum Care'!$F$7:$F$745&gt;=Lists!$AE11)*('Intrapartum Care'!$F$7:$F$745&lt;=Lists!$AF11))</f>
        <v>0</v>
      </c>
      <c r="DZ17" s="295">
        <f>SUMPRODUCT(('Intrapartum Care'!$AE$7:$AE$745=DZ$6)*('Intrapartum Care'!$F$7:$F$745&gt;=Lists!$AE11)*('Intrapartum Care'!$F$7:$F$745&lt;=Lists!$AF11))</f>
        <v>0</v>
      </c>
      <c r="EA17" s="295">
        <f>SUMPRODUCT(('Intrapartum Care'!$AE$7:$AE$745=EA$6)*('Intrapartum Care'!$F$7:$F$745&gt;=Lists!$AE11)*('Intrapartum Care'!$F$7:$F$745&lt;=Lists!$AF11))</f>
        <v>0</v>
      </c>
      <c r="EB17" s="227">
        <f t="shared" si="20"/>
        <v>0</v>
      </c>
      <c r="EC17" s="295">
        <f>SUMPRODUCT(('Intrapartum Care'!$AF$7:$AF$745=EC$6)*('Intrapartum Care'!$F$7:$F$745&gt;=Lists!$AE11)*('Intrapartum Care'!$F$7:$F$745&lt;=Lists!$AF11))</f>
        <v>0</v>
      </c>
      <c r="ED17" s="295">
        <f>SUMPRODUCT(('Intrapartum Care'!$AF$7:$AF$745=ED$6)*('Intrapartum Care'!$F$7:$F$745&gt;=Lists!$AE11)*('Intrapartum Care'!$F$7:$F$745&lt;=Lists!$AF11))</f>
        <v>0</v>
      </c>
      <c r="EE17" s="295">
        <f>SUMPRODUCT(('Intrapartum Care'!$AF$7:$AF$745=EE$6)*('Intrapartum Care'!$F$7:$F$745&gt;=Lists!$AE11)*('Intrapartum Care'!$F$7:$F$745&lt;=Lists!$AF11))</f>
        <v>0</v>
      </c>
      <c r="EF17" s="295">
        <f>SUMPRODUCT(('Intrapartum Care'!$AF$7:$AF$745=EF$6)*('Intrapartum Care'!$F$7:$F$745&gt;=Lists!$AE11)*('Intrapartum Care'!$F$7:$F$745&lt;=Lists!$AF11))</f>
        <v>0</v>
      </c>
      <c r="EG17" s="295">
        <f>SUMPRODUCT(('Intrapartum Care'!$AF$7:$AF$745=EG$6)*('Intrapartum Care'!$F$7:$F$745&gt;=Lists!$AE11)*('Intrapartum Care'!$F$7:$F$745&lt;=Lists!$AF11))</f>
        <v>0</v>
      </c>
      <c r="EH17" s="227">
        <f t="shared" si="21"/>
        <v>0</v>
      </c>
      <c r="EI17" s="295">
        <f>SUMPRODUCT(('Intrapartum Care'!$AG$7:$AG$745=EI$6)*('Intrapartum Care'!$F$7:$F$745&gt;=Lists!$AE11)*('Intrapartum Care'!$F$7:$F$745&lt;=Lists!$AF11))</f>
        <v>0</v>
      </c>
      <c r="EJ17" s="295">
        <f>SUMPRODUCT(('Intrapartum Care'!$AG$7:$AG$745=EJ$6)*('Intrapartum Care'!$F$7:$F$745&gt;=Lists!$AE11)*('Intrapartum Care'!$F$7:$F$745&lt;=Lists!$AF11))</f>
        <v>0</v>
      </c>
      <c r="EK17" s="295">
        <f>SUMPRODUCT(('Intrapartum Care'!$AG$7:$AG$745=EK$6)*('Intrapartum Care'!$F$7:$F$745&gt;=Lists!$AE11)*('Intrapartum Care'!$F$7:$F$745&lt;=Lists!$AF11))</f>
        <v>0</v>
      </c>
      <c r="EL17" s="295">
        <f>SUMPRODUCT(('Intrapartum Care'!$AG$7:$AG$745=EL$6)*('Intrapartum Care'!$F$7:$F$745&gt;=Lists!$AE11)*('Intrapartum Care'!$F$7:$F$745&lt;=Lists!$AF11))</f>
        <v>0</v>
      </c>
      <c r="EM17" s="295">
        <f>SUMPRODUCT(('Intrapartum Care'!$AG$7:$AG$745=EM$6)*('Intrapartum Care'!$F$7:$F$745&gt;=Lists!$AE11)*('Intrapartum Care'!$F$7:$F$745&lt;=Lists!$AF11))</f>
        <v>0</v>
      </c>
      <c r="EN17" s="295">
        <f>SUMPRODUCT(('Intrapartum Care'!$AG$7:$AG$745=EN$6)*('Intrapartum Care'!$F$7:$F$745&gt;=Lists!$AE11)*('Intrapartum Care'!$F$7:$F$745&lt;=Lists!$AF11))</f>
        <v>0</v>
      </c>
      <c r="EO17" s="227">
        <f t="shared" si="22"/>
        <v>0</v>
      </c>
      <c r="EP17" s="295">
        <f>SUMPRODUCT(('Intrapartum Care'!$AH$7:$AH$745=EP$6)*('Intrapartum Care'!$F$7:$F$745&gt;=Lists!$AE11)*('Intrapartum Care'!$F$7:$F$745&lt;=Lists!$AF11))</f>
        <v>0</v>
      </c>
      <c r="EQ17" s="295">
        <f>SUMPRODUCT(('Intrapartum Care'!$AH$7:$AH$745=EQ$6)*('Intrapartum Care'!$F$7:$F$745&gt;=Lists!$AE11)*('Intrapartum Care'!$F$7:$F$745&lt;=Lists!$AF11))</f>
        <v>0</v>
      </c>
      <c r="ER17" s="295">
        <f>SUMPRODUCT(('Intrapartum Care'!$AH$7:$AH$745=ER$6)*('Intrapartum Care'!$F$7:$F$745&gt;=Lists!$AE11)*('Intrapartum Care'!$F$7:$F$745&lt;=Lists!$AF11))</f>
        <v>0</v>
      </c>
      <c r="ES17" s="227">
        <f t="shared" si="23"/>
        <v>0</v>
      </c>
      <c r="ET17" s="290">
        <f>SUMPRODUCT(('Intrapartum Care'!$AK$7:$AK$745=ET$6)*('Intrapartum Care'!$F$7:$F$745&gt;=Lists!$AE11)*('Intrapartum Care'!$F$7:$F$745&lt;=Lists!$AF11))</f>
        <v>0</v>
      </c>
      <c r="EU17" s="290">
        <f>SUMPRODUCT(('Intrapartum Care'!$AK$7:$AK$745=EU$6)*('Intrapartum Care'!$F$7:$F$745&gt;=Lists!$AE11)*('Intrapartum Care'!$F$7:$F$745&lt;=Lists!$AF11))</f>
        <v>0</v>
      </c>
      <c r="EV17" s="290">
        <f>SUMPRODUCT(('Intrapartum Care'!$AK$7:$AK$745=EV$6)*('Intrapartum Care'!$F$7:$F$745&gt;=Lists!$AE11)*('Intrapartum Care'!$F$7:$F$745&lt;=Lists!$AF11))</f>
        <v>0</v>
      </c>
      <c r="EW17" s="227">
        <f t="shared" si="24"/>
        <v>0</v>
      </c>
      <c r="EX17" s="290">
        <f>SUMPRODUCT(('Intrapartum Care'!$AL$7:$AL$745=EX$6)*('Intrapartum Care'!$F$7:$F$745&gt;=Lists!$AE11)*('Intrapartum Care'!$F$7:$F$745&lt;=Lists!$AF11))</f>
        <v>0</v>
      </c>
      <c r="EY17" s="290">
        <f>SUMPRODUCT(('Intrapartum Care'!$AL$7:$AL$745=EY$6)*('Intrapartum Care'!$F$7:$F$745&gt;=Lists!$AE11)*('Intrapartum Care'!$F$7:$F$745&lt;=Lists!$AF11))</f>
        <v>0</v>
      </c>
      <c r="EZ17" s="290">
        <f>SUMPRODUCT(('Intrapartum Care'!$AL$7:$AL$745=EZ$6)*('Intrapartum Care'!$F$7:$F$745&gt;=Lists!$AE11)*('Intrapartum Care'!$F$7:$F$745&lt;=Lists!$AF11))</f>
        <v>0</v>
      </c>
      <c r="FA17" s="227">
        <f t="shared" si="0"/>
        <v>0</v>
      </c>
      <c r="FB17" s="290">
        <f>SUMPRODUCT(('Intrapartum Care'!$AM$7:$AM$745=FB$6)*('Intrapartum Care'!$F$7:$F$745&gt;=Lists!$AE11)*('Intrapartum Care'!$F$7:$F$745&lt;=Lists!$AF11))</f>
        <v>0</v>
      </c>
      <c r="FC17" s="290">
        <f>SUMPRODUCT(('Intrapartum Care'!$AM$7:$AM$745=FC$6)*('Intrapartum Care'!$F$7:$F$745&gt;=Lists!$AE11)*('Intrapartum Care'!$F$7:$F$745&lt;=Lists!$AF11))</f>
        <v>0</v>
      </c>
      <c r="FD17" s="290">
        <f>SUMPRODUCT(('Intrapartum Care'!$AM$7:$AM$745=FD$6)*('Intrapartum Care'!$F$7:$F$745&gt;=Lists!$AE11)*('Intrapartum Care'!$F$7:$F$745&lt;=Lists!$AF11))</f>
        <v>0</v>
      </c>
      <c r="FE17" s="290">
        <f>SUMPRODUCT(('Intrapartum Care'!$AM$7:$AM$745=FE$6)*('Intrapartum Care'!$F$7:$F$745&gt;=Lists!$AE11)*('Intrapartum Care'!$F$7:$F$745&lt;=Lists!$AF11))</f>
        <v>0</v>
      </c>
      <c r="FF17" s="290">
        <f>SUMPRODUCT(('Intrapartum Care'!$AM$7:$AM$745=FF$6)*('Intrapartum Care'!$F$7:$F$745&gt;=Lists!$AE11)*('Intrapartum Care'!$F$7:$F$745&lt;=Lists!$AF11))</f>
        <v>0</v>
      </c>
      <c r="FG17" s="227">
        <f t="shared" si="25"/>
        <v>0</v>
      </c>
      <c r="FH17" s="290">
        <f>SUMPRODUCT(('Intrapartum Care'!$AN$7:$AN$745=FH$6)*('Intrapartum Care'!$F$7:$F$745&gt;=Lists!$AE11)*('Intrapartum Care'!$F$7:$F$745&lt;=Lists!$AF11))</f>
        <v>0</v>
      </c>
      <c r="FI17" s="290">
        <f>SUMPRODUCT(('Intrapartum Care'!$AN$7:$AN$745=FI$6)*('Intrapartum Care'!$F$7:$F$745&gt;=Lists!$AE11)*('Intrapartum Care'!$F$7:$F$745&lt;=Lists!$AF11))</f>
        <v>0</v>
      </c>
      <c r="FJ17" s="290">
        <f>SUMPRODUCT(('Intrapartum Care'!$AN$7:$AN$745=FJ$6)*('Intrapartum Care'!$F$7:$F$745&gt;=Lists!$AE11)*('Intrapartum Care'!$F$7:$F$745&lt;=Lists!$AF11))</f>
        <v>0</v>
      </c>
      <c r="FK17" s="290">
        <f>SUMPRODUCT(('Intrapartum Care'!$AN$7:$AN$745=FK$6)*('Intrapartum Care'!$F$7:$F$745&gt;=Lists!$AE11)*('Intrapartum Care'!$F$7:$F$745&lt;=Lists!$AF11))</f>
        <v>0</v>
      </c>
      <c r="FL17" s="227">
        <f t="shared" si="26"/>
        <v>0</v>
      </c>
      <c r="FM17" s="290">
        <f>SUMPRODUCT(('Intrapartum Care'!$AS$7:$AS$745=FM$6)*('Intrapartum Care'!$F$7:$F$745&gt;=Lists!$AE11)*('Intrapartum Care'!$F$7:$F$745&lt;=Lists!$AF11))</f>
        <v>0</v>
      </c>
      <c r="FN17" s="290">
        <f>SUMPRODUCT(('Intrapartum Care'!$AS$7:$AS$745=FN$6)*('Intrapartum Care'!$F$7:$F$745&gt;=Lists!$AE11)*('Intrapartum Care'!$F$7:$F$745&lt;=Lists!$AF11))</f>
        <v>0</v>
      </c>
      <c r="FO17" s="290">
        <f>SUMPRODUCT(('Intrapartum Care'!$AS$7:$AS$745=FO$6)*('Intrapartum Care'!$F$7:$F$745&gt;=Lists!$AE11)*('Intrapartum Care'!$F$7:$F$745&lt;=Lists!$AF11))</f>
        <v>0</v>
      </c>
      <c r="FP17" s="290">
        <f>SUMPRODUCT(('Intrapartum Care'!$AS$7:$AS$745=FP$6)*('Intrapartum Care'!$F$7:$F$745&gt;=Lists!$AE11)*('Intrapartum Care'!$F$7:$F$745&lt;=Lists!$AF11))</f>
        <v>0</v>
      </c>
      <c r="FQ17" s="227">
        <f t="shared" si="27"/>
        <v>0</v>
      </c>
      <c r="FR17" s="290">
        <f>SUMPRODUCT(('Intrapartum Care'!$AZ$7:$AZ$745=FR$6)*('Intrapartum Care'!$F$7:$F$745&gt;=Lists!$AE11)*('Intrapartum Care'!$F$7:$F$745&lt;=Lists!$AF11))</f>
        <v>0</v>
      </c>
      <c r="FS17" s="290">
        <f>SUMPRODUCT(('Intrapartum Care'!$AZ$7:$AZ$745=FS$6)*('Intrapartum Care'!$F$7:$F$745&gt;=Lists!$AE11)*('Intrapartum Care'!$F$7:$F$745&lt;=Lists!$AF11))</f>
        <v>0</v>
      </c>
      <c r="FT17" s="290">
        <f>SUMPRODUCT(('Intrapartum Care'!$AZ$7:$AZ$745=FT$6)*('Intrapartum Care'!$F$7:$F$745&gt;=Lists!$AE11)*('Intrapartum Care'!$F$7:$F$745&lt;=Lists!$AF11))</f>
        <v>0</v>
      </c>
      <c r="FU17" s="227">
        <f t="shared" si="28"/>
        <v>0</v>
      </c>
      <c r="FV17" s="290">
        <f>SUMPRODUCT(('Intrapartum Care'!$BA$7:$BA$745=FV$6)*('Intrapartum Care'!$F$7:$F$745&gt;=Lists!$AE11)*('Intrapartum Care'!$F$7:$F$745&lt;=Lists!$AF11))</f>
        <v>0</v>
      </c>
      <c r="FW17" s="290">
        <f>SUMPRODUCT(('Intrapartum Care'!$BA$7:$BA$745=FW$6)*('Intrapartum Care'!$F$7:$F$745&gt;=Lists!$AE11)*('Intrapartum Care'!$F$7:$F$745&lt;=Lists!$AF11))</f>
        <v>0</v>
      </c>
      <c r="FX17" s="290">
        <f>SUMPRODUCT(('Intrapartum Care'!$BA$7:$BA$745=FX$6)*('Intrapartum Care'!$F$7:$F$745&gt;=Lists!$AE11)*('Intrapartum Care'!$F$7:$F$745&lt;=Lists!$AF11))</f>
        <v>0</v>
      </c>
      <c r="FY17" s="227">
        <f t="shared" si="29"/>
        <v>0</v>
      </c>
      <c r="FZ17" s="290">
        <f>SUMPRODUCT(('Intrapartum Care'!$BB$7:$BB$745=FZ$6)*('Intrapartum Care'!$F$7:$F$745&gt;=Lists!$AE11)*('Intrapartum Care'!$F$7:$F$745&lt;=Lists!$AF11))</f>
        <v>0</v>
      </c>
      <c r="GA17" s="290">
        <f>SUMPRODUCT(('Intrapartum Care'!$BB$7:$BB$745=GA$6)*('Intrapartum Care'!$F$7:$F$745&gt;=Lists!$AE11)*('Intrapartum Care'!$F$7:$F$745&lt;=Lists!$AF11))</f>
        <v>0</v>
      </c>
      <c r="GB17" s="290">
        <f>SUMPRODUCT(('Intrapartum Care'!$BB$7:$BB$745=GB$6)*('Intrapartum Care'!$F$7:$F$745&gt;=Lists!$AE11)*('Intrapartum Care'!$F$7:$F$745&lt;=Lists!$AF11))</f>
        <v>0</v>
      </c>
      <c r="GC17" s="290">
        <f>SUMPRODUCT(('Intrapartum Care'!$BB$7:$BB$745=GC$6)*('Intrapartum Care'!$F$7:$F$745&gt;=Lists!$AE11)*('Intrapartum Care'!$F$7:$F$745&lt;=Lists!$AF11))</f>
        <v>0</v>
      </c>
      <c r="GD17" s="290">
        <f>SUMPRODUCT(('Intrapartum Care'!$BB$7:$BB$745=GD$6)*('Intrapartum Care'!$F$7:$F$745&gt;=Lists!$AE11)*('Intrapartum Care'!$F$7:$F$745&lt;=Lists!$AF11))</f>
        <v>0</v>
      </c>
      <c r="GE17" s="290">
        <f>SUMPRODUCT(('Intrapartum Care'!$BB$7:$BB$745=GE$6)*('Intrapartum Care'!$F$7:$F$745&gt;=Lists!$AE11)*('Intrapartum Care'!$F$7:$F$745&lt;=Lists!$AF11))</f>
        <v>0</v>
      </c>
      <c r="GF17" s="290">
        <f>SUMPRODUCT(('Intrapartum Care'!$BB$7:$BB$745=GF$6)*('Intrapartum Care'!$F$7:$F$745&gt;=Lists!$AE11)*('Intrapartum Care'!$F$7:$F$745&lt;=Lists!$AF11))</f>
        <v>0</v>
      </c>
      <c r="GG17" s="290">
        <f>SUMPRODUCT(('Intrapartum Care'!$BB$7:$BB$745=GG$6)*('Intrapartum Care'!$F$7:$F$745&gt;=Lists!$AE11)*('Intrapartum Care'!$F$7:$F$745&lt;=Lists!$AF11))</f>
        <v>0</v>
      </c>
      <c r="GH17" s="290">
        <f>SUMPRODUCT(('Intrapartum Care'!$BB$7:$BB$745=GH$6)*('Intrapartum Care'!$F$7:$F$745&gt;=Lists!$AE11)*('Intrapartum Care'!$F$7:$F$745&lt;=Lists!$AF11))</f>
        <v>0</v>
      </c>
      <c r="GI17" s="290">
        <f>SUMPRODUCT(('Intrapartum Care'!$BB$7:$BB$745=GI$6)*('Intrapartum Care'!$F$7:$F$745&gt;=Lists!$AE11)*('Intrapartum Care'!$F$7:$F$745&lt;=Lists!$AF11))</f>
        <v>0</v>
      </c>
      <c r="GJ17" s="290">
        <f>SUMPRODUCT(('Intrapartum Care'!$BB$7:$BB$745=GJ$6)*('Intrapartum Care'!$F$7:$F$745&gt;=Lists!$AE11)*('Intrapartum Care'!$F$7:$F$745&lt;=Lists!$AF11))</f>
        <v>0</v>
      </c>
      <c r="GK17" s="290">
        <f>SUMPRODUCT(('Intrapartum Care'!$BB$7:$BB$745=GK$6)*('Intrapartum Care'!$F$7:$F$745&gt;=Lists!$AE11)*('Intrapartum Care'!$F$7:$F$745&lt;=Lists!$AF11))</f>
        <v>0</v>
      </c>
      <c r="GL17" s="290">
        <f>SUMPRODUCT(('Intrapartum Care'!$BB$7:$BB$745=GL$6)*('Intrapartum Care'!$F$7:$F$745&gt;=Lists!$AE11)*('Intrapartum Care'!$F$7:$F$745&lt;=Lists!$AF11))</f>
        <v>0</v>
      </c>
      <c r="GM17" s="290">
        <f>SUMPRODUCT(('Intrapartum Care'!$BB$7:$BB$745=GM$6)*('Intrapartum Care'!$F$7:$F$745&gt;=Lists!$AE11)*('Intrapartum Care'!$F$7:$F$745&lt;=Lists!$AF11))</f>
        <v>0</v>
      </c>
      <c r="GN17" s="290">
        <f>SUMPRODUCT(('Intrapartum Care'!$BB$7:$BB$745=GN$6)*('Intrapartum Care'!$F$7:$F$745&gt;=Lists!$AE11)*('Intrapartum Care'!$F$7:$F$745&lt;=Lists!$AF11))</f>
        <v>0</v>
      </c>
      <c r="GO17" s="290">
        <f>SUMPRODUCT(('Intrapartum Care'!$BB$7:$BB$745=GO$6)*('Intrapartum Care'!$F$7:$F$745&gt;=Lists!$AE11)*('Intrapartum Care'!$F$7:$F$745&lt;=Lists!$AF11))</f>
        <v>0</v>
      </c>
      <c r="GP17" s="290">
        <f>SUMPRODUCT(('Intrapartum Care'!$BB$7:$BB$745=GP$6)*('Intrapartum Care'!$F$7:$F$745&gt;=Lists!$AE11)*('Intrapartum Care'!$F$7:$F$745&lt;=Lists!$AF11))</f>
        <v>0</v>
      </c>
      <c r="GQ17" s="290">
        <f>SUMPRODUCT(('Intrapartum Care'!$BB$7:$BB$745=GQ$6)*('Intrapartum Care'!$F$7:$F$745&gt;=Lists!$AE11)*('Intrapartum Care'!$F$7:$F$745&lt;=Lists!$AF11))</f>
        <v>0</v>
      </c>
      <c r="GR17" s="290">
        <f>SUMPRODUCT(('Intrapartum Care'!$BB$7:$BB$745=GR$6)*('Intrapartum Care'!$F$7:$F$745&gt;=Lists!$AE11)*('Intrapartum Care'!$F$7:$F$745&lt;=Lists!$AF11))</f>
        <v>0</v>
      </c>
      <c r="GS17" s="290">
        <f>SUMPRODUCT(('Intrapartum Care'!$BB$7:$BB$745=GS$6)*('Intrapartum Care'!$F$7:$F$745&gt;=Lists!$AE11)*('Intrapartum Care'!$F$7:$F$745&lt;=Lists!$AF11))</f>
        <v>0</v>
      </c>
      <c r="GT17" s="227">
        <f t="shared" si="30"/>
        <v>0</v>
      </c>
      <c r="GU17" s="290">
        <f>SUMPRODUCT(('Intrapartum Care'!$BC$7:$BC$745=GU$6)*('Intrapartum Care'!$F$7:$F$745&gt;=Lists!$AE11)*('Intrapartum Care'!$F$7:$F$745&lt;=Lists!$AF11))</f>
        <v>0</v>
      </c>
      <c r="GV17" s="290">
        <f>SUMPRODUCT(('Intrapartum Care'!$BC$7:$BC$745=GV$6)*('Intrapartum Care'!$F$7:$F$745&gt;=Lists!$AE11)*('Intrapartum Care'!$F$7:$F$745&lt;=Lists!$AF11))</f>
        <v>0</v>
      </c>
      <c r="GW17" s="290">
        <f>SUMPRODUCT(('Intrapartum Care'!$BC$7:$BC$745=GW$6)*('Intrapartum Care'!$F$7:$F$745&gt;=Lists!$AE11)*('Intrapartum Care'!$F$7:$F$745&lt;=Lists!$AF11))</f>
        <v>0</v>
      </c>
      <c r="GX17" s="290">
        <f>SUMPRODUCT(('Intrapartum Care'!$BC$7:$BC$745=GX$6)*('Intrapartum Care'!$F$7:$F$745&gt;=Lists!$AE11)*('Intrapartum Care'!$F$7:$F$745&lt;=Lists!$AF11))</f>
        <v>0</v>
      </c>
      <c r="GY17" s="290">
        <f>SUMPRODUCT(('Intrapartum Care'!$BC$7:$BC$745=GY$6)*('Intrapartum Care'!$F$7:$F$745&gt;=Lists!$AE11)*('Intrapartum Care'!$F$7:$F$745&lt;=Lists!$AF11))</f>
        <v>0</v>
      </c>
      <c r="GZ17" s="290">
        <f>SUMPRODUCT(('Intrapartum Care'!$BC$7:$BC$745=GZ$6)*('Intrapartum Care'!$F$7:$F$745&gt;=Lists!$AE11)*('Intrapartum Care'!$F$7:$F$745&lt;=Lists!$AF11))</f>
        <v>0</v>
      </c>
      <c r="HA17" s="290">
        <f>SUMPRODUCT(('Intrapartum Care'!$BC$7:$BC$745=HA$6)*('Intrapartum Care'!$F$7:$F$745&gt;=Lists!$AE11)*('Intrapartum Care'!$F$7:$F$745&lt;=Lists!$AF11))</f>
        <v>0</v>
      </c>
      <c r="HB17" s="290">
        <f>SUMPRODUCT(('Intrapartum Care'!$BC$7:$BC$745=HB$6)*('Intrapartum Care'!$F$7:$F$745&gt;=Lists!$AE11)*('Intrapartum Care'!$F$7:$F$745&lt;=Lists!$AF11))</f>
        <v>0</v>
      </c>
      <c r="HC17" s="290">
        <f>SUMPRODUCT(('Intrapartum Care'!$BC$7:$BC$745=HC$6)*('Intrapartum Care'!$F$7:$F$745&gt;=Lists!$AE11)*('Intrapartum Care'!$F$7:$F$745&lt;=Lists!$AF11))</f>
        <v>0</v>
      </c>
      <c r="HD17" s="290">
        <f>SUMPRODUCT(('Intrapartum Care'!$BC$7:$BC$745=HD$6)*('Intrapartum Care'!$F$7:$F$745&gt;=Lists!$AE11)*('Intrapartum Care'!$F$7:$F$745&lt;=Lists!$AF11))</f>
        <v>0</v>
      </c>
      <c r="HE17" s="290">
        <f>SUMPRODUCT(('Intrapartum Care'!$BC$7:$BC$745=HE$6)*('Intrapartum Care'!$F$7:$F$745&gt;=Lists!$AE11)*('Intrapartum Care'!$F$7:$F$745&lt;=Lists!$AF11))</f>
        <v>0</v>
      </c>
      <c r="HF17" s="227">
        <f t="shared" si="31"/>
        <v>0</v>
      </c>
      <c r="HG17" s="290">
        <f>SUMPRODUCT(('Intrapartum Care'!$BD$7:$BD$745=HG$6)*('Intrapartum Care'!$F$7:$F$745&gt;=Lists!$AE11)*('Intrapartum Care'!$F$7:$F$745&lt;=Lists!$AF11))</f>
        <v>0</v>
      </c>
      <c r="HH17" s="290">
        <f>SUMPRODUCT(('Intrapartum Care'!$BD$7:$BD$745=HH$6)*('Intrapartum Care'!$F$7:$F$745&gt;=Lists!$AE11)*('Intrapartum Care'!$F$7:$F$745&lt;=Lists!$AF11))</f>
        <v>0</v>
      </c>
      <c r="HI17" s="290">
        <f>SUMPRODUCT(('Intrapartum Care'!$BD$7:$BD$745=HI$6)*('Intrapartum Care'!$F$7:$F$745&gt;=Lists!$AE11)*('Intrapartum Care'!$F$7:$F$745&lt;=Lists!$AF11))</f>
        <v>0</v>
      </c>
      <c r="HJ17" s="290">
        <f>SUMPRODUCT(('Intrapartum Care'!$BD$7:$BD$745=HJ$6)*('Intrapartum Care'!$F$7:$F$745&gt;=Lists!$AE11)*('Intrapartum Care'!$F$7:$F$745&lt;=Lists!$AF11))</f>
        <v>0</v>
      </c>
      <c r="HK17" s="290">
        <f>SUMPRODUCT(('Intrapartum Care'!$BD$7:$BD$745=HK$6)*('Intrapartum Care'!$F$7:$F$745&gt;=Lists!$AE11)*('Intrapartum Care'!$F$7:$F$745&lt;=Lists!$AF11))</f>
        <v>0</v>
      </c>
      <c r="HL17" s="290">
        <f>SUMPRODUCT(('Intrapartum Care'!$BD$7:$BD$745=HL$6)*('Intrapartum Care'!$F$7:$F$745&gt;=Lists!$AE11)*('Intrapartum Care'!$F$7:$F$745&lt;=Lists!$AF11))</f>
        <v>0</v>
      </c>
      <c r="HM17" s="290">
        <f>SUMPRODUCT(('Intrapartum Care'!$BD$7:$BD$745=HM$6)*('Intrapartum Care'!$F$7:$F$745&gt;=Lists!$AE11)*('Intrapartum Care'!$F$7:$F$745&lt;=Lists!$AF11))</f>
        <v>0</v>
      </c>
      <c r="HN17" s="290">
        <f>SUMPRODUCT(('Intrapartum Care'!$BD$7:$BD$745=HN$6)*('Intrapartum Care'!$F$7:$F$745&gt;=Lists!$AE11)*('Intrapartum Care'!$F$7:$F$745&lt;=Lists!$AF11))</f>
        <v>0</v>
      </c>
      <c r="HO17" s="290">
        <f>SUMPRODUCT(('Intrapartum Care'!$BD$7:$BD$745=HO$6)*('Intrapartum Care'!$F$7:$F$745&gt;=Lists!$AE11)*('Intrapartum Care'!$F$7:$F$745&lt;=Lists!$AF11))</f>
        <v>0</v>
      </c>
      <c r="HP17" s="290">
        <f>SUMPRODUCT(('Intrapartum Care'!$BD$7:$BD$745=HP$6)*('Intrapartum Care'!$F$7:$F$745&gt;=Lists!$AE11)*('Intrapartum Care'!$F$7:$F$745&lt;=Lists!$AF11))</f>
        <v>0</v>
      </c>
      <c r="HQ17" s="290">
        <f>SUMPRODUCT(('Intrapartum Care'!$BD$7:$BD$745=HQ$6)*('Intrapartum Care'!$F$7:$F$745&gt;=Lists!$AE11)*('Intrapartum Care'!$F$7:$F$745&lt;=Lists!$AF11))</f>
        <v>0</v>
      </c>
      <c r="HR17" s="290">
        <f>SUMPRODUCT(('Intrapartum Care'!$BD$7:$BD$745=HR$6)*('Intrapartum Care'!$F$7:$F$745&gt;=Lists!$AE11)*('Intrapartum Care'!$F$7:$F$745&lt;=Lists!$AF11))</f>
        <v>0</v>
      </c>
      <c r="HS17" s="290">
        <f>SUMPRODUCT(('Intrapartum Care'!$BD$7:$BD$745=HS$6)*('Intrapartum Care'!$F$7:$F$745&gt;=Lists!$AE11)*('Intrapartum Care'!$F$7:$F$745&lt;=Lists!$AF11))</f>
        <v>0</v>
      </c>
      <c r="HT17" s="290">
        <f>SUMPRODUCT(('Intrapartum Care'!$BD$7:$BD$745=HT$6)*('Intrapartum Care'!$F$7:$F$745&gt;=Lists!$AE11)*('Intrapartum Care'!$F$7:$F$745&lt;=Lists!$AF11))</f>
        <v>0</v>
      </c>
      <c r="HU17" s="290">
        <f>SUMPRODUCT(('Intrapartum Care'!$BD$7:$BD$745=HU$6)*('Intrapartum Care'!$F$7:$F$745&gt;=Lists!$AE11)*('Intrapartum Care'!$F$7:$F$745&lt;=Lists!$AF11))</f>
        <v>0</v>
      </c>
      <c r="HV17" s="290">
        <f>SUMPRODUCT(('Intrapartum Care'!$BD$7:$BD$745=HV$6)*('Intrapartum Care'!$F$7:$F$745&gt;=Lists!$AE11)*('Intrapartum Care'!$F$7:$F$745&lt;=Lists!$AF11))</f>
        <v>0</v>
      </c>
      <c r="HW17" s="290">
        <f>SUMPRODUCT(('Intrapartum Care'!$BD$7:$BD$745=HW$6)*('Intrapartum Care'!$F$7:$F$745&gt;=Lists!$AE11)*('Intrapartum Care'!$F$7:$F$745&lt;=Lists!$AF11))</f>
        <v>0</v>
      </c>
      <c r="HX17" s="290">
        <f>SUMPRODUCT(('Intrapartum Care'!$BD$7:$BD$745=HX$6)*('Intrapartum Care'!$F$7:$F$745&gt;=Lists!$AE11)*('Intrapartum Care'!$F$7:$F$745&lt;=Lists!$AF11))</f>
        <v>0</v>
      </c>
      <c r="HY17" s="290">
        <f>SUMPRODUCT(('Intrapartum Care'!$BD$7:$BD$745=HY$6)*('Intrapartum Care'!$F$7:$F$745&gt;=Lists!$AE11)*('Intrapartum Care'!$F$7:$F$745&lt;=Lists!$AF11))</f>
        <v>0</v>
      </c>
      <c r="HZ17" s="290">
        <f>SUMPRODUCT(('Intrapartum Care'!$BD$7:$BD$745=HZ$6)*('Intrapartum Care'!$F$7:$F$745&gt;=Lists!$AE11)*('Intrapartum Care'!$F$7:$F$745&lt;=Lists!$AF11))</f>
        <v>0</v>
      </c>
      <c r="IA17" s="290">
        <f>SUMPRODUCT(('Intrapartum Care'!$BD$7:$BD$745=IA$6)*('Intrapartum Care'!$F$7:$F$745&gt;=Lists!$AE11)*('Intrapartum Care'!$F$7:$F$745&lt;=Lists!$AF11))</f>
        <v>0</v>
      </c>
      <c r="IB17" s="290">
        <f>SUMPRODUCT(('Intrapartum Care'!$BD$7:$BD$745=IB$6)*('Intrapartum Care'!$F$7:$F$745&gt;=Lists!$AE11)*('Intrapartum Care'!$F$7:$F$745&lt;=Lists!$AF11))</f>
        <v>0</v>
      </c>
      <c r="IC17" s="290">
        <f>SUMPRODUCT(('Intrapartum Care'!$BD$7:$BD$745=IC$6)*('Intrapartum Care'!$F$7:$F$745&gt;=Lists!$AE11)*('Intrapartum Care'!$F$7:$F$745&lt;=Lists!$AF11))</f>
        <v>0</v>
      </c>
      <c r="ID17" s="290">
        <f>SUMPRODUCT(('Intrapartum Care'!$BD$7:$BD$745=ID$6)*('Intrapartum Care'!$F$7:$F$745&gt;=Lists!$AE11)*('Intrapartum Care'!$F$7:$F$745&lt;=Lists!$AF11))</f>
        <v>0</v>
      </c>
      <c r="IE17" s="290">
        <f>SUMPRODUCT(('Intrapartum Care'!$BD$7:$BD$745=IE$6)*('Intrapartum Care'!$F$7:$F$745&gt;=Lists!$AE11)*('Intrapartum Care'!$F$7:$F$745&lt;=Lists!$AF11))</f>
        <v>0</v>
      </c>
      <c r="IF17" s="290">
        <f>SUMPRODUCT(('Intrapartum Care'!$BD$7:$BD$745=IF$6)*('Intrapartum Care'!$F$7:$F$745&gt;=Lists!$AE11)*('Intrapartum Care'!$F$7:$F$745&lt;=Lists!$AF11))</f>
        <v>0</v>
      </c>
      <c r="IG17" s="290">
        <f>SUMPRODUCT(('Intrapartum Care'!$BD$7:$BD$745=IG$6)*('Intrapartum Care'!$F$7:$F$745&gt;=Lists!$AE11)*('Intrapartum Care'!$F$7:$F$745&lt;=Lists!$AF11))</f>
        <v>0</v>
      </c>
      <c r="IH17" s="290">
        <f>SUMPRODUCT(('Intrapartum Care'!$BD$7:$BD$745=IH$6)*('Intrapartum Care'!$F$7:$F$745&gt;=Lists!$AE11)*('Intrapartum Care'!$F$7:$F$745&lt;=Lists!$AF11))</f>
        <v>0</v>
      </c>
      <c r="II17" s="227">
        <f t="shared" si="32"/>
        <v>0</v>
      </c>
      <c r="IJ17" s="290">
        <f>SUMPRODUCT(('Intrapartum Care'!$BE$7:$BE$745=IJ$6)*('Intrapartum Care'!$F$7:$F$745&gt;=Lists!$AE11)*('Intrapartum Care'!$F$7:$F$745&lt;=Lists!$AF11))</f>
        <v>0</v>
      </c>
      <c r="IK17" s="290">
        <f>SUMPRODUCT(('Intrapartum Care'!$BE$7:$BE$745=IK$6)*('Intrapartum Care'!$F$7:$F$745&gt;=Lists!$AE11)*('Intrapartum Care'!$F$7:$F$745&lt;=Lists!$AF11))</f>
        <v>0</v>
      </c>
      <c r="IL17" s="290">
        <f>SUMPRODUCT(('Intrapartum Care'!$BE$7:$BE$745=IL$6)*('Intrapartum Care'!$F$7:$F$745&gt;=Lists!$AE11)*('Intrapartum Care'!$F$7:$F$745&lt;=Lists!$AF11))</f>
        <v>0</v>
      </c>
      <c r="IM17" s="290">
        <f>SUMPRODUCT(('Intrapartum Care'!$BE$7:$BE$745=IM$6)*('Intrapartum Care'!$F$7:$F$745&gt;=Lists!$AE11)*('Intrapartum Care'!$F$7:$F$745&lt;=Lists!$AF11))</f>
        <v>0</v>
      </c>
      <c r="IN17" s="290">
        <f>SUMPRODUCT(('Intrapartum Care'!$BE$7:$BE$745=IN$6)*('Intrapartum Care'!$F$7:$F$745&gt;=Lists!$AE11)*('Intrapartum Care'!$F$7:$F$745&lt;=Lists!$AF11))</f>
        <v>0</v>
      </c>
      <c r="IO17" s="290">
        <f>SUMPRODUCT(('Intrapartum Care'!$BE$7:$BE$745=IO$6)*('Intrapartum Care'!$F$7:$F$745&gt;=Lists!$AE11)*('Intrapartum Care'!$F$7:$F$745&lt;=Lists!$AF11))</f>
        <v>0</v>
      </c>
      <c r="IP17" s="290">
        <f>SUMPRODUCT(('Intrapartum Care'!$BE$7:$BE$745=IP$6)*('Intrapartum Care'!$F$7:$F$745&gt;=Lists!$AE11)*('Intrapartum Care'!$F$7:$F$745&lt;=Lists!$AF11))</f>
        <v>0</v>
      </c>
      <c r="IQ17" s="170">
        <f t="shared" si="33"/>
        <v>0</v>
      </c>
      <c r="IR17" s="290">
        <f>SUMPRODUCT(('Intrapartum Care'!$BF$7:$BF$745=IR$6)*('Intrapartum Care'!$F$7:$F$745&gt;=Lists!$AE11)*('Intrapartum Care'!$F$7:$F$745&lt;=Lists!$AF11))</f>
        <v>0</v>
      </c>
      <c r="IS17" s="290">
        <f>SUMPRODUCT(('Intrapartum Care'!$BF$7:$BF$745=IS$6)*('Intrapartum Care'!$F$7:$F$745&gt;=Lists!$AE11)*('Intrapartum Care'!$F$7:$F$745&lt;=Lists!$AF11))</f>
        <v>0</v>
      </c>
      <c r="IT17" s="290">
        <f>SUMPRODUCT(('Intrapartum Care'!$BF$7:$BF$745=IT$6)*('Intrapartum Care'!$F$7:$F$745&gt;=Lists!$AE11)*('Intrapartum Care'!$F$7:$F$745&lt;=Lists!$AF11))</f>
        <v>0</v>
      </c>
      <c r="IU17" s="290">
        <f>SUMPRODUCT(('Intrapartum Care'!$BF$7:$BF$745=IU$6)*('Intrapartum Care'!$F$7:$F$745&gt;=Lists!$AE11)*('Intrapartum Care'!$F$7:$F$745&lt;=Lists!$AF11))</f>
        <v>0</v>
      </c>
      <c r="IV17" s="170">
        <f t="shared" si="34"/>
        <v>0</v>
      </c>
      <c r="IW17" s="290">
        <f>SUMPRODUCT(('Intrapartum Care'!$BH$7:$BH$745=IW$6)*('Intrapartum Care'!$F$7:$F$745&gt;=Lists!$AE11)*('Intrapartum Care'!$F$7:$F$745&lt;=Lists!$AF11))</f>
        <v>0</v>
      </c>
      <c r="IX17" s="290">
        <f>SUMPRODUCT(('Intrapartum Care'!$BH$7:$BH$745=IX$6)*('Intrapartum Care'!$F$7:$F$745&gt;=Lists!$AE11)*('Intrapartum Care'!$F$7:$F$745&lt;=Lists!$AF11))</f>
        <v>0</v>
      </c>
      <c r="IY17" s="290">
        <f>SUMPRODUCT(('Intrapartum Care'!$BH$7:$BH$745=IY$6)*('Intrapartum Care'!$F$7:$F$745&gt;=Lists!$AE11)*('Intrapartum Care'!$F$7:$F$745&lt;=Lists!$AF11))</f>
        <v>0</v>
      </c>
      <c r="IZ17" s="290">
        <f>SUMPRODUCT(('Intrapartum Care'!$BH$7:$BH$745=IZ$6)*('Intrapartum Care'!$F$7:$F$745&gt;=Lists!$AE11)*('Intrapartum Care'!$F$7:$F$745&lt;=Lists!$AF11))</f>
        <v>0</v>
      </c>
      <c r="JA17" s="290">
        <f>SUMPRODUCT(('Intrapartum Care'!$BH$7:$BH$745=JA$6)*('Intrapartum Care'!$F$7:$F$745&gt;=Lists!$AE11)*('Intrapartum Care'!$F$7:$F$745&lt;=Lists!$AF11))</f>
        <v>0</v>
      </c>
      <c r="JB17" s="551">
        <f t="shared" si="35"/>
        <v>0</v>
      </c>
      <c r="JC17" s="243">
        <f t="shared" si="1"/>
        <v>0</v>
      </c>
      <c r="JD17" s="15"/>
      <c r="JE17" s="15"/>
      <c r="JF17" s="15"/>
      <c r="JG17" s="15"/>
      <c r="JH17" s="15"/>
      <c r="JI17" s="15"/>
      <c r="JJ17" s="15"/>
      <c r="JK17" s="15"/>
      <c r="JL17" s="16"/>
      <c r="JM17" s="15"/>
      <c r="JN17" s="15"/>
      <c r="JO17" s="15"/>
      <c r="JP17" s="15"/>
    </row>
    <row r="18" spans="1:276" ht="15" customHeight="1" x14ac:dyDescent="0.35">
      <c r="A18" s="570">
        <v>46054</v>
      </c>
      <c r="B18" s="345">
        <f>SUMPRODUCT(('Intrapartum Care'!$C$7:$C$745=B$6)*('Intrapartum Care'!$F$7:$F$745&gt;=Lists!$AE12)*('Intrapartum Care'!$F$7:$F$745&lt;=Lists!$AF12))</f>
        <v>0</v>
      </c>
      <c r="C18" s="251">
        <f>SUMPRODUCT(('Intrapartum Care'!$C$7:$C$745=C$6)*('Intrapartum Care'!$F$7:$F$745&gt;=Lists!$AE12)*('Intrapartum Care'!$F$7:$F$745&lt;=Lists!$AF12))</f>
        <v>0</v>
      </c>
      <c r="D18" s="170">
        <f t="shared" si="2"/>
        <v>0</v>
      </c>
      <c r="E18" s="290">
        <f>SUMPRODUCT(('Intrapartum Care'!$D$7:$D$745=E$6)*('Intrapartum Care'!$F$7:$F$745&gt;=Lists!$AE12)*('Intrapartum Care'!$F$7:$F$745&lt;=Lists!$AF12))</f>
        <v>0</v>
      </c>
      <c r="F18" s="290">
        <f>SUMPRODUCT(('Intrapartum Care'!$D$7:$D$745=F$6)*('Intrapartum Care'!$F$7:$F$745&gt;=Lists!$AE12)*('Intrapartum Care'!$F$7:$F$745&lt;=Lists!$AF12))</f>
        <v>0</v>
      </c>
      <c r="G18" s="290">
        <f>SUMPRODUCT(('Intrapartum Care'!$D$7:$D$745=G$6)*('Intrapartum Care'!$F$7:$F$745&gt;=Lists!$AE12)*('Intrapartum Care'!$F$7:$F$745&lt;=Lists!$AF12))</f>
        <v>0</v>
      </c>
      <c r="H18" s="170">
        <f t="shared" si="3"/>
        <v>0</v>
      </c>
      <c r="I18" s="255">
        <f>SUMPRODUCT(('Intrapartum Care'!$E$7:$E$745=I$6)*('Intrapartum Care'!$F$7:$F$745&gt;=Lists!$AE12)*('Intrapartum Care'!$F$7:$F$745&lt;=Lists!$AF12))</f>
        <v>0</v>
      </c>
      <c r="J18" s="252">
        <f>SUMPRODUCT(('Intrapartum Care'!$E$7:$E$745=J$6)*('Intrapartum Care'!$F$7:$F$745&gt;=Lists!$AE12)*('Intrapartum Care'!$F$7:$F$745&lt;=Lists!$AF12))</f>
        <v>0</v>
      </c>
      <c r="K18" s="252">
        <f>SUMPRODUCT(('Intrapartum Care'!$E$7:$E$745=K$6)*('Intrapartum Care'!$F$7:$F$745&gt;=Lists!$AE12)*('Intrapartum Care'!$F$7:$F$745&lt;=Lists!$AF12))</f>
        <v>0</v>
      </c>
      <c r="L18" s="252">
        <f>SUMPRODUCT(('Intrapartum Care'!$E$7:$E$745=L$6)*('Intrapartum Care'!$F$7:$F$745&gt;=Lists!$AE12)*('Intrapartum Care'!$F$7:$F$745&lt;=Lists!$AF12))</f>
        <v>0</v>
      </c>
      <c r="M18" s="252">
        <f>SUMPRODUCT(('Intrapartum Care'!$E$7:$E$745=M$6)*('Intrapartum Care'!$F$7:$F$745&gt;=Lists!$AE12)*('Intrapartum Care'!$F$7:$F$745&lt;=Lists!$AF12))</f>
        <v>0</v>
      </c>
      <c r="N18" s="252">
        <f>SUMPRODUCT(('Intrapartum Care'!$E$7:$E$745=N$6)*('Intrapartum Care'!$F$7:$F$745&gt;=Lists!$AE12)*('Intrapartum Care'!$F$7:$F$745&lt;=Lists!$AF12))</f>
        <v>0</v>
      </c>
      <c r="O18" s="252">
        <f>SUMPRODUCT(('Intrapartum Care'!$E$7:$E$745=O$6)*('Intrapartum Care'!$F$7:$F$745&gt;=Lists!$AE12)*('Intrapartum Care'!$F$7:$F$745&lt;=Lists!$AF12))</f>
        <v>0</v>
      </c>
      <c r="P18" s="252">
        <f>SUMPRODUCT(('Intrapartum Care'!$E$7:$E$745=P$6)*('Intrapartum Care'!$F$7:$F$745&gt;=Lists!$AE12)*('Intrapartum Care'!$F$7:$F$745&lt;=Lists!$AF12))</f>
        <v>0</v>
      </c>
      <c r="Q18" s="252">
        <f>SUMPRODUCT(('Intrapartum Care'!$E$7:$E$745=Q$6)*('Intrapartum Care'!$F$7:$F$745&gt;=Lists!$AE12)*('Intrapartum Care'!$F$7:$F$745&lt;=Lists!$AF12))</f>
        <v>0</v>
      </c>
      <c r="R18" s="252">
        <f>SUMPRODUCT(('Intrapartum Care'!$E$7:$E$745=R$6)*('Intrapartum Care'!$F$7:$F$745&gt;=Lists!$AE12)*('Intrapartum Care'!$F$7:$F$745&lt;=Lists!$AF12))</f>
        <v>0</v>
      </c>
      <c r="S18" s="252">
        <f>SUMPRODUCT(('Intrapartum Care'!$E$7:$E$745=S$6)*('Intrapartum Care'!$F$7:$F$745&gt;=Lists!$AE12)*('Intrapartum Care'!$F$7:$F$745&lt;=Lists!$AF12))</f>
        <v>0</v>
      </c>
      <c r="T18" s="252">
        <f>SUMPRODUCT(('Intrapartum Care'!$E$7:$E$745=T$6)*('Intrapartum Care'!$F$7:$F$745&gt;=Lists!$AE12)*('Intrapartum Care'!$F$7:$F$745&lt;=Lists!$AF12))</f>
        <v>0</v>
      </c>
      <c r="U18" s="252">
        <f>SUMPRODUCT(('Intrapartum Care'!$E$7:$E$745=U$6)*('Intrapartum Care'!$F$7:$F$745&gt;=Lists!$AE12)*('Intrapartum Care'!$F$7:$F$745&lt;=Lists!$AF12))</f>
        <v>0</v>
      </c>
      <c r="V18" s="252">
        <f>SUMPRODUCT(('Intrapartum Care'!$E$7:$E$745=V$6)*('Intrapartum Care'!$F$7:$F$745&gt;=Lists!$AE12)*('Intrapartum Care'!$F$7:$F$745&lt;=Lists!$AF12))</f>
        <v>0</v>
      </c>
      <c r="W18" s="252">
        <f>SUMPRODUCT(('Intrapartum Care'!$E$7:$E$745=W$6)*('Intrapartum Care'!$F$7:$F$745&gt;=Lists!$AE12)*('Intrapartum Care'!$F$7:$F$745&lt;=Lists!$AF12))</f>
        <v>0</v>
      </c>
      <c r="X18" s="252">
        <f>SUMPRODUCT(('Intrapartum Care'!$E$7:$E$745=X$6)*('Intrapartum Care'!$F$7:$F$745&gt;=Lists!$AE12)*('Intrapartum Care'!$F$7:$F$745&lt;=Lists!$AF12))</f>
        <v>0</v>
      </c>
      <c r="Y18" s="252">
        <f>SUMPRODUCT(('Intrapartum Care'!$E$7:$E$745=Y$6)*('Intrapartum Care'!$F$7:$F$745&gt;=Lists!$AE12)*('Intrapartum Care'!$F$7:$F$745&lt;=Lists!$AF12))</f>
        <v>0</v>
      </c>
      <c r="Z18" s="252">
        <f>SUMPRODUCT(('Intrapartum Care'!$E$7:$E$745=Z$6)*('Intrapartum Care'!$F$7:$F$745&gt;=Lists!$AE12)*('Intrapartum Care'!$F$7:$F$745&lt;=Lists!$AF12))</f>
        <v>0</v>
      </c>
      <c r="AA18" s="252">
        <f>SUMPRODUCT(('Intrapartum Care'!$E$7:$E$745=AA$6)*('Intrapartum Care'!$F$7:$F$745&gt;=Lists!$AE12)*('Intrapartum Care'!$F$7:$F$745&lt;=Lists!$AF12))</f>
        <v>0</v>
      </c>
      <c r="AB18" s="252">
        <f>SUMPRODUCT(('Intrapartum Care'!$E$7:$E$745=AB$6)*('Intrapartum Care'!$F$7:$F$745&gt;=Lists!$AE12)*('Intrapartum Care'!$F$7:$F$745&lt;=Lists!$AF12))</f>
        <v>0</v>
      </c>
      <c r="AC18" s="264">
        <f>SUMPRODUCT(('Intrapartum Care'!$E$7:$E$745=AC$6)*('Intrapartum Care'!$F$7:$F$745&gt;=Lists!$AE12)*('Intrapartum Care'!$F$7:$F$745&lt;=Lists!$AF12))</f>
        <v>0</v>
      </c>
      <c r="AD18" s="227">
        <f t="shared" si="4"/>
        <v>0</v>
      </c>
      <c r="AE18" s="255">
        <f>SUMPRODUCT(('Intrapartum Care'!$H$7:$H$745=AE$6)*('Intrapartum Care'!$F$7:$F$745&gt;=Lists!$AE12)*('Intrapartum Care'!$F$7:$F$745&lt;=Lists!$AF12))</f>
        <v>0</v>
      </c>
      <c r="AF18" s="252">
        <f>SUMPRODUCT(('Intrapartum Care'!$H$7:$H$745=AF$6)*('Intrapartum Care'!$F$7:$F$745&gt;=Lists!$AE12)*('Intrapartum Care'!$F$7:$F$745&lt;=Lists!$AF12))</f>
        <v>0</v>
      </c>
      <c r="AG18" s="252">
        <f>SUMPRODUCT(('Intrapartum Care'!$H$7:$H$745=AG$6)*('Intrapartum Care'!$F$7:$F$745&gt;=Lists!$AE12)*('Intrapartum Care'!$F$7:$F$745&lt;=Lists!$AF12))</f>
        <v>0</v>
      </c>
      <c r="AH18" s="252">
        <f>SUMPRODUCT(('Intrapartum Care'!$H$7:$H$745=AH$6)*('Intrapartum Care'!$F$7:$F$745&gt;=Lists!$AE12)*('Intrapartum Care'!$F$7:$F$745&lt;=Lists!$AF12))</f>
        <v>0</v>
      </c>
      <c r="AI18" s="252">
        <f>SUMPRODUCT(('Intrapartum Care'!$H$7:$H$745=AI$6)*('Intrapartum Care'!$F$7:$F$745&gt;=Lists!$AE12)*('Intrapartum Care'!$F$7:$F$745&lt;=Lists!$AF12))</f>
        <v>0</v>
      </c>
      <c r="AJ18" s="252">
        <f>SUMPRODUCT(('Intrapartum Care'!$H$7:$H$745=AJ$6)*('Intrapartum Care'!$F$7:$F$745&gt;=Lists!$AE12)*('Intrapartum Care'!$F$7:$F$745&lt;=Lists!$AF12))</f>
        <v>0</v>
      </c>
      <c r="AK18" s="252">
        <f>SUMPRODUCT(('Intrapartum Care'!$H$7:$H$745=AK$6)*('Intrapartum Care'!$F$7:$F$745&gt;=Lists!$AE12)*('Intrapartum Care'!$F$7:$F$745&lt;=Lists!$AF12))</f>
        <v>0</v>
      </c>
      <c r="AL18" s="252">
        <f>SUMPRODUCT(('Intrapartum Care'!$H$7:$H$745=AL$6)*('Intrapartum Care'!$F$7:$F$745&gt;=Lists!$AE12)*('Intrapartum Care'!$F$7:$F$745&lt;=Lists!$AF12))</f>
        <v>0</v>
      </c>
      <c r="AM18" s="264">
        <f>SUMPRODUCT(('Intrapartum Care'!$H$7:$H$745=AM$6)*('Intrapartum Care'!$F$7:$F$745&gt;=Lists!$AE12)*('Intrapartum Care'!$F$7:$F$745&lt;=Lists!$AF12))</f>
        <v>0</v>
      </c>
      <c r="AN18" s="170">
        <f t="shared" si="5"/>
        <v>0</v>
      </c>
      <c r="AO18" s="255">
        <f>SUMPRODUCT(('Intrapartum Care'!$I$7:$I$745=AO$6)*('Intrapartum Care'!$F$7:$F$745&gt;=Lists!$AE12)*('Intrapartum Care'!$F$7:$F$745&lt;=Lists!$AF12))</f>
        <v>0</v>
      </c>
      <c r="AP18" s="252">
        <f>SUMPRODUCT(('Intrapartum Care'!$I$7:$I$745=AP$6)*('Intrapartum Care'!$F$7:$F$745&gt;=Lists!$AE12)*('Intrapartum Care'!$F$7:$F$745&lt;=Lists!$AF12))</f>
        <v>0</v>
      </c>
      <c r="AQ18" s="252">
        <f>SUMPRODUCT(('Intrapartum Care'!$I$7:$I$745=AQ$6)*('Intrapartum Care'!$F$7:$F$745&gt;=Lists!$AE12)*('Intrapartum Care'!$F$7:$F$745&lt;=Lists!$AF12))</f>
        <v>0</v>
      </c>
      <c r="AR18" s="252">
        <f>SUMPRODUCT(('Intrapartum Care'!$I$7:$I$745=AR$6)*('Intrapartum Care'!$F$7:$F$745&gt;=Lists!$AE12)*('Intrapartum Care'!$F$7:$F$745&lt;=Lists!$AF12))</f>
        <v>0</v>
      </c>
      <c r="AS18" s="252">
        <f>SUMPRODUCT(('Intrapartum Care'!$I$7:$I$745=AS$6)*('Intrapartum Care'!$F$7:$F$745&gt;=Lists!$AE12)*('Intrapartum Care'!$F$7:$F$745&lt;=Lists!$AF12))</f>
        <v>0</v>
      </c>
      <c r="AT18" s="252">
        <f>SUMPRODUCT(('Intrapartum Care'!$I$7:$I$745=AT$6)*('Intrapartum Care'!$F$7:$F$745&gt;=Lists!$AE12)*('Intrapartum Care'!$F$7:$F$745&lt;=Lists!$AF12))</f>
        <v>0</v>
      </c>
      <c r="AU18" s="253">
        <f>SUMPRODUCT(('Intrapartum Care'!$I$7:$I$745=AU$6)*('Intrapartum Care'!$F$7:$F$745&gt;=Lists!$AE12)*('Intrapartum Care'!$F$7:$F$745&lt;=Lists!$AF12))</f>
        <v>0</v>
      </c>
      <c r="AV18" s="170">
        <f t="shared" si="6"/>
        <v>0</v>
      </c>
      <c r="AW18" s="255">
        <f>SUMPRODUCT(('Intrapartum Care'!$J$7:$J$745=AW$6)*('Intrapartum Care'!$F$7:$F$745&gt;=Lists!$AE12)*('Intrapartum Care'!$F$7:$F$745&lt;=Lists!$AF12))</f>
        <v>0</v>
      </c>
      <c r="AX18" s="253">
        <f>SUMPRODUCT(('Intrapartum Care'!$J$7:$J$745=AX$6)*('Intrapartum Care'!$F$7:$F$745&gt;=Lists!$AE12)*('Intrapartum Care'!$F$7:$F$745&lt;=Lists!$AF12))</f>
        <v>0</v>
      </c>
      <c r="AY18" s="170">
        <f t="shared" si="7"/>
        <v>0</v>
      </c>
      <c r="AZ18" s="263">
        <f>SUMPRODUCT(('Intrapartum Care'!$R$7:$R$745=AZ$6)*('Intrapartum Care'!$F$7:$F$745&gt;=Lists!$AE12)*('Intrapartum Care'!$F$7:$F$745&lt;=Lists!$AF12))</f>
        <v>0</v>
      </c>
      <c r="BA18" s="252">
        <f>SUMPRODUCT(('Intrapartum Care'!$R$7:$R$745=BA$6)*('Intrapartum Care'!$F$7:$F$745&gt;=Lists!$AE12)*('Intrapartum Care'!$F$7:$F$745&lt;=Lists!$AF12))</f>
        <v>0</v>
      </c>
      <c r="BB18" s="252">
        <f>SUMPRODUCT(('Intrapartum Care'!$R$7:$R$745=BB$6)*('Intrapartum Care'!$F$7:$F$745&gt;=Lists!$AE12)*('Intrapartum Care'!$F$7:$F$745&lt;=Lists!$AF12))</f>
        <v>0</v>
      </c>
      <c r="BC18" s="253">
        <f>SUMPRODUCT(('Intrapartum Care'!$R$7:$R$745=BC$6)*('Intrapartum Care'!$F$7:$F$745&gt;=Lists!$AE12)*('Intrapartum Care'!$F$7:$F$745&lt;=Lists!$AF12))</f>
        <v>0</v>
      </c>
      <c r="BD18" s="170">
        <f t="shared" si="8"/>
        <v>0</v>
      </c>
      <c r="BE18" s="263">
        <f>SUMPRODUCT(('Intrapartum Care'!$S$7:$S$745=BE$6)*('Intrapartum Care'!$F$7:$F$745&gt;=Lists!$AE12)*('Intrapartum Care'!$F$7:$F$745&lt;=Lists!$AF12))</f>
        <v>0</v>
      </c>
      <c r="BF18" s="252">
        <f>SUMPRODUCT(('Intrapartum Care'!$S$7:$S$745=BF$6)*('Intrapartum Care'!$F$7:$F$745&gt;=Lists!$AE12)*('Intrapartum Care'!$F$7:$F$745&lt;=Lists!$AF12))</f>
        <v>0</v>
      </c>
      <c r="BG18" s="264">
        <f>SUMPRODUCT(('Intrapartum Care'!$S$7:$S$745=BG$6)*('Intrapartum Care'!$F$7:$F$745&gt;=Lists!$AE12)*('Intrapartum Care'!$F$7:$F$745&lt;=Lists!$AF12))</f>
        <v>0</v>
      </c>
      <c r="BH18" s="170">
        <f t="shared" si="9"/>
        <v>0</v>
      </c>
      <c r="BI18" s="290">
        <f>SUMPRODUCT(('Intrapartum Care'!$T$7:$T$745=BI$6)*('Intrapartum Care'!$F$7:$F$745&gt;=Lists!$AE12)*('Intrapartum Care'!$F$7:$F$745&lt;=Lists!$AF12))</f>
        <v>0</v>
      </c>
      <c r="BJ18" s="290">
        <f>SUMPRODUCT(('Intrapartum Care'!$T$7:$T$745=BJ$6)*('Intrapartum Care'!$F$7:$F$745&gt;=Lists!$AE12)*('Intrapartum Care'!$F$7:$F$745&lt;=Lists!$AF12))</f>
        <v>0</v>
      </c>
      <c r="BK18" s="290">
        <f>SUMPRODUCT(('Intrapartum Care'!$T$7:$T$745=BK$6)*('Intrapartum Care'!$F$7:$F$745&gt;=Lists!$AE12)*('Intrapartum Care'!$F$7:$F$745&lt;=Lists!$AF12))</f>
        <v>0</v>
      </c>
      <c r="BL18" s="290">
        <f>SUMPRODUCT(('Intrapartum Care'!$T$7:$T$745=BL$6)*('Intrapartum Care'!$F$7:$F$745&gt;=Lists!$AE12)*('Intrapartum Care'!$F$7:$F$745&lt;=Lists!$AF12))</f>
        <v>0</v>
      </c>
      <c r="BM18" s="227">
        <f t="shared" si="10"/>
        <v>0</v>
      </c>
      <c r="BN18" s="290">
        <f>SUMPRODUCT(('Intrapartum Care'!$U$7:$U$745=BN$6)*('Intrapartum Care'!$F$7:$F$745&gt;=Lists!$AE12)*('Intrapartum Care'!$F$7:$F$745&lt;=Lists!$AF12))</f>
        <v>0</v>
      </c>
      <c r="BO18" s="290">
        <f>SUMPRODUCT(('Intrapartum Care'!$U$7:$U$745=BO$6)*('Intrapartum Care'!$F$7:$F$745&gt;=Lists!$AE12)*('Intrapartum Care'!$F$7:$F$745&lt;=Lists!$AF12))</f>
        <v>0</v>
      </c>
      <c r="BP18" s="290">
        <f>SUMPRODUCT(('Intrapartum Care'!$U$7:$U$745=BP$6)*('Intrapartum Care'!$F$7:$F$745&gt;=Lists!$AE12)*('Intrapartum Care'!$F$7:$F$745&lt;=Lists!$AF12))</f>
        <v>0</v>
      </c>
      <c r="BQ18" s="290">
        <f>SUMPRODUCT(('Intrapartum Care'!$U$7:$U$745=BQ$6)*('Intrapartum Care'!$F$7:$F$745&gt;=Lists!$AE12)*('Intrapartum Care'!$F$7:$F$745&lt;=Lists!$AF12))</f>
        <v>0</v>
      </c>
      <c r="BR18" s="227">
        <f t="shared" si="11"/>
        <v>0</v>
      </c>
      <c r="BS18" s="290">
        <f>SUMPRODUCT(('Intrapartum Care'!$V$7:$V$745=BS$6)*('Intrapartum Care'!$F$7:$F$745&gt;=Lists!$AE12)*('Intrapartum Care'!$F$7:$F$745&lt;=Lists!$AF12))</f>
        <v>0</v>
      </c>
      <c r="BT18" s="290">
        <f>SUMPRODUCT(('Intrapartum Care'!$V$7:$V$745=BT$6)*('Intrapartum Care'!$F$7:$F$745&gt;=Lists!$AE12)*('Intrapartum Care'!$F$7:$F$745&lt;=Lists!$AF12))</f>
        <v>0</v>
      </c>
      <c r="BU18" s="290">
        <f>SUMPRODUCT(('Intrapartum Care'!$V$7:$V$745=BU$6)*('Intrapartum Care'!$F$7:$F$745&gt;=Lists!$AE12)*('Intrapartum Care'!$F$7:$F$745&lt;=Lists!$AF12))</f>
        <v>0</v>
      </c>
      <c r="BV18" s="290">
        <f>SUMPRODUCT(('Intrapartum Care'!$V$7:$V$745=BV$6)*('Intrapartum Care'!$F$7:$F$745&gt;=Lists!$AE12)*('Intrapartum Care'!$F$7:$F$745&lt;=Lists!$AF12))</f>
        <v>0</v>
      </c>
      <c r="BW18" s="290">
        <f>SUMPRODUCT(('Intrapartum Care'!$V$7:$V$745=BW$6)*('Intrapartum Care'!$F$7:$F$745&gt;=Lists!$AE12)*('Intrapartum Care'!$F$7:$F$745&lt;=Lists!$AF12))</f>
        <v>0</v>
      </c>
      <c r="BX18" s="227">
        <f t="shared" si="12"/>
        <v>0</v>
      </c>
      <c r="BY18" s="290">
        <f>SUMPRODUCT(('Intrapartum Care'!$W$7:$W$745=BY$6)*('Intrapartum Care'!$F$7:$F$745&gt;=Lists!$AE12)*('Intrapartum Care'!$F$7:$F$745&lt;=Lists!$AF12))</f>
        <v>0</v>
      </c>
      <c r="BZ18" s="290">
        <f>SUMPRODUCT(('Intrapartum Care'!$W$7:$W$745=BZ$6)*('Intrapartum Care'!$F$7:$F$745&gt;=Lists!$AE12)*('Intrapartum Care'!$F$7:$F$745&lt;=Lists!$AF12))</f>
        <v>0</v>
      </c>
      <c r="CA18" s="290">
        <f>SUMPRODUCT(('Intrapartum Care'!$W$7:$W$745=CA$6)*('Intrapartum Care'!$F$7:$F$745&gt;=Lists!$AE12)*('Intrapartum Care'!$F$7:$F$745&lt;=Lists!$AF12))</f>
        <v>0</v>
      </c>
      <c r="CB18" s="290">
        <f>SUMPRODUCT(('Intrapartum Care'!$W$7:$W$745=CB$6)*('Intrapartum Care'!$F$7:$F$745&gt;=Lists!$AE12)*('Intrapartum Care'!$F$7:$F$745&lt;=Lists!$AF12))</f>
        <v>0</v>
      </c>
      <c r="CC18" s="290">
        <f>SUMPRODUCT(('Intrapartum Care'!$W$7:$W$745=CC$6)*('Intrapartum Care'!$F$7:$F$745&gt;=Lists!$AE12)*('Intrapartum Care'!$F$7:$F$745&lt;=Lists!$AF12))</f>
        <v>0</v>
      </c>
      <c r="CD18" s="227">
        <f t="shared" si="13"/>
        <v>0</v>
      </c>
      <c r="CE18" s="290">
        <f>SUMPRODUCT(('Intrapartum Care'!$X$7:$X$745=CE$6)*('Intrapartum Care'!$F$7:$F$745&gt;=Lists!$AE12)*('Intrapartum Care'!$F$7:$F$745&lt;=Lists!$AF12))</f>
        <v>0</v>
      </c>
      <c r="CF18" s="290">
        <f>SUMPRODUCT(('Intrapartum Care'!$X$7:$X$745=CF$6)*('Intrapartum Care'!$F$7:$F$745&gt;=Lists!$AE12)*('Intrapartum Care'!$F$7:$F$745&lt;=Lists!$AF12))</f>
        <v>0</v>
      </c>
      <c r="CG18" s="290">
        <f>SUMPRODUCT(('Intrapartum Care'!$X$7:$X$745=CG$6)*('Intrapartum Care'!$F$7:$F$745&gt;=Lists!$AE12)*('Intrapartum Care'!$F$7:$F$745&lt;=Lists!$AF12))</f>
        <v>0</v>
      </c>
      <c r="CH18" s="290">
        <f>SUMPRODUCT(('Intrapartum Care'!$X$7:$X$745=CH$6)*('Intrapartum Care'!$F$7:$F$745&gt;=Lists!$AE12)*('Intrapartum Care'!$F$7:$F$745&lt;=Lists!$AF12))</f>
        <v>0</v>
      </c>
      <c r="CI18" s="290">
        <f>SUMPRODUCT(('Intrapartum Care'!$X$7:$X$745=CI$6)*('Intrapartum Care'!$F$7:$F$745&gt;=Lists!$AE12)*('Intrapartum Care'!$F$7:$F$745&lt;=Lists!$AF12))</f>
        <v>0</v>
      </c>
      <c r="CJ18" s="290">
        <f>SUMPRODUCT(('Intrapartum Care'!$X$7:$X$745=CJ$6)*('Intrapartum Care'!$F$7:$F$745&gt;=Lists!$AE12)*('Intrapartum Care'!$F$7:$F$745&lt;=Lists!$AF12))</f>
        <v>0</v>
      </c>
      <c r="CK18" s="290">
        <f>SUMPRODUCT(('Intrapartum Care'!$X$7:$X$745=CK$6)*('Intrapartum Care'!$F$7:$F$745&gt;=Lists!$AE12)*('Intrapartum Care'!$F$7:$F$745&lt;=Lists!$AF12))</f>
        <v>0</v>
      </c>
      <c r="CL18" s="227">
        <f t="shared" si="14"/>
        <v>0</v>
      </c>
      <c r="CM18" s="290">
        <f>SUMPRODUCT(('Intrapartum Care'!$Y$7:$Y$745=CM$6)*('Intrapartum Care'!$F$7:$F$745&gt;=Lists!$AE12)*('Intrapartum Care'!$F$7:$F$745&lt;=Lists!$AF12))</f>
        <v>0</v>
      </c>
      <c r="CN18" s="290">
        <f>SUMPRODUCT(('Intrapartum Care'!$Y$7:$Y$745=CN$6)*('Intrapartum Care'!$F$7:$F$745&gt;=Lists!$AE12)*('Intrapartum Care'!$F$7:$F$745&lt;=Lists!$AF12))</f>
        <v>0</v>
      </c>
      <c r="CO18" s="290">
        <f>SUMPRODUCT(('Intrapartum Care'!$Y$7:$Y$745=CO$6)*('Intrapartum Care'!$F$7:$F$745&gt;=Lists!$AE12)*('Intrapartum Care'!$F$7:$F$745&lt;=Lists!$AF12))</f>
        <v>0</v>
      </c>
      <c r="CP18" s="290">
        <f>SUMPRODUCT(('Intrapartum Care'!$Y$7:$Y$745=CP$6)*('Intrapartum Care'!$F$7:$F$745&gt;=Lists!$AE12)*('Intrapartum Care'!$F$7:$F$745&lt;=Lists!$AF12))</f>
        <v>0</v>
      </c>
      <c r="CQ18" s="290">
        <f>SUMPRODUCT(('Intrapartum Care'!$Y$7:$Y$745=CQ$6)*('Intrapartum Care'!$F$7:$F$745&gt;=Lists!$AE12)*('Intrapartum Care'!$F$7:$F$745&lt;=Lists!$AF12))</f>
        <v>0</v>
      </c>
      <c r="CR18" s="290">
        <f>SUMPRODUCT(('Intrapartum Care'!$Y$7:$Y$745=CR$6)*('Intrapartum Care'!$F$7:$F$745&gt;=Lists!$AE12)*('Intrapartum Care'!$F$7:$F$745&lt;=Lists!$AF12))</f>
        <v>0</v>
      </c>
      <c r="CS18" s="227">
        <f t="shared" si="15"/>
        <v>0</v>
      </c>
      <c r="CT18" s="290">
        <f>SUMPRODUCT(('Intrapartum Care'!$Z$7:$Z$745=CT$6)*('Intrapartum Care'!$F$7:$F$745&gt;=Lists!$AE12)*('Intrapartum Care'!$F$7:$F$745&lt;=Lists!$AF12))</f>
        <v>0</v>
      </c>
      <c r="CU18" s="290">
        <f>SUMPRODUCT(('Intrapartum Care'!$Z$7:$Z$745=CU$6)*('Intrapartum Care'!$F$7:$F$745&gt;=Lists!$AE12)*('Intrapartum Care'!$F$7:$F$745&lt;=Lists!$AF12))</f>
        <v>0</v>
      </c>
      <c r="CV18" s="290">
        <f>SUMPRODUCT(('Intrapartum Care'!$Z$7:$Z$745=CV$6)*('Intrapartum Care'!$F$7:$F$745&gt;=Lists!$AE12)*('Intrapartum Care'!$F$7:$F$745&lt;=Lists!$AF12))</f>
        <v>0</v>
      </c>
      <c r="CW18" s="290">
        <f>SUMPRODUCT(('Intrapartum Care'!$Z$7:$Z$745=CW$6)*('Intrapartum Care'!$F$7:$F$745&gt;=Lists!$AE12)*('Intrapartum Care'!$F$7:$F$745&lt;=Lists!$AF12))</f>
        <v>0</v>
      </c>
      <c r="CX18" s="290">
        <f>SUMPRODUCT(('Intrapartum Care'!$Z$7:$Z$745=CX$6)*('Intrapartum Care'!$F$7:$F$745&gt;=Lists!$AE12)*('Intrapartum Care'!$F$7:$F$745&lt;=Lists!$AF12))</f>
        <v>0</v>
      </c>
      <c r="CY18" s="290">
        <f>SUMPRODUCT(('Intrapartum Care'!$Z$7:$Z$745=CY$6)*('Intrapartum Care'!$F$7:$F$745&gt;=Lists!$AE12)*('Intrapartum Care'!$F$7:$F$745&lt;=Lists!$AF12))</f>
        <v>0</v>
      </c>
      <c r="CZ18" s="290">
        <f>SUMPRODUCT(('Intrapartum Care'!$Z$7:$Z$745=CZ$6)*('Intrapartum Care'!$F$7:$F$745&gt;=Lists!$AE12)*('Intrapartum Care'!$F$7:$F$745&lt;=Lists!$AF12))</f>
        <v>0</v>
      </c>
      <c r="DA18" s="290">
        <f>SUMPRODUCT(('Intrapartum Care'!$Z$7:$Z$745=DA$6)*('Intrapartum Care'!$F$7:$F$745&gt;=Lists!$AE12)*('Intrapartum Care'!$F$7:$F$745&lt;=Lists!$AF12))</f>
        <v>0</v>
      </c>
      <c r="DB18" s="227">
        <f t="shared" si="16"/>
        <v>0</v>
      </c>
      <c r="DC18" s="290">
        <f>SUMPRODUCT(('Intrapartum Care'!$AA$7:$AA$745=DC$6)*('Intrapartum Care'!$F$7:$F$745&gt;=Lists!$AE12)*('Intrapartum Care'!$F$7:$F$745&lt;=Lists!$AF12))</f>
        <v>0</v>
      </c>
      <c r="DD18" s="290">
        <f>SUMPRODUCT(('Intrapartum Care'!$AA$7:$AA$745=DD$6)*('Intrapartum Care'!$F$7:$F$745&gt;=Lists!$AE12)*('Intrapartum Care'!$F$7:$F$745&lt;=Lists!$AF12))</f>
        <v>0</v>
      </c>
      <c r="DE18" s="290">
        <f>SUMPRODUCT(('Intrapartum Care'!$AA$7:$AA$745=DE$6)*('Intrapartum Care'!$F$7:$F$745&gt;=Lists!$AE12)*('Intrapartum Care'!$F$7:$F$745&lt;=Lists!$AF12))</f>
        <v>0</v>
      </c>
      <c r="DF18" s="227">
        <f t="shared" si="17"/>
        <v>0</v>
      </c>
      <c r="DG18" s="295">
        <f>SUMPRODUCT(('Intrapartum Care'!$AB$7:$AB$745=DG$6)*('Intrapartum Care'!$F$7:$F$745&gt;=Lists!$AE12)*('Intrapartum Care'!$F$7:$F$745&lt;=Lists!$AF12))</f>
        <v>0</v>
      </c>
      <c r="DH18" s="290">
        <f>SUMPRODUCT(('Intrapartum Care'!$AB$7:$AB$745=DH$6)*('Intrapartum Care'!$F$7:$F$745&gt;=Lists!$AE12)*('Intrapartum Care'!$F$7:$F$745&lt;=Lists!$AF12))</f>
        <v>0</v>
      </c>
      <c r="DI18" s="290">
        <f>SUMPRODUCT(('Intrapartum Care'!$AB$7:$AB$745=DI$6)*('Intrapartum Care'!$F$7:$F$745&gt;=Lists!$AE12)*('Intrapartum Care'!$F$7:$F$745&lt;=Lists!$AF12))</f>
        <v>0</v>
      </c>
      <c r="DJ18" s="290">
        <f>SUMPRODUCT(('Intrapartum Care'!$AB$7:$AB$745=DJ$6)*('Intrapartum Care'!$F$7:$F$745&gt;=Lists!$AE12)*('Intrapartum Care'!$F$7:$F$745&lt;=Lists!$AF12))</f>
        <v>0</v>
      </c>
      <c r="DK18" s="290">
        <f>SUMPRODUCT(('Intrapartum Care'!$AB$7:$AB$745=DK$6)*('Intrapartum Care'!$F$7:$F$745&gt;=Lists!$AE12)*('Intrapartum Care'!$F$7:$F$745&lt;=Lists!$AF12))</f>
        <v>0</v>
      </c>
      <c r="DL18" s="290">
        <f>SUMPRODUCT(('Intrapartum Care'!$AB$7:$AB$745=DL$6)*('Intrapartum Care'!$F$7:$F$745&gt;=Lists!$AE12)*('Intrapartum Care'!$F$7:$F$745&lt;=Lists!$AF12))</f>
        <v>0</v>
      </c>
      <c r="DM18" s="290">
        <f>SUMPRODUCT(('Intrapartum Care'!$AB$7:$AB$745=DM$6)*('Intrapartum Care'!$F$7:$F$745&gt;=Lists!$AE12)*('Intrapartum Care'!$F$7:$F$745&lt;=Lists!$AF12))</f>
        <v>0</v>
      </c>
      <c r="DN18" s="227">
        <f t="shared" si="18"/>
        <v>0</v>
      </c>
      <c r="DO18" s="528">
        <f>SUMPRODUCT(('Intrapartum Care'!$AC$7:$AC$745=DO$6)*('Intrapartum Care'!$F$7:$F$745&gt;=Lists!$AE12)*('Intrapartum Care'!$F$7:$F$745&lt;=Lists!$AF12))</f>
        <v>0</v>
      </c>
      <c r="DP18" s="528">
        <f>SUMPRODUCT(('Intrapartum Care'!$AC$7:$AC$745=DP$6)*('Intrapartum Care'!$F$7:$F$745&gt;=Lists!$AE12)*('Intrapartum Care'!$F$7:$F$745&lt;=Lists!$AF12))</f>
        <v>0</v>
      </c>
      <c r="DQ18" s="528">
        <f>SUMPRODUCT(('Intrapartum Care'!$AC$7:$AC$745=DQ$6)*('Intrapartum Care'!$F$7:$F$745&gt;=Lists!$AE12)*('Intrapartum Care'!$F$7:$F$745&lt;=Lists!$AF12))</f>
        <v>0</v>
      </c>
      <c r="DR18" s="528">
        <f>SUMPRODUCT(('Intrapartum Care'!$AC$7:$AC$745=DR$6)*('Intrapartum Care'!$F$7:$F$745&gt;=Lists!$AE12)*('Intrapartum Care'!$F$7:$F$745&lt;=Lists!$AF12))</f>
        <v>0</v>
      </c>
      <c r="DS18" s="528">
        <f>SUMPRODUCT(('Intrapartum Care'!$AC$7:$AC$745=DS$6)*('Intrapartum Care'!$F$7:$F$745&gt;=Lists!$AE12)*('Intrapartum Care'!$F$7:$F$745&lt;=Lists!$AF12))</f>
        <v>0</v>
      </c>
      <c r="DT18" s="528">
        <f>SUMPRODUCT(('Intrapartum Care'!$AC$7:$AC$745=DT$6)*('Intrapartum Care'!$F$7:$F$745&gt;=Lists!$AE12)*('Intrapartum Care'!$F$7:$F$745&lt;=Lists!$AF12))</f>
        <v>0</v>
      </c>
      <c r="DU18" s="528">
        <f>SUMPRODUCT(('Intrapartum Care'!$AC$7:$AC$745=DU$6)*('Intrapartum Care'!$F$7:$F$745&gt;=Lists!$AE12)*('Intrapartum Care'!$F$7:$F$745&lt;=Lists!$AF12))</f>
        <v>0</v>
      </c>
      <c r="DV18" s="528">
        <f>SUMPRODUCT(('Intrapartum Care'!$AC$7:$AC$745=DV$6)*('Intrapartum Care'!$F$7:$F$745&gt;=Lists!$AE12)*('Intrapartum Care'!$F$7:$F$745&lt;=Lists!$AF12))</f>
        <v>0</v>
      </c>
      <c r="DW18" s="528">
        <f>SUMPRODUCT(('Intrapartum Care'!$AC$7:$AC$745=DW$6)*('Intrapartum Care'!$F$7:$F$745&gt;=Lists!$AE12)*('Intrapartum Care'!$F$7:$F$745&lt;=Lists!$AF12))</f>
        <v>0</v>
      </c>
      <c r="DX18" s="227">
        <f t="shared" si="19"/>
        <v>0</v>
      </c>
      <c r="DY18" s="295">
        <f>SUMPRODUCT(('Intrapartum Care'!$AE$7:$AE$745=DY$6)*('Intrapartum Care'!$F$7:$F$745&gt;=Lists!$AE12)*('Intrapartum Care'!$F$7:$F$745&lt;=Lists!$AF12))</f>
        <v>0</v>
      </c>
      <c r="DZ18" s="295">
        <f>SUMPRODUCT(('Intrapartum Care'!$AE$7:$AE$745=DZ$6)*('Intrapartum Care'!$F$7:$F$745&gt;=Lists!$AE12)*('Intrapartum Care'!$F$7:$F$745&lt;=Lists!$AF12))</f>
        <v>0</v>
      </c>
      <c r="EA18" s="295">
        <f>SUMPRODUCT(('Intrapartum Care'!$AE$7:$AE$745=EA$6)*('Intrapartum Care'!$F$7:$F$745&gt;=Lists!$AE12)*('Intrapartum Care'!$F$7:$F$745&lt;=Lists!$AF12))</f>
        <v>0</v>
      </c>
      <c r="EB18" s="227">
        <f t="shared" si="20"/>
        <v>0</v>
      </c>
      <c r="EC18" s="295">
        <f>SUMPRODUCT(('Intrapartum Care'!$AF$7:$AF$745=EC$6)*('Intrapartum Care'!$F$7:$F$745&gt;=Lists!$AE12)*('Intrapartum Care'!$F$7:$F$745&lt;=Lists!$AF12))</f>
        <v>0</v>
      </c>
      <c r="ED18" s="295">
        <f>SUMPRODUCT(('Intrapartum Care'!$AF$7:$AF$745=ED$6)*('Intrapartum Care'!$F$7:$F$745&gt;=Lists!$AE12)*('Intrapartum Care'!$F$7:$F$745&lt;=Lists!$AF12))</f>
        <v>0</v>
      </c>
      <c r="EE18" s="295">
        <f>SUMPRODUCT(('Intrapartum Care'!$AF$7:$AF$745=EE$6)*('Intrapartum Care'!$F$7:$F$745&gt;=Lists!$AE12)*('Intrapartum Care'!$F$7:$F$745&lt;=Lists!$AF12))</f>
        <v>0</v>
      </c>
      <c r="EF18" s="295">
        <f>SUMPRODUCT(('Intrapartum Care'!$AF$7:$AF$745=EF$6)*('Intrapartum Care'!$F$7:$F$745&gt;=Lists!$AE12)*('Intrapartum Care'!$F$7:$F$745&lt;=Lists!$AF12))</f>
        <v>0</v>
      </c>
      <c r="EG18" s="295">
        <f>SUMPRODUCT(('Intrapartum Care'!$AF$7:$AF$745=EG$6)*('Intrapartum Care'!$F$7:$F$745&gt;=Lists!$AE12)*('Intrapartum Care'!$F$7:$F$745&lt;=Lists!$AF12))</f>
        <v>0</v>
      </c>
      <c r="EH18" s="227">
        <f t="shared" si="21"/>
        <v>0</v>
      </c>
      <c r="EI18" s="295">
        <f>SUMPRODUCT(('Intrapartum Care'!$AG$7:$AG$745=EI$6)*('Intrapartum Care'!$F$7:$F$745&gt;=Lists!$AE12)*('Intrapartum Care'!$F$7:$F$745&lt;=Lists!$AF12))</f>
        <v>0</v>
      </c>
      <c r="EJ18" s="295">
        <f>SUMPRODUCT(('Intrapartum Care'!$AG$7:$AG$745=EJ$6)*('Intrapartum Care'!$F$7:$F$745&gt;=Lists!$AE12)*('Intrapartum Care'!$F$7:$F$745&lt;=Lists!$AF12))</f>
        <v>0</v>
      </c>
      <c r="EK18" s="295">
        <f>SUMPRODUCT(('Intrapartum Care'!$AG$7:$AG$745=EK$6)*('Intrapartum Care'!$F$7:$F$745&gt;=Lists!$AE12)*('Intrapartum Care'!$F$7:$F$745&lt;=Lists!$AF12))</f>
        <v>0</v>
      </c>
      <c r="EL18" s="295">
        <f>SUMPRODUCT(('Intrapartum Care'!$AG$7:$AG$745=EL$6)*('Intrapartum Care'!$F$7:$F$745&gt;=Lists!$AE12)*('Intrapartum Care'!$F$7:$F$745&lt;=Lists!$AF12))</f>
        <v>0</v>
      </c>
      <c r="EM18" s="295">
        <f>SUMPRODUCT(('Intrapartum Care'!$AG$7:$AG$745=EM$6)*('Intrapartum Care'!$F$7:$F$745&gt;=Lists!$AE12)*('Intrapartum Care'!$F$7:$F$745&lt;=Lists!$AF12))</f>
        <v>0</v>
      </c>
      <c r="EN18" s="295">
        <f>SUMPRODUCT(('Intrapartum Care'!$AG$7:$AG$745=EN$6)*('Intrapartum Care'!$F$7:$F$745&gt;=Lists!$AE12)*('Intrapartum Care'!$F$7:$F$745&lt;=Lists!$AF12))</f>
        <v>0</v>
      </c>
      <c r="EO18" s="227">
        <f t="shared" si="22"/>
        <v>0</v>
      </c>
      <c r="EP18" s="295">
        <f>SUMPRODUCT(('Intrapartum Care'!$AH$7:$AH$745=EP$6)*('Intrapartum Care'!$F$7:$F$745&gt;=Lists!$AE12)*('Intrapartum Care'!$F$7:$F$745&lt;=Lists!$AF12))</f>
        <v>0</v>
      </c>
      <c r="EQ18" s="295">
        <f>SUMPRODUCT(('Intrapartum Care'!$AH$7:$AH$745=EQ$6)*('Intrapartum Care'!$F$7:$F$745&gt;=Lists!$AE12)*('Intrapartum Care'!$F$7:$F$745&lt;=Lists!$AF12))</f>
        <v>0</v>
      </c>
      <c r="ER18" s="295">
        <f>SUMPRODUCT(('Intrapartum Care'!$AH$7:$AH$745=ER$6)*('Intrapartum Care'!$F$7:$F$745&gt;=Lists!$AE12)*('Intrapartum Care'!$F$7:$F$745&lt;=Lists!$AF12))</f>
        <v>0</v>
      </c>
      <c r="ES18" s="227">
        <f t="shared" si="23"/>
        <v>0</v>
      </c>
      <c r="ET18" s="290">
        <f>SUMPRODUCT(('Intrapartum Care'!$AK$7:$AK$745=ET$6)*('Intrapartum Care'!$F$7:$F$745&gt;=Lists!$AE12)*('Intrapartum Care'!$F$7:$F$745&lt;=Lists!$AF12))</f>
        <v>0</v>
      </c>
      <c r="EU18" s="290">
        <f>SUMPRODUCT(('Intrapartum Care'!$AK$7:$AK$745=EU$6)*('Intrapartum Care'!$F$7:$F$745&gt;=Lists!$AE12)*('Intrapartum Care'!$F$7:$F$745&lt;=Lists!$AF12))</f>
        <v>0</v>
      </c>
      <c r="EV18" s="290">
        <f>SUMPRODUCT(('Intrapartum Care'!$AK$7:$AK$745=EV$6)*('Intrapartum Care'!$F$7:$F$745&gt;=Lists!$AE12)*('Intrapartum Care'!$F$7:$F$745&lt;=Lists!$AF12))</f>
        <v>0</v>
      </c>
      <c r="EW18" s="227">
        <f t="shared" si="24"/>
        <v>0</v>
      </c>
      <c r="EX18" s="290">
        <f>SUMPRODUCT(('Intrapartum Care'!$AL$7:$AL$745=EX$6)*('Intrapartum Care'!$F$7:$F$745&gt;=Lists!$AE12)*('Intrapartum Care'!$F$7:$F$745&lt;=Lists!$AF12))</f>
        <v>0</v>
      </c>
      <c r="EY18" s="290">
        <f>SUMPRODUCT(('Intrapartum Care'!$AL$7:$AL$745=EY$6)*('Intrapartum Care'!$F$7:$F$745&gt;=Lists!$AE12)*('Intrapartum Care'!$F$7:$F$745&lt;=Lists!$AF12))</f>
        <v>0</v>
      </c>
      <c r="EZ18" s="290">
        <f>SUMPRODUCT(('Intrapartum Care'!$AL$7:$AL$745=EZ$6)*('Intrapartum Care'!$F$7:$F$745&gt;=Lists!$AE12)*('Intrapartum Care'!$F$7:$F$745&lt;=Lists!$AF12))</f>
        <v>0</v>
      </c>
      <c r="FA18" s="227">
        <f t="shared" si="0"/>
        <v>0</v>
      </c>
      <c r="FB18" s="290">
        <f>SUMPRODUCT(('Intrapartum Care'!$AM$7:$AM$745=FB$6)*('Intrapartum Care'!$F$7:$F$745&gt;=Lists!$AE12)*('Intrapartum Care'!$F$7:$F$745&lt;=Lists!$AF12))</f>
        <v>0</v>
      </c>
      <c r="FC18" s="290">
        <f>SUMPRODUCT(('Intrapartum Care'!$AM$7:$AM$745=FC$6)*('Intrapartum Care'!$F$7:$F$745&gt;=Lists!$AE12)*('Intrapartum Care'!$F$7:$F$745&lt;=Lists!$AF12))</f>
        <v>0</v>
      </c>
      <c r="FD18" s="290">
        <f>SUMPRODUCT(('Intrapartum Care'!$AM$7:$AM$745=FD$6)*('Intrapartum Care'!$F$7:$F$745&gt;=Lists!$AE12)*('Intrapartum Care'!$F$7:$F$745&lt;=Lists!$AF12))</f>
        <v>0</v>
      </c>
      <c r="FE18" s="290">
        <f>SUMPRODUCT(('Intrapartum Care'!$AM$7:$AM$745=FE$6)*('Intrapartum Care'!$F$7:$F$745&gt;=Lists!$AE12)*('Intrapartum Care'!$F$7:$F$745&lt;=Lists!$AF12))</f>
        <v>0</v>
      </c>
      <c r="FF18" s="290">
        <f>SUMPRODUCT(('Intrapartum Care'!$AM$7:$AM$745=FF$6)*('Intrapartum Care'!$F$7:$F$745&gt;=Lists!$AE12)*('Intrapartum Care'!$F$7:$F$745&lt;=Lists!$AF12))</f>
        <v>0</v>
      </c>
      <c r="FG18" s="227">
        <f t="shared" si="25"/>
        <v>0</v>
      </c>
      <c r="FH18" s="290">
        <f>SUMPRODUCT(('Intrapartum Care'!$AN$7:$AN$745=FH$6)*('Intrapartum Care'!$F$7:$F$745&gt;=Lists!$AE12)*('Intrapartum Care'!$F$7:$F$745&lt;=Lists!$AF12))</f>
        <v>0</v>
      </c>
      <c r="FI18" s="290">
        <f>SUMPRODUCT(('Intrapartum Care'!$AN$7:$AN$745=FI$6)*('Intrapartum Care'!$F$7:$F$745&gt;=Lists!$AE12)*('Intrapartum Care'!$F$7:$F$745&lt;=Lists!$AF12))</f>
        <v>0</v>
      </c>
      <c r="FJ18" s="290">
        <f>SUMPRODUCT(('Intrapartum Care'!$AN$7:$AN$745=FJ$6)*('Intrapartum Care'!$F$7:$F$745&gt;=Lists!$AE12)*('Intrapartum Care'!$F$7:$F$745&lt;=Lists!$AF12))</f>
        <v>0</v>
      </c>
      <c r="FK18" s="290">
        <f>SUMPRODUCT(('Intrapartum Care'!$AN$7:$AN$745=FK$6)*('Intrapartum Care'!$F$7:$F$745&gt;=Lists!$AE12)*('Intrapartum Care'!$F$7:$F$745&lt;=Lists!$AF12))</f>
        <v>0</v>
      </c>
      <c r="FL18" s="227">
        <f t="shared" si="26"/>
        <v>0</v>
      </c>
      <c r="FM18" s="290">
        <f>SUMPRODUCT(('Intrapartum Care'!$AS$7:$AS$745=FM$6)*('Intrapartum Care'!$F$7:$F$745&gt;=Lists!$AE12)*('Intrapartum Care'!$F$7:$F$745&lt;=Lists!$AF12))</f>
        <v>0</v>
      </c>
      <c r="FN18" s="290">
        <f>SUMPRODUCT(('Intrapartum Care'!$AS$7:$AS$745=FN$6)*('Intrapartum Care'!$F$7:$F$745&gt;=Lists!$AE12)*('Intrapartum Care'!$F$7:$F$745&lt;=Lists!$AF12))</f>
        <v>0</v>
      </c>
      <c r="FO18" s="290">
        <f>SUMPRODUCT(('Intrapartum Care'!$AS$7:$AS$745=FO$6)*('Intrapartum Care'!$F$7:$F$745&gt;=Lists!$AE12)*('Intrapartum Care'!$F$7:$F$745&lt;=Lists!$AF12))</f>
        <v>0</v>
      </c>
      <c r="FP18" s="290">
        <f>SUMPRODUCT(('Intrapartum Care'!$AS$7:$AS$745=FP$6)*('Intrapartum Care'!$F$7:$F$745&gt;=Lists!$AE12)*('Intrapartum Care'!$F$7:$F$745&lt;=Lists!$AF12))</f>
        <v>0</v>
      </c>
      <c r="FQ18" s="227">
        <f t="shared" si="27"/>
        <v>0</v>
      </c>
      <c r="FR18" s="290">
        <f>SUMPRODUCT(('Intrapartum Care'!$AZ$7:$AZ$745=FR$6)*('Intrapartum Care'!$F$7:$F$745&gt;=Lists!$AE12)*('Intrapartum Care'!$F$7:$F$745&lt;=Lists!$AF12))</f>
        <v>0</v>
      </c>
      <c r="FS18" s="290">
        <f>SUMPRODUCT(('Intrapartum Care'!$AZ$7:$AZ$745=FS$6)*('Intrapartum Care'!$F$7:$F$745&gt;=Lists!$AE12)*('Intrapartum Care'!$F$7:$F$745&lt;=Lists!$AF12))</f>
        <v>0</v>
      </c>
      <c r="FT18" s="290">
        <f>SUMPRODUCT(('Intrapartum Care'!$AZ$7:$AZ$745=FT$6)*('Intrapartum Care'!$F$7:$F$745&gt;=Lists!$AE12)*('Intrapartum Care'!$F$7:$F$745&lt;=Lists!$AF12))</f>
        <v>0</v>
      </c>
      <c r="FU18" s="227">
        <f t="shared" si="28"/>
        <v>0</v>
      </c>
      <c r="FV18" s="290">
        <f>SUMPRODUCT(('Intrapartum Care'!$BA$7:$BA$745=FV$6)*('Intrapartum Care'!$F$7:$F$745&gt;=Lists!$AE12)*('Intrapartum Care'!$F$7:$F$745&lt;=Lists!$AF12))</f>
        <v>0</v>
      </c>
      <c r="FW18" s="290">
        <f>SUMPRODUCT(('Intrapartum Care'!$BA$7:$BA$745=FW$6)*('Intrapartum Care'!$F$7:$F$745&gt;=Lists!$AE12)*('Intrapartum Care'!$F$7:$F$745&lt;=Lists!$AF12))</f>
        <v>0</v>
      </c>
      <c r="FX18" s="290">
        <f>SUMPRODUCT(('Intrapartum Care'!$BA$7:$BA$745=FX$6)*('Intrapartum Care'!$F$7:$F$745&gt;=Lists!$AE12)*('Intrapartum Care'!$F$7:$F$745&lt;=Lists!$AF12))</f>
        <v>0</v>
      </c>
      <c r="FY18" s="227">
        <f t="shared" si="29"/>
        <v>0</v>
      </c>
      <c r="FZ18" s="290">
        <f>SUMPRODUCT(('Intrapartum Care'!$BB$7:$BB$745=FZ$6)*('Intrapartum Care'!$F$7:$F$745&gt;=Lists!$AE12)*('Intrapartum Care'!$F$7:$F$745&lt;=Lists!$AF12))</f>
        <v>0</v>
      </c>
      <c r="GA18" s="290">
        <f>SUMPRODUCT(('Intrapartum Care'!$BB$7:$BB$745=GA$6)*('Intrapartum Care'!$F$7:$F$745&gt;=Lists!$AE12)*('Intrapartum Care'!$F$7:$F$745&lt;=Lists!$AF12))</f>
        <v>0</v>
      </c>
      <c r="GB18" s="290">
        <f>SUMPRODUCT(('Intrapartum Care'!$BB$7:$BB$745=GB$6)*('Intrapartum Care'!$F$7:$F$745&gt;=Lists!$AE12)*('Intrapartum Care'!$F$7:$F$745&lt;=Lists!$AF12))</f>
        <v>0</v>
      </c>
      <c r="GC18" s="290">
        <f>SUMPRODUCT(('Intrapartum Care'!$BB$7:$BB$745=GC$6)*('Intrapartum Care'!$F$7:$F$745&gt;=Lists!$AE12)*('Intrapartum Care'!$F$7:$F$745&lt;=Lists!$AF12))</f>
        <v>0</v>
      </c>
      <c r="GD18" s="290">
        <f>SUMPRODUCT(('Intrapartum Care'!$BB$7:$BB$745=GD$6)*('Intrapartum Care'!$F$7:$F$745&gt;=Lists!$AE12)*('Intrapartum Care'!$F$7:$F$745&lt;=Lists!$AF12))</f>
        <v>0</v>
      </c>
      <c r="GE18" s="290">
        <f>SUMPRODUCT(('Intrapartum Care'!$BB$7:$BB$745=GE$6)*('Intrapartum Care'!$F$7:$F$745&gt;=Lists!$AE12)*('Intrapartum Care'!$F$7:$F$745&lt;=Lists!$AF12))</f>
        <v>0</v>
      </c>
      <c r="GF18" s="290">
        <f>SUMPRODUCT(('Intrapartum Care'!$BB$7:$BB$745=GF$6)*('Intrapartum Care'!$F$7:$F$745&gt;=Lists!$AE12)*('Intrapartum Care'!$F$7:$F$745&lt;=Lists!$AF12))</f>
        <v>0</v>
      </c>
      <c r="GG18" s="290">
        <f>SUMPRODUCT(('Intrapartum Care'!$BB$7:$BB$745=GG$6)*('Intrapartum Care'!$F$7:$F$745&gt;=Lists!$AE12)*('Intrapartum Care'!$F$7:$F$745&lt;=Lists!$AF12))</f>
        <v>0</v>
      </c>
      <c r="GH18" s="290">
        <f>SUMPRODUCT(('Intrapartum Care'!$BB$7:$BB$745=GH$6)*('Intrapartum Care'!$F$7:$F$745&gt;=Lists!$AE12)*('Intrapartum Care'!$F$7:$F$745&lt;=Lists!$AF12))</f>
        <v>0</v>
      </c>
      <c r="GI18" s="290">
        <f>SUMPRODUCT(('Intrapartum Care'!$BB$7:$BB$745=GI$6)*('Intrapartum Care'!$F$7:$F$745&gt;=Lists!$AE12)*('Intrapartum Care'!$F$7:$F$745&lt;=Lists!$AF12))</f>
        <v>0</v>
      </c>
      <c r="GJ18" s="290">
        <f>SUMPRODUCT(('Intrapartum Care'!$BB$7:$BB$745=GJ$6)*('Intrapartum Care'!$F$7:$F$745&gt;=Lists!$AE12)*('Intrapartum Care'!$F$7:$F$745&lt;=Lists!$AF12))</f>
        <v>0</v>
      </c>
      <c r="GK18" s="290">
        <f>SUMPRODUCT(('Intrapartum Care'!$BB$7:$BB$745=GK$6)*('Intrapartum Care'!$F$7:$F$745&gt;=Lists!$AE12)*('Intrapartum Care'!$F$7:$F$745&lt;=Lists!$AF12))</f>
        <v>0</v>
      </c>
      <c r="GL18" s="290">
        <f>SUMPRODUCT(('Intrapartum Care'!$BB$7:$BB$745=GL$6)*('Intrapartum Care'!$F$7:$F$745&gt;=Lists!$AE12)*('Intrapartum Care'!$F$7:$F$745&lt;=Lists!$AF12))</f>
        <v>0</v>
      </c>
      <c r="GM18" s="290">
        <f>SUMPRODUCT(('Intrapartum Care'!$BB$7:$BB$745=GM$6)*('Intrapartum Care'!$F$7:$F$745&gt;=Lists!$AE12)*('Intrapartum Care'!$F$7:$F$745&lt;=Lists!$AF12))</f>
        <v>0</v>
      </c>
      <c r="GN18" s="290">
        <f>SUMPRODUCT(('Intrapartum Care'!$BB$7:$BB$745=GN$6)*('Intrapartum Care'!$F$7:$F$745&gt;=Lists!$AE12)*('Intrapartum Care'!$F$7:$F$745&lt;=Lists!$AF12))</f>
        <v>0</v>
      </c>
      <c r="GO18" s="290">
        <f>SUMPRODUCT(('Intrapartum Care'!$BB$7:$BB$745=GO$6)*('Intrapartum Care'!$F$7:$F$745&gt;=Lists!$AE12)*('Intrapartum Care'!$F$7:$F$745&lt;=Lists!$AF12))</f>
        <v>0</v>
      </c>
      <c r="GP18" s="290">
        <f>SUMPRODUCT(('Intrapartum Care'!$BB$7:$BB$745=GP$6)*('Intrapartum Care'!$F$7:$F$745&gt;=Lists!$AE12)*('Intrapartum Care'!$F$7:$F$745&lt;=Lists!$AF12))</f>
        <v>0</v>
      </c>
      <c r="GQ18" s="290">
        <f>SUMPRODUCT(('Intrapartum Care'!$BB$7:$BB$745=GQ$6)*('Intrapartum Care'!$F$7:$F$745&gt;=Lists!$AE12)*('Intrapartum Care'!$F$7:$F$745&lt;=Lists!$AF12))</f>
        <v>0</v>
      </c>
      <c r="GR18" s="290">
        <f>SUMPRODUCT(('Intrapartum Care'!$BB$7:$BB$745=GR$6)*('Intrapartum Care'!$F$7:$F$745&gt;=Lists!$AE12)*('Intrapartum Care'!$F$7:$F$745&lt;=Lists!$AF12))</f>
        <v>0</v>
      </c>
      <c r="GS18" s="290">
        <f>SUMPRODUCT(('Intrapartum Care'!$BB$7:$BB$745=GS$6)*('Intrapartum Care'!$F$7:$F$745&gt;=Lists!$AE12)*('Intrapartum Care'!$F$7:$F$745&lt;=Lists!$AF12))</f>
        <v>0</v>
      </c>
      <c r="GT18" s="227">
        <f t="shared" si="30"/>
        <v>0</v>
      </c>
      <c r="GU18" s="290">
        <f>SUMPRODUCT(('Intrapartum Care'!$BC$7:$BC$745=GU$6)*('Intrapartum Care'!$F$7:$F$745&gt;=Lists!$AE12)*('Intrapartum Care'!$F$7:$F$745&lt;=Lists!$AF12))</f>
        <v>0</v>
      </c>
      <c r="GV18" s="290">
        <f>SUMPRODUCT(('Intrapartum Care'!$BC$7:$BC$745=GV$6)*('Intrapartum Care'!$F$7:$F$745&gt;=Lists!$AE12)*('Intrapartum Care'!$F$7:$F$745&lt;=Lists!$AF12))</f>
        <v>0</v>
      </c>
      <c r="GW18" s="290">
        <f>SUMPRODUCT(('Intrapartum Care'!$BC$7:$BC$745=GW$6)*('Intrapartum Care'!$F$7:$F$745&gt;=Lists!$AE12)*('Intrapartum Care'!$F$7:$F$745&lt;=Lists!$AF12))</f>
        <v>0</v>
      </c>
      <c r="GX18" s="290">
        <f>SUMPRODUCT(('Intrapartum Care'!$BC$7:$BC$745=GX$6)*('Intrapartum Care'!$F$7:$F$745&gt;=Lists!$AE12)*('Intrapartum Care'!$F$7:$F$745&lt;=Lists!$AF12))</f>
        <v>0</v>
      </c>
      <c r="GY18" s="290">
        <f>SUMPRODUCT(('Intrapartum Care'!$BC$7:$BC$745=GY$6)*('Intrapartum Care'!$F$7:$F$745&gt;=Lists!$AE12)*('Intrapartum Care'!$F$7:$F$745&lt;=Lists!$AF12))</f>
        <v>0</v>
      </c>
      <c r="GZ18" s="290">
        <f>SUMPRODUCT(('Intrapartum Care'!$BC$7:$BC$745=GZ$6)*('Intrapartum Care'!$F$7:$F$745&gt;=Lists!$AE12)*('Intrapartum Care'!$F$7:$F$745&lt;=Lists!$AF12))</f>
        <v>0</v>
      </c>
      <c r="HA18" s="290">
        <f>SUMPRODUCT(('Intrapartum Care'!$BC$7:$BC$745=HA$6)*('Intrapartum Care'!$F$7:$F$745&gt;=Lists!$AE12)*('Intrapartum Care'!$F$7:$F$745&lt;=Lists!$AF12))</f>
        <v>0</v>
      </c>
      <c r="HB18" s="290">
        <f>SUMPRODUCT(('Intrapartum Care'!$BC$7:$BC$745=HB$6)*('Intrapartum Care'!$F$7:$F$745&gt;=Lists!$AE12)*('Intrapartum Care'!$F$7:$F$745&lt;=Lists!$AF12))</f>
        <v>0</v>
      </c>
      <c r="HC18" s="290">
        <f>SUMPRODUCT(('Intrapartum Care'!$BC$7:$BC$745=HC$6)*('Intrapartum Care'!$F$7:$F$745&gt;=Lists!$AE12)*('Intrapartum Care'!$F$7:$F$745&lt;=Lists!$AF12))</f>
        <v>0</v>
      </c>
      <c r="HD18" s="290">
        <f>SUMPRODUCT(('Intrapartum Care'!$BC$7:$BC$745=HD$6)*('Intrapartum Care'!$F$7:$F$745&gt;=Lists!$AE12)*('Intrapartum Care'!$F$7:$F$745&lt;=Lists!$AF12))</f>
        <v>0</v>
      </c>
      <c r="HE18" s="290">
        <f>SUMPRODUCT(('Intrapartum Care'!$BC$7:$BC$745=HE$6)*('Intrapartum Care'!$F$7:$F$745&gt;=Lists!$AE12)*('Intrapartum Care'!$F$7:$F$745&lt;=Lists!$AF12))</f>
        <v>0</v>
      </c>
      <c r="HF18" s="227">
        <f t="shared" si="31"/>
        <v>0</v>
      </c>
      <c r="HG18" s="290">
        <f>SUMPRODUCT(('Intrapartum Care'!$BD$7:$BD$745=HG$6)*('Intrapartum Care'!$F$7:$F$745&gt;=Lists!$AE12)*('Intrapartum Care'!$F$7:$F$745&lt;=Lists!$AF12))</f>
        <v>0</v>
      </c>
      <c r="HH18" s="290">
        <f>SUMPRODUCT(('Intrapartum Care'!$BD$7:$BD$745=HH$6)*('Intrapartum Care'!$F$7:$F$745&gt;=Lists!$AE12)*('Intrapartum Care'!$F$7:$F$745&lt;=Lists!$AF12))</f>
        <v>0</v>
      </c>
      <c r="HI18" s="290">
        <f>SUMPRODUCT(('Intrapartum Care'!$BD$7:$BD$745=HI$6)*('Intrapartum Care'!$F$7:$F$745&gt;=Lists!$AE12)*('Intrapartum Care'!$F$7:$F$745&lt;=Lists!$AF12))</f>
        <v>0</v>
      </c>
      <c r="HJ18" s="290">
        <f>SUMPRODUCT(('Intrapartum Care'!$BD$7:$BD$745=HJ$6)*('Intrapartum Care'!$F$7:$F$745&gt;=Lists!$AE12)*('Intrapartum Care'!$F$7:$F$745&lt;=Lists!$AF12))</f>
        <v>0</v>
      </c>
      <c r="HK18" s="290">
        <f>SUMPRODUCT(('Intrapartum Care'!$BD$7:$BD$745=HK$6)*('Intrapartum Care'!$F$7:$F$745&gt;=Lists!$AE12)*('Intrapartum Care'!$F$7:$F$745&lt;=Lists!$AF12))</f>
        <v>0</v>
      </c>
      <c r="HL18" s="290">
        <f>SUMPRODUCT(('Intrapartum Care'!$BD$7:$BD$745=HL$6)*('Intrapartum Care'!$F$7:$F$745&gt;=Lists!$AE12)*('Intrapartum Care'!$F$7:$F$745&lt;=Lists!$AF12))</f>
        <v>0</v>
      </c>
      <c r="HM18" s="290">
        <f>SUMPRODUCT(('Intrapartum Care'!$BD$7:$BD$745=HM$6)*('Intrapartum Care'!$F$7:$F$745&gt;=Lists!$AE12)*('Intrapartum Care'!$F$7:$F$745&lt;=Lists!$AF12))</f>
        <v>0</v>
      </c>
      <c r="HN18" s="290">
        <f>SUMPRODUCT(('Intrapartum Care'!$BD$7:$BD$745=HN$6)*('Intrapartum Care'!$F$7:$F$745&gt;=Lists!$AE12)*('Intrapartum Care'!$F$7:$F$745&lt;=Lists!$AF12))</f>
        <v>0</v>
      </c>
      <c r="HO18" s="290">
        <f>SUMPRODUCT(('Intrapartum Care'!$BD$7:$BD$745=HO$6)*('Intrapartum Care'!$F$7:$F$745&gt;=Lists!$AE12)*('Intrapartum Care'!$F$7:$F$745&lt;=Lists!$AF12))</f>
        <v>0</v>
      </c>
      <c r="HP18" s="290">
        <f>SUMPRODUCT(('Intrapartum Care'!$BD$7:$BD$745=HP$6)*('Intrapartum Care'!$F$7:$F$745&gt;=Lists!$AE12)*('Intrapartum Care'!$F$7:$F$745&lt;=Lists!$AF12))</f>
        <v>0</v>
      </c>
      <c r="HQ18" s="290">
        <f>SUMPRODUCT(('Intrapartum Care'!$BD$7:$BD$745=HQ$6)*('Intrapartum Care'!$F$7:$F$745&gt;=Lists!$AE12)*('Intrapartum Care'!$F$7:$F$745&lt;=Lists!$AF12))</f>
        <v>0</v>
      </c>
      <c r="HR18" s="290">
        <f>SUMPRODUCT(('Intrapartum Care'!$BD$7:$BD$745=HR$6)*('Intrapartum Care'!$F$7:$F$745&gt;=Lists!$AE12)*('Intrapartum Care'!$F$7:$F$745&lt;=Lists!$AF12))</f>
        <v>0</v>
      </c>
      <c r="HS18" s="290">
        <f>SUMPRODUCT(('Intrapartum Care'!$BD$7:$BD$745=HS$6)*('Intrapartum Care'!$F$7:$F$745&gt;=Lists!$AE12)*('Intrapartum Care'!$F$7:$F$745&lt;=Lists!$AF12))</f>
        <v>0</v>
      </c>
      <c r="HT18" s="290">
        <f>SUMPRODUCT(('Intrapartum Care'!$BD$7:$BD$745=HT$6)*('Intrapartum Care'!$F$7:$F$745&gt;=Lists!$AE12)*('Intrapartum Care'!$F$7:$F$745&lt;=Lists!$AF12))</f>
        <v>0</v>
      </c>
      <c r="HU18" s="290">
        <f>SUMPRODUCT(('Intrapartum Care'!$BD$7:$BD$745=HU$6)*('Intrapartum Care'!$F$7:$F$745&gt;=Lists!$AE12)*('Intrapartum Care'!$F$7:$F$745&lt;=Lists!$AF12))</f>
        <v>0</v>
      </c>
      <c r="HV18" s="290">
        <f>SUMPRODUCT(('Intrapartum Care'!$BD$7:$BD$745=HV$6)*('Intrapartum Care'!$F$7:$F$745&gt;=Lists!$AE12)*('Intrapartum Care'!$F$7:$F$745&lt;=Lists!$AF12))</f>
        <v>0</v>
      </c>
      <c r="HW18" s="290">
        <f>SUMPRODUCT(('Intrapartum Care'!$BD$7:$BD$745=HW$6)*('Intrapartum Care'!$F$7:$F$745&gt;=Lists!$AE12)*('Intrapartum Care'!$F$7:$F$745&lt;=Lists!$AF12))</f>
        <v>0</v>
      </c>
      <c r="HX18" s="290">
        <f>SUMPRODUCT(('Intrapartum Care'!$BD$7:$BD$745=HX$6)*('Intrapartum Care'!$F$7:$F$745&gt;=Lists!$AE12)*('Intrapartum Care'!$F$7:$F$745&lt;=Lists!$AF12))</f>
        <v>0</v>
      </c>
      <c r="HY18" s="290">
        <f>SUMPRODUCT(('Intrapartum Care'!$BD$7:$BD$745=HY$6)*('Intrapartum Care'!$F$7:$F$745&gt;=Lists!$AE12)*('Intrapartum Care'!$F$7:$F$745&lt;=Lists!$AF12))</f>
        <v>0</v>
      </c>
      <c r="HZ18" s="290">
        <f>SUMPRODUCT(('Intrapartum Care'!$BD$7:$BD$745=HZ$6)*('Intrapartum Care'!$F$7:$F$745&gt;=Lists!$AE12)*('Intrapartum Care'!$F$7:$F$745&lt;=Lists!$AF12))</f>
        <v>0</v>
      </c>
      <c r="IA18" s="290">
        <f>SUMPRODUCT(('Intrapartum Care'!$BD$7:$BD$745=IA$6)*('Intrapartum Care'!$F$7:$F$745&gt;=Lists!$AE12)*('Intrapartum Care'!$F$7:$F$745&lt;=Lists!$AF12))</f>
        <v>0</v>
      </c>
      <c r="IB18" s="290">
        <f>SUMPRODUCT(('Intrapartum Care'!$BD$7:$BD$745=IB$6)*('Intrapartum Care'!$F$7:$F$745&gt;=Lists!$AE12)*('Intrapartum Care'!$F$7:$F$745&lt;=Lists!$AF12))</f>
        <v>0</v>
      </c>
      <c r="IC18" s="290">
        <f>SUMPRODUCT(('Intrapartum Care'!$BD$7:$BD$745=IC$6)*('Intrapartum Care'!$F$7:$F$745&gt;=Lists!$AE12)*('Intrapartum Care'!$F$7:$F$745&lt;=Lists!$AF12))</f>
        <v>0</v>
      </c>
      <c r="ID18" s="290">
        <f>SUMPRODUCT(('Intrapartum Care'!$BD$7:$BD$745=ID$6)*('Intrapartum Care'!$F$7:$F$745&gt;=Lists!$AE12)*('Intrapartum Care'!$F$7:$F$745&lt;=Lists!$AF12))</f>
        <v>0</v>
      </c>
      <c r="IE18" s="290">
        <f>SUMPRODUCT(('Intrapartum Care'!$BD$7:$BD$745=IE$6)*('Intrapartum Care'!$F$7:$F$745&gt;=Lists!$AE12)*('Intrapartum Care'!$F$7:$F$745&lt;=Lists!$AF12))</f>
        <v>0</v>
      </c>
      <c r="IF18" s="290">
        <f>SUMPRODUCT(('Intrapartum Care'!$BD$7:$BD$745=IF$6)*('Intrapartum Care'!$F$7:$F$745&gt;=Lists!$AE12)*('Intrapartum Care'!$F$7:$F$745&lt;=Lists!$AF12))</f>
        <v>0</v>
      </c>
      <c r="IG18" s="290">
        <f>SUMPRODUCT(('Intrapartum Care'!$BD$7:$BD$745=IG$6)*('Intrapartum Care'!$F$7:$F$745&gt;=Lists!$AE12)*('Intrapartum Care'!$F$7:$F$745&lt;=Lists!$AF12))</f>
        <v>0</v>
      </c>
      <c r="IH18" s="290">
        <f>SUMPRODUCT(('Intrapartum Care'!$BD$7:$BD$745=IH$6)*('Intrapartum Care'!$F$7:$F$745&gt;=Lists!$AE12)*('Intrapartum Care'!$F$7:$F$745&lt;=Lists!$AF12))</f>
        <v>0</v>
      </c>
      <c r="II18" s="227">
        <f t="shared" si="32"/>
        <v>0</v>
      </c>
      <c r="IJ18" s="290">
        <f>SUMPRODUCT(('Intrapartum Care'!$BE$7:$BE$745=IJ$6)*('Intrapartum Care'!$F$7:$F$745&gt;=Lists!$AE12)*('Intrapartum Care'!$F$7:$F$745&lt;=Lists!$AF12))</f>
        <v>0</v>
      </c>
      <c r="IK18" s="290">
        <f>SUMPRODUCT(('Intrapartum Care'!$BE$7:$BE$745=IK$6)*('Intrapartum Care'!$F$7:$F$745&gt;=Lists!$AE12)*('Intrapartum Care'!$F$7:$F$745&lt;=Lists!$AF12))</f>
        <v>0</v>
      </c>
      <c r="IL18" s="290">
        <f>SUMPRODUCT(('Intrapartum Care'!$BE$7:$BE$745=IL$6)*('Intrapartum Care'!$F$7:$F$745&gt;=Lists!$AE12)*('Intrapartum Care'!$F$7:$F$745&lt;=Lists!$AF12))</f>
        <v>0</v>
      </c>
      <c r="IM18" s="290">
        <f>SUMPRODUCT(('Intrapartum Care'!$BE$7:$BE$745=IM$6)*('Intrapartum Care'!$F$7:$F$745&gt;=Lists!$AE12)*('Intrapartum Care'!$F$7:$F$745&lt;=Lists!$AF12))</f>
        <v>0</v>
      </c>
      <c r="IN18" s="290">
        <f>SUMPRODUCT(('Intrapartum Care'!$BE$7:$BE$745=IN$6)*('Intrapartum Care'!$F$7:$F$745&gt;=Lists!$AE12)*('Intrapartum Care'!$F$7:$F$745&lt;=Lists!$AF12))</f>
        <v>0</v>
      </c>
      <c r="IO18" s="290">
        <f>SUMPRODUCT(('Intrapartum Care'!$BE$7:$BE$745=IO$6)*('Intrapartum Care'!$F$7:$F$745&gt;=Lists!$AE12)*('Intrapartum Care'!$F$7:$F$745&lt;=Lists!$AF12))</f>
        <v>0</v>
      </c>
      <c r="IP18" s="290">
        <f>SUMPRODUCT(('Intrapartum Care'!$BE$7:$BE$745=IP$6)*('Intrapartum Care'!$F$7:$F$745&gt;=Lists!$AE12)*('Intrapartum Care'!$F$7:$F$745&lt;=Lists!$AF12))</f>
        <v>0</v>
      </c>
      <c r="IQ18" s="170">
        <f t="shared" si="33"/>
        <v>0</v>
      </c>
      <c r="IR18" s="290">
        <f>SUMPRODUCT(('Intrapartum Care'!$BF$7:$BF$745=IR$6)*('Intrapartum Care'!$F$7:$F$745&gt;=Lists!$AE12)*('Intrapartum Care'!$F$7:$F$745&lt;=Lists!$AF12))</f>
        <v>0</v>
      </c>
      <c r="IS18" s="290">
        <f>SUMPRODUCT(('Intrapartum Care'!$BF$7:$BF$745=IS$6)*('Intrapartum Care'!$F$7:$F$745&gt;=Lists!$AE12)*('Intrapartum Care'!$F$7:$F$745&lt;=Lists!$AF12))</f>
        <v>0</v>
      </c>
      <c r="IT18" s="290">
        <f>SUMPRODUCT(('Intrapartum Care'!$BF$7:$BF$745=IT$6)*('Intrapartum Care'!$F$7:$F$745&gt;=Lists!$AE12)*('Intrapartum Care'!$F$7:$F$745&lt;=Lists!$AF12))</f>
        <v>0</v>
      </c>
      <c r="IU18" s="290">
        <f>SUMPRODUCT(('Intrapartum Care'!$BF$7:$BF$745=IU$6)*('Intrapartum Care'!$F$7:$F$745&gt;=Lists!$AE12)*('Intrapartum Care'!$F$7:$F$745&lt;=Lists!$AF12))</f>
        <v>0</v>
      </c>
      <c r="IV18" s="170">
        <f t="shared" si="34"/>
        <v>0</v>
      </c>
      <c r="IW18" s="290">
        <f>SUMPRODUCT(('Intrapartum Care'!$BH$7:$BH$745=IW$6)*('Intrapartum Care'!$F$7:$F$745&gt;=Lists!$AE12)*('Intrapartum Care'!$F$7:$F$745&lt;=Lists!$AF12))</f>
        <v>0</v>
      </c>
      <c r="IX18" s="290">
        <f>SUMPRODUCT(('Intrapartum Care'!$BH$7:$BH$745=IX$6)*('Intrapartum Care'!$F$7:$F$745&gt;=Lists!$AE12)*('Intrapartum Care'!$F$7:$F$745&lt;=Lists!$AF12))</f>
        <v>0</v>
      </c>
      <c r="IY18" s="290">
        <f>SUMPRODUCT(('Intrapartum Care'!$BH$7:$BH$745=IY$6)*('Intrapartum Care'!$F$7:$F$745&gt;=Lists!$AE12)*('Intrapartum Care'!$F$7:$F$745&lt;=Lists!$AF12))</f>
        <v>0</v>
      </c>
      <c r="IZ18" s="290">
        <f>SUMPRODUCT(('Intrapartum Care'!$BH$7:$BH$745=IZ$6)*('Intrapartum Care'!$F$7:$F$745&gt;=Lists!$AE12)*('Intrapartum Care'!$F$7:$F$745&lt;=Lists!$AF12))</f>
        <v>0</v>
      </c>
      <c r="JA18" s="290">
        <f>SUMPRODUCT(('Intrapartum Care'!$BH$7:$BH$745=JA$6)*('Intrapartum Care'!$F$7:$F$745&gt;=Lists!$AE12)*('Intrapartum Care'!$F$7:$F$745&lt;=Lists!$AF12))</f>
        <v>0</v>
      </c>
      <c r="JB18" s="551">
        <f t="shared" si="35"/>
        <v>0</v>
      </c>
      <c r="JC18" s="243">
        <f t="shared" si="1"/>
        <v>0</v>
      </c>
      <c r="JD18" s="15"/>
      <c r="JE18" s="15"/>
      <c r="JF18" s="15"/>
      <c r="JG18" s="15"/>
      <c r="JH18" s="15"/>
      <c r="JI18" s="15"/>
      <c r="JJ18" s="15"/>
      <c r="JK18" s="15"/>
      <c r="JL18" s="16"/>
      <c r="JM18" s="15"/>
      <c r="JN18" s="15"/>
      <c r="JO18" s="15"/>
      <c r="JP18" s="15"/>
    </row>
    <row r="19" spans="1:276" ht="15" customHeight="1" thickBot="1" x14ac:dyDescent="0.4">
      <c r="A19" s="571">
        <v>46082</v>
      </c>
      <c r="B19" s="346">
        <f>SUMPRODUCT(('Intrapartum Care'!$C$7:$C$745=B$6)*('Intrapartum Care'!$F$7:$F$745&gt;=Lists!$AE13)*('Intrapartum Care'!$F$7:$F$745&lt;=Lists!$AF13))</f>
        <v>0</v>
      </c>
      <c r="C19" s="259">
        <f>SUMPRODUCT(('Intrapartum Care'!$C$7:$C$745=C$6)*('Intrapartum Care'!$F$7:$F$745&gt;=Lists!$AE13)*('Intrapartum Care'!$F$7:$F$745&lt;=Lists!$AF13))</f>
        <v>0</v>
      </c>
      <c r="D19" s="177">
        <f t="shared" si="2"/>
        <v>0</v>
      </c>
      <c r="E19" s="290">
        <f>SUMPRODUCT(('Intrapartum Care'!$D$7:$D$745=E$6)*('Intrapartum Care'!$F$7:$F$745&gt;=Lists!$AE13)*('Intrapartum Care'!$F$7:$F$745&lt;=Lists!$AF13))</f>
        <v>0</v>
      </c>
      <c r="F19" s="290">
        <f>SUMPRODUCT(('Intrapartum Care'!$D$7:$D$745=F$6)*('Intrapartum Care'!$F$7:$F$745&gt;=Lists!$AE13)*('Intrapartum Care'!$F$7:$F$745&lt;=Lists!$AF13))</f>
        <v>0</v>
      </c>
      <c r="G19" s="290">
        <f>SUMPRODUCT(('Intrapartum Care'!$D$7:$D$745=G$6)*('Intrapartum Care'!$F$7:$F$745&gt;=Lists!$AE13)*('Intrapartum Care'!$F$7:$F$745&lt;=Lists!$AF13))</f>
        <v>0</v>
      </c>
      <c r="H19" s="177">
        <f t="shared" si="3"/>
        <v>0</v>
      </c>
      <c r="I19" s="281">
        <f>SUMPRODUCT(('Intrapartum Care'!$E$7:$E$745=I$6)*('Intrapartum Care'!$F$7:$F$745&gt;=Lists!$AE13)*('Intrapartum Care'!$F$7:$F$745&lt;=Lists!$AF13))</f>
        <v>0</v>
      </c>
      <c r="J19" s="266">
        <f>SUMPRODUCT(('Intrapartum Care'!$E$7:$E$745=J$6)*('Intrapartum Care'!$F$7:$F$745&gt;=Lists!$AE13)*('Intrapartum Care'!$F$7:$F$745&lt;=Lists!$AF13))</f>
        <v>0</v>
      </c>
      <c r="K19" s="266">
        <f>SUMPRODUCT(('Intrapartum Care'!$E$7:$E$745=K$6)*('Intrapartum Care'!$F$7:$F$745&gt;=Lists!$AE13)*('Intrapartum Care'!$F$7:$F$745&lt;=Lists!$AF13))</f>
        <v>0</v>
      </c>
      <c r="L19" s="266">
        <f>SUMPRODUCT(('Intrapartum Care'!$E$7:$E$745=L$6)*('Intrapartum Care'!$F$7:$F$745&gt;=Lists!$AE13)*('Intrapartum Care'!$F$7:$F$745&lt;=Lists!$AF13))</f>
        <v>0</v>
      </c>
      <c r="M19" s="266">
        <f>SUMPRODUCT(('Intrapartum Care'!$E$7:$E$745=M$6)*('Intrapartum Care'!$F$7:$F$745&gt;=Lists!$AE13)*('Intrapartum Care'!$F$7:$F$745&lt;=Lists!$AF13))</f>
        <v>0</v>
      </c>
      <c r="N19" s="266">
        <f>SUMPRODUCT(('Intrapartum Care'!$E$7:$E$745=N$6)*('Intrapartum Care'!$F$7:$F$745&gt;=Lists!$AE13)*('Intrapartum Care'!$F$7:$F$745&lt;=Lists!$AF13))</f>
        <v>0</v>
      </c>
      <c r="O19" s="266">
        <f>SUMPRODUCT(('Intrapartum Care'!$E$7:$E$745=O$6)*('Intrapartum Care'!$F$7:$F$745&gt;=Lists!$AE13)*('Intrapartum Care'!$F$7:$F$745&lt;=Lists!$AF13))</f>
        <v>0</v>
      </c>
      <c r="P19" s="266">
        <f>SUMPRODUCT(('Intrapartum Care'!$E$7:$E$745=P$6)*('Intrapartum Care'!$F$7:$F$745&gt;=Lists!$AE13)*('Intrapartum Care'!$F$7:$F$745&lt;=Lists!$AF13))</f>
        <v>0</v>
      </c>
      <c r="Q19" s="266">
        <f>SUMPRODUCT(('Intrapartum Care'!$E$7:$E$745=Q$6)*('Intrapartum Care'!$F$7:$F$745&gt;=Lists!$AE13)*('Intrapartum Care'!$F$7:$F$745&lt;=Lists!$AF13))</f>
        <v>0</v>
      </c>
      <c r="R19" s="266">
        <f>SUMPRODUCT(('Intrapartum Care'!$E$7:$E$745=R$6)*('Intrapartum Care'!$F$7:$F$745&gt;=Lists!$AE13)*('Intrapartum Care'!$F$7:$F$745&lt;=Lists!$AF13))</f>
        <v>0</v>
      </c>
      <c r="S19" s="266">
        <f>SUMPRODUCT(('Intrapartum Care'!$E$7:$E$745=S$6)*('Intrapartum Care'!$F$7:$F$745&gt;=Lists!$AE13)*('Intrapartum Care'!$F$7:$F$745&lt;=Lists!$AF13))</f>
        <v>0</v>
      </c>
      <c r="T19" s="266">
        <f>SUMPRODUCT(('Intrapartum Care'!$E$7:$E$745=T$6)*('Intrapartum Care'!$F$7:$F$745&gt;=Lists!$AE13)*('Intrapartum Care'!$F$7:$F$745&lt;=Lists!$AF13))</f>
        <v>0</v>
      </c>
      <c r="U19" s="266">
        <f>SUMPRODUCT(('Intrapartum Care'!$E$7:$E$745=U$6)*('Intrapartum Care'!$F$7:$F$745&gt;=Lists!$AE13)*('Intrapartum Care'!$F$7:$F$745&lt;=Lists!$AF13))</f>
        <v>0</v>
      </c>
      <c r="V19" s="266">
        <f>SUMPRODUCT(('Intrapartum Care'!$E$7:$E$745=V$6)*('Intrapartum Care'!$F$7:$F$745&gt;=Lists!$AE13)*('Intrapartum Care'!$F$7:$F$745&lt;=Lists!$AF13))</f>
        <v>0</v>
      </c>
      <c r="W19" s="266">
        <f>SUMPRODUCT(('Intrapartum Care'!$E$7:$E$745=W$6)*('Intrapartum Care'!$F$7:$F$745&gt;=Lists!$AE13)*('Intrapartum Care'!$F$7:$F$745&lt;=Lists!$AF13))</f>
        <v>0</v>
      </c>
      <c r="X19" s="266">
        <f>SUMPRODUCT(('Intrapartum Care'!$E$7:$E$745=X$6)*('Intrapartum Care'!$F$7:$F$745&gt;=Lists!$AE13)*('Intrapartum Care'!$F$7:$F$745&lt;=Lists!$AF13))</f>
        <v>0</v>
      </c>
      <c r="Y19" s="266">
        <f>SUMPRODUCT(('Intrapartum Care'!$E$7:$E$745=Y$6)*('Intrapartum Care'!$F$7:$F$745&gt;=Lists!$AE13)*('Intrapartum Care'!$F$7:$F$745&lt;=Lists!$AF13))</f>
        <v>0</v>
      </c>
      <c r="Z19" s="266">
        <f>SUMPRODUCT(('Intrapartum Care'!$E$7:$E$745=Z$6)*('Intrapartum Care'!$F$7:$F$745&gt;=Lists!$AE13)*('Intrapartum Care'!$F$7:$F$745&lt;=Lists!$AF13))</f>
        <v>0</v>
      </c>
      <c r="AA19" s="266">
        <f>SUMPRODUCT(('Intrapartum Care'!$E$7:$E$745=AA$6)*('Intrapartum Care'!$F$7:$F$745&gt;=Lists!$AE13)*('Intrapartum Care'!$F$7:$F$745&lt;=Lists!$AF13))</f>
        <v>0</v>
      </c>
      <c r="AB19" s="266">
        <f>SUMPRODUCT(('Intrapartum Care'!$E$7:$E$745=AB$6)*('Intrapartum Care'!$F$7:$F$745&gt;=Lists!$AE13)*('Intrapartum Care'!$F$7:$F$745&lt;=Lists!$AF13))</f>
        <v>0</v>
      </c>
      <c r="AC19" s="267">
        <f>SUMPRODUCT(('Intrapartum Care'!$E$7:$E$745=AC$6)*('Intrapartum Care'!$F$7:$F$745&gt;=Lists!$AE13)*('Intrapartum Care'!$F$7:$F$745&lt;=Lists!$AF13))</f>
        <v>0</v>
      </c>
      <c r="AD19" s="227">
        <f t="shared" si="4"/>
        <v>0</v>
      </c>
      <c r="AE19" s="256">
        <f>SUMPRODUCT(('Intrapartum Care'!$H$7:$H$745=AE$6)*('Intrapartum Care'!$F$7:$F$745&gt;=Lists!$AE13)*('Intrapartum Care'!$F$7:$F$745&lt;=Lists!$AF13))</f>
        <v>0</v>
      </c>
      <c r="AF19" s="254">
        <f>SUMPRODUCT(('Intrapartum Care'!$H$7:$H$745=AF$6)*('Intrapartum Care'!$F$7:$F$745&gt;=Lists!$AE13)*('Intrapartum Care'!$F$7:$F$745&lt;=Lists!$AF13))</f>
        <v>0</v>
      </c>
      <c r="AG19" s="254">
        <f>SUMPRODUCT(('Intrapartum Care'!$H$7:$H$745=AG$6)*('Intrapartum Care'!$F$7:$F$745&gt;=Lists!$AE13)*('Intrapartum Care'!$F$7:$F$745&lt;=Lists!$AF13))</f>
        <v>0</v>
      </c>
      <c r="AH19" s="254">
        <f>SUMPRODUCT(('Intrapartum Care'!$H$7:$H$745=AH$6)*('Intrapartum Care'!$F$7:$F$745&gt;=Lists!$AE13)*('Intrapartum Care'!$F$7:$F$745&lt;=Lists!$AF13))</f>
        <v>0</v>
      </c>
      <c r="AI19" s="254">
        <f>SUMPRODUCT(('Intrapartum Care'!$H$7:$H$745=AI$6)*('Intrapartum Care'!$F$7:$F$745&gt;=Lists!$AE13)*('Intrapartum Care'!$F$7:$F$745&lt;=Lists!$AF13))</f>
        <v>0</v>
      </c>
      <c r="AJ19" s="254">
        <f>SUMPRODUCT(('Intrapartum Care'!$H$7:$H$745=AJ$6)*('Intrapartum Care'!$F$7:$F$745&gt;=Lists!$AE13)*('Intrapartum Care'!$F$7:$F$745&lt;=Lists!$AF13))</f>
        <v>0</v>
      </c>
      <c r="AK19" s="254">
        <f>SUMPRODUCT(('Intrapartum Care'!$H$7:$H$745=AK$6)*('Intrapartum Care'!$F$7:$F$745&gt;=Lists!$AE13)*('Intrapartum Care'!$F$7:$F$745&lt;=Lists!$AF13))</f>
        <v>0</v>
      </c>
      <c r="AL19" s="254">
        <f>SUMPRODUCT(('Intrapartum Care'!$H$7:$H$745=AL$6)*('Intrapartum Care'!$F$7:$F$745&gt;=Lists!$AE13)*('Intrapartum Care'!$F$7:$F$745&lt;=Lists!$AF13))</f>
        <v>0</v>
      </c>
      <c r="AM19" s="275">
        <f>SUMPRODUCT(('Intrapartum Care'!$H$7:$H$745=AM$6)*('Intrapartum Care'!$F$7:$F$745&gt;=Lists!$AE13)*('Intrapartum Care'!$F$7:$F$745&lt;=Lists!$AF13))</f>
        <v>0</v>
      </c>
      <c r="AN19" s="177">
        <f t="shared" si="5"/>
        <v>0</v>
      </c>
      <c r="AO19" s="282">
        <f>SUMPRODUCT(('Intrapartum Care'!$I$7:$I$745=AO$6)*('Intrapartum Care'!$F$7:$F$745&gt;=Lists!$AE13)*('Intrapartum Care'!$F$7:$F$745&lt;=Lists!$AF13))</f>
        <v>0</v>
      </c>
      <c r="AP19" s="270">
        <f>SUMPRODUCT(('Intrapartum Care'!$I$7:$I$745=AP$6)*('Intrapartum Care'!$F$7:$F$745&gt;=Lists!$AE13)*('Intrapartum Care'!$F$7:$F$745&lt;=Lists!$AF13))</f>
        <v>0</v>
      </c>
      <c r="AQ19" s="270">
        <f>SUMPRODUCT(('Intrapartum Care'!$I$7:$I$745=AQ$6)*('Intrapartum Care'!$F$7:$F$745&gt;=Lists!$AE13)*('Intrapartum Care'!$F$7:$F$745&lt;=Lists!$AF13))</f>
        <v>0</v>
      </c>
      <c r="AR19" s="270">
        <f>SUMPRODUCT(('Intrapartum Care'!$I$7:$I$745=AR$6)*('Intrapartum Care'!$F$7:$F$745&gt;=Lists!$AE13)*('Intrapartum Care'!$F$7:$F$745&lt;=Lists!$AF13))</f>
        <v>0</v>
      </c>
      <c r="AS19" s="270">
        <f>SUMPRODUCT(('Intrapartum Care'!$I$7:$I$745=AS$6)*('Intrapartum Care'!$F$7:$F$745&gt;=Lists!$AE13)*('Intrapartum Care'!$F$7:$F$745&lt;=Lists!$AF13))</f>
        <v>0</v>
      </c>
      <c r="AT19" s="270">
        <f>SUMPRODUCT(('Intrapartum Care'!$I$7:$I$745=AT$6)*('Intrapartum Care'!$F$7:$F$745&gt;=Lists!$AE13)*('Intrapartum Care'!$F$7:$F$745&lt;=Lists!$AF13))</f>
        <v>0</v>
      </c>
      <c r="AU19" s="278">
        <f>SUMPRODUCT(('Intrapartum Care'!$I$7:$I$745=AU$6)*('Intrapartum Care'!$F$7:$F$745&gt;=Lists!$AE13)*('Intrapartum Care'!$F$7:$F$745&lt;=Lists!$AF13))</f>
        <v>0</v>
      </c>
      <c r="AV19" s="171">
        <f t="shared" si="6"/>
        <v>0</v>
      </c>
      <c r="AW19" s="281">
        <f>SUMPRODUCT(('Intrapartum Care'!$J$7:$J$745=AW$6)*('Intrapartum Care'!$F$7:$F$745&gt;=Lists!$AE13)*('Intrapartum Care'!$F$7:$F$745&lt;=Lists!$AF13))</f>
        <v>0</v>
      </c>
      <c r="AX19" s="276">
        <f>SUMPRODUCT(('Intrapartum Care'!$J$7:$J$745=AX$6)*('Intrapartum Care'!$F$7:$F$745&gt;=Lists!$AE13)*('Intrapartum Care'!$F$7:$F$745&lt;=Lists!$AF13))</f>
        <v>0</v>
      </c>
      <c r="AY19" s="171">
        <f t="shared" si="7"/>
        <v>0</v>
      </c>
      <c r="AZ19" s="269">
        <f>SUMPRODUCT(('Intrapartum Care'!$R$7:$R$745=AZ$6)*('Intrapartum Care'!$F$7:$F$745&gt;=Lists!$AE13)*('Intrapartum Care'!$F$7:$F$745&lt;=Lists!$AF13))</f>
        <v>0</v>
      </c>
      <c r="BA19" s="270">
        <f>SUMPRODUCT(('Intrapartum Care'!$R$7:$R$745=BA$6)*('Intrapartum Care'!$F$7:$F$745&gt;=Lists!$AE13)*('Intrapartum Care'!$F$7:$F$745&lt;=Lists!$AF13))</f>
        <v>0</v>
      </c>
      <c r="BB19" s="270">
        <f>SUMPRODUCT(('Intrapartum Care'!$R$7:$R$745=BB$6)*('Intrapartum Care'!$F$7:$F$745&gt;=Lists!$AE13)*('Intrapartum Care'!$F$7:$F$745&lt;=Lists!$AF13))</f>
        <v>0</v>
      </c>
      <c r="BC19" s="278">
        <f>SUMPRODUCT(('Intrapartum Care'!$R$7:$R$745=BC$6)*('Intrapartum Care'!$F$7:$F$745&gt;=Lists!$AE13)*('Intrapartum Care'!$F$7:$F$745&lt;=Lists!$AF13))</f>
        <v>0</v>
      </c>
      <c r="BD19" s="285">
        <f t="shared" si="8"/>
        <v>0</v>
      </c>
      <c r="BE19" s="265">
        <f>SUMPRODUCT(('Intrapartum Care'!$S$7:$S$745=BE$6)*('Intrapartum Care'!$F$7:$F$745&gt;=Lists!$AE13)*('Intrapartum Care'!$F$7:$F$745&lt;=Lists!$AF13))</f>
        <v>0</v>
      </c>
      <c r="BF19" s="266">
        <f>SUMPRODUCT(('Intrapartum Care'!$S$7:$S$745=BF$6)*('Intrapartum Care'!$F$7:$F$745&gt;=Lists!$AE13)*('Intrapartum Care'!$F$7:$F$745&lt;=Lists!$AF13))</f>
        <v>0</v>
      </c>
      <c r="BG19" s="267">
        <f>SUMPRODUCT(('Intrapartum Care'!$S$7:$S$745=BG$6)*('Intrapartum Care'!$F$7:$F$745&gt;=Lists!$AE13)*('Intrapartum Care'!$F$7:$F$745&lt;=Lists!$AF13))</f>
        <v>0</v>
      </c>
      <c r="BH19" s="177">
        <f t="shared" si="9"/>
        <v>0</v>
      </c>
      <c r="BI19" s="290">
        <f>SUMPRODUCT(('Intrapartum Care'!$T$7:$T$745=BI$6)*('Intrapartum Care'!$F$7:$F$745&gt;=Lists!$AE13)*('Intrapartum Care'!$F$7:$F$745&lt;=Lists!$AF13))</f>
        <v>0</v>
      </c>
      <c r="BJ19" s="290">
        <f>SUMPRODUCT(('Intrapartum Care'!$T$7:$T$745=BJ$6)*('Intrapartum Care'!$F$7:$F$745&gt;=Lists!$AE13)*('Intrapartum Care'!$F$7:$F$745&lt;=Lists!$AF13))</f>
        <v>0</v>
      </c>
      <c r="BK19" s="290">
        <f>SUMPRODUCT(('Intrapartum Care'!$T$7:$T$745=BK$6)*('Intrapartum Care'!$F$7:$F$745&gt;=Lists!$AE13)*('Intrapartum Care'!$F$7:$F$745&lt;=Lists!$AF13))</f>
        <v>0</v>
      </c>
      <c r="BL19" s="290">
        <f>SUMPRODUCT(('Intrapartum Care'!$T$7:$T$745=BL$6)*('Intrapartum Care'!$F$7:$F$745&gt;=Lists!$AE13)*('Intrapartum Care'!$F$7:$F$745&lt;=Lists!$AF13))</f>
        <v>0</v>
      </c>
      <c r="BM19" s="227">
        <f t="shared" si="10"/>
        <v>0</v>
      </c>
      <c r="BN19" s="290">
        <f>SUMPRODUCT(('Intrapartum Care'!$U$7:$U$745=BN$6)*('Intrapartum Care'!$F$7:$F$745&gt;=Lists!$AE13)*('Intrapartum Care'!$F$7:$F$745&lt;=Lists!$AF13))</f>
        <v>0</v>
      </c>
      <c r="BO19" s="290">
        <f>SUMPRODUCT(('Intrapartum Care'!$U$7:$U$745=BO$6)*('Intrapartum Care'!$F$7:$F$745&gt;=Lists!$AE13)*('Intrapartum Care'!$F$7:$F$745&lt;=Lists!$AF13))</f>
        <v>0</v>
      </c>
      <c r="BP19" s="290">
        <f>SUMPRODUCT(('Intrapartum Care'!$U$7:$U$745=BP$6)*('Intrapartum Care'!$F$7:$F$745&gt;=Lists!$AE13)*('Intrapartum Care'!$F$7:$F$745&lt;=Lists!$AF13))</f>
        <v>0</v>
      </c>
      <c r="BQ19" s="290">
        <f>SUMPRODUCT(('Intrapartum Care'!$U$7:$U$745=BQ$6)*('Intrapartum Care'!$F$7:$F$745&gt;=Lists!$AE13)*('Intrapartum Care'!$F$7:$F$745&lt;=Lists!$AF13))</f>
        <v>0</v>
      </c>
      <c r="BR19" s="227">
        <f t="shared" si="11"/>
        <v>0</v>
      </c>
      <c r="BS19" s="290">
        <f>SUMPRODUCT(('Intrapartum Care'!$V$7:$V$745=BS$6)*('Intrapartum Care'!$F$7:$F$745&gt;=Lists!$AE13)*('Intrapartum Care'!$F$7:$F$745&lt;=Lists!$AF13))</f>
        <v>0</v>
      </c>
      <c r="BT19" s="290">
        <f>SUMPRODUCT(('Intrapartum Care'!$V$7:$V$745=BT$6)*('Intrapartum Care'!$F$7:$F$745&gt;=Lists!$AE13)*('Intrapartum Care'!$F$7:$F$745&lt;=Lists!$AF13))</f>
        <v>0</v>
      </c>
      <c r="BU19" s="290">
        <f>SUMPRODUCT(('Intrapartum Care'!$V$7:$V$745=BU$6)*('Intrapartum Care'!$F$7:$F$745&gt;=Lists!$AE13)*('Intrapartum Care'!$F$7:$F$745&lt;=Lists!$AF13))</f>
        <v>0</v>
      </c>
      <c r="BV19" s="290">
        <f>SUMPRODUCT(('Intrapartum Care'!$V$7:$V$745=BV$6)*('Intrapartum Care'!$F$7:$F$745&gt;=Lists!$AE13)*('Intrapartum Care'!$F$7:$F$745&lt;=Lists!$AF13))</f>
        <v>0</v>
      </c>
      <c r="BW19" s="290">
        <f>SUMPRODUCT(('Intrapartum Care'!$V$7:$V$745=BW$6)*('Intrapartum Care'!$F$7:$F$745&gt;=Lists!$AE13)*('Intrapartum Care'!$F$7:$F$745&lt;=Lists!$AF13))</f>
        <v>0</v>
      </c>
      <c r="BX19" s="227">
        <f t="shared" si="12"/>
        <v>0</v>
      </c>
      <c r="BY19" s="290">
        <f>SUMPRODUCT(('Intrapartum Care'!$W$7:$W$745=BY$6)*('Intrapartum Care'!$F$7:$F$745&gt;=Lists!$AE13)*('Intrapartum Care'!$F$7:$F$745&lt;=Lists!$AF13))</f>
        <v>0</v>
      </c>
      <c r="BZ19" s="290">
        <f>SUMPRODUCT(('Intrapartum Care'!$W$7:$W$745=BZ$6)*('Intrapartum Care'!$F$7:$F$745&gt;=Lists!$AE13)*('Intrapartum Care'!$F$7:$F$745&lt;=Lists!$AF13))</f>
        <v>0</v>
      </c>
      <c r="CA19" s="290">
        <f>SUMPRODUCT(('Intrapartum Care'!$W$7:$W$745=CA$6)*('Intrapartum Care'!$F$7:$F$745&gt;=Lists!$AE13)*('Intrapartum Care'!$F$7:$F$745&lt;=Lists!$AF13))</f>
        <v>0</v>
      </c>
      <c r="CB19" s="290">
        <f>SUMPRODUCT(('Intrapartum Care'!$W$7:$W$745=CB$6)*('Intrapartum Care'!$F$7:$F$745&gt;=Lists!$AE13)*('Intrapartum Care'!$F$7:$F$745&lt;=Lists!$AF13))</f>
        <v>0</v>
      </c>
      <c r="CC19" s="290">
        <f>SUMPRODUCT(('Intrapartum Care'!$W$7:$W$745=CC$6)*('Intrapartum Care'!$F$7:$F$745&gt;=Lists!$AE13)*('Intrapartum Care'!$F$7:$F$745&lt;=Lists!$AF13))</f>
        <v>0</v>
      </c>
      <c r="CD19" s="227">
        <f>SUM(BY19:CC19)</f>
        <v>0</v>
      </c>
      <c r="CE19" s="290">
        <f>SUMPRODUCT(('Intrapartum Care'!$X$7:$X$745=CE$6)*('Intrapartum Care'!$F$7:$F$745&gt;=Lists!$AE13)*('Intrapartum Care'!$F$7:$F$745&lt;=Lists!$AF13))</f>
        <v>0</v>
      </c>
      <c r="CF19" s="290">
        <f>SUMPRODUCT(('Intrapartum Care'!$X$7:$X$745=CF$6)*('Intrapartum Care'!$F$7:$F$745&gt;=Lists!$AE13)*('Intrapartum Care'!$F$7:$F$745&lt;=Lists!$AF13))</f>
        <v>0</v>
      </c>
      <c r="CG19" s="290">
        <f>SUMPRODUCT(('Intrapartum Care'!$X$7:$X$745=CG$6)*('Intrapartum Care'!$F$7:$F$745&gt;=Lists!$AE13)*('Intrapartum Care'!$F$7:$F$745&lt;=Lists!$AF13))</f>
        <v>0</v>
      </c>
      <c r="CH19" s="290">
        <f>SUMPRODUCT(('Intrapartum Care'!$X$7:$X$745=CH$6)*('Intrapartum Care'!$F$7:$F$745&gt;=Lists!$AE13)*('Intrapartum Care'!$F$7:$F$745&lt;=Lists!$AF13))</f>
        <v>0</v>
      </c>
      <c r="CI19" s="290">
        <f>SUMPRODUCT(('Intrapartum Care'!$X$7:$X$745=CI$6)*('Intrapartum Care'!$F$7:$F$745&gt;=Lists!$AE13)*('Intrapartum Care'!$F$7:$F$745&lt;=Lists!$AF13))</f>
        <v>0</v>
      </c>
      <c r="CJ19" s="290">
        <f>SUMPRODUCT(('Intrapartum Care'!$X$7:$X$745=CJ$6)*('Intrapartum Care'!$F$7:$F$745&gt;=Lists!$AE13)*('Intrapartum Care'!$F$7:$F$745&lt;=Lists!$AF13))</f>
        <v>0</v>
      </c>
      <c r="CK19" s="290">
        <f>SUMPRODUCT(('Intrapartum Care'!$X$7:$X$745=CK$6)*('Intrapartum Care'!$F$7:$F$745&gt;=Lists!$AE13)*('Intrapartum Care'!$F$7:$F$745&lt;=Lists!$AF13))</f>
        <v>0</v>
      </c>
      <c r="CL19" s="227">
        <f t="shared" si="14"/>
        <v>0</v>
      </c>
      <c r="CM19" s="290">
        <f>SUMPRODUCT(('Intrapartum Care'!$Y$7:$Y$745=CM$6)*('Intrapartum Care'!$F$7:$F$745&gt;=Lists!$AE13)*('Intrapartum Care'!$F$7:$F$745&lt;=Lists!$AF13))</f>
        <v>0</v>
      </c>
      <c r="CN19" s="290">
        <f>SUMPRODUCT(('Intrapartum Care'!$Y$7:$Y$745=CN$6)*('Intrapartum Care'!$F$7:$F$745&gt;=Lists!$AE13)*('Intrapartum Care'!$F$7:$F$745&lt;=Lists!$AF13))</f>
        <v>0</v>
      </c>
      <c r="CO19" s="290">
        <f>SUMPRODUCT(('Intrapartum Care'!$Y$7:$Y$745=CO$6)*('Intrapartum Care'!$F$7:$F$745&gt;=Lists!$AE13)*('Intrapartum Care'!$F$7:$F$745&lt;=Lists!$AF13))</f>
        <v>0</v>
      </c>
      <c r="CP19" s="290">
        <f>SUMPRODUCT(('Intrapartum Care'!$Y$7:$Y$745=CP$6)*('Intrapartum Care'!$F$7:$F$745&gt;=Lists!$AE13)*('Intrapartum Care'!$F$7:$F$745&lt;=Lists!$AF13))</f>
        <v>0</v>
      </c>
      <c r="CQ19" s="290">
        <f>SUMPRODUCT(('Intrapartum Care'!$Y$7:$Y$745=CQ$6)*('Intrapartum Care'!$F$7:$F$745&gt;=Lists!$AE13)*('Intrapartum Care'!$F$7:$F$745&lt;=Lists!$AF13))</f>
        <v>0</v>
      </c>
      <c r="CR19" s="290">
        <f>SUMPRODUCT(('Intrapartum Care'!$Y$7:$Y$745=CR$6)*('Intrapartum Care'!$F$7:$F$745&gt;=Lists!$AE13)*('Intrapartum Care'!$F$7:$F$745&lt;=Lists!$AF13))</f>
        <v>0</v>
      </c>
      <c r="CS19" s="227">
        <f t="shared" si="15"/>
        <v>0</v>
      </c>
      <c r="CT19" s="290">
        <f>SUMPRODUCT(('Intrapartum Care'!$Z$7:$Z$745=CT$6)*('Intrapartum Care'!$F$7:$F$745&gt;=Lists!$AE13)*('Intrapartum Care'!$F$7:$F$745&lt;=Lists!$AF13))</f>
        <v>0</v>
      </c>
      <c r="CU19" s="290">
        <f>SUMPRODUCT(('Intrapartum Care'!$Z$7:$Z$745=CU$6)*('Intrapartum Care'!$F$7:$F$745&gt;=Lists!$AE13)*('Intrapartum Care'!$F$7:$F$745&lt;=Lists!$AF13))</f>
        <v>0</v>
      </c>
      <c r="CV19" s="290">
        <f>SUMPRODUCT(('Intrapartum Care'!$Z$7:$Z$745=CV$6)*('Intrapartum Care'!$F$7:$F$745&gt;=Lists!$AE13)*('Intrapartum Care'!$F$7:$F$745&lt;=Lists!$AF13))</f>
        <v>0</v>
      </c>
      <c r="CW19" s="290">
        <f>SUMPRODUCT(('Intrapartum Care'!$Z$7:$Z$745=CW$6)*('Intrapartum Care'!$F$7:$F$745&gt;=Lists!$AE13)*('Intrapartum Care'!$F$7:$F$745&lt;=Lists!$AF13))</f>
        <v>0</v>
      </c>
      <c r="CX19" s="290">
        <f>SUMPRODUCT(('Intrapartum Care'!$Z$7:$Z$745=CX$6)*('Intrapartum Care'!$F$7:$F$745&gt;=Lists!$AE13)*('Intrapartum Care'!$F$7:$F$745&lt;=Lists!$AF13))</f>
        <v>0</v>
      </c>
      <c r="CY19" s="290">
        <f>SUMPRODUCT(('Intrapartum Care'!$Z$7:$Z$745=CY$6)*('Intrapartum Care'!$F$7:$F$745&gt;=Lists!$AE13)*('Intrapartum Care'!$F$7:$F$745&lt;=Lists!$AF13))</f>
        <v>0</v>
      </c>
      <c r="CZ19" s="290">
        <f>SUMPRODUCT(('Intrapartum Care'!$Z$7:$Z$745=CZ$6)*('Intrapartum Care'!$F$7:$F$745&gt;=Lists!$AE13)*('Intrapartum Care'!$F$7:$F$745&lt;=Lists!$AF13))</f>
        <v>0</v>
      </c>
      <c r="DA19" s="290">
        <f>SUMPRODUCT(('Intrapartum Care'!$Z$7:$Z$745=DA$6)*('Intrapartum Care'!$F$7:$F$745&gt;=Lists!$AE13)*('Intrapartum Care'!$F$7:$F$745&lt;=Lists!$AF13))</f>
        <v>0</v>
      </c>
      <c r="DB19" s="227">
        <f t="shared" si="16"/>
        <v>0</v>
      </c>
      <c r="DC19" s="290">
        <f>SUMPRODUCT(('Intrapartum Care'!$AA$7:$AA$745=DC$6)*('Intrapartum Care'!$F$7:$F$745&gt;=Lists!$AE13)*('Intrapartum Care'!$F$7:$F$745&lt;=Lists!$AF13))</f>
        <v>0</v>
      </c>
      <c r="DD19" s="290">
        <f>SUMPRODUCT(('Intrapartum Care'!$AA$7:$AA$745=DD$6)*('Intrapartum Care'!$F$7:$F$745&gt;=Lists!$AE13)*('Intrapartum Care'!$F$7:$F$745&lt;=Lists!$AF13))</f>
        <v>0</v>
      </c>
      <c r="DE19" s="290">
        <f>SUMPRODUCT(('Intrapartum Care'!$AA$7:$AA$745=DE$6)*('Intrapartum Care'!$F$7:$F$745&gt;=Lists!$AE13)*('Intrapartum Care'!$F$7:$F$745&lt;=Lists!$AF13))</f>
        <v>0</v>
      </c>
      <c r="DF19" s="227">
        <f t="shared" si="17"/>
        <v>0</v>
      </c>
      <c r="DG19" s="295">
        <f>SUMPRODUCT(('Intrapartum Care'!$AB$7:$AB$745=DG$6)*('Intrapartum Care'!$F$7:$F$745&gt;=Lists!$AE13)*('Intrapartum Care'!$F$7:$F$745&lt;=Lists!$AF13))</f>
        <v>0</v>
      </c>
      <c r="DH19" s="290">
        <f>SUMPRODUCT(('Intrapartum Care'!$AB$7:$AB$745=DH$6)*('Intrapartum Care'!$F$7:$F$745&gt;=Lists!$AE13)*('Intrapartum Care'!$F$7:$F$745&lt;=Lists!$AF13))</f>
        <v>0</v>
      </c>
      <c r="DI19" s="290">
        <f>SUMPRODUCT(('Intrapartum Care'!$AB$7:$AB$745=DI$6)*('Intrapartum Care'!$F$7:$F$745&gt;=Lists!$AE13)*('Intrapartum Care'!$F$7:$F$745&lt;=Lists!$AF13))</f>
        <v>0</v>
      </c>
      <c r="DJ19" s="290">
        <f>SUMPRODUCT(('Intrapartum Care'!$AB$7:$AB$745=DJ$6)*('Intrapartum Care'!$F$7:$F$745&gt;=Lists!$AE13)*('Intrapartum Care'!$F$7:$F$745&lt;=Lists!$AF13))</f>
        <v>0</v>
      </c>
      <c r="DK19" s="290">
        <f>SUMPRODUCT(('Intrapartum Care'!$AB$7:$AB$745=DK$6)*('Intrapartum Care'!$F$7:$F$745&gt;=Lists!$AE13)*('Intrapartum Care'!$F$7:$F$745&lt;=Lists!$AF13))</f>
        <v>0</v>
      </c>
      <c r="DL19" s="290">
        <f>SUMPRODUCT(('Intrapartum Care'!$AB$7:$AB$745=DL$6)*('Intrapartum Care'!$F$7:$F$745&gt;=Lists!$AE13)*('Intrapartum Care'!$F$7:$F$745&lt;=Lists!$AF13))</f>
        <v>0</v>
      </c>
      <c r="DM19" s="290">
        <f>SUMPRODUCT(('Intrapartum Care'!$AB$7:$AB$745=DM$6)*('Intrapartum Care'!$F$7:$F$745&gt;=Lists!$AE13)*('Intrapartum Care'!$F$7:$F$745&lt;=Lists!$AF13))</f>
        <v>0</v>
      </c>
      <c r="DN19" s="227">
        <f t="shared" si="18"/>
        <v>0</v>
      </c>
      <c r="DO19" s="528">
        <f>SUMPRODUCT(('Intrapartum Care'!$AC$7:$AC$745=DO$6)*('Intrapartum Care'!$F$7:$F$745&gt;=Lists!$AE13)*('Intrapartum Care'!$F$7:$F$745&lt;=Lists!$AF13))</f>
        <v>0</v>
      </c>
      <c r="DP19" s="528">
        <f>SUMPRODUCT(('Intrapartum Care'!$AC$7:$AC$745=DP$6)*('Intrapartum Care'!$F$7:$F$745&gt;=Lists!$AE13)*('Intrapartum Care'!$F$7:$F$745&lt;=Lists!$AF13))</f>
        <v>0</v>
      </c>
      <c r="DQ19" s="528">
        <f>SUMPRODUCT(('Intrapartum Care'!$AC$7:$AC$745=DQ$6)*('Intrapartum Care'!$F$7:$F$745&gt;=Lists!$AE13)*('Intrapartum Care'!$F$7:$F$745&lt;=Lists!$AF13))</f>
        <v>0</v>
      </c>
      <c r="DR19" s="528">
        <f>SUMPRODUCT(('Intrapartum Care'!$AC$7:$AC$745=DR$6)*('Intrapartum Care'!$F$7:$F$745&gt;=Lists!$AE13)*('Intrapartum Care'!$F$7:$F$745&lt;=Lists!$AF13))</f>
        <v>0</v>
      </c>
      <c r="DS19" s="528">
        <f>SUMPRODUCT(('Intrapartum Care'!$AC$7:$AC$745=DS$6)*('Intrapartum Care'!$F$7:$F$745&gt;=Lists!$AE13)*('Intrapartum Care'!$F$7:$F$745&lt;=Lists!$AF13))</f>
        <v>0</v>
      </c>
      <c r="DT19" s="528">
        <f>SUMPRODUCT(('Intrapartum Care'!$AC$7:$AC$745=DT$6)*('Intrapartum Care'!$F$7:$F$745&gt;=Lists!$AE13)*('Intrapartum Care'!$F$7:$F$745&lt;=Lists!$AF13))</f>
        <v>0</v>
      </c>
      <c r="DU19" s="528">
        <f>SUMPRODUCT(('Intrapartum Care'!$AC$7:$AC$745=DU$6)*('Intrapartum Care'!$F$7:$F$745&gt;=Lists!$AE13)*('Intrapartum Care'!$F$7:$F$745&lt;=Lists!$AF13))</f>
        <v>0</v>
      </c>
      <c r="DV19" s="528">
        <f>SUMPRODUCT(('Intrapartum Care'!$AC$7:$AC$745=DV$6)*('Intrapartum Care'!$F$7:$F$745&gt;=Lists!$AE13)*('Intrapartum Care'!$F$7:$F$745&lt;=Lists!$AF13))</f>
        <v>0</v>
      </c>
      <c r="DW19" s="528">
        <f>SUMPRODUCT(('Intrapartum Care'!$AC$7:$AC$745=DW$6)*('Intrapartum Care'!$F$7:$F$745&gt;=Lists!$AE13)*('Intrapartum Care'!$F$7:$F$745&lt;=Lists!$AF13))</f>
        <v>0</v>
      </c>
      <c r="DX19" s="227">
        <f t="shared" si="19"/>
        <v>0</v>
      </c>
      <c r="DY19" s="295">
        <f>SUMPRODUCT(('Intrapartum Care'!$AE$7:$AE$745=DY$6)*('Intrapartum Care'!$F$7:$F$745&gt;=Lists!$AE13)*('Intrapartum Care'!$F$7:$F$745&lt;=Lists!$AF13))</f>
        <v>0</v>
      </c>
      <c r="DZ19" s="295">
        <f>SUMPRODUCT(('Intrapartum Care'!$AE$7:$AE$745=DZ$6)*('Intrapartum Care'!$F$7:$F$745&gt;=Lists!$AE13)*('Intrapartum Care'!$F$7:$F$745&lt;=Lists!$AF13))</f>
        <v>0</v>
      </c>
      <c r="EA19" s="295">
        <f>SUMPRODUCT(('Intrapartum Care'!$AE$7:$AE$745=EA$6)*('Intrapartum Care'!$F$7:$F$745&gt;=Lists!$AE13)*('Intrapartum Care'!$F$7:$F$745&lt;=Lists!$AF13))</f>
        <v>0</v>
      </c>
      <c r="EB19" s="227">
        <f t="shared" si="20"/>
        <v>0</v>
      </c>
      <c r="EC19" s="295">
        <f>SUMPRODUCT(('Intrapartum Care'!$AF$7:$AF$745=EC$6)*('Intrapartum Care'!$F$7:$F$745&gt;=Lists!$AE13)*('Intrapartum Care'!$F$7:$F$745&lt;=Lists!$AF13))</f>
        <v>0</v>
      </c>
      <c r="ED19" s="295">
        <f>SUMPRODUCT(('Intrapartum Care'!$AF$7:$AF$745=ED$6)*('Intrapartum Care'!$F$7:$F$745&gt;=Lists!$AE13)*('Intrapartum Care'!$F$7:$F$745&lt;=Lists!$AF13))</f>
        <v>0</v>
      </c>
      <c r="EE19" s="295">
        <f>SUMPRODUCT(('Intrapartum Care'!$AF$7:$AF$745=EE$6)*('Intrapartum Care'!$F$7:$F$745&gt;=Lists!$AE13)*('Intrapartum Care'!$F$7:$F$745&lt;=Lists!$AF13))</f>
        <v>0</v>
      </c>
      <c r="EF19" s="295">
        <f>SUMPRODUCT(('Intrapartum Care'!$AF$7:$AF$745=EF$6)*('Intrapartum Care'!$F$7:$F$745&gt;=Lists!$AE13)*('Intrapartum Care'!$F$7:$F$745&lt;=Lists!$AF13))</f>
        <v>0</v>
      </c>
      <c r="EG19" s="295">
        <f>SUMPRODUCT(('Intrapartum Care'!$AF$7:$AF$745=EG$6)*('Intrapartum Care'!$F$7:$F$745&gt;=Lists!$AE13)*('Intrapartum Care'!$F$7:$F$745&lt;=Lists!$AF13))</f>
        <v>0</v>
      </c>
      <c r="EH19" s="227">
        <f t="shared" si="21"/>
        <v>0</v>
      </c>
      <c r="EI19" s="295">
        <f>SUMPRODUCT(('Intrapartum Care'!$AG$7:$AG$745=EI$6)*('Intrapartum Care'!$F$7:$F$745&gt;=Lists!$AE13)*('Intrapartum Care'!$F$7:$F$745&lt;=Lists!$AF13))</f>
        <v>0</v>
      </c>
      <c r="EJ19" s="295">
        <f>SUMPRODUCT(('Intrapartum Care'!$AG$7:$AG$745=EJ$6)*('Intrapartum Care'!$F$7:$F$745&gt;=Lists!$AE13)*('Intrapartum Care'!$F$7:$F$745&lt;=Lists!$AF13))</f>
        <v>0</v>
      </c>
      <c r="EK19" s="295">
        <f>SUMPRODUCT(('Intrapartum Care'!$AG$7:$AG$745=EK$6)*('Intrapartum Care'!$F$7:$F$745&gt;=Lists!$AE13)*('Intrapartum Care'!$F$7:$F$745&lt;=Lists!$AF13))</f>
        <v>0</v>
      </c>
      <c r="EL19" s="295">
        <f>SUMPRODUCT(('Intrapartum Care'!$AG$7:$AG$745=EL$6)*('Intrapartum Care'!$F$7:$F$745&gt;=Lists!$AE13)*('Intrapartum Care'!$F$7:$F$745&lt;=Lists!$AF13))</f>
        <v>0</v>
      </c>
      <c r="EM19" s="295">
        <f>SUMPRODUCT(('Intrapartum Care'!$AG$7:$AG$745=EM$6)*('Intrapartum Care'!$F$7:$F$745&gt;=Lists!$AE13)*('Intrapartum Care'!$F$7:$F$745&lt;=Lists!$AF13))</f>
        <v>0</v>
      </c>
      <c r="EN19" s="295">
        <f>SUMPRODUCT(('Intrapartum Care'!$AG$7:$AG$745=EN$6)*('Intrapartum Care'!$F$7:$F$745&gt;=Lists!$AE13)*('Intrapartum Care'!$F$7:$F$745&lt;=Lists!$AF13))</f>
        <v>0</v>
      </c>
      <c r="EO19" s="227">
        <f t="shared" si="22"/>
        <v>0</v>
      </c>
      <c r="EP19" s="295">
        <f>SUMPRODUCT(('Intrapartum Care'!$AH$7:$AH$745=EP$6)*('Intrapartum Care'!$F$7:$F$745&gt;=Lists!$AE13)*('Intrapartum Care'!$F$7:$F$745&lt;=Lists!$AF13))</f>
        <v>0</v>
      </c>
      <c r="EQ19" s="295">
        <f>SUMPRODUCT(('Intrapartum Care'!$AH$7:$AH$745=EQ$6)*('Intrapartum Care'!$F$7:$F$745&gt;=Lists!$AE13)*('Intrapartum Care'!$F$7:$F$745&lt;=Lists!$AF13))</f>
        <v>0</v>
      </c>
      <c r="ER19" s="295">
        <f>SUMPRODUCT(('Intrapartum Care'!$AH$7:$AH$745=ER$6)*('Intrapartum Care'!$F$7:$F$745&gt;=Lists!$AE13)*('Intrapartum Care'!$F$7:$F$745&lt;=Lists!$AF13))</f>
        <v>0</v>
      </c>
      <c r="ES19" s="227">
        <f t="shared" si="23"/>
        <v>0</v>
      </c>
      <c r="ET19" s="290">
        <f>SUMPRODUCT(('Intrapartum Care'!$AK$7:$AK$745=ET$6)*('Intrapartum Care'!$F$7:$F$745&gt;=Lists!$AE13)*('Intrapartum Care'!$F$7:$F$745&lt;=Lists!$AF13))</f>
        <v>0</v>
      </c>
      <c r="EU19" s="290">
        <f>SUMPRODUCT(('Intrapartum Care'!$AK$7:$AK$745=EU$6)*('Intrapartum Care'!$F$7:$F$745&gt;=Lists!$AE13)*('Intrapartum Care'!$F$7:$F$745&lt;=Lists!$AF13))</f>
        <v>0</v>
      </c>
      <c r="EV19" s="290">
        <f>SUMPRODUCT(('Intrapartum Care'!$AK$7:$AK$745=EV$6)*('Intrapartum Care'!$F$7:$F$745&gt;=Lists!$AE13)*('Intrapartum Care'!$F$7:$F$745&lt;=Lists!$AF13))</f>
        <v>0</v>
      </c>
      <c r="EW19" s="227">
        <f t="shared" si="24"/>
        <v>0</v>
      </c>
      <c r="EX19" s="290">
        <f>SUMPRODUCT(('Intrapartum Care'!$AL$7:$AL$745=EX$6)*('Intrapartum Care'!$F$7:$F$745&gt;=Lists!$AE13)*('Intrapartum Care'!$F$7:$F$745&lt;=Lists!$AF13))</f>
        <v>0</v>
      </c>
      <c r="EY19" s="290">
        <f>SUMPRODUCT(('Intrapartum Care'!$AL$7:$AL$745=EY$6)*('Intrapartum Care'!$F$7:$F$745&gt;=Lists!$AE13)*('Intrapartum Care'!$F$7:$F$745&lt;=Lists!$AF13))</f>
        <v>0</v>
      </c>
      <c r="EZ19" s="290">
        <f>SUMPRODUCT(('Intrapartum Care'!$AL$7:$AL$745=EZ$6)*('Intrapartum Care'!$F$7:$F$745&gt;=Lists!$AE13)*('Intrapartum Care'!$F$7:$F$745&lt;=Lists!$AF13))</f>
        <v>0</v>
      </c>
      <c r="FA19" s="227">
        <f t="shared" si="0"/>
        <v>0</v>
      </c>
      <c r="FB19" s="290">
        <f>SUMPRODUCT(('Intrapartum Care'!$AM$7:$AM$745=FB$6)*('Intrapartum Care'!$F$7:$F$745&gt;=Lists!$AE13)*('Intrapartum Care'!$F$7:$F$745&lt;=Lists!$AF13))</f>
        <v>0</v>
      </c>
      <c r="FC19" s="290">
        <f>SUMPRODUCT(('Intrapartum Care'!$AM$7:$AM$745=FC$6)*('Intrapartum Care'!$F$7:$F$745&gt;=Lists!$AE13)*('Intrapartum Care'!$F$7:$F$745&lt;=Lists!$AF13))</f>
        <v>0</v>
      </c>
      <c r="FD19" s="290">
        <f>SUMPRODUCT(('Intrapartum Care'!$AM$7:$AM$745=FD$6)*('Intrapartum Care'!$F$7:$F$745&gt;=Lists!$AE13)*('Intrapartum Care'!$F$7:$F$745&lt;=Lists!$AF13))</f>
        <v>0</v>
      </c>
      <c r="FE19" s="290">
        <f>SUMPRODUCT(('Intrapartum Care'!$AM$7:$AM$745=FE$6)*('Intrapartum Care'!$F$7:$F$745&gt;=Lists!$AE13)*('Intrapartum Care'!$F$7:$F$745&lt;=Lists!$AF13))</f>
        <v>0</v>
      </c>
      <c r="FF19" s="290">
        <f>SUMPRODUCT(('Intrapartum Care'!$AM$7:$AM$745=FF$6)*('Intrapartum Care'!$F$7:$F$745&gt;=Lists!$AE13)*('Intrapartum Care'!$F$7:$F$745&lt;=Lists!$AF13))</f>
        <v>0</v>
      </c>
      <c r="FG19" s="227">
        <f t="shared" si="25"/>
        <v>0</v>
      </c>
      <c r="FH19" s="290">
        <f>SUMPRODUCT(('Intrapartum Care'!$AN$7:$AN$745=FH$6)*('Intrapartum Care'!$F$7:$F$745&gt;=Lists!$AE13)*('Intrapartum Care'!$F$7:$F$745&lt;=Lists!$AF13))</f>
        <v>0</v>
      </c>
      <c r="FI19" s="290">
        <f>SUMPRODUCT(('Intrapartum Care'!$AN$7:$AN$745=FI$6)*('Intrapartum Care'!$F$7:$F$745&gt;=Lists!$AE13)*('Intrapartum Care'!$F$7:$F$745&lt;=Lists!$AF13))</f>
        <v>0</v>
      </c>
      <c r="FJ19" s="290">
        <f>SUMPRODUCT(('Intrapartum Care'!$AN$7:$AN$745=FJ$6)*('Intrapartum Care'!$F$7:$F$745&gt;=Lists!$AE13)*('Intrapartum Care'!$F$7:$F$745&lt;=Lists!$AF13))</f>
        <v>0</v>
      </c>
      <c r="FK19" s="290">
        <f>SUMPRODUCT(('Intrapartum Care'!$AN$7:$AN$745=FK$6)*('Intrapartum Care'!$F$7:$F$745&gt;=Lists!$AE13)*('Intrapartum Care'!$F$7:$F$745&lt;=Lists!$AF13))</f>
        <v>0</v>
      </c>
      <c r="FL19" s="227">
        <f t="shared" si="26"/>
        <v>0</v>
      </c>
      <c r="FM19" s="290">
        <f>SUMPRODUCT(('Intrapartum Care'!$AS$7:$AS$745=FM$6)*('Intrapartum Care'!$F$7:$F$745&gt;=Lists!$AE13)*('Intrapartum Care'!$F$7:$F$745&lt;=Lists!$AF13))</f>
        <v>0</v>
      </c>
      <c r="FN19" s="290">
        <f>SUMPRODUCT(('Intrapartum Care'!$AS$7:$AS$745=FN$6)*('Intrapartum Care'!$F$7:$F$745&gt;=Lists!$AE13)*('Intrapartum Care'!$F$7:$F$745&lt;=Lists!$AF13))</f>
        <v>0</v>
      </c>
      <c r="FO19" s="290">
        <f>SUMPRODUCT(('Intrapartum Care'!$AS$7:$AS$745=FO$6)*('Intrapartum Care'!$F$7:$F$745&gt;=Lists!$AE13)*('Intrapartum Care'!$F$7:$F$745&lt;=Lists!$AF13))</f>
        <v>0</v>
      </c>
      <c r="FP19" s="290">
        <f>SUMPRODUCT(('Intrapartum Care'!$AS$7:$AS$745=FP$6)*('Intrapartum Care'!$F$7:$F$745&gt;=Lists!$AE13)*('Intrapartum Care'!$F$7:$F$745&lt;=Lists!$AF13))</f>
        <v>0</v>
      </c>
      <c r="FQ19" s="227">
        <f t="shared" si="27"/>
        <v>0</v>
      </c>
      <c r="FR19" s="290">
        <f>SUMPRODUCT(('Intrapartum Care'!$AZ$7:$AZ$745=FR$6)*('Intrapartum Care'!$F$7:$F$745&gt;=Lists!$AE13)*('Intrapartum Care'!$F$7:$F$745&lt;=Lists!$AF13))</f>
        <v>0</v>
      </c>
      <c r="FS19" s="290">
        <f>SUMPRODUCT(('Intrapartum Care'!$AZ$7:$AZ$745=FS$6)*('Intrapartum Care'!$F$7:$F$745&gt;=Lists!$AE13)*('Intrapartum Care'!$F$7:$F$745&lt;=Lists!$AF13))</f>
        <v>0</v>
      </c>
      <c r="FT19" s="290">
        <f>SUMPRODUCT(('Intrapartum Care'!$AZ$7:$AZ$745=FT$6)*('Intrapartum Care'!$F$7:$F$745&gt;=Lists!$AE13)*('Intrapartum Care'!$F$7:$F$745&lt;=Lists!$AF13))</f>
        <v>0</v>
      </c>
      <c r="FU19" s="227">
        <f t="shared" si="28"/>
        <v>0</v>
      </c>
      <c r="FV19" s="290">
        <f>SUMPRODUCT(('Intrapartum Care'!$BA$7:$BA$745=FV$6)*('Intrapartum Care'!$F$7:$F$745&gt;=Lists!$AE13)*('Intrapartum Care'!$F$7:$F$745&lt;=Lists!$AF13))</f>
        <v>0</v>
      </c>
      <c r="FW19" s="290">
        <f>SUMPRODUCT(('Intrapartum Care'!$BA$7:$BA$745=FW$6)*('Intrapartum Care'!$F$7:$F$745&gt;=Lists!$AE13)*('Intrapartum Care'!$F$7:$F$745&lt;=Lists!$AF13))</f>
        <v>0</v>
      </c>
      <c r="FX19" s="290">
        <f>SUMPRODUCT(('Intrapartum Care'!$BA$7:$BA$745=FX$6)*('Intrapartum Care'!$F$7:$F$745&gt;=Lists!$AE13)*('Intrapartum Care'!$F$7:$F$745&lt;=Lists!$AF13))</f>
        <v>0</v>
      </c>
      <c r="FY19" s="227">
        <f t="shared" si="29"/>
        <v>0</v>
      </c>
      <c r="FZ19" s="290">
        <f>SUMPRODUCT(('Intrapartum Care'!$BB$7:$BB$745=FZ$6)*('Intrapartum Care'!$F$7:$F$745&gt;=Lists!$AE13)*('Intrapartum Care'!$F$7:$F$745&lt;=Lists!$AF13))</f>
        <v>0</v>
      </c>
      <c r="GA19" s="290">
        <f>SUMPRODUCT(('Intrapartum Care'!$BB$7:$BB$745=GA$6)*('Intrapartum Care'!$F$7:$F$745&gt;=Lists!$AE13)*('Intrapartum Care'!$F$7:$F$745&lt;=Lists!$AF13))</f>
        <v>0</v>
      </c>
      <c r="GB19" s="290">
        <f>SUMPRODUCT(('Intrapartum Care'!$BB$7:$BB$745=GB$6)*('Intrapartum Care'!$F$7:$F$745&gt;=Lists!$AE13)*('Intrapartum Care'!$F$7:$F$745&lt;=Lists!$AF13))</f>
        <v>0</v>
      </c>
      <c r="GC19" s="290">
        <f>SUMPRODUCT(('Intrapartum Care'!$BB$7:$BB$745=GC$6)*('Intrapartum Care'!$F$7:$F$745&gt;=Lists!$AE13)*('Intrapartum Care'!$F$7:$F$745&lt;=Lists!$AF13))</f>
        <v>0</v>
      </c>
      <c r="GD19" s="290">
        <f>SUMPRODUCT(('Intrapartum Care'!$BB$7:$BB$745=GD$6)*('Intrapartum Care'!$F$7:$F$745&gt;=Lists!$AE13)*('Intrapartum Care'!$F$7:$F$745&lt;=Lists!$AF13))</f>
        <v>0</v>
      </c>
      <c r="GE19" s="290">
        <f>SUMPRODUCT(('Intrapartum Care'!$BB$7:$BB$745=GE$6)*('Intrapartum Care'!$F$7:$F$745&gt;=Lists!$AE13)*('Intrapartum Care'!$F$7:$F$745&lt;=Lists!$AF13))</f>
        <v>0</v>
      </c>
      <c r="GF19" s="290">
        <f>SUMPRODUCT(('Intrapartum Care'!$BB$7:$BB$745=GF$6)*('Intrapartum Care'!$F$7:$F$745&gt;=Lists!$AE13)*('Intrapartum Care'!$F$7:$F$745&lt;=Lists!$AF13))</f>
        <v>0</v>
      </c>
      <c r="GG19" s="290">
        <f>SUMPRODUCT(('Intrapartum Care'!$BB$7:$BB$745=GG$6)*('Intrapartum Care'!$F$7:$F$745&gt;=Lists!$AE13)*('Intrapartum Care'!$F$7:$F$745&lt;=Lists!$AF13))</f>
        <v>0</v>
      </c>
      <c r="GH19" s="290">
        <f>SUMPRODUCT(('Intrapartum Care'!$BB$7:$BB$745=GH$6)*('Intrapartum Care'!$F$7:$F$745&gt;=Lists!$AE13)*('Intrapartum Care'!$F$7:$F$745&lt;=Lists!$AF13))</f>
        <v>0</v>
      </c>
      <c r="GI19" s="290">
        <f>SUMPRODUCT(('Intrapartum Care'!$BB$7:$BB$745=GI$6)*('Intrapartum Care'!$F$7:$F$745&gt;=Lists!$AE13)*('Intrapartum Care'!$F$7:$F$745&lt;=Lists!$AF13))</f>
        <v>0</v>
      </c>
      <c r="GJ19" s="290">
        <f>SUMPRODUCT(('Intrapartum Care'!$BB$7:$BB$745=GJ$6)*('Intrapartum Care'!$F$7:$F$745&gt;=Lists!$AE13)*('Intrapartum Care'!$F$7:$F$745&lt;=Lists!$AF13))</f>
        <v>0</v>
      </c>
      <c r="GK19" s="290">
        <f>SUMPRODUCT(('Intrapartum Care'!$BB$7:$BB$745=GK$6)*('Intrapartum Care'!$F$7:$F$745&gt;=Lists!$AE13)*('Intrapartum Care'!$F$7:$F$745&lt;=Lists!$AF13))</f>
        <v>0</v>
      </c>
      <c r="GL19" s="290">
        <f>SUMPRODUCT(('Intrapartum Care'!$BB$7:$BB$745=GL$6)*('Intrapartum Care'!$F$7:$F$745&gt;=Lists!$AE13)*('Intrapartum Care'!$F$7:$F$745&lt;=Lists!$AF13))</f>
        <v>0</v>
      </c>
      <c r="GM19" s="290">
        <f>SUMPRODUCT(('Intrapartum Care'!$BB$7:$BB$745=GM$6)*('Intrapartum Care'!$F$7:$F$745&gt;=Lists!$AE13)*('Intrapartum Care'!$F$7:$F$745&lt;=Lists!$AF13))</f>
        <v>0</v>
      </c>
      <c r="GN19" s="290">
        <f>SUMPRODUCT(('Intrapartum Care'!$BB$7:$BB$745=GN$6)*('Intrapartum Care'!$F$7:$F$745&gt;=Lists!$AE13)*('Intrapartum Care'!$F$7:$F$745&lt;=Lists!$AF13))</f>
        <v>0</v>
      </c>
      <c r="GO19" s="290">
        <f>SUMPRODUCT(('Intrapartum Care'!$BB$7:$BB$745=GO$6)*('Intrapartum Care'!$F$7:$F$745&gt;=Lists!$AE13)*('Intrapartum Care'!$F$7:$F$745&lt;=Lists!$AF13))</f>
        <v>0</v>
      </c>
      <c r="GP19" s="290">
        <f>SUMPRODUCT(('Intrapartum Care'!$BB$7:$BB$745=GP$6)*('Intrapartum Care'!$F$7:$F$745&gt;=Lists!$AE13)*('Intrapartum Care'!$F$7:$F$745&lt;=Lists!$AF13))</f>
        <v>0</v>
      </c>
      <c r="GQ19" s="290">
        <f>SUMPRODUCT(('Intrapartum Care'!$BB$7:$BB$745=GQ$6)*('Intrapartum Care'!$F$7:$F$745&gt;=Lists!$AE13)*('Intrapartum Care'!$F$7:$F$745&lt;=Lists!$AF13))</f>
        <v>0</v>
      </c>
      <c r="GR19" s="290">
        <f>SUMPRODUCT(('Intrapartum Care'!$BB$7:$BB$745=GR$6)*('Intrapartum Care'!$F$7:$F$745&gt;=Lists!$AE13)*('Intrapartum Care'!$F$7:$F$745&lt;=Lists!$AF13))</f>
        <v>0</v>
      </c>
      <c r="GS19" s="290">
        <f>SUMPRODUCT(('Intrapartum Care'!$BB$7:$BB$745=GS$6)*('Intrapartum Care'!$F$7:$F$745&gt;=Lists!$AE13)*('Intrapartum Care'!$F$7:$F$745&lt;=Lists!$AF13))</f>
        <v>0</v>
      </c>
      <c r="GT19" s="227">
        <f t="shared" si="30"/>
        <v>0</v>
      </c>
      <c r="GU19" s="290">
        <f>SUMPRODUCT(('Intrapartum Care'!$BC$7:$BC$745=GU$6)*('Intrapartum Care'!$F$7:$F$745&gt;=Lists!$AE13)*('Intrapartum Care'!$F$7:$F$745&lt;=Lists!$AF13))</f>
        <v>0</v>
      </c>
      <c r="GV19" s="290">
        <f>SUMPRODUCT(('Intrapartum Care'!$BC$7:$BC$745=GV$6)*('Intrapartum Care'!$F$7:$F$745&gt;=Lists!$AE13)*('Intrapartum Care'!$F$7:$F$745&lt;=Lists!$AF13))</f>
        <v>0</v>
      </c>
      <c r="GW19" s="290">
        <f>SUMPRODUCT(('Intrapartum Care'!$BC$7:$BC$745=GW$6)*('Intrapartum Care'!$F$7:$F$745&gt;=Lists!$AE13)*('Intrapartum Care'!$F$7:$F$745&lt;=Lists!$AF13))</f>
        <v>0</v>
      </c>
      <c r="GX19" s="290">
        <f>SUMPRODUCT(('Intrapartum Care'!$BC$7:$BC$745=GX$6)*('Intrapartum Care'!$F$7:$F$745&gt;=Lists!$AE13)*('Intrapartum Care'!$F$7:$F$745&lt;=Lists!$AF13))</f>
        <v>0</v>
      </c>
      <c r="GY19" s="290">
        <f>SUMPRODUCT(('Intrapartum Care'!$BC$7:$BC$745=GY$6)*('Intrapartum Care'!$F$7:$F$745&gt;=Lists!$AE13)*('Intrapartum Care'!$F$7:$F$745&lt;=Lists!$AF13))</f>
        <v>0</v>
      </c>
      <c r="GZ19" s="290">
        <f>SUMPRODUCT(('Intrapartum Care'!$BC$7:$BC$745=GZ$6)*('Intrapartum Care'!$F$7:$F$745&gt;=Lists!$AE13)*('Intrapartum Care'!$F$7:$F$745&lt;=Lists!$AF13))</f>
        <v>0</v>
      </c>
      <c r="HA19" s="290">
        <f>SUMPRODUCT(('Intrapartum Care'!$BC$7:$BC$745=HA$6)*('Intrapartum Care'!$F$7:$F$745&gt;=Lists!$AE13)*('Intrapartum Care'!$F$7:$F$745&lt;=Lists!$AF13))</f>
        <v>0</v>
      </c>
      <c r="HB19" s="290">
        <f>SUMPRODUCT(('Intrapartum Care'!$BC$7:$BC$745=HB$6)*('Intrapartum Care'!$F$7:$F$745&gt;=Lists!$AE13)*('Intrapartum Care'!$F$7:$F$745&lt;=Lists!$AF13))</f>
        <v>0</v>
      </c>
      <c r="HC19" s="290">
        <f>SUMPRODUCT(('Intrapartum Care'!$BC$7:$BC$745=HC$6)*('Intrapartum Care'!$F$7:$F$745&gt;=Lists!$AE13)*('Intrapartum Care'!$F$7:$F$745&lt;=Lists!$AF13))</f>
        <v>0</v>
      </c>
      <c r="HD19" s="290">
        <f>SUMPRODUCT(('Intrapartum Care'!$BC$7:$BC$745=HD$6)*('Intrapartum Care'!$F$7:$F$745&gt;=Lists!$AE13)*('Intrapartum Care'!$F$7:$F$745&lt;=Lists!$AF13))</f>
        <v>0</v>
      </c>
      <c r="HE19" s="290">
        <f>SUMPRODUCT(('Intrapartum Care'!$BC$7:$BC$745=HE$6)*('Intrapartum Care'!$F$7:$F$745&gt;=Lists!$AE13)*('Intrapartum Care'!$F$7:$F$745&lt;=Lists!$AF13))</f>
        <v>0</v>
      </c>
      <c r="HF19" s="227">
        <f t="shared" si="31"/>
        <v>0</v>
      </c>
      <c r="HG19" s="290">
        <f>SUMPRODUCT(('Intrapartum Care'!$BD$7:$BD$745=HG$6)*('Intrapartum Care'!$F$7:$F$745&gt;=Lists!$AE13)*('Intrapartum Care'!$F$7:$F$745&lt;=Lists!$AF13))</f>
        <v>0</v>
      </c>
      <c r="HH19" s="290">
        <f>SUMPRODUCT(('Intrapartum Care'!$BD$7:$BD$745=HH$6)*('Intrapartum Care'!$F$7:$F$745&gt;=Lists!$AE13)*('Intrapartum Care'!$F$7:$F$745&lt;=Lists!$AF13))</f>
        <v>0</v>
      </c>
      <c r="HI19" s="290">
        <f>SUMPRODUCT(('Intrapartum Care'!$BD$7:$BD$745=HI$6)*('Intrapartum Care'!$F$7:$F$745&gt;=Lists!$AE13)*('Intrapartum Care'!$F$7:$F$745&lt;=Lists!$AF13))</f>
        <v>0</v>
      </c>
      <c r="HJ19" s="290">
        <f>SUMPRODUCT(('Intrapartum Care'!$BD$7:$BD$745=HJ$6)*('Intrapartum Care'!$F$7:$F$745&gt;=Lists!$AE13)*('Intrapartum Care'!$F$7:$F$745&lt;=Lists!$AF13))</f>
        <v>0</v>
      </c>
      <c r="HK19" s="290">
        <f>SUMPRODUCT(('Intrapartum Care'!$BD$7:$BD$745=HK$6)*('Intrapartum Care'!$F$7:$F$745&gt;=Lists!$AE13)*('Intrapartum Care'!$F$7:$F$745&lt;=Lists!$AF13))</f>
        <v>0</v>
      </c>
      <c r="HL19" s="290">
        <f>SUMPRODUCT(('Intrapartum Care'!$BD$7:$BD$745=HL$6)*('Intrapartum Care'!$F$7:$F$745&gt;=Lists!$AE13)*('Intrapartum Care'!$F$7:$F$745&lt;=Lists!$AF13))</f>
        <v>0</v>
      </c>
      <c r="HM19" s="290">
        <f>SUMPRODUCT(('Intrapartum Care'!$BD$7:$BD$745=HM$6)*('Intrapartum Care'!$F$7:$F$745&gt;=Lists!$AE13)*('Intrapartum Care'!$F$7:$F$745&lt;=Lists!$AF13))</f>
        <v>0</v>
      </c>
      <c r="HN19" s="290">
        <f>SUMPRODUCT(('Intrapartum Care'!$BD$7:$BD$745=HN$6)*('Intrapartum Care'!$F$7:$F$745&gt;=Lists!$AE13)*('Intrapartum Care'!$F$7:$F$745&lt;=Lists!$AF13))</f>
        <v>0</v>
      </c>
      <c r="HO19" s="290">
        <f>SUMPRODUCT(('Intrapartum Care'!$BD$7:$BD$745=HO$6)*('Intrapartum Care'!$F$7:$F$745&gt;=Lists!$AE13)*('Intrapartum Care'!$F$7:$F$745&lt;=Lists!$AF13))</f>
        <v>0</v>
      </c>
      <c r="HP19" s="290">
        <f>SUMPRODUCT(('Intrapartum Care'!$BD$7:$BD$745=HP$6)*('Intrapartum Care'!$F$7:$F$745&gt;=Lists!$AE13)*('Intrapartum Care'!$F$7:$F$745&lt;=Lists!$AF13))</f>
        <v>0</v>
      </c>
      <c r="HQ19" s="290">
        <f>SUMPRODUCT(('Intrapartum Care'!$BD$7:$BD$745=HQ$6)*('Intrapartum Care'!$F$7:$F$745&gt;=Lists!$AE13)*('Intrapartum Care'!$F$7:$F$745&lt;=Lists!$AF13))</f>
        <v>0</v>
      </c>
      <c r="HR19" s="290">
        <f>SUMPRODUCT(('Intrapartum Care'!$BD$7:$BD$745=HR$6)*('Intrapartum Care'!$F$7:$F$745&gt;=Lists!$AE13)*('Intrapartum Care'!$F$7:$F$745&lt;=Lists!$AF13))</f>
        <v>0</v>
      </c>
      <c r="HS19" s="290">
        <f>SUMPRODUCT(('Intrapartum Care'!$BD$7:$BD$745=HS$6)*('Intrapartum Care'!$F$7:$F$745&gt;=Lists!$AE13)*('Intrapartum Care'!$F$7:$F$745&lt;=Lists!$AF13))</f>
        <v>0</v>
      </c>
      <c r="HT19" s="290">
        <f>SUMPRODUCT(('Intrapartum Care'!$BD$7:$BD$745=HT$6)*('Intrapartum Care'!$F$7:$F$745&gt;=Lists!$AE13)*('Intrapartum Care'!$F$7:$F$745&lt;=Lists!$AF13))</f>
        <v>0</v>
      </c>
      <c r="HU19" s="290">
        <f>SUMPRODUCT(('Intrapartum Care'!$BD$7:$BD$745=HU$6)*('Intrapartum Care'!$F$7:$F$745&gt;=Lists!$AE13)*('Intrapartum Care'!$F$7:$F$745&lt;=Lists!$AF13))</f>
        <v>0</v>
      </c>
      <c r="HV19" s="290">
        <f>SUMPRODUCT(('Intrapartum Care'!$BD$7:$BD$745=HV$6)*('Intrapartum Care'!$F$7:$F$745&gt;=Lists!$AE13)*('Intrapartum Care'!$F$7:$F$745&lt;=Lists!$AF13))</f>
        <v>0</v>
      </c>
      <c r="HW19" s="290">
        <f>SUMPRODUCT(('Intrapartum Care'!$BD$7:$BD$745=HW$6)*('Intrapartum Care'!$F$7:$F$745&gt;=Lists!$AE13)*('Intrapartum Care'!$F$7:$F$745&lt;=Lists!$AF13))</f>
        <v>0</v>
      </c>
      <c r="HX19" s="290">
        <f>SUMPRODUCT(('Intrapartum Care'!$BD$7:$BD$745=HX$6)*('Intrapartum Care'!$F$7:$F$745&gt;=Lists!$AE13)*('Intrapartum Care'!$F$7:$F$745&lt;=Lists!$AF13))</f>
        <v>0</v>
      </c>
      <c r="HY19" s="290">
        <f>SUMPRODUCT(('Intrapartum Care'!$BD$7:$BD$745=HY$6)*('Intrapartum Care'!$F$7:$F$745&gt;=Lists!$AE13)*('Intrapartum Care'!$F$7:$F$745&lt;=Lists!$AF13))</f>
        <v>0</v>
      </c>
      <c r="HZ19" s="290">
        <f>SUMPRODUCT(('Intrapartum Care'!$BD$7:$BD$745=HZ$6)*('Intrapartum Care'!$F$7:$F$745&gt;=Lists!$AE13)*('Intrapartum Care'!$F$7:$F$745&lt;=Lists!$AF13))</f>
        <v>0</v>
      </c>
      <c r="IA19" s="290">
        <f>SUMPRODUCT(('Intrapartum Care'!$BD$7:$BD$745=IA$6)*('Intrapartum Care'!$F$7:$F$745&gt;=Lists!$AE13)*('Intrapartum Care'!$F$7:$F$745&lt;=Lists!$AF13))</f>
        <v>0</v>
      </c>
      <c r="IB19" s="290">
        <f>SUMPRODUCT(('Intrapartum Care'!$BD$7:$BD$745=IB$6)*('Intrapartum Care'!$F$7:$F$745&gt;=Lists!$AE13)*('Intrapartum Care'!$F$7:$F$745&lt;=Lists!$AF13))</f>
        <v>0</v>
      </c>
      <c r="IC19" s="290">
        <f>SUMPRODUCT(('Intrapartum Care'!$BD$7:$BD$745=IC$6)*('Intrapartum Care'!$F$7:$F$745&gt;=Lists!$AE13)*('Intrapartum Care'!$F$7:$F$745&lt;=Lists!$AF13))</f>
        <v>0</v>
      </c>
      <c r="ID19" s="290">
        <f>SUMPRODUCT(('Intrapartum Care'!$BD$7:$BD$745=ID$6)*('Intrapartum Care'!$F$7:$F$745&gt;=Lists!$AE13)*('Intrapartum Care'!$F$7:$F$745&lt;=Lists!$AF13))</f>
        <v>0</v>
      </c>
      <c r="IE19" s="290">
        <f>SUMPRODUCT(('Intrapartum Care'!$BD$7:$BD$745=IE$6)*('Intrapartum Care'!$F$7:$F$745&gt;=Lists!$AE13)*('Intrapartum Care'!$F$7:$F$745&lt;=Lists!$AF13))</f>
        <v>0</v>
      </c>
      <c r="IF19" s="290">
        <f>SUMPRODUCT(('Intrapartum Care'!$BD$7:$BD$745=IF$6)*('Intrapartum Care'!$F$7:$F$745&gt;=Lists!$AE13)*('Intrapartum Care'!$F$7:$F$745&lt;=Lists!$AF13))</f>
        <v>0</v>
      </c>
      <c r="IG19" s="290">
        <f>SUMPRODUCT(('Intrapartum Care'!$BD$7:$BD$745=IG$6)*('Intrapartum Care'!$F$7:$F$745&gt;=Lists!$AE13)*('Intrapartum Care'!$F$7:$F$745&lt;=Lists!$AF13))</f>
        <v>0</v>
      </c>
      <c r="IH19" s="290">
        <f>SUMPRODUCT(('Intrapartum Care'!$BD$7:$BD$745=IH$6)*('Intrapartum Care'!$F$7:$F$745&gt;=Lists!$AE13)*('Intrapartum Care'!$F$7:$F$745&lt;=Lists!$AF13))</f>
        <v>0</v>
      </c>
      <c r="II19" s="227">
        <f t="shared" si="32"/>
        <v>0</v>
      </c>
      <c r="IJ19" s="290">
        <f>SUMPRODUCT(('Intrapartum Care'!$BE$7:$BE$745=IJ$6)*('Intrapartum Care'!$F$7:$F$745&gt;=Lists!$AE13)*('Intrapartum Care'!$F$7:$F$745&lt;=Lists!$AF13))</f>
        <v>0</v>
      </c>
      <c r="IK19" s="290">
        <f>SUMPRODUCT(('Intrapartum Care'!$BE$7:$BE$745=IK$6)*('Intrapartum Care'!$F$7:$F$745&gt;=Lists!$AE13)*('Intrapartum Care'!$F$7:$F$745&lt;=Lists!$AF13))</f>
        <v>0</v>
      </c>
      <c r="IL19" s="290">
        <f>SUMPRODUCT(('Intrapartum Care'!$BE$7:$BE$745=IL$6)*('Intrapartum Care'!$F$7:$F$745&gt;=Lists!$AE13)*('Intrapartum Care'!$F$7:$F$745&lt;=Lists!$AF13))</f>
        <v>0</v>
      </c>
      <c r="IM19" s="290">
        <f>SUMPRODUCT(('Intrapartum Care'!$BE$7:$BE$745=IM$6)*('Intrapartum Care'!$F$7:$F$745&gt;=Lists!$AE13)*('Intrapartum Care'!$F$7:$F$745&lt;=Lists!$AF13))</f>
        <v>0</v>
      </c>
      <c r="IN19" s="290">
        <f>SUMPRODUCT(('Intrapartum Care'!$BE$7:$BE$745=IN$6)*('Intrapartum Care'!$F$7:$F$745&gt;=Lists!$AE13)*('Intrapartum Care'!$F$7:$F$745&lt;=Lists!$AF13))</f>
        <v>0</v>
      </c>
      <c r="IO19" s="290">
        <f>SUMPRODUCT(('Intrapartum Care'!$BE$7:$BE$745=IO$6)*('Intrapartum Care'!$F$7:$F$745&gt;=Lists!$AE13)*('Intrapartum Care'!$F$7:$F$745&lt;=Lists!$AF13))</f>
        <v>0</v>
      </c>
      <c r="IP19" s="290">
        <f>SUMPRODUCT(('Intrapartum Care'!$BE$7:$BE$745=IP$6)*('Intrapartum Care'!$F$7:$F$745&gt;=Lists!$AE13)*('Intrapartum Care'!$F$7:$F$745&lt;=Lists!$AF13))</f>
        <v>0</v>
      </c>
      <c r="IQ19" s="171">
        <f t="shared" si="33"/>
        <v>0</v>
      </c>
      <c r="IR19" s="290">
        <f>SUMPRODUCT(('Intrapartum Care'!$BF$7:$BF$745=IR$6)*('Intrapartum Care'!$F$7:$F$745&gt;=Lists!$AE13)*('Intrapartum Care'!$F$7:$F$745&lt;=Lists!$AF13))</f>
        <v>0</v>
      </c>
      <c r="IS19" s="290">
        <f>SUMPRODUCT(('Intrapartum Care'!$BF$7:$BF$745=IS$6)*('Intrapartum Care'!$F$7:$F$745&gt;=Lists!$AE13)*('Intrapartum Care'!$F$7:$F$745&lt;=Lists!$AF13))</f>
        <v>0</v>
      </c>
      <c r="IT19" s="290">
        <f>SUMPRODUCT(('Intrapartum Care'!$BF$7:$BF$745=IT$6)*('Intrapartum Care'!$F$7:$F$745&gt;=Lists!$AE13)*('Intrapartum Care'!$F$7:$F$745&lt;=Lists!$AF13))</f>
        <v>0</v>
      </c>
      <c r="IU19" s="290">
        <f>SUMPRODUCT(('Intrapartum Care'!$BF$7:$BF$745=IU$6)*('Intrapartum Care'!$F$7:$F$745&gt;=Lists!$AE13)*('Intrapartum Care'!$F$7:$F$745&lt;=Lists!$AF13))</f>
        <v>0</v>
      </c>
      <c r="IV19" s="171">
        <f t="shared" si="34"/>
        <v>0</v>
      </c>
      <c r="IW19" s="290">
        <f>SUMPRODUCT(('Intrapartum Care'!$BH$7:$BH$745=IW$6)*('Intrapartum Care'!$F$7:$F$745&gt;=Lists!$AE13)*('Intrapartum Care'!$F$7:$F$745&lt;=Lists!$AF13))</f>
        <v>0</v>
      </c>
      <c r="IX19" s="290">
        <f>SUMPRODUCT(('Intrapartum Care'!$BH$7:$BH$745=IX$6)*('Intrapartum Care'!$F$7:$F$745&gt;=Lists!$AE13)*('Intrapartum Care'!$F$7:$F$745&lt;=Lists!$AF13))</f>
        <v>0</v>
      </c>
      <c r="IY19" s="290">
        <f>SUMPRODUCT(('Intrapartum Care'!$BH$7:$BH$745=IY$6)*('Intrapartum Care'!$F$7:$F$745&gt;=Lists!$AE13)*('Intrapartum Care'!$F$7:$F$745&lt;=Lists!$AF13))</f>
        <v>0</v>
      </c>
      <c r="IZ19" s="290">
        <f>SUMPRODUCT(('Intrapartum Care'!$BH$7:$BH$745=IZ$6)*('Intrapartum Care'!$F$7:$F$745&gt;=Lists!$AE13)*('Intrapartum Care'!$F$7:$F$745&lt;=Lists!$AF13))</f>
        <v>0</v>
      </c>
      <c r="JA19" s="290">
        <f>SUMPRODUCT(('Intrapartum Care'!$BH$7:$BH$745=JA$6)*('Intrapartum Care'!$F$7:$F$745&gt;=Lists!$AE13)*('Intrapartum Care'!$F$7:$F$745&lt;=Lists!$AF13))</f>
        <v>0</v>
      </c>
      <c r="JB19" s="552">
        <f t="shared" si="35"/>
        <v>0</v>
      </c>
      <c r="JC19" s="243">
        <f t="shared" si="1"/>
        <v>0</v>
      </c>
      <c r="JD19" s="15"/>
      <c r="JE19" s="15"/>
      <c r="JF19" s="15"/>
      <c r="JG19" s="15"/>
      <c r="JH19" s="15"/>
      <c r="JI19" s="15"/>
      <c r="JJ19" s="15"/>
      <c r="JK19" s="15"/>
      <c r="JL19" s="16"/>
      <c r="JM19" s="15"/>
      <c r="JN19" s="15"/>
      <c r="JO19" s="15"/>
      <c r="JP19" s="15"/>
    </row>
    <row r="20" spans="1:276" ht="15" customHeight="1" thickTop="1" thickBot="1" x14ac:dyDescent="0.4">
      <c r="A20" s="194" t="s">
        <v>688</v>
      </c>
      <c r="B20" s="572">
        <f t="shared" ref="B20:C20" si="36">SUM(B8:B19)</f>
        <v>0</v>
      </c>
      <c r="C20" s="348">
        <f t="shared" si="36"/>
        <v>0</v>
      </c>
      <c r="D20" s="147">
        <f>SUM(D8:D19)</f>
        <v>0</v>
      </c>
      <c r="E20" s="260">
        <f t="shared" ref="E20:G20" si="37">SUM(E8:E19)</f>
        <v>0</v>
      </c>
      <c r="F20" s="261">
        <f t="shared" si="37"/>
        <v>0</v>
      </c>
      <c r="G20" s="262">
        <f t="shared" si="37"/>
        <v>0</v>
      </c>
      <c r="H20" s="147">
        <f>SUM(H8:H19)</f>
        <v>0</v>
      </c>
      <c r="I20" s="260">
        <f t="shared" ref="I20:AC20" si="38">SUM(I8:I19)</f>
        <v>0</v>
      </c>
      <c r="J20" s="261">
        <f t="shared" si="38"/>
        <v>0</v>
      </c>
      <c r="K20" s="261">
        <f t="shared" si="38"/>
        <v>0</v>
      </c>
      <c r="L20" s="261">
        <f t="shared" si="38"/>
        <v>0</v>
      </c>
      <c r="M20" s="261">
        <f t="shared" si="38"/>
        <v>0</v>
      </c>
      <c r="N20" s="261">
        <f t="shared" si="38"/>
        <v>0</v>
      </c>
      <c r="O20" s="261">
        <f t="shared" si="38"/>
        <v>0</v>
      </c>
      <c r="P20" s="261">
        <f t="shared" si="38"/>
        <v>0</v>
      </c>
      <c r="Q20" s="261">
        <f t="shared" si="38"/>
        <v>0</v>
      </c>
      <c r="R20" s="261">
        <f t="shared" si="38"/>
        <v>0</v>
      </c>
      <c r="S20" s="261">
        <f t="shared" si="38"/>
        <v>0</v>
      </c>
      <c r="T20" s="261">
        <f t="shared" si="38"/>
        <v>0</v>
      </c>
      <c r="U20" s="261">
        <f t="shared" si="38"/>
        <v>0</v>
      </c>
      <c r="V20" s="261">
        <f t="shared" si="38"/>
        <v>0</v>
      </c>
      <c r="W20" s="261">
        <f t="shared" si="38"/>
        <v>0</v>
      </c>
      <c r="X20" s="261">
        <f t="shared" si="38"/>
        <v>0</v>
      </c>
      <c r="Y20" s="261">
        <f t="shared" si="38"/>
        <v>0</v>
      </c>
      <c r="Z20" s="261">
        <f t="shared" si="38"/>
        <v>0</v>
      </c>
      <c r="AA20" s="261">
        <f t="shared" si="38"/>
        <v>0</v>
      </c>
      <c r="AB20" s="261">
        <f t="shared" si="38"/>
        <v>0</v>
      </c>
      <c r="AC20" s="262">
        <f t="shared" si="38"/>
        <v>0</v>
      </c>
      <c r="AD20" s="147">
        <f>SUM(AD8:AD19)</f>
        <v>0</v>
      </c>
      <c r="AE20" s="260">
        <f t="shared" ref="AE20:AM20" si="39">SUM(AE8:AE19)</f>
        <v>0</v>
      </c>
      <c r="AF20" s="261">
        <f t="shared" si="39"/>
        <v>0</v>
      </c>
      <c r="AG20" s="261">
        <f t="shared" si="39"/>
        <v>0</v>
      </c>
      <c r="AH20" s="261">
        <f t="shared" si="39"/>
        <v>0</v>
      </c>
      <c r="AI20" s="261">
        <f t="shared" si="39"/>
        <v>0</v>
      </c>
      <c r="AJ20" s="261">
        <f t="shared" si="39"/>
        <v>0</v>
      </c>
      <c r="AK20" s="261">
        <f t="shared" si="39"/>
        <v>0</v>
      </c>
      <c r="AL20" s="261">
        <f t="shared" si="39"/>
        <v>0</v>
      </c>
      <c r="AM20" s="262">
        <f t="shared" si="39"/>
        <v>0</v>
      </c>
      <c r="AN20" s="147">
        <f>SUM(AN8:AN19)</f>
        <v>0</v>
      </c>
      <c r="AO20" s="283">
        <f t="shared" ref="AO20:DP20" si="40">SUM(AO8:AO19)</f>
        <v>0</v>
      </c>
      <c r="AP20" s="274">
        <f t="shared" si="40"/>
        <v>0</v>
      </c>
      <c r="AQ20" s="274">
        <f t="shared" si="40"/>
        <v>0</v>
      </c>
      <c r="AR20" s="274">
        <f t="shared" si="40"/>
        <v>0</v>
      </c>
      <c r="AS20" s="274">
        <f t="shared" si="40"/>
        <v>0</v>
      </c>
      <c r="AT20" s="274">
        <f t="shared" si="40"/>
        <v>0</v>
      </c>
      <c r="AU20" s="279">
        <f t="shared" si="40"/>
        <v>0</v>
      </c>
      <c r="AV20" s="147">
        <f t="shared" si="40"/>
        <v>0</v>
      </c>
      <c r="AW20" s="148">
        <f t="shared" si="40"/>
        <v>0</v>
      </c>
      <c r="AX20" s="277">
        <f t="shared" si="40"/>
        <v>0</v>
      </c>
      <c r="AY20" s="147">
        <f t="shared" si="40"/>
        <v>0</v>
      </c>
      <c r="AZ20" s="283">
        <f t="shared" si="40"/>
        <v>0</v>
      </c>
      <c r="BA20" s="274">
        <f t="shared" si="40"/>
        <v>0</v>
      </c>
      <c r="BB20" s="274">
        <f t="shared" si="40"/>
        <v>0</v>
      </c>
      <c r="BC20" s="274">
        <f t="shared" si="40"/>
        <v>0</v>
      </c>
      <c r="BD20" s="258">
        <f t="shared" si="40"/>
        <v>0</v>
      </c>
      <c r="BE20" s="221">
        <f t="shared" si="40"/>
        <v>0</v>
      </c>
      <c r="BF20" s="221">
        <f t="shared" si="40"/>
        <v>0</v>
      </c>
      <c r="BG20" s="221">
        <f t="shared" si="40"/>
        <v>0</v>
      </c>
      <c r="BH20" s="147">
        <f t="shared" si="40"/>
        <v>0</v>
      </c>
      <c r="BI20" s="148">
        <f t="shared" si="40"/>
        <v>0</v>
      </c>
      <c r="BJ20" s="221">
        <f t="shared" si="40"/>
        <v>0</v>
      </c>
      <c r="BK20" s="221">
        <f t="shared" si="40"/>
        <v>0</v>
      </c>
      <c r="BL20" s="221">
        <f t="shared" si="40"/>
        <v>0</v>
      </c>
      <c r="BM20" s="147">
        <f t="shared" ref="BM20" si="41">SUM(BM8:BM19)</f>
        <v>0</v>
      </c>
      <c r="BN20" s="221">
        <f t="shared" si="40"/>
        <v>0</v>
      </c>
      <c r="BO20" s="221">
        <f t="shared" si="40"/>
        <v>0</v>
      </c>
      <c r="BP20" s="221">
        <f t="shared" si="40"/>
        <v>0</v>
      </c>
      <c r="BQ20" s="221">
        <f t="shared" si="40"/>
        <v>0</v>
      </c>
      <c r="BR20" s="147">
        <f t="shared" ref="BR20" si="42">SUM(BR8:BR19)</f>
        <v>0</v>
      </c>
      <c r="BS20" s="221">
        <f t="shared" si="40"/>
        <v>0</v>
      </c>
      <c r="BT20" s="221">
        <f t="shared" si="40"/>
        <v>0</v>
      </c>
      <c r="BU20" s="221">
        <f t="shared" si="40"/>
        <v>0</v>
      </c>
      <c r="BV20" s="221">
        <f t="shared" si="40"/>
        <v>0</v>
      </c>
      <c r="BW20" s="221">
        <f t="shared" si="40"/>
        <v>0</v>
      </c>
      <c r="BX20" s="147">
        <f t="shared" ref="BX20" si="43">SUM(BX8:BX19)</f>
        <v>0</v>
      </c>
      <c r="BY20" s="221">
        <f t="shared" si="40"/>
        <v>0</v>
      </c>
      <c r="BZ20" s="221">
        <f t="shared" si="40"/>
        <v>0</v>
      </c>
      <c r="CA20" s="221">
        <f t="shared" si="40"/>
        <v>0</v>
      </c>
      <c r="CB20" s="221">
        <f t="shared" si="40"/>
        <v>0</v>
      </c>
      <c r="CC20" s="221">
        <f t="shared" si="40"/>
        <v>0</v>
      </c>
      <c r="CD20" s="147">
        <f t="shared" si="40"/>
        <v>0</v>
      </c>
      <c r="CE20" s="221">
        <f t="shared" si="40"/>
        <v>0</v>
      </c>
      <c r="CF20" s="221">
        <f t="shared" si="40"/>
        <v>0</v>
      </c>
      <c r="CG20" s="221">
        <f t="shared" si="40"/>
        <v>0</v>
      </c>
      <c r="CH20" s="221">
        <f t="shared" si="40"/>
        <v>0</v>
      </c>
      <c r="CI20" s="221">
        <f t="shared" si="40"/>
        <v>0</v>
      </c>
      <c r="CJ20" s="221">
        <f t="shared" si="40"/>
        <v>0</v>
      </c>
      <c r="CK20" s="221">
        <f t="shared" si="40"/>
        <v>0</v>
      </c>
      <c r="CL20" s="147">
        <f t="shared" ref="CL20" si="44">SUM(CL8:CL19)</f>
        <v>0</v>
      </c>
      <c r="CM20" s="221">
        <f t="shared" si="40"/>
        <v>0</v>
      </c>
      <c r="CN20" s="221">
        <f t="shared" si="40"/>
        <v>0</v>
      </c>
      <c r="CO20" s="221">
        <f t="shared" si="40"/>
        <v>0</v>
      </c>
      <c r="CP20" s="221">
        <f t="shared" si="40"/>
        <v>0</v>
      </c>
      <c r="CQ20" s="221">
        <f t="shared" si="40"/>
        <v>0</v>
      </c>
      <c r="CR20" s="221">
        <f t="shared" si="40"/>
        <v>0</v>
      </c>
      <c r="CS20" s="147">
        <f t="shared" si="40"/>
        <v>0</v>
      </c>
      <c r="CT20" s="221">
        <f t="shared" si="40"/>
        <v>0</v>
      </c>
      <c r="CU20" s="221">
        <f t="shared" si="40"/>
        <v>0</v>
      </c>
      <c r="CV20" s="221">
        <f t="shared" si="40"/>
        <v>0</v>
      </c>
      <c r="CW20" s="221">
        <f t="shared" si="40"/>
        <v>0</v>
      </c>
      <c r="CX20" s="221">
        <f t="shared" si="40"/>
        <v>0</v>
      </c>
      <c r="CY20" s="221">
        <f t="shared" si="40"/>
        <v>0</v>
      </c>
      <c r="CZ20" s="221">
        <f t="shared" si="40"/>
        <v>0</v>
      </c>
      <c r="DA20" s="221">
        <f t="shared" si="40"/>
        <v>0</v>
      </c>
      <c r="DB20" s="147">
        <f t="shared" ref="DB20" si="45">SUM(DB8:DB19)</f>
        <v>0</v>
      </c>
      <c r="DC20" s="221">
        <f t="shared" si="40"/>
        <v>0</v>
      </c>
      <c r="DD20" s="221">
        <f t="shared" si="40"/>
        <v>0</v>
      </c>
      <c r="DE20" s="221">
        <f t="shared" si="40"/>
        <v>0</v>
      </c>
      <c r="DF20" s="147">
        <f t="shared" si="40"/>
        <v>0</v>
      </c>
      <c r="DG20" s="148">
        <f t="shared" si="40"/>
        <v>0</v>
      </c>
      <c r="DH20" s="221">
        <f t="shared" si="40"/>
        <v>0</v>
      </c>
      <c r="DI20" s="221">
        <f t="shared" si="40"/>
        <v>0</v>
      </c>
      <c r="DJ20" s="221">
        <f t="shared" si="40"/>
        <v>0</v>
      </c>
      <c r="DK20" s="221">
        <f t="shared" si="40"/>
        <v>0</v>
      </c>
      <c r="DL20" s="221">
        <f t="shared" si="40"/>
        <v>0</v>
      </c>
      <c r="DM20" s="221">
        <f t="shared" si="40"/>
        <v>0</v>
      </c>
      <c r="DN20" s="147">
        <f t="shared" ref="DN20" si="46">SUM(DN8:DN19)</f>
        <v>0</v>
      </c>
      <c r="DO20" s="221">
        <f t="shared" si="40"/>
        <v>0</v>
      </c>
      <c r="DP20" s="221">
        <f t="shared" si="40"/>
        <v>0</v>
      </c>
      <c r="DQ20" s="221">
        <f t="shared" ref="DQ20:DW20" si="47">SUM(DQ8:DQ19)</f>
        <v>0</v>
      </c>
      <c r="DR20" s="221">
        <f t="shared" si="47"/>
        <v>0</v>
      </c>
      <c r="DS20" s="221">
        <f t="shared" si="47"/>
        <v>0</v>
      </c>
      <c r="DT20" s="221">
        <f t="shared" si="47"/>
        <v>0</v>
      </c>
      <c r="DU20" s="221">
        <f t="shared" si="47"/>
        <v>0</v>
      </c>
      <c r="DV20" s="221">
        <f t="shared" si="47"/>
        <v>0</v>
      </c>
      <c r="DW20" s="221">
        <f t="shared" si="47"/>
        <v>0</v>
      </c>
      <c r="DX20" s="147">
        <f t="shared" ref="DX20" si="48">SUM(DX8:DX19)</f>
        <v>0</v>
      </c>
      <c r="DY20" s="221">
        <f t="shared" ref="DY20:GX20" si="49">SUM(DY8:DY19)</f>
        <v>0</v>
      </c>
      <c r="DZ20" s="221">
        <f t="shared" si="49"/>
        <v>0</v>
      </c>
      <c r="EA20" s="221">
        <f t="shared" si="49"/>
        <v>0</v>
      </c>
      <c r="EB20" s="147">
        <f t="shared" si="49"/>
        <v>0</v>
      </c>
      <c r="EC20" s="221">
        <f t="shared" si="49"/>
        <v>0</v>
      </c>
      <c r="ED20" s="221">
        <f t="shared" si="49"/>
        <v>0</v>
      </c>
      <c r="EE20" s="221">
        <f t="shared" si="49"/>
        <v>0</v>
      </c>
      <c r="EF20" s="221">
        <f t="shared" si="49"/>
        <v>0</v>
      </c>
      <c r="EG20" s="221">
        <f t="shared" si="49"/>
        <v>0</v>
      </c>
      <c r="EH20" s="147">
        <f t="shared" ref="EH20" si="50">SUM(EH8:EH19)</f>
        <v>0</v>
      </c>
      <c r="EI20" s="221">
        <f t="shared" si="49"/>
        <v>0</v>
      </c>
      <c r="EJ20" s="221">
        <f t="shared" si="49"/>
        <v>0</v>
      </c>
      <c r="EK20" s="221">
        <f t="shared" si="49"/>
        <v>0</v>
      </c>
      <c r="EL20" s="221">
        <f t="shared" si="49"/>
        <v>0</v>
      </c>
      <c r="EM20" s="221">
        <f t="shared" si="49"/>
        <v>0</v>
      </c>
      <c r="EN20" s="221">
        <f t="shared" si="49"/>
        <v>0</v>
      </c>
      <c r="EO20" s="147">
        <f t="shared" ref="EO20" si="51">SUM(EO8:EO19)</f>
        <v>0</v>
      </c>
      <c r="EP20" s="221">
        <f t="shared" si="49"/>
        <v>0</v>
      </c>
      <c r="EQ20" s="221">
        <f t="shared" si="49"/>
        <v>0</v>
      </c>
      <c r="ER20" s="221">
        <f t="shared" si="49"/>
        <v>0</v>
      </c>
      <c r="ES20" s="147">
        <f t="shared" si="49"/>
        <v>0</v>
      </c>
      <c r="ET20" s="221">
        <f t="shared" ref="ET20:EW20" si="52">SUM(ET8:ET19)</f>
        <v>0</v>
      </c>
      <c r="EU20" s="221">
        <f t="shared" si="52"/>
        <v>0</v>
      </c>
      <c r="EV20" s="221">
        <f t="shared" si="52"/>
        <v>0</v>
      </c>
      <c r="EW20" s="147">
        <f t="shared" si="52"/>
        <v>0</v>
      </c>
      <c r="EX20" s="221">
        <f>SUM(EX8:EX19)</f>
        <v>0</v>
      </c>
      <c r="EY20" s="221">
        <f>SUM(EY8:EY19)</f>
        <v>0</v>
      </c>
      <c r="EZ20" s="221">
        <f>SUM(EZ8:EZ19)</f>
        <v>0</v>
      </c>
      <c r="FA20" s="147">
        <f>SUM(FA8:FA19)</f>
        <v>0</v>
      </c>
      <c r="FB20" s="221">
        <f t="shared" ref="FB20:FF20" si="53">SUM(FB8:FB19)</f>
        <v>0</v>
      </c>
      <c r="FC20" s="221">
        <f t="shared" si="53"/>
        <v>0</v>
      </c>
      <c r="FD20" s="221">
        <f t="shared" si="53"/>
        <v>0</v>
      </c>
      <c r="FE20" s="221">
        <f t="shared" si="53"/>
        <v>0</v>
      </c>
      <c r="FF20" s="221">
        <f t="shared" si="53"/>
        <v>0</v>
      </c>
      <c r="FG20" s="147">
        <f t="shared" ref="FG20" si="54">SUM(FG8:FG19)</f>
        <v>0</v>
      </c>
      <c r="FH20" s="221">
        <f t="shared" si="49"/>
        <v>0</v>
      </c>
      <c r="FI20" s="221">
        <f t="shared" si="49"/>
        <v>0</v>
      </c>
      <c r="FJ20" s="221">
        <f t="shared" si="49"/>
        <v>0</v>
      </c>
      <c r="FK20" s="221">
        <f t="shared" si="49"/>
        <v>0</v>
      </c>
      <c r="FL20" s="147">
        <f t="shared" si="49"/>
        <v>0</v>
      </c>
      <c r="FM20" s="221">
        <f t="shared" si="49"/>
        <v>0</v>
      </c>
      <c r="FN20" s="221">
        <f t="shared" si="49"/>
        <v>0</v>
      </c>
      <c r="FO20" s="221">
        <f t="shared" si="49"/>
        <v>0</v>
      </c>
      <c r="FP20" s="221">
        <f t="shared" si="49"/>
        <v>0</v>
      </c>
      <c r="FQ20" s="147">
        <f t="shared" ref="FQ20" si="55">SUM(FQ8:FQ19)</f>
        <v>0</v>
      </c>
      <c r="FR20" s="221">
        <f t="shared" si="49"/>
        <v>0</v>
      </c>
      <c r="FS20" s="221">
        <f t="shared" si="49"/>
        <v>0</v>
      </c>
      <c r="FT20" s="221">
        <f t="shared" si="49"/>
        <v>0</v>
      </c>
      <c r="FU20" s="147">
        <f t="shared" si="49"/>
        <v>0</v>
      </c>
      <c r="FV20" s="220">
        <f t="shared" ref="FV20:FY20" si="56">SUM(FV8:FV19)</f>
        <v>0</v>
      </c>
      <c r="FW20" s="221">
        <f t="shared" si="56"/>
        <v>0</v>
      </c>
      <c r="FX20" s="222">
        <f t="shared" si="56"/>
        <v>0</v>
      </c>
      <c r="FY20" s="147">
        <f t="shared" si="56"/>
        <v>0</v>
      </c>
      <c r="FZ20" s="221">
        <f t="shared" si="49"/>
        <v>0</v>
      </c>
      <c r="GA20" s="221">
        <f t="shared" si="49"/>
        <v>0</v>
      </c>
      <c r="GB20" s="221">
        <f t="shared" si="49"/>
        <v>0</v>
      </c>
      <c r="GC20" s="221">
        <f t="shared" si="49"/>
        <v>0</v>
      </c>
      <c r="GD20" s="221">
        <f t="shared" si="49"/>
        <v>0</v>
      </c>
      <c r="GE20" s="221">
        <f t="shared" si="49"/>
        <v>0</v>
      </c>
      <c r="GF20" s="221">
        <f t="shared" si="49"/>
        <v>0</v>
      </c>
      <c r="GG20" s="221">
        <f t="shared" si="49"/>
        <v>0</v>
      </c>
      <c r="GH20" s="221">
        <f t="shared" si="49"/>
        <v>0</v>
      </c>
      <c r="GI20" s="221">
        <f t="shared" si="49"/>
        <v>0</v>
      </c>
      <c r="GJ20" s="221">
        <f t="shared" si="49"/>
        <v>0</v>
      </c>
      <c r="GK20" s="221">
        <f t="shared" si="49"/>
        <v>0</v>
      </c>
      <c r="GL20" s="221">
        <f t="shared" si="49"/>
        <v>0</v>
      </c>
      <c r="GM20" s="221">
        <f t="shared" si="49"/>
        <v>0</v>
      </c>
      <c r="GN20" s="221">
        <f t="shared" si="49"/>
        <v>0</v>
      </c>
      <c r="GO20" s="221">
        <f t="shared" si="49"/>
        <v>0</v>
      </c>
      <c r="GP20" s="221">
        <f t="shared" si="49"/>
        <v>0</v>
      </c>
      <c r="GQ20" s="221">
        <f t="shared" si="49"/>
        <v>0</v>
      </c>
      <c r="GR20" s="221">
        <f t="shared" si="49"/>
        <v>0</v>
      </c>
      <c r="GS20" s="221">
        <f t="shared" si="49"/>
        <v>0</v>
      </c>
      <c r="GT20" s="147">
        <f t="shared" ref="GT20" si="57">SUM(GT8:GT19)</f>
        <v>0</v>
      </c>
      <c r="GU20" s="221">
        <f t="shared" si="49"/>
        <v>0</v>
      </c>
      <c r="GV20" s="221">
        <f t="shared" si="49"/>
        <v>0</v>
      </c>
      <c r="GW20" s="221">
        <f t="shared" si="49"/>
        <v>0</v>
      </c>
      <c r="GX20" s="221">
        <f t="shared" si="49"/>
        <v>0</v>
      </c>
      <c r="GY20" s="221">
        <f t="shared" ref="GY20:HF20" si="58">SUM(GY8:GY19)</f>
        <v>0</v>
      </c>
      <c r="GZ20" s="221">
        <f t="shared" si="58"/>
        <v>0</v>
      </c>
      <c r="HA20" s="221">
        <f t="shared" si="58"/>
        <v>0</v>
      </c>
      <c r="HB20" s="221">
        <f t="shared" si="58"/>
        <v>0</v>
      </c>
      <c r="HC20" s="221">
        <f t="shared" si="58"/>
        <v>0</v>
      </c>
      <c r="HD20" s="221">
        <f t="shared" si="58"/>
        <v>0</v>
      </c>
      <c r="HE20" s="221">
        <f t="shared" si="58"/>
        <v>0</v>
      </c>
      <c r="HF20" s="147">
        <f t="shared" si="58"/>
        <v>0</v>
      </c>
      <c r="HG20" s="221">
        <f t="shared" ref="HG20:IL20" si="59">SUM(HG8:HG19)</f>
        <v>0</v>
      </c>
      <c r="HH20" s="221">
        <f t="shared" si="59"/>
        <v>0</v>
      </c>
      <c r="HI20" s="221">
        <f t="shared" si="59"/>
        <v>0</v>
      </c>
      <c r="HJ20" s="221">
        <f t="shared" si="59"/>
        <v>0</v>
      </c>
      <c r="HK20" s="221">
        <f t="shared" si="59"/>
        <v>0</v>
      </c>
      <c r="HL20" s="221">
        <f t="shared" si="59"/>
        <v>0</v>
      </c>
      <c r="HM20" s="221">
        <f t="shared" si="59"/>
        <v>0</v>
      </c>
      <c r="HN20" s="221">
        <f t="shared" si="59"/>
        <v>0</v>
      </c>
      <c r="HO20" s="221">
        <f t="shared" si="59"/>
        <v>0</v>
      </c>
      <c r="HP20" s="221">
        <f t="shared" si="59"/>
        <v>0</v>
      </c>
      <c r="HQ20" s="221">
        <f t="shared" si="59"/>
        <v>0</v>
      </c>
      <c r="HR20" s="221">
        <f t="shared" si="59"/>
        <v>0</v>
      </c>
      <c r="HS20" s="221">
        <f t="shared" si="59"/>
        <v>0</v>
      </c>
      <c r="HT20" s="221">
        <f t="shared" si="59"/>
        <v>0</v>
      </c>
      <c r="HU20" s="221">
        <f t="shared" si="59"/>
        <v>0</v>
      </c>
      <c r="HV20" s="221">
        <f t="shared" si="59"/>
        <v>0</v>
      </c>
      <c r="HW20" s="221">
        <f t="shared" si="59"/>
        <v>0</v>
      </c>
      <c r="HX20" s="221">
        <f t="shared" si="59"/>
        <v>0</v>
      </c>
      <c r="HY20" s="221">
        <f t="shared" si="59"/>
        <v>0</v>
      </c>
      <c r="HZ20" s="221">
        <f t="shared" si="59"/>
        <v>0</v>
      </c>
      <c r="IA20" s="221">
        <f t="shared" si="59"/>
        <v>0</v>
      </c>
      <c r="IB20" s="221">
        <f t="shared" si="59"/>
        <v>0</v>
      </c>
      <c r="IC20" s="221">
        <f t="shared" si="59"/>
        <v>0</v>
      </c>
      <c r="ID20" s="221">
        <f t="shared" si="59"/>
        <v>0</v>
      </c>
      <c r="IE20" s="221">
        <f t="shared" si="59"/>
        <v>0</v>
      </c>
      <c r="IF20" s="221">
        <f t="shared" si="59"/>
        <v>0</v>
      </c>
      <c r="IG20" s="221">
        <f t="shared" si="59"/>
        <v>0</v>
      </c>
      <c r="IH20" s="221">
        <f t="shared" si="59"/>
        <v>0</v>
      </c>
      <c r="II20" s="147">
        <f>SUM(II8:II19)</f>
        <v>0</v>
      </c>
      <c r="IJ20" s="221">
        <f t="shared" si="59"/>
        <v>0</v>
      </c>
      <c r="IK20" s="221">
        <f t="shared" si="59"/>
        <v>0</v>
      </c>
      <c r="IL20" s="221">
        <f t="shared" si="59"/>
        <v>0</v>
      </c>
      <c r="IM20" s="221">
        <f t="shared" ref="IM20:JC20" si="60">SUM(IM8:IM19)</f>
        <v>0</v>
      </c>
      <c r="IN20" s="221">
        <f t="shared" si="60"/>
        <v>0</v>
      </c>
      <c r="IO20" s="221">
        <f t="shared" si="60"/>
        <v>0</v>
      </c>
      <c r="IP20" s="221">
        <f t="shared" si="60"/>
        <v>0</v>
      </c>
      <c r="IQ20" s="147">
        <f t="shared" si="60"/>
        <v>0</v>
      </c>
      <c r="IR20" s="148">
        <f t="shared" si="60"/>
        <v>0</v>
      </c>
      <c r="IS20" s="221">
        <f t="shared" si="60"/>
        <v>0</v>
      </c>
      <c r="IT20" s="221">
        <f t="shared" si="60"/>
        <v>0</v>
      </c>
      <c r="IU20" s="221">
        <f t="shared" si="60"/>
        <v>0</v>
      </c>
      <c r="IV20" s="147">
        <f t="shared" ref="IV20" si="61">SUM(IV8:IV19)</f>
        <v>0</v>
      </c>
      <c r="IW20" s="221">
        <f t="shared" si="60"/>
        <v>0</v>
      </c>
      <c r="IX20" s="221">
        <f t="shared" si="60"/>
        <v>0</v>
      </c>
      <c r="IY20" s="221">
        <f t="shared" si="60"/>
        <v>0</v>
      </c>
      <c r="IZ20" s="221">
        <f t="shared" si="60"/>
        <v>0</v>
      </c>
      <c r="JA20" s="221">
        <f t="shared" si="60"/>
        <v>0</v>
      </c>
      <c r="JB20" s="147">
        <f t="shared" si="60"/>
        <v>0</v>
      </c>
      <c r="JC20" s="299">
        <f t="shared" si="60"/>
        <v>0</v>
      </c>
      <c r="JD20" s="27"/>
      <c r="JE20" s="27"/>
      <c r="JF20" s="15"/>
      <c r="JG20" s="15"/>
      <c r="JH20" s="15"/>
      <c r="JI20" s="15"/>
      <c r="JJ20" s="15"/>
      <c r="JK20" s="15"/>
      <c r="JL20" s="16"/>
      <c r="JM20" s="15"/>
      <c r="JN20" s="15"/>
      <c r="JO20" s="15"/>
      <c r="JP20" s="15"/>
    </row>
    <row r="21" spans="1:276" ht="15" customHeight="1" x14ac:dyDescent="0.3">
      <c r="A21" s="36"/>
      <c r="JC21" s="298"/>
      <c r="JD21" s="15"/>
      <c r="JE21" s="15"/>
      <c r="JF21" s="15"/>
      <c r="JG21" s="15"/>
      <c r="JH21" s="15"/>
      <c r="JI21" s="15"/>
      <c r="JJ21" s="15"/>
      <c r="JK21" s="15"/>
      <c r="JL21" s="16"/>
      <c r="JM21" s="15"/>
      <c r="JN21" s="15"/>
      <c r="JO21" s="15"/>
      <c r="JP21" s="15"/>
    </row>
    <row r="22" spans="1:276" ht="15" customHeight="1" x14ac:dyDescent="0.3">
      <c r="AG22" s="2"/>
      <c r="JD22" s="15"/>
      <c r="JE22" s="15"/>
      <c r="JF22" s="15"/>
      <c r="JG22" s="15"/>
      <c r="JH22" s="15"/>
      <c r="JI22" s="15"/>
      <c r="JJ22" s="15"/>
      <c r="JK22" s="15"/>
      <c r="JL22" s="16"/>
      <c r="JM22" s="15"/>
      <c r="JN22" s="15"/>
      <c r="JO22" s="15"/>
      <c r="JP22" s="15"/>
    </row>
    <row r="23" spans="1:276" ht="15" customHeight="1" x14ac:dyDescent="0.3">
      <c r="AG23" s="2"/>
      <c r="JD23" s="15"/>
      <c r="JE23" s="15"/>
      <c r="JF23" s="15"/>
      <c r="JG23" s="15"/>
      <c r="JH23" s="15"/>
      <c r="JI23" s="15"/>
      <c r="JJ23" s="15"/>
      <c r="JK23" s="15"/>
      <c r="JL23" s="16"/>
      <c r="JM23" s="15"/>
      <c r="JN23" s="15"/>
      <c r="JO23" s="15"/>
      <c r="JP23" s="15"/>
    </row>
    <row r="24" spans="1:276" ht="15" customHeight="1" x14ac:dyDescent="0.3">
      <c r="AG24" s="2"/>
      <c r="JD24" s="15"/>
      <c r="JE24" s="15"/>
      <c r="JF24" s="15"/>
      <c r="JG24" s="15"/>
      <c r="JH24" s="15"/>
      <c r="JI24" s="15"/>
      <c r="JJ24" s="15"/>
      <c r="JK24" s="15"/>
      <c r="JL24" s="16"/>
      <c r="JM24" s="15"/>
      <c r="JN24" s="15"/>
      <c r="JO24" s="15"/>
      <c r="JP24" s="15"/>
    </row>
    <row r="25" spans="1:276" ht="15" customHeight="1" x14ac:dyDescent="0.3">
      <c r="AG25" s="2"/>
      <c r="JD25" s="15"/>
      <c r="JE25" s="15"/>
      <c r="JF25" s="15"/>
      <c r="JG25" s="15"/>
      <c r="JH25" s="15"/>
      <c r="JI25" s="15"/>
      <c r="JJ25" s="15"/>
      <c r="JK25" s="15"/>
      <c r="JL25" s="16"/>
      <c r="JM25" s="15"/>
      <c r="JN25" s="15"/>
      <c r="JO25" s="15"/>
      <c r="JP25" s="15"/>
    </row>
    <row r="26" spans="1:276" ht="15" customHeight="1" x14ac:dyDescent="0.3">
      <c r="AG26" s="2"/>
      <c r="JD26" s="15"/>
      <c r="JE26" s="15"/>
      <c r="JF26" s="15"/>
      <c r="JG26" s="15"/>
      <c r="JH26" s="15"/>
      <c r="JI26" s="15"/>
      <c r="JJ26" s="15"/>
      <c r="JK26" s="15"/>
      <c r="JL26" s="16"/>
      <c r="JM26" s="15"/>
      <c r="JN26" s="15"/>
      <c r="JO26" s="15"/>
      <c r="JP26" s="15"/>
    </row>
    <row r="27" spans="1:276" ht="15" customHeight="1" x14ac:dyDescent="0.3">
      <c r="AG27" s="2"/>
      <c r="JD27" s="15"/>
      <c r="JE27" s="15"/>
      <c r="JF27" s="15"/>
      <c r="JG27" s="15"/>
      <c r="JH27" s="15"/>
      <c r="JI27" s="15"/>
      <c r="JJ27" s="15"/>
      <c r="JK27" s="15"/>
      <c r="JL27" s="16"/>
      <c r="JM27" s="15"/>
      <c r="JN27" s="15"/>
      <c r="JO27" s="15"/>
      <c r="JP27" s="15"/>
    </row>
    <row r="28" spans="1:276" ht="15" customHeight="1" x14ac:dyDescent="0.3">
      <c r="AG28" s="2"/>
      <c r="JD28" s="15"/>
      <c r="JE28" s="15"/>
      <c r="JF28" s="15"/>
      <c r="JG28" s="15"/>
      <c r="JH28" s="15"/>
      <c r="JI28" s="15"/>
      <c r="JJ28" s="15"/>
      <c r="JK28" s="15"/>
      <c r="JL28" s="16"/>
      <c r="JM28" s="15"/>
      <c r="JN28" s="15"/>
      <c r="JO28" s="15"/>
      <c r="JP28" s="15"/>
    </row>
    <row r="29" spans="1:276" ht="15" customHeight="1" x14ac:dyDescent="0.3">
      <c r="AG29" s="2"/>
      <c r="JD29" s="15"/>
      <c r="JE29" s="15"/>
      <c r="JF29" s="15"/>
      <c r="JG29" s="15"/>
      <c r="JH29" s="15"/>
      <c r="JI29" s="15"/>
      <c r="JJ29" s="15"/>
      <c r="JK29" s="15"/>
      <c r="JL29" s="16"/>
      <c r="JM29" s="15"/>
      <c r="JN29" s="15"/>
      <c r="JO29" s="15"/>
      <c r="JP29" s="15"/>
    </row>
    <row r="30" spans="1:276" ht="15" customHeight="1" x14ac:dyDescent="0.3">
      <c r="AG30" s="2"/>
      <c r="JD30" s="15"/>
      <c r="JE30" s="15"/>
      <c r="JF30" s="15"/>
      <c r="JG30" s="15"/>
      <c r="JH30" s="15"/>
      <c r="JI30" s="15"/>
      <c r="JJ30" s="15"/>
      <c r="JK30" s="15"/>
      <c r="JL30" s="16"/>
      <c r="JM30" s="15"/>
      <c r="JN30" s="15"/>
      <c r="JO30" s="15"/>
      <c r="JP30" s="15"/>
    </row>
    <row r="31" spans="1:276" ht="15" customHeight="1" x14ac:dyDescent="0.3">
      <c r="AG31" s="2"/>
      <c r="JD31" s="15"/>
      <c r="JE31" s="15"/>
      <c r="JF31" s="15"/>
      <c r="JG31" s="15"/>
      <c r="JH31" s="15"/>
      <c r="JI31" s="15"/>
      <c r="JJ31" s="15"/>
      <c r="JK31" s="15"/>
      <c r="JL31" s="16"/>
      <c r="JM31" s="15"/>
      <c r="JN31" s="15"/>
      <c r="JO31" s="15"/>
      <c r="JP31" s="15"/>
    </row>
    <row r="32" spans="1:276" ht="15" customHeight="1" x14ac:dyDescent="0.3">
      <c r="AG32" s="2"/>
      <c r="JD32" s="15"/>
      <c r="JE32" s="15"/>
      <c r="JF32" s="15"/>
      <c r="JG32" s="15"/>
      <c r="JH32" s="15"/>
      <c r="JI32" s="15"/>
      <c r="JJ32" s="15"/>
      <c r="JK32" s="15"/>
      <c r="JL32" s="16"/>
      <c r="JM32" s="15"/>
      <c r="JN32" s="15"/>
      <c r="JO32" s="15"/>
      <c r="JP32" s="15"/>
    </row>
    <row r="33" spans="33:276" ht="15" customHeight="1" x14ac:dyDescent="0.3">
      <c r="AG33" s="2"/>
      <c r="JD33" s="15"/>
      <c r="JE33" s="15"/>
      <c r="JF33" s="15"/>
      <c r="JG33" s="15"/>
      <c r="JH33" s="15"/>
      <c r="JI33" s="15"/>
      <c r="JJ33" s="15"/>
      <c r="JK33" s="15"/>
      <c r="JL33" s="16"/>
      <c r="JM33" s="15"/>
      <c r="JN33" s="15"/>
      <c r="JO33" s="15"/>
      <c r="JP33" s="15"/>
    </row>
    <row r="34" spans="33:276" ht="15" customHeight="1" x14ac:dyDescent="0.3">
      <c r="AG34" s="2"/>
      <c r="JD34" s="15"/>
      <c r="JE34" s="15"/>
      <c r="JF34" s="15"/>
      <c r="JG34" s="15"/>
      <c r="JH34" s="15"/>
      <c r="JI34" s="15"/>
      <c r="JJ34" s="15"/>
      <c r="JK34" s="15"/>
      <c r="JL34" s="16"/>
      <c r="JM34" s="15"/>
      <c r="JN34" s="15"/>
      <c r="JO34" s="15"/>
      <c r="JP34" s="15"/>
    </row>
    <row r="35" spans="33:276" ht="15" customHeight="1" x14ac:dyDescent="0.3">
      <c r="AG35" s="2"/>
      <c r="JD35" s="15"/>
      <c r="JE35" s="15"/>
      <c r="JF35" s="15"/>
      <c r="JG35" s="15"/>
      <c r="JH35" s="15"/>
      <c r="JI35" s="15"/>
      <c r="JJ35" s="15"/>
      <c r="JK35" s="15"/>
      <c r="JL35" s="16"/>
      <c r="JM35" s="15"/>
      <c r="JN35" s="15"/>
      <c r="JO35" s="15"/>
      <c r="JP35" s="15"/>
    </row>
    <row r="36" spans="33:276" ht="15" customHeight="1" x14ac:dyDescent="0.3">
      <c r="AG36" s="2"/>
      <c r="JD36" s="15"/>
      <c r="JE36" s="15"/>
      <c r="JF36" s="15"/>
      <c r="JG36" s="15"/>
      <c r="JH36" s="15"/>
      <c r="JI36" s="15"/>
      <c r="JJ36" s="15"/>
      <c r="JK36" s="15"/>
      <c r="JL36" s="16"/>
      <c r="JM36" s="15"/>
      <c r="JN36" s="15"/>
      <c r="JO36" s="15"/>
      <c r="JP36" s="15"/>
    </row>
    <row r="37" spans="33:276" ht="15" customHeight="1" x14ac:dyDescent="0.3">
      <c r="AG37" s="2"/>
      <c r="JD37" s="15"/>
      <c r="JE37" s="15"/>
      <c r="JF37" s="15"/>
      <c r="JG37" s="15"/>
      <c r="JH37" s="15"/>
      <c r="JI37" s="15"/>
      <c r="JJ37" s="15"/>
      <c r="JK37" s="15"/>
      <c r="JL37" s="16"/>
      <c r="JM37" s="15"/>
      <c r="JN37" s="15"/>
      <c r="JO37" s="15"/>
      <c r="JP37" s="15"/>
    </row>
    <row r="38" spans="33:276" ht="15" customHeight="1" x14ac:dyDescent="0.3">
      <c r="AG38" s="2"/>
      <c r="JD38" s="15"/>
      <c r="JE38" s="15"/>
      <c r="JF38" s="15"/>
      <c r="JG38" s="15"/>
      <c r="JH38" s="15"/>
      <c r="JI38" s="15"/>
      <c r="JJ38" s="15"/>
      <c r="JK38" s="15"/>
      <c r="JL38" s="16"/>
      <c r="JM38" s="15"/>
      <c r="JN38" s="15"/>
      <c r="JO38" s="15"/>
      <c r="JP38" s="15"/>
    </row>
    <row r="39" spans="33:276" ht="15" customHeight="1" x14ac:dyDescent="0.3">
      <c r="AG39" s="2"/>
      <c r="JD39" s="15"/>
      <c r="JE39" s="15"/>
      <c r="JF39" s="15"/>
      <c r="JG39" s="15"/>
      <c r="JH39" s="15"/>
      <c r="JI39" s="15"/>
      <c r="JJ39" s="15"/>
      <c r="JK39" s="15"/>
      <c r="JL39" s="16"/>
      <c r="JM39" s="15"/>
      <c r="JN39" s="15"/>
      <c r="JO39" s="15"/>
      <c r="JP39" s="15"/>
    </row>
    <row r="40" spans="33:276" ht="15" customHeight="1" x14ac:dyDescent="0.3">
      <c r="AG40" s="2"/>
      <c r="JD40" s="15"/>
      <c r="JE40" s="15"/>
      <c r="JF40" s="15"/>
      <c r="JG40" s="15"/>
      <c r="JH40" s="15"/>
      <c r="JI40" s="15"/>
      <c r="JJ40" s="15"/>
      <c r="JK40" s="15"/>
      <c r="JL40" s="16"/>
      <c r="JM40" s="15"/>
      <c r="JN40" s="15"/>
      <c r="JO40" s="15"/>
      <c r="JP40" s="15"/>
    </row>
    <row r="41" spans="33:276" ht="15" customHeight="1" x14ac:dyDescent="0.3">
      <c r="AG41" s="2"/>
      <c r="JD41" s="15"/>
      <c r="JE41" s="15"/>
      <c r="JF41" s="15"/>
      <c r="JG41" s="15"/>
      <c r="JH41" s="15"/>
      <c r="JI41" s="15"/>
      <c r="JJ41" s="15"/>
      <c r="JK41" s="15"/>
      <c r="JL41" s="16"/>
      <c r="JM41" s="15"/>
      <c r="JN41" s="15"/>
      <c r="JO41" s="15"/>
      <c r="JP41" s="15"/>
    </row>
    <row r="42" spans="33:276" ht="15" customHeight="1" x14ac:dyDescent="0.3">
      <c r="AG42" s="2"/>
      <c r="JD42" s="15"/>
      <c r="JE42" s="15"/>
      <c r="JF42" s="15"/>
      <c r="JG42" s="15"/>
      <c r="JH42" s="15"/>
      <c r="JI42" s="15"/>
      <c r="JJ42" s="15"/>
      <c r="JK42" s="15"/>
      <c r="JL42" s="16"/>
      <c r="JM42" s="15"/>
      <c r="JN42" s="15"/>
      <c r="JO42" s="15"/>
      <c r="JP42" s="15"/>
    </row>
    <row r="43" spans="33:276" ht="15" customHeight="1" x14ac:dyDescent="0.3">
      <c r="AG43" s="2"/>
      <c r="JD43" s="15"/>
      <c r="JE43" s="15"/>
      <c r="JF43" s="15"/>
      <c r="JG43" s="15"/>
      <c r="JH43" s="15"/>
      <c r="JI43" s="15"/>
      <c r="JJ43" s="15"/>
      <c r="JK43" s="15"/>
      <c r="JL43" s="16"/>
      <c r="JM43" s="15"/>
      <c r="JN43" s="15"/>
      <c r="JO43" s="15"/>
      <c r="JP43" s="15"/>
    </row>
    <row r="44" spans="33:276" ht="15" customHeight="1" x14ac:dyDescent="0.3">
      <c r="AG44" s="2"/>
      <c r="JD44" s="15"/>
      <c r="JE44" s="15"/>
      <c r="JF44" s="15"/>
      <c r="JG44" s="15"/>
      <c r="JH44" s="15"/>
      <c r="JI44" s="15"/>
      <c r="JJ44" s="15"/>
      <c r="JK44" s="15"/>
      <c r="JL44" s="16"/>
      <c r="JM44" s="15"/>
      <c r="JN44" s="15"/>
      <c r="JO44" s="15"/>
      <c r="JP44" s="15"/>
    </row>
    <row r="45" spans="33:276" ht="15" customHeight="1" x14ac:dyDescent="0.3">
      <c r="AG45" s="2"/>
      <c r="JD45" s="15"/>
      <c r="JE45" s="15"/>
      <c r="JF45" s="15"/>
      <c r="JG45" s="15"/>
      <c r="JH45" s="15"/>
      <c r="JI45" s="15"/>
      <c r="JJ45" s="15"/>
      <c r="JK45" s="15"/>
      <c r="JL45" s="16"/>
      <c r="JM45" s="15"/>
      <c r="JN45" s="15"/>
      <c r="JO45" s="15"/>
      <c r="JP45" s="15"/>
    </row>
    <row r="46" spans="33:276" ht="15" customHeight="1" x14ac:dyDescent="0.3">
      <c r="AG46" s="2"/>
      <c r="JD46" s="15"/>
      <c r="JE46" s="15"/>
      <c r="JF46" s="15"/>
      <c r="JG46" s="15"/>
      <c r="JH46" s="15"/>
      <c r="JI46" s="15"/>
      <c r="JJ46" s="15"/>
      <c r="JK46" s="15"/>
      <c r="JL46" s="16"/>
      <c r="JM46" s="15"/>
      <c r="JN46" s="15"/>
      <c r="JO46" s="15"/>
      <c r="JP46" s="15"/>
    </row>
    <row r="47" spans="33:276" ht="15" customHeight="1" x14ac:dyDescent="0.3">
      <c r="AG47" s="2"/>
      <c r="JD47" s="15"/>
      <c r="JE47" s="15"/>
      <c r="JF47" s="15"/>
      <c r="JG47" s="15"/>
      <c r="JH47" s="15"/>
      <c r="JI47" s="15"/>
      <c r="JJ47" s="15"/>
      <c r="JK47" s="15"/>
      <c r="JL47" s="16"/>
      <c r="JM47" s="15"/>
      <c r="JN47" s="15"/>
      <c r="JO47" s="15"/>
      <c r="JP47" s="15"/>
    </row>
    <row r="48" spans="33:276" ht="15" customHeight="1" x14ac:dyDescent="0.3">
      <c r="AG48" s="2"/>
      <c r="JD48" s="15"/>
      <c r="JE48" s="15"/>
      <c r="JF48" s="15"/>
      <c r="JG48" s="15"/>
      <c r="JH48" s="15"/>
      <c r="JI48" s="15"/>
      <c r="JJ48" s="15"/>
      <c r="JK48" s="15"/>
      <c r="JL48" s="16"/>
      <c r="JM48" s="15"/>
      <c r="JN48" s="15"/>
      <c r="JO48" s="15"/>
      <c r="JP48" s="15"/>
    </row>
    <row r="49" spans="33:276" ht="15" customHeight="1" x14ac:dyDescent="0.3">
      <c r="AG49" s="2"/>
      <c r="JD49" s="15"/>
      <c r="JE49" s="15"/>
      <c r="JF49" s="15"/>
      <c r="JG49" s="15"/>
      <c r="JH49" s="15"/>
      <c r="JI49" s="15"/>
      <c r="JJ49" s="15"/>
      <c r="JK49" s="15"/>
      <c r="JL49" s="16"/>
      <c r="JM49" s="15"/>
      <c r="JN49" s="15"/>
      <c r="JO49" s="15"/>
      <c r="JP49" s="15"/>
    </row>
    <row r="50" spans="33:276" ht="15" customHeight="1" x14ac:dyDescent="0.3">
      <c r="AG50" s="2"/>
      <c r="JD50" s="15"/>
      <c r="JE50" s="15"/>
      <c r="JF50" s="15"/>
      <c r="JG50" s="15"/>
      <c r="JH50" s="15"/>
      <c r="JI50" s="15"/>
      <c r="JJ50" s="15"/>
      <c r="JK50" s="15"/>
      <c r="JL50" s="16"/>
      <c r="JM50" s="15"/>
      <c r="JN50" s="15"/>
      <c r="JO50" s="15"/>
      <c r="JP50" s="15"/>
    </row>
    <row r="51" spans="33:276" ht="15" customHeight="1" x14ac:dyDescent="0.3">
      <c r="AG51" s="2"/>
      <c r="JD51" s="15"/>
      <c r="JE51" s="15"/>
      <c r="JF51" s="15"/>
      <c r="JG51" s="15"/>
      <c r="JH51" s="15"/>
      <c r="JI51" s="15"/>
      <c r="JJ51" s="15"/>
      <c r="JK51" s="15"/>
      <c r="JL51" s="16"/>
      <c r="JM51" s="15"/>
      <c r="JN51" s="15"/>
      <c r="JO51" s="15"/>
      <c r="JP51" s="15"/>
    </row>
    <row r="52" spans="33:276" ht="15" customHeight="1" x14ac:dyDescent="0.3">
      <c r="AG52" s="2"/>
      <c r="JD52" s="15"/>
      <c r="JE52" s="15"/>
      <c r="JF52" s="15"/>
      <c r="JG52" s="15"/>
      <c r="JH52" s="15"/>
      <c r="JI52" s="15"/>
      <c r="JJ52" s="15"/>
      <c r="JK52" s="15"/>
      <c r="JL52" s="16"/>
      <c r="JM52" s="15"/>
      <c r="JN52" s="15"/>
      <c r="JO52" s="15"/>
      <c r="JP52" s="15"/>
    </row>
    <row r="53" spans="33:276" ht="15" customHeight="1" x14ac:dyDescent="0.3">
      <c r="AG53" s="2"/>
      <c r="JD53" s="15"/>
      <c r="JE53" s="15"/>
      <c r="JF53" s="15"/>
      <c r="JG53" s="15"/>
      <c r="JH53" s="15"/>
      <c r="JI53" s="15"/>
      <c r="JJ53" s="15"/>
      <c r="JK53" s="15"/>
      <c r="JL53" s="16"/>
      <c r="JM53" s="15"/>
      <c r="JN53" s="15"/>
      <c r="JO53" s="15"/>
      <c r="JP53" s="15"/>
    </row>
    <row r="54" spans="33:276" ht="15" customHeight="1" x14ac:dyDescent="0.3">
      <c r="AG54" s="2"/>
      <c r="JD54" s="15"/>
      <c r="JE54" s="15"/>
      <c r="JF54" s="15"/>
      <c r="JG54" s="15"/>
      <c r="JH54" s="15"/>
      <c r="JI54" s="15"/>
      <c r="JJ54" s="15"/>
      <c r="JK54" s="15"/>
      <c r="JL54" s="16"/>
      <c r="JM54" s="15"/>
      <c r="JN54" s="15"/>
      <c r="JO54" s="15"/>
      <c r="JP54" s="15"/>
    </row>
    <row r="55" spans="33:276" ht="15" customHeight="1" x14ac:dyDescent="0.3">
      <c r="AG55" s="2"/>
      <c r="JD55" s="15"/>
      <c r="JE55" s="15"/>
      <c r="JF55" s="15"/>
      <c r="JG55" s="15"/>
      <c r="JH55" s="15"/>
      <c r="JI55" s="15"/>
      <c r="JJ55" s="15"/>
      <c r="JK55" s="15"/>
      <c r="JL55" s="16"/>
      <c r="JM55" s="15"/>
      <c r="JN55" s="15"/>
      <c r="JO55" s="15"/>
      <c r="JP55" s="15"/>
    </row>
    <row r="56" spans="33:276" ht="15" customHeight="1" x14ac:dyDescent="0.3">
      <c r="AG56" s="2"/>
      <c r="JD56" s="15"/>
      <c r="JE56" s="15"/>
      <c r="JF56" s="15"/>
      <c r="JG56" s="15"/>
      <c r="JH56" s="15"/>
      <c r="JI56" s="15"/>
      <c r="JJ56" s="15"/>
      <c r="JK56" s="15"/>
      <c r="JL56" s="16"/>
      <c r="JM56" s="15"/>
      <c r="JN56" s="15"/>
      <c r="JO56" s="15"/>
      <c r="JP56" s="15"/>
    </row>
    <row r="57" spans="33:276" ht="15" customHeight="1" x14ac:dyDescent="0.3">
      <c r="AG57" s="2"/>
      <c r="JD57" s="15"/>
      <c r="JE57" s="15"/>
      <c r="JF57" s="15"/>
      <c r="JG57" s="15"/>
      <c r="JH57" s="15"/>
      <c r="JI57" s="15"/>
      <c r="JJ57" s="15"/>
      <c r="JK57" s="15"/>
      <c r="JL57" s="16"/>
      <c r="JM57" s="15"/>
      <c r="JN57" s="15"/>
      <c r="JO57" s="15"/>
      <c r="JP57" s="15"/>
    </row>
    <row r="58" spans="33:276" ht="15" customHeight="1" x14ac:dyDescent="0.3">
      <c r="AG58" s="2"/>
      <c r="JD58" s="15"/>
      <c r="JE58" s="15"/>
      <c r="JF58" s="15"/>
      <c r="JG58" s="15"/>
      <c r="JH58" s="15"/>
      <c r="JI58" s="15"/>
      <c r="JJ58" s="15"/>
      <c r="JK58" s="15"/>
      <c r="JL58" s="16"/>
      <c r="JM58" s="15"/>
      <c r="JN58" s="15"/>
      <c r="JO58" s="15"/>
      <c r="JP58" s="15"/>
    </row>
    <row r="59" spans="33:276" ht="15" customHeight="1" x14ac:dyDescent="0.3">
      <c r="AG59" s="2"/>
      <c r="JD59" s="15"/>
      <c r="JE59" s="15"/>
      <c r="JF59" s="15"/>
      <c r="JG59" s="15"/>
      <c r="JH59" s="15"/>
      <c r="JI59" s="15"/>
      <c r="JJ59" s="15"/>
      <c r="JK59" s="15"/>
      <c r="JL59" s="16"/>
      <c r="JM59" s="15"/>
      <c r="JN59" s="15"/>
      <c r="JO59" s="15"/>
      <c r="JP59" s="15"/>
    </row>
    <row r="60" spans="33:276" ht="15" customHeight="1" x14ac:dyDescent="0.3">
      <c r="AG60" s="2"/>
      <c r="JD60" s="15"/>
      <c r="JE60" s="15"/>
      <c r="JF60" s="15"/>
      <c r="JG60" s="15"/>
      <c r="JH60" s="15"/>
      <c r="JI60" s="15"/>
      <c r="JJ60" s="15"/>
      <c r="JK60" s="15"/>
      <c r="JL60" s="16"/>
      <c r="JM60" s="15"/>
      <c r="JN60" s="15"/>
      <c r="JO60" s="15"/>
      <c r="JP60" s="15"/>
    </row>
    <row r="61" spans="33:276" ht="15" customHeight="1" x14ac:dyDescent="0.3">
      <c r="AG61" s="2"/>
      <c r="JD61" s="15"/>
      <c r="JE61" s="15"/>
      <c r="JF61" s="15"/>
      <c r="JG61" s="15"/>
      <c r="JH61" s="15"/>
      <c r="JI61" s="15"/>
      <c r="JJ61" s="15"/>
      <c r="JK61" s="15"/>
      <c r="JL61" s="16"/>
      <c r="JM61" s="15"/>
      <c r="JN61" s="15"/>
      <c r="JO61" s="15"/>
      <c r="JP61" s="15"/>
    </row>
    <row r="62" spans="33:276" ht="15" customHeight="1" x14ac:dyDescent="0.3">
      <c r="AG62" s="2"/>
      <c r="JD62" s="15"/>
      <c r="JE62" s="15"/>
      <c r="JF62" s="15"/>
      <c r="JG62" s="15"/>
      <c r="JH62" s="15"/>
      <c r="JI62" s="15"/>
      <c r="JJ62" s="15"/>
      <c r="JK62" s="15"/>
      <c r="JL62" s="16"/>
      <c r="JM62" s="15"/>
      <c r="JN62" s="15"/>
      <c r="JO62" s="15"/>
      <c r="JP62" s="15"/>
    </row>
    <row r="63" spans="33:276" ht="15" customHeight="1" x14ac:dyDescent="0.3">
      <c r="AG63" s="2"/>
      <c r="JD63" s="15"/>
      <c r="JE63" s="15"/>
      <c r="JF63" s="15"/>
      <c r="JG63" s="15"/>
      <c r="JH63" s="15"/>
      <c r="JI63" s="15"/>
      <c r="JJ63" s="15"/>
      <c r="JK63" s="15"/>
      <c r="JL63" s="16"/>
      <c r="JM63" s="15"/>
      <c r="JN63" s="15"/>
      <c r="JO63" s="15"/>
      <c r="JP63" s="15"/>
    </row>
    <row r="64" spans="33:276" ht="15" customHeight="1" x14ac:dyDescent="0.3">
      <c r="AG64" s="2"/>
      <c r="JD64" s="15"/>
      <c r="JE64" s="15"/>
      <c r="JF64" s="15"/>
      <c r="JG64" s="15"/>
      <c r="JH64" s="15"/>
      <c r="JI64" s="15"/>
      <c r="JJ64" s="15"/>
      <c r="JK64" s="15"/>
      <c r="JL64" s="16"/>
      <c r="JM64" s="15"/>
      <c r="JN64" s="15"/>
      <c r="JO64" s="15"/>
      <c r="JP64" s="15"/>
    </row>
    <row r="65" spans="33:276" ht="15" customHeight="1" x14ac:dyDescent="0.3">
      <c r="AG65" s="2"/>
      <c r="JD65" s="15"/>
      <c r="JE65" s="15"/>
      <c r="JF65" s="15"/>
      <c r="JG65" s="15"/>
      <c r="JH65" s="15"/>
      <c r="JI65" s="15"/>
      <c r="JJ65" s="15"/>
      <c r="JK65" s="15"/>
      <c r="JL65" s="16"/>
      <c r="JM65" s="15"/>
      <c r="JN65" s="15"/>
      <c r="JO65" s="15"/>
      <c r="JP65" s="15"/>
    </row>
    <row r="66" spans="33:276" ht="15" customHeight="1" x14ac:dyDescent="0.3">
      <c r="AG66" s="2"/>
      <c r="JD66" s="15"/>
      <c r="JE66" s="15"/>
      <c r="JF66" s="15"/>
      <c r="JG66" s="15"/>
      <c r="JH66" s="15"/>
      <c r="JI66" s="15"/>
      <c r="JJ66" s="15"/>
      <c r="JK66" s="15"/>
      <c r="JL66" s="16"/>
      <c r="JM66" s="15"/>
      <c r="JN66" s="15"/>
      <c r="JO66" s="15"/>
      <c r="JP66" s="15"/>
    </row>
    <row r="67" spans="33:276" ht="15" customHeight="1" x14ac:dyDescent="0.3">
      <c r="AG67" s="2"/>
      <c r="JD67" s="15"/>
      <c r="JE67" s="15"/>
      <c r="JF67" s="15"/>
      <c r="JG67" s="15"/>
      <c r="JH67" s="15"/>
      <c r="JI67" s="15"/>
      <c r="JJ67" s="15"/>
      <c r="JK67" s="15"/>
      <c r="JL67" s="16"/>
      <c r="JM67" s="15"/>
      <c r="JN67" s="15"/>
      <c r="JO67" s="15"/>
      <c r="JP67" s="15"/>
    </row>
    <row r="68" spans="33:276" ht="15" customHeight="1" x14ac:dyDescent="0.3">
      <c r="AG68" s="2"/>
      <c r="JD68" s="15"/>
      <c r="JE68" s="15"/>
      <c r="JF68" s="15"/>
      <c r="JG68" s="15"/>
      <c r="JH68" s="15"/>
      <c r="JI68" s="15"/>
      <c r="JJ68" s="15"/>
      <c r="JK68" s="15"/>
      <c r="JL68" s="16"/>
      <c r="JM68" s="15"/>
      <c r="JN68" s="15"/>
      <c r="JO68" s="15"/>
      <c r="JP68" s="15"/>
    </row>
    <row r="69" spans="33:276" ht="15" customHeight="1" x14ac:dyDescent="0.3">
      <c r="AG69" s="2"/>
      <c r="JD69" s="15"/>
      <c r="JE69" s="15"/>
      <c r="JF69" s="15"/>
      <c r="JG69" s="15"/>
      <c r="JH69" s="15"/>
      <c r="JI69" s="15"/>
      <c r="JJ69" s="15"/>
      <c r="JK69" s="15"/>
      <c r="JL69" s="16"/>
      <c r="JM69" s="15"/>
      <c r="JN69" s="15"/>
      <c r="JO69" s="15"/>
      <c r="JP69" s="15"/>
    </row>
    <row r="70" spans="33:276" ht="15" customHeight="1" x14ac:dyDescent="0.3">
      <c r="AG70" s="2"/>
      <c r="JD70" s="15"/>
      <c r="JE70" s="15"/>
      <c r="JF70" s="15"/>
      <c r="JG70" s="15"/>
      <c r="JH70" s="15"/>
      <c r="JI70" s="15"/>
      <c r="JJ70" s="15"/>
      <c r="JK70" s="15"/>
      <c r="JL70" s="16"/>
      <c r="JM70" s="15"/>
      <c r="JN70" s="15"/>
      <c r="JO70" s="15"/>
      <c r="JP70" s="15"/>
    </row>
    <row r="71" spans="33:276" ht="15" customHeight="1" x14ac:dyDescent="0.3">
      <c r="AG71" s="2"/>
      <c r="JD71" s="15"/>
      <c r="JE71" s="15"/>
      <c r="JF71" s="15"/>
      <c r="JG71" s="15"/>
      <c r="JH71" s="15"/>
      <c r="JI71" s="15"/>
      <c r="JJ71" s="15"/>
      <c r="JK71" s="15"/>
      <c r="JL71" s="16"/>
      <c r="JM71" s="15"/>
      <c r="JN71" s="15"/>
      <c r="JO71" s="15"/>
      <c r="JP71" s="15"/>
    </row>
    <row r="72" spans="33:276" ht="15" customHeight="1" x14ac:dyDescent="0.3">
      <c r="AG72" s="2"/>
      <c r="JD72" s="15"/>
      <c r="JE72" s="15"/>
      <c r="JF72" s="15"/>
      <c r="JG72" s="15"/>
      <c r="JH72" s="15"/>
      <c r="JI72" s="15"/>
      <c r="JJ72" s="15"/>
      <c r="JK72" s="15"/>
      <c r="JL72" s="16"/>
      <c r="JM72" s="15"/>
      <c r="JN72" s="15"/>
      <c r="JO72" s="15"/>
      <c r="JP72" s="15"/>
    </row>
    <row r="73" spans="33:276" ht="15" customHeight="1" x14ac:dyDescent="0.3">
      <c r="AG73" s="2"/>
      <c r="JD73" s="15"/>
      <c r="JE73" s="15"/>
      <c r="JF73" s="15"/>
      <c r="JG73" s="15"/>
      <c r="JH73" s="15"/>
      <c r="JI73" s="15"/>
      <c r="JJ73" s="15"/>
      <c r="JK73" s="15"/>
      <c r="JL73" s="16"/>
      <c r="JM73" s="15"/>
      <c r="JN73" s="15"/>
      <c r="JO73" s="15"/>
      <c r="JP73" s="15"/>
    </row>
    <row r="74" spans="33:276" ht="15" customHeight="1" x14ac:dyDescent="0.3">
      <c r="AG74" s="2"/>
      <c r="JD74" s="15"/>
      <c r="JE74" s="15"/>
      <c r="JF74" s="15"/>
      <c r="JG74" s="15"/>
      <c r="JH74" s="15"/>
      <c r="JI74" s="15"/>
      <c r="JJ74" s="15"/>
      <c r="JK74" s="15"/>
      <c r="JL74" s="16"/>
      <c r="JM74" s="15"/>
      <c r="JN74" s="15"/>
      <c r="JO74" s="15"/>
      <c r="JP74" s="15"/>
    </row>
    <row r="75" spans="33:276" ht="15" customHeight="1" x14ac:dyDescent="0.3">
      <c r="AG75" s="2"/>
      <c r="JD75" s="15"/>
      <c r="JE75" s="15"/>
      <c r="JF75" s="15"/>
      <c r="JG75" s="15"/>
      <c r="JH75" s="15"/>
      <c r="JI75" s="15"/>
      <c r="JJ75" s="15"/>
      <c r="JK75" s="15"/>
      <c r="JL75" s="16"/>
      <c r="JM75" s="15"/>
      <c r="JN75" s="15"/>
      <c r="JO75" s="15"/>
      <c r="JP75" s="15"/>
    </row>
    <row r="76" spans="33:276" ht="15" customHeight="1" x14ac:dyDescent="0.3">
      <c r="AG76" s="2"/>
      <c r="JD76" s="15"/>
      <c r="JE76" s="15"/>
      <c r="JF76" s="15"/>
      <c r="JG76" s="15"/>
      <c r="JH76" s="15"/>
      <c r="JI76" s="15"/>
      <c r="JJ76" s="15"/>
      <c r="JK76" s="15"/>
      <c r="JL76" s="16"/>
      <c r="JM76" s="15"/>
      <c r="JN76" s="15"/>
      <c r="JO76" s="15"/>
      <c r="JP76" s="15"/>
    </row>
    <row r="77" spans="33:276" ht="15" customHeight="1" x14ac:dyDescent="0.3">
      <c r="AG77" s="2"/>
      <c r="JD77" s="15"/>
      <c r="JE77" s="15"/>
      <c r="JF77" s="15"/>
      <c r="JG77" s="15"/>
      <c r="JH77" s="15"/>
      <c r="JI77" s="15"/>
      <c r="JJ77" s="15"/>
      <c r="JK77" s="15"/>
      <c r="JL77" s="16"/>
      <c r="JM77" s="15"/>
      <c r="JN77" s="15"/>
      <c r="JO77" s="15"/>
      <c r="JP77" s="15"/>
    </row>
    <row r="78" spans="33:276" ht="15" customHeight="1" x14ac:dyDescent="0.3">
      <c r="AG78" s="2"/>
      <c r="JD78" s="15"/>
      <c r="JE78" s="15"/>
      <c r="JF78" s="15"/>
      <c r="JG78" s="15"/>
      <c r="JH78" s="15"/>
      <c r="JI78" s="15"/>
      <c r="JJ78" s="15"/>
      <c r="JK78" s="15"/>
      <c r="JL78" s="16"/>
      <c r="JM78" s="15"/>
      <c r="JN78" s="15"/>
      <c r="JO78" s="15"/>
      <c r="JP78" s="15"/>
    </row>
    <row r="79" spans="33:276" ht="15" customHeight="1" x14ac:dyDescent="0.3">
      <c r="AG79" s="2"/>
      <c r="JD79" s="15"/>
      <c r="JE79" s="15"/>
      <c r="JF79" s="15"/>
      <c r="JG79" s="15"/>
      <c r="JH79" s="15"/>
      <c r="JI79" s="15"/>
      <c r="JJ79" s="15"/>
      <c r="JK79" s="15"/>
      <c r="JL79" s="16"/>
      <c r="JM79" s="15"/>
      <c r="JN79" s="15"/>
      <c r="JO79" s="15"/>
      <c r="JP79" s="15"/>
    </row>
    <row r="80" spans="33:276" ht="15" customHeight="1" x14ac:dyDescent="0.3">
      <c r="AG80" s="2"/>
      <c r="JD80" s="15"/>
      <c r="JE80" s="15"/>
      <c r="JF80" s="15"/>
      <c r="JG80" s="15"/>
      <c r="JH80" s="15"/>
      <c r="JI80" s="15"/>
      <c r="JJ80" s="15"/>
      <c r="JK80" s="15"/>
      <c r="JL80" s="16"/>
      <c r="JM80" s="15"/>
      <c r="JN80" s="15"/>
      <c r="JO80" s="15"/>
      <c r="JP80" s="15"/>
    </row>
    <row r="81" spans="33:276" ht="15" customHeight="1" x14ac:dyDescent="0.3">
      <c r="AG81" s="2"/>
      <c r="JD81" s="15"/>
      <c r="JE81" s="15"/>
      <c r="JF81" s="15"/>
      <c r="JG81" s="15"/>
      <c r="JH81" s="15"/>
      <c r="JI81" s="15"/>
      <c r="JJ81" s="15"/>
      <c r="JK81" s="15"/>
      <c r="JL81" s="16"/>
      <c r="JM81" s="15"/>
      <c r="JN81" s="15"/>
      <c r="JO81" s="15"/>
      <c r="JP81" s="15"/>
    </row>
    <row r="82" spans="33:276" ht="15" customHeight="1" x14ac:dyDescent="0.3">
      <c r="AG82" s="2"/>
      <c r="JD82" s="15"/>
      <c r="JE82" s="15"/>
      <c r="JF82" s="15"/>
      <c r="JG82" s="15"/>
      <c r="JH82" s="15"/>
      <c r="JI82" s="15"/>
      <c r="JJ82" s="15"/>
      <c r="JK82" s="15"/>
      <c r="JL82" s="16"/>
      <c r="JM82" s="15"/>
      <c r="JN82" s="15"/>
      <c r="JO82" s="15"/>
      <c r="JP82" s="15"/>
    </row>
    <row r="83" spans="33:276" ht="15" customHeight="1" x14ac:dyDescent="0.3">
      <c r="AG83" s="2"/>
      <c r="JD83" s="15"/>
      <c r="JE83" s="15"/>
      <c r="JF83" s="15"/>
      <c r="JG83" s="15"/>
      <c r="JH83" s="15"/>
      <c r="JI83" s="15"/>
      <c r="JJ83" s="15"/>
      <c r="JK83" s="15"/>
      <c r="JL83" s="16"/>
      <c r="JM83" s="15"/>
      <c r="JN83" s="15"/>
      <c r="JO83" s="15"/>
      <c r="JP83" s="15"/>
    </row>
    <row r="84" spans="33:276" ht="15" customHeight="1" x14ac:dyDescent="0.3">
      <c r="AG84" s="2"/>
      <c r="JD84" s="15"/>
      <c r="JE84" s="15"/>
      <c r="JF84" s="15"/>
      <c r="JG84" s="15"/>
      <c r="JH84" s="15"/>
      <c r="JI84" s="15"/>
      <c r="JJ84" s="15"/>
      <c r="JK84" s="15"/>
      <c r="JL84" s="16"/>
      <c r="JM84" s="15"/>
      <c r="JN84" s="15"/>
      <c r="JO84" s="15"/>
      <c r="JP84" s="15"/>
    </row>
    <row r="85" spans="33:276" ht="15" customHeight="1" x14ac:dyDescent="0.3">
      <c r="AG85" s="2"/>
      <c r="JD85" s="15"/>
      <c r="JE85" s="15"/>
      <c r="JF85" s="15"/>
      <c r="JG85" s="15"/>
      <c r="JH85" s="15"/>
      <c r="JI85" s="15"/>
      <c r="JJ85" s="15"/>
      <c r="JK85" s="15"/>
      <c r="JL85" s="16"/>
      <c r="JM85" s="15"/>
      <c r="JN85" s="15"/>
      <c r="JO85" s="15"/>
      <c r="JP85" s="15"/>
    </row>
    <row r="86" spans="33:276" ht="15" customHeight="1" x14ac:dyDescent="0.3">
      <c r="AG86" s="2"/>
      <c r="JD86" s="15"/>
      <c r="JE86" s="15"/>
      <c r="JF86" s="15"/>
      <c r="JG86" s="15"/>
      <c r="JH86" s="15"/>
      <c r="JI86" s="15"/>
      <c r="JJ86" s="15"/>
      <c r="JK86" s="15"/>
      <c r="JL86" s="16"/>
      <c r="JM86" s="15"/>
      <c r="JN86" s="15"/>
      <c r="JO86" s="15"/>
      <c r="JP86" s="15"/>
    </row>
    <row r="87" spans="33:276" ht="15" customHeight="1" x14ac:dyDescent="0.3">
      <c r="AG87" s="2"/>
      <c r="JD87" s="15"/>
      <c r="JE87" s="15"/>
      <c r="JF87" s="15"/>
      <c r="JG87" s="15"/>
      <c r="JH87" s="15"/>
      <c r="JI87" s="15"/>
      <c r="JJ87" s="15"/>
      <c r="JK87" s="15"/>
      <c r="JL87" s="16"/>
      <c r="JM87" s="15"/>
      <c r="JN87" s="15"/>
      <c r="JO87" s="15"/>
      <c r="JP87" s="15"/>
    </row>
    <row r="88" spans="33:276" ht="15" customHeight="1" x14ac:dyDescent="0.3">
      <c r="AG88" s="2"/>
      <c r="JD88" s="15"/>
      <c r="JE88" s="15"/>
      <c r="JF88" s="15"/>
      <c r="JG88" s="15"/>
      <c r="JH88" s="15"/>
      <c r="JI88" s="15"/>
      <c r="JJ88" s="15"/>
      <c r="JK88" s="15"/>
      <c r="JL88" s="16"/>
      <c r="JM88" s="15"/>
      <c r="JN88" s="15"/>
      <c r="JO88" s="15"/>
      <c r="JP88" s="15"/>
    </row>
    <row r="89" spans="33:276" ht="15" customHeight="1" x14ac:dyDescent="0.3">
      <c r="AG89" s="2"/>
      <c r="JD89" s="15"/>
      <c r="JE89" s="15"/>
      <c r="JF89" s="15"/>
      <c r="JG89" s="15"/>
      <c r="JH89" s="15"/>
      <c r="JI89" s="15"/>
      <c r="JJ89" s="15"/>
      <c r="JK89" s="15"/>
      <c r="JL89" s="16"/>
      <c r="JM89" s="15"/>
      <c r="JN89" s="15"/>
      <c r="JO89" s="15"/>
      <c r="JP89" s="15"/>
    </row>
    <row r="90" spans="33:276" ht="15" customHeight="1" x14ac:dyDescent="0.3">
      <c r="AG90" s="2"/>
      <c r="JD90" s="15"/>
      <c r="JE90" s="15"/>
      <c r="JF90" s="15"/>
      <c r="JG90" s="15"/>
      <c r="JH90" s="15"/>
      <c r="JI90" s="15"/>
      <c r="JJ90" s="15"/>
      <c r="JK90" s="15"/>
      <c r="JL90" s="16"/>
      <c r="JM90" s="15"/>
      <c r="JN90" s="15"/>
      <c r="JO90" s="15"/>
      <c r="JP90" s="15"/>
    </row>
    <row r="91" spans="33:276" ht="15" customHeight="1" x14ac:dyDescent="0.3">
      <c r="AG91" s="2"/>
      <c r="JD91" s="15"/>
      <c r="JE91" s="15"/>
      <c r="JF91" s="15"/>
      <c r="JG91" s="15"/>
      <c r="JH91" s="15"/>
      <c r="JI91" s="15"/>
      <c r="JJ91" s="15"/>
      <c r="JK91" s="15"/>
      <c r="JL91" s="16"/>
      <c r="JM91" s="15"/>
      <c r="JN91" s="15"/>
      <c r="JO91" s="15"/>
      <c r="JP91" s="15"/>
    </row>
    <row r="92" spans="33:276" ht="15" customHeight="1" x14ac:dyDescent="0.3">
      <c r="AG92" s="2"/>
      <c r="JD92" s="15"/>
      <c r="JE92" s="15"/>
      <c r="JF92" s="15"/>
      <c r="JG92" s="15"/>
      <c r="JH92" s="15"/>
      <c r="JI92" s="15"/>
      <c r="JJ92" s="15"/>
      <c r="JK92" s="15"/>
      <c r="JL92" s="16"/>
      <c r="JM92" s="15"/>
      <c r="JN92" s="15"/>
      <c r="JO92" s="15"/>
      <c r="JP92" s="15"/>
    </row>
    <row r="93" spans="33:276" ht="15" customHeight="1" x14ac:dyDescent="0.3">
      <c r="AG93" s="2"/>
      <c r="JD93" s="15"/>
      <c r="JE93" s="15"/>
      <c r="JF93" s="15"/>
      <c r="JG93" s="15"/>
      <c r="JH93" s="15"/>
      <c r="JI93" s="15"/>
      <c r="JJ93" s="15"/>
      <c r="JK93" s="15"/>
      <c r="JL93" s="16"/>
      <c r="JM93" s="15"/>
      <c r="JN93" s="15"/>
      <c r="JO93" s="15"/>
      <c r="JP93" s="15"/>
    </row>
    <row r="94" spans="33:276" ht="15" customHeight="1" x14ac:dyDescent="0.3">
      <c r="AG94" s="2"/>
      <c r="JD94" s="15"/>
      <c r="JE94" s="15"/>
      <c r="JF94" s="15"/>
      <c r="JG94" s="15"/>
      <c r="JH94" s="15"/>
      <c r="JI94" s="15"/>
      <c r="JJ94" s="15"/>
      <c r="JK94" s="15"/>
      <c r="JL94" s="16"/>
      <c r="JM94" s="15"/>
      <c r="JN94" s="15"/>
      <c r="JO94" s="15"/>
      <c r="JP94" s="15"/>
    </row>
    <row r="95" spans="33:276" ht="15" customHeight="1" x14ac:dyDescent="0.3">
      <c r="AG95" s="2"/>
      <c r="JD95" s="15"/>
      <c r="JE95" s="15"/>
      <c r="JF95" s="15"/>
      <c r="JG95" s="15"/>
      <c r="JH95" s="15"/>
      <c r="JI95" s="15"/>
      <c r="JJ95" s="15"/>
      <c r="JK95" s="15"/>
      <c r="JL95" s="16"/>
      <c r="JM95" s="15"/>
      <c r="JN95" s="15"/>
      <c r="JO95" s="15"/>
      <c r="JP95" s="15"/>
    </row>
    <row r="96" spans="33:276" ht="15" customHeight="1" x14ac:dyDescent="0.3">
      <c r="AG96" s="2"/>
      <c r="JD96" s="15"/>
      <c r="JE96" s="15"/>
      <c r="JF96" s="15"/>
      <c r="JG96" s="15"/>
      <c r="JH96" s="15"/>
      <c r="JI96" s="15"/>
      <c r="JJ96" s="15"/>
      <c r="JK96" s="15"/>
      <c r="JL96" s="16"/>
      <c r="JM96" s="15"/>
      <c r="JN96" s="15"/>
      <c r="JO96" s="15"/>
      <c r="JP96" s="15"/>
    </row>
    <row r="97" spans="33:276" ht="15" customHeight="1" x14ac:dyDescent="0.3">
      <c r="AG97" s="2"/>
      <c r="JD97" s="15"/>
      <c r="JE97" s="15"/>
      <c r="JF97" s="15"/>
      <c r="JG97" s="15"/>
      <c r="JH97" s="15"/>
      <c r="JI97" s="15"/>
      <c r="JJ97" s="15"/>
      <c r="JK97" s="15"/>
      <c r="JL97" s="16"/>
      <c r="JM97" s="15"/>
      <c r="JN97" s="15"/>
      <c r="JO97" s="15"/>
      <c r="JP97" s="15"/>
    </row>
    <row r="98" spans="33:276" ht="15" customHeight="1" x14ac:dyDescent="0.3">
      <c r="AG98" s="2"/>
      <c r="JD98" s="15"/>
      <c r="JE98" s="15"/>
      <c r="JF98" s="15"/>
      <c r="JG98" s="15"/>
      <c r="JH98" s="15"/>
      <c r="JI98" s="15"/>
      <c r="JJ98" s="15"/>
      <c r="JK98" s="15"/>
      <c r="JL98" s="16"/>
      <c r="JM98" s="15"/>
      <c r="JN98" s="15"/>
      <c r="JO98" s="15"/>
      <c r="JP98" s="15"/>
    </row>
    <row r="99" spans="33:276" ht="15" customHeight="1" x14ac:dyDescent="0.3">
      <c r="AG99" s="2"/>
      <c r="JD99" s="15"/>
      <c r="JE99" s="15"/>
      <c r="JF99" s="15"/>
      <c r="JG99" s="15"/>
      <c r="JH99" s="15"/>
      <c r="JI99" s="15"/>
      <c r="JJ99" s="15"/>
      <c r="JK99" s="15"/>
      <c r="JL99" s="16"/>
      <c r="JM99" s="15"/>
      <c r="JN99" s="15"/>
      <c r="JO99" s="15"/>
      <c r="JP99" s="15"/>
    </row>
    <row r="100" spans="33:276" ht="15" customHeight="1" x14ac:dyDescent="0.3">
      <c r="AG100" s="2"/>
      <c r="JD100" s="15"/>
      <c r="JE100" s="15"/>
      <c r="JF100" s="15"/>
      <c r="JG100" s="15"/>
      <c r="JH100" s="15"/>
      <c r="JI100" s="15"/>
      <c r="JJ100" s="15"/>
      <c r="JK100" s="15"/>
      <c r="JL100" s="16"/>
      <c r="JM100" s="15"/>
      <c r="JN100" s="15"/>
      <c r="JO100" s="15"/>
      <c r="JP100" s="15"/>
    </row>
    <row r="101" spans="33:276" ht="15" customHeight="1" x14ac:dyDescent="0.3">
      <c r="AG101" s="2"/>
      <c r="JD101" s="15"/>
      <c r="JE101" s="15"/>
      <c r="JF101" s="15"/>
      <c r="JG101" s="15"/>
      <c r="JH101" s="15"/>
      <c r="JI101" s="15"/>
      <c r="JJ101" s="15"/>
      <c r="JK101" s="15"/>
      <c r="JL101" s="16"/>
      <c r="JM101" s="15"/>
      <c r="JN101" s="15"/>
      <c r="JO101" s="15"/>
      <c r="JP101" s="15"/>
    </row>
    <row r="102" spans="33:276" ht="15" customHeight="1" x14ac:dyDescent="0.3">
      <c r="AG102" s="2"/>
      <c r="JD102" s="15"/>
      <c r="JE102" s="15"/>
      <c r="JF102" s="15"/>
      <c r="JG102" s="15"/>
      <c r="JH102" s="15"/>
      <c r="JI102" s="15"/>
      <c r="JJ102" s="15"/>
      <c r="JK102" s="15"/>
      <c r="JL102" s="16"/>
      <c r="JM102" s="15"/>
      <c r="JN102" s="15"/>
      <c r="JO102" s="15"/>
      <c r="JP102" s="15"/>
    </row>
    <row r="103" spans="33:276" ht="15" customHeight="1" x14ac:dyDescent="0.3">
      <c r="AG103" s="2"/>
      <c r="JD103" s="15"/>
      <c r="JE103" s="15"/>
      <c r="JF103" s="15"/>
      <c r="JG103" s="15"/>
      <c r="JH103" s="15"/>
      <c r="JI103" s="15"/>
      <c r="JJ103" s="15"/>
      <c r="JK103" s="15"/>
      <c r="JL103" s="16"/>
      <c r="JM103" s="15"/>
      <c r="JN103" s="15"/>
      <c r="JO103" s="15"/>
      <c r="JP103" s="15"/>
    </row>
    <row r="104" spans="33:276" ht="15" customHeight="1" x14ac:dyDescent="0.3">
      <c r="AG104" s="2"/>
      <c r="JD104" s="15"/>
      <c r="JE104" s="15"/>
      <c r="JF104" s="15"/>
      <c r="JG104" s="15"/>
      <c r="JH104" s="15"/>
      <c r="JI104" s="15"/>
      <c r="JJ104" s="15"/>
      <c r="JK104" s="15"/>
      <c r="JL104" s="16"/>
      <c r="JM104" s="15"/>
      <c r="JN104" s="15"/>
      <c r="JO104" s="15"/>
      <c r="JP104" s="15"/>
    </row>
    <row r="105" spans="33:276" ht="15" customHeight="1" x14ac:dyDescent="0.3">
      <c r="AG105" s="2"/>
      <c r="JD105" s="15"/>
      <c r="JE105" s="15"/>
      <c r="JF105" s="15"/>
      <c r="JG105" s="15"/>
      <c r="JH105" s="15"/>
      <c r="JI105" s="15"/>
      <c r="JJ105" s="15"/>
      <c r="JK105" s="15"/>
      <c r="JL105" s="16"/>
      <c r="JM105" s="15"/>
      <c r="JN105" s="15"/>
      <c r="JO105" s="15"/>
      <c r="JP105" s="15"/>
    </row>
    <row r="106" spans="33:276" ht="15" customHeight="1" x14ac:dyDescent="0.3">
      <c r="AG106" s="2"/>
      <c r="JD106" s="15"/>
      <c r="JE106" s="15"/>
      <c r="JF106" s="15"/>
      <c r="JG106" s="15"/>
      <c r="JH106" s="15"/>
      <c r="JI106" s="15"/>
      <c r="JJ106" s="15"/>
      <c r="JK106" s="15"/>
      <c r="JL106" s="16"/>
      <c r="JM106" s="15"/>
      <c r="JN106" s="15"/>
      <c r="JO106" s="15"/>
      <c r="JP106" s="15"/>
    </row>
    <row r="107" spans="33:276" ht="15" customHeight="1" x14ac:dyDescent="0.3">
      <c r="AG107" s="2"/>
      <c r="JD107" s="15"/>
      <c r="JE107" s="15"/>
      <c r="JF107" s="15"/>
      <c r="JG107" s="15"/>
      <c r="JH107" s="15"/>
      <c r="JI107" s="15"/>
      <c r="JJ107" s="15"/>
      <c r="JK107" s="15"/>
      <c r="JL107" s="16"/>
      <c r="JM107" s="15"/>
      <c r="JN107" s="15"/>
      <c r="JO107" s="15"/>
      <c r="JP107" s="15"/>
    </row>
    <row r="108" spans="33:276" ht="15" customHeight="1" x14ac:dyDescent="0.3">
      <c r="AG108" s="2"/>
      <c r="JD108" s="15"/>
      <c r="JE108" s="15"/>
      <c r="JF108" s="15"/>
      <c r="JG108" s="15"/>
      <c r="JH108" s="15"/>
      <c r="JI108" s="15"/>
      <c r="JJ108" s="15"/>
      <c r="JK108" s="15"/>
      <c r="JL108" s="16"/>
      <c r="JM108" s="15"/>
      <c r="JN108" s="15"/>
      <c r="JO108" s="15"/>
      <c r="JP108" s="15"/>
    </row>
    <row r="109" spans="33:276" ht="15" customHeight="1" x14ac:dyDescent="0.3">
      <c r="AG109" s="2"/>
      <c r="JD109" s="15"/>
      <c r="JE109" s="15"/>
      <c r="JF109" s="15"/>
      <c r="JG109" s="15"/>
      <c r="JH109" s="15"/>
      <c r="JI109" s="15"/>
      <c r="JJ109" s="15"/>
      <c r="JK109" s="15"/>
      <c r="JL109" s="16"/>
      <c r="JM109" s="15"/>
      <c r="JN109" s="15"/>
      <c r="JO109" s="15"/>
      <c r="JP109" s="15"/>
    </row>
    <row r="110" spans="33:276" ht="15" customHeight="1" x14ac:dyDescent="0.3">
      <c r="AG110" s="2"/>
      <c r="JD110" s="15"/>
      <c r="JE110" s="15"/>
      <c r="JF110" s="15"/>
      <c r="JG110" s="15"/>
      <c r="JH110" s="15"/>
      <c r="JI110" s="15"/>
      <c r="JJ110" s="15"/>
      <c r="JK110" s="15"/>
      <c r="JL110" s="16"/>
      <c r="JM110" s="15"/>
      <c r="JN110" s="15"/>
      <c r="JO110" s="15"/>
      <c r="JP110" s="15"/>
    </row>
    <row r="111" spans="33:276" ht="15" customHeight="1" x14ac:dyDescent="0.3">
      <c r="AG111" s="2"/>
      <c r="JD111" s="15"/>
      <c r="JE111" s="15"/>
      <c r="JF111" s="15"/>
      <c r="JG111" s="15"/>
      <c r="JH111" s="15"/>
      <c r="JI111" s="15"/>
      <c r="JJ111" s="15"/>
      <c r="JK111" s="15"/>
      <c r="JL111" s="16"/>
      <c r="JM111" s="15"/>
      <c r="JN111" s="15"/>
      <c r="JO111" s="15"/>
      <c r="JP111" s="15"/>
    </row>
    <row r="112" spans="33:276" ht="15" customHeight="1" x14ac:dyDescent="0.3">
      <c r="AG112" s="2"/>
      <c r="JD112" s="15"/>
      <c r="JE112" s="15"/>
      <c r="JF112" s="15"/>
      <c r="JG112" s="15"/>
      <c r="JH112" s="15"/>
      <c r="JI112" s="15"/>
      <c r="JJ112" s="15"/>
      <c r="JK112" s="15"/>
      <c r="JL112" s="16"/>
      <c r="JM112" s="15"/>
      <c r="JN112" s="15"/>
      <c r="JO112" s="15"/>
      <c r="JP112" s="15"/>
    </row>
    <row r="113" spans="33:276" ht="15" customHeight="1" x14ac:dyDescent="0.3">
      <c r="AG113" s="2"/>
      <c r="JD113" s="15"/>
      <c r="JE113" s="15"/>
      <c r="JF113" s="15"/>
      <c r="JG113" s="15"/>
      <c r="JH113" s="15"/>
      <c r="JI113" s="15"/>
      <c r="JJ113" s="15"/>
      <c r="JK113" s="15"/>
      <c r="JL113" s="16"/>
      <c r="JM113" s="15"/>
      <c r="JN113" s="15"/>
      <c r="JO113" s="15"/>
      <c r="JP113" s="15"/>
    </row>
    <row r="114" spans="33:276" ht="15" customHeight="1" x14ac:dyDescent="0.3">
      <c r="AG114" s="2"/>
      <c r="JD114" s="15"/>
      <c r="JE114" s="15"/>
      <c r="JF114" s="15"/>
      <c r="JG114" s="15"/>
      <c r="JH114" s="15"/>
      <c r="JI114" s="15"/>
      <c r="JJ114" s="15"/>
      <c r="JK114" s="15"/>
      <c r="JL114" s="16"/>
      <c r="JM114" s="15"/>
      <c r="JN114" s="15"/>
      <c r="JO114" s="15"/>
      <c r="JP114" s="15"/>
    </row>
    <row r="115" spans="33:276" ht="15" customHeight="1" x14ac:dyDescent="0.3">
      <c r="AG115" s="2"/>
      <c r="JD115" s="15"/>
      <c r="JE115" s="15"/>
      <c r="JF115" s="15"/>
      <c r="JG115" s="15"/>
      <c r="JH115" s="15"/>
      <c r="JI115" s="15"/>
      <c r="JJ115" s="15"/>
      <c r="JK115" s="15"/>
      <c r="JL115" s="16"/>
      <c r="JM115" s="15"/>
      <c r="JN115" s="15"/>
      <c r="JO115" s="15"/>
      <c r="JP115" s="15"/>
    </row>
    <row r="116" spans="33:276" ht="15" customHeight="1" x14ac:dyDescent="0.3">
      <c r="AG116" s="2"/>
      <c r="JD116" s="15"/>
      <c r="JE116" s="15"/>
      <c r="JF116" s="15"/>
      <c r="JG116" s="15"/>
      <c r="JH116" s="15"/>
      <c r="JI116" s="15"/>
      <c r="JJ116" s="15"/>
      <c r="JK116" s="15"/>
      <c r="JL116" s="16"/>
      <c r="JM116" s="15"/>
      <c r="JN116" s="15"/>
      <c r="JO116" s="15"/>
      <c r="JP116" s="15"/>
    </row>
    <row r="117" spans="33:276" ht="15" customHeight="1" x14ac:dyDescent="0.3">
      <c r="AG117" s="2"/>
      <c r="JD117" s="15"/>
      <c r="JE117" s="15"/>
      <c r="JF117" s="15"/>
      <c r="JG117" s="15"/>
      <c r="JH117" s="15"/>
      <c r="JI117" s="15"/>
      <c r="JJ117" s="15"/>
      <c r="JK117" s="15"/>
      <c r="JL117" s="16"/>
      <c r="JM117" s="15"/>
      <c r="JN117" s="15"/>
      <c r="JO117" s="15"/>
      <c r="JP117" s="15"/>
    </row>
    <row r="118" spans="33:276" ht="15" customHeight="1" x14ac:dyDescent="0.3">
      <c r="AG118" s="2"/>
      <c r="JD118" s="15"/>
      <c r="JE118" s="15"/>
      <c r="JF118" s="15"/>
      <c r="JG118" s="15"/>
      <c r="JH118" s="15"/>
      <c r="JI118" s="15"/>
      <c r="JJ118" s="15"/>
      <c r="JK118" s="15"/>
      <c r="JL118" s="16"/>
      <c r="JM118" s="15"/>
      <c r="JN118" s="15"/>
      <c r="JO118" s="15"/>
      <c r="JP118" s="15"/>
    </row>
    <row r="119" spans="33:276" ht="15" customHeight="1" x14ac:dyDescent="0.3">
      <c r="AG119" s="2"/>
      <c r="JD119" s="15"/>
      <c r="JE119" s="15"/>
      <c r="JF119" s="15"/>
      <c r="JG119" s="15"/>
      <c r="JH119" s="15"/>
      <c r="JI119" s="15"/>
      <c r="JJ119" s="15"/>
      <c r="JK119" s="15"/>
      <c r="JL119" s="16"/>
      <c r="JM119" s="15"/>
      <c r="JN119" s="15"/>
      <c r="JO119" s="15"/>
      <c r="JP119" s="15"/>
    </row>
    <row r="120" spans="33:276" ht="15" customHeight="1" x14ac:dyDescent="0.3">
      <c r="AG120" s="2"/>
      <c r="JD120" s="15"/>
      <c r="JE120" s="15"/>
      <c r="JF120" s="15"/>
      <c r="JG120" s="15"/>
      <c r="JH120" s="15"/>
      <c r="JI120" s="15"/>
      <c r="JJ120" s="15"/>
      <c r="JK120" s="15"/>
      <c r="JL120" s="16"/>
      <c r="JM120" s="15"/>
      <c r="JN120" s="15"/>
      <c r="JO120" s="15"/>
      <c r="JP120" s="15"/>
    </row>
    <row r="121" spans="33:276" ht="15" customHeight="1" x14ac:dyDescent="0.3">
      <c r="AG121" s="2"/>
      <c r="JD121" s="15"/>
      <c r="JE121" s="15"/>
      <c r="JF121" s="15"/>
      <c r="JG121" s="15"/>
      <c r="JH121" s="15"/>
      <c r="JI121" s="15"/>
      <c r="JJ121" s="15"/>
      <c r="JK121" s="15"/>
      <c r="JL121" s="16"/>
      <c r="JM121" s="15"/>
      <c r="JN121" s="15"/>
      <c r="JO121" s="15"/>
      <c r="JP121" s="15"/>
    </row>
    <row r="122" spans="33:276" ht="15" customHeight="1" x14ac:dyDescent="0.3">
      <c r="AG122" s="2"/>
      <c r="JD122" s="15"/>
      <c r="JE122" s="15"/>
      <c r="JF122" s="15"/>
      <c r="JG122" s="15"/>
      <c r="JH122" s="15"/>
      <c r="JI122" s="15"/>
      <c r="JJ122" s="15"/>
      <c r="JK122" s="15"/>
      <c r="JL122" s="16"/>
      <c r="JM122" s="15"/>
      <c r="JN122" s="15"/>
      <c r="JO122" s="15"/>
      <c r="JP122" s="15"/>
    </row>
    <row r="123" spans="33:276" ht="15" customHeight="1" x14ac:dyDescent="0.3">
      <c r="AG123" s="2"/>
      <c r="JD123" s="15"/>
      <c r="JE123" s="15"/>
      <c r="JF123" s="15"/>
      <c r="JG123" s="15"/>
      <c r="JH123" s="15"/>
      <c r="JI123" s="15"/>
      <c r="JJ123" s="15"/>
      <c r="JK123" s="15"/>
      <c r="JL123" s="16"/>
      <c r="JM123" s="15"/>
      <c r="JN123" s="15"/>
      <c r="JO123" s="15"/>
      <c r="JP123" s="15"/>
    </row>
    <row r="124" spans="33:276" ht="15" customHeight="1" x14ac:dyDescent="0.3">
      <c r="AG124" s="2"/>
      <c r="JD124" s="15"/>
      <c r="JE124" s="15"/>
      <c r="JF124" s="15"/>
      <c r="JG124" s="15"/>
      <c r="JH124" s="15"/>
      <c r="JI124" s="15"/>
      <c r="JJ124" s="15"/>
      <c r="JK124" s="15"/>
      <c r="JL124" s="16"/>
      <c r="JM124" s="15"/>
      <c r="JN124" s="15"/>
      <c r="JO124" s="15"/>
      <c r="JP124" s="15"/>
    </row>
    <row r="125" spans="33:276" ht="15" customHeight="1" x14ac:dyDescent="0.3">
      <c r="AG125" s="2"/>
      <c r="JD125" s="15"/>
      <c r="JE125" s="15"/>
      <c r="JF125" s="15"/>
      <c r="JG125" s="15"/>
      <c r="JH125" s="15"/>
      <c r="JI125" s="15"/>
      <c r="JJ125" s="15"/>
      <c r="JK125" s="15"/>
      <c r="JL125" s="16"/>
      <c r="JM125" s="15"/>
      <c r="JN125" s="15"/>
      <c r="JO125" s="15"/>
      <c r="JP125" s="15"/>
    </row>
    <row r="126" spans="33:276" ht="15" customHeight="1" x14ac:dyDescent="0.3">
      <c r="AG126" s="2"/>
      <c r="JD126" s="15"/>
      <c r="JE126" s="15"/>
      <c r="JF126" s="15"/>
      <c r="JG126" s="15"/>
      <c r="JH126" s="15"/>
      <c r="JI126" s="15"/>
      <c r="JJ126" s="15"/>
      <c r="JK126" s="15"/>
      <c r="JL126" s="16"/>
      <c r="JM126" s="15"/>
      <c r="JN126" s="15"/>
      <c r="JO126" s="15"/>
      <c r="JP126" s="15"/>
    </row>
    <row r="127" spans="33:276" ht="15" customHeight="1" x14ac:dyDescent="0.3">
      <c r="AG127" s="2"/>
      <c r="JD127" s="15"/>
      <c r="JE127" s="15"/>
      <c r="JF127" s="15"/>
      <c r="JG127" s="15"/>
      <c r="JH127" s="15"/>
      <c r="JI127" s="15"/>
      <c r="JJ127" s="15"/>
      <c r="JK127" s="15"/>
      <c r="JL127" s="16"/>
      <c r="JM127" s="15"/>
      <c r="JN127" s="15"/>
      <c r="JO127" s="15"/>
      <c r="JP127" s="15"/>
    </row>
    <row r="128" spans="33:276" ht="15" customHeight="1" x14ac:dyDescent="0.3">
      <c r="AG128" s="2"/>
      <c r="JD128" s="15"/>
      <c r="JE128" s="15"/>
      <c r="JF128" s="15"/>
      <c r="JG128" s="15"/>
      <c r="JH128" s="15"/>
      <c r="JI128" s="15"/>
      <c r="JJ128" s="15"/>
      <c r="JK128" s="15"/>
      <c r="JL128" s="16"/>
      <c r="JM128" s="15"/>
      <c r="JN128" s="15"/>
      <c r="JO128" s="15"/>
      <c r="JP128" s="15"/>
    </row>
    <row r="129" spans="33:276" ht="15" customHeight="1" x14ac:dyDescent="0.3">
      <c r="AG129" s="2"/>
      <c r="JD129" s="15"/>
      <c r="JE129" s="15"/>
      <c r="JF129" s="15"/>
      <c r="JG129" s="15"/>
      <c r="JH129" s="15"/>
      <c r="JI129" s="15"/>
      <c r="JJ129" s="15"/>
      <c r="JK129" s="15"/>
      <c r="JL129" s="16"/>
      <c r="JM129" s="15"/>
      <c r="JN129" s="15"/>
      <c r="JO129" s="15"/>
      <c r="JP129" s="15"/>
    </row>
    <row r="130" spans="33:276" ht="15" customHeight="1" x14ac:dyDescent="0.3">
      <c r="AG130" s="2"/>
      <c r="JD130" s="15"/>
      <c r="JE130" s="15"/>
      <c r="JF130" s="15"/>
      <c r="JG130" s="15"/>
      <c r="JH130" s="15"/>
      <c r="JI130" s="15"/>
      <c r="JJ130" s="15"/>
      <c r="JK130" s="15"/>
      <c r="JL130" s="16"/>
      <c r="JM130" s="15"/>
      <c r="JN130" s="15"/>
      <c r="JO130" s="15"/>
      <c r="JP130" s="15"/>
    </row>
    <row r="131" spans="33:276" ht="15" customHeight="1" x14ac:dyDescent="0.3">
      <c r="AG131" s="2"/>
      <c r="JD131" s="15"/>
      <c r="JE131" s="15"/>
      <c r="JF131" s="15"/>
      <c r="JG131" s="15"/>
      <c r="JH131" s="15"/>
      <c r="JI131" s="15"/>
      <c r="JJ131" s="15"/>
      <c r="JK131" s="15"/>
      <c r="JL131" s="16"/>
      <c r="JM131" s="15"/>
      <c r="JN131" s="15"/>
      <c r="JO131" s="15"/>
      <c r="JP131" s="15"/>
    </row>
    <row r="132" spans="33:276" ht="15" customHeight="1" x14ac:dyDescent="0.3">
      <c r="AG132" s="2"/>
      <c r="JD132" s="15"/>
      <c r="JE132" s="15"/>
      <c r="JF132" s="15"/>
      <c r="JG132" s="15"/>
      <c r="JH132" s="15"/>
      <c r="JI132" s="15"/>
      <c r="JJ132" s="15"/>
      <c r="JK132" s="15"/>
      <c r="JL132" s="16"/>
      <c r="JM132" s="15"/>
      <c r="JN132" s="15"/>
      <c r="JO132" s="15"/>
      <c r="JP132" s="15"/>
    </row>
    <row r="133" spans="33:276" ht="15" customHeight="1" x14ac:dyDescent="0.3">
      <c r="AG133" s="2"/>
      <c r="JD133" s="15"/>
      <c r="JE133" s="15"/>
      <c r="JF133" s="15"/>
      <c r="JG133" s="15"/>
      <c r="JH133" s="15"/>
      <c r="JI133" s="15"/>
      <c r="JJ133" s="15"/>
      <c r="JK133" s="15"/>
      <c r="JL133" s="16"/>
      <c r="JM133" s="15"/>
      <c r="JN133" s="15"/>
      <c r="JO133" s="15"/>
      <c r="JP133" s="15"/>
    </row>
    <row r="134" spans="33:276" ht="15" customHeight="1" x14ac:dyDescent="0.3">
      <c r="AG134" s="2"/>
      <c r="JD134" s="15"/>
      <c r="JE134" s="15"/>
      <c r="JF134" s="15"/>
      <c r="JG134" s="15"/>
      <c r="JH134" s="15"/>
      <c r="JI134" s="15"/>
      <c r="JJ134" s="15"/>
      <c r="JK134" s="15"/>
      <c r="JL134" s="16"/>
      <c r="JM134" s="15"/>
      <c r="JN134" s="15"/>
      <c r="JO134" s="15"/>
      <c r="JP134" s="15"/>
    </row>
    <row r="135" spans="33:276" ht="15" customHeight="1" x14ac:dyDescent="0.3">
      <c r="AG135" s="2"/>
      <c r="JD135" s="15"/>
      <c r="JE135" s="15"/>
      <c r="JF135" s="15"/>
      <c r="JG135" s="15"/>
      <c r="JH135" s="15"/>
      <c r="JI135" s="15"/>
      <c r="JJ135" s="15"/>
      <c r="JK135" s="15"/>
      <c r="JL135" s="16"/>
      <c r="JM135" s="15"/>
      <c r="JN135" s="15"/>
      <c r="JO135" s="15"/>
      <c r="JP135" s="15"/>
    </row>
    <row r="136" spans="33:276" ht="15" customHeight="1" x14ac:dyDescent="0.3">
      <c r="AG136" s="2"/>
      <c r="JD136" s="15"/>
      <c r="JE136" s="15"/>
      <c r="JF136" s="15"/>
      <c r="JG136" s="15"/>
      <c r="JH136" s="15"/>
      <c r="JI136" s="15"/>
      <c r="JJ136" s="15"/>
      <c r="JK136" s="15"/>
      <c r="JL136" s="16"/>
      <c r="JM136" s="15"/>
      <c r="JN136" s="15"/>
      <c r="JO136" s="15"/>
      <c r="JP136" s="15"/>
    </row>
    <row r="137" spans="33:276" ht="15" customHeight="1" x14ac:dyDescent="0.3">
      <c r="AG137" s="2"/>
      <c r="JD137" s="15"/>
      <c r="JE137" s="15"/>
      <c r="JF137" s="15"/>
      <c r="JG137" s="15"/>
      <c r="JH137" s="15"/>
      <c r="JI137" s="15"/>
      <c r="JJ137" s="15"/>
      <c r="JK137" s="15"/>
      <c r="JL137" s="16"/>
      <c r="JM137" s="15"/>
      <c r="JN137" s="15"/>
      <c r="JO137" s="15"/>
      <c r="JP137" s="15"/>
    </row>
    <row r="138" spans="33:276" ht="15" customHeight="1" x14ac:dyDescent="0.3">
      <c r="AG138" s="2"/>
      <c r="JD138" s="15"/>
      <c r="JE138" s="15"/>
      <c r="JF138" s="15"/>
      <c r="JG138" s="15"/>
      <c r="JH138" s="15"/>
      <c r="JI138" s="15"/>
      <c r="JJ138" s="15"/>
      <c r="JK138" s="15"/>
      <c r="JL138" s="16"/>
      <c r="JM138" s="15"/>
      <c r="JN138" s="15"/>
      <c r="JO138" s="15"/>
      <c r="JP138" s="15"/>
    </row>
    <row r="139" spans="33:276" ht="15" customHeight="1" x14ac:dyDescent="0.3">
      <c r="AG139" s="2"/>
      <c r="JD139" s="15"/>
      <c r="JE139" s="15"/>
      <c r="JF139" s="15"/>
      <c r="JG139" s="15"/>
      <c r="JH139" s="15"/>
      <c r="JI139" s="15"/>
      <c r="JJ139" s="15"/>
      <c r="JK139" s="15"/>
      <c r="JL139" s="16"/>
      <c r="JM139" s="15"/>
      <c r="JN139" s="15"/>
      <c r="JO139" s="15"/>
      <c r="JP139" s="15"/>
    </row>
    <row r="140" spans="33:276" ht="15" customHeight="1" x14ac:dyDescent="0.3">
      <c r="AG140" s="2"/>
      <c r="JD140" s="15"/>
      <c r="JE140" s="15"/>
      <c r="JF140" s="15"/>
      <c r="JG140" s="15"/>
      <c r="JH140" s="15"/>
      <c r="JI140" s="15"/>
      <c r="JJ140" s="15"/>
      <c r="JK140" s="15"/>
      <c r="JL140" s="16"/>
      <c r="JM140" s="15"/>
      <c r="JN140" s="15"/>
      <c r="JO140" s="15"/>
      <c r="JP140" s="15"/>
    </row>
    <row r="141" spans="33:276" ht="15" customHeight="1" x14ac:dyDescent="0.3">
      <c r="AG141" s="2"/>
      <c r="JD141" s="15"/>
      <c r="JE141" s="15"/>
      <c r="JF141" s="15"/>
      <c r="JG141" s="15"/>
      <c r="JH141" s="15"/>
      <c r="JI141" s="15"/>
      <c r="JJ141" s="15"/>
      <c r="JK141" s="15"/>
      <c r="JL141" s="16"/>
      <c r="JM141" s="15"/>
      <c r="JN141" s="15"/>
      <c r="JO141" s="15"/>
      <c r="JP141" s="15"/>
    </row>
    <row r="142" spans="33:276" ht="15" customHeight="1" x14ac:dyDescent="0.3">
      <c r="AG142" s="2"/>
      <c r="JD142" s="15"/>
      <c r="JE142" s="15"/>
      <c r="JF142" s="15"/>
      <c r="JG142" s="15"/>
      <c r="JH142" s="15"/>
      <c r="JI142" s="15"/>
      <c r="JJ142" s="15"/>
      <c r="JK142" s="15"/>
      <c r="JL142" s="16"/>
      <c r="JM142" s="15"/>
      <c r="JN142" s="15"/>
      <c r="JO142" s="15"/>
      <c r="JP142" s="15"/>
    </row>
    <row r="143" spans="33:276" ht="15" customHeight="1" x14ac:dyDescent="0.3">
      <c r="AG143" s="2"/>
      <c r="JD143" s="15"/>
      <c r="JE143" s="15"/>
      <c r="JF143" s="15"/>
      <c r="JG143" s="15"/>
      <c r="JH143" s="15"/>
      <c r="JI143" s="15"/>
      <c r="JJ143" s="15"/>
      <c r="JK143" s="15"/>
      <c r="JL143" s="16"/>
      <c r="JM143" s="15"/>
      <c r="JN143" s="15"/>
      <c r="JO143" s="15"/>
      <c r="JP143" s="15"/>
    </row>
    <row r="144" spans="33:276" ht="15" customHeight="1" x14ac:dyDescent="0.3">
      <c r="AG144" s="2"/>
      <c r="JD144" s="15"/>
      <c r="JE144" s="15"/>
      <c r="JF144" s="15"/>
      <c r="JG144" s="15"/>
      <c r="JH144" s="15"/>
      <c r="JI144" s="15"/>
      <c r="JJ144" s="15"/>
      <c r="JK144" s="15"/>
      <c r="JL144" s="16"/>
      <c r="JM144" s="15"/>
      <c r="JN144" s="15"/>
      <c r="JO144" s="15"/>
      <c r="JP144" s="15"/>
    </row>
    <row r="145" spans="33:276" ht="15" customHeight="1" x14ac:dyDescent="0.3">
      <c r="AG145" s="2"/>
      <c r="JD145" s="15"/>
      <c r="JE145" s="15"/>
      <c r="JF145" s="15"/>
      <c r="JG145" s="15"/>
      <c r="JH145" s="15"/>
      <c r="JI145" s="15"/>
      <c r="JJ145" s="15"/>
      <c r="JK145" s="15"/>
      <c r="JL145" s="16"/>
      <c r="JM145" s="15"/>
      <c r="JN145" s="15"/>
      <c r="JO145" s="15"/>
      <c r="JP145" s="15"/>
    </row>
    <row r="146" spans="33:276" ht="15" customHeight="1" x14ac:dyDescent="0.3">
      <c r="AG146" s="2"/>
      <c r="JD146" s="15"/>
      <c r="JE146" s="15"/>
      <c r="JF146" s="15"/>
      <c r="JG146" s="15"/>
      <c r="JH146" s="15"/>
      <c r="JI146" s="15"/>
      <c r="JJ146" s="15"/>
      <c r="JK146" s="15"/>
      <c r="JL146" s="16"/>
      <c r="JM146" s="15"/>
      <c r="JN146" s="15"/>
      <c r="JO146" s="15"/>
      <c r="JP146" s="15"/>
    </row>
    <row r="147" spans="33:276" ht="15" customHeight="1" x14ac:dyDescent="0.3">
      <c r="AG147" s="2"/>
      <c r="JD147" s="15"/>
      <c r="JE147" s="15"/>
      <c r="JF147" s="15"/>
      <c r="JG147" s="15"/>
      <c r="JH147" s="15"/>
      <c r="JI147" s="15"/>
      <c r="JJ147" s="15"/>
      <c r="JK147" s="15"/>
      <c r="JL147" s="16"/>
      <c r="JM147" s="15"/>
      <c r="JN147" s="15"/>
      <c r="JO147" s="15"/>
      <c r="JP147" s="15"/>
    </row>
    <row r="148" spans="33:276" ht="15" customHeight="1" x14ac:dyDescent="0.3">
      <c r="AG148" s="2"/>
      <c r="JD148" s="15"/>
      <c r="JE148" s="15"/>
      <c r="JF148" s="15"/>
      <c r="JG148" s="15"/>
      <c r="JH148" s="15"/>
      <c r="JI148" s="15"/>
      <c r="JJ148" s="15"/>
      <c r="JK148" s="15"/>
      <c r="JL148" s="16"/>
      <c r="JM148" s="15"/>
      <c r="JN148" s="15"/>
      <c r="JO148" s="15"/>
      <c r="JP148" s="15"/>
    </row>
    <row r="149" spans="33:276" ht="15" customHeight="1" x14ac:dyDescent="0.3">
      <c r="AG149" s="2"/>
      <c r="JD149" s="15"/>
      <c r="JE149" s="15"/>
      <c r="JF149" s="15"/>
      <c r="JG149" s="15"/>
      <c r="JH149" s="15"/>
      <c r="JI149" s="15"/>
      <c r="JJ149" s="15"/>
      <c r="JK149" s="15"/>
      <c r="JL149" s="16"/>
      <c r="JM149" s="15"/>
      <c r="JN149" s="15"/>
      <c r="JO149" s="15"/>
      <c r="JP149" s="15"/>
    </row>
    <row r="150" spans="33:276" ht="15" customHeight="1" x14ac:dyDescent="0.3">
      <c r="AG150" s="2"/>
      <c r="JD150" s="15"/>
      <c r="JE150" s="15"/>
      <c r="JF150" s="15"/>
      <c r="JG150" s="15"/>
      <c r="JH150" s="15"/>
      <c r="JI150" s="15"/>
      <c r="JJ150" s="15"/>
      <c r="JK150" s="15"/>
      <c r="JL150" s="16"/>
      <c r="JM150" s="15"/>
      <c r="JN150" s="15"/>
      <c r="JO150" s="15"/>
      <c r="JP150" s="15"/>
    </row>
    <row r="151" spans="33:276" ht="15" customHeight="1" x14ac:dyDescent="0.3">
      <c r="AG151" s="2"/>
      <c r="JD151" s="15"/>
      <c r="JE151" s="15"/>
      <c r="JF151" s="15"/>
      <c r="JG151" s="15"/>
      <c r="JH151" s="15"/>
      <c r="JI151" s="15"/>
      <c r="JJ151" s="15"/>
      <c r="JK151" s="15"/>
      <c r="JL151" s="16"/>
      <c r="JM151" s="15"/>
      <c r="JN151" s="15"/>
      <c r="JO151" s="15"/>
      <c r="JP151" s="15"/>
    </row>
    <row r="152" spans="33:276" ht="15" customHeight="1" x14ac:dyDescent="0.3">
      <c r="AG152" s="2"/>
      <c r="JD152" s="15"/>
      <c r="JE152" s="15"/>
      <c r="JF152" s="15"/>
      <c r="JG152" s="15"/>
      <c r="JH152" s="15"/>
      <c r="JI152" s="15"/>
      <c r="JJ152" s="15"/>
      <c r="JK152" s="15"/>
      <c r="JL152" s="16"/>
      <c r="JM152" s="15"/>
      <c r="JN152" s="15"/>
      <c r="JO152" s="15"/>
      <c r="JP152" s="15"/>
    </row>
    <row r="153" spans="33:276" ht="15" customHeight="1" x14ac:dyDescent="0.3">
      <c r="AG153" s="2"/>
      <c r="JD153" s="15"/>
      <c r="JE153" s="15"/>
      <c r="JF153" s="15"/>
      <c r="JG153" s="15"/>
      <c r="JH153" s="15"/>
      <c r="JI153" s="15"/>
      <c r="JJ153" s="15"/>
      <c r="JK153" s="15"/>
      <c r="JL153" s="16"/>
      <c r="JM153" s="15"/>
      <c r="JN153" s="15"/>
      <c r="JO153" s="15"/>
      <c r="JP153" s="15"/>
    </row>
    <row r="154" spans="33:276" ht="15" customHeight="1" x14ac:dyDescent="0.3">
      <c r="AG154" s="2"/>
      <c r="JD154" s="15"/>
      <c r="JE154" s="15"/>
      <c r="JF154" s="15"/>
      <c r="JG154" s="15"/>
      <c r="JH154" s="15"/>
      <c r="JI154" s="15"/>
      <c r="JJ154" s="15"/>
      <c r="JK154" s="15"/>
      <c r="JL154" s="16"/>
      <c r="JM154" s="15"/>
      <c r="JN154" s="15"/>
      <c r="JO154" s="15"/>
      <c r="JP154" s="15"/>
    </row>
    <row r="155" spans="33:276" ht="15" customHeight="1" x14ac:dyDescent="0.3">
      <c r="AG155" s="2"/>
      <c r="JD155" s="15"/>
      <c r="JE155" s="15"/>
      <c r="JF155" s="15"/>
      <c r="JG155" s="15"/>
      <c r="JH155" s="15"/>
      <c r="JI155" s="15"/>
      <c r="JJ155" s="15"/>
      <c r="JK155" s="15"/>
      <c r="JL155" s="16"/>
      <c r="JM155" s="15"/>
      <c r="JN155" s="15"/>
      <c r="JO155" s="15"/>
      <c r="JP155" s="15"/>
    </row>
    <row r="156" spans="33:276" ht="15" customHeight="1" x14ac:dyDescent="0.3">
      <c r="AG156" s="2"/>
      <c r="JD156" s="15"/>
      <c r="JE156" s="15"/>
      <c r="JF156" s="15"/>
      <c r="JG156" s="15"/>
      <c r="JH156" s="15"/>
      <c r="JI156" s="15"/>
      <c r="JJ156" s="15"/>
      <c r="JK156" s="15"/>
      <c r="JL156" s="16"/>
      <c r="JM156" s="15"/>
      <c r="JN156" s="15"/>
      <c r="JO156" s="15"/>
      <c r="JP156" s="15"/>
    </row>
    <row r="157" spans="33:276" ht="15" customHeight="1" x14ac:dyDescent="0.3">
      <c r="AG157" s="2"/>
      <c r="JD157" s="15"/>
      <c r="JE157" s="15"/>
      <c r="JF157" s="15"/>
      <c r="JG157" s="15"/>
      <c r="JH157" s="15"/>
      <c r="JI157" s="15"/>
      <c r="JJ157" s="15"/>
      <c r="JK157" s="15"/>
      <c r="JL157" s="16"/>
      <c r="JM157" s="15"/>
      <c r="JN157" s="15"/>
      <c r="JO157" s="15"/>
      <c r="JP157" s="15"/>
    </row>
    <row r="158" spans="33:276" ht="15" customHeight="1" x14ac:dyDescent="0.3">
      <c r="AG158" s="2"/>
      <c r="JD158" s="15"/>
      <c r="JE158" s="15"/>
      <c r="JF158" s="15"/>
      <c r="JG158" s="15"/>
      <c r="JH158" s="15"/>
      <c r="JI158" s="15"/>
      <c r="JJ158" s="15"/>
      <c r="JK158" s="15"/>
      <c r="JL158" s="16"/>
      <c r="JM158" s="15"/>
      <c r="JN158" s="15"/>
      <c r="JO158" s="15"/>
      <c r="JP158" s="15"/>
    </row>
    <row r="159" spans="33:276" ht="15" customHeight="1" x14ac:dyDescent="0.3">
      <c r="AG159" s="2"/>
      <c r="JD159" s="15"/>
      <c r="JE159" s="15"/>
      <c r="JF159" s="15"/>
      <c r="JG159" s="15"/>
      <c r="JH159" s="15"/>
      <c r="JI159" s="15"/>
      <c r="JJ159" s="15"/>
      <c r="JK159" s="15"/>
      <c r="JL159" s="16"/>
      <c r="JM159" s="15"/>
      <c r="JN159" s="15"/>
      <c r="JO159" s="15"/>
      <c r="JP159" s="15"/>
    </row>
    <row r="160" spans="33:276" ht="15" customHeight="1" x14ac:dyDescent="0.3">
      <c r="AG160" s="2"/>
      <c r="JD160" s="15"/>
      <c r="JE160" s="15"/>
      <c r="JF160" s="15"/>
      <c r="JG160" s="15"/>
      <c r="JH160" s="15"/>
      <c r="JI160" s="15"/>
      <c r="JJ160" s="15"/>
      <c r="JK160" s="15"/>
      <c r="JL160" s="16"/>
      <c r="JM160" s="15"/>
      <c r="JN160" s="15"/>
      <c r="JO160" s="15"/>
      <c r="JP160" s="15"/>
    </row>
    <row r="161" spans="33:276" ht="15" customHeight="1" x14ac:dyDescent="0.3">
      <c r="AG161" s="2"/>
      <c r="JD161" s="15"/>
      <c r="JE161" s="15"/>
      <c r="JF161" s="15"/>
      <c r="JG161" s="15"/>
      <c r="JH161" s="15"/>
      <c r="JI161" s="15"/>
      <c r="JJ161" s="15"/>
      <c r="JK161" s="15"/>
      <c r="JL161" s="16"/>
      <c r="JM161" s="15"/>
      <c r="JN161" s="15"/>
      <c r="JO161" s="15"/>
      <c r="JP161" s="15"/>
    </row>
    <row r="162" spans="33:276" ht="15" customHeight="1" x14ac:dyDescent="0.3">
      <c r="AG162" s="2"/>
      <c r="JD162" s="15"/>
      <c r="JE162" s="15"/>
      <c r="JF162" s="15"/>
      <c r="JG162" s="15"/>
      <c r="JH162" s="15"/>
      <c r="JI162" s="15"/>
      <c r="JJ162" s="15"/>
      <c r="JK162" s="15"/>
      <c r="JL162" s="16"/>
      <c r="JM162" s="15"/>
      <c r="JN162" s="15"/>
      <c r="JO162" s="15"/>
      <c r="JP162" s="15"/>
    </row>
    <row r="163" spans="33:276" ht="15" customHeight="1" x14ac:dyDescent="0.3">
      <c r="AG163" s="2"/>
      <c r="JD163" s="15"/>
      <c r="JE163" s="15"/>
      <c r="JF163" s="15"/>
      <c r="JG163" s="15"/>
      <c r="JH163" s="15"/>
      <c r="JI163" s="15"/>
      <c r="JJ163" s="15"/>
      <c r="JK163" s="15"/>
      <c r="JL163" s="16"/>
      <c r="JM163" s="15"/>
      <c r="JN163" s="15"/>
      <c r="JO163" s="15"/>
      <c r="JP163" s="15"/>
    </row>
    <row r="164" spans="33:276" ht="15" customHeight="1" x14ac:dyDescent="0.3">
      <c r="AG164" s="2"/>
      <c r="JD164" s="15"/>
      <c r="JE164" s="15"/>
      <c r="JF164" s="15"/>
      <c r="JG164" s="15"/>
      <c r="JH164" s="15"/>
      <c r="JI164" s="15"/>
      <c r="JJ164" s="15"/>
      <c r="JK164" s="15"/>
      <c r="JL164" s="16"/>
      <c r="JM164" s="15"/>
      <c r="JN164" s="15"/>
      <c r="JO164" s="15"/>
      <c r="JP164" s="15"/>
    </row>
    <row r="165" spans="33:276" ht="15" customHeight="1" x14ac:dyDescent="0.3">
      <c r="AG165" s="2"/>
      <c r="JD165" s="15"/>
      <c r="JE165" s="15"/>
      <c r="JF165" s="15"/>
      <c r="JG165" s="15"/>
      <c r="JH165" s="15"/>
      <c r="JI165" s="15"/>
      <c r="JJ165" s="15"/>
      <c r="JK165" s="15"/>
      <c r="JL165" s="16"/>
      <c r="JM165" s="15"/>
      <c r="JN165" s="15"/>
      <c r="JO165" s="15"/>
      <c r="JP165" s="15"/>
    </row>
    <row r="166" spans="33:276" ht="15" customHeight="1" x14ac:dyDescent="0.3">
      <c r="AG166" s="2"/>
      <c r="JD166" s="15"/>
      <c r="JE166" s="15"/>
      <c r="JF166" s="15"/>
      <c r="JG166" s="15"/>
      <c r="JH166" s="15"/>
      <c r="JI166" s="15"/>
      <c r="JJ166" s="15"/>
      <c r="JK166" s="15"/>
      <c r="JL166" s="16"/>
      <c r="JM166" s="15"/>
      <c r="JN166" s="15"/>
      <c r="JO166" s="15"/>
      <c r="JP166" s="15"/>
    </row>
    <row r="167" spans="33:276" ht="15" customHeight="1" x14ac:dyDescent="0.3">
      <c r="AG167" s="2"/>
      <c r="JD167" s="15"/>
      <c r="JE167" s="15"/>
      <c r="JF167" s="15"/>
      <c r="JG167" s="15"/>
      <c r="JH167" s="15"/>
      <c r="JI167" s="15"/>
      <c r="JJ167" s="15"/>
      <c r="JK167" s="15"/>
      <c r="JL167" s="16"/>
      <c r="JM167" s="15"/>
      <c r="JN167" s="15"/>
      <c r="JO167" s="15"/>
      <c r="JP167" s="15"/>
    </row>
    <row r="168" spans="33:276" ht="15" customHeight="1" x14ac:dyDescent="0.3">
      <c r="AG168" s="2"/>
      <c r="JD168" s="15"/>
      <c r="JE168" s="15"/>
      <c r="JF168" s="15"/>
      <c r="JG168" s="15"/>
      <c r="JH168" s="15"/>
      <c r="JI168" s="15"/>
      <c r="JJ168" s="15"/>
      <c r="JK168" s="15"/>
      <c r="JL168" s="16"/>
      <c r="JM168" s="15"/>
      <c r="JN168" s="15"/>
      <c r="JO168" s="15"/>
      <c r="JP168" s="15"/>
    </row>
    <row r="169" spans="33:276" ht="15" customHeight="1" x14ac:dyDescent="0.3">
      <c r="AG169" s="2"/>
      <c r="JD169" s="15"/>
      <c r="JE169" s="15"/>
      <c r="JF169" s="15"/>
      <c r="JG169" s="15"/>
      <c r="JH169" s="15"/>
      <c r="JI169" s="15"/>
      <c r="JJ169" s="15"/>
      <c r="JK169" s="15"/>
      <c r="JL169" s="16"/>
      <c r="JM169" s="15"/>
      <c r="JN169" s="15"/>
      <c r="JO169" s="15"/>
      <c r="JP169" s="15"/>
    </row>
    <row r="170" spans="33:276" ht="15" customHeight="1" x14ac:dyDescent="0.3">
      <c r="AG170" s="2"/>
      <c r="JD170" s="15"/>
      <c r="JE170" s="15"/>
      <c r="JF170" s="15"/>
      <c r="JG170" s="15"/>
      <c r="JH170" s="15"/>
      <c r="JI170" s="15"/>
      <c r="JJ170" s="15"/>
      <c r="JK170" s="15"/>
      <c r="JL170" s="16"/>
      <c r="JM170" s="15"/>
      <c r="JN170" s="15"/>
      <c r="JO170" s="15"/>
      <c r="JP170" s="15"/>
    </row>
    <row r="171" spans="33:276" ht="15" customHeight="1" x14ac:dyDescent="0.3">
      <c r="AG171" s="2"/>
      <c r="JD171" s="15"/>
      <c r="JE171" s="15"/>
      <c r="JF171" s="15"/>
      <c r="JG171" s="15"/>
      <c r="JH171" s="15"/>
      <c r="JI171" s="15"/>
      <c r="JJ171" s="15"/>
      <c r="JK171" s="15"/>
      <c r="JL171" s="16"/>
      <c r="JM171" s="15"/>
      <c r="JN171" s="15"/>
      <c r="JO171" s="15"/>
      <c r="JP171" s="15"/>
    </row>
    <row r="172" spans="33:276" ht="15" customHeight="1" x14ac:dyDescent="0.3">
      <c r="AG172" s="2"/>
      <c r="JD172" s="15"/>
      <c r="JE172" s="15"/>
      <c r="JF172" s="15"/>
      <c r="JG172" s="15"/>
      <c r="JH172" s="15"/>
      <c r="JI172" s="15"/>
      <c r="JJ172" s="15"/>
      <c r="JK172" s="15"/>
      <c r="JL172" s="16"/>
      <c r="JM172" s="15"/>
      <c r="JN172" s="15"/>
      <c r="JO172" s="15"/>
      <c r="JP172" s="15"/>
    </row>
    <row r="173" spans="33:276" ht="15" customHeight="1" x14ac:dyDescent="0.3">
      <c r="AG173" s="2"/>
      <c r="JD173" s="15"/>
      <c r="JE173" s="15"/>
      <c r="JF173" s="15"/>
      <c r="JG173" s="15"/>
      <c r="JH173" s="15"/>
      <c r="JI173" s="15"/>
      <c r="JJ173" s="15"/>
      <c r="JK173" s="15"/>
      <c r="JL173" s="16"/>
      <c r="JM173" s="15"/>
      <c r="JN173" s="15"/>
      <c r="JO173" s="15"/>
      <c r="JP173" s="15"/>
    </row>
    <row r="174" spans="33:276" ht="15" customHeight="1" x14ac:dyDescent="0.3">
      <c r="AG174" s="2"/>
      <c r="JD174" s="15"/>
      <c r="JE174" s="15"/>
      <c r="JF174" s="15"/>
      <c r="JG174" s="15"/>
      <c r="JH174" s="15"/>
      <c r="JI174" s="15"/>
      <c r="JJ174" s="15"/>
      <c r="JK174" s="15"/>
      <c r="JL174" s="16"/>
      <c r="JM174" s="15"/>
      <c r="JN174" s="15"/>
      <c r="JO174" s="15"/>
      <c r="JP174" s="15"/>
    </row>
    <row r="175" spans="33:276" ht="15" customHeight="1" x14ac:dyDescent="0.3">
      <c r="AG175" s="2"/>
      <c r="JD175" s="15"/>
      <c r="JE175" s="15"/>
      <c r="JF175" s="15"/>
      <c r="JG175" s="15"/>
      <c r="JH175" s="15"/>
      <c r="JI175" s="15"/>
      <c r="JJ175" s="15"/>
      <c r="JK175" s="15"/>
      <c r="JL175" s="16"/>
      <c r="JM175" s="15"/>
      <c r="JN175" s="15"/>
      <c r="JO175" s="15"/>
      <c r="JP175" s="15"/>
    </row>
    <row r="176" spans="33:276" ht="15" customHeight="1" x14ac:dyDescent="0.3">
      <c r="AG176" s="2"/>
      <c r="JD176" s="15"/>
      <c r="JE176" s="15"/>
      <c r="JF176" s="15"/>
      <c r="JG176" s="15"/>
      <c r="JH176" s="15"/>
      <c r="JI176" s="15"/>
      <c r="JJ176" s="15"/>
      <c r="JK176" s="15"/>
      <c r="JL176" s="16"/>
      <c r="JM176" s="15"/>
      <c r="JN176" s="15"/>
      <c r="JO176" s="15"/>
      <c r="JP176" s="15"/>
    </row>
    <row r="177" spans="33:276" ht="15" customHeight="1" x14ac:dyDescent="0.3">
      <c r="AG177" s="2"/>
      <c r="JD177" s="15"/>
      <c r="JE177" s="15"/>
      <c r="JF177" s="15"/>
      <c r="JG177" s="15"/>
      <c r="JH177" s="15"/>
      <c r="JI177" s="15"/>
      <c r="JJ177" s="15"/>
      <c r="JK177" s="15"/>
      <c r="JL177" s="16"/>
      <c r="JM177" s="15"/>
      <c r="JN177" s="15"/>
      <c r="JO177" s="15"/>
      <c r="JP177" s="15"/>
    </row>
    <row r="178" spans="33:276" ht="15" customHeight="1" x14ac:dyDescent="0.3">
      <c r="AG178" s="2"/>
      <c r="JD178" s="15"/>
      <c r="JE178" s="15"/>
      <c r="JF178" s="15"/>
      <c r="JG178" s="15"/>
      <c r="JH178" s="15"/>
      <c r="JI178" s="15"/>
      <c r="JJ178" s="15"/>
      <c r="JK178" s="15"/>
      <c r="JL178" s="16"/>
      <c r="JM178" s="15"/>
      <c r="JN178" s="15"/>
      <c r="JO178" s="15"/>
      <c r="JP178" s="15"/>
    </row>
    <row r="179" spans="33:276" ht="15" customHeight="1" x14ac:dyDescent="0.3">
      <c r="AG179" s="2"/>
      <c r="JD179" s="15"/>
      <c r="JE179" s="15"/>
      <c r="JF179" s="15"/>
      <c r="JG179" s="15"/>
      <c r="JH179" s="15"/>
      <c r="JI179" s="15"/>
      <c r="JJ179" s="15"/>
      <c r="JK179" s="15"/>
      <c r="JL179" s="16"/>
      <c r="JM179" s="15"/>
      <c r="JN179" s="15"/>
      <c r="JO179" s="15"/>
      <c r="JP179" s="15"/>
    </row>
    <row r="180" spans="33:276" ht="15" customHeight="1" x14ac:dyDescent="0.3">
      <c r="AG180" s="2"/>
      <c r="JD180" s="15"/>
      <c r="JE180" s="15"/>
      <c r="JF180" s="15"/>
      <c r="JG180" s="15"/>
      <c r="JH180" s="15"/>
      <c r="JI180" s="15"/>
      <c r="JJ180" s="15"/>
      <c r="JK180" s="15"/>
      <c r="JL180" s="16"/>
      <c r="JM180" s="15"/>
      <c r="JN180" s="15"/>
      <c r="JO180" s="15"/>
      <c r="JP180" s="15"/>
    </row>
    <row r="181" spans="33:276" ht="15" customHeight="1" x14ac:dyDescent="0.3">
      <c r="AG181" s="2"/>
      <c r="JD181" s="15"/>
      <c r="JE181" s="15"/>
      <c r="JF181" s="15"/>
      <c r="JG181" s="15"/>
      <c r="JH181" s="15"/>
      <c r="JI181" s="15"/>
      <c r="JJ181" s="15"/>
      <c r="JK181" s="15"/>
      <c r="JL181" s="16"/>
      <c r="JM181" s="15"/>
      <c r="JN181" s="15"/>
      <c r="JO181" s="15"/>
      <c r="JP181" s="15"/>
    </row>
    <row r="182" spans="33:276" ht="15" customHeight="1" x14ac:dyDescent="0.3">
      <c r="AG182" s="2"/>
      <c r="JD182" s="15"/>
      <c r="JE182" s="15"/>
      <c r="JF182" s="15"/>
      <c r="JG182" s="15"/>
      <c r="JH182" s="15"/>
      <c r="JI182" s="15"/>
      <c r="JJ182" s="15"/>
      <c r="JK182" s="15"/>
      <c r="JL182" s="15"/>
      <c r="JM182" s="15"/>
      <c r="JN182" s="15"/>
      <c r="JO182" s="15"/>
      <c r="JP182" s="15"/>
    </row>
    <row r="183" spans="33:276" ht="15" customHeight="1" x14ac:dyDescent="0.3">
      <c r="AG183" s="2"/>
      <c r="JD183" s="15"/>
      <c r="JE183" s="15"/>
      <c r="JF183" s="15"/>
      <c r="JG183" s="15"/>
      <c r="JH183" s="15"/>
      <c r="JI183" s="15"/>
      <c r="JJ183" s="15"/>
      <c r="JK183" s="15"/>
      <c r="JL183" s="15"/>
      <c r="JM183" s="15"/>
      <c r="JN183" s="15"/>
      <c r="JO183" s="15"/>
      <c r="JP183" s="15"/>
    </row>
    <row r="184" spans="33:276" ht="15" customHeight="1" x14ac:dyDescent="0.3">
      <c r="AG184" s="2"/>
      <c r="JD184" s="15"/>
      <c r="JE184" s="15"/>
      <c r="JF184" s="15"/>
      <c r="JG184" s="15"/>
      <c r="JH184" s="15"/>
      <c r="JI184" s="15"/>
      <c r="JJ184" s="15"/>
      <c r="JK184" s="15"/>
      <c r="JL184" s="15"/>
      <c r="JM184" s="15"/>
      <c r="JN184" s="15"/>
      <c r="JO184" s="15"/>
      <c r="JP184" s="15"/>
    </row>
    <row r="185" spans="33:276" ht="15" customHeight="1" x14ac:dyDescent="0.3">
      <c r="AG185" s="2"/>
      <c r="JD185" s="15"/>
      <c r="JE185" s="15"/>
      <c r="JF185" s="15"/>
      <c r="JG185" s="15"/>
      <c r="JH185" s="15"/>
      <c r="JI185" s="15"/>
      <c r="JJ185" s="15"/>
      <c r="JK185" s="15"/>
      <c r="JL185" s="15"/>
      <c r="JM185" s="15"/>
      <c r="JN185" s="15"/>
      <c r="JO185" s="15"/>
      <c r="JP185" s="15"/>
    </row>
    <row r="186" spans="33:276" ht="15" customHeight="1" x14ac:dyDescent="0.3">
      <c r="AG186" s="2"/>
      <c r="JD186" s="15"/>
      <c r="JE186" s="15"/>
      <c r="JF186" s="15"/>
      <c r="JG186" s="15"/>
      <c r="JH186" s="15"/>
      <c r="JI186" s="15"/>
      <c r="JJ186" s="15"/>
      <c r="JK186" s="15"/>
      <c r="JL186" s="15"/>
      <c r="JM186" s="15"/>
      <c r="JN186" s="15"/>
      <c r="JO186" s="15"/>
      <c r="JP186" s="15"/>
    </row>
    <row r="187" spans="33:276" ht="15" customHeight="1" x14ac:dyDescent="0.3">
      <c r="AG187" s="2"/>
      <c r="JD187" s="15"/>
      <c r="JE187" s="15"/>
      <c r="JF187" s="15"/>
      <c r="JG187" s="15"/>
      <c r="JH187" s="15"/>
      <c r="JI187" s="15"/>
      <c r="JJ187" s="15"/>
      <c r="JK187" s="15"/>
      <c r="JL187" s="15"/>
      <c r="JM187" s="15"/>
      <c r="JN187" s="15"/>
      <c r="JO187" s="15"/>
      <c r="JP187" s="15"/>
    </row>
    <row r="188" spans="33:276" ht="15" customHeight="1" x14ac:dyDescent="0.3">
      <c r="AG188" s="2"/>
      <c r="JD188" s="15"/>
      <c r="JE188" s="15"/>
      <c r="JF188" s="15"/>
      <c r="JG188" s="15"/>
      <c r="JH188" s="15"/>
      <c r="JI188" s="15"/>
      <c r="JJ188" s="15"/>
      <c r="JK188" s="15"/>
      <c r="JL188" s="15"/>
      <c r="JM188" s="15"/>
      <c r="JN188" s="15"/>
      <c r="JO188" s="15"/>
      <c r="JP188" s="15"/>
    </row>
    <row r="189" spans="33:276" ht="15" customHeight="1" x14ac:dyDescent="0.3">
      <c r="AG189" s="2"/>
      <c r="JD189" s="15"/>
      <c r="JE189" s="15"/>
      <c r="JF189" s="15"/>
      <c r="JG189" s="15"/>
      <c r="JH189" s="15"/>
      <c r="JI189" s="15"/>
      <c r="JJ189" s="15"/>
      <c r="JK189" s="15"/>
      <c r="JL189" s="15"/>
      <c r="JM189" s="15"/>
      <c r="JN189" s="15"/>
      <c r="JO189" s="15"/>
      <c r="JP189" s="15"/>
    </row>
    <row r="190" spans="33:276" ht="15" customHeight="1" x14ac:dyDescent="0.3">
      <c r="AG190" s="2"/>
      <c r="JD190" s="15"/>
      <c r="JE190" s="15"/>
      <c r="JF190" s="15"/>
      <c r="JG190" s="15"/>
      <c r="JH190" s="15"/>
      <c r="JI190" s="15"/>
      <c r="JJ190" s="15"/>
      <c r="JK190" s="15"/>
      <c r="JL190" s="15"/>
      <c r="JM190" s="15"/>
      <c r="JN190" s="15"/>
      <c r="JO190" s="15"/>
      <c r="JP190" s="15"/>
    </row>
    <row r="191" spans="33:276" ht="15" customHeight="1" x14ac:dyDescent="0.3">
      <c r="AG191" s="2"/>
      <c r="JD191" s="15"/>
      <c r="JE191" s="15"/>
      <c r="JF191" s="15"/>
      <c r="JG191" s="15"/>
      <c r="JH191" s="15"/>
      <c r="JI191" s="15"/>
      <c r="JJ191" s="15"/>
      <c r="JK191" s="15"/>
      <c r="JL191" s="15"/>
      <c r="JM191" s="15"/>
      <c r="JN191" s="15"/>
      <c r="JO191" s="15"/>
      <c r="JP191" s="15"/>
    </row>
    <row r="192" spans="33:276" ht="15" customHeight="1" x14ac:dyDescent="0.3">
      <c r="AG192" s="2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</row>
    <row r="193" spans="33:276" ht="15" customHeight="1" x14ac:dyDescent="0.3">
      <c r="AG193" s="2"/>
      <c r="JD193" s="15"/>
      <c r="JE193" s="15"/>
      <c r="JF193" s="15"/>
      <c r="JG193" s="15"/>
      <c r="JH193" s="15"/>
      <c r="JI193" s="15"/>
      <c r="JJ193" s="15"/>
      <c r="JK193" s="15"/>
      <c r="JL193" s="15"/>
      <c r="JM193" s="15"/>
      <c r="JN193" s="15"/>
      <c r="JO193" s="15"/>
      <c r="JP193" s="15"/>
    </row>
    <row r="194" spans="33:276" ht="15" customHeight="1" x14ac:dyDescent="0.3">
      <c r="AG194" s="2"/>
      <c r="JD194" s="15"/>
      <c r="JE194" s="15"/>
      <c r="JF194" s="15"/>
      <c r="JG194" s="15"/>
      <c r="JH194" s="15"/>
      <c r="JI194" s="15"/>
      <c r="JJ194" s="15"/>
      <c r="JK194" s="15"/>
      <c r="JL194" s="15"/>
      <c r="JM194" s="15"/>
      <c r="JN194" s="15"/>
      <c r="JO194" s="15"/>
      <c r="JP194" s="15"/>
    </row>
    <row r="195" spans="33:276" ht="15" customHeight="1" x14ac:dyDescent="0.3">
      <c r="AG195" s="2"/>
      <c r="JD195" s="15"/>
      <c r="JE195" s="15"/>
      <c r="JF195" s="15"/>
      <c r="JG195" s="15"/>
      <c r="JH195" s="15"/>
      <c r="JI195" s="15"/>
      <c r="JJ195" s="15"/>
      <c r="JK195" s="15"/>
      <c r="JL195" s="15"/>
      <c r="JM195" s="15"/>
      <c r="JN195" s="15"/>
      <c r="JO195" s="15"/>
      <c r="JP195" s="15"/>
    </row>
    <row r="196" spans="33:276" ht="15" customHeight="1" x14ac:dyDescent="0.3">
      <c r="AG196" s="2"/>
      <c r="JD196" s="15"/>
      <c r="JE196" s="15"/>
      <c r="JF196" s="15"/>
      <c r="JG196" s="15"/>
      <c r="JH196" s="15"/>
      <c r="JI196" s="15"/>
      <c r="JJ196" s="15"/>
      <c r="JK196" s="15"/>
      <c r="JL196" s="15"/>
      <c r="JM196" s="15"/>
      <c r="JN196" s="15"/>
      <c r="JO196" s="15"/>
      <c r="JP196" s="15"/>
    </row>
    <row r="197" spans="33:276" ht="15" customHeight="1" x14ac:dyDescent="0.3">
      <c r="AG197" s="2"/>
      <c r="JD197" s="15"/>
      <c r="JE197" s="15"/>
      <c r="JF197" s="15"/>
      <c r="JG197" s="15"/>
      <c r="JH197" s="15"/>
      <c r="JI197" s="15"/>
      <c r="JJ197" s="15"/>
      <c r="JK197" s="15"/>
      <c r="JL197" s="15"/>
      <c r="JM197" s="15"/>
      <c r="JN197" s="15"/>
      <c r="JO197" s="15"/>
      <c r="JP197" s="15"/>
    </row>
    <row r="198" spans="33:276" ht="15" customHeight="1" x14ac:dyDescent="0.3">
      <c r="AG198" s="2"/>
      <c r="JD198" s="15"/>
      <c r="JE198" s="15"/>
      <c r="JF198" s="15"/>
      <c r="JG198" s="15"/>
      <c r="JH198" s="15"/>
      <c r="JI198" s="15"/>
      <c r="JJ198" s="15"/>
      <c r="JK198" s="15"/>
      <c r="JL198" s="15"/>
      <c r="JM198" s="15"/>
      <c r="JN198" s="15"/>
      <c r="JO198" s="15"/>
      <c r="JP198" s="15"/>
    </row>
    <row r="199" spans="33:276" ht="15" customHeight="1" x14ac:dyDescent="0.3">
      <c r="AG199" s="2"/>
      <c r="JD199" s="15"/>
      <c r="JE199" s="15"/>
      <c r="JF199" s="15"/>
      <c r="JG199" s="15"/>
      <c r="JH199" s="15"/>
      <c r="JI199" s="15"/>
      <c r="JJ199" s="15"/>
      <c r="JK199" s="15"/>
      <c r="JL199" s="15"/>
      <c r="JM199" s="15"/>
      <c r="JN199" s="15"/>
      <c r="JO199" s="15"/>
      <c r="JP199" s="15"/>
    </row>
    <row r="200" spans="33:276" ht="15" customHeight="1" x14ac:dyDescent="0.3">
      <c r="AG200" s="2"/>
      <c r="JD200" s="15"/>
      <c r="JE200" s="15"/>
      <c r="JF200" s="15"/>
      <c r="JG200" s="15"/>
      <c r="JH200" s="15"/>
      <c r="JI200" s="15"/>
      <c r="JJ200" s="15"/>
      <c r="JK200" s="15"/>
      <c r="JL200" s="15"/>
      <c r="JM200" s="15"/>
      <c r="JN200" s="15"/>
      <c r="JO200" s="15"/>
      <c r="JP200" s="15"/>
    </row>
    <row r="201" spans="33:276" ht="15" customHeight="1" x14ac:dyDescent="0.3">
      <c r="AG201" s="2"/>
      <c r="JD201" s="15"/>
      <c r="JE201" s="15"/>
      <c r="JF201" s="15"/>
      <c r="JG201" s="15"/>
      <c r="JH201" s="15"/>
      <c r="JI201" s="15"/>
      <c r="JJ201" s="15"/>
      <c r="JK201" s="15"/>
      <c r="JL201" s="15"/>
      <c r="JM201" s="15"/>
      <c r="JN201" s="15"/>
      <c r="JO201" s="15"/>
      <c r="JP201" s="15"/>
    </row>
    <row r="202" spans="33:276" ht="15" customHeight="1" x14ac:dyDescent="0.3">
      <c r="AG202" s="2"/>
      <c r="JD202" s="15"/>
      <c r="JE202" s="15"/>
      <c r="JF202" s="15"/>
      <c r="JG202" s="15"/>
      <c r="JH202" s="15"/>
      <c r="JI202" s="15"/>
      <c r="JJ202" s="15"/>
      <c r="JK202" s="15"/>
      <c r="JL202" s="15"/>
      <c r="JM202" s="15"/>
      <c r="JN202" s="15"/>
      <c r="JO202" s="15"/>
      <c r="JP202" s="15"/>
    </row>
    <row r="203" spans="33:276" ht="15" customHeight="1" x14ac:dyDescent="0.3">
      <c r="AG203" s="2"/>
      <c r="JD203" s="15"/>
      <c r="JE203" s="15"/>
      <c r="JF203" s="15"/>
      <c r="JG203" s="15"/>
      <c r="JH203" s="15"/>
      <c r="JI203" s="15"/>
      <c r="JJ203" s="15"/>
      <c r="JK203" s="15"/>
      <c r="JL203" s="15"/>
      <c r="JM203" s="15"/>
      <c r="JN203" s="15"/>
      <c r="JO203" s="15"/>
      <c r="JP203" s="15"/>
    </row>
    <row r="204" spans="33:276" ht="15" customHeight="1" x14ac:dyDescent="0.3">
      <c r="AG204" s="2"/>
      <c r="JD204" s="15"/>
      <c r="JE204" s="15"/>
      <c r="JF204" s="15"/>
      <c r="JG204" s="15"/>
      <c r="JH204" s="15"/>
      <c r="JI204" s="15"/>
      <c r="JJ204" s="15"/>
      <c r="JK204" s="15"/>
      <c r="JL204" s="15"/>
      <c r="JM204" s="15"/>
      <c r="JN204" s="15"/>
      <c r="JO204" s="15"/>
      <c r="JP204" s="15"/>
    </row>
    <row r="205" spans="33:276" ht="15" customHeight="1" x14ac:dyDescent="0.3">
      <c r="AG205" s="2"/>
      <c r="JD205" s="15"/>
      <c r="JE205" s="15"/>
      <c r="JF205" s="15"/>
      <c r="JG205" s="15"/>
      <c r="JH205" s="15"/>
      <c r="JI205" s="15"/>
      <c r="JJ205" s="15"/>
      <c r="JK205" s="15"/>
      <c r="JL205" s="15"/>
      <c r="JM205" s="15"/>
      <c r="JN205" s="15"/>
      <c r="JO205" s="15"/>
      <c r="JP205" s="15"/>
    </row>
    <row r="206" spans="33:276" ht="15" customHeight="1" x14ac:dyDescent="0.3">
      <c r="AG206" s="2"/>
      <c r="JD206" s="15"/>
      <c r="JE206" s="15"/>
      <c r="JF206" s="15"/>
      <c r="JG206" s="15"/>
      <c r="JH206" s="15"/>
      <c r="JI206" s="15"/>
      <c r="JJ206" s="15"/>
      <c r="JK206" s="15"/>
      <c r="JL206" s="15"/>
      <c r="JM206" s="15"/>
      <c r="JN206" s="15"/>
      <c r="JO206" s="15"/>
      <c r="JP206" s="15"/>
    </row>
    <row r="207" spans="33:276" ht="15" customHeight="1" x14ac:dyDescent="0.3">
      <c r="AG207" s="2"/>
      <c r="JD207" s="15"/>
      <c r="JE207" s="15"/>
      <c r="JF207" s="15"/>
      <c r="JG207" s="15"/>
      <c r="JH207" s="15"/>
      <c r="JI207" s="15"/>
      <c r="JJ207" s="15"/>
      <c r="JK207" s="15"/>
      <c r="JL207" s="15"/>
      <c r="JM207" s="15"/>
      <c r="JN207" s="15"/>
      <c r="JO207" s="15"/>
      <c r="JP207" s="15"/>
    </row>
    <row r="208" spans="33:276" ht="15" customHeight="1" x14ac:dyDescent="0.3">
      <c r="AG208" s="2"/>
      <c r="JD208" s="15"/>
      <c r="JE208" s="15"/>
      <c r="JF208" s="15"/>
      <c r="JG208" s="15"/>
      <c r="JH208" s="15"/>
      <c r="JI208" s="15"/>
      <c r="JJ208" s="15"/>
      <c r="JK208" s="15"/>
      <c r="JL208" s="15"/>
      <c r="JM208" s="15"/>
      <c r="JN208" s="15"/>
      <c r="JO208" s="15"/>
      <c r="JP208" s="15"/>
    </row>
    <row r="209" spans="33:276" ht="15" customHeight="1" x14ac:dyDescent="0.3">
      <c r="AG209" s="2"/>
      <c r="JD209" s="15"/>
      <c r="JE209" s="15"/>
      <c r="JF209" s="15"/>
      <c r="JG209" s="15"/>
      <c r="JH209" s="15"/>
      <c r="JI209" s="15"/>
      <c r="JJ209" s="15"/>
      <c r="JK209" s="15"/>
      <c r="JL209" s="15"/>
      <c r="JM209" s="15"/>
      <c r="JN209" s="15"/>
      <c r="JO209" s="15"/>
      <c r="JP209" s="15"/>
    </row>
    <row r="210" spans="33:276" ht="15" customHeight="1" x14ac:dyDescent="0.3">
      <c r="AG210" s="2"/>
      <c r="JD210" s="15"/>
      <c r="JE210" s="15"/>
      <c r="JF210" s="15"/>
      <c r="JG210" s="15"/>
      <c r="JH210" s="15"/>
      <c r="JI210" s="15"/>
      <c r="JJ210" s="15"/>
      <c r="JK210" s="15"/>
      <c r="JL210" s="15"/>
      <c r="JM210" s="15"/>
      <c r="JN210" s="15"/>
      <c r="JO210" s="15"/>
      <c r="JP210" s="15"/>
    </row>
    <row r="211" spans="33:276" ht="15" customHeight="1" x14ac:dyDescent="0.3">
      <c r="AG211" s="2"/>
      <c r="JD211" s="15"/>
      <c r="JE211" s="15"/>
      <c r="JF211" s="15"/>
      <c r="JG211" s="15"/>
      <c r="JH211" s="15"/>
      <c r="JI211" s="15"/>
      <c r="JJ211" s="15"/>
      <c r="JK211" s="15"/>
      <c r="JL211" s="15"/>
      <c r="JM211" s="15"/>
      <c r="JN211" s="15"/>
      <c r="JO211" s="15"/>
      <c r="JP211" s="15"/>
    </row>
    <row r="212" spans="33:276" ht="15" customHeight="1" x14ac:dyDescent="0.3">
      <c r="AG212" s="2"/>
      <c r="JD212" s="15"/>
      <c r="JE212" s="15"/>
      <c r="JF212" s="15"/>
      <c r="JG212" s="15"/>
      <c r="JH212" s="15"/>
      <c r="JI212" s="15"/>
      <c r="JJ212" s="15"/>
      <c r="JK212" s="15"/>
      <c r="JL212" s="15"/>
      <c r="JM212" s="15"/>
      <c r="JN212" s="15"/>
      <c r="JO212" s="15"/>
      <c r="JP212" s="15"/>
    </row>
    <row r="213" spans="33:276" ht="15" customHeight="1" x14ac:dyDescent="0.3">
      <c r="AG213" s="2"/>
      <c r="JD213" s="15"/>
      <c r="JE213" s="15"/>
      <c r="JF213" s="15"/>
      <c r="JG213" s="15"/>
      <c r="JH213" s="15"/>
      <c r="JI213" s="15"/>
      <c r="JJ213" s="15"/>
      <c r="JK213" s="15"/>
      <c r="JL213" s="15"/>
      <c r="JM213" s="15"/>
      <c r="JN213" s="15"/>
      <c r="JO213" s="15"/>
      <c r="JP213" s="15"/>
    </row>
    <row r="214" spans="33:276" ht="15" customHeight="1" x14ac:dyDescent="0.3">
      <c r="AG214" s="2"/>
      <c r="JD214" s="15"/>
      <c r="JE214" s="15"/>
      <c r="JF214" s="15"/>
      <c r="JG214" s="15"/>
      <c r="JH214" s="15"/>
      <c r="JI214" s="15"/>
      <c r="JJ214" s="15"/>
      <c r="JK214" s="15"/>
      <c r="JL214" s="15"/>
      <c r="JM214" s="15"/>
      <c r="JN214" s="15"/>
      <c r="JO214" s="15"/>
      <c r="JP214" s="15"/>
    </row>
    <row r="215" spans="33:276" ht="15" customHeight="1" x14ac:dyDescent="0.3">
      <c r="AG215" s="2"/>
      <c r="JD215" s="15"/>
      <c r="JE215" s="15"/>
      <c r="JF215" s="15"/>
      <c r="JG215" s="15"/>
      <c r="JH215" s="15"/>
      <c r="JI215" s="15"/>
      <c r="JJ215" s="15"/>
      <c r="JK215" s="15"/>
      <c r="JL215" s="15"/>
      <c r="JM215" s="15"/>
      <c r="JN215" s="15"/>
      <c r="JO215" s="15"/>
      <c r="JP215" s="15"/>
    </row>
    <row r="216" spans="33:276" ht="15" customHeight="1" x14ac:dyDescent="0.3">
      <c r="AG216" s="2"/>
      <c r="JD216" s="15"/>
      <c r="JE216" s="15"/>
      <c r="JF216" s="15"/>
      <c r="JG216" s="15"/>
      <c r="JH216" s="15"/>
      <c r="JI216" s="15"/>
      <c r="JJ216" s="15"/>
      <c r="JK216" s="15"/>
      <c r="JL216" s="15"/>
      <c r="JM216" s="15"/>
      <c r="JN216" s="15"/>
      <c r="JO216" s="15"/>
      <c r="JP216" s="15"/>
    </row>
    <row r="217" spans="33:276" ht="15" customHeight="1" x14ac:dyDescent="0.3">
      <c r="AG217" s="2"/>
      <c r="JD217" s="15"/>
      <c r="JE217" s="15"/>
      <c r="JF217" s="15"/>
      <c r="JG217" s="15"/>
      <c r="JH217" s="15"/>
      <c r="JI217" s="15"/>
      <c r="JJ217" s="15"/>
      <c r="JK217" s="15"/>
      <c r="JL217" s="15"/>
      <c r="JM217" s="15"/>
      <c r="JN217" s="15"/>
      <c r="JO217" s="15"/>
      <c r="JP217" s="15"/>
    </row>
    <row r="218" spans="33:276" ht="15" customHeight="1" x14ac:dyDescent="0.3">
      <c r="AG218" s="2"/>
      <c r="JD218" s="15"/>
      <c r="JE218" s="15"/>
      <c r="JF218" s="15"/>
      <c r="JG218" s="15"/>
      <c r="JH218" s="15"/>
      <c r="JI218" s="15"/>
      <c r="JJ218" s="15"/>
      <c r="JK218" s="15"/>
      <c r="JL218" s="15"/>
      <c r="JM218" s="15"/>
      <c r="JN218" s="15"/>
      <c r="JO218" s="15"/>
      <c r="JP218" s="15"/>
    </row>
    <row r="219" spans="33:276" ht="15" customHeight="1" x14ac:dyDescent="0.3">
      <c r="AG219" s="2"/>
      <c r="JD219" s="15"/>
      <c r="JE219" s="15"/>
      <c r="JF219" s="15"/>
      <c r="JG219" s="15"/>
      <c r="JH219" s="15"/>
      <c r="JI219" s="15"/>
      <c r="JJ219" s="15"/>
      <c r="JK219" s="15"/>
      <c r="JL219" s="15"/>
      <c r="JM219" s="15"/>
      <c r="JN219" s="15"/>
      <c r="JO219" s="15"/>
      <c r="JP219" s="15"/>
    </row>
    <row r="220" spans="33:276" ht="15" customHeight="1" x14ac:dyDescent="0.3">
      <c r="AG220" s="2"/>
      <c r="JD220" s="15"/>
      <c r="JE220" s="15"/>
      <c r="JF220" s="15"/>
      <c r="JG220" s="15"/>
      <c r="JH220" s="15"/>
      <c r="JI220" s="15"/>
      <c r="JJ220" s="15"/>
      <c r="JK220" s="15"/>
      <c r="JL220" s="15"/>
      <c r="JM220" s="15"/>
      <c r="JN220" s="15"/>
      <c r="JO220" s="15"/>
      <c r="JP220" s="15"/>
    </row>
    <row r="221" spans="33:276" ht="15" customHeight="1" x14ac:dyDescent="0.3">
      <c r="AG221" s="2"/>
      <c r="JD221" s="15"/>
      <c r="JE221" s="15"/>
      <c r="JF221" s="15"/>
      <c r="JG221" s="15"/>
      <c r="JH221" s="15"/>
      <c r="JI221" s="15"/>
      <c r="JJ221" s="15"/>
      <c r="JK221" s="15"/>
      <c r="JL221" s="15"/>
      <c r="JM221" s="15"/>
      <c r="JN221" s="15"/>
      <c r="JO221" s="15"/>
      <c r="JP221" s="15"/>
    </row>
    <row r="222" spans="33:276" ht="15" customHeight="1" x14ac:dyDescent="0.3">
      <c r="AG222" s="2"/>
      <c r="JD222" s="15"/>
      <c r="JE222" s="15"/>
      <c r="JF222" s="15"/>
      <c r="JG222" s="15"/>
      <c r="JH222" s="15"/>
      <c r="JI222" s="15"/>
      <c r="JJ222" s="15"/>
      <c r="JK222" s="15"/>
      <c r="JL222" s="15"/>
      <c r="JM222" s="15"/>
      <c r="JN222" s="15"/>
      <c r="JO222" s="15"/>
      <c r="JP222" s="15"/>
    </row>
    <row r="223" spans="33:276" ht="15" customHeight="1" x14ac:dyDescent="0.3">
      <c r="AG223" s="2"/>
      <c r="JD223" s="15"/>
      <c r="JE223" s="15"/>
      <c r="JF223" s="15"/>
      <c r="JG223" s="15"/>
      <c r="JH223" s="15"/>
      <c r="JI223" s="15"/>
      <c r="JJ223" s="15"/>
      <c r="JK223" s="15"/>
      <c r="JL223" s="15"/>
      <c r="JM223" s="15"/>
      <c r="JN223" s="15"/>
      <c r="JO223" s="15"/>
      <c r="JP223" s="15"/>
    </row>
    <row r="224" spans="33:276" ht="15" customHeight="1" x14ac:dyDescent="0.3">
      <c r="AG224" s="2"/>
      <c r="JD224" s="15"/>
      <c r="JE224" s="15"/>
      <c r="JF224" s="15"/>
      <c r="JG224" s="15"/>
      <c r="JH224" s="15"/>
      <c r="JI224" s="15"/>
      <c r="JJ224" s="15"/>
      <c r="JK224" s="15"/>
      <c r="JL224" s="15"/>
      <c r="JM224" s="15"/>
      <c r="JN224" s="15"/>
      <c r="JO224" s="15"/>
      <c r="JP224" s="15"/>
    </row>
    <row r="225" spans="33:276" ht="15" customHeight="1" x14ac:dyDescent="0.3">
      <c r="AG225" s="2"/>
      <c r="JD225" s="15"/>
      <c r="JE225" s="15"/>
      <c r="JF225" s="15"/>
      <c r="JG225" s="15"/>
      <c r="JH225" s="15"/>
      <c r="JI225" s="15"/>
      <c r="JJ225" s="15"/>
      <c r="JK225" s="15"/>
      <c r="JL225" s="15"/>
      <c r="JM225" s="15"/>
      <c r="JN225" s="15"/>
      <c r="JO225" s="15"/>
      <c r="JP225" s="15"/>
    </row>
    <row r="226" spans="33:276" ht="15" customHeight="1" x14ac:dyDescent="0.3">
      <c r="AG226" s="2"/>
      <c r="JD226" s="15"/>
      <c r="JE226" s="15"/>
      <c r="JF226" s="15"/>
      <c r="JG226" s="15"/>
      <c r="JH226" s="15"/>
      <c r="JI226" s="15"/>
      <c r="JJ226" s="15"/>
      <c r="JK226" s="15"/>
      <c r="JL226" s="15"/>
      <c r="JM226" s="15"/>
      <c r="JN226" s="15"/>
      <c r="JO226" s="15"/>
      <c r="JP226" s="15"/>
    </row>
    <row r="227" spans="33:276" ht="15" customHeight="1" x14ac:dyDescent="0.3">
      <c r="AG227" s="2"/>
      <c r="JD227" s="15"/>
      <c r="JE227" s="15"/>
      <c r="JF227" s="15"/>
      <c r="JG227" s="15"/>
      <c r="JH227" s="15"/>
      <c r="JI227" s="15"/>
      <c r="JJ227" s="15"/>
      <c r="JK227" s="15"/>
      <c r="JL227" s="15"/>
      <c r="JM227" s="15"/>
      <c r="JN227" s="15"/>
      <c r="JO227" s="15"/>
      <c r="JP227" s="15"/>
    </row>
    <row r="228" spans="33:276" ht="15" customHeight="1" x14ac:dyDescent="0.3">
      <c r="AG228" s="2"/>
      <c r="JD228" s="15"/>
      <c r="JE228" s="15"/>
      <c r="JF228" s="15"/>
      <c r="JG228" s="15"/>
      <c r="JH228" s="15"/>
      <c r="JI228" s="15"/>
      <c r="JJ228" s="15"/>
      <c r="JK228" s="15"/>
      <c r="JL228" s="15"/>
      <c r="JM228" s="15"/>
      <c r="JN228" s="15"/>
      <c r="JO228" s="15"/>
      <c r="JP228" s="15"/>
    </row>
    <row r="229" spans="33:276" ht="15" customHeight="1" x14ac:dyDescent="0.3">
      <c r="AG229" s="2"/>
      <c r="JD229" s="15"/>
      <c r="JE229" s="15"/>
      <c r="JF229" s="15"/>
      <c r="JG229" s="15"/>
      <c r="JH229" s="15"/>
      <c r="JI229" s="15"/>
      <c r="JJ229" s="15"/>
      <c r="JK229" s="15"/>
      <c r="JL229" s="15"/>
      <c r="JM229" s="15"/>
      <c r="JN229" s="15"/>
      <c r="JO229" s="15"/>
      <c r="JP229" s="15"/>
    </row>
    <row r="230" spans="33:276" ht="15" customHeight="1" x14ac:dyDescent="0.3">
      <c r="AG230" s="2"/>
      <c r="JD230" s="15"/>
      <c r="JE230" s="15"/>
      <c r="JF230" s="15"/>
      <c r="JG230" s="15"/>
      <c r="JH230" s="15"/>
      <c r="JI230" s="15"/>
      <c r="JJ230" s="15"/>
      <c r="JK230" s="15"/>
      <c r="JL230" s="15"/>
      <c r="JM230" s="15"/>
      <c r="JN230" s="15"/>
      <c r="JO230" s="15"/>
      <c r="JP230" s="15"/>
    </row>
    <row r="231" spans="33:276" ht="15" customHeight="1" x14ac:dyDescent="0.3">
      <c r="AG231" s="2"/>
      <c r="JD231" s="15"/>
      <c r="JE231" s="15"/>
      <c r="JF231" s="15"/>
      <c r="JG231" s="15"/>
      <c r="JH231" s="15"/>
      <c r="JI231" s="15"/>
      <c r="JJ231" s="15"/>
      <c r="JK231" s="15"/>
      <c r="JL231" s="15"/>
      <c r="JM231" s="15"/>
      <c r="JN231" s="15"/>
      <c r="JO231" s="15"/>
      <c r="JP231" s="15"/>
    </row>
    <row r="232" spans="33:276" ht="15" customHeight="1" x14ac:dyDescent="0.3">
      <c r="AG232" s="2"/>
      <c r="JD232" s="15"/>
      <c r="JE232" s="15"/>
      <c r="JF232" s="15"/>
      <c r="JG232" s="15"/>
      <c r="JH232" s="15"/>
      <c r="JI232" s="15"/>
      <c r="JJ232" s="15"/>
      <c r="JK232" s="15"/>
      <c r="JL232" s="15"/>
      <c r="JM232" s="15"/>
      <c r="JN232" s="15"/>
      <c r="JO232" s="15"/>
      <c r="JP232" s="15"/>
    </row>
    <row r="233" spans="33:276" ht="15" customHeight="1" x14ac:dyDescent="0.3">
      <c r="AG233" s="2"/>
      <c r="JD233" s="15"/>
      <c r="JE233" s="15"/>
      <c r="JF233" s="15"/>
      <c r="JG233" s="15"/>
      <c r="JH233" s="15"/>
      <c r="JI233" s="15"/>
      <c r="JJ233" s="15"/>
      <c r="JK233" s="15"/>
      <c r="JL233" s="15"/>
      <c r="JM233" s="15"/>
      <c r="JN233" s="15"/>
      <c r="JO233" s="15"/>
      <c r="JP233" s="15"/>
    </row>
    <row r="234" spans="33:276" ht="15" customHeight="1" x14ac:dyDescent="0.3">
      <c r="AG234" s="2"/>
      <c r="JD234" s="15"/>
      <c r="JE234" s="15"/>
      <c r="JF234" s="15"/>
      <c r="JG234" s="15"/>
      <c r="JH234" s="15"/>
      <c r="JI234" s="15"/>
      <c r="JJ234" s="15"/>
      <c r="JK234" s="15"/>
      <c r="JL234" s="15"/>
      <c r="JM234" s="15"/>
      <c r="JN234" s="15"/>
      <c r="JO234" s="15"/>
      <c r="JP234" s="15"/>
    </row>
    <row r="235" spans="33:276" ht="15" customHeight="1" x14ac:dyDescent="0.3">
      <c r="AG235" s="2"/>
      <c r="JD235" s="15"/>
      <c r="JE235" s="15"/>
      <c r="JF235" s="15"/>
      <c r="JG235" s="15"/>
      <c r="JH235" s="15"/>
      <c r="JI235" s="15"/>
      <c r="JJ235" s="15"/>
      <c r="JK235" s="15"/>
      <c r="JL235" s="15"/>
      <c r="JM235" s="15"/>
      <c r="JN235" s="15"/>
      <c r="JO235" s="15"/>
      <c r="JP235" s="15"/>
    </row>
    <row r="236" spans="33:276" ht="15" customHeight="1" x14ac:dyDescent="0.3">
      <c r="AG236" s="2"/>
      <c r="JD236" s="15"/>
      <c r="JE236" s="15"/>
      <c r="JF236" s="15"/>
      <c r="JG236" s="15"/>
      <c r="JH236" s="15"/>
      <c r="JI236" s="15"/>
      <c r="JJ236" s="15"/>
      <c r="JK236" s="15"/>
      <c r="JL236" s="15"/>
      <c r="JM236" s="15"/>
      <c r="JN236" s="15"/>
      <c r="JO236" s="15"/>
      <c r="JP236" s="15"/>
    </row>
    <row r="237" spans="33:276" ht="15" customHeight="1" x14ac:dyDescent="0.3">
      <c r="AG237" s="2"/>
      <c r="JD237" s="15"/>
      <c r="JE237" s="15"/>
      <c r="JF237" s="15"/>
      <c r="JG237" s="15"/>
      <c r="JH237" s="15"/>
      <c r="JI237" s="15"/>
      <c r="JJ237" s="15"/>
      <c r="JK237" s="15"/>
      <c r="JL237" s="15"/>
      <c r="JM237" s="15"/>
      <c r="JN237" s="15"/>
      <c r="JO237" s="15"/>
      <c r="JP237" s="15"/>
    </row>
    <row r="238" spans="33:276" ht="15" customHeight="1" x14ac:dyDescent="0.3">
      <c r="AG238" s="2"/>
      <c r="JD238" s="15"/>
      <c r="JE238" s="15"/>
      <c r="JF238" s="15"/>
      <c r="JG238" s="15"/>
      <c r="JH238" s="15"/>
      <c r="JI238" s="15"/>
      <c r="JJ238" s="15"/>
      <c r="JK238" s="15"/>
      <c r="JL238" s="15"/>
      <c r="JM238" s="15"/>
      <c r="JN238" s="15"/>
      <c r="JO238" s="15"/>
      <c r="JP238" s="15"/>
    </row>
    <row r="239" spans="33:276" ht="15" customHeight="1" x14ac:dyDescent="0.3">
      <c r="AG239" s="2"/>
      <c r="JD239" s="15"/>
      <c r="JE239" s="15"/>
      <c r="JF239" s="15"/>
      <c r="JG239" s="15"/>
      <c r="JH239" s="15"/>
      <c r="JI239" s="15"/>
      <c r="JJ239" s="15"/>
      <c r="JK239" s="15"/>
      <c r="JL239" s="15"/>
      <c r="JM239" s="15"/>
      <c r="JN239" s="15"/>
      <c r="JO239" s="15"/>
      <c r="JP239" s="15"/>
    </row>
    <row r="240" spans="33:276" ht="15" customHeight="1" x14ac:dyDescent="0.3">
      <c r="AG240" s="2"/>
      <c r="JD240" s="15"/>
      <c r="JE240" s="15"/>
      <c r="JF240" s="15"/>
      <c r="JG240" s="15"/>
      <c r="JH240" s="15"/>
      <c r="JI240" s="15"/>
      <c r="JJ240" s="15"/>
      <c r="JK240" s="15"/>
      <c r="JL240" s="15"/>
      <c r="JM240" s="15"/>
      <c r="JN240" s="15"/>
      <c r="JO240" s="15"/>
      <c r="JP240" s="15"/>
    </row>
    <row r="241" spans="33:276" ht="15" customHeight="1" x14ac:dyDescent="0.3">
      <c r="AG241" s="2"/>
      <c r="JD241" s="15"/>
      <c r="JE241" s="15"/>
      <c r="JF241" s="15"/>
      <c r="JG241" s="15"/>
      <c r="JH241" s="15"/>
      <c r="JI241" s="15"/>
      <c r="JJ241" s="15"/>
      <c r="JK241" s="15"/>
      <c r="JL241" s="15"/>
      <c r="JM241" s="15"/>
      <c r="JN241" s="15"/>
      <c r="JO241" s="15"/>
      <c r="JP241" s="15"/>
    </row>
    <row r="242" spans="33:276" ht="15" customHeight="1" x14ac:dyDescent="0.3">
      <c r="AG242" s="2"/>
      <c r="JD242" s="15"/>
      <c r="JE242" s="15"/>
      <c r="JF242" s="15"/>
      <c r="JG242" s="15"/>
      <c r="JH242" s="15"/>
      <c r="JI242" s="15"/>
      <c r="JJ242" s="15"/>
      <c r="JK242" s="15"/>
      <c r="JL242" s="15"/>
      <c r="JM242" s="15"/>
      <c r="JN242" s="15"/>
      <c r="JO242" s="15"/>
      <c r="JP242" s="15"/>
    </row>
    <row r="243" spans="33:276" ht="15" customHeight="1" x14ac:dyDescent="0.3">
      <c r="AG243" s="2"/>
      <c r="JD243" s="15"/>
      <c r="JE243" s="15"/>
      <c r="JF243" s="15"/>
      <c r="JG243" s="15"/>
      <c r="JH243" s="15"/>
      <c r="JI243" s="15"/>
      <c r="JJ243" s="15"/>
      <c r="JK243" s="15"/>
      <c r="JL243" s="15"/>
      <c r="JM243" s="15"/>
      <c r="JN243" s="15"/>
      <c r="JO243" s="15"/>
      <c r="JP243" s="15"/>
    </row>
    <row r="244" spans="33:276" ht="15" customHeight="1" x14ac:dyDescent="0.3">
      <c r="AG244" s="2"/>
      <c r="JD244" s="15"/>
      <c r="JE244" s="15"/>
      <c r="JF244" s="15"/>
      <c r="JG244" s="15"/>
      <c r="JH244" s="15"/>
      <c r="JI244" s="15"/>
      <c r="JJ244" s="15"/>
      <c r="JK244" s="15"/>
      <c r="JL244" s="15"/>
      <c r="JM244" s="15"/>
      <c r="JN244" s="15"/>
      <c r="JO244" s="15"/>
      <c r="JP244" s="15"/>
    </row>
    <row r="245" spans="33:276" ht="15" customHeight="1" x14ac:dyDescent="0.3">
      <c r="AG245" s="2"/>
      <c r="JD245" s="15"/>
      <c r="JE245" s="15"/>
      <c r="JF245" s="15"/>
      <c r="JG245" s="15"/>
      <c r="JH245" s="15"/>
      <c r="JI245" s="15"/>
      <c r="JJ245" s="15"/>
      <c r="JK245" s="15"/>
      <c r="JL245" s="15"/>
      <c r="JM245" s="15"/>
      <c r="JN245" s="15"/>
      <c r="JO245" s="15"/>
      <c r="JP245" s="15"/>
    </row>
    <row r="246" spans="33:276" ht="15" customHeight="1" x14ac:dyDescent="0.3">
      <c r="AG246" s="2"/>
      <c r="JD246" s="15"/>
      <c r="JE246" s="15"/>
      <c r="JF246" s="15"/>
      <c r="JG246" s="15"/>
      <c r="JH246" s="15"/>
      <c r="JI246" s="15"/>
      <c r="JJ246" s="15"/>
      <c r="JK246" s="15"/>
      <c r="JL246" s="15"/>
      <c r="JM246" s="15"/>
      <c r="JN246" s="15"/>
      <c r="JO246" s="15"/>
      <c r="JP246" s="15"/>
    </row>
    <row r="247" spans="33:276" ht="15" customHeight="1" x14ac:dyDescent="0.3">
      <c r="AG247" s="2"/>
      <c r="JD247" s="15"/>
      <c r="JE247" s="15"/>
      <c r="JF247" s="15"/>
      <c r="JG247" s="15"/>
      <c r="JH247" s="15"/>
      <c r="JI247" s="15"/>
      <c r="JJ247" s="15"/>
      <c r="JK247" s="15"/>
      <c r="JL247" s="15"/>
      <c r="JM247" s="15"/>
      <c r="JN247" s="15"/>
      <c r="JO247" s="15"/>
      <c r="JP247" s="15"/>
    </row>
    <row r="248" spans="33:276" ht="15" customHeight="1" x14ac:dyDescent="0.3">
      <c r="AG248" s="2"/>
      <c r="JD248" s="15"/>
      <c r="JE248" s="15"/>
      <c r="JF248" s="15"/>
      <c r="JG248" s="15"/>
      <c r="JH248" s="15"/>
      <c r="JI248" s="15"/>
      <c r="JJ248" s="15"/>
      <c r="JK248" s="15"/>
      <c r="JL248" s="15"/>
      <c r="JM248" s="15"/>
      <c r="JN248" s="15"/>
      <c r="JO248" s="15"/>
      <c r="JP248" s="15"/>
    </row>
    <row r="249" spans="33:276" ht="15" customHeight="1" x14ac:dyDescent="0.3">
      <c r="AG249" s="2"/>
      <c r="JD249" s="15"/>
      <c r="JE249" s="15"/>
      <c r="JF249" s="15"/>
      <c r="JG249" s="15"/>
      <c r="JH249" s="15"/>
      <c r="JI249" s="15"/>
      <c r="JJ249" s="15"/>
      <c r="JK249" s="15"/>
      <c r="JL249" s="15"/>
      <c r="JM249" s="15"/>
      <c r="JN249" s="15"/>
      <c r="JO249" s="15"/>
      <c r="JP249" s="15"/>
    </row>
    <row r="250" spans="33:276" ht="15" customHeight="1" x14ac:dyDescent="0.3">
      <c r="AG250" s="2"/>
      <c r="JD250" s="15"/>
      <c r="JE250" s="15"/>
      <c r="JF250" s="15"/>
      <c r="JG250" s="15"/>
      <c r="JH250" s="15"/>
      <c r="JI250" s="15"/>
      <c r="JJ250" s="15"/>
      <c r="JK250" s="15"/>
      <c r="JL250" s="15"/>
      <c r="JM250" s="15"/>
      <c r="JN250" s="15"/>
      <c r="JO250" s="15"/>
      <c r="JP250" s="15"/>
    </row>
    <row r="251" spans="33:276" ht="15" customHeight="1" x14ac:dyDescent="0.3">
      <c r="AG251" s="2"/>
      <c r="JD251" s="15"/>
      <c r="JE251" s="15"/>
      <c r="JF251" s="15"/>
      <c r="JG251" s="15"/>
      <c r="JH251" s="15"/>
      <c r="JI251" s="15"/>
      <c r="JJ251" s="15"/>
      <c r="JK251" s="15"/>
      <c r="JL251" s="15"/>
      <c r="JM251" s="15"/>
      <c r="JN251" s="15"/>
      <c r="JO251" s="15"/>
      <c r="JP251" s="15"/>
    </row>
    <row r="252" spans="33:276" ht="15" customHeight="1" x14ac:dyDescent="0.3">
      <c r="AG252" s="2"/>
      <c r="JD252" s="15"/>
      <c r="JE252" s="15"/>
      <c r="JF252" s="15"/>
      <c r="JG252" s="15"/>
      <c r="JH252" s="15"/>
      <c r="JI252" s="15"/>
      <c r="JJ252" s="15"/>
      <c r="JK252" s="15"/>
      <c r="JL252" s="15"/>
      <c r="JM252" s="15"/>
      <c r="JN252" s="15"/>
      <c r="JO252" s="15"/>
      <c r="JP252" s="15"/>
    </row>
    <row r="253" spans="33:276" ht="15" customHeight="1" x14ac:dyDescent="0.3">
      <c r="AG253" s="2"/>
      <c r="JD253" s="15"/>
      <c r="JE253" s="15"/>
      <c r="JF253" s="15"/>
      <c r="JG253" s="15"/>
      <c r="JH253" s="15"/>
      <c r="JI253" s="15"/>
      <c r="JJ253" s="15"/>
      <c r="JK253" s="15"/>
      <c r="JL253" s="15"/>
      <c r="JM253" s="15"/>
      <c r="JN253" s="15"/>
      <c r="JO253" s="15"/>
      <c r="JP253" s="15"/>
    </row>
    <row r="254" spans="33:276" ht="15" customHeight="1" x14ac:dyDescent="0.3">
      <c r="AG254" s="2"/>
      <c r="JD254" s="15"/>
      <c r="JE254" s="15"/>
      <c r="JF254" s="15"/>
      <c r="JG254" s="15"/>
      <c r="JH254" s="15"/>
      <c r="JI254" s="15"/>
      <c r="JJ254" s="15"/>
      <c r="JK254" s="15"/>
      <c r="JL254" s="15"/>
      <c r="JM254" s="15"/>
      <c r="JN254" s="15"/>
      <c r="JO254" s="15"/>
      <c r="JP254" s="15"/>
    </row>
    <row r="255" spans="33:276" ht="15" customHeight="1" x14ac:dyDescent="0.3">
      <c r="AG255" s="2"/>
      <c r="JD255" s="15"/>
      <c r="JE255" s="15"/>
      <c r="JF255" s="15"/>
      <c r="JG255" s="15"/>
      <c r="JH255" s="15"/>
      <c r="JI255" s="15"/>
      <c r="JJ255" s="15"/>
      <c r="JK255" s="15"/>
      <c r="JL255" s="15"/>
      <c r="JM255" s="15"/>
      <c r="JN255" s="15"/>
      <c r="JO255" s="15"/>
      <c r="JP255" s="15"/>
    </row>
    <row r="256" spans="33:276" ht="15" customHeight="1" x14ac:dyDescent="0.3">
      <c r="AG256" s="2"/>
      <c r="JD256" s="15"/>
      <c r="JE256" s="15"/>
      <c r="JF256" s="15"/>
      <c r="JG256" s="15"/>
      <c r="JH256" s="15"/>
      <c r="JI256" s="15"/>
      <c r="JJ256" s="15"/>
      <c r="JK256" s="15"/>
      <c r="JL256" s="15"/>
      <c r="JM256" s="15"/>
      <c r="JN256" s="15"/>
      <c r="JO256" s="15"/>
      <c r="JP256" s="15"/>
    </row>
    <row r="257" spans="33:276" ht="15" customHeight="1" x14ac:dyDescent="0.3">
      <c r="AG257" s="2"/>
      <c r="JD257" s="15"/>
      <c r="JE257" s="15"/>
      <c r="JF257" s="15"/>
      <c r="JG257" s="15"/>
      <c r="JH257" s="15"/>
      <c r="JI257" s="15"/>
      <c r="JJ257" s="15"/>
      <c r="JK257" s="15"/>
      <c r="JL257" s="15"/>
      <c r="JM257" s="15"/>
      <c r="JN257" s="15"/>
      <c r="JO257" s="15"/>
      <c r="JP257" s="15"/>
    </row>
    <row r="258" spans="33:276" ht="15" customHeight="1" x14ac:dyDescent="0.3">
      <c r="AG258" s="2"/>
      <c r="JD258" s="15"/>
      <c r="JE258" s="15"/>
      <c r="JF258" s="15"/>
      <c r="JG258" s="15"/>
      <c r="JH258" s="15"/>
      <c r="JI258" s="15"/>
      <c r="JJ258" s="15"/>
      <c r="JK258" s="15"/>
      <c r="JL258" s="15"/>
      <c r="JM258" s="15"/>
      <c r="JN258" s="15"/>
      <c r="JO258" s="15"/>
      <c r="JP258" s="15"/>
    </row>
    <row r="259" spans="33:276" ht="15" customHeight="1" x14ac:dyDescent="0.3">
      <c r="AG259" s="2"/>
      <c r="JD259" s="15"/>
      <c r="JE259" s="15"/>
      <c r="JF259" s="15"/>
      <c r="JG259" s="15"/>
      <c r="JH259" s="15"/>
      <c r="JI259" s="15"/>
      <c r="JJ259" s="15"/>
      <c r="JK259" s="15"/>
      <c r="JL259" s="15"/>
      <c r="JM259" s="15"/>
      <c r="JN259" s="15"/>
      <c r="JO259" s="15"/>
      <c r="JP259" s="15"/>
    </row>
    <row r="260" spans="33:276" ht="15" customHeight="1" x14ac:dyDescent="0.3">
      <c r="AG260" s="2"/>
      <c r="JD260" s="15"/>
      <c r="JE260" s="15"/>
      <c r="JF260" s="15"/>
      <c r="JG260" s="15"/>
      <c r="JH260" s="15"/>
      <c r="JI260" s="15"/>
      <c r="JJ260" s="15"/>
      <c r="JK260" s="15"/>
      <c r="JL260" s="15"/>
      <c r="JM260" s="15"/>
      <c r="JN260" s="15"/>
      <c r="JO260" s="15"/>
      <c r="JP260" s="15"/>
    </row>
    <row r="261" spans="33:276" ht="15" customHeight="1" x14ac:dyDescent="0.3">
      <c r="AG261" s="2"/>
      <c r="JD261" s="15"/>
      <c r="JE261" s="15"/>
      <c r="JF261" s="15"/>
      <c r="JG261" s="15"/>
      <c r="JH261" s="15"/>
      <c r="JI261" s="15"/>
      <c r="JJ261" s="15"/>
      <c r="JK261" s="15"/>
      <c r="JL261" s="15"/>
      <c r="JM261" s="15"/>
      <c r="JN261" s="15"/>
      <c r="JO261" s="15"/>
      <c r="JP261" s="15"/>
    </row>
    <row r="262" spans="33:276" ht="15" customHeight="1" x14ac:dyDescent="0.3">
      <c r="AG262" s="2"/>
      <c r="JD262" s="15"/>
      <c r="JE262" s="15"/>
      <c r="JF262" s="15"/>
      <c r="JG262" s="15"/>
      <c r="JH262" s="15"/>
      <c r="JI262" s="15"/>
      <c r="JJ262" s="15"/>
      <c r="JK262" s="15"/>
      <c r="JL262" s="15"/>
      <c r="JM262" s="15"/>
      <c r="JN262" s="15"/>
      <c r="JO262" s="15"/>
      <c r="JP262" s="15"/>
    </row>
    <row r="263" spans="33:276" ht="15" customHeight="1" x14ac:dyDescent="0.3">
      <c r="AG263" s="2"/>
      <c r="JD263" s="15"/>
      <c r="JE263" s="15"/>
      <c r="JF263" s="15"/>
      <c r="JG263" s="15"/>
      <c r="JH263" s="15"/>
      <c r="JI263" s="15"/>
      <c r="JJ263" s="15"/>
      <c r="JK263" s="15"/>
      <c r="JL263" s="15"/>
      <c r="JM263" s="15"/>
      <c r="JN263" s="15"/>
      <c r="JO263" s="15"/>
      <c r="JP263" s="15"/>
    </row>
    <row r="264" spans="33:276" ht="15" customHeight="1" x14ac:dyDescent="0.3">
      <c r="AG264" s="2"/>
      <c r="JD264" s="15"/>
      <c r="JE264" s="15"/>
      <c r="JF264" s="15"/>
      <c r="JG264" s="15"/>
      <c r="JH264" s="15"/>
      <c r="JI264" s="15"/>
      <c r="JJ264" s="15"/>
      <c r="JK264" s="15"/>
      <c r="JL264" s="15"/>
      <c r="JM264" s="15"/>
      <c r="JN264" s="15"/>
      <c r="JO264" s="15"/>
      <c r="JP264" s="15"/>
    </row>
    <row r="265" spans="33:276" ht="15" customHeight="1" x14ac:dyDescent="0.3">
      <c r="AG265" s="2"/>
      <c r="JD265" s="15"/>
      <c r="JE265" s="15"/>
      <c r="JF265" s="15"/>
      <c r="JG265" s="15"/>
      <c r="JH265" s="15"/>
      <c r="JI265" s="15"/>
      <c r="JJ265" s="15"/>
      <c r="JK265" s="15"/>
      <c r="JL265" s="15"/>
      <c r="JM265" s="15"/>
      <c r="JN265" s="15"/>
      <c r="JO265" s="15"/>
      <c r="JP265" s="15"/>
    </row>
    <row r="266" spans="33:276" ht="15" customHeight="1" x14ac:dyDescent="0.3">
      <c r="AG266" s="2"/>
      <c r="JD266" s="15"/>
      <c r="JE266" s="15"/>
      <c r="JF266" s="15"/>
      <c r="JG266" s="15"/>
      <c r="JH266" s="15"/>
      <c r="JI266" s="15"/>
      <c r="JJ266" s="15"/>
      <c r="JK266" s="15"/>
      <c r="JL266" s="15"/>
      <c r="JM266" s="15"/>
      <c r="JN266" s="15"/>
      <c r="JO266" s="15"/>
      <c r="JP266" s="15"/>
    </row>
    <row r="267" spans="33:276" ht="15" customHeight="1" x14ac:dyDescent="0.3">
      <c r="AG267" s="2"/>
      <c r="JD267" s="15"/>
      <c r="JE267" s="15"/>
      <c r="JF267" s="15"/>
      <c r="JG267" s="15"/>
      <c r="JH267" s="15"/>
      <c r="JI267" s="15"/>
      <c r="JJ267" s="15"/>
      <c r="JK267" s="15"/>
      <c r="JL267" s="15"/>
      <c r="JM267" s="15"/>
      <c r="JN267" s="15"/>
      <c r="JO267" s="15"/>
      <c r="JP267" s="15"/>
    </row>
    <row r="268" spans="33:276" ht="15" customHeight="1" x14ac:dyDescent="0.3">
      <c r="AG268" s="2"/>
      <c r="JD268" s="15"/>
      <c r="JE268" s="15"/>
      <c r="JF268" s="15"/>
      <c r="JG268" s="15"/>
      <c r="JH268" s="15"/>
      <c r="JI268" s="15"/>
      <c r="JJ268" s="15"/>
      <c r="JK268" s="15"/>
      <c r="JL268" s="15"/>
      <c r="JM268" s="15"/>
      <c r="JN268" s="15"/>
      <c r="JO268" s="15"/>
      <c r="JP268" s="15"/>
    </row>
    <row r="269" spans="33:276" ht="15" customHeight="1" x14ac:dyDescent="0.3">
      <c r="AG269" s="2"/>
      <c r="JD269" s="15"/>
      <c r="JE269" s="15"/>
      <c r="JF269" s="15"/>
      <c r="JG269" s="15"/>
      <c r="JH269" s="15"/>
      <c r="JI269" s="15"/>
      <c r="JJ269" s="15"/>
      <c r="JK269" s="15"/>
      <c r="JL269" s="15"/>
      <c r="JM269" s="15"/>
      <c r="JN269" s="15"/>
      <c r="JO269" s="15"/>
      <c r="JP269" s="15"/>
    </row>
    <row r="270" spans="33:276" ht="15" customHeight="1" x14ac:dyDescent="0.3">
      <c r="AG270" s="2"/>
      <c r="JD270" s="15"/>
      <c r="JE270" s="15"/>
      <c r="JF270" s="15"/>
      <c r="JG270" s="15"/>
      <c r="JH270" s="15"/>
      <c r="JI270" s="15"/>
      <c r="JJ270" s="15"/>
      <c r="JK270" s="15"/>
      <c r="JL270" s="15"/>
      <c r="JM270" s="15"/>
      <c r="JN270" s="15"/>
      <c r="JO270" s="15"/>
      <c r="JP270" s="15"/>
    </row>
    <row r="271" spans="33:276" ht="15" customHeight="1" x14ac:dyDescent="0.3">
      <c r="AG271" s="2"/>
      <c r="JD271" s="15"/>
      <c r="JE271" s="15"/>
      <c r="JF271" s="15"/>
      <c r="JG271" s="15"/>
      <c r="JH271" s="15"/>
      <c r="JI271" s="15"/>
      <c r="JJ271" s="15"/>
      <c r="JK271" s="15"/>
      <c r="JL271" s="15"/>
      <c r="JM271" s="15"/>
      <c r="JN271" s="15"/>
      <c r="JO271" s="15"/>
      <c r="JP271" s="15"/>
    </row>
    <row r="272" spans="33:276" ht="15" customHeight="1" x14ac:dyDescent="0.3">
      <c r="AG272" s="2"/>
      <c r="JD272" s="15"/>
      <c r="JE272" s="15"/>
      <c r="JF272" s="15"/>
      <c r="JG272" s="15"/>
      <c r="JH272" s="15"/>
      <c r="JI272" s="15"/>
      <c r="JJ272" s="15"/>
      <c r="JK272" s="15"/>
      <c r="JL272" s="15"/>
      <c r="JM272" s="15"/>
      <c r="JN272" s="15"/>
      <c r="JO272" s="15"/>
      <c r="JP272" s="15"/>
    </row>
    <row r="273" spans="33:276" ht="15" customHeight="1" x14ac:dyDescent="0.3">
      <c r="AG273" s="2"/>
      <c r="JD273" s="15"/>
      <c r="JE273" s="15"/>
      <c r="JF273" s="15"/>
      <c r="JG273" s="15"/>
      <c r="JH273" s="15"/>
      <c r="JI273" s="15"/>
      <c r="JJ273" s="15"/>
      <c r="JK273" s="15"/>
      <c r="JL273" s="15"/>
      <c r="JM273" s="15"/>
      <c r="JN273" s="15"/>
      <c r="JO273" s="15"/>
      <c r="JP273" s="15"/>
    </row>
    <row r="274" spans="33:276" ht="15" customHeight="1" x14ac:dyDescent="0.3">
      <c r="AG274" s="2"/>
      <c r="JD274" s="15"/>
      <c r="JE274" s="15"/>
      <c r="JF274" s="15"/>
      <c r="JG274" s="15"/>
      <c r="JH274" s="15"/>
      <c r="JI274" s="15"/>
      <c r="JJ274" s="15"/>
      <c r="JK274" s="15"/>
      <c r="JL274" s="15"/>
      <c r="JM274" s="15"/>
      <c r="JN274" s="15"/>
      <c r="JO274" s="15"/>
      <c r="JP274" s="15"/>
    </row>
    <row r="275" spans="33:276" ht="15" customHeight="1" x14ac:dyDescent="0.3">
      <c r="AG275" s="2"/>
      <c r="JD275" s="15"/>
      <c r="JE275" s="15"/>
      <c r="JF275" s="15"/>
      <c r="JG275" s="15"/>
      <c r="JH275" s="15"/>
      <c r="JI275" s="15"/>
      <c r="JJ275" s="15"/>
      <c r="JK275" s="15"/>
      <c r="JL275" s="15"/>
      <c r="JM275" s="15"/>
      <c r="JN275" s="15"/>
      <c r="JO275" s="15"/>
      <c r="JP275" s="15"/>
    </row>
    <row r="276" spans="33:276" ht="15" customHeight="1" x14ac:dyDescent="0.3">
      <c r="AG276" s="2"/>
      <c r="JD276" s="15"/>
      <c r="JE276" s="15"/>
      <c r="JF276" s="15"/>
      <c r="JG276" s="15"/>
      <c r="JH276" s="15"/>
      <c r="JI276" s="15"/>
      <c r="JJ276" s="15"/>
      <c r="JK276" s="15"/>
      <c r="JL276" s="15"/>
      <c r="JM276" s="15"/>
      <c r="JN276" s="15"/>
      <c r="JO276" s="15"/>
      <c r="JP276" s="15"/>
    </row>
    <row r="277" spans="33:276" ht="15" customHeight="1" x14ac:dyDescent="0.3">
      <c r="AG277" s="2"/>
      <c r="JD277" s="15"/>
      <c r="JE277" s="15"/>
      <c r="JF277" s="15"/>
      <c r="JG277" s="15"/>
      <c r="JH277" s="15"/>
      <c r="JI277" s="15"/>
      <c r="JJ277" s="15"/>
      <c r="JK277" s="15"/>
      <c r="JL277" s="15"/>
      <c r="JM277" s="15"/>
      <c r="JN277" s="15"/>
      <c r="JO277" s="15"/>
      <c r="JP277" s="15"/>
    </row>
    <row r="278" spans="33:276" ht="15" customHeight="1" x14ac:dyDescent="0.3">
      <c r="AG278" s="2"/>
      <c r="JD278" s="15"/>
      <c r="JE278" s="15"/>
      <c r="JF278" s="15"/>
      <c r="JG278" s="15"/>
      <c r="JH278" s="15"/>
      <c r="JI278" s="15"/>
      <c r="JJ278" s="15"/>
      <c r="JK278" s="15"/>
      <c r="JL278" s="15"/>
      <c r="JM278" s="15"/>
      <c r="JN278" s="15"/>
      <c r="JO278" s="15"/>
      <c r="JP278" s="15"/>
    </row>
    <row r="279" spans="33:276" ht="15" customHeight="1" x14ac:dyDescent="0.3">
      <c r="AG279" s="2"/>
      <c r="JD279" s="15"/>
      <c r="JE279" s="15"/>
      <c r="JF279" s="15"/>
      <c r="JG279" s="15"/>
      <c r="JH279" s="15"/>
      <c r="JI279" s="15"/>
      <c r="JJ279" s="15"/>
      <c r="JK279" s="15"/>
      <c r="JL279" s="15"/>
      <c r="JM279" s="15"/>
      <c r="JN279" s="15"/>
      <c r="JO279" s="15"/>
      <c r="JP279" s="15"/>
    </row>
    <row r="280" spans="33:276" ht="15" customHeight="1" x14ac:dyDescent="0.3">
      <c r="AG280" s="2"/>
      <c r="JD280" s="15"/>
      <c r="JE280" s="15"/>
      <c r="JF280" s="15"/>
      <c r="JG280" s="15"/>
      <c r="JH280" s="15"/>
      <c r="JI280" s="15"/>
      <c r="JJ280" s="15"/>
      <c r="JK280" s="15"/>
      <c r="JL280" s="15"/>
      <c r="JM280" s="15"/>
      <c r="JN280" s="15"/>
      <c r="JO280" s="15"/>
      <c r="JP280" s="15"/>
    </row>
    <row r="281" spans="33:276" ht="15" customHeight="1" x14ac:dyDescent="0.3">
      <c r="AG281" s="2"/>
      <c r="JD281" s="15"/>
      <c r="JE281" s="15"/>
      <c r="JF281" s="15"/>
      <c r="JG281" s="15"/>
      <c r="JH281" s="15"/>
      <c r="JI281" s="15"/>
      <c r="JJ281" s="15"/>
      <c r="JK281" s="15"/>
      <c r="JL281" s="15"/>
      <c r="JM281" s="15"/>
      <c r="JN281" s="15"/>
      <c r="JO281" s="15"/>
      <c r="JP281" s="15"/>
    </row>
    <row r="282" spans="33:276" ht="15" customHeight="1" x14ac:dyDescent="0.3">
      <c r="AG282" s="2"/>
      <c r="JD282" s="15"/>
      <c r="JE282" s="15"/>
      <c r="JF282" s="15"/>
      <c r="JG282" s="15"/>
      <c r="JH282" s="15"/>
      <c r="JI282" s="15"/>
      <c r="JJ282" s="15"/>
      <c r="JK282" s="15"/>
      <c r="JL282" s="15"/>
      <c r="JM282" s="15"/>
      <c r="JN282" s="15"/>
      <c r="JO282" s="15"/>
      <c r="JP282" s="15"/>
    </row>
    <row r="283" spans="33:276" ht="15" customHeight="1" x14ac:dyDescent="0.3">
      <c r="AG283" s="2"/>
      <c r="JD283" s="15"/>
      <c r="JE283" s="15"/>
      <c r="JF283" s="15"/>
      <c r="JG283" s="15"/>
      <c r="JH283" s="15"/>
      <c r="JI283" s="15"/>
      <c r="JJ283" s="15"/>
      <c r="JK283" s="15"/>
      <c r="JL283" s="15"/>
      <c r="JM283" s="15"/>
      <c r="JN283" s="15"/>
      <c r="JO283" s="15"/>
      <c r="JP283" s="15"/>
    </row>
    <row r="284" spans="33:276" ht="15" customHeight="1" x14ac:dyDescent="0.3">
      <c r="AG284" s="2"/>
      <c r="JD284" s="15"/>
      <c r="JE284" s="15"/>
      <c r="JF284" s="15"/>
      <c r="JG284" s="15"/>
      <c r="JH284" s="15"/>
      <c r="JI284" s="15"/>
      <c r="JJ284" s="15"/>
      <c r="JK284" s="15"/>
      <c r="JL284" s="15"/>
      <c r="JM284" s="15"/>
      <c r="JN284" s="15"/>
      <c r="JO284" s="15"/>
      <c r="JP284" s="15"/>
    </row>
    <row r="285" spans="33:276" ht="15" customHeight="1" x14ac:dyDescent="0.3">
      <c r="AG285" s="2"/>
      <c r="JD285" s="15"/>
      <c r="JE285" s="15"/>
      <c r="JF285" s="15"/>
      <c r="JG285" s="15"/>
      <c r="JH285" s="15"/>
      <c r="JI285" s="15"/>
      <c r="JJ285" s="15"/>
      <c r="JK285" s="15"/>
      <c r="JL285" s="15"/>
      <c r="JM285" s="15"/>
      <c r="JN285" s="15"/>
      <c r="JO285" s="15"/>
      <c r="JP285" s="15"/>
    </row>
    <row r="286" spans="33:276" ht="15" customHeight="1" x14ac:dyDescent="0.3">
      <c r="AG286" s="2"/>
      <c r="JD286" s="15"/>
      <c r="JE286" s="15"/>
      <c r="JF286" s="15"/>
      <c r="JG286" s="15"/>
      <c r="JH286" s="15"/>
      <c r="JI286" s="15"/>
      <c r="JJ286" s="15"/>
      <c r="JK286" s="15"/>
      <c r="JL286" s="15"/>
      <c r="JM286" s="15"/>
      <c r="JN286" s="15"/>
      <c r="JO286" s="15"/>
      <c r="JP286" s="15"/>
    </row>
    <row r="287" spans="33:276" ht="15" customHeight="1" x14ac:dyDescent="0.3">
      <c r="AG287" s="2"/>
      <c r="JD287" s="15"/>
      <c r="JE287" s="15"/>
      <c r="JF287" s="15"/>
      <c r="JG287" s="15"/>
      <c r="JH287" s="15"/>
      <c r="JI287" s="15"/>
      <c r="JJ287" s="15"/>
      <c r="JK287" s="15"/>
      <c r="JL287" s="15"/>
      <c r="JM287" s="15"/>
      <c r="JN287" s="15"/>
      <c r="JO287" s="15"/>
      <c r="JP287" s="15"/>
    </row>
    <row r="288" spans="33:276" ht="15" customHeight="1" x14ac:dyDescent="0.3">
      <c r="AG288" s="2"/>
      <c r="JD288" s="15"/>
      <c r="JE288" s="15"/>
      <c r="JF288" s="15"/>
      <c r="JG288" s="15"/>
      <c r="JH288" s="15"/>
      <c r="JI288" s="15"/>
      <c r="JJ288" s="15"/>
      <c r="JK288" s="15"/>
      <c r="JL288" s="15"/>
      <c r="JM288" s="15"/>
      <c r="JN288" s="15"/>
      <c r="JO288" s="15"/>
      <c r="JP288" s="15"/>
    </row>
    <row r="289" spans="33:276" ht="15" customHeight="1" x14ac:dyDescent="0.3">
      <c r="AG289" s="2"/>
      <c r="JD289" s="15"/>
      <c r="JE289" s="15"/>
      <c r="JF289" s="15"/>
      <c r="JG289" s="15"/>
      <c r="JH289" s="15"/>
      <c r="JI289" s="15"/>
      <c r="JJ289" s="15"/>
      <c r="JK289" s="15"/>
      <c r="JL289" s="15"/>
      <c r="JM289" s="15"/>
      <c r="JN289" s="15"/>
      <c r="JO289" s="15"/>
      <c r="JP289" s="15"/>
    </row>
    <row r="290" spans="33:276" ht="15" customHeight="1" x14ac:dyDescent="0.3">
      <c r="AG290" s="2"/>
      <c r="JD290" s="15"/>
      <c r="JE290" s="15"/>
      <c r="JF290" s="15"/>
      <c r="JG290" s="15"/>
      <c r="JH290" s="15"/>
      <c r="JI290" s="15"/>
      <c r="JJ290" s="15"/>
      <c r="JK290" s="15"/>
      <c r="JL290" s="15"/>
      <c r="JM290" s="15"/>
      <c r="JN290" s="15"/>
      <c r="JO290" s="15"/>
      <c r="JP290" s="15"/>
    </row>
    <row r="291" spans="33:276" ht="15" customHeight="1" x14ac:dyDescent="0.3">
      <c r="AG291" s="2"/>
      <c r="JD291" s="15"/>
      <c r="JE291" s="15"/>
      <c r="JF291" s="15"/>
      <c r="JG291" s="15"/>
      <c r="JH291" s="15"/>
      <c r="JI291" s="15"/>
      <c r="JJ291" s="15"/>
      <c r="JK291" s="15"/>
      <c r="JL291" s="15"/>
      <c r="JM291" s="15"/>
      <c r="JN291" s="15"/>
      <c r="JO291" s="15"/>
      <c r="JP291" s="15"/>
    </row>
    <row r="292" spans="33:276" ht="15" customHeight="1" x14ac:dyDescent="0.3">
      <c r="AG292" s="2"/>
      <c r="JD292" s="15"/>
      <c r="JE292" s="15"/>
      <c r="JF292" s="15"/>
      <c r="JG292" s="15"/>
      <c r="JH292" s="15"/>
      <c r="JI292" s="15"/>
      <c r="JJ292" s="15"/>
      <c r="JK292" s="15"/>
      <c r="JL292" s="15"/>
      <c r="JM292" s="15"/>
      <c r="JN292" s="15"/>
      <c r="JO292" s="15"/>
      <c r="JP292" s="15"/>
    </row>
    <row r="293" spans="33:276" ht="15" customHeight="1" x14ac:dyDescent="0.3">
      <c r="AG293" s="2"/>
      <c r="JD293" s="15"/>
      <c r="JE293" s="15"/>
      <c r="JF293" s="15"/>
      <c r="JG293" s="15"/>
      <c r="JH293" s="15"/>
      <c r="JI293" s="15"/>
      <c r="JJ293" s="15"/>
      <c r="JK293" s="15"/>
      <c r="JL293" s="15"/>
      <c r="JM293" s="15"/>
      <c r="JN293" s="15"/>
      <c r="JO293" s="15"/>
      <c r="JP293" s="15"/>
    </row>
    <row r="294" spans="33:276" ht="15" customHeight="1" x14ac:dyDescent="0.3">
      <c r="AG294" s="2"/>
      <c r="JD294" s="15"/>
      <c r="JE294" s="15"/>
      <c r="JF294" s="15"/>
      <c r="JG294" s="15"/>
      <c r="JH294" s="15"/>
      <c r="JI294" s="15"/>
      <c r="JJ294" s="15"/>
      <c r="JK294" s="15"/>
      <c r="JL294" s="15"/>
      <c r="JM294" s="15"/>
      <c r="JN294" s="15"/>
      <c r="JO294" s="15"/>
      <c r="JP294" s="15"/>
    </row>
    <row r="295" spans="33:276" ht="15" customHeight="1" x14ac:dyDescent="0.3">
      <c r="AG295" s="2"/>
      <c r="JD295" s="15"/>
      <c r="JE295" s="15"/>
      <c r="JF295" s="15"/>
      <c r="JG295" s="15"/>
      <c r="JH295" s="15"/>
      <c r="JI295" s="15"/>
      <c r="JJ295" s="15"/>
      <c r="JK295" s="15"/>
      <c r="JL295" s="15"/>
      <c r="JM295" s="15"/>
      <c r="JN295" s="15"/>
      <c r="JO295" s="15"/>
      <c r="JP295" s="15"/>
    </row>
    <row r="296" spans="33:276" ht="15" customHeight="1" x14ac:dyDescent="0.3">
      <c r="AG296" s="2"/>
      <c r="JD296" s="15"/>
      <c r="JE296" s="15"/>
      <c r="JF296" s="15"/>
      <c r="JG296" s="15"/>
      <c r="JH296" s="15"/>
      <c r="JI296" s="15"/>
      <c r="JJ296" s="15"/>
      <c r="JK296" s="15"/>
      <c r="JL296" s="15"/>
      <c r="JM296" s="15"/>
      <c r="JN296" s="15"/>
      <c r="JO296" s="15"/>
      <c r="JP296" s="15"/>
    </row>
    <row r="297" spans="33:276" ht="15" customHeight="1" x14ac:dyDescent="0.3">
      <c r="AG297" s="2"/>
      <c r="JD297" s="15"/>
      <c r="JE297" s="15"/>
      <c r="JF297" s="15"/>
      <c r="JG297" s="15"/>
      <c r="JH297" s="15"/>
      <c r="JI297" s="15"/>
      <c r="JJ297" s="15"/>
      <c r="JK297" s="15"/>
      <c r="JL297" s="15"/>
      <c r="JM297" s="15"/>
      <c r="JN297" s="15"/>
      <c r="JO297" s="15"/>
      <c r="JP297" s="15"/>
    </row>
    <row r="298" spans="33:276" ht="15" customHeight="1" x14ac:dyDescent="0.3">
      <c r="AG298" s="2"/>
      <c r="JD298" s="15"/>
      <c r="JE298" s="15"/>
      <c r="JF298" s="15"/>
      <c r="JG298" s="15"/>
      <c r="JH298" s="15"/>
      <c r="JI298" s="15"/>
      <c r="JJ298" s="15"/>
      <c r="JK298" s="15"/>
      <c r="JL298" s="15"/>
      <c r="JM298" s="15"/>
      <c r="JN298" s="15"/>
      <c r="JO298" s="15"/>
      <c r="JP298" s="15"/>
    </row>
    <row r="299" spans="33:276" ht="15" customHeight="1" x14ac:dyDescent="0.3">
      <c r="AG299" s="2"/>
      <c r="JD299" s="15"/>
      <c r="JE299" s="15"/>
      <c r="JF299" s="15"/>
      <c r="JG299" s="15"/>
      <c r="JH299" s="15"/>
      <c r="JI299" s="15"/>
      <c r="JJ299" s="15"/>
      <c r="JK299" s="15"/>
      <c r="JL299" s="15"/>
      <c r="JM299" s="15"/>
      <c r="JN299" s="15"/>
      <c r="JO299" s="15"/>
      <c r="JP299" s="15"/>
    </row>
    <row r="300" spans="33:276" ht="15" customHeight="1" x14ac:dyDescent="0.3">
      <c r="AG300" s="2"/>
      <c r="JD300" s="15"/>
      <c r="JE300" s="15"/>
      <c r="JF300" s="15"/>
      <c r="JG300" s="15"/>
      <c r="JH300" s="15"/>
      <c r="JI300" s="15"/>
      <c r="JJ300" s="15"/>
      <c r="JK300" s="15"/>
      <c r="JL300" s="15"/>
      <c r="JM300" s="15"/>
      <c r="JN300" s="15"/>
      <c r="JO300" s="15"/>
      <c r="JP300" s="15"/>
    </row>
    <row r="301" spans="33:276" ht="15" customHeight="1" x14ac:dyDescent="0.3">
      <c r="AG301" s="2"/>
      <c r="JD301" s="15"/>
      <c r="JE301" s="15"/>
      <c r="JF301" s="15"/>
      <c r="JG301" s="15"/>
      <c r="JH301" s="15"/>
      <c r="JI301" s="15"/>
      <c r="JJ301" s="15"/>
      <c r="JK301" s="15"/>
      <c r="JL301" s="15"/>
      <c r="JM301" s="15"/>
      <c r="JN301" s="15"/>
      <c r="JO301" s="15"/>
      <c r="JP301" s="15"/>
    </row>
    <row r="302" spans="33:276" ht="15" customHeight="1" x14ac:dyDescent="0.3">
      <c r="AG302" s="2"/>
      <c r="JD302" s="15"/>
      <c r="JE302" s="15"/>
      <c r="JF302" s="15"/>
      <c r="JG302" s="15"/>
      <c r="JH302" s="15"/>
      <c r="JI302" s="15"/>
      <c r="JJ302" s="15"/>
      <c r="JK302" s="15"/>
      <c r="JL302" s="15"/>
      <c r="JM302" s="15"/>
      <c r="JN302" s="15"/>
      <c r="JO302" s="15"/>
      <c r="JP302" s="15"/>
    </row>
    <row r="303" spans="33:276" ht="15" customHeight="1" x14ac:dyDescent="0.3">
      <c r="AG303" s="2"/>
      <c r="JD303" s="15"/>
      <c r="JE303" s="15"/>
      <c r="JF303" s="15"/>
      <c r="JG303" s="15"/>
      <c r="JH303" s="15"/>
      <c r="JI303" s="15"/>
      <c r="JJ303" s="15"/>
      <c r="JK303" s="15"/>
      <c r="JL303" s="15"/>
      <c r="JM303" s="15"/>
      <c r="JN303" s="15"/>
      <c r="JO303" s="15"/>
      <c r="JP303" s="15"/>
    </row>
    <row r="304" spans="33:276" ht="15" customHeight="1" x14ac:dyDescent="0.3">
      <c r="AG304" s="2"/>
      <c r="JD304" s="15"/>
      <c r="JE304" s="15"/>
      <c r="JF304" s="15"/>
      <c r="JG304" s="15"/>
      <c r="JH304" s="15"/>
      <c r="JI304" s="15"/>
      <c r="JJ304" s="15"/>
      <c r="JK304" s="15"/>
      <c r="JL304" s="15"/>
      <c r="JM304" s="15"/>
      <c r="JN304" s="15"/>
      <c r="JO304" s="15"/>
      <c r="JP304" s="15"/>
    </row>
    <row r="305" spans="33:276" ht="15" customHeight="1" x14ac:dyDescent="0.3">
      <c r="AG305" s="2"/>
      <c r="JD305" s="15"/>
      <c r="JE305" s="15"/>
      <c r="JF305" s="15"/>
      <c r="JG305" s="15"/>
      <c r="JH305" s="15"/>
      <c r="JI305" s="15"/>
      <c r="JJ305" s="15"/>
      <c r="JK305" s="15"/>
      <c r="JL305" s="15"/>
      <c r="JM305" s="15"/>
      <c r="JN305" s="15"/>
      <c r="JO305" s="15"/>
      <c r="JP305" s="15"/>
    </row>
    <row r="306" spans="33:276" ht="15" customHeight="1" x14ac:dyDescent="0.3">
      <c r="AG306" s="2"/>
      <c r="JD306" s="15"/>
      <c r="JE306" s="15"/>
      <c r="JF306" s="15"/>
      <c r="JG306" s="15"/>
      <c r="JH306" s="15"/>
      <c r="JI306" s="15"/>
      <c r="JJ306" s="15"/>
      <c r="JK306" s="15"/>
      <c r="JL306" s="15"/>
      <c r="JM306" s="15"/>
      <c r="JN306" s="15"/>
      <c r="JO306" s="15"/>
      <c r="JP306" s="15"/>
    </row>
    <row r="307" spans="33:276" ht="15" customHeight="1" x14ac:dyDescent="0.3">
      <c r="AG307" s="2"/>
      <c r="JD307" s="15"/>
      <c r="JE307" s="15"/>
      <c r="JF307" s="15"/>
      <c r="JG307" s="15"/>
      <c r="JH307" s="15"/>
      <c r="JI307" s="15"/>
      <c r="JJ307" s="15"/>
      <c r="JK307" s="15"/>
      <c r="JL307" s="15"/>
      <c r="JM307" s="15"/>
      <c r="JN307" s="15"/>
      <c r="JO307" s="15"/>
      <c r="JP307" s="15"/>
    </row>
    <row r="308" spans="33:276" ht="15" customHeight="1" x14ac:dyDescent="0.3">
      <c r="AG308" s="2"/>
      <c r="JD308" s="15"/>
      <c r="JE308" s="15"/>
      <c r="JF308" s="15"/>
      <c r="JG308" s="15"/>
      <c r="JH308" s="15"/>
      <c r="JI308" s="15"/>
      <c r="JJ308" s="15"/>
      <c r="JK308" s="15"/>
      <c r="JL308" s="15"/>
      <c r="JM308" s="15"/>
      <c r="JN308" s="15"/>
      <c r="JO308" s="15"/>
      <c r="JP308" s="15"/>
    </row>
    <row r="309" spans="33:276" ht="15" customHeight="1" x14ac:dyDescent="0.3">
      <c r="AG309" s="2"/>
      <c r="JD309" s="15"/>
      <c r="JE309" s="15"/>
      <c r="JF309" s="15"/>
      <c r="JG309" s="15"/>
      <c r="JH309" s="15"/>
      <c r="JI309" s="15"/>
      <c r="JJ309" s="15"/>
      <c r="JK309" s="15"/>
      <c r="JL309" s="15"/>
      <c r="JM309" s="15"/>
      <c r="JN309" s="15"/>
      <c r="JO309" s="15"/>
      <c r="JP309" s="15"/>
    </row>
    <row r="310" spans="33:276" ht="15" customHeight="1" x14ac:dyDescent="0.3">
      <c r="AG310" s="2"/>
      <c r="JD310" s="15"/>
      <c r="JE310" s="15"/>
      <c r="JF310" s="15"/>
      <c r="JG310" s="15"/>
      <c r="JH310" s="15"/>
      <c r="JI310" s="15"/>
      <c r="JJ310" s="15"/>
      <c r="JK310" s="15"/>
      <c r="JL310" s="15"/>
      <c r="JM310" s="15"/>
      <c r="JN310" s="15"/>
      <c r="JO310" s="15"/>
      <c r="JP310" s="15"/>
    </row>
    <row r="311" spans="33:276" ht="15" customHeight="1" x14ac:dyDescent="0.3">
      <c r="AG311" s="2"/>
      <c r="JD311" s="15"/>
      <c r="JE311" s="15"/>
      <c r="JF311" s="15"/>
      <c r="JG311" s="15"/>
      <c r="JH311" s="15"/>
      <c r="JI311" s="15"/>
      <c r="JJ311" s="15"/>
      <c r="JK311" s="15"/>
      <c r="JL311" s="15"/>
      <c r="JM311" s="15"/>
      <c r="JN311" s="15"/>
      <c r="JO311" s="15"/>
      <c r="JP311" s="15"/>
    </row>
    <row r="312" spans="33:276" ht="15" customHeight="1" x14ac:dyDescent="0.3">
      <c r="AG312" s="2"/>
      <c r="JD312" s="15"/>
      <c r="JE312" s="15"/>
      <c r="JF312" s="15"/>
      <c r="JG312" s="15"/>
      <c r="JH312" s="15"/>
      <c r="JI312" s="15"/>
      <c r="JJ312" s="15"/>
      <c r="JK312" s="15"/>
      <c r="JL312" s="15"/>
      <c r="JM312" s="15"/>
      <c r="JN312" s="15"/>
      <c r="JO312" s="15"/>
      <c r="JP312" s="15"/>
    </row>
    <row r="313" spans="33:276" ht="15" customHeight="1" x14ac:dyDescent="0.3">
      <c r="AG313" s="2"/>
      <c r="JD313" s="15"/>
      <c r="JE313" s="15"/>
      <c r="JF313" s="15"/>
      <c r="JG313" s="15"/>
      <c r="JH313" s="15"/>
      <c r="JI313" s="15"/>
      <c r="JJ313" s="15"/>
      <c r="JK313" s="15"/>
      <c r="JL313" s="15"/>
      <c r="JM313" s="15"/>
      <c r="JN313" s="15"/>
      <c r="JO313" s="15"/>
      <c r="JP313" s="15"/>
    </row>
    <row r="314" spans="33:276" ht="15" customHeight="1" x14ac:dyDescent="0.3">
      <c r="AG314" s="2"/>
      <c r="JD314" s="15"/>
      <c r="JE314" s="15"/>
      <c r="JF314" s="15"/>
      <c r="JG314" s="15"/>
      <c r="JH314" s="15"/>
      <c r="JI314" s="15"/>
      <c r="JJ314" s="15"/>
      <c r="JK314" s="15"/>
      <c r="JL314" s="15"/>
      <c r="JM314" s="15"/>
      <c r="JN314" s="15"/>
      <c r="JO314" s="15"/>
      <c r="JP314" s="15"/>
    </row>
    <row r="315" spans="33:276" ht="15" customHeight="1" x14ac:dyDescent="0.3">
      <c r="AG315" s="2"/>
      <c r="JD315" s="15"/>
      <c r="JE315" s="15"/>
      <c r="JF315" s="15"/>
      <c r="JG315" s="15"/>
      <c r="JH315" s="15"/>
      <c r="JI315" s="15"/>
      <c r="JJ315" s="15"/>
      <c r="JK315" s="15"/>
      <c r="JL315" s="15"/>
      <c r="JM315" s="15"/>
      <c r="JN315" s="15"/>
      <c r="JO315" s="15"/>
      <c r="JP315" s="15"/>
    </row>
    <row r="316" spans="33:276" ht="15" customHeight="1" x14ac:dyDescent="0.3">
      <c r="AG316" s="2"/>
      <c r="JD316" s="15"/>
      <c r="JE316" s="15"/>
      <c r="JF316" s="15"/>
      <c r="JG316" s="15"/>
      <c r="JH316" s="15"/>
      <c r="JI316" s="15"/>
      <c r="JJ316" s="15"/>
      <c r="JK316" s="15"/>
      <c r="JL316" s="15"/>
      <c r="JM316" s="15"/>
      <c r="JN316" s="15"/>
      <c r="JO316" s="15"/>
      <c r="JP316" s="15"/>
    </row>
    <row r="317" spans="33:276" ht="15" customHeight="1" x14ac:dyDescent="0.3">
      <c r="AG317" s="2"/>
      <c r="JD317" s="15"/>
      <c r="JE317" s="15"/>
      <c r="JF317" s="15"/>
      <c r="JG317" s="15"/>
      <c r="JH317" s="15"/>
      <c r="JI317" s="15"/>
      <c r="JJ317" s="15"/>
      <c r="JK317" s="15"/>
      <c r="JL317" s="15"/>
      <c r="JM317" s="15"/>
      <c r="JN317" s="15"/>
      <c r="JO317" s="15"/>
      <c r="JP317" s="15"/>
    </row>
    <row r="318" spans="33:276" ht="15" customHeight="1" x14ac:dyDescent="0.3">
      <c r="AG318" s="2"/>
      <c r="JD318" s="15"/>
      <c r="JE318" s="15"/>
      <c r="JF318" s="15"/>
      <c r="JG318" s="15"/>
      <c r="JH318" s="15"/>
      <c r="JI318" s="15"/>
      <c r="JJ318" s="15"/>
      <c r="JK318" s="15"/>
      <c r="JL318" s="15"/>
      <c r="JM318" s="15"/>
      <c r="JN318" s="15"/>
      <c r="JO318" s="15"/>
      <c r="JP318" s="15"/>
    </row>
    <row r="319" spans="33:276" ht="15" customHeight="1" x14ac:dyDescent="0.3">
      <c r="AG319" s="2"/>
      <c r="JD319" s="15"/>
      <c r="JE319" s="15"/>
      <c r="JF319" s="15"/>
      <c r="JG319" s="15"/>
      <c r="JH319" s="15"/>
      <c r="JI319" s="15"/>
      <c r="JJ319" s="15"/>
      <c r="JK319" s="15"/>
      <c r="JL319" s="15"/>
      <c r="JM319" s="15"/>
      <c r="JN319" s="15"/>
      <c r="JO319" s="15"/>
      <c r="JP319" s="15"/>
    </row>
    <row r="320" spans="33:276" ht="15" customHeight="1" x14ac:dyDescent="0.3">
      <c r="AG320" s="2"/>
      <c r="JD320" s="15"/>
      <c r="JE320" s="15"/>
      <c r="JF320" s="15"/>
      <c r="JG320" s="15"/>
      <c r="JH320" s="15"/>
      <c r="JI320" s="15"/>
      <c r="JJ320" s="15"/>
      <c r="JK320" s="15"/>
      <c r="JL320" s="15"/>
      <c r="JM320" s="15"/>
      <c r="JN320" s="15"/>
      <c r="JO320" s="15"/>
      <c r="JP320" s="15"/>
    </row>
    <row r="321" spans="33:276" ht="15" customHeight="1" x14ac:dyDescent="0.3">
      <c r="AG321" s="2"/>
      <c r="JD321" s="15"/>
      <c r="JE321" s="15"/>
      <c r="JF321" s="15"/>
      <c r="JG321" s="15"/>
      <c r="JH321" s="15"/>
      <c r="JI321" s="15"/>
      <c r="JJ321" s="15"/>
      <c r="JK321" s="15"/>
      <c r="JL321" s="15"/>
      <c r="JM321" s="15"/>
      <c r="JN321" s="15"/>
      <c r="JO321" s="15"/>
      <c r="JP321" s="15"/>
    </row>
    <row r="322" spans="33:276" ht="15" customHeight="1" x14ac:dyDescent="0.3">
      <c r="AG322" s="2"/>
      <c r="JD322" s="15"/>
      <c r="JE322" s="15"/>
      <c r="JF322" s="15"/>
      <c r="JG322" s="15"/>
      <c r="JH322" s="15"/>
      <c r="JI322" s="15"/>
      <c r="JJ322" s="15"/>
      <c r="JK322" s="15"/>
      <c r="JL322" s="15"/>
      <c r="JM322" s="15"/>
      <c r="JN322" s="15"/>
      <c r="JO322" s="15"/>
      <c r="JP322" s="15"/>
    </row>
    <row r="323" spans="33:276" ht="15" customHeight="1" x14ac:dyDescent="0.3">
      <c r="AG323" s="2"/>
      <c r="JD323" s="15"/>
      <c r="JE323" s="15"/>
      <c r="JF323" s="15"/>
      <c r="JG323" s="15"/>
      <c r="JH323" s="15"/>
      <c r="JI323" s="15"/>
      <c r="JJ323" s="15"/>
      <c r="JK323" s="15"/>
      <c r="JL323" s="15"/>
      <c r="JM323" s="15"/>
      <c r="JN323" s="15"/>
      <c r="JO323" s="15"/>
      <c r="JP323" s="15"/>
    </row>
    <row r="324" spans="33:276" ht="15" customHeight="1" x14ac:dyDescent="0.3">
      <c r="AG324" s="2"/>
      <c r="JD324" s="15"/>
      <c r="JE324" s="15"/>
      <c r="JF324" s="15"/>
      <c r="JG324" s="15"/>
      <c r="JH324" s="15"/>
      <c r="JI324" s="15"/>
      <c r="JJ324" s="15"/>
      <c r="JK324" s="15"/>
      <c r="JL324" s="15"/>
      <c r="JM324" s="15"/>
      <c r="JN324" s="15"/>
      <c r="JO324" s="15"/>
      <c r="JP324" s="15"/>
    </row>
    <row r="325" spans="33:276" ht="15" customHeight="1" x14ac:dyDescent="0.3">
      <c r="AG325" s="2"/>
      <c r="JD325" s="15"/>
      <c r="JE325" s="15"/>
      <c r="JF325" s="15"/>
      <c r="JG325" s="15"/>
      <c r="JH325" s="15"/>
      <c r="JI325" s="15"/>
      <c r="JJ325" s="15"/>
      <c r="JK325" s="15"/>
      <c r="JL325" s="15"/>
      <c r="JM325" s="15"/>
      <c r="JN325" s="15"/>
      <c r="JO325" s="15"/>
      <c r="JP325" s="15"/>
    </row>
    <row r="326" spans="33:276" ht="15" customHeight="1" x14ac:dyDescent="0.3">
      <c r="AG326" s="2"/>
      <c r="JD326" s="15"/>
      <c r="JE326" s="15"/>
      <c r="JF326" s="15"/>
      <c r="JG326" s="15"/>
      <c r="JH326" s="15"/>
      <c r="JI326" s="15"/>
      <c r="JJ326" s="15"/>
      <c r="JK326" s="15"/>
      <c r="JL326" s="15"/>
      <c r="JM326" s="15"/>
      <c r="JN326" s="15"/>
      <c r="JO326" s="15"/>
      <c r="JP326" s="15"/>
    </row>
    <row r="327" spans="33:276" ht="15" customHeight="1" x14ac:dyDescent="0.3">
      <c r="AG327" s="2"/>
      <c r="JD327" s="15"/>
      <c r="JE327" s="15"/>
      <c r="JF327" s="15"/>
      <c r="JG327" s="15"/>
      <c r="JH327" s="15"/>
      <c r="JI327" s="15"/>
      <c r="JJ327" s="15"/>
      <c r="JK327" s="15"/>
      <c r="JL327" s="15"/>
      <c r="JM327" s="15"/>
      <c r="JN327" s="15"/>
      <c r="JO327" s="15"/>
      <c r="JP327" s="15"/>
    </row>
    <row r="328" spans="33:276" ht="15" customHeight="1" x14ac:dyDescent="0.3">
      <c r="AG328" s="2"/>
      <c r="JD328" s="15"/>
      <c r="JE328" s="15"/>
      <c r="JF328" s="15"/>
      <c r="JG328" s="15"/>
      <c r="JH328" s="15"/>
      <c r="JI328" s="15"/>
      <c r="JJ328" s="15"/>
      <c r="JK328" s="15"/>
      <c r="JL328" s="15"/>
      <c r="JM328" s="15"/>
      <c r="JN328" s="15"/>
      <c r="JO328" s="15"/>
      <c r="JP328" s="15"/>
    </row>
    <row r="329" spans="33:276" ht="15" customHeight="1" x14ac:dyDescent="0.3">
      <c r="AG329" s="2"/>
      <c r="JD329" s="15"/>
      <c r="JE329" s="15"/>
      <c r="JF329" s="15"/>
      <c r="JG329" s="15"/>
      <c r="JH329" s="15"/>
      <c r="JI329" s="15"/>
      <c r="JJ329" s="15"/>
      <c r="JK329" s="15"/>
      <c r="JL329" s="15"/>
      <c r="JM329" s="15"/>
      <c r="JN329" s="15"/>
      <c r="JO329" s="15"/>
      <c r="JP329" s="15"/>
    </row>
    <row r="330" spans="33:276" ht="15" customHeight="1" x14ac:dyDescent="0.3">
      <c r="AG330" s="2"/>
      <c r="JD330" s="15"/>
      <c r="JE330" s="15"/>
      <c r="JF330" s="15"/>
      <c r="JG330" s="15"/>
      <c r="JH330" s="15"/>
      <c r="JI330" s="15"/>
      <c r="JJ330" s="15"/>
      <c r="JK330" s="15"/>
      <c r="JL330" s="15"/>
      <c r="JM330" s="15"/>
      <c r="JN330" s="15"/>
      <c r="JO330" s="15"/>
      <c r="JP330" s="15"/>
    </row>
    <row r="331" spans="33:276" ht="15" customHeight="1" x14ac:dyDescent="0.3">
      <c r="AG331" s="2"/>
      <c r="JD331" s="15"/>
      <c r="JE331" s="15"/>
      <c r="JF331" s="15"/>
      <c r="JG331" s="15"/>
      <c r="JH331" s="15"/>
      <c r="JI331" s="15"/>
      <c r="JJ331" s="15"/>
      <c r="JK331" s="15"/>
      <c r="JL331" s="15"/>
      <c r="JM331" s="15"/>
      <c r="JN331" s="15"/>
      <c r="JO331" s="15"/>
      <c r="JP331" s="15"/>
    </row>
    <row r="332" spans="33:276" ht="15" customHeight="1" x14ac:dyDescent="0.3">
      <c r="AG332" s="2"/>
      <c r="JD332" s="15"/>
      <c r="JE332" s="15"/>
      <c r="JF332" s="15"/>
      <c r="JG332" s="15"/>
      <c r="JH332" s="15"/>
      <c r="JI332" s="15"/>
      <c r="JJ332" s="15"/>
      <c r="JK332" s="15"/>
      <c r="JL332" s="15"/>
      <c r="JM332" s="15"/>
      <c r="JN332" s="15"/>
      <c r="JO332" s="15"/>
      <c r="JP332" s="15"/>
    </row>
    <row r="333" spans="33:276" ht="15" customHeight="1" x14ac:dyDescent="0.3">
      <c r="AG333" s="2"/>
      <c r="JD333" s="15"/>
      <c r="JE333" s="15"/>
      <c r="JF333" s="15"/>
      <c r="JG333" s="15"/>
      <c r="JH333" s="15"/>
      <c r="JI333" s="15"/>
      <c r="JJ333" s="15"/>
      <c r="JK333" s="15"/>
      <c r="JL333" s="15"/>
      <c r="JM333" s="15"/>
      <c r="JN333" s="15"/>
      <c r="JO333" s="15"/>
      <c r="JP333" s="15"/>
    </row>
    <row r="334" spans="33:276" ht="15" customHeight="1" x14ac:dyDescent="0.3">
      <c r="AG334" s="2"/>
      <c r="JD334" s="15"/>
      <c r="JE334" s="15"/>
      <c r="JF334" s="15"/>
      <c r="JG334" s="15"/>
      <c r="JH334" s="15"/>
      <c r="JI334" s="15"/>
      <c r="JJ334" s="15"/>
      <c r="JK334" s="15"/>
      <c r="JL334" s="15"/>
      <c r="JM334" s="15"/>
      <c r="JN334" s="15"/>
      <c r="JO334" s="15"/>
      <c r="JP334" s="15"/>
    </row>
    <row r="335" spans="33:276" ht="15" customHeight="1" x14ac:dyDescent="0.3">
      <c r="AG335" s="2"/>
      <c r="JD335" s="15"/>
      <c r="JE335" s="15"/>
      <c r="JF335" s="15"/>
      <c r="JG335" s="15"/>
      <c r="JH335" s="15"/>
      <c r="JI335" s="15"/>
      <c r="JJ335" s="15"/>
      <c r="JK335" s="15"/>
      <c r="JL335" s="15"/>
      <c r="JM335" s="15"/>
      <c r="JN335" s="15"/>
      <c r="JO335" s="15"/>
      <c r="JP335" s="15"/>
    </row>
    <row r="336" spans="33:276" ht="15" customHeight="1" x14ac:dyDescent="0.3">
      <c r="AG336" s="2"/>
      <c r="JD336" s="15"/>
      <c r="JE336" s="15"/>
      <c r="JF336" s="15"/>
      <c r="JG336" s="15"/>
      <c r="JH336" s="15"/>
      <c r="JI336" s="15"/>
      <c r="JJ336" s="15"/>
      <c r="JK336" s="15"/>
      <c r="JL336" s="15"/>
      <c r="JM336" s="15"/>
      <c r="JN336" s="15"/>
      <c r="JO336" s="15"/>
      <c r="JP336" s="15"/>
    </row>
    <row r="337" spans="33:276" ht="15" customHeight="1" x14ac:dyDescent="0.3">
      <c r="AG337" s="2"/>
      <c r="JD337" s="15"/>
      <c r="JE337" s="15"/>
      <c r="JF337" s="15"/>
      <c r="JG337" s="15"/>
      <c r="JH337" s="15"/>
      <c r="JI337" s="15"/>
      <c r="JJ337" s="15"/>
      <c r="JK337" s="15"/>
      <c r="JL337" s="15"/>
      <c r="JM337" s="15"/>
      <c r="JN337" s="15"/>
      <c r="JO337" s="15"/>
      <c r="JP337" s="15"/>
    </row>
    <row r="338" spans="33:276" ht="15" customHeight="1" x14ac:dyDescent="0.3">
      <c r="AG338" s="2"/>
      <c r="JD338" s="15"/>
      <c r="JE338" s="15"/>
      <c r="JF338" s="15"/>
      <c r="JG338" s="15"/>
      <c r="JH338" s="15"/>
      <c r="JI338" s="15"/>
      <c r="JJ338" s="15"/>
      <c r="JK338" s="15"/>
      <c r="JL338" s="15"/>
      <c r="JM338" s="15"/>
      <c r="JN338" s="15"/>
      <c r="JO338" s="15"/>
      <c r="JP338" s="15"/>
    </row>
    <row r="339" spans="33:276" ht="15" customHeight="1" x14ac:dyDescent="0.3">
      <c r="AG339" s="2"/>
      <c r="JD339" s="15"/>
      <c r="JE339" s="15"/>
      <c r="JF339" s="15"/>
      <c r="JG339" s="15"/>
      <c r="JH339" s="15"/>
      <c r="JI339" s="15"/>
      <c r="JJ339" s="15"/>
      <c r="JK339" s="15"/>
      <c r="JL339" s="15"/>
      <c r="JM339" s="15"/>
      <c r="JN339" s="15"/>
      <c r="JO339" s="15"/>
      <c r="JP339" s="15"/>
    </row>
    <row r="340" spans="33:276" ht="15" customHeight="1" x14ac:dyDescent="0.3">
      <c r="AG340" s="2"/>
      <c r="JD340" s="15"/>
      <c r="JE340" s="15"/>
      <c r="JF340" s="15"/>
      <c r="JG340" s="15"/>
      <c r="JH340" s="15"/>
      <c r="JI340" s="15"/>
      <c r="JJ340" s="15"/>
      <c r="JK340" s="15"/>
      <c r="JL340" s="15"/>
      <c r="JM340" s="15"/>
      <c r="JN340" s="15"/>
      <c r="JO340" s="15"/>
      <c r="JP340" s="15"/>
    </row>
    <row r="341" spans="33:276" ht="15" customHeight="1" x14ac:dyDescent="0.3">
      <c r="AG341" s="2"/>
      <c r="JD341" s="15"/>
      <c r="JE341" s="15"/>
      <c r="JF341" s="15"/>
      <c r="JG341" s="15"/>
      <c r="JH341" s="15"/>
      <c r="JI341" s="15"/>
      <c r="JJ341" s="15"/>
      <c r="JK341" s="15"/>
      <c r="JL341" s="15"/>
      <c r="JM341" s="15"/>
      <c r="JN341" s="15"/>
      <c r="JO341" s="15"/>
      <c r="JP341" s="15"/>
    </row>
    <row r="342" spans="33:276" ht="15" customHeight="1" x14ac:dyDescent="0.3">
      <c r="AG342" s="2"/>
      <c r="JD342" s="15"/>
      <c r="JE342" s="15"/>
      <c r="JF342" s="15"/>
      <c r="JG342" s="15"/>
      <c r="JH342" s="15"/>
      <c r="JI342" s="15"/>
      <c r="JJ342" s="15"/>
      <c r="JK342" s="15"/>
      <c r="JL342" s="15"/>
      <c r="JM342" s="15"/>
      <c r="JN342" s="15"/>
      <c r="JO342" s="15"/>
      <c r="JP342" s="15"/>
    </row>
    <row r="343" spans="33:276" ht="15" customHeight="1" x14ac:dyDescent="0.3">
      <c r="AG343" s="2"/>
      <c r="JD343" s="15"/>
      <c r="JE343" s="15"/>
      <c r="JF343" s="15"/>
      <c r="JG343" s="15"/>
      <c r="JH343" s="15"/>
      <c r="JI343" s="15"/>
      <c r="JJ343" s="15"/>
      <c r="JK343" s="15"/>
      <c r="JL343" s="15"/>
      <c r="JM343" s="15"/>
      <c r="JN343" s="15"/>
      <c r="JO343" s="15"/>
      <c r="JP343" s="15"/>
    </row>
    <row r="344" spans="33:276" ht="15" customHeight="1" x14ac:dyDescent="0.3">
      <c r="AG344" s="2"/>
      <c r="JD344" s="15"/>
      <c r="JE344" s="15"/>
      <c r="JF344" s="15"/>
      <c r="JG344" s="15"/>
      <c r="JH344" s="15"/>
      <c r="JI344" s="15"/>
      <c r="JJ344" s="15"/>
      <c r="JK344" s="15"/>
      <c r="JL344" s="15"/>
      <c r="JM344" s="15"/>
      <c r="JN344" s="15"/>
      <c r="JO344" s="15"/>
      <c r="JP344" s="15"/>
    </row>
    <row r="345" spans="33:276" ht="15" customHeight="1" x14ac:dyDescent="0.3">
      <c r="AG345" s="2"/>
      <c r="JD345" s="15"/>
      <c r="JE345" s="15"/>
      <c r="JF345" s="15"/>
      <c r="JG345" s="15"/>
      <c r="JH345" s="15"/>
      <c r="JI345" s="15"/>
      <c r="JJ345" s="15"/>
      <c r="JK345" s="15"/>
      <c r="JL345" s="15"/>
      <c r="JM345" s="15"/>
      <c r="JN345" s="15"/>
      <c r="JO345" s="15"/>
      <c r="JP345" s="15"/>
    </row>
    <row r="346" spans="33:276" ht="15" customHeight="1" x14ac:dyDescent="0.3">
      <c r="AG346" s="2"/>
      <c r="JD346" s="15"/>
      <c r="JE346" s="15"/>
      <c r="JF346" s="15"/>
      <c r="JG346" s="15"/>
      <c r="JH346" s="15"/>
      <c r="JI346" s="15"/>
      <c r="JJ346" s="15"/>
      <c r="JK346" s="15"/>
      <c r="JL346" s="15"/>
      <c r="JM346" s="15"/>
      <c r="JN346" s="15"/>
      <c r="JO346" s="15"/>
      <c r="JP346" s="15"/>
    </row>
    <row r="347" spans="33:276" ht="15" customHeight="1" x14ac:dyDescent="0.3">
      <c r="AG347" s="2"/>
      <c r="JD347" s="15"/>
      <c r="JE347" s="15"/>
      <c r="JF347" s="15"/>
      <c r="JG347" s="15"/>
      <c r="JH347" s="15"/>
      <c r="JI347" s="15"/>
      <c r="JJ347" s="15"/>
      <c r="JK347" s="15"/>
      <c r="JL347" s="15"/>
      <c r="JM347" s="15"/>
      <c r="JN347" s="15"/>
      <c r="JO347" s="15"/>
      <c r="JP347" s="15"/>
    </row>
    <row r="348" spans="33:276" ht="15" customHeight="1" x14ac:dyDescent="0.3">
      <c r="AG348" s="2"/>
      <c r="JD348" s="15"/>
      <c r="JE348" s="15"/>
      <c r="JF348" s="15"/>
      <c r="JG348" s="15"/>
      <c r="JH348" s="15"/>
      <c r="JI348" s="15"/>
      <c r="JJ348" s="15"/>
      <c r="JK348" s="15"/>
      <c r="JL348" s="15"/>
      <c r="JM348" s="15"/>
      <c r="JN348" s="15"/>
      <c r="JO348" s="15"/>
      <c r="JP348" s="15"/>
    </row>
    <row r="349" spans="33:276" ht="15" customHeight="1" x14ac:dyDescent="0.3">
      <c r="AG349" s="2"/>
      <c r="JD349" s="15"/>
      <c r="JE349" s="15"/>
      <c r="JF349" s="15"/>
      <c r="JG349" s="15"/>
      <c r="JH349" s="15"/>
      <c r="JI349" s="15"/>
      <c r="JJ349" s="15"/>
      <c r="JK349" s="15"/>
      <c r="JL349" s="15"/>
      <c r="JM349" s="15"/>
      <c r="JN349" s="15"/>
      <c r="JO349" s="15"/>
      <c r="JP349" s="15"/>
    </row>
    <row r="350" spans="33:276" ht="15" customHeight="1" x14ac:dyDescent="0.3">
      <c r="AG350" s="2"/>
      <c r="JD350" s="15"/>
      <c r="JE350" s="15"/>
      <c r="JF350" s="15"/>
      <c r="JG350" s="15"/>
      <c r="JH350" s="15"/>
      <c r="JI350" s="15"/>
      <c r="JJ350" s="15"/>
      <c r="JK350" s="15"/>
      <c r="JL350" s="15"/>
      <c r="JM350" s="15"/>
      <c r="JN350" s="15"/>
      <c r="JO350" s="15"/>
      <c r="JP350" s="15"/>
    </row>
    <row r="351" spans="33:276" ht="15" customHeight="1" x14ac:dyDescent="0.3">
      <c r="AG351" s="2"/>
      <c r="JD351" s="15"/>
      <c r="JE351" s="15"/>
      <c r="JF351" s="15"/>
      <c r="JG351" s="15"/>
      <c r="JH351" s="15"/>
      <c r="JI351" s="15"/>
      <c r="JJ351" s="15"/>
      <c r="JK351" s="15"/>
      <c r="JL351" s="15"/>
      <c r="JM351" s="15"/>
      <c r="JN351" s="15"/>
      <c r="JO351" s="15"/>
      <c r="JP351" s="15"/>
    </row>
    <row r="352" spans="33:276" ht="15" customHeight="1" x14ac:dyDescent="0.3">
      <c r="AG352" s="2"/>
      <c r="JD352" s="15"/>
      <c r="JE352" s="15"/>
      <c r="JF352" s="15"/>
      <c r="JG352" s="15"/>
      <c r="JH352" s="15"/>
      <c r="JI352" s="15"/>
      <c r="JJ352" s="15"/>
      <c r="JK352" s="15"/>
      <c r="JL352" s="15"/>
      <c r="JM352" s="15"/>
      <c r="JN352" s="15"/>
      <c r="JO352" s="15"/>
      <c r="JP352" s="15"/>
    </row>
    <row r="353" spans="33:276" ht="15" customHeight="1" x14ac:dyDescent="0.3">
      <c r="AG353" s="2"/>
      <c r="JD353" s="15"/>
      <c r="JE353" s="15"/>
      <c r="JF353" s="15"/>
      <c r="JG353" s="15"/>
      <c r="JH353" s="15"/>
      <c r="JI353" s="15"/>
      <c r="JJ353" s="15"/>
      <c r="JK353" s="15"/>
      <c r="JL353" s="15"/>
      <c r="JM353" s="15"/>
      <c r="JN353" s="15"/>
      <c r="JO353" s="15"/>
      <c r="JP353" s="15"/>
    </row>
    <row r="354" spans="33:276" ht="15" customHeight="1" x14ac:dyDescent="0.3">
      <c r="AG354" s="2"/>
      <c r="JD354" s="15"/>
      <c r="JE354" s="15"/>
      <c r="JF354" s="15"/>
      <c r="JG354" s="15"/>
      <c r="JH354" s="15"/>
      <c r="JI354" s="15"/>
      <c r="JJ354" s="15"/>
      <c r="JK354" s="15"/>
      <c r="JL354" s="15"/>
      <c r="JM354" s="15"/>
      <c r="JN354" s="15"/>
      <c r="JO354" s="15"/>
      <c r="JP354" s="15"/>
    </row>
    <row r="355" spans="33:276" ht="15" customHeight="1" x14ac:dyDescent="0.3">
      <c r="AG355" s="2"/>
      <c r="JD355" s="15"/>
      <c r="JE355" s="15"/>
      <c r="JF355" s="15"/>
      <c r="JG355" s="15"/>
      <c r="JH355" s="15"/>
      <c r="JI355" s="15"/>
      <c r="JJ355" s="15"/>
      <c r="JK355" s="15"/>
      <c r="JL355" s="15"/>
      <c r="JM355" s="15"/>
      <c r="JN355" s="15"/>
      <c r="JO355" s="15"/>
      <c r="JP355" s="15"/>
    </row>
    <row r="356" spans="33:276" ht="15" customHeight="1" x14ac:dyDescent="0.3">
      <c r="AG356" s="2"/>
      <c r="JD356" s="15"/>
      <c r="JE356" s="15"/>
      <c r="JF356" s="15"/>
      <c r="JG356" s="15"/>
      <c r="JH356" s="15"/>
      <c r="JI356" s="15"/>
      <c r="JJ356" s="15"/>
      <c r="JK356" s="15"/>
      <c r="JL356" s="15"/>
      <c r="JM356" s="15"/>
      <c r="JN356" s="15"/>
      <c r="JO356" s="15"/>
      <c r="JP356" s="15"/>
    </row>
    <row r="357" spans="33:276" ht="15" customHeight="1" x14ac:dyDescent="0.3">
      <c r="AG357" s="2"/>
      <c r="JD357" s="15"/>
      <c r="JE357" s="15"/>
      <c r="JF357" s="15"/>
      <c r="JG357" s="15"/>
      <c r="JH357" s="15"/>
      <c r="JI357" s="15"/>
      <c r="JJ357" s="15"/>
      <c r="JK357" s="15"/>
      <c r="JL357" s="15"/>
      <c r="JM357" s="15"/>
      <c r="JN357" s="15"/>
      <c r="JO357" s="15"/>
      <c r="JP357" s="15"/>
    </row>
    <row r="358" spans="33:276" ht="15" customHeight="1" x14ac:dyDescent="0.3">
      <c r="AG358" s="2"/>
      <c r="JD358" s="15"/>
      <c r="JE358" s="15"/>
      <c r="JF358" s="15"/>
      <c r="JG358" s="15"/>
      <c r="JH358" s="15"/>
      <c r="JI358" s="15"/>
      <c r="JJ358" s="15"/>
      <c r="JK358" s="15"/>
      <c r="JL358" s="15"/>
      <c r="JM358" s="15"/>
      <c r="JN358" s="15"/>
      <c r="JO358" s="15"/>
      <c r="JP358" s="15"/>
    </row>
    <row r="359" spans="33:276" ht="15" customHeight="1" x14ac:dyDescent="0.3">
      <c r="AG359" s="2"/>
      <c r="JD359" s="15"/>
      <c r="JE359" s="15"/>
      <c r="JF359" s="15"/>
      <c r="JG359" s="15"/>
      <c r="JH359" s="15"/>
      <c r="JI359" s="15"/>
      <c r="JJ359" s="15"/>
      <c r="JK359" s="15"/>
      <c r="JL359" s="15"/>
      <c r="JM359" s="15"/>
      <c r="JN359" s="15"/>
      <c r="JO359" s="15"/>
      <c r="JP359" s="15"/>
    </row>
    <row r="360" spans="33:276" ht="15" customHeight="1" x14ac:dyDescent="0.3">
      <c r="AG360" s="2"/>
      <c r="JD360" s="15"/>
      <c r="JE360" s="15"/>
      <c r="JF360" s="15"/>
      <c r="JG360" s="15"/>
      <c r="JH360" s="15"/>
      <c r="JI360" s="15"/>
      <c r="JJ360" s="15"/>
      <c r="JK360" s="15"/>
      <c r="JL360" s="15"/>
      <c r="JM360" s="15"/>
      <c r="JN360" s="15"/>
      <c r="JO360" s="15"/>
      <c r="JP360" s="15"/>
    </row>
    <row r="361" spans="33:276" ht="15" customHeight="1" x14ac:dyDescent="0.3">
      <c r="AG361" s="2"/>
      <c r="JD361" s="15"/>
      <c r="JE361" s="15"/>
      <c r="JF361" s="15"/>
      <c r="JG361" s="15"/>
      <c r="JH361" s="15"/>
      <c r="JI361" s="15"/>
      <c r="JJ361" s="15"/>
      <c r="JK361" s="15"/>
      <c r="JL361" s="15"/>
      <c r="JM361" s="15"/>
      <c r="JN361" s="15"/>
      <c r="JO361" s="15"/>
      <c r="JP361" s="15"/>
    </row>
    <row r="362" spans="33:276" ht="15" customHeight="1" x14ac:dyDescent="0.3">
      <c r="AG362" s="2"/>
      <c r="JD362" s="15"/>
      <c r="JE362" s="15"/>
      <c r="JF362" s="15"/>
      <c r="JG362" s="15"/>
      <c r="JH362" s="15"/>
      <c r="JI362" s="15"/>
      <c r="JJ362" s="15"/>
      <c r="JK362" s="15"/>
      <c r="JL362" s="15"/>
      <c r="JM362" s="15"/>
      <c r="JN362" s="15"/>
      <c r="JO362" s="15"/>
      <c r="JP362" s="15"/>
    </row>
    <row r="363" spans="33:276" ht="15" customHeight="1" x14ac:dyDescent="0.3">
      <c r="AG363" s="2"/>
      <c r="JD363" s="15"/>
      <c r="JE363" s="15"/>
      <c r="JF363" s="15"/>
      <c r="JG363" s="15"/>
      <c r="JH363" s="15"/>
      <c r="JI363" s="15"/>
      <c r="JJ363" s="15"/>
      <c r="JK363" s="15"/>
      <c r="JL363" s="15"/>
      <c r="JM363" s="15"/>
      <c r="JN363" s="15"/>
      <c r="JO363" s="15"/>
      <c r="JP363" s="15"/>
    </row>
    <row r="364" spans="33:276" ht="15" customHeight="1" x14ac:dyDescent="0.3">
      <c r="AG364" s="2"/>
      <c r="JD364" s="15"/>
      <c r="JE364" s="15"/>
      <c r="JF364" s="15"/>
      <c r="JG364" s="15"/>
      <c r="JH364" s="15"/>
      <c r="JI364" s="15"/>
      <c r="JJ364" s="15"/>
      <c r="JK364" s="15"/>
      <c r="JL364" s="15"/>
      <c r="JM364" s="15"/>
      <c r="JN364" s="15"/>
      <c r="JO364" s="15"/>
      <c r="JP364" s="15"/>
    </row>
    <row r="365" spans="33:276" ht="15" customHeight="1" x14ac:dyDescent="0.3">
      <c r="AG365" s="2"/>
      <c r="JD365" s="15"/>
      <c r="JE365" s="15"/>
      <c r="JF365" s="15"/>
      <c r="JG365" s="15"/>
      <c r="JH365" s="15"/>
      <c r="JI365" s="15"/>
      <c r="JJ365" s="15"/>
      <c r="JK365" s="15"/>
      <c r="JL365" s="15"/>
      <c r="JM365" s="15"/>
      <c r="JN365" s="15"/>
      <c r="JO365" s="15"/>
      <c r="JP365" s="15"/>
    </row>
    <row r="366" spans="33:276" ht="15" customHeight="1" x14ac:dyDescent="0.3">
      <c r="AG366" s="2"/>
      <c r="JD366" s="15"/>
      <c r="JE366" s="15"/>
      <c r="JF366" s="15"/>
      <c r="JG366" s="15"/>
      <c r="JH366" s="15"/>
      <c r="JI366" s="15"/>
      <c r="JJ366" s="15"/>
      <c r="JK366" s="15"/>
      <c r="JL366" s="15"/>
      <c r="JM366" s="15"/>
      <c r="JN366" s="15"/>
      <c r="JO366" s="15"/>
      <c r="JP366" s="15"/>
    </row>
    <row r="367" spans="33:276" ht="15" customHeight="1" x14ac:dyDescent="0.3">
      <c r="AG367" s="2"/>
      <c r="JD367" s="15"/>
      <c r="JE367" s="15"/>
      <c r="JF367" s="15"/>
      <c r="JG367" s="15"/>
      <c r="JH367" s="15"/>
      <c r="JI367" s="15"/>
      <c r="JJ367" s="15"/>
      <c r="JK367" s="15"/>
      <c r="JL367" s="15"/>
      <c r="JM367" s="15"/>
      <c r="JN367" s="15"/>
      <c r="JO367" s="15"/>
      <c r="JP367" s="15"/>
    </row>
    <row r="368" spans="33:276" ht="15" customHeight="1" x14ac:dyDescent="0.3">
      <c r="AG368" s="2"/>
      <c r="JD368" s="15"/>
      <c r="JE368" s="15"/>
      <c r="JF368" s="15"/>
      <c r="JG368" s="15"/>
      <c r="JH368" s="15"/>
      <c r="JI368" s="15"/>
      <c r="JJ368" s="15"/>
      <c r="JK368" s="15"/>
      <c r="JL368" s="15"/>
      <c r="JM368" s="15"/>
      <c r="JN368" s="15"/>
      <c r="JO368" s="15"/>
      <c r="JP368" s="15"/>
    </row>
    <row r="369" spans="33:276" ht="15" customHeight="1" x14ac:dyDescent="0.3">
      <c r="AG369" s="2"/>
      <c r="JD369" s="15"/>
      <c r="JE369" s="15"/>
      <c r="JF369" s="15"/>
      <c r="JG369" s="15"/>
      <c r="JH369" s="15"/>
      <c r="JI369" s="15"/>
      <c r="JJ369" s="15"/>
      <c r="JK369" s="15"/>
      <c r="JL369" s="15"/>
      <c r="JM369" s="15"/>
      <c r="JN369" s="15"/>
      <c r="JO369" s="15"/>
      <c r="JP369" s="15"/>
    </row>
    <row r="370" spans="33:276" ht="15" customHeight="1" x14ac:dyDescent="0.3">
      <c r="AG370" s="2"/>
      <c r="JD370" s="15"/>
      <c r="JE370" s="15"/>
      <c r="JF370" s="15"/>
      <c r="JG370" s="15"/>
      <c r="JH370" s="15"/>
      <c r="JI370" s="15"/>
      <c r="JJ370" s="15"/>
      <c r="JK370" s="15"/>
      <c r="JL370" s="15"/>
      <c r="JM370" s="15"/>
      <c r="JN370" s="15"/>
      <c r="JO370" s="15"/>
      <c r="JP370" s="15"/>
    </row>
    <row r="371" spans="33:276" ht="15" customHeight="1" x14ac:dyDescent="0.3">
      <c r="AG371" s="2"/>
      <c r="JD371" s="15"/>
      <c r="JE371" s="15"/>
      <c r="JF371" s="15"/>
      <c r="JG371" s="15"/>
      <c r="JH371" s="15"/>
      <c r="JI371" s="15"/>
      <c r="JJ371" s="15"/>
      <c r="JK371" s="15"/>
      <c r="JL371" s="15"/>
      <c r="JM371" s="15"/>
      <c r="JN371" s="15"/>
      <c r="JO371" s="15"/>
      <c r="JP371" s="15"/>
    </row>
    <row r="372" spans="33:276" ht="15" customHeight="1" x14ac:dyDescent="0.3">
      <c r="AG372" s="2"/>
      <c r="JD372" s="15"/>
      <c r="JE372" s="15"/>
      <c r="JF372" s="15"/>
      <c r="JG372" s="15"/>
      <c r="JH372" s="15"/>
      <c r="JI372" s="15"/>
      <c r="JJ372" s="15"/>
      <c r="JK372" s="15"/>
      <c r="JL372" s="15"/>
      <c r="JM372" s="15"/>
      <c r="JN372" s="15"/>
      <c r="JO372" s="15"/>
      <c r="JP372" s="15"/>
    </row>
    <row r="373" spans="33:276" ht="15" customHeight="1" x14ac:dyDescent="0.3">
      <c r="AG373" s="2"/>
      <c r="JD373" s="15"/>
      <c r="JE373" s="15"/>
      <c r="JF373" s="15"/>
      <c r="JG373" s="15"/>
      <c r="JH373" s="15"/>
      <c r="JI373" s="15"/>
      <c r="JJ373" s="15"/>
      <c r="JK373" s="15"/>
      <c r="JL373" s="15"/>
      <c r="JM373" s="15"/>
      <c r="JN373" s="15"/>
      <c r="JO373" s="15"/>
      <c r="JP373" s="15"/>
    </row>
    <row r="374" spans="33:276" ht="15" customHeight="1" x14ac:dyDescent="0.3">
      <c r="AG374" s="2"/>
      <c r="JD374" s="15"/>
      <c r="JE374" s="15"/>
      <c r="JF374" s="15"/>
      <c r="JG374" s="15"/>
      <c r="JH374" s="15"/>
      <c r="JI374" s="15"/>
      <c r="JJ374" s="15"/>
      <c r="JK374" s="15"/>
      <c r="JL374" s="15"/>
      <c r="JM374" s="15"/>
      <c r="JN374" s="15"/>
      <c r="JO374" s="15"/>
      <c r="JP374" s="15"/>
    </row>
    <row r="375" spans="33:276" ht="15" customHeight="1" x14ac:dyDescent="0.3">
      <c r="AG375" s="2"/>
      <c r="JD375" s="15"/>
      <c r="JE375" s="15"/>
      <c r="JF375" s="15"/>
      <c r="JG375" s="15"/>
      <c r="JH375" s="15"/>
      <c r="JI375" s="15"/>
      <c r="JJ375" s="15"/>
      <c r="JK375" s="15"/>
      <c r="JL375" s="15"/>
      <c r="JM375" s="15"/>
      <c r="JN375" s="15"/>
      <c r="JO375" s="15"/>
      <c r="JP375" s="15"/>
    </row>
    <row r="376" spans="33:276" ht="15" customHeight="1" x14ac:dyDescent="0.3">
      <c r="AG376" s="2"/>
      <c r="JD376" s="15"/>
      <c r="JE376" s="15"/>
      <c r="JF376" s="15"/>
      <c r="JG376" s="15"/>
      <c r="JH376" s="15"/>
      <c r="JI376" s="15"/>
      <c r="JJ376" s="15"/>
      <c r="JK376" s="15"/>
      <c r="JL376" s="15"/>
      <c r="JM376" s="15"/>
      <c r="JN376" s="15"/>
      <c r="JO376" s="15"/>
      <c r="JP376" s="15"/>
    </row>
    <row r="377" spans="33:276" ht="15" customHeight="1" x14ac:dyDescent="0.3">
      <c r="AG377" s="2"/>
      <c r="JD377" s="15"/>
      <c r="JE377" s="15"/>
      <c r="JF377" s="15"/>
      <c r="JG377" s="15"/>
      <c r="JH377" s="15"/>
      <c r="JI377" s="15"/>
      <c r="JJ377" s="15"/>
      <c r="JK377" s="15"/>
      <c r="JL377" s="15"/>
      <c r="JM377" s="15"/>
      <c r="JN377" s="15"/>
      <c r="JO377" s="15"/>
      <c r="JP377" s="15"/>
    </row>
    <row r="378" spans="33:276" ht="15" customHeight="1" x14ac:dyDescent="0.3">
      <c r="AG378" s="2"/>
      <c r="JD378" s="15"/>
      <c r="JE378" s="15"/>
      <c r="JF378" s="15"/>
      <c r="JG378" s="15"/>
      <c r="JH378" s="15"/>
      <c r="JI378" s="15"/>
      <c r="JJ378" s="15"/>
      <c r="JK378" s="15"/>
      <c r="JL378" s="15"/>
      <c r="JM378" s="15"/>
      <c r="JN378" s="15"/>
      <c r="JO378" s="15"/>
      <c r="JP378" s="15"/>
    </row>
    <row r="379" spans="33:276" ht="15" customHeight="1" x14ac:dyDescent="0.3">
      <c r="AG379" s="2"/>
      <c r="JD379" s="15"/>
      <c r="JE379" s="15"/>
      <c r="JF379" s="15"/>
      <c r="JG379" s="15"/>
      <c r="JH379" s="15"/>
      <c r="JI379" s="15"/>
      <c r="JJ379" s="15"/>
      <c r="JK379" s="15"/>
      <c r="JL379" s="15"/>
      <c r="JM379" s="15"/>
      <c r="JN379" s="15"/>
      <c r="JO379" s="15"/>
      <c r="JP379" s="15"/>
    </row>
    <row r="380" spans="33:276" ht="15" customHeight="1" x14ac:dyDescent="0.3">
      <c r="AG380" s="2"/>
      <c r="JD380" s="15"/>
      <c r="JE380" s="15"/>
      <c r="JF380" s="15"/>
      <c r="JG380" s="15"/>
      <c r="JH380" s="15"/>
      <c r="JI380" s="15"/>
      <c r="JJ380" s="15"/>
      <c r="JK380" s="15"/>
      <c r="JL380" s="15"/>
      <c r="JM380" s="15"/>
      <c r="JN380" s="15"/>
      <c r="JO380" s="15"/>
      <c r="JP380" s="15"/>
    </row>
    <row r="381" spans="33:276" ht="15" customHeight="1" x14ac:dyDescent="0.3">
      <c r="AG381" s="2"/>
      <c r="JD381" s="15"/>
      <c r="JE381" s="15"/>
      <c r="JF381" s="15"/>
      <c r="JG381" s="15"/>
      <c r="JH381" s="15"/>
      <c r="JI381" s="15"/>
      <c r="JJ381" s="15"/>
      <c r="JK381" s="15"/>
      <c r="JL381" s="15"/>
      <c r="JM381" s="15"/>
      <c r="JN381" s="15"/>
      <c r="JO381" s="15"/>
      <c r="JP381" s="15"/>
    </row>
    <row r="382" spans="33:276" ht="15" customHeight="1" x14ac:dyDescent="0.3">
      <c r="AG382" s="2"/>
      <c r="JD382" s="15"/>
      <c r="JE382" s="15"/>
      <c r="JF382" s="15"/>
      <c r="JG382" s="15"/>
      <c r="JH382" s="15"/>
      <c r="JI382" s="15"/>
      <c r="JJ382" s="15"/>
      <c r="JK382" s="15"/>
      <c r="JL382" s="15"/>
      <c r="JM382" s="15"/>
      <c r="JN382" s="15"/>
      <c r="JO382" s="15"/>
      <c r="JP382" s="15"/>
    </row>
    <row r="383" spans="33:276" ht="15" customHeight="1" x14ac:dyDescent="0.3">
      <c r="AG383" s="2"/>
      <c r="JD383" s="15"/>
      <c r="JE383" s="15"/>
      <c r="JF383" s="15"/>
      <c r="JG383" s="15"/>
      <c r="JH383" s="15"/>
      <c r="JI383" s="15"/>
      <c r="JJ383" s="15"/>
      <c r="JK383" s="15"/>
      <c r="JL383" s="15"/>
      <c r="JM383" s="15"/>
      <c r="JN383" s="15"/>
      <c r="JO383" s="15"/>
      <c r="JP383" s="15"/>
    </row>
    <row r="384" spans="33:276" ht="15" customHeight="1" x14ac:dyDescent="0.3">
      <c r="AG384" s="2"/>
      <c r="JD384" s="15"/>
      <c r="JE384" s="15"/>
      <c r="JF384" s="15"/>
      <c r="JG384" s="15"/>
      <c r="JH384" s="15"/>
      <c r="JI384" s="15"/>
      <c r="JJ384" s="15"/>
      <c r="JK384" s="15"/>
      <c r="JL384" s="15"/>
      <c r="JM384" s="15"/>
      <c r="JN384" s="15"/>
      <c r="JO384" s="15"/>
      <c r="JP384" s="15"/>
    </row>
    <row r="385" spans="33:276" ht="15" customHeight="1" x14ac:dyDescent="0.3">
      <c r="AG385" s="2"/>
      <c r="JD385" s="15"/>
      <c r="JE385" s="15"/>
      <c r="JF385" s="15"/>
      <c r="JG385" s="15"/>
      <c r="JH385" s="15"/>
      <c r="JI385" s="15"/>
      <c r="JJ385" s="15"/>
      <c r="JK385" s="15"/>
      <c r="JL385" s="15"/>
      <c r="JM385" s="15"/>
      <c r="JN385" s="15"/>
      <c r="JO385" s="15"/>
      <c r="JP385" s="15"/>
    </row>
    <row r="386" spans="33:276" ht="15" customHeight="1" x14ac:dyDescent="0.3">
      <c r="AG386" s="2"/>
      <c r="JD386" s="15"/>
      <c r="JE386" s="15"/>
      <c r="JF386" s="15"/>
      <c r="JG386" s="15"/>
      <c r="JH386" s="15"/>
      <c r="JI386" s="15"/>
      <c r="JJ386" s="15"/>
      <c r="JK386" s="15"/>
      <c r="JL386" s="15"/>
      <c r="JM386" s="15"/>
      <c r="JN386" s="15"/>
      <c r="JO386" s="15"/>
      <c r="JP386" s="15"/>
    </row>
    <row r="387" spans="33:276" ht="15" customHeight="1" x14ac:dyDescent="0.3">
      <c r="AG387" s="2"/>
      <c r="JD387" s="15"/>
      <c r="JE387" s="15"/>
      <c r="JF387" s="15"/>
      <c r="JG387" s="15"/>
      <c r="JH387" s="15"/>
      <c r="JI387" s="15"/>
      <c r="JJ387" s="15"/>
      <c r="JK387" s="15"/>
      <c r="JL387" s="15"/>
      <c r="JM387" s="15"/>
      <c r="JN387" s="15"/>
      <c r="JO387" s="15"/>
      <c r="JP387" s="15"/>
    </row>
    <row r="388" spans="33:276" ht="15" customHeight="1" x14ac:dyDescent="0.3">
      <c r="AG388" s="2"/>
      <c r="JD388" s="15"/>
      <c r="JE388" s="15"/>
      <c r="JF388" s="15"/>
      <c r="JG388" s="15"/>
      <c r="JH388" s="15"/>
      <c r="JI388" s="15"/>
      <c r="JJ388" s="15"/>
      <c r="JK388" s="15"/>
      <c r="JL388" s="15"/>
      <c r="JM388" s="15"/>
      <c r="JN388" s="15"/>
      <c r="JO388" s="15"/>
      <c r="JP388" s="15"/>
    </row>
    <row r="389" spans="33:276" ht="15" customHeight="1" x14ac:dyDescent="0.3">
      <c r="AG389" s="2"/>
      <c r="JD389" s="15"/>
      <c r="JE389" s="15"/>
      <c r="JF389" s="15"/>
      <c r="JG389" s="15"/>
      <c r="JH389" s="15"/>
      <c r="JI389" s="15"/>
      <c r="JJ389" s="15"/>
      <c r="JK389" s="15"/>
      <c r="JL389" s="15"/>
      <c r="JM389" s="15"/>
      <c r="JN389" s="15"/>
      <c r="JO389" s="15"/>
      <c r="JP389" s="15"/>
    </row>
    <row r="390" spans="33:276" ht="15" customHeight="1" x14ac:dyDescent="0.3">
      <c r="AG390" s="2"/>
      <c r="JD390" s="15"/>
      <c r="JE390" s="15"/>
      <c r="JF390" s="15"/>
      <c r="JG390" s="15"/>
      <c r="JH390" s="15"/>
      <c r="JI390" s="15"/>
      <c r="JJ390" s="15"/>
      <c r="JK390" s="15"/>
      <c r="JL390" s="15"/>
      <c r="JM390" s="15"/>
      <c r="JN390" s="15"/>
      <c r="JO390" s="15"/>
      <c r="JP390" s="15"/>
    </row>
    <row r="391" spans="33:276" ht="15" customHeight="1" x14ac:dyDescent="0.3">
      <c r="AG391" s="2"/>
      <c r="JD391" s="15"/>
      <c r="JE391" s="15"/>
      <c r="JF391" s="15"/>
      <c r="JG391" s="15"/>
      <c r="JH391" s="15"/>
      <c r="JI391" s="15"/>
      <c r="JJ391" s="15"/>
      <c r="JK391" s="15"/>
      <c r="JL391" s="15"/>
      <c r="JM391" s="15"/>
      <c r="JN391" s="15"/>
      <c r="JO391" s="15"/>
      <c r="JP391" s="15"/>
    </row>
    <row r="392" spans="33:276" ht="15" customHeight="1" x14ac:dyDescent="0.3">
      <c r="AG392" s="2"/>
      <c r="JD392" s="15"/>
      <c r="JE392" s="15"/>
      <c r="JF392" s="15"/>
      <c r="JG392" s="15"/>
      <c r="JH392" s="15"/>
      <c r="JI392" s="15"/>
      <c r="JJ392" s="15"/>
      <c r="JK392" s="15"/>
      <c r="JL392" s="15"/>
      <c r="JM392" s="15"/>
      <c r="JN392" s="15"/>
      <c r="JO392" s="15"/>
      <c r="JP392" s="15"/>
    </row>
    <row r="393" spans="33:276" ht="15" customHeight="1" x14ac:dyDescent="0.3">
      <c r="AG393" s="2"/>
      <c r="JD393" s="15"/>
      <c r="JE393" s="15"/>
      <c r="JF393" s="15"/>
      <c r="JG393" s="15"/>
      <c r="JH393" s="15"/>
      <c r="JI393" s="15"/>
      <c r="JJ393" s="15"/>
      <c r="JK393" s="15"/>
      <c r="JL393" s="15"/>
      <c r="JM393" s="15"/>
      <c r="JN393" s="15"/>
      <c r="JO393" s="15"/>
      <c r="JP393" s="15"/>
    </row>
    <row r="394" spans="33:276" ht="15" customHeight="1" x14ac:dyDescent="0.3">
      <c r="AG394" s="2"/>
      <c r="JD394" s="15"/>
      <c r="JE394" s="15"/>
      <c r="JF394" s="15"/>
      <c r="JG394" s="15"/>
      <c r="JH394" s="15"/>
      <c r="JI394" s="15"/>
      <c r="JJ394" s="15"/>
      <c r="JK394" s="15"/>
      <c r="JL394" s="15"/>
      <c r="JM394" s="15"/>
      <c r="JN394" s="15"/>
      <c r="JO394" s="15"/>
      <c r="JP394" s="15"/>
    </row>
    <row r="395" spans="33:276" ht="15" customHeight="1" x14ac:dyDescent="0.3">
      <c r="AG395" s="2"/>
      <c r="JD395" s="15"/>
      <c r="JE395" s="15"/>
      <c r="JF395" s="15"/>
      <c r="JG395" s="15"/>
      <c r="JH395" s="15"/>
      <c r="JI395" s="15"/>
      <c r="JJ395" s="15"/>
      <c r="JK395" s="15"/>
      <c r="JL395" s="15"/>
      <c r="JM395" s="15"/>
      <c r="JN395" s="15"/>
      <c r="JO395" s="15"/>
      <c r="JP395" s="15"/>
    </row>
    <row r="396" spans="33:276" ht="15" customHeight="1" x14ac:dyDescent="0.3">
      <c r="AG396" s="2"/>
      <c r="JD396" s="15"/>
      <c r="JE396" s="15"/>
      <c r="JF396" s="15"/>
      <c r="JG396" s="15"/>
      <c r="JH396" s="15"/>
      <c r="JI396" s="15"/>
      <c r="JJ396" s="15"/>
      <c r="JK396" s="15"/>
      <c r="JL396" s="15"/>
      <c r="JM396" s="15"/>
      <c r="JN396" s="15"/>
      <c r="JO396" s="15"/>
      <c r="JP396" s="15"/>
    </row>
    <row r="397" spans="33:276" ht="15" customHeight="1" x14ac:dyDescent="0.3">
      <c r="AG397" s="2"/>
      <c r="JD397" s="15"/>
      <c r="JE397" s="15"/>
      <c r="JF397" s="15"/>
      <c r="JG397" s="15"/>
      <c r="JH397" s="15"/>
      <c r="JI397" s="15"/>
      <c r="JJ397" s="15"/>
      <c r="JK397" s="15"/>
      <c r="JL397" s="15"/>
      <c r="JM397" s="15"/>
      <c r="JN397" s="15"/>
      <c r="JO397" s="15"/>
      <c r="JP397" s="15"/>
    </row>
    <row r="398" spans="33:276" ht="15" customHeight="1" x14ac:dyDescent="0.3">
      <c r="AG398" s="2"/>
      <c r="JD398" s="15"/>
      <c r="JE398" s="15"/>
      <c r="JF398" s="15"/>
      <c r="JG398" s="15"/>
      <c r="JH398" s="15"/>
      <c r="JI398" s="15"/>
      <c r="JJ398" s="15"/>
      <c r="JK398" s="15"/>
      <c r="JL398" s="15"/>
      <c r="JM398" s="15"/>
      <c r="JN398" s="15"/>
      <c r="JO398" s="15"/>
      <c r="JP398" s="15"/>
    </row>
    <row r="399" spans="33:276" ht="15" customHeight="1" x14ac:dyDescent="0.3">
      <c r="AG399" s="2"/>
      <c r="JD399" s="15"/>
      <c r="JE399" s="15"/>
      <c r="JF399" s="15"/>
      <c r="JG399" s="15"/>
      <c r="JH399" s="15"/>
      <c r="JI399" s="15"/>
      <c r="JJ399" s="15"/>
      <c r="JK399" s="15"/>
      <c r="JL399" s="15"/>
      <c r="JM399" s="15"/>
      <c r="JN399" s="15"/>
      <c r="JO399" s="15"/>
      <c r="JP399" s="15"/>
    </row>
    <row r="400" spans="33:276" ht="15" customHeight="1" x14ac:dyDescent="0.3">
      <c r="AG400" s="2"/>
      <c r="JD400" s="15"/>
      <c r="JE400" s="15"/>
      <c r="JF400" s="15"/>
      <c r="JG400" s="15"/>
      <c r="JH400" s="15"/>
      <c r="JI400" s="15"/>
      <c r="JJ400" s="15"/>
      <c r="JK400" s="15"/>
      <c r="JL400" s="15"/>
      <c r="JM400" s="15"/>
      <c r="JN400" s="15"/>
      <c r="JO400" s="15"/>
      <c r="JP400" s="15"/>
    </row>
    <row r="401" spans="33:276" ht="15" customHeight="1" x14ac:dyDescent="0.3">
      <c r="AG401" s="2"/>
      <c r="JD401" s="15"/>
      <c r="JE401" s="15"/>
      <c r="JF401" s="15"/>
      <c r="JG401" s="15"/>
      <c r="JH401" s="15"/>
      <c r="JI401" s="15"/>
      <c r="JJ401" s="15"/>
      <c r="JK401" s="15"/>
      <c r="JL401" s="15"/>
      <c r="JM401" s="15"/>
      <c r="JN401" s="15"/>
      <c r="JO401" s="15"/>
      <c r="JP401" s="15"/>
    </row>
    <row r="402" spans="33:276" ht="15" customHeight="1" x14ac:dyDescent="0.3">
      <c r="AG402" s="2"/>
      <c r="JD402" s="15"/>
      <c r="JE402" s="15"/>
      <c r="JF402" s="15"/>
      <c r="JG402" s="15"/>
      <c r="JH402" s="15"/>
      <c r="JI402" s="15"/>
      <c r="JJ402" s="15"/>
      <c r="JK402" s="15"/>
      <c r="JL402" s="15"/>
      <c r="JM402" s="15"/>
      <c r="JN402" s="15"/>
      <c r="JO402" s="15"/>
      <c r="JP402" s="15"/>
    </row>
    <row r="403" spans="33:276" ht="15" customHeight="1" x14ac:dyDescent="0.3">
      <c r="AG403" s="2"/>
      <c r="JD403" s="15"/>
      <c r="JE403" s="15"/>
      <c r="JF403" s="15"/>
      <c r="JG403" s="15"/>
      <c r="JH403" s="15"/>
      <c r="JI403" s="15"/>
      <c r="JJ403" s="15"/>
      <c r="JK403" s="15"/>
      <c r="JL403" s="15"/>
      <c r="JM403" s="15"/>
      <c r="JN403" s="15"/>
      <c r="JO403" s="15"/>
      <c r="JP403" s="15"/>
    </row>
    <row r="404" spans="33:276" ht="15" customHeight="1" x14ac:dyDescent="0.3">
      <c r="AG404" s="2"/>
      <c r="JD404" s="15"/>
      <c r="JE404" s="15"/>
      <c r="JF404" s="15"/>
      <c r="JG404" s="15"/>
      <c r="JH404" s="15"/>
      <c r="JI404" s="15"/>
      <c r="JJ404" s="15"/>
      <c r="JK404" s="15"/>
      <c r="JL404" s="15"/>
      <c r="JM404" s="15"/>
      <c r="JN404" s="15"/>
      <c r="JO404" s="15"/>
      <c r="JP404" s="15"/>
    </row>
    <row r="405" spans="33:276" ht="15" customHeight="1" x14ac:dyDescent="0.3">
      <c r="AG405" s="2"/>
      <c r="JD405" s="15"/>
      <c r="JE405" s="15"/>
      <c r="JF405" s="15"/>
      <c r="JG405" s="15"/>
      <c r="JH405" s="15"/>
      <c r="JI405" s="15"/>
      <c r="JJ405" s="15"/>
      <c r="JK405" s="15"/>
      <c r="JL405" s="15"/>
      <c r="JM405" s="15"/>
      <c r="JN405" s="15"/>
      <c r="JO405" s="15"/>
      <c r="JP405" s="15"/>
    </row>
    <row r="406" spans="33:276" ht="15" customHeight="1" x14ac:dyDescent="0.3">
      <c r="AG406" s="2"/>
      <c r="JD406" s="15"/>
      <c r="JE406" s="15"/>
      <c r="JF406" s="15"/>
      <c r="JG406" s="15"/>
      <c r="JH406" s="15"/>
      <c r="JI406" s="15"/>
      <c r="JJ406" s="15"/>
      <c r="JK406" s="15"/>
      <c r="JL406" s="15"/>
      <c r="JM406" s="15"/>
      <c r="JN406" s="15"/>
      <c r="JO406" s="15"/>
      <c r="JP406" s="15"/>
    </row>
    <row r="407" spans="33:276" ht="15" customHeight="1" x14ac:dyDescent="0.3">
      <c r="AG407" s="2"/>
      <c r="JD407" s="15"/>
      <c r="JE407" s="15"/>
      <c r="JF407" s="15"/>
      <c r="JG407" s="15"/>
      <c r="JH407" s="15"/>
      <c r="JI407" s="15"/>
      <c r="JJ407" s="15"/>
      <c r="JK407" s="15"/>
      <c r="JL407" s="15"/>
      <c r="JM407" s="15"/>
      <c r="JN407" s="15"/>
      <c r="JO407" s="15"/>
      <c r="JP407" s="15"/>
    </row>
    <row r="408" spans="33:276" ht="15" customHeight="1" x14ac:dyDescent="0.3">
      <c r="AG408" s="2"/>
      <c r="JD408" s="15"/>
      <c r="JE408" s="15"/>
      <c r="JF408" s="15"/>
      <c r="JG408" s="15"/>
      <c r="JH408" s="15"/>
      <c r="JI408" s="15"/>
      <c r="JJ408" s="15"/>
      <c r="JK408" s="15"/>
      <c r="JL408" s="15"/>
      <c r="JM408" s="15"/>
      <c r="JN408" s="15"/>
      <c r="JO408" s="15"/>
      <c r="JP408" s="15"/>
    </row>
    <row r="409" spans="33:276" ht="15" customHeight="1" x14ac:dyDescent="0.3">
      <c r="AG409" s="2"/>
      <c r="JD409" s="15"/>
      <c r="JE409" s="15"/>
      <c r="JF409" s="15"/>
      <c r="JG409" s="15"/>
      <c r="JH409" s="15"/>
      <c r="JI409" s="15"/>
      <c r="JJ409" s="15"/>
      <c r="JK409" s="15"/>
      <c r="JL409" s="15"/>
      <c r="JM409" s="15"/>
      <c r="JN409" s="15"/>
      <c r="JO409" s="15"/>
      <c r="JP409" s="15"/>
    </row>
    <row r="410" spans="33:276" ht="15" customHeight="1" x14ac:dyDescent="0.3">
      <c r="AG410" s="2"/>
      <c r="JD410" s="15"/>
      <c r="JE410" s="15"/>
      <c r="JF410" s="15"/>
      <c r="JG410" s="15"/>
      <c r="JH410" s="15"/>
      <c r="JI410" s="15"/>
      <c r="JJ410" s="15"/>
      <c r="JK410" s="15"/>
      <c r="JL410" s="15"/>
      <c r="JM410" s="15"/>
      <c r="JN410" s="15"/>
      <c r="JO410" s="15"/>
      <c r="JP410" s="15"/>
    </row>
    <row r="411" spans="33:276" ht="15" customHeight="1" x14ac:dyDescent="0.3">
      <c r="AG411" s="2"/>
      <c r="JD411" s="15"/>
      <c r="JE411" s="15"/>
      <c r="JF411" s="15"/>
      <c r="JG411" s="15"/>
      <c r="JH411" s="15"/>
      <c r="JI411" s="15"/>
      <c r="JJ411" s="15"/>
      <c r="JK411" s="15"/>
      <c r="JL411" s="15"/>
      <c r="JM411" s="15"/>
      <c r="JN411" s="15"/>
      <c r="JO411" s="15"/>
      <c r="JP411" s="15"/>
    </row>
    <row r="412" spans="33:276" ht="15" customHeight="1" x14ac:dyDescent="0.3">
      <c r="AG412" s="2"/>
      <c r="JD412" s="15"/>
      <c r="JE412" s="15"/>
      <c r="JF412" s="15"/>
      <c r="JG412" s="15"/>
      <c r="JH412" s="15"/>
      <c r="JI412" s="15"/>
      <c r="JJ412" s="15"/>
      <c r="JK412" s="15"/>
      <c r="JL412" s="15"/>
      <c r="JM412" s="15"/>
      <c r="JN412" s="15"/>
      <c r="JO412" s="15"/>
      <c r="JP412" s="15"/>
    </row>
    <row r="413" spans="33:276" ht="15" customHeight="1" x14ac:dyDescent="0.3">
      <c r="AG413" s="2"/>
      <c r="JD413" s="15"/>
      <c r="JE413" s="15"/>
      <c r="JF413" s="15"/>
      <c r="JG413" s="15"/>
      <c r="JH413" s="15"/>
      <c r="JI413" s="15"/>
      <c r="JJ413" s="15"/>
      <c r="JK413" s="15"/>
      <c r="JL413" s="15"/>
      <c r="JM413" s="15"/>
      <c r="JN413" s="15"/>
      <c r="JO413" s="15"/>
      <c r="JP413" s="15"/>
    </row>
    <row r="414" spans="33:276" ht="15" customHeight="1" x14ac:dyDescent="0.3">
      <c r="AG414" s="2"/>
      <c r="JD414" s="15"/>
      <c r="JE414" s="15"/>
      <c r="JF414" s="15"/>
      <c r="JG414" s="15"/>
      <c r="JH414" s="15"/>
      <c r="JI414" s="15"/>
      <c r="JJ414" s="15"/>
      <c r="JK414" s="15"/>
      <c r="JL414" s="15"/>
      <c r="JM414" s="15"/>
      <c r="JN414" s="15"/>
      <c r="JO414" s="15"/>
      <c r="JP414" s="15"/>
    </row>
    <row r="415" spans="33:276" ht="15" customHeight="1" x14ac:dyDescent="0.3">
      <c r="AG415" s="2"/>
      <c r="JD415" s="15"/>
      <c r="JE415" s="15"/>
      <c r="JF415" s="15"/>
      <c r="JG415" s="15"/>
      <c r="JH415" s="15"/>
      <c r="JI415" s="15"/>
      <c r="JJ415" s="15"/>
      <c r="JK415" s="15"/>
      <c r="JL415" s="15"/>
      <c r="JM415" s="15"/>
      <c r="JN415" s="15"/>
      <c r="JO415" s="15"/>
      <c r="JP415" s="15"/>
    </row>
    <row r="416" spans="33:276" ht="15" customHeight="1" x14ac:dyDescent="0.3">
      <c r="AG416" s="2"/>
      <c r="JD416" s="15"/>
      <c r="JE416" s="15"/>
      <c r="JF416" s="15"/>
      <c r="JG416" s="15"/>
      <c r="JH416" s="15"/>
      <c r="JI416" s="15"/>
      <c r="JJ416" s="15"/>
      <c r="JK416" s="15"/>
      <c r="JL416" s="15"/>
      <c r="JM416" s="15"/>
      <c r="JN416" s="15"/>
      <c r="JO416" s="15"/>
      <c r="JP416" s="15"/>
    </row>
    <row r="417" spans="33:276" ht="15" customHeight="1" x14ac:dyDescent="0.3">
      <c r="AG417" s="2"/>
      <c r="JD417" s="15"/>
      <c r="JE417" s="15"/>
      <c r="JF417" s="15"/>
      <c r="JG417" s="15"/>
      <c r="JH417" s="15"/>
      <c r="JI417" s="15"/>
      <c r="JJ417" s="15"/>
      <c r="JK417" s="15"/>
      <c r="JL417" s="15"/>
      <c r="JM417" s="15"/>
      <c r="JN417" s="15"/>
      <c r="JO417" s="15"/>
      <c r="JP417" s="15"/>
    </row>
    <row r="418" spans="33:276" ht="15" customHeight="1" x14ac:dyDescent="0.3">
      <c r="AG418" s="2"/>
      <c r="JD418" s="15"/>
      <c r="JE418" s="15"/>
      <c r="JF418" s="15"/>
      <c r="JG418" s="15"/>
      <c r="JH418" s="15"/>
      <c r="JI418" s="15"/>
      <c r="JJ418" s="15"/>
      <c r="JK418" s="15"/>
      <c r="JL418" s="15"/>
      <c r="JM418" s="15"/>
      <c r="JN418" s="15"/>
      <c r="JO418" s="15"/>
      <c r="JP418" s="15"/>
    </row>
    <row r="419" spans="33:276" ht="15" customHeight="1" x14ac:dyDescent="0.3">
      <c r="AG419" s="2"/>
      <c r="JD419" s="15"/>
      <c r="JE419" s="15"/>
      <c r="JF419" s="15"/>
      <c r="JG419" s="15"/>
      <c r="JH419" s="15"/>
      <c r="JI419" s="15"/>
      <c r="JJ419" s="15"/>
      <c r="JK419" s="15"/>
      <c r="JL419" s="15"/>
      <c r="JM419" s="15"/>
      <c r="JN419" s="15"/>
      <c r="JO419" s="15"/>
      <c r="JP419" s="15"/>
    </row>
    <row r="420" spans="33:276" ht="15" customHeight="1" x14ac:dyDescent="0.3">
      <c r="AG420" s="2"/>
      <c r="JD420" s="15"/>
      <c r="JE420" s="15"/>
      <c r="JF420" s="15"/>
      <c r="JG420" s="15"/>
      <c r="JH420" s="15"/>
      <c r="JI420" s="15"/>
      <c r="JJ420" s="15"/>
      <c r="JK420" s="15"/>
      <c r="JL420" s="15"/>
      <c r="JM420" s="15"/>
      <c r="JN420" s="15"/>
      <c r="JO420" s="15"/>
      <c r="JP420" s="15"/>
    </row>
    <row r="421" spans="33:276" ht="15" customHeight="1" x14ac:dyDescent="0.3">
      <c r="AG421" s="2"/>
      <c r="JD421" s="15"/>
      <c r="JE421" s="15"/>
      <c r="JF421" s="15"/>
      <c r="JG421" s="15"/>
      <c r="JH421" s="15"/>
      <c r="JI421" s="15"/>
      <c r="JJ421" s="15"/>
      <c r="JK421" s="15"/>
      <c r="JL421" s="15"/>
      <c r="JM421" s="15"/>
      <c r="JN421" s="15"/>
      <c r="JO421" s="15"/>
      <c r="JP421" s="15"/>
    </row>
    <row r="422" spans="33:276" ht="15" customHeight="1" x14ac:dyDescent="0.3">
      <c r="AG422" s="2"/>
      <c r="JD422" s="15"/>
      <c r="JE422" s="15"/>
      <c r="JF422" s="15"/>
      <c r="JG422" s="15"/>
      <c r="JH422" s="15"/>
      <c r="JI422" s="15"/>
      <c r="JJ422" s="15"/>
      <c r="JK422" s="15"/>
      <c r="JL422" s="15"/>
      <c r="JM422" s="15"/>
      <c r="JN422" s="15"/>
      <c r="JO422" s="15"/>
      <c r="JP422" s="15"/>
    </row>
    <row r="423" spans="33:276" ht="15" customHeight="1" x14ac:dyDescent="0.3">
      <c r="AG423" s="2"/>
      <c r="JD423" s="15"/>
      <c r="JE423" s="15"/>
      <c r="JF423" s="15"/>
      <c r="JG423" s="15"/>
      <c r="JH423" s="15"/>
      <c r="JI423" s="15"/>
      <c r="JJ423" s="15"/>
      <c r="JK423" s="15"/>
      <c r="JL423" s="15"/>
      <c r="JM423" s="15"/>
      <c r="JN423" s="15"/>
      <c r="JO423" s="15"/>
      <c r="JP423" s="15"/>
    </row>
    <row r="424" spans="33:276" ht="15" customHeight="1" x14ac:dyDescent="0.3">
      <c r="AG424" s="2"/>
      <c r="JD424" s="15"/>
      <c r="JE424" s="15"/>
      <c r="JF424" s="15"/>
      <c r="JG424" s="15"/>
      <c r="JH424" s="15"/>
      <c r="JI424" s="15"/>
      <c r="JJ424" s="15"/>
      <c r="JK424" s="15"/>
      <c r="JL424" s="15"/>
      <c r="JM424" s="15"/>
      <c r="JN424" s="15"/>
      <c r="JO424" s="15"/>
      <c r="JP424" s="15"/>
    </row>
    <row r="425" spans="33:276" ht="15" customHeight="1" x14ac:dyDescent="0.3">
      <c r="AG425" s="2"/>
      <c r="JD425" s="15"/>
      <c r="JE425" s="15"/>
      <c r="JF425" s="15"/>
      <c r="JG425" s="15"/>
      <c r="JH425" s="15"/>
      <c r="JI425" s="15"/>
      <c r="JJ425" s="15"/>
      <c r="JK425" s="15"/>
      <c r="JL425" s="15"/>
      <c r="JM425" s="15"/>
      <c r="JN425" s="15"/>
      <c r="JO425" s="15"/>
      <c r="JP425" s="15"/>
    </row>
    <row r="426" spans="33:276" ht="15" customHeight="1" x14ac:dyDescent="0.3">
      <c r="AG426" s="2"/>
      <c r="JD426" s="15"/>
      <c r="JE426" s="15"/>
      <c r="JF426" s="15"/>
      <c r="JG426" s="15"/>
      <c r="JH426" s="15"/>
      <c r="JI426" s="15"/>
      <c r="JJ426" s="15"/>
      <c r="JK426" s="15"/>
      <c r="JL426" s="15"/>
      <c r="JM426" s="15"/>
      <c r="JN426" s="15"/>
      <c r="JO426" s="15"/>
      <c r="JP426" s="15"/>
    </row>
    <row r="427" spans="33:276" ht="15" customHeight="1" x14ac:dyDescent="0.3">
      <c r="AG427" s="2"/>
      <c r="JD427" s="15"/>
      <c r="JE427" s="15"/>
      <c r="JF427" s="15"/>
      <c r="JG427" s="15"/>
      <c r="JH427" s="15"/>
      <c r="JI427" s="15"/>
      <c r="JJ427" s="15"/>
      <c r="JK427" s="15"/>
      <c r="JL427" s="15"/>
      <c r="JM427" s="15"/>
      <c r="JN427" s="15"/>
      <c r="JO427" s="15"/>
      <c r="JP427" s="15"/>
    </row>
    <row r="428" spans="33:276" ht="15" customHeight="1" x14ac:dyDescent="0.3">
      <c r="AG428" s="2"/>
      <c r="JD428" s="15"/>
      <c r="JE428" s="15"/>
      <c r="JF428" s="15"/>
      <c r="JG428" s="15"/>
      <c r="JH428" s="15"/>
      <c r="JI428" s="15"/>
      <c r="JJ428" s="15"/>
      <c r="JK428" s="15"/>
      <c r="JL428" s="15"/>
      <c r="JM428" s="15"/>
      <c r="JN428" s="15"/>
      <c r="JO428" s="15"/>
      <c r="JP428" s="15"/>
    </row>
    <row r="429" spans="33:276" ht="15" customHeight="1" x14ac:dyDescent="0.3">
      <c r="AG429" s="2"/>
      <c r="JD429" s="15"/>
      <c r="JE429" s="15"/>
      <c r="JF429" s="15"/>
      <c r="JG429" s="15"/>
      <c r="JH429" s="15"/>
      <c r="JI429" s="15"/>
      <c r="JJ429" s="15"/>
      <c r="JK429" s="15"/>
      <c r="JL429" s="15"/>
      <c r="JM429" s="15"/>
      <c r="JN429" s="15"/>
      <c r="JO429" s="15"/>
      <c r="JP429" s="15"/>
    </row>
    <row r="430" spans="33:276" ht="15" customHeight="1" x14ac:dyDescent="0.3">
      <c r="AG430" s="2"/>
      <c r="JD430" s="15"/>
      <c r="JE430" s="15"/>
      <c r="JF430" s="15"/>
      <c r="JG430" s="15"/>
      <c r="JH430" s="15"/>
      <c r="JI430" s="15"/>
      <c r="JJ430" s="15"/>
      <c r="JK430" s="15"/>
      <c r="JL430" s="15"/>
      <c r="JM430" s="15"/>
      <c r="JN430" s="15"/>
      <c r="JO430" s="15"/>
      <c r="JP430" s="15"/>
    </row>
    <row r="431" spans="33:276" ht="15" customHeight="1" x14ac:dyDescent="0.3">
      <c r="AG431" s="2"/>
      <c r="JD431" s="15"/>
      <c r="JE431" s="15"/>
      <c r="JF431" s="15"/>
      <c r="JG431" s="15"/>
      <c r="JH431" s="15"/>
      <c r="JI431" s="15"/>
      <c r="JJ431" s="15"/>
      <c r="JK431" s="15"/>
      <c r="JL431" s="15"/>
      <c r="JM431" s="15"/>
      <c r="JN431" s="15"/>
      <c r="JO431" s="15"/>
      <c r="JP431" s="15"/>
    </row>
    <row r="432" spans="33:276" ht="15" customHeight="1" x14ac:dyDescent="0.3">
      <c r="AG432" s="2"/>
      <c r="JD432" s="15"/>
      <c r="JE432" s="15"/>
      <c r="JF432" s="15"/>
      <c r="JG432" s="15"/>
      <c r="JH432" s="15"/>
      <c r="JI432" s="15"/>
      <c r="JJ432" s="15"/>
      <c r="JK432" s="15"/>
      <c r="JL432" s="15"/>
      <c r="JM432" s="15"/>
      <c r="JN432" s="15"/>
      <c r="JO432" s="15"/>
      <c r="JP432" s="15"/>
    </row>
    <row r="433" spans="33:276" ht="15" customHeight="1" x14ac:dyDescent="0.3">
      <c r="AG433" s="2"/>
      <c r="JD433" s="15"/>
      <c r="JE433" s="15"/>
      <c r="JF433" s="15"/>
      <c r="JG433" s="15"/>
      <c r="JH433" s="15"/>
      <c r="JI433" s="15"/>
      <c r="JJ433" s="15"/>
      <c r="JK433" s="15"/>
      <c r="JL433" s="15"/>
      <c r="JM433" s="15"/>
      <c r="JN433" s="15"/>
      <c r="JO433" s="15"/>
      <c r="JP433" s="15"/>
    </row>
    <row r="434" spans="33:276" ht="15" customHeight="1" x14ac:dyDescent="0.3">
      <c r="AG434" s="2"/>
      <c r="JD434" s="15"/>
      <c r="JE434" s="15"/>
      <c r="JF434" s="15"/>
      <c r="JG434" s="15"/>
      <c r="JH434" s="15"/>
      <c r="JI434" s="15"/>
      <c r="JJ434" s="15"/>
      <c r="JK434" s="15"/>
      <c r="JL434" s="15"/>
      <c r="JM434" s="15"/>
      <c r="JN434" s="15"/>
      <c r="JO434" s="15"/>
      <c r="JP434" s="15"/>
    </row>
    <row r="435" spans="33:276" ht="15" customHeight="1" x14ac:dyDescent="0.3">
      <c r="AG435" s="2"/>
      <c r="JD435" s="15"/>
      <c r="JE435" s="15"/>
      <c r="JF435" s="15"/>
      <c r="JG435" s="15"/>
      <c r="JH435" s="15"/>
      <c r="JI435" s="15"/>
      <c r="JJ435" s="15"/>
      <c r="JK435" s="15"/>
      <c r="JL435" s="15"/>
      <c r="JM435" s="15"/>
      <c r="JN435" s="15"/>
      <c r="JO435" s="15"/>
      <c r="JP435" s="15"/>
    </row>
    <row r="436" spans="33:276" ht="15" customHeight="1" x14ac:dyDescent="0.3">
      <c r="AG436" s="2"/>
      <c r="JD436" s="15"/>
      <c r="JE436" s="15"/>
      <c r="JF436" s="15"/>
      <c r="JG436" s="15"/>
      <c r="JH436" s="15"/>
      <c r="JI436" s="15"/>
      <c r="JJ436" s="15"/>
      <c r="JK436" s="15"/>
      <c r="JL436" s="15"/>
      <c r="JM436" s="15"/>
      <c r="JN436" s="15"/>
      <c r="JO436" s="15"/>
      <c r="JP436" s="15"/>
    </row>
    <row r="437" spans="33:276" ht="15" customHeight="1" x14ac:dyDescent="0.3">
      <c r="AG437" s="2"/>
      <c r="JD437" s="15"/>
      <c r="JE437" s="15"/>
      <c r="JF437" s="15"/>
      <c r="JG437" s="15"/>
      <c r="JH437" s="15"/>
      <c r="JI437" s="15"/>
      <c r="JJ437" s="15"/>
      <c r="JK437" s="15"/>
      <c r="JL437" s="15"/>
      <c r="JM437" s="15"/>
      <c r="JN437" s="15"/>
      <c r="JO437" s="15"/>
      <c r="JP437" s="15"/>
    </row>
    <row r="438" spans="33:276" ht="15" customHeight="1" x14ac:dyDescent="0.3">
      <c r="AG438" s="2"/>
      <c r="JD438" s="15"/>
      <c r="JE438" s="15"/>
      <c r="JF438" s="15"/>
      <c r="JG438" s="15"/>
      <c r="JH438" s="15"/>
      <c r="JI438" s="15"/>
      <c r="JJ438" s="15"/>
      <c r="JK438" s="15"/>
      <c r="JL438" s="15"/>
      <c r="JM438" s="15"/>
      <c r="JN438" s="15"/>
      <c r="JO438" s="15"/>
      <c r="JP438" s="15"/>
    </row>
    <row r="439" spans="33:276" ht="15" customHeight="1" x14ac:dyDescent="0.3">
      <c r="AG439" s="2"/>
      <c r="JD439" s="15"/>
      <c r="JE439" s="15"/>
      <c r="JF439" s="15"/>
      <c r="JG439" s="15"/>
      <c r="JH439" s="15"/>
      <c r="JI439" s="15"/>
      <c r="JJ439" s="15"/>
      <c r="JK439" s="15"/>
      <c r="JL439" s="15"/>
      <c r="JM439" s="15"/>
      <c r="JN439" s="15"/>
      <c r="JO439" s="15"/>
      <c r="JP439" s="15"/>
    </row>
    <row r="440" spans="33:276" ht="15" customHeight="1" x14ac:dyDescent="0.3">
      <c r="AG440" s="2"/>
      <c r="JD440" s="15"/>
      <c r="JE440" s="15"/>
      <c r="JF440" s="15"/>
      <c r="JG440" s="15"/>
      <c r="JH440" s="15"/>
      <c r="JI440" s="15"/>
      <c r="JJ440" s="15"/>
      <c r="JK440" s="15"/>
      <c r="JL440" s="15"/>
      <c r="JM440" s="15"/>
      <c r="JN440" s="15"/>
      <c r="JO440" s="15"/>
      <c r="JP440" s="15"/>
    </row>
    <row r="441" spans="33:276" ht="15" customHeight="1" x14ac:dyDescent="0.3">
      <c r="AG441" s="2"/>
      <c r="JD441" s="15"/>
      <c r="JE441" s="15"/>
      <c r="JF441" s="15"/>
      <c r="JG441" s="15"/>
      <c r="JH441" s="15"/>
      <c r="JI441" s="15"/>
      <c r="JJ441" s="15"/>
      <c r="JK441" s="15"/>
      <c r="JL441" s="15"/>
      <c r="JM441" s="15"/>
      <c r="JN441" s="15"/>
      <c r="JO441" s="15"/>
      <c r="JP441" s="15"/>
    </row>
    <row r="442" spans="33:276" ht="15" customHeight="1" x14ac:dyDescent="0.3">
      <c r="AG442" s="2"/>
      <c r="JD442" s="15"/>
      <c r="JE442" s="15"/>
      <c r="JF442" s="15"/>
      <c r="JG442" s="15"/>
      <c r="JH442" s="15"/>
      <c r="JI442" s="15"/>
      <c r="JJ442" s="15"/>
      <c r="JK442" s="15"/>
      <c r="JL442" s="15"/>
      <c r="JM442" s="15"/>
      <c r="JN442" s="15"/>
      <c r="JO442" s="15"/>
      <c r="JP442" s="15"/>
    </row>
    <row r="443" spans="33:276" ht="15" customHeight="1" x14ac:dyDescent="0.3">
      <c r="AG443" s="2"/>
      <c r="JD443" s="15"/>
      <c r="JE443" s="15"/>
      <c r="JF443" s="15"/>
      <c r="JG443" s="15"/>
      <c r="JH443" s="15"/>
      <c r="JI443" s="15"/>
      <c r="JJ443" s="15"/>
      <c r="JK443" s="15"/>
      <c r="JL443" s="15"/>
      <c r="JM443" s="15"/>
      <c r="JN443" s="15"/>
      <c r="JO443" s="15"/>
      <c r="JP443" s="15"/>
    </row>
    <row r="444" spans="33:276" ht="15" customHeight="1" x14ac:dyDescent="0.3">
      <c r="AG444" s="2"/>
      <c r="JD444" s="15"/>
      <c r="JE444" s="15"/>
      <c r="JF444" s="15"/>
      <c r="JG444" s="15"/>
      <c r="JH444" s="15"/>
      <c r="JI444" s="15"/>
      <c r="JJ444" s="15"/>
      <c r="JK444" s="15"/>
      <c r="JL444" s="15"/>
      <c r="JM444" s="15"/>
      <c r="JN444" s="15"/>
      <c r="JO444" s="15"/>
      <c r="JP444" s="15"/>
    </row>
    <row r="445" spans="33:276" ht="15" customHeight="1" x14ac:dyDescent="0.3">
      <c r="AG445" s="2"/>
      <c r="JD445" s="15"/>
      <c r="JE445" s="15"/>
      <c r="JF445" s="15"/>
      <c r="JG445" s="15"/>
      <c r="JH445" s="15"/>
      <c r="JI445" s="15"/>
      <c r="JJ445" s="15"/>
      <c r="JK445" s="15"/>
      <c r="JL445" s="15"/>
      <c r="JM445" s="15"/>
      <c r="JN445" s="15"/>
      <c r="JO445" s="15"/>
      <c r="JP445" s="15"/>
    </row>
    <row r="446" spans="33:276" ht="15" customHeight="1" x14ac:dyDescent="0.3">
      <c r="AG446" s="2"/>
      <c r="JD446" s="15"/>
      <c r="JE446" s="15"/>
      <c r="JF446" s="15"/>
      <c r="JG446" s="15"/>
      <c r="JH446" s="15"/>
      <c r="JI446" s="15"/>
      <c r="JJ446" s="15"/>
      <c r="JK446" s="15"/>
      <c r="JL446" s="15"/>
      <c r="JM446" s="15"/>
      <c r="JN446" s="15"/>
      <c r="JO446" s="15"/>
      <c r="JP446" s="15"/>
    </row>
    <row r="447" spans="33:276" ht="15" customHeight="1" x14ac:dyDescent="0.3">
      <c r="AG447" s="2"/>
      <c r="JD447" s="15"/>
      <c r="JE447" s="15"/>
      <c r="JF447" s="15"/>
      <c r="JG447" s="15"/>
      <c r="JH447" s="15"/>
      <c r="JI447" s="15"/>
      <c r="JJ447" s="15"/>
      <c r="JK447" s="15"/>
      <c r="JL447" s="15"/>
      <c r="JM447" s="15"/>
      <c r="JN447" s="15"/>
      <c r="JO447" s="15"/>
      <c r="JP447" s="15"/>
    </row>
    <row r="448" spans="33:276" ht="15" customHeight="1" x14ac:dyDescent="0.3">
      <c r="AG448" s="2"/>
      <c r="JD448" s="15"/>
      <c r="JE448" s="15"/>
      <c r="JF448" s="15"/>
      <c r="JG448" s="15"/>
      <c r="JH448" s="15"/>
      <c r="JI448" s="15"/>
      <c r="JJ448" s="15"/>
      <c r="JK448" s="15"/>
      <c r="JL448" s="15"/>
      <c r="JM448" s="15"/>
      <c r="JN448" s="15"/>
      <c r="JO448" s="15"/>
      <c r="JP448" s="15"/>
    </row>
    <row r="449" spans="33:276" ht="15" customHeight="1" x14ac:dyDescent="0.3">
      <c r="AG449" s="2"/>
      <c r="JD449" s="15"/>
      <c r="JE449" s="15"/>
      <c r="JF449" s="15"/>
      <c r="JG449" s="15"/>
      <c r="JH449" s="15"/>
      <c r="JI449" s="15"/>
      <c r="JJ449" s="15"/>
      <c r="JK449" s="15"/>
      <c r="JL449" s="15"/>
      <c r="JM449" s="15"/>
      <c r="JN449" s="15"/>
      <c r="JO449" s="15"/>
      <c r="JP449" s="15"/>
    </row>
    <row r="450" spans="33:276" ht="15" customHeight="1" x14ac:dyDescent="0.3">
      <c r="AG450" s="2"/>
      <c r="JD450" s="15"/>
      <c r="JE450" s="15"/>
      <c r="JF450" s="15"/>
      <c r="JG450" s="15"/>
      <c r="JH450" s="15"/>
      <c r="JI450" s="15"/>
      <c r="JJ450" s="15"/>
      <c r="JK450" s="15"/>
      <c r="JL450" s="15"/>
      <c r="JM450" s="15"/>
      <c r="JN450" s="15"/>
      <c r="JO450" s="15"/>
      <c r="JP450" s="15"/>
    </row>
    <row r="451" spans="33:276" ht="15" customHeight="1" x14ac:dyDescent="0.3">
      <c r="AG451" s="2"/>
      <c r="JD451" s="15"/>
      <c r="JE451" s="15"/>
      <c r="JF451" s="15"/>
      <c r="JG451" s="15"/>
      <c r="JH451" s="15"/>
      <c r="JI451" s="15"/>
      <c r="JJ451" s="15"/>
      <c r="JK451" s="15"/>
      <c r="JL451" s="15"/>
      <c r="JM451" s="15"/>
      <c r="JN451" s="15"/>
      <c r="JO451" s="15"/>
      <c r="JP451" s="15"/>
    </row>
    <row r="452" spans="33:276" ht="15" customHeight="1" x14ac:dyDescent="0.3">
      <c r="AG452" s="2"/>
      <c r="JD452" s="15"/>
      <c r="JE452" s="15"/>
      <c r="JF452" s="15"/>
      <c r="JG452" s="15"/>
      <c r="JH452" s="15"/>
      <c r="JI452" s="15"/>
      <c r="JJ452" s="15"/>
      <c r="JK452" s="15"/>
      <c r="JL452" s="15"/>
      <c r="JM452" s="15"/>
      <c r="JN452" s="15"/>
      <c r="JO452" s="15"/>
      <c r="JP452" s="15"/>
    </row>
    <row r="453" spans="33:276" ht="15" customHeight="1" x14ac:dyDescent="0.3">
      <c r="AG453" s="2"/>
      <c r="JD453" s="15"/>
      <c r="JE453" s="15"/>
      <c r="JF453" s="15"/>
      <c r="JG453" s="15"/>
      <c r="JH453" s="15"/>
      <c r="JI453" s="15"/>
      <c r="JJ453" s="15"/>
      <c r="JK453" s="15"/>
      <c r="JL453" s="15"/>
      <c r="JM453" s="15"/>
      <c r="JN453" s="15"/>
      <c r="JO453" s="15"/>
      <c r="JP453" s="15"/>
    </row>
    <row r="454" spans="33:276" ht="15" customHeight="1" x14ac:dyDescent="0.3">
      <c r="AG454" s="2"/>
      <c r="JD454" s="15"/>
      <c r="JE454" s="15"/>
      <c r="JF454" s="15"/>
      <c r="JG454" s="15"/>
      <c r="JH454" s="15"/>
      <c r="JI454" s="15"/>
      <c r="JJ454" s="15"/>
      <c r="JK454" s="15"/>
      <c r="JL454" s="15"/>
      <c r="JM454" s="15"/>
      <c r="JN454" s="15"/>
      <c r="JO454" s="15"/>
      <c r="JP454" s="15"/>
    </row>
    <row r="455" spans="33:276" ht="15" customHeight="1" x14ac:dyDescent="0.3">
      <c r="AG455" s="2"/>
      <c r="JD455" s="15"/>
      <c r="JE455" s="15"/>
      <c r="JF455" s="15"/>
      <c r="JG455" s="15"/>
      <c r="JH455" s="15"/>
      <c r="JI455" s="15"/>
      <c r="JJ455" s="15"/>
      <c r="JK455" s="15"/>
      <c r="JL455" s="15"/>
      <c r="JM455" s="15"/>
      <c r="JN455" s="15"/>
      <c r="JO455" s="15"/>
      <c r="JP455" s="15"/>
    </row>
    <row r="456" spans="33:276" ht="15" customHeight="1" x14ac:dyDescent="0.3">
      <c r="AG456" s="2"/>
      <c r="JD456" s="15"/>
      <c r="JE456" s="15"/>
      <c r="JF456" s="15"/>
      <c r="JG456" s="15"/>
      <c r="JH456" s="15"/>
      <c r="JI456" s="15"/>
      <c r="JJ456" s="15"/>
      <c r="JK456" s="15"/>
      <c r="JL456" s="15"/>
      <c r="JM456" s="15"/>
      <c r="JN456" s="15"/>
      <c r="JO456" s="15"/>
      <c r="JP456" s="15"/>
    </row>
    <row r="457" spans="33:276" ht="15" customHeight="1" x14ac:dyDescent="0.3">
      <c r="AG457" s="2"/>
      <c r="JD457" s="15"/>
      <c r="JE457" s="15"/>
      <c r="JF457" s="15"/>
      <c r="JG457" s="15"/>
      <c r="JH457" s="15"/>
      <c r="JI457" s="15"/>
      <c r="JJ457" s="15"/>
      <c r="JK457" s="15"/>
      <c r="JL457" s="15"/>
      <c r="JM457" s="15"/>
      <c r="JN457" s="15"/>
      <c r="JO457" s="15"/>
      <c r="JP457" s="15"/>
    </row>
    <row r="458" spans="33:276" ht="15" customHeight="1" x14ac:dyDescent="0.3">
      <c r="AG458" s="2"/>
      <c r="JD458" s="15"/>
      <c r="JE458" s="15"/>
      <c r="JF458" s="15"/>
      <c r="JG458" s="15"/>
      <c r="JH458" s="15"/>
      <c r="JI458" s="15"/>
      <c r="JJ458" s="15"/>
      <c r="JK458" s="15"/>
      <c r="JL458" s="15"/>
      <c r="JM458" s="15"/>
      <c r="JN458" s="15"/>
      <c r="JO458" s="15"/>
      <c r="JP458" s="15"/>
    </row>
    <row r="459" spans="33:276" ht="15" customHeight="1" x14ac:dyDescent="0.3">
      <c r="AG459" s="2"/>
      <c r="JD459" s="15"/>
      <c r="JE459" s="15"/>
      <c r="JF459" s="15"/>
      <c r="JG459" s="15"/>
      <c r="JH459" s="15"/>
      <c r="JI459" s="15"/>
      <c r="JJ459" s="15"/>
      <c r="JK459" s="15"/>
      <c r="JL459" s="15"/>
      <c r="JM459" s="15"/>
      <c r="JN459" s="15"/>
      <c r="JO459" s="15"/>
      <c r="JP459" s="15"/>
    </row>
    <row r="460" spans="33:276" ht="15" customHeight="1" x14ac:dyDescent="0.3">
      <c r="AG460" s="2"/>
      <c r="JD460" s="15"/>
      <c r="JE460" s="15"/>
      <c r="JF460" s="15"/>
      <c r="JG460" s="15"/>
      <c r="JH460" s="15"/>
      <c r="JI460" s="15"/>
      <c r="JJ460" s="15"/>
      <c r="JK460" s="15"/>
      <c r="JL460" s="15"/>
      <c r="JM460" s="15"/>
      <c r="JN460" s="15"/>
      <c r="JO460" s="15"/>
      <c r="JP460" s="15"/>
    </row>
    <row r="461" spans="33:276" ht="15" customHeight="1" x14ac:dyDescent="0.3">
      <c r="AG461" s="2"/>
      <c r="JD461" s="15"/>
      <c r="JE461" s="15"/>
      <c r="JF461" s="15"/>
      <c r="JG461" s="15"/>
      <c r="JH461" s="15"/>
      <c r="JI461" s="15"/>
      <c r="JJ461" s="15"/>
      <c r="JK461" s="15"/>
      <c r="JL461" s="15"/>
      <c r="JM461" s="15"/>
      <c r="JN461" s="15"/>
      <c r="JO461" s="15"/>
      <c r="JP461" s="15"/>
    </row>
    <row r="462" spans="33:276" ht="15" customHeight="1" x14ac:dyDescent="0.3">
      <c r="AG462" s="2"/>
      <c r="JD462" s="15"/>
      <c r="JE462" s="15"/>
      <c r="JF462" s="15"/>
      <c r="JG462" s="15"/>
      <c r="JH462" s="15"/>
      <c r="JI462" s="15"/>
      <c r="JJ462" s="15"/>
      <c r="JK462" s="15"/>
      <c r="JL462" s="15"/>
      <c r="JM462" s="15"/>
      <c r="JN462" s="15"/>
      <c r="JO462" s="15"/>
      <c r="JP462" s="15"/>
    </row>
    <row r="463" spans="33:276" ht="15" customHeight="1" x14ac:dyDescent="0.3">
      <c r="AG463" s="2"/>
      <c r="JD463" s="15"/>
      <c r="JE463" s="15"/>
      <c r="JF463" s="15"/>
      <c r="JG463" s="15"/>
      <c r="JH463" s="15"/>
      <c r="JI463" s="15"/>
      <c r="JJ463" s="15"/>
      <c r="JK463" s="15"/>
      <c r="JL463" s="15"/>
      <c r="JM463" s="15"/>
      <c r="JN463" s="15"/>
      <c r="JO463" s="15"/>
      <c r="JP463" s="15"/>
    </row>
    <row r="464" spans="33:276" ht="15" customHeight="1" x14ac:dyDescent="0.3">
      <c r="AG464" s="2"/>
      <c r="JD464" s="15"/>
      <c r="JE464" s="15"/>
      <c r="JF464" s="15"/>
      <c r="JG464" s="15"/>
      <c r="JH464" s="15"/>
      <c r="JI464" s="15"/>
      <c r="JJ464" s="15"/>
      <c r="JK464" s="15"/>
      <c r="JL464" s="15"/>
      <c r="JM464" s="15"/>
      <c r="JN464" s="15"/>
      <c r="JO464" s="15"/>
      <c r="JP464" s="15"/>
    </row>
    <row r="465" spans="33:276" ht="15" customHeight="1" x14ac:dyDescent="0.3">
      <c r="AG465" s="2"/>
      <c r="JD465" s="15"/>
      <c r="JE465" s="15"/>
      <c r="JF465" s="15"/>
      <c r="JG465" s="15"/>
      <c r="JH465" s="15"/>
      <c r="JI465" s="15"/>
      <c r="JJ465" s="15"/>
      <c r="JK465" s="15"/>
      <c r="JL465" s="15"/>
      <c r="JM465" s="15"/>
      <c r="JN465" s="15"/>
      <c r="JO465" s="15"/>
      <c r="JP465" s="15"/>
    </row>
    <row r="466" spans="33:276" ht="15" customHeight="1" x14ac:dyDescent="0.3">
      <c r="AG466" s="2"/>
      <c r="JD466" s="15"/>
      <c r="JE466" s="15"/>
      <c r="JF466" s="15"/>
      <c r="JG466" s="15"/>
      <c r="JH466" s="15"/>
      <c r="JI466" s="15"/>
      <c r="JJ466" s="15"/>
      <c r="JK466" s="15"/>
      <c r="JL466" s="15"/>
      <c r="JM466" s="15"/>
      <c r="JN466" s="15"/>
      <c r="JO466" s="15"/>
      <c r="JP466" s="15"/>
    </row>
    <row r="467" spans="33:276" ht="15" customHeight="1" x14ac:dyDescent="0.3">
      <c r="AG467" s="2"/>
      <c r="JD467" s="15"/>
      <c r="JE467" s="15"/>
      <c r="JF467" s="15"/>
      <c r="JG467" s="15"/>
      <c r="JH467" s="15"/>
      <c r="JI467" s="15"/>
      <c r="JJ467" s="15"/>
      <c r="JK467" s="15"/>
      <c r="JL467" s="15"/>
      <c r="JM467" s="15"/>
      <c r="JN467" s="15"/>
      <c r="JO467" s="15"/>
      <c r="JP467" s="15"/>
    </row>
    <row r="468" spans="33:276" ht="15" customHeight="1" x14ac:dyDescent="0.3">
      <c r="AG468" s="2"/>
      <c r="JD468" s="15"/>
      <c r="JE468" s="15"/>
      <c r="JF468" s="15"/>
      <c r="JG468" s="15"/>
      <c r="JH468" s="15"/>
      <c r="JI468" s="15"/>
      <c r="JJ468" s="15"/>
      <c r="JK468" s="15"/>
      <c r="JL468" s="15"/>
      <c r="JM468" s="15"/>
      <c r="JN468" s="15"/>
      <c r="JO468" s="15"/>
      <c r="JP468" s="15"/>
    </row>
    <row r="469" spans="33:276" ht="15" customHeight="1" x14ac:dyDescent="0.3">
      <c r="AG469" s="2"/>
      <c r="JD469" s="15"/>
      <c r="JE469" s="15"/>
      <c r="JF469" s="15"/>
      <c r="JG469" s="15"/>
      <c r="JH469" s="15"/>
      <c r="JI469" s="15"/>
      <c r="JJ469" s="15"/>
      <c r="JK469" s="15"/>
      <c r="JL469" s="15"/>
      <c r="JM469" s="15"/>
      <c r="JN469" s="15"/>
      <c r="JO469" s="15"/>
      <c r="JP469" s="15"/>
    </row>
    <row r="470" spans="33:276" ht="15" customHeight="1" x14ac:dyDescent="0.3">
      <c r="AG470" s="2"/>
      <c r="JD470" s="15"/>
      <c r="JE470" s="15"/>
      <c r="JF470" s="15"/>
      <c r="JG470" s="15"/>
      <c r="JH470" s="15"/>
      <c r="JI470" s="15"/>
      <c r="JJ470" s="15"/>
      <c r="JK470" s="15"/>
      <c r="JL470" s="15"/>
      <c r="JM470" s="15"/>
      <c r="JN470" s="15"/>
      <c r="JO470" s="15"/>
      <c r="JP470" s="15"/>
    </row>
    <row r="471" spans="33:276" ht="15" customHeight="1" x14ac:dyDescent="0.3">
      <c r="AG471" s="2"/>
      <c r="JD471" s="15"/>
      <c r="JE471" s="15"/>
      <c r="JF471" s="15"/>
      <c r="JG471" s="15"/>
      <c r="JH471" s="15"/>
      <c r="JI471" s="15"/>
      <c r="JJ471" s="15"/>
      <c r="JK471" s="15"/>
      <c r="JL471" s="15"/>
      <c r="JM471" s="15"/>
      <c r="JN471" s="15"/>
      <c r="JO471" s="15"/>
      <c r="JP471" s="15"/>
    </row>
    <row r="472" spans="33:276" ht="15" customHeight="1" x14ac:dyDescent="0.3">
      <c r="AG472" s="2"/>
      <c r="JD472" s="15"/>
      <c r="JE472" s="15"/>
      <c r="JF472" s="15"/>
      <c r="JG472" s="15"/>
      <c r="JH472" s="15"/>
      <c r="JI472" s="15"/>
      <c r="JJ472" s="15"/>
      <c r="JK472" s="15"/>
      <c r="JL472" s="15"/>
      <c r="JM472" s="15"/>
      <c r="JN472" s="15"/>
      <c r="JO472" s="15"/>
      <c r="JP472" s="15"/>
    </row>
    <row r="473" spans="33:276" ht="15" customHeight="1" x14ac:dyDescent="0.3">
      <c r="AG473" s="2"/>
      <c r="JD473" s="15"/>
      <c r="JE473" s="15"/>
      <c r="JF473" s="15"/>
      <c r="JG473" s="15"/>
      <c r="JH473" s="15"/>
      <c r="JI473" s="15"/>
      <c r="JJ473" s="15"/>
      <c r="JK473" s="15"/>
      <c r="JL473" s="15"/>
      <c r="JM473" s="15"/>
      <c r="JN473" s="15"/>
      <c r="JO473" s="15"/>
      <c r="JP473" s="15"/>
    </row>
    <row r="474" spans="33:276" ht="15" customHeight="1" x14ac:dyDescent="0.3">
      <c r="AG474" s="2"/>
      <c r="JD474" s="15"/>
      <c r="JE474" s="15"/>
      <c r="JF474" s="15"/>
      <c r="JG474" s="15"/>
      <c r="JH474" s="15"/>
      <c r="JI474" s="15"/>
      <c r="JJ474" s="15"/>
      <c r="JK474" s="15"/>
      <c r="JL474" s="15"/>
      <c r="JM474" s="15"/>
      <c r="JN474" s="15"/>
      <c r="JO474" s="15"/>
      <c r="JP474" s="15"/>
    </row>
    <row r="475" spans="33:276" ht="15" customHeight="1" x14ac:dyDescent="0.3">
      <c r="AG475" s="2"/>
      <c r="JD475" s="15"/>
      <c r="JE475" s="15"/>
      <c r="JF475" s="15"/>
      <c r="JG475" s="15"/>
      <c r="JH475" s="15"/>
      <c r="JI475" s="15"/>
      <c r="JJ475" s="15"/>
      <c r="JK475" s="15"/>
      <c r="JL475" s="15"/>
      <c r="JM475" s="15"/>
      <c r="JN475" s="15"/>
      <c r="JO475" s="15"/>
      <c r="JP475" s="15"/>
    </row>
    <row r="476" spans="33:276" ht="15" customHeight="1" x14ac:dyDescent="0.3">
      <c r="AG476" s="2"/>
      <c r="JD476" s="15"/>
      <c r="JE476" s="15"/>
      <c r="JF476" s="15"/>
      <c r="JG476" s="15"/>
      <c r="JH476" s="15"/>
      <c r="JI476" s="15"/>
      <c r="JJ476" s="15"/>
      <c r="JK476" s="15"/>
      <c r="JL476" s="15"/>
      <c r="JM476" s="15"/>
      <c r="JN476" s="15"/>
      <c r="JO476" s="15"/>
      <c r="JP476" s="15"/>
    </row>
    <row r="477" spans="33:276" ht="15" customHeight="1" x14ac:dyDescent="0.3">
      <c r="AG477" s="2"/>
      <c r="JD477" s="15"/>
      <c r="JE477" s="15"/>
      <c r="JF477" s="15"/>
      <c r="JG477" s="15"/>
      <c r="JH477" s="15"/>
      <c r="JI477" s="15"/>
      <c r="JJ477" s="15"/>
      <c r="JK477" s="15"/>
      <c r="JL477" s="15"/>
      <c r="JM477" s="15"/>
      <c r="JN477" s="15"/>
      <c r="JO477" s="15"/>
      <c r="JP477" s="15"/>
    </row>
    <row r="478" spans="33:276" ht="15" customHeight="1" x14ac:dyDescent="0.3">
      <c r="AG478" s="2"/>
      <c r="JD478" s="15"/>
      <c r="JE478" s="15"/>
      <c r="JF478" s="15"/>
      <c r="JG478" s="15"/>
      <c r="JH478" s="15"/>
      <c r="JI478" s="15"/>
      <c r="JJ478" s="15"/>
      <c r="JK478" s="15"/>
      <c r="JL478" s="15"/>
      <c r="JM478" s="15"/>
      <c r="JN478" s="15"/>
      <c r="JO478" s="15"/>
      <c r="JP478" s="15"/>
    </row>
    <row r="479" spans="33:276" ht="15" customHeight="1" x14ac:dyDescent="0.3">
      <c r="AG479" s="2"/>
      <c r="JD479" s="15"/>
      <c r="JE479" s="15"/>
      <c r="JF479" s="15"/>
      <c r="JG479" s="15"/>
      <c r="JH479" s="15"/>
      <c r="JI479" s="15"/>
      <c r="JJ479" s="15"/>
      <c r="JK479" s="15"/>
      <c r="JL479" s="15"/>
      <c r="JM479" s="15"/>
      <c r="JN479" s="15"/>
      <c r="JO479" s="15"/>
      <c r="JP479" s="15"/>
    </row>
    <row r="480" spans="33:276" ht="15" customHeight="1" x14ac:dyDescent="0.3">
      <c r="AG480" s="2"/>
      <c r="JD480" s="15"/>
      <c r="JE480" s="15"/>
      <c r="JF480" s="15"/>
      <c r="JG480" s="15"/>
      <c r="JH480" s="15"/>
      <c r="JI480" s="15"/>
      <c r="JJ480" s="15"/>
      <c r="JK480" s="15"/>
      <c r="JL480" s="15"/>
      <c r="JM480" s="15"/>
      <c r="JN480" s="15"/>
      <c r="JO480" s="15"/>
      <c r="JP480" s="15"/>
    </row>
    <row r="481" spans="33:276" ht="15" customHeight="1" x14ac:dyDescent="0.3">
      <c r="AG481" s="2"/>
      <c r="JD481" s="15"/>
      <c r="JE481" s="15"/>
      <c r="JF481" s="15"/>
      <c r="JG481" s="15"/>
      <c r="JH481" s="15"/>
      <c r="JI481" s="15"/>
      <c r="JJ481" s="15"/>
      <c r="JK481" s="15"/>
      <c r="JL481" s="15"/>
      <c r="JM481" s="15"/>
      <c r="JN481" s="15"/>
      <c r="JO481" s="15"/>
      <c r="JP481" s="15"/>
    </row>
    <row r="482" spans="33:276" ht="15" customHeight="1" x14ac:dyDescent="0.3">
      <c r="AG482" s="2"/>
      <c r="JD482" s="15"/>
      <c r="JE482" s="15"/>
      <c r="JF482" s="15"/>
      <c r="JG482" s="15"/>
      <c r="JH482" s="15"/>
      <c r="JI482" s="15"/>
      <c r="JJ482" s="15"/>
      <c r="JK482" s="15"/>
      <c r="JL482" s="15"/>
      <c r="JM482" s="15"/>
      <c r="JN482" s="15"/>
      <c r="JO482" s="15"/>
      <c r="JP482" s="15"/>
    </row>
    <row r="483" spans="33:276" ht="15" customHeight="1" x14ac:dyDescent="0.3">
      <c r="AG483" s="2"/>
      <c r="JD483" s="15"/>
      <c r="JE483" s="15"/>
      <c r="JF483" s="15"/>
      <c r="JG483" s="15"/>
      <c r="JH483" s="15"/>
      <c r="JI483" s="15"/>
      <c r="JJ483" s="15"/>
      <c r="JK483" s="15"/>
      <c r="JL483" s="15"/>
      <c r="JM483" s="15"/>
      <c r="JN483" s="15"/>
      <c r="JO483" s="15"/>
      <c r="JP483" s="15"/>
    </row>
    <row r="484" spans="33:276" ht="15" customHeight="1" x14ac:dyDescent="0.3">
      <c r="AG484" s="2"/>
      <c r="JD484" s="15"/>
      <c r="JE484" s="15"/>
      <c r="JF484" s="15"/>
      <c r="JG484" s="15"/>
      <c r="JH484" s="15"/>
      <c r="JI484" s="15"/>
      <c r="JJ484" s="15"/>
      <c r="JK484" s="15"/>
      <c r="JL484" s="15"/>
      <c r="JM484" s="15"/>
      <c r="JN484" s="15"/>
      <c r="JO484" s="15"/>
      <c r="JP484" s="15"/>
    </row>
    <row r="485" spans="33:276" ht="15" customHeight="1" x14ac:dyDescent="0.3">
      <c r="AG485" s="2"/>
      <c r="JD485" s="15"/>
      <c r="JE485" s="15"/>
      <c r="JF485" s="15"/>
      <c r="JG485" s="15"/>
      <c r="JH485" s="15"/>
      <c r="JI485" s="15"/>
      <c r="JJ485" s="15"/>
      <c r="JK485" s="15"/>
      <c r="JL485" s="15"/>
      <c r="JM485" s="15"/>
      <c r="JN485" s="15"/>
      <c r="JO485" s="15"/>
      <c r="JP485" s="15"/>
    </row>
    <row r="486" spans="33:276" ht="15" customHeight="1" x14ac:dyDescent="0.3">
      <c r="AG486" s="2"/>
      <c r="JD486" s="15"/>
      <c r="JE486" s="15"/>
      <c r="JF486" s="15"/>
      <c r="JG486" s="15"/>
      <c r="JH486" s="15"/>
      <c r="JI486" s="15"/>
      <c r="JJ486" s="15"/>
      <c r="JK486" s="15"/>
      <c r="JL486" s="15"/>
      <c r="JM486" s="15"/>
      <c r="JN486" s="15"/>
      <c r="JO486" s="15"/>
      <c r="JP486" s="15"/>
    </row>
    <row r="487" spans="33:276" ht="15" customHeight="1" x14ac:dyDescent="0.3">
      <c r="AG487" s="2"/>
      <c r="JD487" s="15"/>
      <c r="JE487" s="15"/>
      <c r="JF487" s="15"/>
      <c r="JG487" s="15"/>
      <c r="JH487" s="15"/>
      <c r="JI487" s="15"/>
      <c r="JJ487" s="15"/>
      <c r="JK487" s="15"/>
      <c r="JL487" s="15"/>
      <c r="JM487" s="15"/>
      <c r="JN487" s="15"/>
      <c r="JO487" s="15"/>
      <c r="JP487" s="15"/>
    </row>
    <row r="488" spans="33:276" ht="15" customHeight="1" x14ac:dyDescent="0.3">
      <c r="AG488" s="2"/>
      <c r="JD488" s="15"/>
      <c r="JE488" s="15"/>
      <c r="JF488" s="15"/>
      <c r="JG488" s="15"/>
      <c r="JH488" s="15"/>
      <c r="JI488" s="15"/>
      <c r="JJ488" s="15"/>
      <c r="JK488" s="15"/>
      <c r="JL488" s="15"/>
      <c r="JM488" s="15"/>
      <c r="JN488" s="15"/>
      <c r="JO488" s="15"/>
      <c r="JP488" s="15"/>
    </row>
    <row r="489" spans="33:276" ht="15" customHeight="1" x14ac:dyDescent="0.3">
      <c r="AG489" s="2"/>
      <c r="JD489" s="15"/>
      <c r="JE489" s="15"/>
      <c r="JF489" s="15"/>
      <c r="JG489" s="15"/>
      <c r="JH489" s="15"/>
      <c r="JI489" s="15"/>
      <c r="JJ489" s="15"/>
      <c r="JK489" s="15"/>
      <c r="JL489" s="15"/>
      <c r="JM489" s="15"/>
      <c r="JN489" s="15"/>
      <c r="JO489" s="15"/>
      <c r="JP489" s="15"/>
    </row>
    <row r="490" spans="33:276" ht="15" customHeight="1" x14ac:dyDescent="0.3">
      <c r="AG490" s="2"/>
      <c r="JD490" s="15"/>
      <c r="JE490" s="15"/>
      <c r="JF490" s="15"/>
      <c r="JG490" s="15"/>
      <c r="JH490" s="15"/>
      <c r="JI490" s="15"/>
      <c r="JJ490" s="15"/>
      <c r="JK490" s="15"/>
      <c r="JL490" s="15"/>
      <c r="JM490" s="15"/>
      <c r="JN490" s="15"/>
      <c r="JO490" s="15"/>
      <c r="JP490" s="15"/>
    </row>
    <row r="491" spans="33:276" ht="15" customHeight="1" x14ac:dyDescent="0.3">
      <c r="AG491" s="2"/>
      <c r="JD491" s="15"/>
      <c r="JE491" s="15"/>
      <c r="JF491" s="15"/>
      <c r="JG491" s="15"/>
      <c r="JH491" s="15"/>
      <c r="JI491" s="15"/>
      <c r="JJ491" s="15"/>
      <c r="JK491" s="15"/>
      <c r="JL491" s="15"/>
      <c r="JM491" s="15"/>
      <c r="JN491" s="15"/>
      <c r="JO491" s="15"/>
      <c r="JP491" s="15"/>
    </row>
    <row r="492" spans="33:276" ht="15" customHeight="1" x14ac:dyDescent="0.3">
      <c r="AG492" s="2"/>
      <c r="JD492" s="15"/>
      <c r="JE492" s="15"/>
      <c r="JF492" s="15"/>
      <c r="JG492" s="15"/>
      <c r="JH492" s="15"/>
      <c r="JI492" s="15"/>
      <c r="JJ492" s="15"/>
      <c r="JK492" s="15"/>
      <c r="JL492" s="15"/>
      <c r="JM492" s="15"/>
      <c r="JN492" s="15"/>
      <c r="JO492" s="15"/>
      <c r="JP492" s="15"/>
    </row>
    <row r="493" spans="33:276" ht="15" customHeight="1" x14ac:dyDescent="0.3">
      <c r="AG493" s="2"/>
      <c r="JD493" s="15"/>
      <c r="JE493" s="15"/>
      <c r="JF493" s="15"/>
      <c r="JG493" s="15"/>
      <c r="JH493" s="15"/>
      <c r="JI493" s="15"/>
      <c r="JJ493" s="15"/>
      <c r="JK493" s="15"/>
      <c r="JL493" s="15"/>
      <c r="JM493" s="15"/>
      <c r="JN493" s="15"/>
      <c r="JO493" s="15"/>
      <c r="JP493" s="15"/>
    </row>
    <row r="494" spans="33:276" ht="15" customHeight="1" x14ac:dyDescent="0.3">
      <c r="AG494" s="2"/>
      <c r="JD494" s="15"/>
      <c r="JE494" s="15"/>
      <c r="JF494" s="15"/>
      <c r="JG494" s="15"/>
      <c r="JH494" s="15"/>
      <c r="JI494" s="15"/>
      <c r="JJ494" s="15"/>
      <c r="JK494" s="15"/>
      <c r="JL494" s="15"/>
      <c r="JM494" s="15"/>
      <c r="JN494" s="15"/>
      <c r="JO494" s="15"/>
      <c r="JP494" s="15"/>
    </row>
    <row r="495" spans="33:276" ht="15" customHeight="1" x14ac:dyDescent="0.3">
      <c r="AG495" s="2"/>
      <c r="JD495" s="15"/>
      <c r="JE495" s="15"/>
      <c r="JF495" s="15"/>
      <c r="JG495" s="15"/>
      <c r="JH495" s="15"/>
      <c r="JI495" s="15"/>
      <c r="JJ495" s="15"/>
      <c r="JK495" s="15"/>
      <c r="JL495" s="15"/>
      <c r="JM495" s="15"/>
      <c r="JN495" s="15"/>
      <c r="JO495" s="15"/>
      <c r="JP495" s="15"/>
    </row>
    <row r="496" spans="33:276" ht="15" customHeight="1" x14ac:dyDescent="0.3">
      <c r="AG496" s="2"/>
      <c r="JD496" s="15"/>
      <c r="JE496" s="15"/>
      <c r="JF496" s="15"/>
      <c r="JG496" s="15"/>
      <c r="JH496" s="15"/>
      <c r="JI496" s="15"/>
      <c r="JJ496" s="15"/>
      <c r="JK496" s="15"/>
      <c r="JL496" s="15"/>
      <c r="JM496" s="15"/>
      <c r="JN496" s="15"/>
      <c r="JO496" s="15"/>
      <c r="JP496" s="15"/>
    </row>
    <row r="497" spans="33:276" ht="15" customHeight="1" x14ac:dyDescent="0.3">
      <c r="AG497" s="2"/>
      <c r="JD497" s="15"/>
      <c r="JE497" s="15"/>
      <c r="JF497" s="15"/>
      <c r="JG497" s="15"/>
      <c r="JH497" s="15"/>
      <c r="JI497" s="15"/>
      <c r="JJ497" s="15"/>
      <c r="JK497" s="15"/>
      <c r="JL497" s="15"/>
      <c r="JM497" s="15"/>
      <c r="JN497" s="15"/>
      <c r="JO497" s="15"/>
      <c r="JP497" s="15"/>
    </row>
    <row r="498" spans="33:276" ht="15" customHeight="1" x14ac:dyDescent="0.3">
      <c r="AG498" s="2"/>
      <c r="JD498" s="15"/>
      <c r="JE498" s="15"/>
      <c r="JF498" s="15"/>
      <c r="JG498" s="15"/>
      <c r="JH498" s="15"/>
      <c r="JI498" s="15"/>
      <c r="JJ498" s="15"/>
      <c r="JK498" s="15"/>
      <c r="JL498" s="15"/>
      <c r="JM498" s="15"/>
      <c r="JN498" s="15"/>
      <c r="JO498" s="15"/>
      <c r="JP498" s="15"/>
    </row>
    <row r="499" spans="33:276" ht="15" customHeight="1" x14ac:dyDescent="0.3">
      <c r="AG499" s="2"/>
      <c r="JD499" s="15"/>
      <c r="JE499" s="15"/>
      <c r="JF499" s="15"/>
      <c r="JG499" s="15"/>
      <c r="JH499" s="15"/>
      <c r="JI499" s="15"/>
      <c r="JJ499" s="15"/>
      <c r="JK499" s="15"/>
      <c r="JL499" s="15"/>
      <c r="JM499" s="15"/>
      <c r="JN499" s="15"/>
      <c r="JO499" s="15"/>
      <c r="JP499" s="15"/>
    </row>
    <row r="500" spans="33:276" ht="15" customHeight="1" x14ac:dyDescent="0.3">
      <c r="AG500" s="2"/>
      <c r="JD500" s="15"/>
      <c r="JE500" s="15"/>
      <c r="JF500" s="15"/>
      <c r="JG500" s="15"/>
      <c r="JH500" s="15"/>
      <c r="JI500" s="15"/>
      <c r="JJ500" s="15"/>
      <c r="JK500" s="15"/>
      <c r="JL500" s="15"/>
      <c r="JM500" s="15"/>
      <c r="JN500" s="15"/>
      <c r="JO500" s="15"/>
      <c r="JP500" s="15"/>
    </row>
    <row r="501" spans="33:276" ht="15" customHeight="1" x14ac:dyDescent="0.3">
      <c r="AG501" s="2"/>
      <c r="JD501" s="15"/>
      <c r="JE501" s="15"/>
      <c r="JF501" s="15"/>
      <c r="JG501" s="15"/>
      <c r="JH501" s="15"/>
      <c r="JI501" s="15"/>
      <c r="JJ501" s="15"/>
      <c r="JK501" s="15"/>
      <c r="JL501" s="15"/>
      <c r="JM501" s="15"/>
      <c r="JN501" s="15"/>
      <c r="JO501" s="15"/>
      <c r="JP501" s="15"/>
    </row>
    <row r="502" spans="33:276" ht="15" customHeight="1" x14ac:dyDescent="0.3">
      <c r="AG502" s="2"/>
      <c r="JD502" s="15"/>
      <c r="JE502" s="15"/>
      <c r="JF502" s="15"/>
      <c r="JG502" s="15"/>
      <c r="JH502" s="15"/>
      <c r="JI502" s="15"/>
      <c r="JJ502" s="15"/>
      <c r="JK502" s="15"/>
      <c r="JL502" s="15"/>
      <c r="JM502" s="15"/>
      <c r="JN502" s="15"/>
      <c r="JO502" s="15"/>
      <c r="JP502" s="15"/>
    </row>
    <row r="503" spans="33:276" ht="15" customHeight="1" x14ac:dyDescent="0.3">
      <c r="AG503" s="2"/>
      <c r="JD503" s="15"/>
      <c r="JE503" s="15"/>
      <c r="JF503" s="15"/>
      <c r="JG503" s="15"/>
      <c r="JH503" s="15"/>
      <c r="JI503" s="15"/>
      <c r="JJ503" s="15"/>
      <c r="JK503" s="15"/>
      <c r="JL503" s="15"/>
      <c r="JM503" s="15"/>
      <c r="JN503" s="15"/>
      <c r="JO503" s="15"/>
      <c r="JP503" s="15"/>
    </row>
    <row r="504" spans="33:276" ht="15" customHeight="1" x14ac:dyDescent="0.3">
      <c r="AG504" s="2"/>
      <c r="JD504" s="15"/>
      <c r="JE504" s="15"/>
      <c r="JF504" s="15"/>
      <c r="JG504" s="15"/>
      <c r="JH504" s="15"/>
      <c r="JI504" s="15"/>
      <c r="JJ504" s="15"/>
      <c r="JK504" s="15"/>
      <c r="JL504" s="15"/>
      <c r="JM504" s="15"/>
      <c r="JN504" s="15"/>
      <c r="JO504" s="15"/>
      <c r="JP504" s="15"/>
    </row>
    <row r="505" spans="33:276" ht="15" customHeight="1" x14ac:dyDescent="0.3">
      <c r="AG505" s="2"/>
      <c r="JD505" s="15"/>
      <c r="JE505" s="15"/>
      <c r="JF505" s="15"/>
      <c r="JG505" s="15"/>
      <c r="JH505" s="15"/>
      <c r="JI505" s="15"/>
      <c r="JJ505" s="15"/>
      <c r="JK505" s="15"/>
      <c r="JL505" s="15"/>
      <c r="JM505" s="15"/>
      <c r="JN505" s="15"/>
      <c r="JO505" s="15"/>
      <c r="JP505" s="15"/>
    </row>
    <row r="506" spans="33:276" ht="15" customHeight="1" x14ac:dyDescent="0.3">
      <c r="AG506" s="2"/>
      <c r="JD506" s="15"/>
      <c r="JE506" s="15"/>
      <c r="JF506" s="15"/>
      <c r="JG506" s="15"/>
      <c r="JH506" s="15"/>
      <c r="JI506" s="15"/>
      <c r="JJ506" s="15"/>
      <c r="JK506" s="15"/>
      <c r="JL506" s="15"/>
      <c r="JM506" s="15"/>
      <c r="JN506" s="15"/>
      <c r="JO506" s="15"/>
      <c r="JP506" s="15"/>
    </row>
    <row r="507" spans="33:276" ht="15" customHeight="1" x14ac:dyDescent="0.3">
      <c r="AG507" s="2"/>
      <c r="JD507" s="15"/>
      <c r="JE507" s="15"/>
      <c r="JF507" s="15"/>
      <c r="JG507" s="15"/>
      <c r="JH507" s="15"/>
      <c r="JI507" s="15"/>
      <c r="JJ507" s="15"/>
      <c r="JK507" s="15"/>
      <c r="JL507" s="15"/>
      <c r="JM507" s="15"/>
      <c r="JN507" s="15"/>
      <c r="JO507" s="15"/>
      <c r="JP507" s="15"/>
    </row>
    <row r="508" spans="33:276" ht="15" customHeight="1" x14ac:dyDescent="0.3">
      <c r="AG508" s="2"/>
      <c r="JD508" s="15"/>
      <c r="JE508" s="15"/>
      <c r="JF508" s="15"/>
      <c r="JG508" s="15"/>
      <c r="JH508" s="15"/>
      <c r="JI508" s="15"/>
      <c r="JJ508" s="15"/>
      <c r="JK508" s="15"/>
      <c r="JL508" s="15"/>
      <c r="JM508" s="15"/>
      <c r="JN508" s="15"/>
      <c r="JO508" s="15"/>
      <c r="JP508" s="15"/>
    </row>
    <row r="509" spans="33:276" ht="15" customHeight="1" x14ac:dyDescent="0.3">
      <c r="AG509" s="2"/>
      <c r="JD509" s="15"/>
      <c r="JE509" s="15"/>
      <c r="JF509" s="15"/>
      <c r="JG509" s="15"/>
      <c r="JH509" s="15"/>
      <c r="JI509" s="15"/>
      <c r="JJ509" s="15"/>
      <c r="JK509" s="15"/>
      <c r="JL509" s="15"/>
      <c r="JM509" s="15"/>
      <c r="JN509" s="15"/>
      <c r="JO509" s="15"/>
      <c r="JP509" s="15"/>
    </row>
    <row r="510" spans="33:276" ht="15" customHeight="1" x14ac:dyDescent="0.3">
      <c r="AG510" s="2"/>
      <c r="JD510" s="15"/>
      <c r="JE510" s="15"/>
      <c r="JF510" s="15"/>
      <c r="JG510" s="15"/>
      <c r="JH510" s="15"/>
      <c r="JI510" s="15"/>
      <c r="JJ510" s="15"/>
      <c r="JK510" s="15"/>
      <c r="JL510" s="15"/>
      <c r="JM510" s="15"/>
      <c r="JN510" s="15"/>
      <c r="JO510" s="15"/>
      <c r="JP510" s="15"/>
    </row>
    <row r="511" spans="33:276" ht="15" customHeight="1" x14ac:dyDescent="0.3">
      <c r="AG511" s="2"/>
      <c r="JD511" s="15"/>
      <c r="JE511" s="15"/>
      <c r="JF511" s="15"/>
      <c r="JG511" s="15"/>
      <c r="JH511" s="15"/>
      <c r="JI511" s="15"/>
      <c r="JJ511" s="15"/>
      <c r="JK511" s="15"/>
      <c r="JL511" s="15"/>
      <c r="JM511" s="15"/>
      <c r="JN511" s="15"/>
      <c r="JO511" s="15"/>
      <c r="JP511" s="15"/>
    </row>
    <row r="512" spans="33:276" ht="15" customHeight="1" x14ac:dyDescent="0.3">
      <c r="AG512" s="2"/>
      <c r="JD512" s="15"/>
      <c r="JE512" s="15"/>
      <c r="JF512" s="15"/>
      <c r="JG512" s="15"/>
      <c r="JH512" s="15"/>
      <c r="JI512" s="15"/>
      <c r="JJ512" s="15"/>
      <c r="JK512" s="15"/>
      <c r="JL512" s="15"/>
      <c r="JM512" s="15"/>
      <c r="JN512" s="15"/>
      <c r="JO512" s="15"/>
      <c r="JP512" s="15"/>
    </row>
    <row r="513" spans="33:276" ht="15" customHeight="1" x14ac:dyDescent="0.3">
      <c r="AG513" s="2"/>
      <c r="JD513" s="15"/>
      <c r="JE513" s="15"/>
      <c r="JF513" s="15"/>
      <c r="JG513" s="15"/>
      <c r="JH513" s="15"/>
      <c r="JI513" s="15"/>
      <c r="JJ513" s="15"/>
      <c r="JK513" s="15"/>
      <c r="JL513" s="15"/>
      <c r="JM513" s="15"/>
      <c r="JN513" s="15"/>
      <c r="JO513" s="15"/>
      <c r="JP513" s="15"/>
    </row>
    <row r="514" spans="33:276" ht="15" customHeight="1" x14ac:dyDescent="0.3">
      <c r="AG514" s="2"/>
      <c r="JD514" s="15"/>
      <c r="JE514" s="15"/>
      <c r="JF514" s="15"/>
      <c r="JG514" s="15"/>
      <c r="JH514" s="15"/>
      <c r="JI514" s="15"/>
      <c r="JJ514" s="15"/>
      <c r="JK514" s="15"/>
      <c r="JL514" s="15"/>
      <c r="JM514" s="15"/>
      <c r="JN514" s="15"/>
      <c r="JO514" s="15"/>
      <c r="JP514" s="15"/>
    </row>
    <row r="515" spans="33:276" ht="15" customHeight="1" x14ac:dyDescent="0.3">
      <c r="AG515" s="2"/>
      <c r="JD515" s="15"/>
      <c r="JE515" s="15"/>
      <c r="JF515" s="15"/>
      <c r="JG515" s="15"/>
      <c r="JH515" s="15"/>
      <c r="JI515" s="15"/>
      <c r="JJ515" s="15"/>
      <c r="JK515" s="15"/>
      <c r="JL515" s="15"/>
      <c r="JM515" s="15"/>
      <c r="JN515" s="15"/>
      <c r="JO515" s="15"/>
      <c r="JP515" s="15"/>
    </row>
    <row r="516" spans="33:276" ht="15" customHeight="1" x14ac:dyDescent="0.3">
      <c r="AG516" s="2"/>
      <c r="JD516" s="15"/>
      <c r="JE516" s="15"/>
      <c r="JF516" s="15"/>
      <c r="JG516" s="15"/>
      <c r="JH516" s="15"/>
      <c r="JI516" s="15"/>
      <c r="JJ516" s="15"/>
      <c r="JK516" s="15"/>
      <c r="JL516" s="15"/>
      <c r="JM516" s="15"/>
      <c r="JN516" s="15"/>
      <c r="JO516" s="15"/>
      <c r="JP516" s="15"/>
    </row>
    <row r="517" spans="33:276" ht="15" customHeight="1" x14ac:dyDescent="0.3">
      <c r="AG517" s="2"/>
      <c r="JD517" s="15"/>
      <c r="JE517" s="15"/>
      <c r="JF517" s="15"/>
      <c r="JG517" s="15"/>
      <c r="JH517" s="15"/>
      <c r="JI517" s="15"/>
      <c r="JJ517" s="15"/>
      <c r="JK517" s="15"/>
      <c r="JL517" s="15"/>
      <c r="JM517" s="15"/>
      <c r="JN517" s="15"/>
      <c r="JO517" s="15"/>
      <c r="JP517" s="15"/>
    </row>
    <row r="518" spans="33:276" ht="15" customHeight="1" x14ac:dyDescent="0.3">
      <c r="AG518" s="2"/>
      <c r="JD518" s="15"/>
      <c r="JE518" s="15"/>
      <c r="JF518" s="15"/>
      <c r="JG518" s="15"/>
      <c r="JH518" s="15"/>
      <c r="JI518" s="15"/>
      <c r="JJ518" s="15"/>
      <c r="JK518" s="15"/>
      <c r="JL518" s="15"/>
      <c r="JM518" s="15"/>
      <c r="JN518" s="15"/>
      <c r="JO518" s="15"/>
      <c r="JP518" s="15"/>
    </row>
    <row r="519" spans="33:276" ht="15" customHeight="1" x14ac:dyDescent="0.3">
      <c r="AG519" s="2"/>
      <c r="JD519" s="15"/>
      <c r="JE519" s="15"/>
      <c r="JF519" s="15"/>
      <c r="JG519" s="15"/>
      <c r="JH519" s="15"/>
      <c r="JI519" s="15"/>
      <c r="JJ519" s="15"/>
      <c r="JK519" s="15"/>
      <c r="JL519" s="15"/>
      <c r="JM519" s="15"/>
      <c r="JN519" s="15"/>
      <c r="JO519" s="15"/>
      <c r="JP519" s="15"/>
    </row>
    <row r="520" spans="33:276" ht="15" customHeight="1" x14ac:dyDescent="0.3">
      <c r="AG520" s="2"/>
      <c r="JD520" s="15"/>
      <c r="JE520" s="15"/>
      <c r="JF520" s="15"/>
      <c r="JG520" s="15"/>
      <c r="JH520" s="15"/>
      <c r="JI520" s="15"/>
      <c r="JJ520" s="15"/>
      <c r="JK520" s="15"/>
      <c r="JL520" s="15"/>
      <c r="JM520" s="15"/>
      <c r="JN520" s="15"/>
      <c r="JO520" s="15"/>
      <c r="JP520" s="15"/>
    </row>
    <row r="521" spans="33:276" ht="15" customHeight="1" x14ac:dyDescent="0.3">
      <c r="AG521" s="2"/>
      <c r="JD521" s="15"/>
      <c r="JE521" s="15"/>
      <c r="JF521" s="15"/>
      <c r="JG521" s="15"/>
      <c r="JH521" s="15"/>
      <c r="JI521" s="15"/>
      <c r="JJ521" s="15"/>
      <c r="JK521" s="15"/>
      <c r="JL521" s="15"/>
      <c r="JM521" s="15"/>
      <c r="JN521" s="15"/>
      <c r="JO521" s="15"/>
      <c r="JP521" s="15"/>
    </row>
    <row r="522" spans="33:276" ht="15" customHeight="1" x14ac:dyDescent="0.3">
      <c r="AG522" s="2"/>
      <c r="JD522" s="15"/>
      <c r="JE522" s="15"/>
      <c r="JF522" s="15"/>
      <c r="JG522" s="15"/>
      <c r="JH522" s="15"/>
      <c r="JI522" s="15"/>
      <c r="JJ522" s="15"/>
      <c r="JK522" s="15"/>
      <c r="JL522" s="15"/>
      <c r="JM522" s="15"/>
      <c r="JN522" s="15"/>
      <c r="JO522" s="15"/>
      <c r="JP522" s="15"/>
    </row>
    <row r="523" spans="33:276" ht="15" customHeight="1" x14ac:dyDescent="0.3">
      <c r="AG523" s="2"/>
      <c r="JD523" s="15"/>
      <c r="JE523" s="15"/>
      <c r="JF523" s="15"/>
      <c r="JG523" s="15"/>
      <c r="JH523" s="15"/>
      <c r="JI523" s="15"/>
      <c r="JJ523" s="15"/>
      <c r="JK523" s="15"/>
      <c r="JL523" s="15"/>
      <c r="JM523" s="15"/>
      <c r="JN523" s="15"/>
      <c r="JO523" s="15"/>
      <c r="JP523" s="15"/>
    </row>
    <row r="524" spans="33:276" ht="15" customHeight="1" x14ac:dyDescent="0.3">
      <c r="AG524" s="2"/>
      <c r="JD524" s="15"/>
      <c r="JE524" s="15"/>
      <c r="JF524" s="15"/>
      <c r="JG524" s="15"/>
      <c r="JH524" s="15"/>
      <c r="JI524" s="15"/>
      <c r="JJ524" s="15"/>
      <c r="JK524" s="15"/>
      <c r="JL524" s="15"/>
      <c r="JM524" s="15"/>
      <c r="JN524" s="15"/>
      <c r="JO524" s="15"/>
      <c r="JP524" s="15"/>
    </row>
    <row r="525" spans="33:276" ht="15" customHeight="1" x14ac:dyDescent="0.3">
      <c r="AG525" s="2"/>
      <c r="JD525" s="15"/>
      <c r="JE525" s="15"/>
      <c r="JF525" s="15"/>
      <c r="JG525" s="15"/>
      <c r="JH525" s="15"/>
      <c r="JI525" s="15"/>
      <c r="JJ525" s="15"/>
      <c r="JK525" s="15"/>
      <c r="JL525" s="15"/>
      <c r="JM525" s="15"/>
      <c r="JN525" s="15"/>
      <c r="JO525" s="15"/>
      <c r="JP525" s="15"/>
    </row>
    <row r="526" spans="33:276" ht="15" customHeight="1" x14ac:dyDescent="0.3">
      <c r="AG526" s="2"/>
      <c r="JD526" s="15"/>
      <c r="JE526" s="15"/>
      <c r="JF526" s="15"/>
      <c r="JG526" s="15"/>
      <c r="JH526" s="15"/>
      <c r="JI526" s="15"/>
      <c r="JJ526" s="15"/>
      <c r="JK526" s="15"/>
      <c r="JL526" s="15"/>
      <c r="JM526" s="15"/>
      <c r="JN526" s="15"/>
      <c r="JO526" s="15"/>
      <c r="JP526" s="15"/>
    </row>
    <row r="527" spans="33:276" ht="15" customHeight="1" x14ac:dyDescent="0.3">
      <c r="AG527" s="2"/>
      <c r="JD527" s="15"/>
      <c r="JE527" s="15"/>
      <c r="JF527" s="15"/>
      <c r="JG527" s="15"/>
      <c r="JH527" s="15"/>
      <c r="JI527" s="15"/>
      <c r="JJ527" s="15"/>
      <c r="JK527" s="15"/>
      <c r="JL527" s="15"/>
      <c r="JM527" s="15"/>
      <c r="JN527" s="15"/>
      <c r="JO527" s="15"/>
      <c r="JP527" s="15"/>
    </row>
    <row r="528" spans="33:276" ht="15" customHeight="1" x14ac:dyDescent="0.3">
      <c r="AG528" s="2"/>
      <c r="JD528" s="15"/>
      <c r="JE528" s="15"/>
      <c r="JF528" s="15"/>
      <c r="JG528" s="15"/>
      <c r="JH528" s="15"/>
      <c r="JI528" s="15"/>
      <c r="JJ528" s="15"/>
      <c r="JK528" s="15"/>
      <c r="JL528" s="15"/>
      <c r="JM528" s="15"/>
      <c r="JN528" s="15"/>
      <c r="JO528" s="15"/>
      <c r="JP528" s="15"/>
    </row>
    <row r="529" spans="33:276" ht="15" customHeight="1" x14ac:dyDescent="0.3">
      <c r="AG529" s="2"/>
      <c r="JD529" s="15"/>
      <c r="JE529" s="15"/>
      <c r="JF529" s="15"/>
      <c r="JG529" s="15"/>
      <c r="JH529" s="15"/>
      <c r="JI529" s="15"/>
      <c r="JJ529" s="15"/>
      <c r="JK529" s="15"/>
      <c r="JL529" s="15"/>
      <c r="JM529" s="15"/>
      <c r="JN529" s="15"/>
      <c r="JO529" s="15"/>
      <c r="JP529" s="15"/>
    </row>
    <row r="530" spans="33:276" ht="15" customHeight="1" x14ac:dyDescent="0.3">
      <c r="AG530" s="2"/>
      <c r="JD530" s="15"/>
      <c r="JE530" s="15"/>
      <c r="JF530" s="15"/>
      <c r="JG530" s="15"/>
      <c r="JH530" s="15"/>
      <c r="JI530" s="15"/>
      <c r="JJ530" s="15"/>
      <c r="JK530" s="15"/>
      <c r="JL530" s="15"/>
      <c r="JM530" s="15"/>
      <c r="JN530" s="15"/>
      <c r="JO530" s="15"/>
      <c r="JP530" s="15"/>
    </row>
    <row r="531" spans="33:276" ht="15" customHeight="1" x14ac:dyDescent="0.3">
      <c r="AG531" s="2"/>
      <c r="JD531" s="15"/>
      <c r="JE531" s="15"/>
      <c r="JF531" s="15"/>
      <c r="JG531" s="15"/>
      <c r="JH531" s="15"/>
      <c r="JI531" s="15"/>
      <c r="JJ531" s="15"/>
      <c r="JK531" s="15"/>
      <c r="JL531" s="15"/>
      <c r="JM531" s="15"/>
      <c r="JN531" s="15"/>
      <c r="JO531" s="15"/>
      <c r="JP531" s="15"/>
    </row>
    <row r="532" spans="33:276" ht="15" customHeight="1" x14ac:dyDescent="0.3">
      <c r="AG532" s="2"/>
      <c r="JD532" s="15"/>
      <c r="JE532" s="15"/>
      <c r="JF532" s="15"/>
      <c r="JG532" s="15"/>
      <c r="JH532" s="15"/>
      <c r="JI532" s="15"/>
      <c r="JJ532" s="15"/>
      <c r="JK532" s="15"/>
      <c r="JL532" s="15"/>
      <c r="JM532" s="15"/>
      <c r="JN532" s="15"/>
      <c r="JO532" s="15"/>
      <c r="JP532" s="15"/>
    </row>
    <row r="533" spans="33:276" ht="15" customHeight="1" x14ac:dyDescent="0.3">
      <c r="AG533" s="2"/>
      <c r="JD533" s="15"/>
      <c r="JE533" s="15"/>
      <c r="JF533" s="15"/>
      <c r="JG533" s="15"/>
      <c r="JH533" s="15"/>
      <c r="JI533" s="15"/>
      <c r="JJ533" s="15"/>
      <c r="JK533" s="15"/>
      <c r="JL533" s="15"/>
      <c r="JM533" s="15"/>
      <c r="JN533" s="15"/>
      <c r="JO533" s="15"/>
      <c r="JP533" s="15"/>
    </row>
    <row r="534" spans="33:276" ht="15" customHeight="1" x14ac:dyDescent="0.3">
      <c r="AG534" s="2"/>
      <c r="JD534" s="15"/>
      <c r="JE534" s="15"/>
      <c r="JF534" s="15"/>
      <c r="JG534" s="15"/>
      <c r="JH534" s="15"/>
      <c r="JI534" s="15"/>
      <c r="JJ534" s="15"/>
      <c r="JK534" s="15"/>
      <c r="JL534" s="15"/>
      <c r="JM534" s="15"/>
      <c r="JN534" s="15"/>
      <c r="JO534" s="15"/>
      <c r="JP534" s="15"/>
    </row>
    <row r="535" spans="33:276" ht="15" customHeight="1" x14ac:dyDescent="0.3">
      <c r="AG535" s="2"/>
      <c r="JD535" s="15"/>
      <c r="JE535" s="15"/>
      <c r="JF535" s="15"/>
      <c r="JG535" s="15"/>
      <c r="JH535" s="15"/>
      <c r="JI535" s="15"/>
      <c r="JJ535" s="15"/>
      <c r="JK535" s="15"/>
      <c r="JL535" s="15"/>
      <c r="JM535" s="15"/>
      <c r="JN535" s="15"/>
      <c r="JO535" s="15"/>
      <c r="JP535" s="15"/>
    </row>
    <row r="536" spans="33:276" ht="15" customHeight="1" x14ac:dyDescent="0.3">
      <c r="AG536" s="2"/>
      <c r="JD536" s="15"/>
      <c r="JE536" s="15"/>
      <c r="JF536" s="15"/>
      <c r="JG536" s="15"/>
      <c r="JH536" s="15"/>
      <c r="JI536" s="15"/>
      <c r="JJ536" s="15"/>
      <c r="JK536" s="15"/>
      <c r="JL536" s="15"/>
      <c r="JM536" s="15"/>
      <c r="JN536" s="15"/>
      <c r="JO536" s="15"/>
      <c r="JP536" s="15"/>
    </row>
    <row r="537" spans="33:276" ht="15" customHeight="1" x14ac:dyDescent="0.3">
      <c r="AG537" s="2"/>
      <c r="JD537" s="15"/>
      <c r="JE537" s="15"/>
      <c r="JF537" s="15"/>
      <c r="JG537" s="15"/>
      <c r="JH537" s="15"/>
      <c r="JI537" s="15"/>
      <c r="JJ537" s="15"/>
      <c r="JK537" s="15"/>
      <c r="JL537" s="15"/>
      <c r="JM537" s="15"/>
      <c r="JN537" s="15"/>
      <c r="JO537" s="15"/>
      <c r="JP537" s="15"/>
    </row>
    <row r="538" spans="33:276" ht="15" customHeight="1" x14ac:dyDescent="0.3">
      <c r="AG538" s="2"/>
      <c r="JD538" s="15"/>
      <c r="JE538" s="15"/>
      <c r="JF538" s="15"/>
      <c r="JG538" s="15"/>
      <c r="JH538" s="15"/>
      <c r="JI538" s="15"/>
      <c r="JJ538" s="15"/>
      <c r="JK538" s="15"/>
      <c r="JL538" s="15"/>
      <c r="JM538" s="15"/>
      <c r="JN538" s="15"/>
      <c r="JO538" s="15"/>
      <c r="JP538" s="15"/>
    </row>
    <row r="539" spans="33:276" ht="15" customHeight="1" x14ac:dyDescent="0.3">
      <c r="AG539" s="2"/>
      <c r="JD539" s="15"/>
      <c r="JE539" s="15"/>
      <c r="JF539" s="15"/>
      <c r="JG539" s="15"/>
      <c r="JH539" s="15"/>
      <c r="JI539" s="15"/>
      <c r="JJ539" s="15"/>
      <c r="JK539" s="15"/>
      <c r="JL539" s="15"/>
      <c r="JM539" s="15"/>
      <c r="JN539" s="15"/>
      <c r="JO539" s="15"/>
      <c r="JP539" s="15"/>
    </row>
    <row r="540" spans="33:276" ht="15" customHeight="1" x14ac:dyDescent="0.3">
      <c r="AG540" s="2"/>
      <c r="JD540" s="15"/>
      <c r="JE540" s="15"/>
      <c r="JF540" s="15"/>
      <c r="JG540" s="15"/>
      <c r="JH540" s="15"/>
      <c r="JI540" s="15"/>
      <c r="JJ540" s="15"/>
      <c r="JK540" s="15"/>
      <c r="JL540" s="15"/>
      <c r="JM540" s="15"/>
      <c r="JN540" s="15"/>
      <c r="JO540" s="15"/>
      <c r="JP540" s="15"/>
    </row>
    <row r="541" spans="33:276" ht="15" customHeight="1" x14ac:dyDescent="0.3">
      <c r="AG541" s="2"/>
      <c r="JD541" s="15"/>
      <c r="JE541" s="15"/>
      <c r="JF541" s="15"/>
      <c r="JG541" s="15"/>
      <c r="JH541" s="15"/>
      <c r="JI541" s="15"/>
      <c r="JJ541" s="15"/>
      <c r="JK541" s="15"/>
      <c r="JL541" s="15"/>
      <c r="JM541" s="15"/>
      <c r="JN541" s="15"/>
      <c r="JO541" s="15"/>
      <c r="JP541" s="15"/>
    </row>
    <row r="542" spans="33:276" ht="15" customHeight="1" x14ac:dyDescent="0.3">
      <c r="AG542" s="2"/>
      <c r="JD542" s="15"/>
      <c r="JE542" s="15"/>
      <c r="JF542" s="15"/>
      <c r="JG542" s="15"/>
      <c r="JH542" s="15"/>
      <c r="JI542" s="15"/>
      <c r="JJ542" s="15"/>
      <c r="JK542" s="15"/>
      <c r="JL542" s="15"/>
      <c r="JM542" s="15"/>
      <c r="JN542" s="15"/>
      <c r="JO542" s="15"/>
      <c r="JP542" s="15"/>
    </row>
    <row r="543" spans="33:276" ht="15" customHeight="1" x14ac:dyDescent="0.3">
      <c r="AG543" s="2"/>
      <c r="JD543" s="15"/>
      <c r="JE543" s="15"/>
      <c r="JF543" s="15"/>
      <c r="JG543" s="15"/>
      <c r="JH543" s="15"/>
      <c r="JI543" s="15"/>
      <c r="JJ543" s="15"/>
      <c r="JK543" s="15"/>
      <c r="JL543" s="15"/>
      <c r="JM543" s="15"/>
      <c r="JN543" s="15"/>
      <c r="JO543" s="15"/>
      <c r="JP543" s="15"/>
    </row>
    <row r="544" spans="33:276" ht="15" customHeight="1" x14ac:dyDescent="0.3">
      <c r="AG544" s="2"/>
      <c r="JD544" s="15"/>
      <c r="JE544" s="15"/>
      <c r="JF544" s="15"/>
      <c r="JG544" s="15"/>
      <c r="JH544" s="15"/>
      <c r="JI544" s="15"/>
      <c r="JJ544" s="15"/>
      <c r="JK544" s="15"/>
      <c r="JL544" s="15"/>
      <c r="JM544" s="15"/>
      <c r="JN544" s="15"/>
      <c r="JO544" s="15"/>
      <c r="JP544" s="15"/>
    </row>
    <row r="545" spans="33:276" ht="15" customHeight="1" x14ac:dyDescent="0.3">
      <c r="AG545" s="2"/>
      <c r="JD545" s="15"/>
      <c r="JE545" s="15"/>
      <c r="JF545" s="15"/>
      <c r="JG545" s="15"/>
      <c r="JH545" s="15"/>
      <c r="JI545" s="15"/>
      <c r="JJ545" s="15"/>
      <c r="JK545" s="15"/>
      <c r="JL545" s="15"/>
      <c r="JM545" s="15"/>
      <c r="JN545" s="15"/>
      <c r="JO545" s="15"/>
      <c r="JP545" s="15"/>
    </row>
    <row r="546" spans="33:276" ht="15" customHeight="1" x14ac:dyDescent="0.3">
      <c r="AG546" s="2"/>
      <c r="JD546" s="15"/>
      <c r="JE546" s="15"/>
      <c r="JF546" s="15"/>
      <c r="JG546" s="15"/>
      <c r="JH546" s="15"/>
      <c r="JI546" s="15"/>
      <c r="JJ546" s="15"/>
      <c r="JK546" s="15"/>
      <c r="JL546" s="15"/>
      <c r="JM546" s="15"/>
      <c r="JN546" s="15"/>
      <c r="JO546" s="15"/>
      <c r="JP546" s="15"/>
    </row>
    <row r="547" spans="33:276" ht="15" customHeight="1" x14ac:dyDescent="0.3">
      <c r="AG547" s="2"/>
      <c r="JD547" s="15"/>
      <c r="JE547" s="15"/>
      <c r="JF547" s="15"/>
      <c r="JG547" s="15"/>
      <c r="JH547" s="15"/>
      <c r="JI547" s="15"/>
      <c r="JJ547" s="15"/>
      <c r="JK547" s="15"/>
      <c r="JL547" s="15"/>
      <c r="JM547" s="15"/>
      <c r="JN547" s="15"/>
      <c r="JO547" s="15"/>
      <c r="JP547" s="15"/>
    </row>
    <row r="548" spans="33:276" ht="15" customHeight="1" x14ac:dyDescent="0.3">
      <c r="AG548" s="2"/>
      <c r="JD548" s="15"/>
      <c r="JE548" s="15"/>
      <c r="JF548" s="15"/>
      <c r="JG548" s="15"/>
      <c r="JH548" s="15"/>
      <c r="JI548" s="15"/>
      <c r="JJ548" s="15"/>
      <c r="JK548" s="15"/>
      <c r="JL548" s="15"/>
      <c r="JM548" s="15"/>
      <c r="JN548" s="15"/>
      <c r="JO548" s="15"/>
      <c r="JP548" s="15"/>
    </row>
    <row r="549" spans="33:276" ht="15" customHeight="1" x14ac:dyDescent="0.3">
      <c r="AG549" s="2"/>
      <c r="JD549" s="15"/>
      <c r="JE549" s="15"/>
      <c r="JF549" s="15"/>
      <c r="JG549" s="15"/>
      <c r="JH549" s="15"/>
      <c r="JI549" s="15"/>
      <c r="JJ549" s="15"/>
      <c r="JK549" s="15"/>
      <c r="JL549" s="15"/>
      <c r="JM549" s="15"/>
      <c r="JN549" s="15"/>
      <c r="JO549" s="15"/>
      <c r="JP549" s="15"/>
    </row>
    <row r="550" spans="33:276" ht="15" customHeight="1" x14ac:dyDescent="0.3">
      <c r="AG550" s="2"/>
      <c r="JD550" s="15"/>
      <c r="JE550" s="15"/>
      <c r="JF550" s="15"/>
      <c r="JG550" s="15"/>
      <c r="JH550" s="15"/>
      <c r="JI550" s="15"/>
      <c r="JJ550" s="15"/>
      <c r="JK550" s="15"/>
      <c r="JL550" s="15"/>
      <c r="JM550" s="15"/>
      <c r="JN550" s="15"/>
      <c r="JO550" s="15"/>
      <c r="JP550" s="15"/>
    </row>
    <row r="551" spans="33:276" ht="15" customHeight="1" x14ac:dyDescent="0.3">
      <c r="AG551" s="2"/>
      <c r="JD551" s="15"/>
      <c r="JE551" s="15"/>
      <c r="JF551" s="15"/>
      <c r="JG551" s="15"/>
      <c r="JH551" s="15"/>
      <c r="JI551" s="15"/>
      <c r="JJ551" s="15"/>
      <c r="JK551" s="15"/>
      <c r="JL551" s="15"/>
      <c r="JM551" s="15"/>
      <c r="JN551" s="15"/>
      <c r="JO551" s="15"/>
      <c r="JP551" s="15"/>
    </row>
    <row r="552" spans="33:276" ht="15" customHeight="1" x14ac:dyDescent="0.3">
      <c r="AG552" s="2"/>
      <c r="JD552" s="15"/>
      <c r="JE552" s="15"/>
      <c r="JF552" s="15"/>
      <c r="JG552" s="15"/>
      <c r="JH552" s="15"/>
      <c r="JI552" s="15"/>
      <c r="JJ552" s="15"/>
      <c r="JK552" s="15"/>
      <c r="JL552" s="15"/>
      <c r="JM552" s="15"/>
      <c r="JN552" s="15"/>
      <c r="JO552" s="15"/>
      <c r="JP552" s="15"/>
    </row>
    <row r="553" spans="33:276" ht="15" customHeight="1" x14ac:dyDescent="0.3">
      <c r="AG553" s="2"/>
      <c r="JD553" s="15"/>
      <c r="JE553" s="15"/>
      <c r="JF553" s="15"/>
      <c r="JG553" s="15"/>
      <c r="JH553" s="15"/>
      <c r="JI553" s="15"/>
      <c r="JJ553" s="15"/>
      <c r="JK553" s="15"/>
      <c r="JL553" s="15"/>
      <c r="JM553" s="15"/>
      <c r="JN553" s="15"/>
      <c r="JO553" s="15"/>
      <c r="JP553" s="15"/>
    </row>
    <row r="554" spans="33:276" ht="15" customHeight="1" x14ac:dyDescent="0.3">
      <c r="AG554" s="2"/>
      <c r="JD554" s="15"/>
      <c r="JE554" s="15"/>
      <c r="JF554" s="15"/>
      <c r="JG554" s="15"/>
      <c r="JH554" s="15"/>
      <c r="JI554" s="15"/>
      <c r="JJ554" s="15"/>
      <c r="JK554" s="15"/>
      <c r="JL554" s="15"/>
      <c r="JM554" s="15"/>
      <c r="JN554" s="15"/>
      <c r="JO554" s="15"/>
      <c r="JP554" s="15"/>
    </row>
    <row r="555" spans="33:276" ht="15" customHeight="1" x14ac:dyDescent="0.3">
      <c r="AG555" s="2"/>
      <c r="JD555" s="15"/>
      <c r="JE555" s="15"/>
      <c r="JF555" s="15"/>
      <c r="JG555" s="15"/>
      <c r="JH555" s="15"/>
      <c r="JI555" s="15"/>
      <c r="JJ555" s="15"/>
      <c r="JK555" s="15"/>
      <c r="JL555" s="15"/>
      <c r="JM555" s="15"/>
      <c r="JN555" s="15"/>
      <c r="JO555" s="15"/>
      <c r="JP555" s="15"/>
    </row>
    <row r="556" spans="33:276" ht="15" customHeight="1" x14ac:dyDescent="0.3">
      <c r="AG556" s="2"/>
      <c r="JD556" s="15"/>
      <c r="JE556" s="15"/>
      <c r="JF556" s="15"/>
      <c r="JG556" s="15"/>
      <c r="JH556" s="15"/>
      <c r="JI556" s="15"/>
      <c r="JJ556" s="15"/>
      <c r="JK556" s="15"/>
      <c r="JL556" s="15"/>
      <c r="JM556" s="15"/>
      <c r="JN556" s="15"/>
      <c r="JO556" s="15"/>
      <c r="JP556" s="15"/>
    </row>
    <row r="557" spans="33:276" ht="15" customHeight="1" x14ac:dyDescent="0.3">
      <c r="AG557" s="2"/>
      <c r="JD557" s="15"/>
      <c r="JE557" s="15"/>
      <c r="JF557" s="15"/>
      <c r="JG557" s="15"/>
      <c r="JH557" s="15"/>
      <c r="JI557" s="15"/>
      <c r="JJ557" s="15"/>
      <c r="JK557" s="15"/>
      <c r="JL557" s="15"/>
      <c r="JM557" s="15"/>
      <c r="JN557" s="15"/>
      <c r="JO557" s="15"/>
      <c r="JP557" s="15"/>
    </row>
    <row r="558" spans="33:276" ht="15" customHeight="1" x14ac:dyDescent="0.3">
      <c r="AG558" s="2"/>
      <c r="JD558" s="15"/>
      <c r="JE558" s="15"/>
      <c r="JF558" s="15"/>
      <c r="JG558" s="15"/>
      <c r="JH558" s="15"/>
      <c r="JI558" s="15"/>
      <c r="JJ558" s="15"/>
      <c r="JK558" s="15"/>
      <c r="JL558" s="15"/>
      <c r="JM558" s="15"/>
      <c r="JN558" s="15"/>
      <c r="JO558" s="15"/>
      <c r="JP558" s="15"/>
    </row>
    <row r="559" spans="33:276" ht="15" customHeight="1" x14ac:dyDescent="0.3">
      <c r="AG559" s="2"/>
      <c r="JD559" s="15"/>
      <c r="JE559" s="15"/>
      <c r="JF559" s="15"/>
      <c r="JG559" s="15"/>
      <c r="JH559" s="15"/>
      <c r="JI559" s="15"/>
      <c r="JJ559" s="15"/>
      <c r="JK559" s="15"/>
      <c r="JL559" s="15"/>
      <c r="JM559" s="15"/>
      <c r="JN559" s="15"/>
      <c r="JO559" s="15"/>
      <c r="JP559" s="15"/>
    </row>
    <row r="560" spans="33:276" ht="15" customHeight="1" x14ac:dyDescent="0.3">
      <c r="AG560" s="2"/>
      <c r="JD560" s="15"/>
      <c r="JE560" s="15"/>
      <c r="JF560" s="15"/>
      <c r="JG560" s="15"/>
      <c r="JH560" s="15"/>
      <c r="JI560" s="15"/>
      <c r="JJ560" s="15"/>
      <c r="JK560" s="15"/>
      <c r="JL560" s="15"/>
      <c r="JM560" s="15"/>
      <c r="JN560" s="15"/>
      <c r="JO560" s="15"/>
      <c r="JP560" s="15"/>
    </row>
    <row r="561" spans="33:276" ht="15" customHeight="1" x14ac:dyDescent="0.3">
      <c r="AG561" s="2"/>
      <c r="JD561" s="15"/>
      <c r="JE561" s="15"/>
      <c r="JF561" s="15"/>
      <c r="JG561" s="15"/>
      <c r="JH561" s="15"/>
      <c r="JI561" s="15"/>
      <c r="JJ561" s="15"/>
      <c r="JK561" s="15"/>
      <c r="JL561" s="15"/>
      <c r="JM561" s="15"/>
      <c r="JN561" s="15"/>
      <c r="JO561" s="15"/>
      <c r="JP561" s="15"/>
    </row>
    <row r="562" spans="33:276" ht="15" customHeight="1" x14ac:dyDescent="0.3">
      <c r="AG562" s="2"/>
      <c r="JD562" s="15"/>
      <c r="JE562" s="15"/>
      <c r="JF562" s="15"/>
      <c r="JG562" s="15"/>
      <c r="JH562" s="15"/>
      <c r="JI562" s="15"/>
      <c r="JJ562" s="15"/>
      <c r="JK562" s="15"/>
      <c r="JL562" s="15"/>
      <c r="JM562" s="15"/>
      <c r="JN562" s="15"/>
      <c r="JO562" s="15"/>
      <c r="JP562" s="15"/>
    </row>
    <row r="563" spans="33:276" ht="15" customHeight="1" x14ac:dyDescent="0.3">
      <c r="AG563" s="2"/>
      <c r="JD563" s="15"/>
      <c r="JE563" s="15"/>
      <c r="JF563" s="15"/>
      <c r="JG563" s="15"/>
      <c r="JH563" s="15"/>
      <c r="JI563" s="15"/>
      <c r="JJ563" s="15"/>
      <c r="JK563" s="15"/>
      <c r="JL563" s="15"/>
      <c r="JM563" s="15"/>
      <c r="JN563" s="15"/>
      <c r="JO563" s="15"/>
      <c r="JP563" s="15"/>
    </row>
    <row r="564" spans="33:276" ht="15" customHeight="1" x14ac:dyDescent="0.3">
      <c r="AG564" s="2"/>
      <c r="JD564" s="15"/>
      <c r="JE564" s="15"/>
      <c r="JF564" s="15"/>
      <c r="JG564" s="15"/>
      <c r="JH564" s="15"/>
      <c r="JI564" s="15"/>
      <c r="JJ564" s="15"/>
      <c r="JK564" s="15"/>
      <c r="JL564" s="15"/>
      <c r="JM564" s="15"/>
      <c r="JN564" s="15"/>
      <c r="JO564" s="15"/>
      <c r="JP564" s="15"/>
    </row>
    <row r="565" spans="33:276" ht="15" customHeight="1" x14ac:dyDescent="0.3">
      <c r="AG565" s="2"/>
      <c r="JD565" s="15"/>
      <c r="JE565" s="15"/>
      <c r="JF565" s="15"/>
      <c r="JG565" s="15"/>
      <c r="JH565" s="15"/>
      <c r="JI565" s="15"/>
      <c r="JJ565" s="15"/>
      <c r="JK565" s="15"/>
      <c r="JL565" s="15"/>
      <c r="JM565" s="15"/>
      <c r="JN565" s="15"/>
      <c r="JO565" s="15"/>
      <c r="JP565" s="15"/>
    </row>
    <row r="566" spans="33:276" ht="15" customHeight="1" x14ac:dyDescent="0.3">
      <c r="AG566" s="2"/>
      <c r="JD566" s="15"/>
      <c r="JE566" s="15"/>
      <c r="JF566" s="15"/>
      <c r="JG566" s="15"/>
      <c r="JH566" s="15"/>
      <c r="JI566" s="15"/>
      <c r="JJ566" s="15"/>
      <c r="JK566" s="15"/>
      <c r="JL566" s="15"/>
      <c r="JM566" s="15"/>
      <c r="JN566" s="15"/>
      <c r="JO566" s="15"/>
      <c r="JP566" s="15"/>
    </row>
    <row r="567" spans="33:276" ht="15" customHeight="1" x14ac:dyDescent="0.3">
      <c r="AG567" s="2"/>
      <c r="JD567" s="15"/>
      <c r="JE567" s="15"/>
      <c r="JF567" s="15"/>
      <c r="JG567" s="15"/>
      <c r="JH567" s="15"/>
      <c r="JI567" s="15"/>
      <c r="JJ567" s="15"/>
      <c r="JK567" s="15"/>
      <c r="JL567" s="15"/>
      <c r="JM567" s="15"/>
      <c r="JN567" s="15"/>
      <c r="JO567" s="15"/>
      <c r="JP567" s="15"/>
    </row>
    <row r="568" spans="33:276" ht="15" customHeight="1" x14ac:dyDescent="0.3">
      <c r="AG568" s="2"/>
      <c r="JD568" s="15"/>
      <c r="JE568" s="15"/>
      <c r="JF568" s="15"/>
      <c r="JG568" s="15"/>
      <c r="JH568" s="15"/>
      <c r="JI568" s="15"/>
      <c r="JJ568" s="15"/>
      <c r="JK568" s="15"/>
      <c r="JL568" s="15"/>
      <c r="JM568" s="15"/>
      <c r="JN568" s="15"/>
      <c r="JO568" s="15"/>
      <c r="JP568" s="15"/>
    </row>
    <row r="569" spans="33:276" ht="15" customHeight="1" x14ac:dyDescent="0.3">
      <c r="AG569" s="2"/>
      <c r="JD569" s="15"/>
      <c r="JE569" s="15"/>
      <c r="JF569" s="15"/>
      <c r="JG569" s="15"/>
      <c r="JH569" s="15"/>
      <c r="JI569" s="15"/>
      <c r="JJ569" s="15"/>
      <c r="JK569" s="15"/>
      <c r="JL569" s="15"/>
      <c r="JM569" s="15"/>
      <c r="JN569" s="15"/>
      <c r="JO569" s="15"/>
      <c r="JP569" s="15"/>
    </row>
    <row r="570" spans="33:276" ht="15" customHeight="1" x14ac:dyDescent="0.3">
      <c r="AG570" s="2"/>
      <c r="JD570" s="15"/>
      <c r="JE570" s="15"/>
      <c r="JF570" s="15"/>
      <c r="JG570" s="15"/>
      <c r="JH570" s="15"/>
      <c r="JI570" s="15"/>
      <c r="JJ570" s="15"/>
      <c r="JK570" s="15"/>
      <c r="JL570" s="15"/>
      <c r="JM570" s="15"/>
      <c r="JN570" s="15"/>
      <c r="JO570" s="15"/>
      <c r="JP570" s="15"/>
    </row>
    <row r="571" spans="33:276" ht="15" customHeight="1" x14ac:dyDescent="0.3">
      <c r="AG571" s="2"/>
      <c r="JD571" s="15"/>
      <c r="JE571" s="15"/>
      <c r="JF571" s="15"/>
      <c r="JG571" s="15"/>
      <c r="JH571" s="15"/>
      <c r="JI571" s="15"/>
      <c r="JJ571" s="15"/>
      <c r="JK571" s="15"/>
      <c r="JL571" s="15"/>
      <c r="JM571" s="15"/>
      <c r="JN571" s="15"/>
      <c r="JO571" s="15"/>
      <c r="JP571" s="15"/>
    </row>
    <row r="572" spans="33:276" ht="15" customHeight="1" x14ac:dyDescent="0.3">
      <c r="AG572" s="2"/>
      <c r="JD572" s="15"/>
      <c r="JE572" s="15"/>
      <c r="JF572" s="15"/>
      <c r="JG572" s="15"/>
      <c r="JH572" s="15"/>
      <c r="JI572" s="15"/>
      <c r="JJ572" s="15"/>
      <c r="JK572" s="15"/>
      <c r="JL572" s="15"/>
      <c r="JM572" s="15"/>
      <c r="JN572" s="15"/>
      <c r="JO572" s="15"/>
      <c r="JP572" s="15"/>
    </row>
    <row r="573" spans="33:276" ht="15" customHeight="1" x14ac:dyDescent="0.3">
      <c r="AG573" s="2"/>
      <c r="JD573" s="15"/>
      <c r="JE573" s="15"/>
      <c r="JF573" s="15"/>
      <c r="JG573" s="15"/>
      <c r="JH573" s="15"/>
      <c r="JI573" s="15"/>
      <c r="JJ573" s="15"/>
      <c r="JK573" s="15"/>
      <c r="JL573" s="15"/>
      <c r="JM573" s="15"/>
      <c r="JN573" s="15"/>
      <c r="JO573" s="15"/>
      <c r="JP573" s="15"/>
    </row>
    <row r="574" spans="33:276" ht="15" customHeight="1" x14ac:dyDescent="0.3">
      <c r="AG574" s="2"/>
      <c r="JD574" s="15"/>
      <c r="JE574" s="15"/>
      <c r="JF574" s="15"/>
      <c r="JG574" s="15"/>
      <c r="JH574" s="15"/>
      <c r="JI574" s="15"/>
      <c r="JJ574" s="15"/>
      <c r="JK574" s="15"/>
      <c r="JL574" s="15"/>
      <c r="JM574" s="15"/>
      <c r="JN574" s="15"/>
      <c r="JO574" s="15"/>
      <c r="JP574" s="15"/>
    </row>
    <row r="575" spans="33:276" ht="15" customHeight="1" x14ac:dyDescent="0.3">
      <c r="AG575" s="2"/>
      <c r="JD575" s="15"/>
      <c r="JE575" s="15"/>
      <c r="JF575" s="15"/>
      <c r="JG575" s="15"/>
      <c r="JH575" s="15"/>
      <c r="JI575" s="15"/>
      <c r="JJ575" s="15"/>
      <c r="JK575" s="15"/>
      <c r="JL575" s="15"/>
      <c r="JM575" s="15"/>
      <c r="JN575" s="15"/>
      <c r="JO575" s="15"/>
      <c r="JP575" s="15"/>
    </row>
    <row r="576" spans="33:276" ht="15" customHeight="1" x14ac:dyDescent="0.3">
      <c r="AG576" s="2"/>
      <c r="JD576" s="15"/>
      <c r="JE576" s="15"/>
      <c r="JF576" s="15"/>
      <c r="JG576" s="15"/>
      <c r="JH576" s="15"/>
      <c r="JI576" s="15"/>
      <c r="JJ576" s="15"/>
      <c r="JK576" s="15"/>
      <c r="JL576" s="15"/>
      <c r="JM576" s="15"/>
      <c r="JN576" s="15"/>
      <c r="JO576" s="15"/>
      <c r="JP576" s="15"/>
    </row>
    <row r="577" spans="33:276" ht="15" customHeight="1" x14ac:dyDescent="0.3">
      <c r="AG577" s="2"/>
      <c r="JD577" s="15"/>
      <c r="JE577" s="15"/>
      <c r="JF577" s="15"/>
      <c r="JG577" s="15"/>
      <c r="JH577" s="15"/>
      <c r="JI577" s="15"/>
      <c r="JJ577" s="15"/>
      <c r="JK577" s="15"/>
      <c r="JL577" s="15"/>
      <c r="JM577" s="15"/>
      <c r="JN577" s="15"/>
      <c r="JO577" s="15"/>
      <c r="JP577" s="15"/>
    </row>
    <row r="578" spans="33:276" ht="15" customHeight="1" x14ac:dyDescent="0.3">
      <c r="AG578" s="2"/>
      <c r="JD578" s="15"/>
      <c r="JE578" s="15"/>
      <c r="JF578" s="15"/>
      <c r="JG578" s="15"/>
      <c r="JH578" s="15"/>
      <c r="JI578" s="15"/>
      <c r="JJ578" s="15"/>
      <c r="JK578" s="15"/>
      <c r="JL578" s="15"/>
      <c r="JM578" s="15"/>
      <c r="JN578" s="15"/>
      <c r="JO578" s="15"/>
      <c r="JP578" s="15"/>
    </row>
    <row r="579" spans="33:276" ht="15" customHeight="1" x14ac:dyDescent="0.3">
      <c r="AG579" s="2"/>
      <c r="JD579" s="15"/>
      <c r="JE579" s="15"/>
      <c r="JF579" s="15"/>
      <c r="JG579" s="15"/>
      <c r="JH579" s="15"/>
      <c r="JI579" s="15"/>
      <c r="JJ579" s="15"/>
      <c r="JK579" s="15"/>
      <c r="JL579" s="15"/>
      <c r="JM579" s="15"/>
      <c r="JN579" s="15"/>
      <c r="JO579" s="15"/>
      <c r="JP579" s="15"/>
    </row>
    <row r="580" spans="33:276" ht="15" customHeight="1" x14ac:dyDescent="0.3">
      <c r="AG580" s="2"/>
      <c r="JD580" s="15"/>
      <c r="JE580" s="15"/>
      <c r="JF580" s="15"/>
      <c r="JG580" s="15"/>
      <c r="JH580" s="15"/>
      <c r="JI580" s="15"/>
      <c r="JJ580" s="15"/>
      <c r="JK580" s="15"/>
      <c r="JL580" s="15"/>
      <c r="JM580" s="15"/>
      <c r="JN580" s="15"/>
      <c r="JO580" s="15"/>
      <c r="JP580" s="15"/>
    </row>
    <row r="581" spans="33:276" ht="15" customHeight="1" x14ac:dyDescent="0.3">
      <c r="AG581" s="2"/>
      <c r="JD581" s="15"/>
      <c r="JE581" s="15"/>
      <c r="JF581" s="15"/>
      <c r="JG581" s="15"/>
      <c r="JH581" s="15"/>
      <c r="JI581" s="15"/>
      <c r="JJ581" s="15"/>
      <c r="JK581" s="15"/>
      <c r="JL581" s="15"/>
      <c r="JM581" s="15"/>
      <c r="JN581" s="15"/>
      <c r="JO581" s="15"/>
      <c r="JP581" s="15"/>
    </row>
    <row r="582" spans="33:276" ht="15" customHeight="1" x14ac:dyDescent="0.3">
      <c r="AG582" s="2"/>
      <c r="JD582" s="15"/>
      <c r="JE582" s="15"/>
      <c r="JF582" s="15"/>
      <c r="JG582" s="15"/>
      <c r="JH582" s="15"/>
      <c r="JI582" s="15"/>
      <c r="JJ582" s="15"/>
      <c r="JK582" s="15"/>
      <c r="JL582" s="15"/>
      <c r="JM582" s="15"/>
      <c r="JN582" s="15"/>
      <c r="JO582" s="15"/>
      <c r="JP582" s="15"/>
    </row>
    <row r="583" spans="33:276" ht="15" customHeight="1" x14ac:dyDescent="0.3">
      <c r="AG583" s="2"/>
      <c r="JD583" s="15"/>
      <c r="JE583" s="15"/>
      <c r="JF583" s="15"/>
      <c r="JG583" s="15"/>
      <c r="JH583" s="15"/>
      <c r="JI583" s="15"/>
      <c r="JJ583" s="15"/>
      <c r="JK583" s="15"/>
      <c r="JL583" s="15"/>
      <c r="JM583" s="15"/>
      <c r="JN583" s="15"/>
      <c r="JO583" s="15"/>
      <c r="JP583" s="15"/>
    </row>
    <row r="584" spans="33:276" ht="15" customHeight="1" x14ac:dyDescent="0.3">
      <c r="AG584" s="2"/>
      <c r="JD584" s="15"/>
      <c r="JE584" s="15"/>
      <c r="JF584" s="15"/>
      <c r="JG584" s="15"/>
      <c r="JH584" s="15"/>
      <c r="JI584" s="15"/>
      <c r="JJ584" s="15"/>
      <c r="JK584" s="15"/>
      <c r="JL584" s="15"/>
      <c r="JM584" s="15"/>
      <c r="JN584" s="15"/>
      <c r="JO584" s="15"/>
      <c r="JP584" s="15"/>
    </row>
    <row r="585" spans="33:276" ht="15" customHeight="1" x14ac:dyDescent="0.3">
      <c r="AG585" s="2"/>
      <c r="JD585" s="15"/>
      <c r="JE585" s="15"/>
      <c r="JF585" s="15"/>
      <c r="JG585" s="15"/>
      <c r="JH585" s="15"/>
      <c r="JI585" s="15"/>
      <c r="JJ585" s="15"/>
      <c r="JK585" s="15"/>
      <c r="JL585" s="15"/>
      <c r="JM585" s="15"/>
      <c r="JN585" s="15"/>
      <c r="JO585" s="15"/>
      <c r="JP585" s="15"/>
    </row>
    <row r="586" spans="33:276" ht="15" customHeight="1" x14ac:dyDescent="0.3">
      <c r="AG586" s="2"/>
      <c r="JD586" s="15"/>
      <c r="JE586" s="15"/>
      <c r="JF586" s="15"/>
      <c r="JG586" s="15"/>
      <c r="JH586" s="15"/>
      <c r="JI586" s="15"/>
      <c r="JJ586" s="15"/>
      <c r="JK586" s="15"/>
      <c r="JL586" s="15"/>
      <c r="JM586" s="15"/>
      <c r="JN586" s="15"/>
      <c r="JO586" s="15"/>
      <c r="JP586" s="15"/>
    </row>
    <row r="587" spans="33:276" ht="15" customHeight="1" x14ac:dyDescent="0.3">
      <c r="AG587" s="2"/>
      <c r="JD587" s="15"/>
      <c r="JE587" s="15"/>
      <c r="JF587" s="15"/>
      <c r="JG587" s="15"/>
      <c r="JH587" s="15"/>
      <c r="JI587" s="15"/>
      <c r="JJ587" s="15"/>
      <c r="JK587" s="15"/>
      <c r="JL587" s="15"/>
      <c r="JM587" s="15"/>
      <c r="JN587" s="15"/>
      <c r="JO587" s="15"/>
      <c r="JP587" s="15"/>
    </row>
    <row r="588" spans="33:276" ht="15" customHeight="1" x14ac:dyDescent="0.3">
      <c r="AG588" s="2"/>
      <c r="JD588" s="15"/>
      <c r="JE588" s="15"/>
      <c r="JF588" s="15"/>
      <c r="JG588" s="15"/>
      <c r="JH588" s="15"/>
      <c r="JI588" s="15"/>
      <c r="JJ588" s="15"/>
      <c r="JK588" s="15"/>
      <c r="JL588" s="15"/>
      <c r="JM588" s="15"/>
      <c r="JN588" s="15"/>
      <c r="JO588" s="15"/>
      <c r="JP588" s="15"/>
    </row>
    <row r="589" spans="33:276" ht="15" customHeight="1" x14ac:dyDescent="0.3">
      <c r="AG589" s="2"/>
      <c r="JD589" s="15"/>
      <c r="JE589" s="15"/>
      <c r="JF589" s="15"/>
      <c r="JG589" s="15"/>
      <c r="JH589" s="15"/>
      <c r="JI589" s="15"/>
      <c r="JJ589" s="15"/>
      <c r="JK589" s="15"/>
      <c r="JL589" s="15"/>
      <c r="JM589" s="15"/>
      <c r="JN589" s="15"/>
      <c r="JO589" s="15"/>
      <c r="JP589" s="15"/>
    </row>
    <row r="590" spans="33:276" ht="15" customHeight="1" x14ac:dyDescent="0.3">
      <c r="AG590" s="2"/>
      <c r="JD590" s="15"/>
      <c r="JE590" s="15"/>
      <c r="JF590" s="15"/>
      <c r="JG590" s="15"/>
      <c r="JH590" s="15"/>
      <c r="JI590" s="15"/>
      <c r="JJ590" s="15"/>
      <c r="JK590" s="15"/>
      <c r="JL590" s="15"/>
      <c r="JM590" s="15"/>
      <c r="JN590" s="15"/>
      <c r="JO590" s="15"/>
      <c r="JP590" s="15"/>
    </row>
    <row r="591" spans="33:276" ht="15" customHeight="1" x14ac:dyDescent="0.3">
      <c r="AG591" s="2"/>
      <c r="JD591" s="15"/>
      <c r="JE591" s="15"/>
      <c r="JF591" s="15"/>
      <c r="JG591" s="15"/>
      <c r="JH591" s="15"/>
      <c r="JI591" s="15"/>
      <c r="JJ591" s="15"/>
      <c r="JK591" s="15"/>
      <c r="JL591" s="15"/>
      <c r="JM591" s="15"/>
      <c r="JN591" s="15"/>
      <c r="JO591" s="15"/>
      <c r="JP591" s="15"/>
    </row>
    <row r="592" spans="33:276" ht="15" customHeight="1" x14ac:dyDescent="0.3">
      <c r="AG592" s="2"/>
      <c r="JD592" s="15"/>
      <c r="JE592" s="15"/>
      <c r="JF592" s="15"/>
      <c r="JG592" s="15"/>
      <c r="JH592" s="15"/>
      <c r="JI592" s="15"/>
      <c r="JJ592" s="15"/>
      <c r="JK592" s="15"/>
      <c r="JL592" s="15"/>
      <c r="JM592" s="15"/>
      <c r="JN592" s="15"/>
      <c r="JO592" s="15"/>
      <c r="JP592" s="15"/>
    </row>
    <row r="593" spans="33:276" ht="15" customHeight="1" x14ac:dyDescent="0.3">
      <c r="AG593" s="2"/>
      <c r="JD593" s="15"/>
      <c r="JE593" s="15"/>
      <c r="JF593" s="15"/>
      <c r="JG593" s="15"/>
      <c r="JH593" s="15"/>
      <c r="JI593" s="15"/>
      <c r="JJ593" s="15"/>
      <c r="JK593" s="15"/>
      <c r="JL593" s="15"/>
      <c r="JM593" s="15"/>
      <c r="JN593" s="15"/>
      <c r="JO593" s="15"/>
      <c r="JP593" s="15"/>
    </row>
    <row r="594" spans="33:276" ht="15" customHeight="1" x14ac:dyDescent="0.3">
      <c r="AG594" s="2"/>
      <c r="JD594" s="15"/>
      <c r="JE594" s="15"/>
      <c r="JF594" s="15"/>
      <c r="JG594" s="15"/>
      <c r="JH594" s="15"/>
      <c r="JI594" s="15"/>
      <c r="JJ594" s="15"/>
      <c r="JK594" s="15"/>
      <c r="JL594" s="15"/>
      <c r="JM594" s="15"/>
      <c r="JN594" s="15"/>
      <c r="JO594" s="15"/>
      <c r="JP594" s="15"/>
    </row>
    <row r="595" spans="33:276" ht="15" customHeight="1" x14ac:dyDescent="0.3">
      <c r="AG595" s="2"/>
      <c r="JD595" s="15"/>
      <c r="JE595" s="15"/>
      <c r="JF595" s="15"/>
      <c r="JG595" s="15"/>
      <c r="JH595" s="15"/>
      <c r="JI595" s="15"/>
      <c r="JJ595" s="15"/>
      <c r="JK595" s="15"/>
      <c r="JL595" s="15"/>
      <c r="JM595" s="15"/>
      <c r="JN595" s="15"/>
      <c r="JO595" s="15"/>
      <c r="JP595" s="15"/>
    </row>
    <row r="596" spans="33:276" ht="15" customHeight="1" x14ac:dyDescent="0.3">
      <c r="AG596" s="2"/>
      <c r="JD596" s="15"/>
      <c r="JE596" s="15"/>
      <c r="JF596" s="15"/>
      <c r="JG596" s="15"/>
      <c r="JH596" s="15"/>
      <c r="JI596" s="15"/>
      <c r="JJ596" s="15"/>
      <c r="JK596" s="15"/>
      <c r="JL596" s="15"/>
      <c r="JM596" s="15"/>
      <c r="JN596" s="15"/>
      <c r="JO596" s="15"/>
      <c r="JP596" s="15"/>
    </row>
    <row r="597" spans="33:276" ht="15" customHeight="1" x14ac:dyDescent="0.3">
      <c r="AG597" s="2"/>
      <c r="JD597" s="15"/>
      <c r="JE597" s="15"/>
      <c r="JF597" s="15"/>
      <c r="JG597" s="15"/>
      <c r="JH597" s="15"/>
      <c r="JI597" s="15"/>
      <c r="JJ597" s="15"/>
      <c r="JK597" s="15"/>
      <c r="JL597" s="15"/>
      <c r="JM597" s="15"/>
      <c r="JN597" s="15"/>
      <c r="JO597" s="15"/>
      <c r="JP597" s="15"/>
    </row>
    <row r="598" spans="33:276" ht="15" customHeight="1" x14ac:dyDescent="0.3">
      <c r="AG598" s="2"/>
      <c r="JD598" s="15"/>
      <c r="JE598" s="15"/>
      <c r="JF598" s="15"/>
      <c r="JG598" s="15"/>
      <c r="JH598" s="15"/>
      <c r="JI598" s="15"/>
      <c r="JJ598" s="15"/>
      <c r="JK598" s="15"/>
      <c r="JL598" s="15"/>
      <c r="JM598" s="15"/>
      <c r="JN598" s="15"/>
      <c r="JO598" s="15"/>
      <c r="JP598" s="15"/>
    </row>
    <row r="599" spans="33:276" ht="15" customHeight="1" x14ac:dyDescent="0.3">
      <c r="AG599" s="2"/>
      <c r="JD599" s="15"/>
      <c r="JE599" s="15"/>
      <c r="JF599" s="15"/>
      <c r="JG599" s="15"/>
      <c r="JH599" s="15"/>
      <c r="JI599" s="15"/>
      <c r="JJ599" s="15"/>
      <c r="JK599" s="15"/>
      <c r="JL599" s="15"/>
      <c r="JM599" s="15"/>
      <c r="JN599" s="15"/>
      <c r="JO599" s="15"/>
      <c r="JP599" s="15"/>
    </row>
    <row r="600" spans="33:276" ht="15" customHeight="1" x14ac:dyDescent="0.3">
      <c r="AG600" s="2"/>
      <c r="JD600" s="15"/>
      <c r="JE600" s="15"/>
      <c r="JF600" s="15"/>
      <c r="JG600" s="15"/>
      <c r="JH600" s="15"/>
      <c r="JI600" s="15"/>
      <c r="JJ600" s="15"/>
      <c r="JK600" s="15"/>
      <c r="JL600" s="15"/>
      <c r="JM600" s="15"/>
      <c r="JN600" s="15"/>
      <c r="JO600" s="15"/>
      <c r="JP600" s="15"/>
    </row>
    <row r="601" spans="33:276" ht="15" customHeight="1" x14ac:dyDescent="0.3">
      <c r="AG601" s="2"/>
      <c r="JD601" s="15"/>
      <c r="JE601" s="15"/>
      <c r="JF601" s="15"/>
      <c r="JG601" s="15"/>
      <c r="JH601" s="15"/>
      <c r="JI601" s="15"/>
      <c r="JJ601" s="15"/>
      <c r="JK601" s="15"/>
      <c r="JL601" s="15"/>
      <c r="JM601" s="15"/>
      <c r="JN601" s="15"/>
      <c r="JO601" s="15"/>
      <c r="JP601" s="15"/>
    </row>
    <row r="602" spans="33:276" ht="15" customHeight="1" x14ac:dyDescent="0.3">
      <c r="AG602" s="2"/>
      <c r="JD602" s="15"/>
      <c r="JE602" s="15"/>
      <c r="JF602" s="15"/>
      <c r="JG602" s="15"/>
      <c r="JH602" s="15"/>
      <c r="JI602" s="15"/>
      <c r="JJ602" s="15"/>
      <c r="JK602" s="15"/>
      <c r="JL602" s="15"/>
      <c r="JM602" s="15"/>
      <c r="JN602" s="15"/>
      <c r="JO602" s="15"/>
      <c r="JP602" s="15"/>
    </row>
    <row r="603" spans="33:276" ht="15" customHeight="1" x14ac:dyDescent="0.3">
      <c r="AG603" s="2"/>
      <c r="JD603" s="15"/>
      <c r="JE603" s="15"/>
      <c r="JF603" s="15"/>
      <c r="JG603" s="15"/>
      <c r="JH603" s="15"/>
      <c r="JI603" s="15"/>
      <c r="JJ603" s="15"/>
      <c r="JK603" s="15"/>
      <c r="JL603" s="15"/>
      <c r="JM603" s="15"/>
      <c r="JN603" s="15"/>
      <c r="JO603" s="15"/>
      <c r="JP603" s="15"/>
    </row>
    <row r="604" spans="33:276" ht="15" customHeight="1" x14ac:dyDescent="0.3">
      <c r="AG604" s="2"/>
      <c r="JD604" s="15"/>
      <c r="JE604" s="15"/>
      <c r="JF604" s="15"/>
      <c r="JG604" s="15"/>
      <c r="JH604" s="15"/>
      <c r="JI604" s="15"/>
      <c r="JJ604" s="15"/>
      <c r="JK604" s="15"/>
      <c r="JL604" s="15"/>
      <c r="JM604" s="15"/>
      <c r="JN604" s="15"/>
      <c r="JO604" s="15"/>
      <c r="JP604" s="15"/>
    </row>
    <row r="605" spans="33:276" ht="15" customHeight="1" x14ac:dyDescent="0.3">
      <c r="AG605" s="2"/>
      <c r="JD605" s="15"/>
      <c r="JE605" s="15"/>
      <c r="JF605" s="15"/>
      <c r="JG605" s="15"/>
      <c r="JH605" s="15"/>
      <c r="JI605" s="15"/>
      <c r="JJ605" s="15"/>
      <c r="JK605" s="15"/>
      <c r="JL605" s="15"/>
      <c r="JM605" s="15"/>
      <c r="JN605" s="15"/>
      <c r="JO605" s="15"/>
      <c r="JP605" s="15"/>
    </row>
    <row r="606" spans="33:276" ht="15" customHeight="1" x14ac:dyDescent="0.3">
      <c r="AG606" s="2"/>
      <c r="JD606" s="15"/>
      <c r="JE606" s="15"/>
      <c r="JF606" s="15"/>
      <c r="JG606" s="15"/>
      <c r="JH606" s="15"/>
      <c r="JI606" s="15"/>
      <c r="JJ606" s="15"/>
      <c r="JK606" s="15"/>
      <c r="JL606" s="15"/>
      <c r="JM606" s="15"/>
      <c r="JN606" s="15"/>
      <c r="JO606" s="15"/>
      <c r="JP606" s="15"/>
    </row>
    <row r="607" spans="33:276" ht="15" customHeight="1" x14ac:dyDescent="0.3">
      <c r="AG607" s="2"/>
      <c r="JD607" s="15"/>
      <c r="JE607" s="15"/>
      <c r="JF607" s="15"/>
      <c r="JG607" s="15"/>
      <c r="JH607" s="15"/>
      <c r="JI607" s="15"/>
      <c r="JJ607" s="15"/>
      <c r="JK607" s="15"/>
      <c r="JL607" s="15"/>
      <c r="JM607" s="15"/>
      <c r="JN607" s="15"/>
      <c r="JO607" s="15"/>
      <c r="JP607" s="15"/>
    </row>
    <row r="608" spans="33:276" ht="15" customHeight="1" x14ac:dyDescent="0.3">
      <c r="AG608" s="2"/>
      <c r="JD608" s="15"/>
      <c r="JE608" s="15"/>
      <c r="JF608" s="15"/>
      <c r="JG608" s="15"/>
      <c r="JH608" s="15"/>
      <c r="JI608" s="15"/>
      <c r="JJ608" s="15"/>
      <c r="JK608" s="15"/>
      <c r="JL608" s="15"/>
      <c r="JM608" s="15"/>
      <c r="JN608" s="15"/>
      <c r="JO608" s="15"/>
      <c r="JP608" s="15"/>
    </row>
    <row r="609" spans="33:276" ht="15" customHeight="1" x14ac:dyDescent="0.3">
      <c r="AG609" s="2"/>
      <c r="JD609" s="15"/>
      <c r="JE609" s="15"/>
      <c r="JF609" s="15"/>
      <c r="JG609" s="15"/>
      <c r="JH609" s="15"/>
      <c r="JI609" s="15"/>
      <c r="JJ609" s="15"/>
      <c r="JK609" s="15"/>
      <c r="JL609" s="15"/>
      <c r="JM609" s="15"/>
      <c r="JN609" s="15"/>
      <c r="JO609" s="15"/>
      <c r="JP609" s="15"/>
    </row>
    <row r="610" spans="33:276" ht="15" customHeight="1" x14ac:dyDescent="0.3">
      <c r="AG610" s="2"/>
      <c r="JD610" s="15"/>
      <c r="JE610" s="15"/>
      <c r="JF610" s="15"/>
      <c r="JG610" s="15"/>
      <c r="JH610" s="15"/>
      <c r="JI610" s="15"/>
      <c r="JJ610" s="15"/>
      <c r="JK610" s="15"/>
      <c r="JL610" s="15"/>
      <c r="JM610" s="15"/>
      <c r="JN610" s="15"/>
      <c r="JO610" s="15"/>
      <c r="JP610" s="15"/>
    </row>
    <row r="611" spans="33:276" ht="15" customHeight="1" x14ac:dyDescent="0.3">
      <c r="AG611" s="2"/>
      <c r="JD611" s="15"/>
      <c r="JE611" s="15"/>
      <c r="JF611" s="15"/>
      <c r="JG611" s="15"/>
      <c r="JH611" s="15"/>
      <c r="JI611" s="15"/>
      <c r="JJ611" s="15"/>
      <c r="JK611" s="15"/>
      <c r="JL611" s="15"/>
      <c r="JM611" s="15"/>
      <c r="JN611" s="15"/>
      <c r="JO611" s="15"/>
      <c r="JP611" s="15"/>
    </row>
    <row r="612" spans="33:276" ht="15" customHeight="1" x14ac:dyDescent="0.3">
      <c r="AG612" s="2"/>
      <c r="JD612" s="15"/>
      <c r="JE612" s="15"/>
      <c r="JF612" s="15"/>
      <c r="JG612" s="15"/>
      <c r="JH612" s="15"/>
      <c r="JI612" s="15"/>
      <c r="JJ612" s="15"/>
      <c r="JK612" s="15"/>
      <c r="JL612" s="15"/>
      <c r="JM612" s="15"/>
      <c r="JN612" s="15"/>
      <c r="JO612" s="15"/>
      <c r="JP612" s="15"/>
    </row>
    <row r="613" spans="33:276" ht="15" customHeight="1" x14ac:dyDescent="0.3">
      <c r="AG613" s="2"/>
      <c r="JD613" s="15"/>
      <c r="JE613" s="15"/>
      <c r="JF613" s="15"/>
      <c r="JG613" s="15"/>
      <c r="JH613" s="15"/>
      <c r="JI613" s="15"/>
      <c r="JJ613" s="15"/>
      <c r="JK613" s="15"/>
      <c r="JL613" s="15"/>
      <c r="JM613" s="15"/>
      <c r="JN613" s="15"/>
      <c r="JO613" s="15"/>
      <c r="JP613" s="15"/>
    </row>
    <row r="614" spans="33:276" ht="15" customHeight="1" x14ac:dyDescent="0.3">
      <c r="AG614" s="2"/>
      <c r="JD614" s="15"/>
      <c r="JE614" s="15"/>
      <c r="JF614" s="15"/>
      <c r="JG614" s="15"/>
      <c r="JH614" s="15"/>
      <c r="JI614" s="15"/>
      <c r="JJ614" s="15"/>
      <c r="JK614" s="15"/>
      <c r="JL614" s="15"/>
      <c r="JM614" s="15"/>
      <c r="JN614" s="15"/>
      <c r="JO614" s="15"/>
      <c r="JP614" s="15"/>
    </row>
    <row r="615" spans="33:276" ht="15" customHeight="1" x14ac:dyDescent="0.3">
      <c r="AG615" s="2"/>
      <c r="JD615" s="15"/>
      <c r="JE615" s="15"/>
      <c r="JF615" s="15"/>
      <c r="JG615" s="15"/>
      <c r="JH615" s="15"/>
      <c r="JI615" s="15"/>
      <c r="JJ615" s="15"/>
      <c r="JK615" s="15"/>
      <c r="JL615" s="15"/>
      <c r="JM615" s="15"/>
      <c r="JN615" s="15"/>
      <c r="JO615" s="15"/>
      <c r="JP615" s="15"/>
    </row>
    <row r="616" spans="33:276" ht="15" customHeight="1" x14ac:dyDescent="0.3">
      <c r="AG616" s="2"/>
      <c r="JD616" s="15"/>
      <c r="JE616" s="15"/>
      <c r="JF616" s="15"/>
      <c r="JG616" s="15"/>
      <c r="JH616" s="15"/>
      <c r="JI616" s="15"/>
      <c r="JJ616" s="15"/>
      <c r="JK616" s="15"/>
      <c r="JL616" s="15"/>
      <c r="JM616" s="15"/>
      <c r="JN616" s="15"/>
      <c r="JO616" s="15"/>
      <c r="JP616" s="15"/>
    </row>
    <row r="617" spans="33:276" ht="15" customHeight="1" x14ac:dyDescent="0.3">
      <c r="AG617" s="2"/>
      <c r="JD617" s="15"/>
      <c r="JE617" s="15"/>
      <c r="JF617" s="15"/>
      <c r="JG617" s="15"/>
      <c r="JH617" s="15"/>
      <c r="JI617" s="15"/>
      <c r="JJ617" s="15"/>
      <c r="JK617" s="15"/>
      <c r="JL617" s="15"/>
      <c r="JM617" s="15"/>
      <c r="JN617" s="15"/>
      <c r="JO617" s="15"/>
      <c r="JP617" s="15"/>
    </row>
    <row r="618" spans="33:276" ht="15" customHeight="1" x14ac:dyDescent="0.3">
      <c r="AG618" s="2"/>
      <c r="JD618" s="15"/>
      <c r="JE618" s="15"/>
      <c r="JF618" s="15"/>
      <c r="JG618" s="15"/>
      <c r="JH618" s="15"/>
      <c r="JI618" s="15"/>
      <c r="JJ618" s="15"/>
      <c r="JK618" s="15"/>
      <c r="JL618" s="15"/>
      <c r="JM618" s="15"/>
      <c r="JN618" s="15"/>
      <c r="JO618" s="15"/>
      <c r="JP618" s="15"/>
    </row>
    <row r="619" spans="33:276" ht="15" customHeight="1" x14ac:dyDescent="0.3">
      <c r="AG619" s="2"/>
      <c r="JD619" s="15"/>
      <c r="JE619" s="15"/>
      <c r="JF619" s="15"/>
      <c r="JG619" s="15"/>
      <c r="JH619" s="15"/>
      <c r="JI619" s="15"/>
      <c r="JJ619" s="15"/>
      <c r="JK619" s="15"/>
      <c r="JL619" s="15"/>
      <c r="JM619" s="15"/>
      <c r="JN619" s="15"/>
      <c r="JO619" s="15"/>
      <c r="JP619" s="15"/>
    </row>
    <row r="620" spans="33:276" ht="15" customHeight="1" x14ac:dyDescent="0.3">
      <c r="AG620" s="2"/>
      <c r="JD620" s="15"/>
      <c r="JE620" s="15"/>
      <c r="JF620" s="15"/>
      <c r="JG620" s="15"/>
      <c r="JH620" s="15"/>
      <c r="JI620" s="15"/>
      <c r="JJ620" s="15"/>
      <c r="JK620" s="15"/>
      <c r="JL620" s="15"/>
      <c r="JM620" s="15"/>
      <c r="JN620" s="15"/>
      <c r="JO620" s="15"/>
      <c r="JP620" s="15"/>
    </row>
    <row r="621" spans="33:276" ht="15" customHeight="1" x14ac:dyDescent="0.3">
      <c r="AG621" s="2"/>
      <c r="JD621" s="15"/>
      <c r="JE621" s="15"/>
      <c r="JF621" s="15"/>
      <c r="JG621" s="15"/>
      <c r="JH621" s="15"/>
      <c r="JI621" s="15"/>
      <c r="JJ621" s="15"/>
      <c r="JK621" s="15"/>
      <c r="JL621" s="15"/>
      <c r="JM621" s="15"/>
      <c r="JN621" s="15"/>
      <c r="JO621" s="15"/>
      <c r="JP621" s="15"/>
    </row>
    <row r="622" spans="33:276" ht="15" customHeight="1" x14ac:dyDescent="0.3">
      <c r="AG622" s="2"/>
      <c r="JD622" s="15"/>
      <c r="JE622" s="15"/>
      <c r="JF622" s="15"/>
      <c r="JG622" s="15"/>
      <c r="JH622" s="15"/>
      <c r="JI622" s="15"/>
      <c r="JJ622" s="15"/>
      <c r="JK622" s="15"/>
      <c r="JL622" s="15"/>
      <c r="JM622" s="15"/>
      <c r="JN622" s="15"/>
      <c r="JO622" s="15"/>
      <c r="JP622" s="15"/>
    </row>
    <row r="623" spans="33:276" ht="15" customHeight="1" x14ac:dyDescent="0.3">
      <c r="AG623" s="2"/>
      <c r="JD623" s="15"/>
      <c r="JE623" s="15"/>
      <c r="JF623" s="15"/>
      <c r="JG623" s="15"/>
      <c r="JH623" s="15"/>
      <c r="JI623" s="15"/>
      <c r="JJ623" s="15"/>
      <c r="JK623" s="15"/>
      <c r="JL623" s="15"/>
      <c r="JM623" s="15"/>
      <c r="JN623" s="15"/>
      <c r="JO623" s="15"/>
      <c r="JP623" s="15"/>
    </row>
    <row r="624" spans="33:276" ht="15" customHeight="1" x14ac:dyDescent="0.3">
      <c r="AG624" s="2"/>
      <c r="JD624" s="15"/>
      <c r="JE624" s="15"/>
      <c r="JF624" s="15"/>
      <c r="JG624" s="15"/>
      <c r="JH624" s="15"/>
      <c r="JI624" s="15"/>
      <c r="JJ624" s="15"/>
      <c r="JK624" s="15"/>
      <c r="JL624" s="15"/>
      <c r="JM624" s="15"/>
      <c r="JN624" s="15"/>
      <c r="JO624" s="15"/>
      <c r="JP624" s="15"/>
    </row>
    <row r="625" spans="33:276" ht="15" customHeight="1" x14ac:dyDescent="0.3">
      <c r="AG625" s="2"/>
      <c r="JD625" s="15"/>
      <c r="JE625" s="15"/>
      <c r="JF625" s="15"/>
      <c r="JG625" s="15"/>
      <c r="JH625" s="15"/>
      <c r="JI625" s="15"/>
      <c r="JJ625" s="15"/>
      <c r="JK625" s="15"/>
      <c r="JL625" s="15"/>
      <c r="JM625" s="15"/>
      <c r="JN625" s="15"/>
      <c r="JO625" s="15"/>
      <c r="JP625" s="15"/>
    </row>
    <row r="626" spans="33:276" ht="15" customHeight="1" x14ac:dyDescent="0.3">
      <c r="AG626" s="2"/>
      <c r="JD626" s="15"/>
      <c r="JE626" s="15"/>
      <c r="JF626" s="15"/>
      <c r="JG626" s="15"/>
      <c r="JH626" s="15"/>
      <c r="JI626" s="15"/>
      <c r="JJ626" s="15"/>
      <c r="JK626" s="15"/>
      <c r="JL626" s="15"/>
      <c r="JM626" s="15"/>
      <c r="JN626" s="15"/>
      <c r="JO626" s="15"/>
      <c r="JP626" s="15"/>
    </row>
    <row r="627" spans="33:276" ht="15" customHeight="1" x14ac:dyDescent="0.3">
      <c r="AG627" s="2"/>
      <c r="JD627" s="15"/>
      <c r="JE627" s="15"/>
      <c r="JF627" s="15"/>
      <c r="JG627" s="15"/>
      <c r="JH627" s="15"/>
      <c r="JI627" s="15"/>
      <c r="JJ627" s="15"/>
      <c r="JK627" s="15"/>
      <c r="JL627" s="15"/>
      <c r="JM627" s="15"/>
      <c r="JN627" s="15"/>
      <c r="JO627" s="15"/>
      <c r="JP627" s="15"/>
    </row>
    <row r="628" spans="33:276" ht="15" customHeight="1" x14ac:dyDescent="0.3">
      <c r="AG628" s="2"/>
      <c r="JD628" s="15"/>
      <c r="JE628" s="15"/>
      <c r="JF628" s="15"/>
      <c r="JG628" s="15"/>
      <c r="JH628" s="15"/>
      <c r="JI628" s="15"/>
      <c r="JJ628" s="15"/>
      <c r="JK628" s="15"/>
      <c r="JL628" s="15"/>
      <c r="JM628" s="15"/>
      <c r="JN628" s="15"/>
      <c r="JO628" s="15"/>
      <c r="JP628" s="15"/>
    </row>
    <row r="629" spans="33:276" ht="15" customHeight="1" x14ac:dyDescent="0.3">
      <c r="AG629" s="2"/>
      <c r="JD629" s="15"/>
      <c r="JE629" s="15"/>
      <c r="JF629" s="15"/>
      <c r="JG629" s="15"/>
      <c r="JH629" s="15"/>
      <c r="JI629" s="15"/>
      <c r="JJ629" s="15"/>
      <c r="JK629" s="15"/>
      <c r="JL629" s="15"/>
      <c r="JM629" s="15"/>
      <c r="JN629" s="15"/>
      <c r="JO629" s="15"/>
      <c r="JP629" s="15"/>
    </row>
    <row r="630" spans="33:276" ht="15" customHeight="1" x14ac:dyDescent="0.3">
      <c r="AG630" s="2"/>
      <c r="JD630" s="15"/>
      <c r="JE630" s="15"/>
      <c r="JF630" s="15"/>
      <c r="JG630" s="15"/>
      <c r="JH630" s="15"/>
      <c r="JI630" s="15"/>
      <c r="JJ630" s="15"/>
      <c r="JK630" s="15"/>
      <c r="JL630" s="15"/>
      <c r="JM630" s="15"/>
      <c r="JN630" s="15"/>
      <c r="JO630" s="15"/>
      <c r="JP630" s="15"/>
    </row>
    <row r="631" spans="33:276" ht="15" customHeight="1" x14ac:dyDescent="0.3">
      <c r="AG631" s="2"/>
      <c r="JD631" s="15"/>
      <c r="JE631" s="15"/>
      <c r="JF631" s="15"/>
      <c r="JG631" s="15"/>
      <c r="JH631" s="15"/>
      <c r="JI631" s="15"/>
      <c r="JJ631" s="15"/>
      <c r="JK631" s="15"/>
      <c r="JL631" s="15"/>
      <c r="JM631" s="15"/>
      <c r="JN631" s="15"/>
      <c r="JO631" s="15"/>
      <c r="JP631" s="15"/>
    </row>
    <row r="632" spans="33:276" ht="15" customHeight="1" x14ac:dyDescent="0.3">
      <c r="AG632" s="2"/>
      <c r="JD632" s="15"/>
      <c r="JE632" s="15"/>
      <c r="JF632" s="15"/>
      <c r="JG632" s="15"/>
      <c r="JH632" s="15"/>
      <c r="JI632" s="15"/>
      <c r="JJ632" s="15"/>
      <c r="JK632" s="15"/>
      <c r="JL632" s="15"/>
      <c r="JM632" s="15"/>
      <c r="JN632" s="15"/>
      <c r="JO632" s="15"/>
      <c r="JP632" s="15"/>
    </row>
    <row r="633" spans="33:276" ht="15" customHeight="1" x14ac:dyDescent="0.3">
      <c r="AG633" s="2"/>
      <c r="JD633" s="15"/>
      <c r="JE633" s="15"/>
      <c r="JF633" s="15"/>
      <c r="JG633" s="15"/>
      <c r="JH633" s="15"/>
      <c r="JI633" s="15"/>
      <c r="JJ633" s="15"/>
      <c r="JK633" s="15"/>
      <c r="JL633" s="15"/>
      <c r="JM633" s="15"/>
      <c r="JN633" s="15"/>
      <c r="JO633" s="15"/>
      <c r="JP633" s="15"/>
    </row>
    <row r="634" spans="33:276" ht="15" customHeight="1" x14ac:dyDescent="0.3">
      <c r="AG634" s="2"/>
      <c r="JD634" s="15"/>
      <c r="JE634" s="15"/>
      <c r="JF634" s="15"/>
      <c r="JG634" s="15"/>
      <c r="JH634" s="15"/>
      <c r="JI634" s="15"/>
      <c r="JJ634" s="15"/>
      <c r="JK634" s="15"/>
      <c r="JL634" s="15"/>
      <c r="JM634" s="15"/>
      <c r="JN634" s="15"/>
      <c r="JO634" s="15"/>
      <c r="JP634" s="15"/>
    </row>
    <row r="635" spans="33:276" ht="15" customHeight="1" x14ac:dyDescent="0.3">
      <c r="AG635" s="2"/>
      <c r="JD635" s="15"/>
      <c r="JE635" s="15"/>
      <c r="JF635" s="15"/>
      <c r="JG635" s="15"/>
      <c r="JH635" s="15"/>
      <c r="JI635" s="15"/>
      <c r="JJ635" s="15"/>
      <c r="JK635" s="15"/>
      <c r="JL635" s="15"/>
      <c r="JM635" s="15"/>
      <c r="JN635" s="15"/>
      <c r="JO635" s="15"/>
      <c r="JP635" s="15"/>
    </row>
    <row r="636" spans="33:276" ht="15" customHeight="1" x14ac:dyDescent="0.3">
      <c r="AG636" s="2"/>
      <c r="JD636" s="15"/>
      <c r="JE636" s="15"/>
      <c r="JF636" s="15"/>
      <c r="JG636" s="15"/>
      <c r="JH636" s="15"/>
      <c r="JI636" s="15"/>
      <c r="JJ636" s="15"/>
      <c r="JK636" s="15"/>
      <c r="JL636" s="15"/>
      <c r="JM636" s="15"/>
      <c r="JN636" s="15"/>
      <c r="JO636" s="15"/>
      <c r="JP636" s="15"/>
    </row>
    <row r="637" spans="33:276" ht="15" customHeight="1" x14ac:dyDescent="0.3">
      <c r="AG637" s="2"/>
      <c r="JD637" s="15"/>
      <c r="JE637" s="15"/>
      <c r="JF637" s="15"/>
      <c r="JG637" s="15"/>
      <c r="JH637" s="15"/>
      <c r="JI637" s="15"/>
      <c r="JJ637" s="15"/>
      <c r="JK637" s="15"/>
      <c r="JL637" s="15"/>
      <c r="JM637" s="15"/>
      <c r="JN637" s="15"/>
      <c r="JO637" s="15"/>
      <c r="JP637" s="15"/>
    </row>
    <row r="638" spans="33:276" ht="15" customHeight="1" x14ac:dyDescent="0.3">
      <c r="AG638" s="2"/>
      <c r="JD638" s="15"/>
      <c r="JE638" s="15"/>
      <c r="JF638" s="15"/>
      <c r="JG638" s="15"/>
      <c r="JH638" s="15"/>
      <c r="JI638" s="15"/>
      <c r="JJ638" s="15"/>
      <c r="JK638" s="15"/>
      <c r="JL638" s="15"/>
      <c r="JM638" s="15"/>
      <c r="JN638" s="15"/>
      <c r="JO638" s="15"/>
      <c r="JP638" s="15"/>
    </row>
    <row r="639" spans="33:276" ht="15" customHeight="1" x14ac:dyDescent="0.3">
      <c r="AG639" s="2"/>
      <c r="JD639" s="15"/>
      <c r="JE639" s="15"/>
      <c r="JF639" s="15"/>
      <c r="JG639" s="15"/>
      <c r="JH639" s="15"/>
      <c r="JI639" s="15"/>
      <c r="JJ639" s="15"/>
      <c r="JK639" s="15"/>
      <c r="JL639" s="15"/>
      <c r="JM639" s="15"/>
      <c r="JN639" s="15"/>
      <c r="JO639" s="15"/>
      <c r="JP639" s="15"/>
    </row>
    <row r="640" spans="33:276" ht="15" customHeight="1" x14ac:dyDescent="0.3">
      <c r="AG640" s="2"/>
      <c r="JD640" s="15"/>
      <c r="JE640" s="15"/>
      <c r="JF640" s="15"/>
      <c r="JG640" s="15"/>
      <c r="JH640" s="15"/>
      <c r="JI640" s="15"/>
      <c r="JJ640" s="15"/>
      <c r="JK640" s="15"/>
      <c r="JL640" s="15"/>
      <c r="JM640" s="15"/>
      <c r="JN640" s="15"/>
      <c r="JO640" s="15"/>
      <c r="JP640" s="15"/>
    </row>
    <row r="641" spans="33:276" ht="15" customHeight="1" x14ac:dyDescent="0.3">
      <c r="AG641" s="2"/>
      <c r="JD641" s="15"/>
      <c r="JE641" s="15"/>
      <c r="JF641" s="15"/>
      <c r="JG641" s="15"/>
      <c r="JH641" s="15"/>
      <c r="JI641" s="15"/>
      <c r="JJ641" s="15"/>
      <c r="JK641" s="15"/>
      <c r="JL641" s="15"/>
      <c r="JM641" s="15"/>
      <c r="JN641" s="15"/>
      <c r="JO641" s="15"/>
      <c r="JP641" s="15"/>
    </row>
    <row r="642" spans="33:276" ht="15" customHeight="1" x14ac:dyDescent="0.3">
      <c r="AG642" s="2"/>
      <c r="JD642" s="15"/>
      <c r="JE642" s="15"/>
      <c r="JF642" s="15"/>
      <c r="JG642" s="15"/>
      <c r="JH642" s="15"/>
      <c r="JI642" s="15"/>
      <c r="JJ642" s="15"/>
      <c r="JK642" s="15"/>
      <c r="JL642" s="15"/>
      <c r="JM642" s="15"/>
      <c r="JN642" s="15"/>
      <c r="JO642" s="15"/>
      <c r="JP642" s="15"/>
    </row>
    <row r="643" spans="33:276" ht="15" customHeight="1" x14ac:dyDescent="0.3">
      <c r="AG643" s="2"/>
      <c r="JD643" s="15"/>
      <c r="JE643" s="15"/>
      <c r="JF643" s="15"/>
      <c r="JG643" s="15"/>
      <c r="JH643" s="15"/>
      <c r="JI643" s="15"/>
      <c r="JJ643" s="15"/>
      <c r="JK643" s="15"/>
      <c r="JL643" s="15"/>
      <c r="JM643" s="15"/>
      <c r="JN643" s="15"/>
      <c r="JO643" s="15"/>
      <c r="JP643" s="15"/>
    </row>
    <row r="644" spans="33:276" ht="15" customHeight="1" x14ac:dyDescent="0.3">
      <c r="AG644" s="2"/>
      <c r="JD644" s="15"/>
      <c r="JE644" s="15"/>
      <c r="JF644" s="15"/>
      <c r="JG644" s="15"/>
      <c r="JH644" s="15"/>
      <c r="JI644" s="15"/>
      <c r="JJ644" s="15"/>
      <c r="JK644" s="15"/>
      <c r="JL644" s="15"/>
      <c r="JM644" s="15"/>
      <c r="JN644" s="15"/>
      <c r="JO644" s="15"/>
      <c r="JP644" s="15"/>
    </row>
    <row r="645" spans="33:276" ht="15" customHeight="1" x14ac:dyDescent="0.3">
      <c r="AG645" s="2"/>
      <c r="JD645" s="15"/>
      <c r="JE645" s="15"/>
      <c r="JF645" s="15"/>
      <c r="JG645" s="15"/>
      <c r="JH645" s="15"/>
      <c r="JI645" s="15"/>
      <c r="JJ645" s="15"/>
      <c r="JK645" s="15"/>
      <c r="JL645" s="15"/>
      <c r="JM645" s="15"/>
      <c r="JN645" s="15"/>
      <c r="JO645" s="15"/>
      <c r="JP645" s="15"/>
    </row>
    <row r="646" spans="33:276" ht="15" customHeight="1" x14ac:dyDescent="0.3">
      <c r="AG646" s="2"/>
      <c r="JD646" s="15"/>
      <c r="JE646" s="15"/>
      <c r="JF646" s="15"/>
      <c r="JG646" s="15"/>
      <c r="JH646" s="15"/>
      <c r="JI646" s="15"/>
      <c r="JJ646" s="15"/>
      <c r="JK646" s="15"/>
      <c r="JL646" s="15"/>
      <c r="JM646" s="15"/>
      <c r="JN646" s="15"/>
      <c r="JO646" s="15"/>
      <c r="JP646" s="15"/>
    </row>
    <row r="647" spans="33:276" ht="15" customHeight="1" x14ac:dyDescent="0.3">
      <c r="AG647" s="2"/>
      <c r="JD647" s="15"/>
      <c r="JE647" s="15"/>
      <c r="JF647" s="15"/>
      <c r="JG647" s="15"/>
      <c r="JH647" s="15"/>
      <c r="JI647" s="15"/>
      <c r="JJ647" s="15"/>
      <c r="JK647" s="15"/>
      <c r="JL647" s="15"/>
      <c r="JM647" s="15"/>
      <c r="JN647" s="15"/>
      <c r="JO647" s="15"/>
      <c r="JP647" s="15"/>
    </row>
    <row r="648" spans="33:276" ht="15" customHeight="1" x14ac:dyDescent="0.3">
      <c r="AG648" s="2"/>
      <c r="JD648" s="15"/>
      <c r="JE648" s="15"/>
      <c r="JF648" s="15"/>
      <c r="JG648" s="15"/>
      <c r="JH648" s="15"/>
      <c r="JI648" s="15"/>
      <c r="JJ648" s="15"/>
      <c r="JK648" s="15"/>
      <c r="JL648" s="15"/>
      <c r="JM648" s="15"/>
      <c r="JN648" s="15"/>
      <c r="JO648" s="15"/>
      <c r="JP648" s="15"/>
    </row>
    <row r="649" spans="33:276" ht="15" customHeight="1" x14ac:dyDescent="0.3">
      <c r="AG649" s="2"/>
      <c r="JD649" s="15"/>
      <c r="JE649" s="15"/>
      <c r="JF649" s="15"/>
      <c r="JG649" s="15"/>
      <c r="JH649" s="15"/>
      <c r="JI649" s="15"/>
      <c r="JJ649" s="15"/>
      <c r="JK649" s="15"/>
      <c r="JL649" s="15"/>
      <c r="JM649" s="15"/>
      <c r="JN649" s="15"/>
      <c r="JO649" s="15"/>
      <c r="JP649" s="15"/>
    </row>
    <row r="650" spans="33:276" ht="15" customHeight="1" x14ac:dyDescent="0.3">
      <c r="AG650" s="2"/>
      <c r="JD650" s="15"/>
      <c r="JE650" s="15"/>
      <c r="JF650" s="15"/>
      <c r="JG650" s="15"/>
      <c r="JH650" s="15"/>
      <c r="JI650" s="15"/>
      <c r="JJ650" s="15"/>
      <c r="JK650" s="15"/>
      <c r="JL650" s="15"/>
      <c r="JM650" s="15"/>
      <c r="JN650" s="15"/>
      <c r="JO650" s="15"/>
      <c r="JP650" s="15"/>
    </row>
    <row r="651" spans="33:276" ht="15" customHeight="1" x14ac:dyDescent="0.3">
      <c r="AG651" s="2"/>
      <c r="JD651" s="15"/>
      <c r="JE651" s="15"/>
      <c r="JF651" s="15"/>
      <c r="JG651" s="15"/>
      <c r="JH651" s="15"/>
      <c r="JI651" s="15"/>
      <c r="JJ651" s="15"/>
      <c r="JK651" s="15"/>
      <c r="JL651" s="15"/>
      <c r="JM651" s="15"/>
      <c r="JN651" s="15"/>
      <c r="JO651" s="15"/>
      <c r="JP651" s="15"/>
    </row>
    <row r="652" spans="33:276" ht="15" customHeight="1" x14ac:dyDescent="0.3">
      <c r="AG652" s="2"/>
      <c r="JD652" s="15"/>
      <c r="JE652" s="15"/>
      <c r="JF652" s="15"/>
      <c r="JG652" s="15"/>
      <c r="JH652" s="15"/>
      <c r="JI652" s="15"/>
      <c r="JJ652" s="15"/>
      <c r="JK652" s="15"/>
      <c r="JL652" s="15"/>
      <c r="JM652" s="15"/>
      <c r="JN652" s="15"/>
      <c r="JO652" s="15"/>
      <c r="JP652" s="15"/>
    </row>
    <row r="653" spans="33:276" ht="15" customHeight="1" x14ac:dyDescent="0.3">
      <c r="AG653" s="2"/>
      <c r="JD653" s="15"/>
      <c r="JE653" s="15"/>
      <c r="JF653" s="15"/>
      <c r="JG653" s="15"/>
      <c r="JH653" s="15"/>
      <c r="JI653" s="15"/>
      <c r="JJ653" s="15"/>
      <c r="JK653" s="15"/>
      <c r="JL653" s="15"/>
      <c r="JM653" s="15"/>
      <c r="JN653" s="15"/>
      <c r="JO653" s="15"/>
      <c r="JP653" s="15"/>
    </row>
    <row r="654" spans="33:276" ht="15" customHeight="1" x14ac:dyDescent="0.3">
      <c r="AG654" s="2"/>
      <c r="JD654" s="15"/>
      <c r="JE654" s="15"/>
      <c r="JF654" s="15"/>
      <c r="JG654" s="15"/>
      <c r="JH654" s="15"/>
      <c r="JI654" s="15"/>
      <c r="JJ654" s="15"/>
      <c r="JK654" s="15"/>
      <c r="JL654" s="15"/>
      <c r="JM654" s="15"/>
      <c r="JN654" s="15"/>
      <c r="JO654" s="15"/>
      <c r="JP654" s="15"/>
    </row>
    <row r="655" spans="33:276" ht="15" customHeight="1" x14ac:dyDescent="0.3">
      <c r="AG655" s="2"/>
      <c r="JD655" s="15"/>
      <c r="JE655" s="15"/>
      <c r="JF655" s="15"/>
      <c r="JG655" s="15"/>
      <c r="JH655" s="15"/>
      <c r="JI655" s="15"/>
      <c r="JJ655" s="15"/>
      <c r="JK655" s="15"/>
      <c r="JL655" s="15"/>
      <c r="JM655" s="15"/>
      <c r="JN655" s="15"/>
      <c r="JO655" s="15"/>
      <c r="JP655" s="15"/>
    </row>
    <row r="656" spans="33:276" ht="15" customHeight="1" x14ac:dyDescent="0.3">
      <c r="AG656" s="2"/>
      <c r="JD656" s="15"/>
      <c r="JE656" s="15"/>
      <c r="JF656" s="15"/>
      <c r="JG656" s="15"/>
      <c r="JH656" s="15"/>
      <c r="JI656" s="15"/>
      <c r="JJ656" s="15"/>
      <c r="JK656" s="15"/>
      <c r="JL656" s="15"/>
      <c r="JM656" s="15"/>
      <c r="JN656" s="15"/>
      <c r="JO656" s="15"/>
      <c r="JP656" s="15"/>
    </row>
    <row r="657" spans="33:276" ht="15" customHeight="1" x14ac:dyDescent="0.3">
      <c r="AG657" s="2"/>
      <c r="JD657" s="15"/>
      <c r="JE657" s="15"/>
      <c r="JF657" s="15"/>
      <c r="JG657" s="15"/>
      <c r="JH657" s="15"/>
      <c r="JI657" s="15"/>
      <c r="JJ657" s="15"/>
      <c r="JK657" s="15"/>
      <c r="JL657" s="15"/>
      <c r="JM657" s="15"/>
      <c r="JN657" s="15"/>
      <c r="JO657" s="15"/>
      <c r="JP657" s="15"/>
    </row>
    <row r="658" spans="33:276" ht="15" customHeight="1" x14ac:dyDescent="0.3">
      <c r="AG658" s="2"/>
      <c r="JD658" s="15"/>
      <c r="JE658" s="15"/>
      <c r="JF658" s="15"/>
      <c r="JG658" s="15"/>
      <c r="JH658" s="15"/>
      <c r="JI658" s="15"/>
      <c r="JJ658" s="15"/>
      <c r="JK658" s="15"/>
      <c r="JL658" s="15"/>
      <c r="JM658" s="15"/>
      <c r="JN658" s="15"/>
      <c r="JO658" s="15"/>
      <c r="JP658" s="15"/>
    </row>
    <row r="659" spans="33:276" ht="15" customHeight="1" x14ac:dyDescent="0.3">
      <c r="AG659" s="2"/>
      <c r="JD659" s="15"/>
      <c r="JE659" s="15"/>
      <c r="JF659" s="15"/>
      <c r="JG659" s="15"/>
      <c r="JH659" s="15"/>
      <c r="JI659" s="15"/>
      <c r="JJ659" s="15"/>
      <c r="JK659" s="15"/>
      <c r="JL659" s="15"/>
      <c r="JM659" s="15"/>
      <c r="JN659" s="15"/>
      <c r="JO659" s="15"/>
      <c r="JP659" s="15"/>
    </row>
    <row r="660" spans="33:276" ht="15" customHeight="1" x14ac:dyDescent="0.3">
      <c r="AG660" s="2"/>
      <c r="JD660" s="15"/>
      <c r="JE660" s="15"/>
      <c r="JF660" s="15"/>
      <c r="JG660" s="15"/>
      <c r="JH660" s="15"/>
      <c r="JI660" s="15"/>
      <c r="JJ660" s="15"/>
      <c r="JK660" s="15"/>
      <c r="JL660" s="15"/>
      <c r="JM660" s="15"/>
      <c r="JN660" s="15"/>
      <c r="JO660" s="15"/>
      <c r="JP660" s="15"/>
    </row>
    <row r="661" spans="33:276" ht="15" customHeight="1" x14ac:dyDescent="0.3">
      <c r="AG661" s="2"/>
      <c r="JD661" s="15"/>
      <c r="JE661" s="15"/>
      <c r="JF661" s="15"/>
      <c r="JG661" s="15"/>
      <c r="JH661" s="15"/>
      <c r="JI661" s="15"/>
      <c r="JJ661" s="15"/>
      <c r="JK661" s="15"/>
      <c r="JL661" s="15"/>
      <c r="JM661" s="15"/>
      <c r="JN661" s="15"/>
      <c r="JO661" s="15"/>
      <c r="JP661" s="15"/>
    </row>
    <row r="662" spans="33:276" ht="15" customHeight="1" x14ac:dyDescent="0.3">
      <c r="AG662" s="2"/>
      <c r="JD662" s="15"/>
      <c r="JE662" s="15"/>
      <c r="JF662" s="15"/>
      <c r="JG662" s="15"/>
      <c r="JH662" s="15"/>
      <c r="JI662" s="15"/>
      <c r="JJ662" s="15"/>
      <c r="JK662" s="15"/>
      <c r="JL662" s="15"/>
      <c r="JM662" s="15"/>
      <c r="JN662" s="15"/>
      <c r="JO662" s="15"/>
      <c r="JP662" s="15"/>
    </row>
    <row r="663" spans="33:276" ht="15" customHeight="1" x14ac:dyDescent="0.3">
      <c r="AG663" s="2"/>
      <c r="JD663" s="15"/>
      <c r="JE663" s="15"/>
      <c r="JF663" s="15"/>
      <c r="JG663" s="15"/>
      <c r="JH663" s="15"/>
      <c r="JI663" s="15"/>
      <c r="JJ663" s="15"/>
      <c r="JK663" s="15"/>
      <c r="JL663" s="15"/>
      <c r="JM663" s="15"/>
      <c r="JN663" s="15"/>
      <c r="JO663" s="15"/>
      <c r="JP663" s="15"/>
    </row>
    <row r="664" spans="33:276" ht="15" customHeight="1" x14ac:dyDescent="0.3">
      <c r="AG664" s="2"/>
      <c r="JD664" s="15"/>
      <c r="JE664" s="15"/>
      <c r="JF664" s="15"/>
      <c r="JG664" s="15"/>
      <c r="JH664" s="15"/>
      <c r="JI664" s="15"/>
      <c r="JJ664" s="15"/>
      <c r="JK664" s="15"/>
      <c r="JL664" s="15"/>
      <c r="JM664" s="15"/>
      <c r="JN664" s="15"/>
      <c r="JO664" s="15"/>
      <c r="JP664" s="15"/>
    </row>
    <row r="665" spans="33:276" ht="15" customHeight="1" x14ac:dyDescent="0.3">
      <c r="AG665" s="2"/>
      <c r="JD665" s="15"/>
      <c r="JE665" s="15"/>
      <c r="JF665" s="15"/>
      <c r="JG665" s="15"/>
      <c r="JH665" s="15"/>
      <c r="JI665" s="15"/>
      <c r="JJ665" s="15"/>
      <c r="JK665" s="15"/>
      <c r="JL665" s="15"/>
      <c r="JM665" s="15"/>
      <c r="JN665" s="15"/>
      <c r="JO665" s="15"/>
      <c r="JP665" s="15"/>
    </row>
    <row r="666" spans="33:276" ht="15" customHeight="1" x14ac:dyDescent="0.3">
      <c r="AG666" s="2"/>
      <c r="JD666" s="15"/>
      <c r="JE666" s="15"/>
      <c r="JF666" s="15"/>
      <c r="JG666" s="15"/>
      <c r="JH666" s="15"/>
      <c r="JI666" s="15"/>
      <c r="JJ666" s="15"/>
      <c r="JK666" s="15"/>
      <c r="JL666" s="15"/>
      <c r="JM666" s="15"/>
      <c r="JN666" s="15"/>
      <c r="JO666" s="15"/>
      <c r="JP666" s="15"/>
    </row>
    <row r="667" spans="33:276" ht="15" customHeight="1" x14ac:dyDescent="0.3">
      <c r="AG667" s="2"/>
      <c r="JD667" s="15"/>
      <c r="JE667" s="15"/>
      <c r="JF667" s="15"/>
      <c r="JG667" s="15"/>
      <c r="JH667" s="15"/>
      <c r="JI667" s="15"/>
      <c r="JJ667" s="15"/>
      <c r="JK667" s="15"/>
      <c r="JL667" s="15"/>
      <c r="JM667" s="15"/>
      <c r="JN667" s="15"/>
      <c r="JO667" s="15"/>
      <c r="JP667" s="15"/>
    </row>
    <row r="668" spans="33:276" ht="15" customHeight="1" x14ac:dyDescent="0.3">
      <c r="AG668" s="2"/>
      <c r="JD668" s="15"/>
      <c r="JE668" s="15"/>
      <c r="JF668" s="15"/>
      <c r="JG668" s="15"/>
      <c r="JH668" s="15"/>
      <c r="JI668" s="15"/>
      <c r="JJ668" s="15"/>
      <c r="JK668" s="15"/>
      <c r="JL668" s="15"/>
      <c r="JM668" s="15"/>
      <c r="JN668" s="15"/>
      <c r="JO668" s="15"/>
      <c r="JP668" s="15"/>
    </row>
    <row r="669" spans="33:276" ht="15" customHeight="1" x14ac:dyDescent="0.3">
      <c r="AG669" s="2"/>
      <c r="JD669" s="15"/>
      <c r="JE669" s="15"/>
      <c r="JF669" s="15"/>
      <c r="JG669" s="15"/>
      <c r="JH669" s="15"/>
      <c r="JI669" s="15"/>
      <c r="JJ669" s="15"/>
      <c r="JK669" s="15"/>
      <c r="JL669" s="15"/>
      <c r="JM669" s="15"/>
      <c r="JN669" s="15"/>
      <c r="JO669" s="15"/>
      <c r="JP669" s="15"/>
    </row>
    <row r="670" spans="33:276" ht="15" customHeight="1" x14ac:dyDescent="0.3">
      <c r="AG670" s="2"/>
      <c r="JD670" s="15"/>
      <c r="JE670" s="15"/>
      <c r="JF670" s="15"/>
      <c r="JG670" s="15"/>
      <c r="JH670" s="15"/>
      <c r="JI670" s="15"/>
      <c r="JJ670" s="15"/>
      <c r="JK670" s="15"/>
      <c r="JL670" s="15"/>
      <c r="JM670" s="15"/>
      <c r="JN670" s="15"/>
      <c r="JO670" s="15"/>
      <c r="JP670" s="15"/>
    </row>
    <row r="671" spans="33:276" ht="15" customHeight="1" x14ac:dyDescent="0.3">
      <c r="AG671" s="2"/>
      <c r="JD671" s="15"/>
      <c r="JE671" s="15"/>
      <c r="JF671" s="15"/>
      <c r="JG671" s="15"/>
      <c r="JH671" s="15"/>
      <c r="JI671" s="15"/>
      <c r="JJ671" s="15"/>
      <c r="JK671" s="15"/>
      <c r="JL671" s="15"/>
      <c r="JM671" s="15"/>
      <c r="JN671" s="15"/>
      <c r="JO671" s="15"/>
      <c r="JP671" s="15"/>
    </row>
    <row r="672" spans="33:276" ht="15" customHeight="1" x14ac:dyDescent="0.3">
      <c r="AG672" s="2"/>
      <c r="JD672" s="15"/>
      <c r="JE672" s="15"/>
      <c r="JF672" s="15"/>
      <c r="JG672" s="15"/>
      <c r="JH672" s="15"/>
      <c r="JI672" s="15"/>
      <c r="JJ672" s="15"/>
      <c r="JK672" s="15"/>
      <c r="JL672" s="15"/>
      <c r="JM672" s="15"/>
      <c r="JN672" s="15"/>
      <c r="JO672" s="15"/>
      <c r="JP672" s="15"/>
    </row>
    <row r="673" spans="33:276" ht="15" customHeight="1" x14ac:dyDescent="0.3">
      <c r="AG673" s="2"/>
      <c r="JD673" s="15"/>
      <c r="JE673" s="15"/>
      <c r="JF673" s="15"/>
      <c r="JG673" s="15"/>
      <c r="JH673" s="15"/>
      <c r="JI673" s="15"/>
      <c r="JJ673" s="15"/>
      <c r="JK673" s="15"/>
      <c r="JL673" s="15"/>
      <c r="JM673" s="15"/>
      <c r="JN673" s="15"/>
      <c r="JO673" s="15"/>
      <c r="JP673" s="15"/>
    </row>
    <row r="674" spans="33:276" ht="15" customHeight="1" x14ac:dyDescent="0.3">
      <c r="AG674" s="2"/>
      <c r="JD674" s="15"/>
      <c r="JE674" s="15"/>
      <c r="JF674" s="15"/>
      <c r="JG674" s="15"/>
      <c r="JH674" s="15"/>
      <c r="JI674" s="15"/>
      <c r="JJ674" s="15"/>
      <c r="JK674" s="15"/>
      <c r="JL674" s="15"/>
      <c r="JM674" s="15"/>
      <c r="JN674" s="15"/>
      <c r="JO674" s="15"/>
      <c r="JP674" s="15"/>
    </row>
    <row r="675" spans="33:276" ht="15" customHeight="1" x14ac:dyDescent="0.3">
      <c r="AG675" s="2"/>
      <c r="JD675" s="15"/>
      <c r="JE675" s="15"/>
      <c r="JF675" s="15"/>
      <c r="JG675" s="15"/>
      <c r="JH675" s="15"/>
      <c r="JI675" s="15"/>
      <c r="JJ675" s="15"/>
      <c r="JK675" s="15"/>
      <c r="JL675" s="15"/>
      <c r="JM675" s="15"/>
      <c r="JN675" s="15"/>
      <c r="JO675" s="15"/>
      <c r="JP675" s="15"/>
    </row>
    <row r="676" spans="33:276" ht="15" customHeight="1" x14ac:dyDescent="0.3">
      <c r="AG676" s="2"/>
      <c r="JD676" s="15"/>
      <c r="JE676" s="15"/>
      <c r="JF676" s="15"/>
      <c r="JG676" s="15"/>
      <c r="JH676" s="15"/>
      <c r="JI676" s="15"/>
      <c r="JJ676" s="15"/>
      <c r="JK676" s="15"/>
      <c r="JL676" s="15"/>
      <c r="JM676" s="15"/>
      <c r="JN676" s="15"/>
      <c r="JO676" s="15"/>
      <c r="JP676" s="15"/>
    </row>
    <row r="677" spans="33:276" ht="15" customHeight="1" x14ac:dyDescent="0.3">
      <c r="AG677" s="2"/>
      <c r="JD677" s="15"/>
      <c r="JE677" s="15"/>
      <c r="JF677" s="15"/>
      <c r="JG677" s="15"/>
      <c r="JH677" s="15"/>
      <c r="JI677" s="15"/>
      <c r="JJ677" s="15"/>
      <c r="JK677" s="15"/>
      <c r="JL677" s="15"/>
      <c r="JM677" s="15"/>
      <c r="JN677" s="15"/>
      <c r="JO677" s="15"/>
      <c r="JP677" s="15"/>
    </row>
    <row r="678" spans="33:276" ht="15" customHeight="1" x14ac:dyDescent="0.3">
      <c r="AG678" s="2"/>
      <c r="JD678" s="15"/>
      <c r="JE678" s="15"/>
      <c r="JF678" s="15"/>
      <c r="JG678" s="15"/>
      <c r="JH678" s="15"/>
      <c r="JI678" s="15"/>
      <c r="JJ678" s="15"/>
      <c r="JK678" s="15"/>
      <c r="JL678" s="15"/>
      <c r="JM678" s="15"/>
      <c r="JN678" s="15"/>
      <c r="JO678" s="15"/>
      <c r="JP678" s="15"/>
    </row>
    <row r="679" spans="33:276" ht="15" customHeight="1" x14ac:dyDescent="0.3">
      <c r="AG679" s="2"/>
      <c r="JD679" s="15"/>
      <c r="JE679" s="15"/>
      <c r="JF679" s="15"/>
      <c r="JG679" s="15"/>
      <c r="JH679" s="15"/>
      <c r="JI679" s="15"/>
      <c r="JJ679" s="15"/>
      <c r="JK679" s="15"/>
      <c r="JL679" s="15"/>
      <c r="JM679" s="15"/>
      <c r="JN679" s="15"/>
      <c r="JO679" s="15"/>
      <c r="JP679" s="15"/>
    </row>
    <row r="680" spans="33:276" ht="15" customHeight="1" x14ac:dyDescent="0.3">
      <c r="AG680" s="2"/>
      <c r="JD680" s="15"/>
      <c r="JE680" s="15"/>
      <c r="JF680" s="15"/>
      <c r="JG680" s="15"/>
      <c r="JH680" s="15"/>
      <c r="JI680" s="15"/>
      <c r="JJ680" s="15"/>
      <c r="JK680" s="15"/>
      <c r="JL680" s="15"/>
      <c r="JM680" s="15"/>
      <c r="JN680" s="15"/>
      <c r="JO680" s="15"/>
      <c r="JP680" s="15"/>
    </row>
    <row r="681" spans="33:276" ht="15" customHeight="1" x14ac:dyDescent="0.3">
      <c r="AG681" s="2"/>
      <c r="JD681" s="15"/>
      <c r="JE681" s="15"/>
      <c r="JF681" s="15"/>
      <c r="JG681" s="15"/>
      <c r="JH681" s="15"/>
      <c r="JI681" s="15"/>
      <c r="JJ681" s="15"/>
      <c r="JK681" s="15"/>
      <c r="JL681" s="15"/>
      <c r="JM681" s="15"/>
      <c r="JN681" s="15"/>
      <c r="JO681" s="15"/>
      <c r="JP681" s="15"/>
    </row>
    <row r="682" spans="33:276" ht="15" customHeight="1" x14ac:dyDescent="0.3">
      <c r="AG682" s="2"/>
      <c r="JD682" s="15"/>
      <c r="JE682" s="15"/>
      <c r="JF682" s="15"/>
      <c r="JG682" s="15"/>
      <c r="JH682" s="15"/>
      <c r="JI682" s="15"/>
      <c r="JJ682" s="15"/>
      <c r="JK682" s="15"/>
      <c r="JL682" s="15"/>
      <c r="JM682" s="15"/>
      <c r="JN682" s="15"/>
      <c r="JO682" s="15"/>
      <c r="JP682" s="15"/>
    </row>
    <row r="683" spans="33:276" ht="15" customHeight="1" x14ac:dyDescent="0.3">
      <c r="AG683" s="2"/>
      <c r="JD683" s="15"/>
      <c r="JE683" s="15"/>
      <c r="JF683" s="15"/>
      <c r="JG683" s="15"/>
      <c r="JH683" s="15"/>
      <c r="JI683" s="15"/>
      <c r="JJ683" s="15"/>
      <c r="JK683" s="15"/>
      <c r="JL683" s="15"/>
      <c r="JM683" s="15"/>
      <c r="JN683" s="15"/>
      <c r="JO683" s="15"/>
      <c r="JP683" s="15"/>
    </row>
    <row r="684" spans="33:276" ht="15" customHeight="1" x14ac:dyDescent="0.3">
      <c r="AG684" s="2"/>
      <c r="JD684" s="15"/>
      <c r="JE684" s="15"/>
      <c r="JF684" s="15"/>
      <c r="JG684" s="15"/>
      <c r="JH684" s="15"/>
      <c r="JI684" s="15"/>
      <c r="JJ684" s="15"/>
      <c r="JK684" s="15"/>
      <c r="JL684" s="15"/>
      <c r="JM684" s="15"/>
      <c r="JN684" s="15"/>
      <c r="JO684" s="15"/>
      <c r="JP684" s="15"/>
    </row>
    <row r="685" spans="33:276" ht="15" customHeight="1" x14ac:dyDescent="0.3">
      <c r="AG685" s="2"/>
      <c r="JD685" s="15"/>
      <c r="JE685" s="15"/>
      <c r="JF685" s="15"/>
      <c r="JG685" s="15"/>
      <c r="JH685" s="15"/>
      <c r="JI685" s="15"/>
      <c r="JJ685" s="15"/>
      <c r="JK685" s="15"/>
      <c r="JL685" s="15"/>
      <c r="JM685" s="15"/>
      <c r="JN685" s="15"/>
      <c r="JO685" s="15"/>
      <c r="JP685" s="15"/>
    </row>
    <row r="686" spans="33:276" ht="15" customHeight="1" x14ac:dyDescent="0.3">
      <c r="AG686" s="2"/>
      <c r="JD686" s="15"/>
      <c r="JE686" s="15"/>
      <c r="JF686" s="15"/>
      <c r="JG686" s="15"/>
      <c r="JH686" s="15"/>
      <c r="JI686" s="15"/>
      <c r="JJ686" s="15"/>
      <c r="JK686" s="15"/>
      <c r="JL686" s="15"/>
      <c r="JM686" s="15"/>
      <c r="JN686" s="15"/>
      <c r="JO686" s="15"/>
      <c r="JP686" s="15"/>
    </row>
    <row r="687" spans="33:276" ht="15" customHeight="1" x14ac:dyDescent="0.3">
      <c r="AG687" s="2"/>
      <c r="JD687" s="15"/>
      <c r="JE687" s="15"/>
      <c r="JF687" s="15"/>
      <c r="JG687" s="15"/>
      <c r="JH687" s="15"/>
      <c r="JI687" s="15"/>
      <c r="JJ687" s="15"/>
      <c r="JK687" s="15"/>
      <c r="JL687" s="15"/>
      <c r="JM687" s="15"/>
      <c r="JN687" s="15"/>
      <c r="JO687" s="15"/>
      <c r="JP687" s="15"/>
    </row>
    <row r="688" spans="33:276" ht="15" customHeight="1" x14ac:dyDescent="0.3">
      <c r="AG688" s="2"/>
      <c r="JD688" s="15"/>
      <c r="JE688" s="15"/>
      <c r="JF688" s="15"/>
      <c r="JG688" s="15"/>
      <c r="JH688" s="15"/>
      <c r="JI688" s="15"/>
      <c r="JJ688" s="15"/>
      <c r="JK688" s="15"/>
      <c r="JL688" s="15"/>
      <c r="JM688" s="15"/>
      <c r="JN688" s="15"/>
      <c r="JO688" s="15"/>
      <c r="JP688" s="15"/>
    </row>
    <row r="689" spans="33:276" ht="15" customHeight="1" x14ac:dyDescent="0.3">
      <c r="AG689" s="2"/>
      <c r="JD689" s="15"/>
      <c r="JE689" s="15"/>
      <c r="JF689" s="15"/>
      <c r="JG689" s="15"/>
      <c r="JH689" s="15"/>
      <c r="JI689" s="15"/>
      <c r="JJ689" s="15"/>
      <c r="JK689" s="15"/>
      <c r="JL689" s="15"/>
      <c r="JM689" s="15"/>
      <c r="JN689" s="15"/>
      <c r="JO689" s="15"/>
      <c r="JP689" s="15"/>
    </row>
    <row r="690" spans="33:276" ht="15" customHeight="1" x14ac:dyDescent="0.3">
      <c r="AG690" s="2"/>
      <c r="JD690" s="15"/>
      <c r="JE690" s="15"/>
      <c r="JF690" s="15"/>
      <c r="JG690" s="15"/>
      <c r="JH690" s="15"/>
      <c r="JI690" s="15"/>
      <c r="JJ690" s="15"/>
      <c r="JK690" s="15"/>
      <c r="JL690" s="15"/>
      <c r="JM690" s="15"/>
      <c r="JN690" s="15"/>
      <c r="JO690" s="15"/>
      <c r="JP690" s="15"/>
    </row>
    <row r="691" spans="33:276" ht="15" customHeight="1" x14ac:dyDescent="0.3">
      <c r="AG691" s="2"/>
      <c r="JD691" s="15"/>
      <c r="JE691" s="15"/>
      <c r="JF691" s="15"/>
      <c r="JG691" s="15"/>
      <c r="JH691" s="15"/>
      <c r="JI691" s="15"/>
      <c r="JJ691" s="15"/>
      <c r="JK691" s="15"/>
      <c r="JL691" s="15"/>
      <c r="JM691" s="15"/>
      <c r="JN691" s="15"/>
      <c r="JO691" s="15"/>
      <c r="JP691" s="15"/>
    </row>
    <row r="692" spans="33:276" ht="15" customHeight="1" x14ac:dyDescent="0.3">
      <c r="AG692" s="2"/>
      <c r="JD692" s="15"/>
      <c r="JE692" s="15"/>
      <c r="JF692" s="15"/>
      <c r="JG692" s="15"/>
      <c r="JH692" s="15"/>
      <c r="JI692" s="15"/>
      <c r="JJ692" s="15"/>
      <c r="JK692" s="15"/>
      <c r="JL692" s="15"/>
      <c r="JM692" s="15"/>
      <c r="JN692" s="15"/>
      <c r="JO692" s="15"/>
      <c r="JP692" s="15"/>
    </row>
    <row r="693" spans="33:276" ht="15" customHeight="1" x14ac:dyDescent="0.3">
      <c r="AG693" s="2"/>
      <c r="JD693" s="15"/>
      <c r="JE693" s="15"/>
      <c r="JF693" s="15"/>
      <c r="JG693" s="15"/>
      <c r="JH693" s="15"/>
      <c r="JI693" s="15"/>
      <c r="JJ693" s="15"/>
      <c r="JK693" s="15"/>
      <c r="JL693" s="15"/>
      <c r="JM693" s="15"/>
      <c r="JN693" s="15"/>
      <c r="JO693" s="15"/>
      <c r="JP693" s="15"/>
    </row>
    <row r="694" spans="33:276" ht="15" customHeight="1" x14ac:dyDescent="0.3">
      <c r="AG694" s="2"/>
      <c r="JD694" s="15"/>
      <c r="JE694" s="15"/>
      <c r="JF694" s="15"/>
      <c r="JG694" s="15"/>
      <c r="JH694" s="15"/>
      <c r="JI694" s="15"/>
      <c r="JJ694" s="15"/>
      <c r="JK694" s="15"/>
      <c r="JL694" s="15"/>
      <c r="JM694" s="15"/>
      <c r="JN694" s="15"/>
      <c r="JO694" s="15"/>
      <c r="JP694" s="15"/>
    </row>
    <row r="695" spans="33:276" ht="15" customHeight="1" x14ac:dyDescent="0.3">
      <c r="AG695" s="2"/>
      <c r="JD695" s="15"/>
      <c r="JE695" s="15"/>
      <c r="JF695" s="15"/>
      <c r="JG695" s="15"/>
      <c r="JH695" s="15"/>
      <c r="JI695" s="15"/>
      <c r="JJ695" s="15"/>
      <c r="JK695" s="15"/>
      <c r="JL695" s="15"/>
      <c r="JM695" s="15"/>
      <c r="JN695" s="15"/>
      <c r="JO695" s="15"/>
      <c r="JP695" s="15"/>
    </row>
    <row r="696" spans="33:276" ht="15" customHeight="1" x14ac:dyDescent="0.3">
      <c r="AG696" s="2"/>
      <c r="JD696" s="15"/>
      <c r="JE696" s="15"/>
      <c r="JF696" s="15"/>
      <c r="JG696" s="15"/>
      <c r="JH696" s="15"/>
      <c r="JI696" s="15"/>
      <c r="JJ696" s="15"/>
      <c r="JK696" s="15"/>
      <c r="JL696" s="15"/>
      <c r="JM696" s="15"/>
      <c r="JN696" s="15"/>
      <c r="JO696" s="15"/>
      <c r="JP696" s="15"/>
    </row>
    <row r="697" spans="33:276" ht="15" customHeight="1" x14ac:dyDescent="0.3">
      <c r="AG697" s="2"/>
      <c r="JD697" s="15"/>
      <c r="JE697" s="15"/>
      <c r="JF697" s="15"/>
      <c r="JG697" s="15"/>
      <c r="JH697" s="15"/>
      <c r="JI697" s="15"/>
      <c r="JJ697" s="15"/>
      <c r="JK697" s="15"/>
      <c r="JL697" s="15"/>
      <c r="JM697" s="15"/>
      <c r="JN697" s="15"/>
      <c r="JO697" s="15"/>
      <c r="JP697" s="15"/>
    </row>
    <row r="698" spans="33:276" ht="15" customHeight="1" x14ac:dyDescent="0.3">
      <c r="AG698" s="2"/>
      <c r="JD698" s="15"/>
      <c r="JE698" s="15"/>
      <c r="JF698" s="15"/>
      <c r="JG698" s="15"/>
      <c r="JH698" s="15"/>
      <c r="JI698" s="15"/>
      <c r="JJ698" s="15"/>
      <c r="JK698" s="15"/>
      <c r="JL698" s="15"/>
      <c r="JM698" s="15"/>
      <c r="JN698" s="15"/>
      <c r="JO698" s="15"/>
      <c r="JP698" s="15"/>
    </row>
    <row r="699" spans="33:276" ht="15" customHeight="1" x14ac:dyDescent="0.3">
      <c r="AG699" s="2"/>
      <c r="JD699" s="15"/>
      <c r="JE699" s="15"/>
      <c r="JF699" s="15"/>
      <c r="JG699" s="15"/>
      <c r="JH699" s="15"/>
      <c r="JI699" s="15"/>
      <c r="JJ699" s="15"/>
      <c r="JK699" s="15"/>
      <c r="JL699" s="15"/>
      <c r="JM699" s="15"/>
      <c r="JN699" s="15"/>
      <c r="JO699" s="15"/>
      <c r="JP699" s="15"/>
    </row>
    <row r="700" spans="33:276" ht="15" customHeight="1" x14ac:dyDescent="0.3">
      <c r="AG700" s="2"/>
      <c r="JD700" s="15"/>
      <c r="JE700" s="15"/>
      <c r="JF700" s="15"/>
      <c r="JG700" s="15"/>
      <c r="JH700" s="15"/>
      <c r="JI700" s="15"/>
      <c r="JJ700" s="15"/>
      <c r="JK700" s="15"/>
      <c r="JL700" s="15"/>
      <c r="JM700" s="15"/>
      <c r="JN700" s="15"/>
      <c r="JO700" s="15"/>
      <c r="JP700" s="15"/>
    </row>
    <row r="701" spans="33:276" ht="15" customHeight="1" x14ac:dyDescent="0.3">
      <c r="AG701" s="2"/>
      <c r="JD701" s="15"/>
      <c r="JE701" s="15"/>
      <c r="JF701" s="15"/>
      <c r="JG701" s="15"/>
      <c r="JH701" s="15"/>
      <c r="JI701" s="15"/>
      <c r="JJ701" s="15"/>
      <c r="JK701" s="15"/>
      <c r="JL701" s="15"/>
      <c r="JM701" s="15"/>
      <c r="JN701" s="15"/>
      <c r="JO701" s="15"/>
      <c r="JP701" s="15"/>
    </row>
    <row r="702" spans="33:276" ht="15" customHeight="1" x14ac:dyDescent="0.3">
      <c r="AG702" s="2"/>
      <c r="JD702" s="15"/>
      <c r="JE702" s="15"/>
      <c r="JF702" s="15"/>
      <c r="JG702" s="15"/>
      <c r="JH702" s="15"/>
      <c r="JI702" s="15"/>
      <c r="JJ702" s="15"/>
      <c r="JK702" s="15"/>
      <c r="JL702" s="15"/>
      <c r="JM702" s="15"/>
      <c r="JN702" s="15"/>
      <c r="JO702" s="15"/>
      <c r="JP702" s="15"/>
    </row>
    <row r="703" spans="33:276" ht="15" customHeight="1" x14ac:dyDescent="0.3">
      <c r="AG703" s="2"/>
      <c r="JD703" s="15"/>
      <c r="JE703" s="15"/>
      <c r="JF703" s="15"/>
      <c r="JG703" s="15"/>
      <c r="JH703" s="15"/>
      <c r="JI703" s="15"/>
      <c r="JJ703" s="15"/>
      <c r="JK703" s="15"/>
      <c r="JL703" s="15"/>
      <c r="JM703" s="15"/>
      <c r="JN703" s="15"/>
      <c r="JO703" s="15"/>
      <c r="JP703" s="15"/>
    </row>
    <row r="704" spans="33:276" ht="15" customHeight="1" x14ac:dyDescent="0.3">
      <c r="AG704" s="2"/>
      <c r="JD704" s="15"/>
      <c r="JE704" s="15"/>
      <c r="JF704" s="15"/>
      <c r="JG704" s="15"/>
      <c r="JH704" s="15"/>
      <c r="JI704" s="15"/>
      <c r="JJ704" s="15"/>
      <c r="JK704" s="15"/>
      <c r="JL704" s="15"/>
      <c r="JM704" s="15"/>
      <c r="JN704" s="15"/>
      <c r="JO704" s="15"/>
      <c r="JP704" s="15"/>
    </row>
    <row r="705" spans="33:276" ht="15" customHeight="1" x14ac:dyDescent="0.3">
      <c r="AG705" s="2"/>
      <c r="JD705" s="15"/>
      <c r="JE705" s="15"/>
      <c r="JF705" s="15"/>
      <c r="JG705" s="15"/>
      <c r="JH705" s="15"/>
      <c r="JI705" s="15"/>
      <c r="JJ705" s="15"/>
      <c r="JK705" s="15"/>
      <c r="JL705" s="15"/>
      <c r="JM705" s="15"/>
      <c r="JN705" s="15"/>
      <c r="JO705" s="15"/>
      <c r="JP705" s="15"/>
    </row>
    <row r="706" spans="33:276" ht="15" customHeight="1" x14ac:dyDescent="0.3">
      <c r="AG706" s="2"/>
      <c r="JD706" s="15"/>
      <c r="JE706" s="15"/>
      <c r="JF706" s="15"/>
      <c r="JG706" s="15"/>
      <c r="JH706" s="15"/>
      <c r="JI706" s="15"/>
      <c r="JJ706" s="15"/>
      <c r="JK706" s="15"/>
      <c r="JL706" s="15"/>
      <c r="JM706" s="15"/>
      <c r="JN706" s="15"/>
      <c r="JO706" s="15"/>
      <c r="JP706" s="15"/>
    </row>
    <row r="707" spans="33:276" ht="15" customHeight="1" x14ac:dyDescent="0.3">
      <c r="AG707" s="2"/>
      <c r="JD707" s="15"/>
      <c r="JE707" s="15"/>
      <c r="JF707" s="15"/>
      <c r="JG707" s="15"/>
      <c r="JH707" s="15"/>
      <c r="JI707" s="15"/>
      <c r="JJ707" s="15"/>
      <c r="JK707" s="15"/>
      <c r="JL707" s="15"/>
      <c r="JM707" s="15"/>
      <c r="JN707" s="15"/>
      <c r="JO707" s="15"/>
      <c r="JP707" s="15"/>
    </row>
    <row r="708" spans="33:276" ht="15" customHeight="1" x14ac:dyDescent="0.3">
      <c r="AG708" s="2"/>
      <c r="JD708" s="15"/>
      <c r="JE708" s="15"/>
      <c r="JF708" s="15"/>
      <c r="JG708" s="15"/>
      <c r="JH708" s="15"/>
      <c r="JI708" s="15"/>
      <c r="JJ708" s="15"/>
      <c r="JK708" s="15"/>
      <c r="JL708" s="15"/>
      <c r="JM708" s="15"/>
      <c r="JN708" s="15"/>
      <c r="JO708" s="15"/>
      <c r="JP708" s="15"/>
    </row>
    <row r="709" spans="33:276" ht="15" customHeight="1" x14ac:dyDescent="0.3">
      <c r="AG709" s="2"/>
      <c r="JD709" s="15"/>
      <c r="JE709" s="15"/>
      <c r="JF709" s="15"/>
      <c r="JG709" s="15"/>
      <c r="JH709" s="15"/>
      <c r="JI709" s="15"/>
      <c r="JJ709" s="15"/>
      <c r="JK709" s="15"/>
      <c r="JL709" s="15"/>
      <c r="JM709" s="15"/>
      <c r="JN709" s="15"/>
      <c r="JO709" s="15"/>
      <c r="JP709" s="15"/>
    </row>
    <row r="710" spans="33:276" ht="15" customHeight="1" x14ac:dyDescent="0.3">
      <c r="AG710" s="2"/>
      <c r="JD710" s="15"/>
      <c r="JE710" s="15"/>
      <c r="JF710" s="15"/>
      <c r="JG710" s="15"/>
      <c r="JH710" s="15"/>
      <c r="JI710" s="15"/>
      <c r="JJ710" s="15"/>
      <c r="JK710" s="15"/>
      <c r="JL710" s="15"/>
      <c r="JM710" s="15"/>
      <c r="JN710" s="15"/>
      <c r="JO710" s="15"/>
      <c r="JP710" s="15"/>
    </row>
    <row r="711" spans="33:276" ht="15" customHeight="1" x14ac:dyDescent="0.3">
      <c r="AG711" s="2"/>
      <c r="JD711" s="15"/>
      <c r="JE711" s="15"/>
      <c r="JF711" s="15"/>
      <c r="JG711" s="15"/>
      <c r="JH711" s="15"/>
      <c r="JI711" s="15"/>
      <c r="JJ711" s="15"/>
      <c r="JK711" s="15"/>
      <c r="JL711" s="15"/>
      <c r="JM711" s="15"/>
      <c r="JN711" s="15"/>
      <c r="JO711" s="15"/>
      <c r="JP711" s="15"/>
    </row>
    <row r="712" spans="33:276" ht="15" customHeight="1" x14ac:dyDescent="0.3">
      <c r="AG712" s="2"/>
      <c r="JD712" s="15"/>
      <c r="JE712" s="15"/>
      <c r="JF712" s="15"/>
      <c r="JG712" s="15"/>
      <c r="JH712" s="15"/>
      <c r="JI712" s="15"/>
      <c r="JJ712" s="15"/>
      <c r="JK712" s="15"/>
      <c r="JL712" s="15"/>
      <c r="JM712" s="15"/>
      <c r="JN712" s="15"/>
      <c r="JO712" s="15"/>
      <c r="JP712" s="15"/>
    </row>
    <row r="713" spans="33:276" ht="15" customHeight="1" x14ac:dyDescent="0.3">
      <c r="AG713" s="2"/>
      <c r="JD713" s="15"/>
      <c r="JE713" s="15"/>
      <c r="JF713" s="15"/>
      <c r="JG713" s="15"/>
      <c r="JH713" s="15"/>
      <c r="JI713" s="15"/>
      <c r="JJ713" s="15"/>
      <c r="JK713" s="15"/>
      <c r="JL713" s="15"/>
      <c r="JM713" s="15"/>
      <c r="JN713" s="15"/>
      <c r="JO713" s="15"/>
      <c r="JP713" s="15"/>
    </row>
    <row r="714" spans="33:276" ht="15" customHeight="1" x14ac:dyDescent="0.3">
      <c r="AG714" s="2"/>
      <c r="JD714" s="15"/>
      <c r="JE714" s="15"/>
      <c r="JF714" s="15"/>
      <c r="JG714" s="15"/>
      <c r="JH714" s="15"/>
      <c r="JI714" s="15"/>
      <c r="JJ714" s="15"/>
      <c r="JK714" s="15"/>
      <c r="JL714" s="15"/>
      <c r="JM714" s="15"/>
      <c r="JN714" s="15"/>
      <c r="JO714" s="15"/>
      <c r="JP714" s="15"/>
    </row>
    <row r="715" spans="33:276" ht="15" customHeight="1" x14ac:dyDescent="0.3">
      <c r="AG715" s="2"/>
      <c r="JD715" s="15"/>
      <c r="JE715" s="15"/>
      <c r="JF715" s="15"/>
      <c r="JG715" s="15"/>
      <c r="JH715" s="15"/>
      <c r="JI715" s="15"/>
      <c r="JJ715" s="15"/>
      <c r="JK715" s="15"/>
      <c r="JL715" s="15"/>
      <c r="JM715" s="15"/>
      <c r="JN715" s="15"/>
      <c r="JO715" s="15"/>
      <c r="JP715" s="15"/>
    </row>
    <row r="716" spans="33:276" ht="15" customHeight="1" x14ac:dyDescent="0.3">
      <c r="AG716" s="2"/>
      <c r="JD716" s="15"/>
      <c r="JE716" s="15"/>
      <c r="JF716" s="15"/>
      <c r="JG716" s="15"/>
      <c r="JH716" s="15"/>
      <c r="JI716" s="15"/>
      <c r="JJ716" s="15"/>
      <c r="JK716" s="15"/>
      <c r="JL716" s="15"/>
      <c r="JM716" s="15"/>
      <c r="JN716" s="15"/>
      <c r="JO716" s="15"/>
      <c r="JP716" s="15"/>
    </row>
    <row r="717" spans="33:276" ht="15" customHeight="1" x14ac:dyDescent="0.3">
      <c r="AG717" s="2"/>
      <c r="JD717" s="15"/>
      <c r="JE717" s="15"/>
      <c r="JF717" s="15"/>
      <c r="JG717" s="15"/>
      <c r="JH717" s="15"/>
      <c r="JI717" s="15"/>
      <c r="JJ717" s="15"/>
      <c r="JK717" s="15"/>
      <c r="JL717" s="15"/>
      <c r="JM717" s="15"/>
      <c r="JN717" s="15"/>
      <c r="JO717" s="15"/>
      <c r="JP717" s="15"/>
    </row>
    <row r="718" spans="33:276" ht="15" customHeight="1" x14ac:dyDescent="0.3">
      <c r="AG718" s="2"/>
      <c r="JD718" s="15"/>
      <c r="JE718" s="15"/>
      <c r="JF718" s="15"/>
      <c r="JG718" s="15"/>
      <c r="JH718" s="15"/>
      <c r="JI718" s="15"/>
      <c r="JJ718" s="15"/>
      <c r="JK718" s="15"/>
      <c r="JL718" s="15"/>
      <c r="JM718" s="15"/>
      <c r="JN718" s="15"/>
      <c r="JO718" s="15"/>
      <c r="JP718" s="15"/>
    </row>
    <row r="719" spans="33:276" ht="15" customHeight="1" x14ac:dyDescent="0.3">
      <c r="AG719" s="2"/>
      <c r="JD719" s="15"/>
      <c r="JE719" s="15"/>
      <c r="JF719" s="15"/>
      <c r="JG719" s="15"/>
      <c r="JH719" s="15"/>
      <c r="JI719" s="15"/>
      <c r="JJ719" s="15"/>
      <c r="JK719" s="15"/>
      <c r="JL719" s="15"/>
      <c r="JM719" s="15"/>
      <c r="JN719" s="15"/>
      <c r="JO719" s="15"/>
      <c r="JP719" s="15"/>
    </row>
    <row r="720" spans="33:276" ht="15" customHeight="1" x14ac:dyDescent="0.3">
      <c r="AG720" s="2"/>
      <c r="JD720" s="15"/>
      <c r="JE720" s="15"/>
      <c r="JF720" s="15"/>
      <c r="JG720" s="15"/>
      <c r="JH720" s="15"/>
      <c r="JI720" s="15"/>
      <c r="JJ720" s="15"/>
      <c r="JK720" s="15"/>
      <c r="JL720" s="15"/>
      <c r="JM720" s="15"/>
      <c r="JN720" s="15"/>
      <c r="JO720" s="15"/>
      <c r="JP720" s="15"/>
    </row>
    <row r="721" spans="33:276" ht="15" customHeight="1" x14ac:dyDescent="0.3">
      <c r="AG721" s="2"/>
      <c r="JD721" s="15"/>
      <c r="JE721" s="15"/>
      <c r="JF721" s="15"/>
      <c r="JG721" s="15"/>
      <c r="JH721" s="15"/>
      <c r="JI721" s="15"/>
      <c r="JJ721" s="15"/>
      <c r="JK721" s="15"/>
      <c r="JL721" s="15"/>
      <c r="JM721" s="15"/>
      <c r="JN721" s="15"/>
      <c r="JO721" s="15"/>
      <c r="JP721" s="15"/>
    </row>
    <row r="722" spans="33:276" ht="15" customHeight="1" x14ac:dyDescent="0.3">
      <c r="AG722" s="2"/>
      <c r="JD722" s="15"/>
      <c r="JE722" s="15"/>
      <c r="JF722" s="15"/>
      <c r="JG722" s="15"/>
      <c r="JH722" s="15"/>
      <c r="JI722" s="15"/>
      <c r="JJ722" s="15"/>
      <c r="JK722" s="15"/>
      <c r="JL722" s="15"/>
      <c r="JM722" s="15"/>
      <c r="JN722" s="15"/>
      <c r="JO722" s="15"/>
      <c r="JP722" s="15"/>
    </row>
    <row r="723" spans="33:276" ht="15" customHeight="1" x14ac:dyDescent="0.3">
      <c r="AG723" s="2"/>
      <c r="JD723" s="15"/>
      <c r="JE723" s="15"/>
      <c r="JF723" s="15"/>
      <c r="JG723" s="15"/>
      <c r="JH723" s="15"/>
      <c r="JI723" s="15"/>
      <c r="JJ723" s="15"/>
      <c r="JK723" s="15"/>
      <c r="JL723" s="15"/>
      <c r="JM723" s="15"/>
      <c r="JN723" s="15"/>
      <c r="JO723" s="15"/>
      <c r="JP723" s="15"/>
    </row>
    <row r="724" spans="33:276" ht="15" customHeight="1" x14ac:dyDescent="0.3">
      <c r="AG724" s="2"/>
      <c r="JD724" s="15"/>
      <c r="JE724" s="15"/>
      <c r="JF724" s="15"/>
      <c r="JG724" s="15"/>
      <c r="JH724" s="15"/>
      <c r="JI724" s="15"/>
      <c r="JJ724" s="15"/>
      <c r="JK724" s="15"/>
      <c r="JL724" s="15"/>
      <c r="JM724" s="15"/>
      <c r="JN724" s="15"/>
      <c r="JO724" s="15"/>
      <c r="JP724" s="15"/>
    </row>
    <row r="725" spans="33:276" ht="15" customHeight="1" x14ac:dyDescent="0.3">
      <c r="AG725" s="2"/>
      <c r="JD725" s="15"/>
      <c r="JE725" s="15"/>
      <c r="JF725" s="15"/>
      <c r="JG725" s="15"/>
      <c r="JH725" s="15"/>
      <c r="JI725" s="15"/>
      <c r="JJ725" s="15"/>
      <c r="JK725" s="15"/>
      <c r="JL725" s="15"/>
      <c r="JM725" s="15"/>
      <c r="JN725" s="15"/>
      <c r="JO725" s="15"/>
      <c r="JP725" s="15"/>
    </row>
    <row r="726" spans="33:276" ht="15" customHeight="1" x14ac:dyDescent="0.3">
      <c r="AG726" s="2"/>
      <c r="JD726" s="15"/>
      <c r="JE726" s="15"/>
      <c r="JF726" s="15"/>
      <c r="JG726" s="15"/>
      <c r="JH726" s="15"/>
      <c r="JI726" s="15"/>
      <c r="JJ726" s="15"/>
      <c r="JK726" s="15"/>
      <c r="JL726" s="15"/>
      <c r="JM726" s="15"/>
      <c r="JN726" s="15"/>
      <c r="JO726" s="15"/>
      <c r="JP726" s="15"/>
    </row>
    <row r="727" spans="33:276" ht="15" customHeight="1" x14ac:dyDescent="0.3">
      <c r="AG727" s="2"/>
      <c r="JD727" s="15"/>
      <c r="JE727" s="15"/>
      <c r="JF727" s="15"/>
      <c r="JG727" s="15"/>
      <c r="JH727" s="15"/>
      <c r="JI727" s="15"/>
      <c r="JJ727" s="15"/>
      <c r="JK727" s="15"/>
      <c r="JL727" s="15"/>
      <c r="JM727" s="15"/>
      <c r="JN727" s="15"/>
      <c r="JO727" s="15"/>
      <c r="JP727" s="15"/>
    </row>
    <row r="728" spans="33:276" ht="15" customHeight="1" x14ac:dyDescent="0.3">
      <c r="AG728" s="2"/>
      <c r="JD728" s="15"/>
      <c r="JE728" s="15"/>
      <c r="JF728" s="15"/>
      <c r="JG728" s="15"/>
      <c r="JH728" s="15"/>
      <c r="JI728" s="15"/>
      <c r="JJ728" s="15"/>
      <c r="JK728" s="15"/>
      <c r="JL728" s="15"/>
      <c r="JM728" s="15"/>
      <c r="JN728" s="15"/>
      <c r="JO728" s="15"/>
      <c r="JP728" s="15"/>
    </row>
    <row r="729" spans="33:276" ht="15" customHeight="1" x14ac:dyDescent="0.3">
      <c r="AG729" s="2"/>
      <c r="JD729" s="15"/>
      <c r="JE729" s="15"/>
      <c r="JF729" s="15"/>
      <c r="JG729" s="15"/>
      <c r="JH729" s="15"/>
      <c r="JI729" s="15"/>
      <c r="JJ729" s="15"/>
      <c r="JK729" s="15"/>
      <c r="JL729" s="15"/>
      <c r="JM729" s="15"/>
      <c r="JN729" s="15"/>
      <c r="JO729" s="15"/>
      <c r="JP729" s="15"/>
    </row>
    <row r="730" spans="33:276" ht="15" customHeight="1" x14ac:dyDescent="0.3">
      <c r="AG730" s="2"/>
      <c r="JD730" s="15"/>
      <c r="JE730" s="15"/>
      <c r="JF730" s="15"/>
      <c r="JG730" s="15"/>
      <c r="JH730" s="15"/>
      <c r="JI730" s="15"/>
      <c r="JJ730" s="15"/>
      <c r="JK730" s="15"/>
      <c r="JL730" s="15"/>
      <c r="JM730" s="15"/>
      <c r="JN730" s="15"/>
      <c r="JO730" s="15"/>
      <c r="JP730" s="15"/>
    </row>
    <row r="731" spans="33:276" ht="15" customHeight="1" x14ac:dyDescent="0.3">
      <c r="AG731" s="2"/>
      <c r="JD731" s="15"/>
      <c r="JE731" s="15"/>
      <c r="JF731" s="15"/>
      <c r="JG731" s="15"/>
      <c r="JH731" s="15"/>
      <c r="JI731" s="15"/>
      <c r="JJ731" s="15"/>
      <c r="JK731" s="15"/>
      <c r="JL731" s="15"/>
      <c r="JM731" s="15"/>
      <c r="JN731" s="15"/>
      <c r="JO731" s="15"/>
      <c r="JP731" s="15"/>
    </row>
    <row r="732" spans="33:276" ht="15" customHeight="1" x14ac:dyDescent="0.3">
      <c r="AG732" s="2"/>
      <c r="JD732" s="15"/>
      <c r="JE732" s="15"/>
      <c r="JF732" s="15"/>
      <c r="JG732" s="15"/>
      <c r="JH732" s="15"/>
      <c r="JI732" s="15"/>
      <c r="JJ732" s="15"/>
      <c r="JK732" s="15"/>
      <c r="JL732" s="15"/>
      <c r="JM732" s="15"/>
      <c r="JN732" s="15"/>
      <c r="JO732" s="15"/>
      <c r="JP732" s="15"/>
    </row>
    <row r="733" spans="33:276" ht="15" customHeight="1" x14ac:dyDescent="0.3">
      <c r="AG733" s="2"/>
      <c r="JD733" s="15"/>
      <c r="JE733" s="15"/>
      <c r="JF733" s="15"/>
      <c r="JG733" s="15"/>
      <c r="JH733" s="15"/>
      <c r="JI733" s="15"/>
      <c r="JJ733" s="15"/>
      <c r="JK733" s="15"/>
      <c r="JL733" s="15"/>
      <c r="JM733" s="15"/>
      <c r="JN733" s="15"/>
      <c r="JO733" s="15"/>
      <c r="JP733" s="15"/>
    </row>
    <row r="734" spans="33:276" ht="15" customHeight="1" x14ac:dyDescent="0.3">
      <c r="AG734" s="2"/>
      <c r="JD734" s="15"/>
      <c r="JE734" s="15"/>
      <c r="JF734" s="15"/>
      <c r="JG734" s="15"/>
      <c r="JH734" s="15"/>
      <c r="JI734" s="15"/>
      <c r="JJ734" s="15"/>
      <c r="JK734" s="15"/>
      <c r="JL734" s="15"/>
      <c r="JM734" s="15"/>
      <c r="JN734" s="15"/>
      <c r="JO734" s="15"/>
      <c r="JP734" s="15"/>
    </row>
    <row r="735" spans="33:276" ht="15" customHeight="1" x14ac:dyDescent="0.3">
      <c r="AG735" s="2"/>
      <c r="JD735" s="15"/>
      <c r="JE735" s="15"/>
      <c r="JF735" s="15"/>
      <c r="JG735" s="15"/>
      <c r="JH735" s="15"/>
      <c r="JI735" s="15"/>
      <c r="JJ735" s="15"/>
      <c r="JK735" s="15"/>
      <c r="JL735" s="15"/>
      <c r="JM735" s="15"/>
      <c r="JN735" s="15"/>
      <c r="JO735" s="15"/>
      <c r="JP735" s="15"/>
    </row>
    <row r="736" spans="33:276" ht="15" customHeight="1" x14ac:dyDescent="0.3">
      <c r="AG736" s="2"/>
      <c r="JD736" s="15"/>
      <c r="JE736" s="15"/>
      <c r="JF736" s="15"/>
      <c r="JG736" s="15"/>
      <c r="JH736" s="15"/>
      <c r="JI736" s="15"/>
      <c r="JJ736" s="15"/>
      <c r="JK736" s="15"/>
      <c r="JL736" s="15"/>
      <c r="JM736" s="15"/>
      <c r="JN736" s="15"/>
      <c r="JO736" s="15"/>
      <c r="JP736" s="15"/>
    </row>
    <row r="737" spans="33:276" ht="15" customHeight="1" x14ac:dyDescent="0.3">
      <c r="AG737" s="2"/>
      <c r="JD737" s="15"/>
      <c r="JE737" s="15"/>
      <c r="JF737" s="15"/>
      <c r="JG737" s="15"/>
      <c r="JH737" s="15"/>
      <c r="JI737" s="15"/>
      <c r="JJ737" s="15"/>
      <c r="JK737" s="15"/>
      <c r="JL737" s="15"/>
      <c r="JM737" s="15"/>
      <c r="JN737" s="15"/>
      <c r="JO737" s="15"/>
      <c r="JP737" s="15"/>
    </row>
    <row r="738" spans="33:276" ht="15" customHeight="1" x14ac:dyDescent="0.3">
      <c r="AG738" s="2"/>
      <c r="JD738" s="15"/>
      <c r="JE738" s="15"/>
      <c r="JF738" s="15"/>
      <c r="JG738" s="15"/>
      <c r="JH738" s="15"/>
      <c r="JI738" s="15"/>
      <c r="JJ738" s="15"/>
      <c r="JK738" s="15"/>
      <c r="JL738" s="15"/>
      <c r="JM738" s="15"/>
      <c r="JN738" s="15"/>
      <c r="JO738" s="15"/>
      <c r="JP738" s="15"/>
    </row>
    <row r="739" spans="33:276" ht="15" customHeight="1" x14ac:dyDescent="0.3">
      <c r="AG739" s="2"/>
      <c r="JD739" s="15"/>
      <c r="JE739" s="15"/>
      <c r="JF739" s="15"/>
      <c r="JG739" s="15"/>
      <c r="JH739" s="15"/>
      <c r="JI739" s="15"/>
      <c r="JJ739" s="15"/>
      <c r="JK739" s="15"/>
      <c r="JL739" s="15"/>
      <c r="JM739" s="15"/>
      <c r="JN739" s="15"/>
      <c r="JO739" s="15"/>
      <c r="JP739" s="15"/>
    </row>
    <row r="740" spans="33:276" ht="15" customHeight="1" x14ac:dyDescent="0.3">
      <c r="AG740" s="2"/>
      <c r="JD740" s="15"/>
      <c r="JE740" s="15"/>
      <c r="JF740" s="15"/>
      <c r="JG740" s="15"/>
      <c r="JH740" s="15"/>
      <c r="JI740" s="15"/>
      <c r="JJ740" s="15"/>
      <c r="JK740" s="15"/>
      <c r="JL740" s="15"/>
      <c r="JM740" s="15"/>
      <c r="JN740" s="15"/>
      <c r="JO740" s="15"/>
      <c r="JP740" s="15"/>
    </row>
    <row r="741" spans="33:276" ht="15" customHeight="1" x14ac:dyDescent="0.3">
      <c r="AG741" s="2"/>
      <c r="JD741" s="15"/>
      <c r="JE741" s="15"/>
      <c r="JF741" s="15"/>
      <c r="JG741" s="15"/>
      <c r="JH741" s="15"/>
      <c r="JI741" s="15"/>
      <c r="JJ741" s="15"/>
      <c r="JK741" s="15"/>
      <c r="JL741" s="15"/>
      <c r="JM741" s="15"/>
      <c r="JN741" s="15"/>
      <c r="JO741" s="15"/>
      <c r="JP741" s="15"/>
    </row>
    <row r="742" spans="33:276" ht="15" customHeight="1" x14ac:dyDescent="0.3">
      <c r="AG742" s="2"/>
      <c r="JD742" s="15"/>
      <c r="JE742" s="15"/>
      <c r="JF742" s="15"/>
      <c r="JG742" s="15"/>
      <c r="JH742" s="15"/>
      <c r="JI742" s="15"/>
      <c r="JJ742" s="15"/>
      <c r="JK742" s="15"/>
      <c r="JL742" s="15"/>
      <c r="JM742" s="15"/>
      <c r="JN742" s="15"/>
      <c r="JO742" s="15"/>
      <c r="JP742" s="15"/>
    </row>
    <row r="743" spans="33:276" ht="15" customHeight="1" x14ac:dyDescent="0.3">
      <c r="AG743" s="2"/>
      <c r="JD743" s="15"/>
      <c r="JE743" s="15"/>
      <c r="JF743" s="15"/>
      <c r="JG743" s="15"/>
      <c r="JH743" s="15"/>
      <c r="JI743" s="15"/>
      <c r="JJ743" s="15"/>
      <c r="JK743" s="15"/>
      <c r="JL743" s="15"/>
      <c r="JM743" s="15"/>
      <c r="JN743" s="15"/>
      <c r="JO743" s="15"/>
      <c r="JP743" s="15"/>
    </row>
    <row r="744" spans="33:276" ht="15" customHeight="1" x14ac:dyDescent="0.3">
      <c r="AG744" s="2"/>
      <c r="JD744" s="15"/>
      <c r="JE744" s="15"/>
      <c r="JF744" s="15"/>
      <c r="JG744" s="15"/>
      <c r="JH744" s="15"/>
      <c r="JI744" s="15"/>
      <c r="JJ744" s="15"/>
      <c r="JK744" s="15"/>
      <c r="JL744" s="15"/>
      <c r="JM744" s="15"/>
      <c r="JN744" s="15"/>
      <c r="JO744" s="15"/>
      <c r="JP744" s="15"/>
    </row>
    <row r="745" spans="33:276" ht="15" customHeight="1" x14ac:dyDescent="0.3">
      <c r="AG745" s="2"/>
      <c r="JD745" s="15"/>
      <c r="JE745" s="15"/>
      <c r="JF745" s="15"/>
      <c r="JG745" s="15"/>
      <c r="JH745" s="15"/>
      <c r="JI745" s="15"/>
      <c r="JJ745" s="15"/>
      <c r="JK745" s="15"/>
      <c r="JL745" s="15"/>
      <c r="JM745" s="15"/>
      <c r="JN745" s="15"/>
      <c r="JO745" s="15"/>
      <c r="JP745" s="15"/>
    </row>
    <row r="746" spans="33:276" ht="15" customHeight="1" x14ac:dyDescent="0.3">
      <c r="AG746" s="2"/>
      <c r="JD746" s="15"/>
      <c r="JE746" s="15"/>
      <c r="JF746" s="15"/>
      <c r="JG746" s="15"/>
      <c r="JH746" s="15"/>
      <c r="JI746" s="15"/>
      <c r="JJ746" s="15"/>
      <c r="JK746" s="15"/>
      <c r="JL746" s="15"/>
      <c r="JM746" s="15"/>
      <c r="JN746" s="15"/>
      <c r="JO746" s="15"/>
      <c r="JP746" s="15"/>
    </row>
    <row r="747" spans="33:276" ht="15" customHeight="1" x14ac:dyDescent="0.3">
      <c r="AG747" s="2"/>
      <c r="JD747" s="15"/>
      <c r="JE747" s="15"/>
      <c r="JF747" s="15"/>
      <c r="JG747" s="15"/>
      <c r="JH747" s="15"/>
      <c r="JI747" s="15"/>
      <c r="JJ747" s="15"/>
      <c r="JK747" s="15"/>
      <c r="JL747" s="15"/>
      <c r="JM747" s="15"/>
      <c r="JN747" s="15"/>
      <c r="JO747" s="15"/>
      <c r="JP747" s="15"/>
    </row>
    <row r="748" spans="33:276" ht="15" customHeight="1" x14ac:dyDescent="0.3">
      <c r="AG748" s="2"/>
      <c r="JD748" s="15"/>
      <c r="JE748" s="15"/>
      <c r="JF748" s="15"/>
      <c r="JG748" s="15"/>
      <c r="JH748" s="15"/>
      <c r="JI748" s="15"/>
      <c r="JJ748" s="15"/>
      <c r="JK748" s="15"/>
      <c r="JL748" s="15"/>
      <c r="JM748" s="15"/>
      <c r="JN748" s="15"/>
      <c r="JO748" s="15"/>
      <c r="JP748" s="15"/>
    </row>
    <row r="749" spans="33:276" ht="15" customHeight="1" x14ac:dyDescent="0.3">
      <c r="AG749" s="2"/>
      <c r="JD749" s="15"/>
      <c r="JE749" s="15"/>
      <c r="JF749" s="15"/>
      <c r="JG749" s="15"/>
      <c r="JH749" s="15"/>
      <c r="JI749" s="15"/>
      <c r="JJ749" s="15"/>
      <c r="JK749" s="15"/>
      <c r="JL749" s="15"/>
      <c r="JM749" s="15"/>
      <c r="JN749" s="15"/>
      <c r="JO749" s="15"/>
      <c r="JP749" s="15"/>
    </row>
    <row r="750" spans="33:276" ht="15" customHeight="1" x14ac:dyDescent="0.3">
      <c r="AG750" s="2"/>
      <c r="JD750" s="15"/>
      <c r="JE750" s="15"/>
      <c r="JF750" s="15"/>
      <c r="JG750" s="15"/>
      <c r="JH750" s="15"/>
      <c r="JI750" s="15"/>
      <c r="JJ750" s="15"/>
      <c r="JK750" s="15"/>
      <c r="JL750" s="15"/>
      <c r="JM750" s="15"/>
      <c r="JN750" s="15"/>
      <c r="JO750" s="15"/>
      <c r="JP750" s="15"/>
    </row>
    <row r="751" spans="33:276" ht="15" customHeight="1" x14ac:dyDescent="0.3">
      <c r="AG751" s="2"/>
      <c r="JD751" s="15"/>
      <c r="JE751" s="15"/>
      <c r="JF751" s="15"/>
      <c r="JG751" s="15"/>
      <c r="JH751" s="15"/>
      <c r="JI751" s="15"/>
      <c r="JJ751" s="15"/>
      <c r="JK751" s="15"/>
      <c r="JL751" s="15"/>
      <c r="JM751" s="15"/>
      <c r="JN751" s="15"/>
      <c r="JO751" s="15"/>
      <c r="JP751" s="15"/>
    </row>
    <row r="752" spans="33:276" ht="15" customHeight="1" x14ac:dyDescent="0.3">
      <c r="AG752" s="2"/>
      <c r="JD752" s="15"/>
      <c r="JE752" s="15"/>
      <c r="JF752" s="15"/>
      <c r="JG752" s="15"/>
      <c r="JH752" s="15"/>
      <c r="JI752" s="15"/>
      <c r="JJ752" s="15"/>
      <c r="JK752" s="15"/>
      <c r="JL752" s="15"/>
      <c r="JM752" s="15"/>
      <c r="JN752" s="15"/>
      <c r="JO752" s="15"/>
      <c r="JP752" s="15"/>
    </row>
    <row r="753" spans="33:276" ht="15" customHeight="1" x14ac:dyDescent="0.3">
      <c r="AG753" s="2"/>
      <c r="JD753" s="15"/>
      <c r="JE753" s="15"/>
      <c r="JF753" s="15"/>
      <c r="JG753" s="15"/>
      <c r="JH753" s="15"/>
      <c r="JI753" s="15"/>
      <c r="JJ753" s="15"/>
      <c r="JK753" s="15"/>
      <c r="JL753" s="15"/>
      <c r="JM753" s="15"/>
      <c r="JN753" s="15"/>
      <c r="JO753" s="15"/>
      <c r="JP753" s="15"/>
    </row>
    <row r="754" spans="33:276" ht="15" customHeight="1" x14ac:dyDescent="0.3">
      <c r="AG754" s="2"/>
      <c r="JD754" s="15"/>
      <c r="JE754" s="15"/>
      <c r="JF754" s="15"/>
      <c r="JG754" s="15"/>
      <c r="JH754" s="15"/>
      <c r="JI754" s="15"/>
      <c r="JJ754" s="15"/>
      <c r="JK754" s="15"/>
      <c r="JL754" s="15"/>
      <c r="JM754" s="15"/>
      <c r="JN754" s="15"/>
      <c r="JO754" s="15"/>
      <c r="JP754" s="15"/>
    </row>
    <row r="755" spans="33:276" ht="15" customHeight="1" x14ac:dyDescent="0.3">
      <c r="AG755" s="2"/>
      <c r="JD755" s="15"/>
      <c r="JE755" s="15"/>
      <c r="JF755" s="15"/>
      <c r="JG755" s="15"/>
      <c r="JH755" s="15"/>
      <c r="JI755" s="15"/>
      <c r="JJ755" s="15"/>
      <c r="JK755" s="15"/>
      <c r="JL755" s="15"/>
      <c r="JM755" s="15"/>
      <c r="JN755" s="15"/>
      <c r="JO755" s="15"/>
      <c r="JP755" s="15"/>
    </row>
    <row r="756" spans="33:276" ht="15" customHeight="1" x14ac:dyDescent="0.3">
      <c r="AG756" s="2"/>
      <c r="JD756" s="15"/>
      <c r="JE756" s="15"/>
      <c r="JF756" s="15"/>
      <c r="JG756" s="15"/>
      <c r="JH756" s="15"/>
      <c r="JI756" s="15"/>
      <c r="JJ756" s="15"/>
      <c r="JK756" s="15"/>
      <c r="JL756" s="15"/>
      <c r="JM756" s="15"/>
      <c r="JN756" s="15"/>
      <c r="JO756" s="15"/>
      <c r="JP756" s="15"/>
    </row>
    <row r="757" spans="33:276" ht="15" customHeight="1" x14ac:dyDescent="0.3">
      <c r="AG757" s="2"/>
      <c r="JD757" s="15"/>
      <c r="JE757" s="15"/>
      <c r="JF757" s="15"/>
      <c r="JG757" s="15"/>
      <c r="JH757" s="15"/>
      <c r="JI757" s="15"/>
      <c r="JJ757" s="15"/>
      <c r="JK757" s="15"/>
      <c r="JL757" s="15"/>
      <c r="JM757" s="15"/>
      <c r="JN757" s="15"/>
      <c r="JO757" s="15"/>
      <c r="JP757" s="15"/>
    </row>
    <row r="758" spans="33:276" ht="15" customHeight="1" x14ac:dyDescent="0.3">
      <c r="AG758" s="2"/>
      <c r="JD758" s="15"/>
      <c r="JE758" s="15"/>
      <c r="JF758" s="15"/>
      <c r="JG758" s="15"/>
      <c r="JH758" s="15"/>
      <c r="JI758" s="15"/>
      <c r="JJ758" s="15"/>
      <c r="JK758" s="15"/>
      <c r="JL758" s="15"/>
      <c r="JM758" s="15"/>
      <c r="JN758" s="15"/>
      <c r="JO758" s="15"/>
      <c r="JP758" s="15"/>
    </row>
    <row r="759" spans="33:276" ht="15" customHeight="1" x14ac:dyDescent="0.3">
      <c r="AG759" s="2"/>
      <c r="JD759" s="15"/>
      <c r="JE759" s="15"/>
      <c r="JF759" s="15"/>
      <c r="JG759" s="15"/>
      <c r="JH759" s="15"/>
      <c r="JI759" s="15"/>
      <c r="JJ759" s="15"/>
      <c r="JK759" s="15"/>
      <c r="JL759" s="15"/>
      <c r="JM759" s="15"/>
      <c r="JN759" s="15"/>
      <c r="JO759" s="15"/>
      <c r="JP759" s="15"/>
    </row>
    <row r="760" spans="33:276" ht="15" customHeight="1" x14ac:dyDescent="0.3">
      <c r="AG760" s="2"/>
      <c r="JD760" s="15"/>
      <c r="JE760" s="15"/>
      <c r="JF760" s="15"/>
      <c r="JG760" s="15"/>
      <c r="JH760" s="15"/>
      <c r="JI760" s="15"/>
      <c r="JJ760" s="15"/>
      <c r="JK760" s="15"/>
      <c r="JL760" s="15"/>
      <c r="JM760" s="15"/>
      <c r="JN760" s="15"/>
      <c r="JO760" s="15"/>
      <c r="JP760" s="15"/>
    </row>
    <row r="761" spans="33:276" ht="15" customHeight="1" x14ac:dyDescent="0.3">
      <c r="AG761" s="2"/>
      <c r="JD761" s="15"/>
      <c r="JE761" s="15"/>
      <c r="JF761" s="15"/>
      <c r="JG761" s="15"/>
      <c r="JH761" s="15"/>
      <c r="JI761" s="15"/>
      <c r="JJ761" s="15"/>
      <c r="JK761" s="15"/>
      <c r="JL761" s="15"/>
      <c r="JM761" s="15"/>
      <c r="JN761" s="15"/>
      <c r="JO761" s="15"/>
      <c r="JP761" s="15"/>
    </row>
    <row r="762" spans="33:276" ht="15" customHeight="1" x14ac:dyDescent="0.3">
      <c r="AG762" s="2"/>
      <c r="JD762" s="15"/>
      <c r="JE762" s="15"/>
      <c r="JF762" s="15"/>
      <c r="JG762" s="15"/>
      <c r="JH762" s="15"/>
      <c r="JI762" s="15"/>
      <c r="JJ762" s="15"/>
      <c r="JK762" s="15"/>
      <c r="JL762" s="15"/>
      <c r="JM762" s="15"/>
      <c r="JN762" s="15"/>
      <c r="JO762" s="15"/>
      <c r="JP762" s="15"/>
    </row>
    <row r="763" spans="33:276" ht="15" customHeight="1" x14ac:dyDescent="0.3">
      <c r="AG763" s="2"/>
      <c r="JD763" s="15"/>
      <c r="JE763" s="15"/>
      <c r="JF763" s="15"/>
      <c r="JG763" s="15"/>
      <c r="JH763" s="15"/>
      <c r="JI763" s="15"/>
      <c r="JJ763" s="15"/>
      <c r="JK763" s="15"/>
      <c r="JL763" s="15"/>
      <c r="JM763" s="15"/>
      <c r="JN763" s="15"/>
      <c r="JO763" s="15"/>
      <c r="JP763" s="15"/>
    </row>
    <row r="764" spans="33:276" ht="15" customHeight="1" x14ac:dyDescent="0.3">
      <c r="AG764" s="2"/>
      <c r="JD764" s="15"/>
      <c r="JE764" s="15"/>
      <c r="JF764" s="15"/>
      <c r="JG764" s="15"/>
      <c r="JH764" s="15"/>
      <c r="JI764" s="15"/>
      <c r="JJ764" s="15"/>
      <c r="JK764" s="15"/>
      <c r="JL764" s="15"/>
      <c r="JM764" s="15"/>
      <c r="JN764" s="15"/>
      <c r="JO764" s="15"/>
      <c r="JP764" s="15"/>
    </row>
    <row r="765" spans="33:276" ht="15" customHeight="1" x14ac:dyDescent="0.3">
      <c r="AG765" s="2"/>
      <c r="JD765" s="15"/>
      <c r="JE765" s="15"/>
      <c r="JF765" s="15"/>
      <c r="JG765" s="15"/>
      <c r="JH765" s="15"/>
      <c r="JI765" s="15"/>
      <c r="JJ765" s="15"/>
      <c r="JK765" s="15"/>
      <c r="JL765" s="15"/>
      <c r="JM765" s="15"/>
      <c r="JN765" s="15"/>
      <c r="JO765" s="15"/>
      <c r="JP765" s="15"/>
    </row>
    <row r="766" spans="33:276" ht="15" customHeight="1" x14ac:dyDescent="0.3">
      <c r="AG766" s="2"/>
      <c r="JD766" s="15"/>
      <c r="JE766" s="15"/>
      <c r="JF766" s="15"/>
      <c r="JG766" s="15"/>
      <c r="JH766" s="15"/>
      <c r="JI766" s="15"/>
      <c r="JJ766" s="15"/>
      <c r="JK766" s="15"/>
      <c r="JL766" s="15"/>
      <c r="JM766" s="15"/>
      <c r="JN766" s="15"/>
      <c r="JO766" s="15"/>
      <c r="JP766" s="15"/>
    </row>
    <row r="767" spans="33:276" ht="15" customHeight="1" x14ac:dyDescent="0.3">
      <c r="AG767" s="2"/>
      <c r="JD767" s="15"/>
      <c r="JE767" s="15"/>
      <c r="JF767" s="15"/>
      <c r="JG767" s="15"/>
      <c r="JH767" s="15"/>
      <c r="JI767" s="15"/>
      <c r="JJ767" s="15"/>
      <c r="JK767" s="15"/>
      <c r="JL767" s="15"/>
      <c r="JM767" s="15"/>
      <c r="JN767" s="15"/>
      <c r="JO767" s="15"/>
      <c r="JP767" s="15"/>
    </row>
    <row r="768" spans="33:276" ht="15" customHeight="1" x14ac:dyDescent="0.3">
      <c r="AG768" s="2"/>
      <c r="JD768" s="15"/>
      <c r="JE768" s="15"/>
      <c r="JF768" s="15"/>
      <c r="JG768" s="15"/>
      <c r="JH768" s="15"/>
      <c r="JI768" s="15"/>
      <c r="JJ768" s="15"/>
      <c r="JK768" s="15"/>
      <c r="JL768" s="15"/>
      <c r="JM768" s="15"/>
      <c r="JN768" s="15"/>
      <c r="JO768" s="15"/>
      <c r="JP768" s="15"/>
    </row>
    <row r="769" spans="33:276" ht="15" customHeight="1" x14ac:dyDescent="0.3">
      <c r="AG769" s="2"/>
      <c r="JD769" s="15"/>
      <c r="JE769" s="15"/>
      <c r="JF769" s="15"/>
      <c r="JG769" s="15"/>
      <c r="JH769" s="15"/>
      <c r="JI769" s="15"/>
      <c r="JJ769" s="15"/>
      <c r="JK769" s="15"/>
      <c r="JL769" s="15"/>
      <c r="JM769" s="15"/>
      <c r="JN769" s="15"/>
      <c r="JO769" s="15"/>
      <c r="JP769" s="15"/>
    </row>
    <row r="770" spans="33:276" ht="15" customHeight="1" x14ac:dyDescent="0.3">
      <c r="AG770" s="2"/>
      <c r="JD770" s="15"/>
      <c r="JE770" s="15"/>
      <c r="JF770" s="15"/>
      <c r="JG770" s="15"/>
      <c r="JH770" s="15"/>
      <c r="JI770" s="15"/>
      <c r="JJ770" s="15"/>
      <c r="JK770" s="15"/>
      <c r="JL770" s="15"/>
      <c r="JM770" s="15"/>
      <c r="JN770" s="15"/>
      <c r="JO770" s="15"/>
      <c r="JP770" s="15"/>
    </row>
    <row r="771" spans="33:276" ht="15" customHeight="1" x14ac:dyDescent="0.3">
      <c r="AG771" s="2"/>
      <c r="JD771" s="15"/>
      <c r="JE771" s="15"/>
      <c r="JF771" s="15"/>
      <c r="JG771" s="15"/>
      <c r="JH771" s="15"/>
      <c r="JI771" s="15"/>
      <c r="JJ771" s="15"/>
      <c r="JK771" s="15"/>
      <c r="JL771" s="15"/>
      <c r="JM771" s="15"/>
      <c r="JN771" s="15"/>
      <c r="JO771" s="15"/>
      <c r="JP771" s="15"/>
    </row>
    <row r="772" spans="33:276" ht="15" customHeight="1" x14ac:dyDescent="0.3">
      <c r="AG772" s="2"/>
      <c r="JD772" s="15"/>
      <c r="JE772" s="15"/>
      <c r="JF772" s="15"/>
      <c r="JG772" s="15"/>
      <c r="JH772" s="15"/>
      <c r="JI772" s="15"/>
      <c r="JJ772" s="15"/>
      <c r="JK772" s="15"/>
      <c r="JL772" s="15"/>
      <c r="JM772" s="15"/>
      <c r="JN772" s="15"/>
      <c r="JO772" s="15"/>
      <c r="JP772" s="15"/>
    </row>
    <row r="773" spans="33:276" ht="15" customHeight="1" x14ac:dyDescent="0.3">
      <c r="AG773" s="2"/>
      <c r="JD773" s="15"/>
      <c r="JE773" s="15"/>
      <c r="JF773" s="15"/>
      <c r="JG773" s="15"/>
      <c r="JH773" s="15"/>
      <c r="JI773" s="15"/>
      <c r="JJ773" s="15"/>
      <c r="JK773" s="15"/>
      <c r="JL773" s="15"/>
      <c r="JM773" s="15"/>
      <c r="JN773" s="15"/>
      <c r="JO773" s="15"/>
      <c r="JP773" s="15"/>
    </row>
    <row r="774" spans="33:276" ht="15" customHeight="1" x14ac:dyDescent="0.3">
      <c r="AG774" s="2"/>
      <c r="JD774" s="15"/>
      <c r="JE774" s="15"/>
      <c r="JF774" s="15"/>
      <c r="JG774" s="15"/>
      <c r="JH774" s="15"/>
      <c r="JI774" s="15"/>
      <c r="JJ774" s="15"/>
      <c r="JK774" s="15"/>
      <c r="JL774" s="15"/>
      <c r="JM774" s="15"/>
      <c r="JN774" s="15"/>
      <c r="JO774" s="15"/>
      <c r="JP774" s="15"/>
    </row>
    <row r="775" spans="33:276" ht="15" customHeight="1" x14ac:dyDescent="0.3">
      <c r="AG775" s="2"/>
      <c r="JD775" s="15"/>
      <c r="JE775" s="15"/>
      <c r="JF775" s="15"/>
      <c r="JG775" s="15"/>
      <c r="JH775" s="15"/>
      <c r="JI775" s="15"/>
      <c r="JJ775" s="15"/>
      <c r="JK775" s="15"/>
      <c r="JL775" s="15"/>
      <c r="JM775" s="15"/>
      <c r="JN775" s="15"/>
      <c r="JO775" s="15"/>
      <c r="JP775" s="15"/>
    </row>
    <row r="776" spans="33:276" ht="15" customHeight="1" x14ac:dyDescent="0.3">
      <c r="AG776" s="2"/>
      <c r="JD776" s="15"/>
      <c r="JE776" s="15"/>
      <c r="JF776" s="15"/>
      <c r="JG776" s="15"/>
      <c r="JH776" s="15"/>
      <c r="JI776" s="15"/>
      <c r="JJ776" s="15"/>
      <c r="JK776" s="15"/>
      <c r="JL776" s="15"/>
      <c r="JM776" s="15"/>
      <c r="JN776" s="15"/>
      <c r="JO776" s="15"/>
      <c r="JP776" s="15"/>
    </row>
    <row r="777" spans="33:276" ht="15" customHeight="1" x14ac:dyDescent="0.3">
      <c r="AG777" s="2"/>
      <c r="JD777" s="15"/>
      <c r="JE777" s="15"/>
      <c r="JF777" s="15"/>
      <c r="JG777" s="15"/>
      <c r="JH777" s="15"/>
      <c r="JI777" s="15"/>
      <c r="JJ777" s="15"/>
      <c r="JK777" s="15"/>
      <c r="JL777" s="15"/>
      <c r="JM777" s="15"/>
      <c r="JN777" s="15"/>
      <c r="JO777" s="15"/>
      <c r="JP777" s="15"/>
    </row>
    <row r="778" spans="33:276" ht="15" customHeight="1" x14ac:dyDescent="0.3">
      <c r="AG778" s="2"/>
      <c r="JD778" s="15"/>
      <c r="JE778" s="15"/>
      <c r="JF778" s="15"/>
      <c r="JG778" s="15"/>
      <c r="JH778" s="15"/>
      <c r="JI778" s="15"/>
      <c r="JJ778" s="15"/>
      <c r="JK778" s="15"/>
      <c r="JL778" s="15"/>
      <c r="JM778" s="15"/>
      <c r="JN778" s="15"/>
      <c r="JO778" s="15"/>
      <c r="JP778" s="15"/>
    </row>
    <row r="779" spans="33:276" ht="15" customHeight="1" x14ac:dyDescent="0.3">
      <c r="AG779" s="2"/>
      <c r="JD779" s="15"/>
      <c r="JE779" s="15"/>
      <c r="JF779" s="15"/>
      <c r="JG779" s="15"/>
      <c r="JH779" s="15"/>
      <c r="JI779" s="15"/>
      <c r="JJ779" s="15"/>
      <c r="JK779" s="15"/>
      <c r="JL779" s="15"/>
      <c r="JM779" s="15"/>
      <c r="JN779" s="15"/>
      <c r="JO779" s="15"/>
      <c r="JP779" s="15"/>
    </row>
    <row r="780" spans="33:276" ht="15" customHeight="1" x14ac:dyDescent="0.3">
      <c r="AG780" s="2"/>
      <c r="JD780" s="15"/>
      <c r="JE780" s="15"/>
      <c r="JF780" s="15"/>
      <c r="JG780" s="15"/>
      <c r="JH780" s="15"/>
      <c r="JI780" s="15"/>
      <c r="JJ780" s="15"/>
      <c r="JK780" s="15"/>
      <c r="JL780" s="15"/>
      <c r="JM780" s="15"/>
      <c r="JN780" s="15"/>
      <c r="JO780" s="15"/>
      <c r="JP780" s="15"/>
    </row>
    <row r="781" spans="33:276" ht="15" customHeight="1" x14ac:dyDescent="0.3">
      <c r="AG781" s="2"/>
      <c r="JD781" s="15"/>
      <c r="JE781" s="15"/>
      <c r="JF781" s="15"/>
      <c r="JG781" s="15"/>
      <c r="JH781" s="15"/>
      <c r="JI781" s="15"/>
      <c r="JJ781" s="15"/>
      <c r="JK781" s="15"/>
      <c r="JL781" s="15"/>
      <c r="JM781" s="15"/>
      <c r="JN781" s="15"/>
      <c r="JO781" s="15"/>
      <c r="JP781" s="15"/>
    </row>
    <row r="782" spans="33:276" ht="15" customHeight="1" x14ac:dyDescent="0.3">
      <c r="AG782" s="2"/>
      <c r="JD782" s="15"/>
      <c r="JE782" s="15"/>
      <c r="JF782" s="15"/>
      <c r="JG782" s="15"/>
      <c r="JH782" s="15"/>
      <c r="JI782" s="15"/>
      <c r="JJ782" s="15"/>
      <c r="JK782" s="15"/>
      <c r="JL782" s="15"/>
      <c r="JM782" s="15"/>
      <c r="JN782" s="15"/>
      <c r="JO782" s="15"/>
      <c r="JP782" s="15"/>
    </row>
    <row r="783" spans="33:276" ht="15" customHeight="1" x14ac:dyDescent="0.3">
      <c r="AG783" s="2"/>
      <c r="JD783" s="15"/>
      <c r="JE783" s="15"/>
      <c r="JF783" s="15"/>
      <c r="JG783" s="15"/>
      <c r="JH783" s="15"/>
      <c r="JI783" s="15"/>
      <c r="JJ783" s="15"/>
      <c r="JK783" s="15"/>
      <c r="JL783" s="15"/>
      <c r="JM783" s="15"/>
      <c r="JN783" s="15"/>
      <c r="JO783" s="15"/>
      <c r="JP783" s="15"/>
    </row>
    <row r="784" spans="33:276" ht="15" customHeight="1" x14ac:dyDescent="0.3">
      <c r="AG784" s="2"/>
      <c r="JD784" s="15"/>
      <c r="JE784" s="15"/>
      <c r="JF784" s="15"/>
      <c r="JG784" s="15"/>
      <c r="JH784" s="15"/>
      <c r="JI784" s="15"/>
      <c r="JJ784" s="15"/>
      <c r="JK784" s="15"/>
      <c r="JL784" s="15"/>
      <c r="JM784" s="15"/>
      <c r="JN784" s="15"/>
      <c r="JO784" s="15"/>
      <c r="JP784" s="15"/>
    </row>
    <row r="785" spans="33:276" ht="15" customHeight="1" x14ac:dyDescent="0.3">
      <c r="AG785" s="2"/>
      <c r="JD785" s="15"/>
      <c r="JE785" s="15"/>
      <c r="JF785" s="15"/>
      <c r="JG785" s="15"/>
      <c r="JH785" s="15"/>
      <c r="JI785" s="15"/>
      <c r="JJ785" s="15"/>
      <c r="JK785" s="15"/>
      <c r="JL785" s="15"/>
      <c r="JM785" s="15"/>
      <c r="JN785" s="15"/>
      <c r="JO785" s="15"/>
      <c r="JP785" s="15"/>
    </row>
    <row r="786" spans="33:276" ht="15" customHeight="1" x14ac:dyDescent="0.3">
      <c r="AG786" s="2"/>
      <c r="JD786" s="15"/>
      <c r="JE786" s="15"/>
      <c r="JF786" s="15"/>
      <c r="JG786" s="15"/>
      <c r="JH786" s="15"/>
      <c r="JI786" s="15"/>
      <c r="JJ786" s="15"/>
      <c r="JK786" s="15"/>
      <c r="JL786" s="15"/>
      <c r="JM786" s="15"/>
      <c r="JN786" s="15"/>
      <c r="JO786" s="15"/>
      <c r="JP786" s="15"/>
    </row>
    <row r="787" spans="33:276" ht="15" customHeight="1" x14ac:dyDescent="0.3">
      <c r="AG787" s="2"/>
      <c r="JD787" s="15"/>
      <c r="JE787" s="15"/>
      <c r="JF787" s="15"/>
      <c r="JG787" s="15"/>
      <c r="JH787" s="15"/>
      <c r="JI787" s="15"/>
      <c r="JJ787" s="15"/>
      <c r="JK787" s="15"/>
      <c r="JL787" s="15"/>
      <c r="JM787" s="15"/>
      <c r="JN787" s="15"/>
      <c r="JO787" s="15"/>
      <c r="JP787" s="15"/>
    </row>
    <row r="788" spans="33:276" ht="15" customHeight="1" x14ac:dyDescent="0.3">
      <c r="AG788" s="2"/>
      <c r="JD788" s="15"/>
      <c r="JE788" s="15"/>
      <c r="JF788" s="15"/>
      <c r="JG788" s="15"/>
      <c r="JH788" s="15"/>
      <c r="JI788" s="15"/>
      <c r="JJ788" s="15"/>
      <c r="JK788" s="15"/>
      <c r="JL788" s="15"/>
      <c r="JM788" s="15"/>
      <c r="JN788" s="15"/>
      <c r="JO788" s="15"/>
      <c r="JP788" s="15"/>
    </row>
    <row r="789" spans="33:276" ht="15" customHeight="1" x14ac:dyDescent="0.3">
      <c r="AG789" s="2"/>
      <c r="JD789" s="15"/>
      <c r="JE789" s="15"/>
      <c r="JF789" s="15"/>
      <c r="JG789" s="15"/>
      <c r="JH789" s="15"/>
      <c r="JI789" s="15"/>
      <c r="JJ789" s="15"/>
      <c r="JK789" s="15"/>
      <c r="JL789" s="15"/>
      <c r="JM789" s="15"/>
      <c r="JN789" s="15"/>
      <c r="JO789" s="15"/>
      <c r="JP789" s="15"/>
    </row>
    <row r="790" spans="33:276" ht="15" customHeight="1" x14ac:dyDescent="0.3">
      <c r="AG790" s="2"/>
      <c r="JD790" s="15"/>
      <c r="JE790" s="15"/>
      <c r="JF790" s="15"/>
      <c r="JG790" s="15"/>
      <c r="JH790" s="15"/>
      <c r="JI790" s="15"/>
      <c r="JJ790" s="15"/>
      <c r="JK790" s="15"/>
      <c r="JL790" s="15"/>
      <c r="JM790" s="15"/>
      <c r="JN790" s="15"/>
      <c r="JO790" s="15"/>
      <c r="JP790" s="15"/>
    </row>
    <row r="791" spans="33:276" ht="15" customHeight="1" x14ac:dyDescent="0.3">
      <c r="AG791" s="2"/>
      <c r="JD791" s="15"/>
      <c r="JE791" s="15"/>
      <c r="JF791" s="15"/>
      <c r="JG791" s="15"/>
      <c r="JH791" s="15"/>
      <c r="JI791" s="15"/>
      <c r="JJ791" s="15"/>
      <c r="JK791" s="15"/>
      <c r="JL791" s="15"/>
      <c r="JM791" s="15"/>
      <c r="JN791" s="15"/>
      <c r="JO791" s="15"/>
      <c r="JP791" s="15"/>
    </row>
    <row r="792" spans="33:276" ht="15" customHeight="1" x14ac:dyDescent="0.3">
      <c r="AG792" s="2"/>
      <c r="JD792" s="15"/>
      <c r="JE792" s="15"/>
      <c r="JF792" s="15"/>
      <c r="JG792" s="15"/>
      <c r="JH792" s="15"/>
      <c r="JI792" s="15"/>
      <c r="JJ792" s="15"/>
      <c r="JK792" s="15"/>
      <c r="JL792" s="15"/>
      <c r="JM792" s="15"/>
      <c r="JN792" s="15"/>
      <c r="JO792" s="15"/>
      <c r="JP792" s="15"/>
    </row>
    <row r="793" spans="33:276" ht="15" customHeight="1" x14ac:dyDescent="0.3">
      <c r="AG793" s="2"/>
      <c r="JD793" s="15"/>
      <c r="JE793" s="15"/>
      <c r="JF793" s="15"/>
      <c r="JG793" s="15"/>
      <c r="JH793" s="15"/>
      <c r="JI793" s="15"/>
      <c r="JJ793" s="15"/>
      <c r="JK793" s="15"/>
      <c r="JL793" s="15"/>
      <c r="JM793" s="15"/>
      <c r="JN793" s="15"/>
      <c r="JO793" s="15"/>
      <c r="JP793" s="15"/>
    </row>
    <row r="794" spans="33:276" ht="15" customHeight="1" x14ac:dyDescent="0.3">
      <c r="AG794" s="2"/>
      <c r="JD794" s="15"/>
      <c r="JE794" s="15"/>
      <c r="JF794" s="15"/>
      <c r="JG794" s="15"/>
      <c r="JH794" s="15"/>
      <c r="JI794" s="15"/>
      <c r="JJ794" s="15"/>
      <c r="JK794" s="15"/>
      <c r="JL794" s="15"/>
      <c r="JM794" s="15"/>
      <c r="JN794" s="15"/>
      <c r="JO794" s="15"/>
      <c r="JP794" s="15"/>
    </row>
    <row r="795" spans="33:276" ht="15" customHeight="1" x14ac:dyDescent="0.3">
      <c r="AG795" s="2"/>
      <c r="JD795" s="15"/>
      <c r="JE795" s="15"/>
      <c r="JF795" s="15"/>
      <c r="JG795" s="15"/>
      <c r="JH795" s="15"/>
      <c r="JI795" s="15"/>
      <c r="JJ795" s="15"/>
      <c r="JK795" s="15"/>
      <c r="JL795" s="15"/>
      <c r="JM795" s="15"/>
      <c r="JN795" s="15"/>
      <c r="JO795" s="15"/>
      <c r="JP795" s="15"/>
    </row>
    <row r="796" spans="33:276" ht="15" customHeight="1" x14ac:dyDescent="0.3">
      <c r="AG796" s="2"/>
      <c r="JD796" s="15"/>
      <c r="JE796" s="15"/>
      <c r="JF796" s="15"/>
      <c r="JG796" s="15"/>
      <c r="JH796" s="15"/>
      <c r="JI796" s="15"/>
      <c r="JJ796" s="15"/>
      <c r="JK796" s="15"/>
      <c r="JL796" s="15"/>
      <c r="JM796" s="15"/>
      <c r="JN796" s="15"/>
      <c r="JO796" s="15"/>
      <c r="JP796" s="15"/>
    </row>
    <row r="797" spans="33:276" ht="15" customHeight="1" x14ac:dyDescent="0.3">
      <c r="AG797" s="2"/>
      <c r="JD797" s="15"/>
      <c r="JE797" s="15"/>
      <c r="JF797" s="15"/>
      <c r="JG797" s="15"/>
      <c r="JH797" s="15"/>
      <c r="JI797" s="15"/>
      <c r="JJ797" s="15"/>
      <c r="JK797" s="15"/>
      <c r="JL797" s="15"/>
      <c r="JM797" s="15"/>
      <c r="JN797" s="15"/>
      <c r="JO797" s="15"/>
      <c r="JP797" s="15"/>
    </row>
    <row r="798" spans="33:276" ht="15" customHeight="1" x14ac:dyDescent="0.3">
      <c r="AG798" s="2"/>
      <c r="JD798" s="15"/>
      <c r="JE798" s="15"/>
      <c r="JF798" s="15"/>
      <c r="JG798" s="15"/>
      <c r="JH798" s="15"/>
      <c r="JI798" s="15"/>
      <c r="JJ798" s="15"/>
      <c r="JK798" s="15"/>
      <c r="JL798" s="15"/>
      <c r="JM798" s="15"/>
      <c r="JN798" s="15"/>
      <c r="JO798" s="15"/>
      <c r="JP798" s="15"/>
    </row>
    <row r="799" spans="33:276" ht="15" customHeight="1" x14ac:dyDescent="0.3">
      <c r="AG799" s="2"/>
      <c r="JD799" s="15"/>
      <c r="JE799" s="15"/>
      <c r="JF799" s="15"/>
      <c r="JG799" s="15"/>
      <c r="JH799" s="15"/>
      <c r="JI799" s="15"/>
      <c r="JJ799" s="15"/>
      <c r="JK799" s="15"/>
      <c r="JL799" s="15"/>
      <c r="JM799" s="15"/>
      <c r="JN799" s="15"/>
      <c r="JO799" s="15"/>
      <c r="JP799" s="15"/>
    </row>
    <row r="800" spans="33:276" ht="15" customHeight="1" x14ac:dyDescent="0.3">
      <c r="AG800" s="2"/>
      <c r="JD800" s="15"/>
      <c r="JE800" s="15"/>
      <c r="JF800" s="15"/>
      <c r="JG800" s="15"/>
      <c r="JH800" s="15"/>
      <c r="JI800" s="15"/>
      <c r="JJ800" s="15"/>
      <c r="JK800" s="15"/>
      <c r="JL800" s="15"/>
      <c r="JM800" s="15"/>
      <c r="JN800" s="15"/>
      <c r="JO800" s="15"/>
      <c r="JP800" s="15"/>
    </row>
    <row r="801" spans="33:276" ht="15" customHeight="1" x14ac:dyDescent="0.3">
      <c r="AG801" s="2"/>
      <c r="JD801" s="15"/>
      <c r="JE801" s="15"/>
      <c r="JF801" s="15"/>
      <c r="JG801" s="15"/>
      <c r="JH801" s="15"/>
      <c r="JI801" s="15"/>
      <c r="JJ801" s="15"/>
      <c r="JK801" s="15"/>
      <c r="JL801" s="15"/>
      <c r="JM801" s="15"/>
      <c r="JN801" s="15"/>
      <c r="JO801" s="15"/>
      <c r="JP801" s="15"/>
    </row>
    <row r="802" spans="33:276" ht="15" customHeight="1" x14ac:dyDescent="0.3">
      <c r="AG802" s="2"/>
      <c r="JD802" s="15"/>
      <c r="JE802" s="15"/>
      <c r="JF802" s="15"/>
      <c r="JG802" s="15"/>
      <c r="JH802" s="15"/>
      <c r="JI802" s="15"/>
      <c r="JJ802" s="15"/>
      <c r="JK802" s="15"/>
      <c r="JL802" s="15"/>
      <c r="JM802" s="15"/>
      <c r="JN802" s="15"/>
      <c r="JO802" s="15"/>
      <c r="JP802" s="15"/>
    </row>
    <row r="803" spans="33:276" ht="15" customHeight="1" x14ac:dyDescent="0.3">
      <c r="AG803" s="2"/>
      <c r="JD803" s="15"/>
      <c r="JE803" s="15"/>
      <c r="JF803" s="15"/>
      <c r="JG803" s="15"/>
      <c r="JH803" s="15"/>
      <c r="JI803" s="15"/>
      <c r="JJ803" s="15"/>
      <c r="JK803" s="15"/>
      <c r="JL803" s="15"/>
      <c r="JM803" s="15"/>
      <c r="JN803" s="15"/>
      <c r="JO803" s="15"/>
      <c r="JP803" s="15"/>
    </row>
    <row r="804" spans="33:276" ht="15" customHeight="1" x14ac:dyDescent="0.3">
      <c r="AG804" s="2"/>
      <c r="JD804" s="15"/>
      <c r="JE804" s="15"/>
      <c r="JF804" s="15"/>
      <c r="JG804" s="15"/>
      <c r="JH804" s="15"/>
      <c r="JI804" s="15"/>
      <c r="JJ804" s="15"/>
      <c r="JK804" s="15"/>
      <c r="JL804" s="15"/>
      <c r="JM804" s="15"/>
      <c r="JN804" s="15"/>
      <c r="JO804" s="15"/>
      <c r="JP804" s="15"/>
    </row>
    <row r="805" spans="33:276" ht="15" customHeight="1" x14ac:dyDescent="0.3">
      <c r="AG805" s="2"/>
      <c r="JD805" s="15"/>
      <c r="JE805" s="15"/>
      <c r="JF805" s="15"/>
      <c r="JG805" s="15"/>
      <c r="JH805" s="15"/>
      <c r="JI805" s="15"/>
      <c r="JJ805" s="15"/>
      <c r="JK805" s="15"/>
      <c r="JL805" s="15"/>
      <c r="JM805" s="15"/>
      <c r="JN805" s="15"/>
      <c r="JO805" s="15"/>
      <c r="JP805" s="15"/>
    </row>
    <row r="806" spans="33:276" ht="15" customHeight="1" x14ac:dyDescent="0.3">
      <c r="AG806" s="2"/>
      <c r="JD806" s="15"/>
      <c r="JE806" s="15"/>
      <c r="JF806" s="15"/>
      <c r="JG806" s="15"/>
      <c r="JH806" s="15"/>
      <c r="JI806" s="15"/>
      <c r="JJ806" s="15"/>
      <c r="JK806" s="15"/>
      <c r="JL806" s="15"/>
      <c r="JM806" s="15"/>
      <c r="JN806" s="15"/>
      <c r="JO806" s="15"/>
      <c r="JP806" s="15"/>
    </row>
    <row r="807" spans="33:276" ht="15" customHeight="1" x14ac:dyDescent="0.3">
      <c r="AG807" s="2"/>
      <c r="JD807" s="15"/>
      <c r="JE807" s="15"/>
      <c r="JF807" s="15"/>
      <c r="JG807" s="15"/>
      <c r="JH807" s="15"/>
      <c r="JI807" s="15"/>
      <c r="JJ807" s="15"/>
      <c r="JK807" s="15"/>
      <c r="JL807" s="15"/>
      <c r="JM807" s="15"/>
      <c r="JN807" s="15"/>
      <c r="JO807" s="15"/>
      <c r="JP807" s="15"/>
    </row>
    <row r="808" spans="33:276" ht="15" customHeight="1" x14ac:dyDescent="0.3">
      <c r="AG808" s="2"/>
      <c r="JD808" s="15"/>
      <c r="JE808" s="15"/>
      <c r="JF808" s="15"/>
      <c r="JG808" s="15"/>
      <c r="JH808" s="15"/>
      <c r="JI808" s="15"/>
      <c r="JJ808" s="15"/>
      <c r="JK808" s="15"/>
      <c r="JL808" s="15"/>
      <c r="JM808" s="15"/>
      <c r="JN808" s="15"/>
      <c r="JO808" s="15"/>
      <c r="JP808" s="15"/>
    </row>
    <row r="809" spans="33:276" ht="15" customHeight="1" x14ac:dyDescent="0.3">
      <c r="AG809" s="2"/>
      <c r="JD809" s="15"/>
      <c r="JE809" s="15"/>
      <c r="JF809" s="15"/>
      <c r="JG809" s="15"/>
      <c r="JH809" s="15"/>
      <c r="JI809" s="15"/>
      <c r="JJ809" s="15"/>
      <c r="JK809" s="15"/>
      <c r="JL809" s="15"/>
      <c r="JM809" s="15"/>
      <c r="JN809" s="15"/>
      <c r="JO809" s="15"/>
      <c r="JP809" s="15"/>
    </row>
    <row r="810" spans="33:276" ht="15" customHeight="1" x14ac:dyDescent="0.3">
      <c r="AG810" s="2"/>
      <c r="JD810" s="15"/>
      <c r="JE810" s="15"/>
      <c r="JF810" s="15"/>
      <c r="JG810" s="15"/>
      <c r="JH810" s="15"/>
      <c r="JI810" s="15"/>
      <c r="JJ810" s="15"/>
      <c r="JK810" s="15"/>
      <c r="JL810" s="15"/>
      <c r="JM810" s="15"/>
      <c r="JN810" s="15"/>
      <c r="JO810" s="15"/>
      <c r="JP810" s="15"/>
    </row>
    <row r="811" spans="33:276" ht="15" customHeight="1" x14ac:dyDescent="0.3">
      <c r="AG811" s="2"/>
      <c r="JD811" s="15"/>
      <c r="JE811" s="15"/>
      <c r="JF811" s="15"/>
      <c r="JG811" s="15"/>
      <c r="JH811" s="15"/>
      <c r="JI811" s="15"/>
      <c r="JJ811" s="15"/>
      <c r="JK811" s="15"/>
      <c r="JL811" s="15"/>
      <c r="JM811" s="15"/>
      <c r="JN811" s="15"/>
      <c r="JO811" s="15"/>
      <c r="JP811" s="15"/>
    </row>
    <row r="812" spans="33:276" ht="15" customHeight="1" x14ac:dyDescent="0.3">
      <c r="AG812" s="2"/>
      <c r="JD812" s="15"/>
      <c r="JE812" s="15"/>
      <c r="JF812" s="15"/>
      <c r="JG812" s="15"/>
      <c r="JH812" s="15"/>
      <c r="JI812" s="15"/>
      <c r="JJ812" s="15"/>
      <c r="JK812" s="15"/>
      <c r="JL812" s="15"/>
      <c r="JM812" s="15"/>
      <c r="JN812" s="15"/>
      <c r="JO812" s="15"/>
      <c r="JP812" s="15"/>
    </row>
    <row r="813" spans="33:276" ht="15" customHeight="1" x14ac:dyDescent="0.3">
      <c r="AG813" s="2"/>
      <c r="JD813" s="15"/>
      <c r="JE813" s="15"/>
      <c r="JF813" s="15"/>
      <c r="JG813" s="15"/>
      <c r="JH813" s="15"/>
      <c r="JI813" s="15"/>
      <c r="JJ813" s="15"/>
      <c r="JK813" s="15"/>
      <c r="JL813" s="15"/>
      <c r="JM813" s="15"/>
      <c r="JN813" s="15"/>
      <c r="JO813" s="15"/>
      <c r="JP813" s="15"/>
    </row>
    <row r="814" spans="33:276" ht="15" customHeight="1" x14ac:dyDescent="0.3">
      <c r="AG814" s="2"/>
      <c r="JD814" s="15"/>
      <c r="JE814" s="15"/>
      <c r="JF814" s="15"/>
      <c r="JG814" s="15"/>
      <c r="JH814" s="15"/>
      <c r="JI814" s="15"/>
      <c r="JJ814" s="15"/>
      <c r="JK814" s="15"/>
      <c r="JL814" s="15"/>
      <c r="JM814" s="15"/>
      <c r="JN814" s="15"/>
      <c r="JO814" s="15"/>
      <c r="JP814" s="15"/>
    </row>
    <row r="815" spans="33:276" ht="15" customHeight="1" x14ac:dyDescent="0.3">
      <c r="AG815" s="2"/>
      <c r="JD815" s="15"/>
      <c r="JE815" s="15"/>
      <c r="JF815" s="15"/>
      <c r="JG815" s="15"/>
      <c r="JH815" s="15"/>
      <c r="JI815" s="15"/>
      <c r="JJ815" s="15"/>
      <c r="JK815" s="15"/>
      <c r="JL815" s="15"/>
      <c r="JM815" s="15"/>
      <c r="JN815" s="15"/>
      <c r="JO815" s="15"/>
      <c r="JP815" s="15"/>
    </row>
    <row r="816" spans="33:276" ht="15" customHeight="1" x14ac:dyDescent="0.3">
      <c r="AG816" s="2"/>
      <c r="JD816" s="15"/>
      <c r="JE816" s="15"/>
      <c r="JF816" s="15"/>
      <c r="JG816" s="15"/>
      <c r="JH816" s="15"/>
      <c r="JI816" s="15"/>
      <c r="JJ816" s="15"/>
      <c r="JK816" s="15"/>
      <c r="JL816" s="15"/>
      <c r="JM816" s="15"/>
      <c r="JN816" s="15"/>
      <c r="JO816" s="15"/>
      <c r="JP816" s="15"/>
    </row>
    <row r="817" spans="33:276" ht="15" customHeight="1" x14ac:dyDescent="0.3">
      <c r="AG817" s="2"/>
      <c r="JD817" s="15"/>
      <c r="JE817" s="15"/>
      <c r="JF817" s="15"/>
      <c r="JG817" s="15"/>
      <c r="JH817" s="15"/>
      <c r="JI817" s="15"/>
      <c r="JJ817" s="15"/>
      <c r="JK817" s="15"/>
      <c r="JL817" s="15"/>
      <c r="JM817" s="15"/>
      <c r="JN817" s="15"/>
      <c r="JO817" s="15"/>
      <c r="JP817" s="15"/>
    </row>
    <row r="818" spans="33:276" ht="15" customHeight="1" x14ac:dyDescent="0.3">
      <c r="AG818" s="2"/>
      <c r="JD818" s="15"/>
      <c r="JE818" s="15"/>
      <c r="JF818" s="15"/>
      <c r="JG818" s="15"/>
      <c r="JH818" s="15"/>
      <c r="JI818" s="15"/>
      <c r="JJ818" s="15"/>
      <c r="JK818" s="15"/>
      <c r="JL818" s="15"/>
      <c r="JM818" s="15"/>
      <c r="JN818" s="15"/>
      <c r="JO818" s="15"/>
      <c r="JP818" s="15"/>
    </row>
    <row r="819" spans="33:276" ht="15" customHeight="1" x14ac:dyDescent="0.3">
      <c r="AG819" s="2"/>
      <c r="JD819" s="15"/>
      <c r="JE819" s="15"/>
      <c r="JF819" s="15"/>
      <c r="JG819" s="15"/>
      <c r="JH819" s="15"/>
      <c r="JI819" s="15"/>
      <c r="JJ819" s="15"/>
      <c r="JK819" s="15"/>
      <c r="JL819" s="15"/>
      <c r="JM819" s="15"/>
      <c r="JN819" s="15"/>
      <c r="JO819" s="15"/>
      <c r="JP819" s="15"/>
    </row>
    <row r="820" spans="33:276" ht="15" customHeight="1" x14ac:dyDescent="0.3">
      <c r="AG820" s="2"/>
      <c r="JD820" s="15"/>
      <c r="JE820" s="15"/>
      <c r="JF820" s="15"/>
      <c r="JG820" s="15"/>
      <c r="JH820" s="15"/>
      <c r="JI820" s="15"/>
      <c r="JJ820" s="15"/>
      <c r="JK820" s="15"/>
      <c r="JL820" s="15"/>
      <c r="JM820" s="15"/>
      <c r="JN820" s="15"/>
      <c r="JO820" s="15"/>
      <c r="JP820" s="15"/>
    </row>
    <row r="821" spans="33:276" ht="15" customHeight="1" x14ac:dyDescent="0.3">
      <c r="AG821" s="2"/>
      <c r="JD821" s="15"/>
      <c r="JE821" s="15"/>
      <c r="JF821" s="15"/>
      <c r="JG821" s="15"/>
      <c r="JH821" s="15"/>
      <c r="JI821" s="15"/>
      <c r="JJ821" s="15"/>
      <c r="JK821" s="15"/>
      <c r="JL821" s="15"/>
      <c r="JM821" s="15"/>
      <c r="JN821" s="15"/>
      <c r="JO821" s="15"/>
      <c r="JP821" s="15"/>
    </row>
    <row r="822" spans="33:276" ht="15" customHeight="1" x14ac:dyDescent="0.3">
      <c r="AG822" s="2"/>
      <c r="JD822" s="15"/>
      <c r="JE822" s="15"/>
      <c r="JF822" s="15"/>
      <c r="JG822" s="15"/>
      <c r="JH822" s="15"/>
      <c r="JI822" s="15"/>
      <c r="JJ822" s="15"/>
      <c r="JK822" s="15"/>
      <c r="JL822" s="15"/>
      <c r="JM822" s="15"/>
      <c r="JN822" s="15"/>
      <c r="JO822" s="15"/>
      <c r="JP822" s="15"/>
    </row>
    <row r="823" spans="33:276" ht="15" customHeight="1" x14ac:dyDescent="0.3">
      <c r="AG823" s="2"/>
      <c r="JD823" s="15"/>
      <c r="JE823" s="15"/>
      <c r="JF823" s="15"/>
      <c r="JG823" s="15"/>
      <c r="JH823" s="15"/>
      <c r="JI823" s="15"/>
      <c r="JJ823" s="15"/>
      <c r="JK823" s="15"/>
      <c r="JL823" s="15"/>
      <c r="JM823" s="15"/>
      <c r="JN823" s="15"/>
      <c r="JO823" s="15"/>
      <c r="JP823" s="15"/>
    </row>
    <row r="824" spans="33:276" ht="15" customHeight="1" x14ac:dyDescent="0.3">
      <c r="AG824" s="2"/>
      <c r="JD824" s="15"/>
      <c r="JE824" s="15"/>
      <c r="JF824" s="15"/>
      <c r="JG824" s="15"/>
      <c r="JH824" s="15"/>
      <c r="JI824" s="15"/>
      <c r="JJ824" s="15"/>
      <c r="JK824" s="15"/>
      <c r="JL824" s="15"/>
      <c r="JM824" s="15"/>
      <c r="JN824" s="15"/>
      <c r="JO824" s="15"/>
      <c r="JP824" s="15"/>
    </row>
    <row r="825" spans="33:276" ht="15" customHeight="1" x14ac:dyDescent="0.3">
      <c r="AG825" s="2"/>
      <c r="JD825" s="15"/>
      <c r="JE825" s="15"/>
      <c r="JF825" s="15"/>
      <c r="JG825" s="15"/>
      <c r="JH825" s="15"/>
      <c r="JI825" s="15"/>
      <c r="JJ825" s="15"/>
      <c r="JK825" s="15"/>
      <c r="JL825" s="15"/>
      <c r="JM825" s="15"/>
      <c r="JN825" s="15"/>
      <c r="JO825" s="15"/>
      <c r="JP825" s="15"/>
    </row>
    <row r="826" spans="33:276" ht="15" customHeight="1" x14ac:dyDescent="0.3">
      <c r="AG826" s="2"/>
      <c r="JD826" s="15"/>
      <c r="JE826" s="15"/>
      <c r="JF826" s="15"/>
      <c r="JG826" s="15"/>
      <c r="JH826" s="15"/>
      <c r="JI826" s="15"/>
      <c r="JJ826" s="15"/>
      <c r="JK826" s="15"/>
      <c r="JL826" s="15"/>
      <c r="JM826" s="15"/>
      <c r="JN826" s="15"/>
      <c r="JO826" s="15"/>
      <c r="JP826" s="15"/>
    </row>
    <row r="827" spans="33:276" ht="15" customHeight="1" x14ac:dyDescent="0.3">
      <c r="AG827" s="2"/>
      <c r="JD827" s="15"/>
      <c r="JE827" s="15"/>
      <c r="JF827" s="15"/>
      <c r="JG827" s="15"/>
      <c r="JH827" s="15"/>
      <c r="JI827" s="15"/>
      <c r="JJ827" s="15"/>
      <c r="JK827" s="15"/>
      <c r="JL827" s="15"/>
      <c r="JM827" s="15"/>
      <c r="JN827" s="15"/>
      <c r="JO827" s="15"/>
      <c r="JP827" s="15"/>
    </row>
    <row r="828" spans="33:276" ht="15" customHeight="1" x14ac:dyDescent="0.3">
      <c r="AG828" s="2"/>
      <c r="JD828" s="15"/>
      <c r="JE828" s="15"/>
      <c r="JF828" s="15"/>
      <c r="JG828" s="15"/>
      <c r="JH828" s="15"/>
      <c r="JI828" s="15"/>
      <c r="JJ828" s="15"/>
      <c r="JK828" s="15"/>
      <c r="JL828" s="15"/>
      <c r="JM828" s="15"/>
      <c r="JN828" s="15"/>
      <c r="JO828" s="15"/>
      <c r="JP828" s="15"/>
    </row>
    <row r="829" spans="33:276" ht="15" customHeight="1" x14ac:dyDescent="0.3">
      <c r="AG829" s="2"/>
      <c r="JD829" s="15"/>
      <c r="JE829" s="15"/>
      <c r="JF829" s="15"/>
      <c r="JG829" s="15"/>
      <c r="JH829" s="15"/>
      <c r="JI829" s="15"/>
      <c r="JJ829" s="15"/>
      <c r="JK829" s="15"/>
      <c r="JL829" s="15"/>
      <c r="JM829" s="15"/>
      <c r="JN829" s="15"/>
      <c r="JO829" s="15"/>
      <c r="JP829" s="15"/>
    </row>
    <row r="830" spans="33:276" ht="15" customHeight="1" x14ac:dyDescent="0.3">
      <c r="AG830" s="2"/>
      <c r="JD830" s="15"/>
      <c r="JE830" s="15"/>
      <c r="JF830" s="15"/>
      <c r="JG830" s="15"/>
      <c r="JH830" s="15"/>
      <c r="JI830" s="15"/>
      <c r="JJ830" s="15"/>
      <c r="JK830" s="15"/>
      <c r="JL830" s="15"/>
      <c r="JM830" s="15"/>
      <c r="JN830" s="15"/>
      <c r="JO830" s="15"/>
      <c r="JP830" s="15"/>
    </row>
    <row r="831" spans="33:276" ht="15" customHeight="1" x14ac:dyDescent="0.3">
      <c r="AG831" s="2"/>
      <c r="JD831" s="15"/>
      <c r="JE831" s="15"/>
      <c r="JF831" s="15"/>
      <c r="JG831" s="15"/>
      <c r="JH831" s="15"/>
      <c r="JI831" s="15"/>
      <c r="JJ831" s="15"/>
      <c r="JK831" s="15"/>
      <c r="JL831" s="15"/>
      <c r="JM831" s="15"/>
      <c r="JN831" s="15"/>
      <c r="JO831" s="15"/>
      <c r="JP831" s="15"/>
    </row>
    <row r="832" spans="33:276" ht="15" customHeight="1" x14ac:dyDescent="0.3">
      <c r="AG832" s="2"/>
      <c r="JD832" s="15"/>
      <c r="JE832" s="15"/>
      <c r="JF832" s="15"/>
      <c r="JG832" s="15"/>
      <c r="JH832" s="15"/>
      <c r="JI832" s="15"/>
      <c r="JJ832" s="15"/>
      <c r="JK832" s="15"/>
      <c r="JL832" s="15"/>
      <c r="JM832" s="15"/>
      <c r="JN832" s="15"/>
      <c r="JO832" s="15"/>
      <c r="JP832" s="15"/>
    </row>
    <row r="833" spans="33:276" ht="15" customHeight="1" x14ac:dyDescent="0.3">
      <c r="AG833" s="2"/>
      <c r="JD833" s="15"/>
      <c r="JE833" s="15"/>
      <c r="JF833" s="15"/>
      <c r="JG833" s="15"/>
      <c r="JH833" s="15"/>
      <c r="JI833" s="15"/>
      <c r="JJ833" s="15"/>
      <c r="JK833" s="15"/>
      <c r="JL833" s="15"/>
      <c r="JM833" s="15"/>
      <c r="JN833" s="15"/>
      <c r="JO833" s="15"/>
      <c r="JP833" s="15"/>
    </row>
    <row r="834" spans="33:276" ht="15" customHeight="1" x14ac:dyDescent="0.3">
      <c r="AG834" s="2"/>
      <c r="JD834" s="15"/>
      <c r="JE834" s="15"/>
      <c r="JF834" s="15"/>
      <c r="JG834" s="15"/>
      <c r="JH834" s="15"/>
      <c r="JI834" s="15"/>
      <c r="JJ834" s="15"/>
      <c r="JK834" s="15"/>
      <c r="JL834" s="15"/>
      <c r="JM834" s="15"/>
      <c r="JN834" s="15"/>
      <c r="JO834" s="15"/>
      <c r="JP834" s="15"/>
    </row>
    <row r="835" spans="33:276" ht="15" customHeight="1" x14ac:dyDescent="0.3">
      <c r="AG835" s="2"/>
      <c r="JD835" s="15"/>
      <c r="JE835" s="15"/>
      <c r="JF835" s="15"/>
      <c r="JG835" s="15"/>
      <c r="JH835" s="15"/>
      <c r="JI835" s="15"/>
      <c r="JJ835" s="15"/>
      <c r="JK835" s="15"/>
      <c r="JL835" s="15"/>
      <c r="JM835" s="15"/>
      <c r="JN835" s="15"/>
      <c r="JO835" s="15"/>
      <c r="JP835" s="15"/>
    </row>
    <row r="836" spans="33:276" ht="15" customHeight="1" x14ac:dyDescent="0.3">
      <c r="AG836" s="2"/>
      <c r="JD836" s="15"/>
      <c r="JE836" s="15"/>
      <c r="JF836" s="15"/>
      <c r="JG836" s="15"/>
      <c r="JH836" s="15"/>
      <c r="JI836" s="15"/>
      <c r="JJ836" s="15"/>
      <c r="JK836" s="15"/>
      <c r="JL836" s="15"/>
      <c r="JM836" s="15"/>
      <c r="JN836" s="15"/>
      <c r="JO836" s="15"/>
      <c r="JP836" s="15"/>
    </row>
    <row r="837" spans="33:276" ht="15" customHeight="1" x14ac:dyDescent="0.3">
      <c r="AG837" s="2"/>
      <c r="JD837" s="15"/>
      <c r="JE837" s="15"/>
      <c r="JF837" s="15"/>
      <c r="JG837" s="15"/>
      <c r="JH837" s="15"/>
      <c r="JI837" s="15"/>
      <c r="JJ837" s="15"/>
      <c r="JK837" s="15"/>
      <c r="JL837" s="15"/>
      <c r="JM837" s="15"/>
      <c r="JN837" s="15"/>
      <c r="JO837" s="15"/>
      <c r="JP837" s="15"/>
    </row>
    <row r="838" spans="33:276" ht="15" customHeight="1" x14ac:dyDescent="0.3">
      <c r="AG838" s="2"/>
      <c r="JD838" s="15"/>
      <c r="JE838" s="15"/>
      <c r="JF838" s="15"/>
      <c r="JG838" s="15"/>
      <c r="JH838" s="15"/>
      <c r="JI838" s="15"/>
      <c r="JJ838" s="15"/>
      <c r="JK838" s="15"/>
      <c r="JL838" s="15"/>
      <c r="JM838" s="15"/>
      <c r="JN838" s="15"/>
      <c r="JO838" s="15"/>
      <c r="JP838" s="15"/>
    </row>
    <row r="839" spans="33:276" ht="15" customHeight="1" x14ac:dyDescent="0.3">
      <c r="AG839" s="2"/>
      <c r="JD839" s="15"/>
      <c r="JE839" s="15"/>
      <c r="JF839" s="15"/>
      <c r="JG839" s="15"/>
      <c r="JH839" s="15"/>
      <c r="JI839" s="15"/>
      <c r="JJ839" s="15"/>
      <c r="JK839" s="15"/>
      <c r="JL839" s="15"/>
      <c r="JM839" s="15"/>
      <c r="JN839" s="15"/>
      <c r="JO839" s="15"/>
      <c r="JP839" s="15"/>
    </row>
    <row r="840" spans="33:276" ht="15" customHeight="1" x14ac:dyDescent="0.3">
      <c r="AG840" s="2"/>
      <c r="JD840" s="15"/>
      <c r="JE840" s="15"/>
      <c r="JF840" s="15"/>
      <c r="JG840" s="15"/>
      <c r="JH840" s="15"/>
      <c r="JI840" s="15"/>
      <c r="JJ840" s="15"/>
      <c r="JK840" s="15"/>
      <c r="JL840" s="15"/>
      <c r="JM840" s="15"/>
      <c r="JN840" s="15"/>
      <c r="JO840" s="15"/>
      <c r="JP840" s="15"/>
    </row>
    <row r="841" spans="33:276" ht="15" customHeight="1" x14ac:dyDescent="0.3">
      <c r="AG841" s="2"/>
      <c r="JD841" s="15"/>
      <c r="JE841" s="15"/>
      <c r="JF841" s="15"/>
      <c r="JG841" s="15"/>
      <c r="JH841" s="15"/>
      <c r="JI841" s="15"/>
      <c r="JJ841" s="15"/>
      <c r="JK841" s="15"/>
      <c r="JL841" s="15"/>
      <c r="JM841" s="15"/>
      <c r="JN841" s="15"/>
      <c r="JO841" s="15"/>
      <c r="JP841" s="15"/>
    </row>
    <row r="842" spans="33:276" ht="15" customHeight="1" x14ac:dyDescent="0.3">
      <c r="AG842" s="2"/>
      <c r="JD842" s="15"/>
      <c r="JE842" s="15"/>
      <c r="JF842" s="15"/>
      <c r="JG842" s="15"/>
      <c r="JH842" s="15"/>
      <c r="JI842" s="15"/>
      <c r="JJ842" s="15"/>
      <c r="JK842" s="15"/>
      <c r="JL842" s="15"/>
      <c r="JM842" s="15"/>
      <c r="JN842" s="15"/>
      <c r="JO842" s="15"/>
      <c r="JP842" s="15"/>
    </row>
    <row r="843" spans="33:276" ht="15" customHeight="1" x14ac:dyDescent="0.3">
      <c r="AG843" s="2"/>
      <c r="JD843" s="15"/>
      <c r="JE843" s="15"/>
      <c r="JF843" s="15"/>
      <c r="JG843" s="15"/>
      <c r="JH843" s="15"/>
      <c r="JI843" s="15"/>
      <c r="JJ843" s="15"/>
      <c r="JK843" s="15"/>
      <c r="JL843" s="15"/>
      <c r="JM843" s="15"/>
      <c r="JN843" s="15"/>
      <c r="JO843" s="15"/>
      <c r="JP843" s="15"/>
    </row>
    <row r="844" spans="33:276" ht="15" customHeight="1" x14ac:dyDescent="0.3">
      <c r="AG844" s="2"/>
      <c r="JD844" s="15"/>
      <c r="JE844" s="15"/>
      <c r="JF844" s="15"/>
      <c r="JG844" s="15"/>
      <c r="JH844" s="15"/>
      <c r="JI844" s="15"/>
      <c r="JJ844" s="15"/>
      <c r="JK844" s="15"/>
      <c r="JL844" s="15"/>
      <c r="JM844" s="15"/>
      <c r="JN844" s="15"/>
      <c r="JO844" s="15"/>
      <c r="JP844" s="15"/>
    </row>
    <row r="845" spans="33:276" ht="15" customHeight="1" x14ac:dyDescent="0.3">
      <c r="AG845" s="2"/>
      <c r="JD845" s="15"/>
      <c r="JE845" s="15"/>
      <c r="JF845" s="15"/>
      <c r="JG845" s="15"/>
      <c r="JH845" s="15"/>
      <c r="JI845" s="15"/>
      <c r="JJ845" s="15"/>
      <c r="JK845" s="15"/>
      <c r="JL845" s="15"/>
      <c r="JM845" s="15"/>
      <c r="JN845" s="15"/>
      <c r="JO845" s="15"/>
      <c r="JP845" s="15"/>
    </row>
    <row r="846" spans="33:276" ht="15" customHeight="1" x14ac:dyDescent="0.3">
      <c r="AG846" s="2"/>
      <c r="JD846" s="15"/>
      <c r="JE846" s="15"/>
      <c r="JF846" s="15"/>
      <c r="JG846" s="15"/>
      <c r="JH846" s="15"/>
      <c r="JI846" s="15"/>
      <c r="JJ846" s="15"/>
      <c r="JK846" s="15"/>
      <c r="JL846" s="15"/>
      <c r="JM846" s="15"/>
      <c r="JN846" s="15"/>
      <c r="JO846" s="15"/>
      <c r="JP846" s="15"/>
    </row>
    <row r="847" spans="33:276" ht="15" customHeight="1" x14ac:dyDescent="0.3">
      <c r="AG847" s="2"/>
      <c r="JD847" s="15"/>
      <c r="JE847" s="15"/>
      <c r="JF847" s="15"/>
      <c r="JG847" s="15"/>
      <c r="JH847" s="15"/>
      <c r="JI847" s="15"/>
      <c r="JJ847" s="15"/>
      <c r="JK847" s="15"/>
      <c r="JL847" s="15"/>
      <c r="JM847" s="15"/>
      <c r="JN847" s="15"/>
      <c r="JO847" s="15"/>
      <c r="JP847" s="15"/>
    </row>
    <row r="848" spans="33:276" ht="15" customHeight="1" x14ac:dyDescent="0.3">
      <c r="AG848" s="2"/>
      <c r="JD848" s="15"/>
      <c r="JE848" s="15"/>
      <c r="JF848" s="15"/>
      <c r="JG848" s="15"/>
      <c r="JH848" s="15"/>
      <c r="JI848" s="15"/>
      <c r="JJ848" s="15"/>
      <c r="JK848" s="15"/>
      <c r="JL848" s="15"/>
      <c r="JM848" s="15"/>
      <c r="JN848" s="15"/>
      <c r="JO848" s="15"/>
      <c r="JP848" s="15"/>
    </row>
    <row r="849" spans="33:276" ht="15" customHeight="1" x14ac:dyDescent="0.3">
      <c r="AG849" s="2"/>
      <c r="JD849" s="15"/>
      <c r="JE849" s="15"/>
      <c r="JF849" s="15"/>
      <c r="JG849" s="15"/>
      <c r="JH849" s="15"/>
      <c r="JI849" s="15"/>
      <c r="JJ849" s="15"/>
      <c r="JK849" s="15"/>
      <c r="JL849" s="15"/>
      <c r="JM849" s="15"/>
      <c r="JN849" s="15"/>
      <c r="JO849" s="15"/>
      <c r="JP849" s="15"/>
    </row>
    <row r="850" spans="33:276" ht="15" customHeight="1" x14ac:dyDescent="0.3">
      <c r="AG850" s="2"/>
      <c r="JD850" s="15"/>
      <c r="JE850" s="15"/>
      <c r="JF850" s="15"/>
      <c r="JG850" s="15"/>
      <c r="JH850" s="15"/>
      <c r="JI850" s="15"/>
      <c r="JJ850" s="15"/>
      <c r="JK850" s="15"/>
      <c r="JL850" s="15"/>
      <c r="JM850" s="15"/>
      <c r="JN850" s="15"/>
      <c r="JO850" s="15"/>
      <c r="JP850" s="15"/>
    </row>
    <row r="851" spans="33:276" ht="15" customHeight="1" x14ac:dyDescent="0.3">
      <c r="AG851" s="2"/>
      <c r="JD851" s="15"/>
      <c r="JE851" s="15"/>
      <c r="JF851" s="15"/>
      <c r="JG851" s="15"/>
      <c r="JH851" s="15"/>
      <c r="JI851" s="15"/>
      <c r="JJ851" s="15"/>
      <c r="JK851" s="15"/>
      <c r="JL851" s="15"/>
      <c r="JM851" s="15"/>
      <c r="JN851" s="15"/>
      <c r="JO851" s="15"/>
      <c r="JP851" s="15"/>
    </row>
    <row r="852" spans="33:276" ht="15" customHeight="1" x14ac:dyDescent="0.3">
      <c r="AG852" s="2"/>
      <c r="JD852" s="15"/>
      <c r="JE852" s="15"/>
      <c r="JF852" s="15"/>
      <c r="JG852" s="15"/>
      <c r="JH852" s="15"/>
      <c r="JI852" s="15"/>
      <c r="JJ852" s="15"/>
      <c r="JK852" s="15"/>
      <c r="JL852" s="15"/>
      <c r="JM852" s="15"/>
      <c r="JN852" s="15"/>
      <c r="JO852" s="15"/>
      <c r="JP852" s="15"/>
    </row>
    <row r="853" spans="33:276" ht="15" customHeight="1" x14ac:dyDescent="0.3">
      <c r="AG853" s="2"/>
      <c r="JD853" s="15"/>
      <c r="JE853" s="15"/>
      <c r="JF853" s="15"/>
      <c r="JG853" s="15"/>
      <c r="JH853" s="15"/>
      <c r="JI853" s="15"/>
      <c r="JJ853" s="15"/>
      <c r="JK853" s="15"/>
      <c r="JL853" s="15"/>
      <c r="JM853" s="15"/>
      <c r="JN853" s="15"/>
      <c r="JO853" s="15"/>
      <c r="JP853" s="15"/>
    </row>
    <row r="854" spans="33:276" ht="15" customHeight="1" x14ac:dyDescent="0.3">
      <c r="AG854" s="2"/>
      <c r="JD854" s="15"/>
      <c r="JE854" s="15"/>
      <c r="JF854" s="15"/>
      <c r="JG854" s="15"/>
      <c r="JH854" s="15"/>
      <c r="JI854" s="15"/>
      <c r="JJ854" s="15"/>
      <c r="JK854" s="15"/>
      <c r="JL854" s="15"/>
      <c r="JM854" s="15"/>
      <c r="JN854" s="15"/>
      <c r="JO854" s="15"/>
      <c r="JP854" s="15"/>
    </row>
    <row r="855" spans="33:276" ht="15" customHeight="1" x14ac:dyDescent="0.3">
      <c r="AG855" s="2"/>
      <c r="JD855" s="15"/>
      <c r="JE855" s="15"/>
      <c r="JF855" s="15"/>
      <c r="JG855" s="15"/>
      <c r="JH855" s="15"/>
      <c r="JI855" s="15"/>
      <c r="JJ855" s="15"/>
      <c r="JK855" s="15"/>
      <c r="JL855" s="15"/>
      <c r="JM855" s="15"/>
      <c r="JN855" s="15"/>
      <c r="JO855" s="15"/>
      <c r="JP855" s="15"/>
    </row>
    <row r="856" spans="33:276" ht="15" customHeight="1" x14ac:dyDescent="0.3">
      <c r="AG856" s="2"/>
      <c r="JD856" s="15"/>
      <c r="JE856" s="15"/>
      <c r="JF856" s="15"/>
      <c r="JG856" s="15"/>
      <c r="JH856" s="15"/>
      <c r="JI856" s="15"/>
      <c r="JJ856" s="15"/>
      <c r="JK856" s="15"/>
      <c r="JL856" s="15"/>
      <c r="JM856" s="15"/>
      <c r="JN856" s="15"/>
      <c r="JO856" s="15"/>
      <c r="JP856" s="15"/>
    </row>
    <row r="857" spans="33:276" ht="15" customHeight="1" x14ac:dyDescent="0.3">
      <c r="AG857" s="2"/>
      <c r="JD857" s="15"/>
      <c r="JE857" s="15"/>
      <c r="JF857" s="15"/>
      <c r="JG857" s="15"/>
      <c r="JH857" s="15"/>
      <c r="JI857" s="15"/>
      <c r="JJ857" s="15"/>
      <c r="JK857" s="15"/>
      <c r="JL857" s="15"/>
      <c r="JM857" s="15"/>
      <c r="JN857" s="15"/>
      <c r="JO857" s="15"/>
      <c r="JP857" s="15"/>
    </row>
    <row r="858" spans="33:276" ht="15" customHeight="1" x14ac:dyDescent="0.3">
      <c r="AG858" s="2"/>
      <c r="JD858" s="15"/>
      <c r="JE858" s="15"/>
      <c r="JF858" s="15"/>
      <c r="JG858" s="15"/>
      <c r="JH858" s="15"/>
      <c r="JI858" s="15"/>
      <c r="JJ858" s="15"/>
      <c r="JK858" s="15"/>
      <c r="JL858" s="15"/>
      <c r="JM858" s="15"/>
      <c r="JN858" s="15"/>
      <c r="JO858" s="15"/>
      <c r="JP858" s="15"/>
    </row>
    <row r="859" spans="33:276" ht="15" customHeight="1" x14ac:dyDescent="0.3">
      <c r="AG859" s="2"/>
      <c r="JD859" s="15"/>
      <c r="JE859" s="15"/>
      <c r="JF859" s="15"/>
      <c r="JG859" s="15"/>
      <c r="JH859" s="15"/>
      <c r="JI859" s="15"/>
      <c r="JJ859" s="15"/>
      <c r="JK859" s="15"/>
      <c r="JL859" s="15"/>
      <c r="JM859" s="15"/>
      <c r="JN859" s="15"/>
      <c r="JO859" s="15"/>
      <c r="JP859" s="15"/>
    </row>
    <row r="860" spans="33:276" ht="15" customHeight="1" x14ac:dyDescent="0.3">
      <c r="AG860" s="2"/>
      <c r="JD860" s="15"/>
      <c r="JE860" s="15"/>
      <c r="JF860" s="15"/>
      <c r="JG860" s="15"/>
      <c r="JH860" s="15"/>
      <c r="JI860" s="15"/>
      <c r="JJ860" s="15"/>
      <c r="JK860" s="15"/>
      <c r="JL860" s="15"/>
      <c r="JM860" s="15"/>
      <c r="JN860" s="15"/>
      <c r="JO860" s="15"/>
      <c r="JP860" s="15"/>
    </row>
    <row r="861" spans="33:276" ht="15" customHeight="1" x14ac:dyDescent="0.3">
      <c r="AG861" s="2"/>
      <c r="JD861" s="15"/>
      <c r="JE861" s="15"/>
      <c r="JF861" s="15"/>
      <c r="JG861" s="15"/>
      <c r="JH861" s="15"/>
      <c r="JI861" s="15"/>
      <c r="JJ861" s="15"/>
      <c r="JK861" s="15"/>
      <c r="JL861" s="15"/>
      <c r="JM861" s="15"/>
      <c r="JN861" s="15"/>
      <c r="JO861" s="15"/>
      <c r="JP861" s="15"/>
    </row>
    <row r="862" spans="33:276" ht="15" customHeight="1" x14ac:dyDescent="0.3">
      <c r="AG862" s="2"/>
      <c r="JD862" s="15"/>
      <c r="JE862" s="15"/>
      <c r="JF862" s="15"/>
      <c r="JG862" s="15"/>
      <c r="JH862" s="15"/>
      <c r="JI862" s="15"/>
      <c r="JJ862" s="15"/>
      <c r="JK862" s="15"/>
      <c r="JL862" s="15"/>
      <c r="JM862" s="15"/>
      <c r="JN862" s="15"/>
      <c r="JO862" s="15"/>
      <c r="JP862" s="15"/>
    </row>
    <row r="863" spans="33:276" ht="15" customHeight="1" x14ac:dyDescent="0.3">
      <c r="AG863" s="2"/>
      <c r="JD863" s="15"/>
      <c r="JE863" s="15"/>
      <c r="JF863" s="15"/>
      <c r="JG863" s="15"/>
      <c r="JH863" s="15"/>
      <c r="JI863" s="15"/>
      <c r="JJ863" s="15"/>
      <c r="JK863" s="15"/>
      <c r="JL863" s="15"/>
      <c r="JM863" s="15"/>
      <c r="JN863" s="15"/>
      <c r="JO863" s="15"/>
      <c r="JP863" s="15"/>
    </row>
    <row r="864" spans="33:276" ht="15" customHeight="1" x14ac:dyDescent="0.3">
      <c r="AG864" s="2"/>
      <c r="JD864" s="15"/>
      <c r="JE864" s="15"/>
      <c r="JF864" s="15"/>
      <c r="JG864" s="15"/>
      <c r="JH864" s="15"/>
      <c r="JI864" s="15"/>
      <c r="JJ864" s="15"/>
      <c r="JK864" s="15"/>
      <c r="JL864" s="15"/>
      <c r="JM864" s="15"/>
      <c r="JN864" s="15"/>
      <c r="JO864" s="15"/>
      <c r="JP864" s="15"/>
    </row>
    <row r="865" spans="33:276" ht="15" customHeight="1" x14ac:dyDescent="0.3">
      <c r="AG865" s="2"/>
      <c r="JD865" s="15"/>
      <c r="JE865" s="15"/>
      <c r="JF865" s="15"/>
      <c r="JG865" s="15"/>
      <c r="JH865" s="15"/>
      <c r="JI865" s="15"/>
      <c r="JJ865" s="15"/>
      <c r="JK865" s="15"/>
      <c r="JL865" s="15"/>
      <c r="JM865" s="15"/>
      <c r="JN865" s="15"/>
      <c r="JO865" s="15"/>
      <c r="JP865" s="15"/>
    </row>
    <row r="866" spans="33:276" ht="15" customHeight="1" x14ac:dyDescent="0.3">
      <c r="AG866" s="2"/>
      <c r="JD866" s="15"/>
      <c r="JE866" s="15"/>
      <c r="JF866" s="15"/>
      <c r="JG866" s="15"/>
      <c r="JH866" s="15"/>
      <c r="JI866" s="15"/>
      <c r="JJ866" s="15"/>
      <c r="JK866" s="15"/>
      <c r="JL866" s="15"/>
      <c r="JM866" s="15"/>
      <c r="JN866" s="15"/>
      <c r="JO866" s="15"/>
      <c r="JP866" s="15"/>
    </row>
    <row r="867" spans="33:276" ht="15" customHeight="1" x14ac:dyDescent="0.3">
      <c r="AG867" s="2"/>
      <c r="JD867" s="15"/>
      <c r="JE867" s="15"/>
      <c r="JF867" s="15"/>
      <c r="JG867" s="15"/>
      <c r="JH867" s="15"/>
      <c r="JI867" s="15"/>
      <c r="JJ867" s="15"/>
      <c r="JK867" s="15"/>
      <c r="JL867" s="15"/>
      <c r="JM867" s="15"/>
      <c r="JN867" s="15"/>
      <c r="JO867" s="15"/>
      <c r="JP867" s="15"/>
    </row>
    <row r="868" spans="33:276" ht="15" customHeight="1" x14ac:dyDescent="0.3">
      <c r="AG868" s="2"/>
      <c r="JD868" s="15"/>
      <c r="JE868" s="15"/>
      <c r="JF868" s="15"/>
      <c r="JG868" s="15"/>
      <c r="JH868" s="15"/>
      <c r="JI868" s="15"/>
      <c r="JJ868" s="15"/>
      <c r="JK868" s="15"/>
      <c r="JL868" s="15"/>
      <c r="JM868" s="15"/>
      <c r="JN868" s="15"/>
      <c r="JO868" s="15"/>
      <c r="JP868" s="15"/>
    </row>
    <row r="869" spans="33:276" ht="15" customHeight="1" x14ac:dyDescent="0.3">
      <c r="AG869" s="2"/>
      <c r="JD869" s="15"/>
      <c r="JE869" s="15"/>
      <c r="JF869" s="15"/>
      <c r="JG869" s="15"/>
      <c r="JH869" s="15"/>
      <c r="JI869" s="15"/>
      <c r="JJ869" s="15"/>
      <c r="JK869" s="15"/>
      <c r="JL869" s="15"/>
      <c r="JM869" s="15"/>
      <c r="JN869" s="15"/>
      <c r="JO869" s="15"/>
      <c r="JP869" s="15"/>
    </row>
    <row r="870" spans="33:276" ht="15" customHeight="1" x14ac:dyDescent="0.3">
      <c r="AG870" s="2"/>
      <c r="JD870" s="15"/>
      <c r="JE870" s="15"/>
      <c r="JF870" s="15"/>
      <c r="JG870" s="15"/>
      <c r="JH870" s="15"/>
      <c r="JI870" s="15"/>
      <c r="JJ870" s="15"/>
      <c r="JK870" s="15"/>
      <c r="JL870" s="15"/>
      <c r="JM870" s="15"/>
      <c r="JN870" s="15"/>
      <c r="JO870" s="15"/>
      <c r="JP870" s="15"/>
    </row>
    <row r="871" spans="33:276" ht="15" customHeight="1" x14ac:dyDescent="0.3">
      <c r="AG871" s="2"/>
      <c r="JD871" s="15"/>
      <c r="JE871" s="15"/>
      <c r="JF871" s="15"/>
      <c r="JG871" s="15"/>
      <c r="JH871" s="15"/>
      <c r="JI871" s="15"/>
      <c r="JJ871" s="15"/>
      <c r="JK871" s="15"/>
      <c r="JL871" s="15"/>
      <c r="JM871" s="15"/>
      <c r="JN871" s="15"/>
      <c r="JO871" s="15"/>
      <c r="JP871" s="15"/>
    </row>
    <row r="872" spans="33:276" ht="15" customHeight="1" x14ac:dyDescent="0.3">
      <c r="AG872" s="2"/>
      <c r="JD872" s="15"/>
      <c r="JE872" s="15"/>
      <c r="JF872" s="15"/>
      <c r="JG872" s="15"/>
      <c r="JH872" s="15"/>
      <c r="JI872" s="15"/>
      <c r="JJ872" s="15"/>
      <c r="JK872" s="15"/>
      <c r="JL872" s="15"/>
      <c r="JM872" s="15"/>
      <c r="JN872" s="15"/>
      <c r="JO872" s="15"/>
      <c r="JP872" s="15"/>
    </row>
    <row r="873" spans="33:276" ht="15" customHeight="1" x14ac:dyDescent="0.3">
      <c r="AG873" s="2"/>
      <c r="JD873" s="15"/>
      <c r="JE873" s="15"/>
      <c r="JF873" s="15"/>
      <c r="JG873" s="15"/>
      <c r="JH873" s="15"/>
      <c r="JI873" s="15"/>
      <c r="JJ873" s="15"/>
      <c r="JK873" s="15"/>
      <c r="JL873" s="15"/>
      <c r="JM873" s="15"/>
      <c r="JN873" s="15"/>
      <c r="JO873" s="15"/>
      <c r="JP873" s="15"/>
    </row>
    <row r="874" spans="33:276" ht="15" customHeight="1" x14ac:dyDescent="0.3">
      <c r="AG874" s="2"/>
      <c r="JD874" s="15"/>
      <c r="JE874" s="15"/>
      <c r="JF874" s="15"/>
      <c r="JG874" s="15"/>
      <c r="JH874" s="15"/>
      <c r="JI874" s="15"/>
      <c r="JJ874" s="15"/>
      <c r="JK874" s="15"/>
      <c r="JL874" s="15"/>
      <c r="JM874" s="15"/>
      <c r="JN874" s="15"/>
      <c r="JO874" s="15"/>
      <c r="JP874" s="15"/>
    </row>
    <row r="875" spans="33:276" ht="15" customHeight="1" x14ac:dyDescent="0.3">
      <c r="AG875" s="2"/>
      <c r="JD875" s="15"/>
      <c r="JE875" s="15"/>
      <c r="JF875" s="15"/>
      <c r="JG875" s="15"/>
      <c r="JH875" s="15"/>
      <c r="JI875" s="15"/>
      <c r="JJ875" s="15"/>
      <c r="JK875" s="15"/>
      <c r="JL875" s="15"/>
      <c r="JM875" s="15"/>
      <c r="JN875" s="15"/>
      <c r="JO875" s="15"/>
      <c r="JP875" s="15"/>
    </row>
    <row r="876" spans="33:276" ht="15" customHeight="1" x14ac:dyDescent="0.3">
      <c r="AG876" s="2"/>
      <c r="JD876" s="15"/>
      <c r="JE876" s="15"/>
      <c r="JF876" s="15"/>
      <c r="JG876" s="15"/>
      <c r="JH876" s="15"/>
      <c r="JI876" s="15"/>
      <c r="JJ876" s="15"/>
      <c r="JK876" s="15"/>
      <c r="JL876" s="15"/>
      <c r="JM876" s="15"/>
      <c r="JN876" s="15"/>
      <c r="JO876" s="15"/>
      <c r="JP876" s="15"/>
    </row>
    <row r="877" spans="33:276" ht="15" customHeight="1" x14ac:dyDescent="0.3">
      <c r="AG877" s="2"/>
      <c r="JD877" s="15"/>
      <c r="JE877" s="15"/>
      <c r="JF877" s="15"/>
      <c r="JG877" s="15"/>
      <c r="JH877" s="15"/>
      <c r="JI877" s="15"/>
      <c r="JJ877" s="15"/>
      <c r="JK877" s="15"/>
      <c r="JL877" s="15"/>
      <c r="JM877" s="15"/>
      <c r="JN877" s="15"/>
      <c r="JO877" s="15"/>
      <c r="JP877" s="15"/>
    </row>
    <row r="878" spans="33:276" ht="15" customHeight="1" x14ac:dyDescent="0.3">
      <c r="AG878" s="2"/>
      <c r="JD878" s="15"/>
      <c r="JE878" s="15"/>
      <c r="JF878" s="15"/>
      <c r="JG878" s="15"/>
      <c r="JH878" s="15"/>
      <c r="JI878" s="15"/>
      <c r="JJ878" s="15"/>
      <c r="JK878" s="15"/>
      <c r="JL878" s="15"/>
      <c r="JM878" s="15"/>
      <c r="JN878" s="15"/>
      <c r="JO878" s="15"/>
      <c r="JP878" s="15"/>
    </row>
    <row r="879" spans="33:276" ht="15" customHeight="1" x14ac:dyDescent="0.3">
      <c r="AG879" s="2"/>
      <c r="JD879" s="15"/>
      <c r="JE879" s="15"/>
      <c r="JF879" s="15"/>
      <c r="JG879" s="15"/>
      <c r="JH879" s="15"/>
      <c r="JI879" s="15"/>
      <c r="JJ879" s="15"/>
      <c r="JK879" s="15"/>
      <c r="JL879" s="15"/>
      <c r="JM879" s="15"/>
      <c r="JN879" s="15"/>
      <c r="JO879" s="15"/>
      <c r="JP879" s="15"/>
    </row>
    <row r="880" spans="33:276" ht="15" customHeight="1" x14ac:dyDescent="0.3">
      <c r="AG880" s="2"/>
      <c r="JD880" s="15"/>
      <c r="JE880" s="15"/>
      <c r="JF880" s="15"/>
      <c r="JG880" s="15"/>
      <c r="JH880" s="15"/>
      <c r="JI880" s="15"/>
      <c r="JJ880" s="15"/>
      <c r="JK880" s="15"/>
      <c r="JL880" s="15"/>
      <c r="JM880" s="15"/>
      <c r="JN880" s="15"/>
      <c r="JO880" s="15"/>
      <c r="JP880" s="15"/>
    </row>
    <row r="881" spans="33:276" ht="15" customHeight="1" x14ac:dyDescent="0.3">
      <c r="AG881" s="2"/>
      <c r="JD881" s="15"/>
      <c r="JE881" s="15"/>
      <c r="JF881" s="15"/>
      <c r="JG881" s="15"/>
      <c r="JH881" s="15"/>
      <c r="JI881" s="15"/>
      <c r="JJ881" s="15"/>
      <c r="JK881" s="15"/>
      <c r="JL881" s="15"/>
      <c r="JM881" s="15"/>
      <c r="JN881" s="15"/>
      <c r="JO881" s="15"/>
      <c r="JP881" s="15"/>
    </row>
    <row r="882" spans="33:276" ht="15" customHeight="1" x14ac:dyDescent="0.3">
      <c r="AG882" s="2"/>
      <c r="JD882" s="15"/>
      <c r="JE882" s="15"/>
      <c r="JF882" s="15"/>
      <c r="JG882" s="15"/>
      <c r="JH882" s="15"/>
      <c r="JI882" s="15"/>
      <c r="JJ882" s="15"/>
      <c r="JK882" s="15"/>
      <c r="JL882" s="15"/>
      <c r="JM882" s="15"/>
      <c r="JN882" s="15"/>
      <c r="JO882" s="15"/>
      <c r="JP882" s="15"/>
    </row>
    <row r="883" spans="33:276" ht="15" customHeight="1" x14ac:dyDescent="0.3">
      <c r="AG883" s="2"/>
      <c r="JD883" s="15"/>
      <c r="JE883" s="15"/>
      <c r="JF883" s="15"/>
      <c r="JG883" s="15"/>
      <c r="JH883" s="15"/>
      <c r="JI883" s="15"/>
      <c r="JJ883" s="15"/>
      <c r="JK883" s="15"/>
      <c r="JL883" s="15"/>
      <c r="JM883" s="15"/>
      <c r="JN883" s="15"/>
      <c r="JO883" s="15"/>
      <c r="JP883" s="15"/>
    </row>
    <row r="884" spans="33:276" ht="15" customHeight="1" x14ac:dyDescent="0.3">
      <c r="AG884" s="2"/>
      <c r="JD884" s="15"/>
      <c r="JE884" s="15"/>
      <c r="JF884" s="15"/>
      <c r="JG884" s="15"/>
      <c r="JH884" s="15"/>
      <c r="JI884" s="15"/>
      <c r="JJ884" s="15"/>
      <c r="JK884" s="15"/>
      <c r="JL884" s="15"/>
      <c r="JM884" s="15"/>
      <c r="JN884" s="15"/>
      <c r="JO884" s="15"/>
      <c r="JP884" s="15"/>
    </row>
    <row r="885" spans="33:276" ht="15" customHeight="1" x14ac:dyDescent="0.3">
      <c r="AG885" s="2"/>
      <c r="JD885" s="15"/>
      <c r="JE885" s="15"/>
      <c r="JF885" s="15"/>
      <c r="JG885" s="15"/>
      <c r="JH885" s="15"/>
      <c r="JI885" s="15"/>
      <c r="JJ885" s="15"/>
      <c r="JK885" s="15"/>
      <c r="JL885" s="15"/>
      <c r="JM885" s="15"/>
      <c r="JN885" s="15"/>
      <c r="JO885" s="15"/>
      <c r="JP885" s="15"/>
    </row>
    <row r="886" spans="33:276" ht="15" customHeight="1" x14ac:dyDescent="0.3">
      <c r="AG886" s="2"/>
      <c r="JD886" s="15"/>
      <c r="JE886" s="15"/>
      <c r="JF886" s="15"/>
      <c r="JG886" s="15"/>
      <c r="JH886" s="15"/>
      <c r="JI886" s="15"/>
      <c r="JJ886" s="15"/>
      <c r="JK886" s="15"/>
      <c r="JL886" s="15"/>
      <c r="JM886" s="15"/>
      <c r="JN886" s="15"/>
      <c r="JO886" s="15"/>
      <c r="JP886" s="15"/>
    </row>
    <row r="887" spans="33:276" ht="15" customHeight="1" x14ac:dyDescent="0.3">
      <c r="AG887" s="2"/>
      <c r="JD887" s="15"/>
      <c r="JE887" s="15"/>
      <c r="JF887" s="15"/>
      <c r="JG887" s="15"/>
      <c r="JH887" s="15"/>
      <c r="JI887" s="15"/>
      <c r="JJ887" s="15"/>
      <c r="JK887" s="15"/>
      <c r="JL887" s="15"/>
      <c r="JM887" s="15"/>
      <c r="JN887" s="15"/>
      <c r="JO887" s="15"/>
      <c r="JP887" s="15"/>
    </row>
    <row r="888" spans="33:276" ht="15" customHeight="1" x14ac:dyDescent="0.3">
      <c r="AG888" s="2"/>
      <c r="JD888" s="15"/>
      <c r="JE888" s="15"/>
      <c r="JF888" s="15"/>
      <c r="JG888" s="15"/>
      <c r="JH888" s="15"/>
      <c r="JI888" s="15"/>
      <c r="JJ888" s="15"/>
      <c r="JK888" s="15"/>
      <c r="JL888" s="15"/>
      <c r="JM888" s="15"/>
      <c r="JN888" s="15"/>
      <c r="JO888" s="15"/>
      <c r="JP888" s="15"/>
    </row>
    <row r="889" spans="33:276" ht="15" customHeight="1" x14ac:dyDescent="0.3">
      <c r="AG889" s="2"/>
      <c r="JD889" s="15"/>
      <c r="JE889" s="15"/>
      <c r="JF889" s="15"/>
      <c r="JG889" s="15"/>
      <c r="JH889" s="15"/>
      <c r="JI889" s="15"/>
      <c r="JJ889" s="15"/>
      <c r="JK889" s="15"/>
      <c r="JL889" s="15"/>
      <c r="JM889" s="15"/>
      <c r="JN889" s="15"/>
      <c r="JO889" s="15"/>
      <c r="JP889" s="15"/>
    </row>
    <row r="890" spans="33:276" ht="15" customHeight="1" x14ac:dyDescent="0.3">
      <c r="AG890" s="2"/>
      <c r="JD890" s="15"/>
      <c r="JE890" s="15"/>
      <c r="JF890" s="15"/>
      <c r="JG890" s="15"/>
      <c r="JH890" s="15"/>
      <c r="JI890" s="15"/>
      <c r="JJ890" s="15"/>
      <c r="JK890" s="15"/>
      <c r="JL890" s="15"/>
      <c r="JM890" s="15"/>
      <c r="JN890" s="15"/>
      <c r="JO890" s="15"/>
      <c r="JP890" s="15"/>
    </row>
    <row r="891" spans="33:276" ht="15" customHeight="1" x14ac:dyDescent="0.3">
      <c r="AG891" s="2"/>
      <c r="JD891" s="15"/>
      <c r="JE891" s="15"/>
      <c r="JF891" s="15"/>
      <c r="JG891" s="15"/>
      <c r="JH891" s="15"/>
      <c r="JI891" s="15"/>
      <c r="JJ891" s="15"/>
      <c r="JK891" s="15"/>
      <c r="JL891" s="15"/>
      <c r="JM891" s="15"/>
      <c r="JN891" s="15"/>
      <c r="JO891" s="15"/>
      <c r="JP891" s="15"/>
    </row>
    <row r="892" spans="33:276" ht="15" customHeight="1" x14ac:dyDescent="0.3">
      <c r="AG892" s="2"/>
      <c r="JD892" s="15"/>
      <c r="JE892" s="15"/>
      <c r="JF892" s="15"/>
      <c r="JG892" s="15"/>
      <c r="JH892" s="15"/>
      <c r="JI892" s="15"/>
      <c r="JJ892" s="15"/>
      <c r="JK892" s="15"/>
      <c r="JL892" s="15"/>
      <c r="JM892" s="15"/>
      <c r="JN892" s="15"/>
      <c r="JO892" s="15"/>
      <c r="JP892" s="15"/>
    </row>
    <row r="893" spans="33:276" ht="15" customHeight="1" x14ac:dyDescent="0.3">
      <c r="AG893" s="2"/>
      <c r="JD893" s="15"/>
      <c r="JE893" s="15"/>
      <c r="JF893" s="15"/>
      <c r="JG893" s="15"/>
      <c r="JH893" s="15"/>
      <c r="JI893" s="15"/>
      <c r="JJ893" s="15"/>
      <c r="JK893" s="15"/>
      <c r="JL893" s="15"/>
      <c r="JM893" s="15"/>
      <c r="JN893" s="15"/>
      <c r="JO893" s="15"/>
      <c r="JP893" s="15"/>
    </row>
    <row r="894" spans="33:276" ht="15" customHeight="1" x14ac:dyDescent="0.3">
      <c r="AG894" s="2"/>
      <c r="JD894" s="15"/>
      <c r="JE894" s="15"/>
      <c r="JF894" s="15"/>
      <c r="JG894" s="15"/>
      <c r="JH894" s="15"/>
      <c r="JI894" s="15"/>
      <c r="JJ894" s="15"/>
      <c r="JK894" s="15"/>
      <c r="JL894" s="15"/>
      <c r="JM894" s="15"/>
      <c r="JN894" s="15"/>
      <c r="JO894" s="15"/>
      <c r="JP894" s="15"/>
    </row>
    <row r="895" spans="33:276" ht="15" customHeight="1" x14ac:dyDescent="0.3">
      <c r="AG895" s="2"/>
      <c r="JD895" s="15"/>
      <c r="JE895" s="15"/>
      <c r="JF895" s="15"/>
      <c r="JG895" s="15"/>
      <c r="JH895" s="15"/>
      <c r="JI895" s="15"/>
      <c r="JJ895" s="15"/>
      <c r="JK895" s="15"/>
      <c r="JL895" s="15"/>
      <c r="JM895" s="15"/>
      <c r="JN895" s="15"/>
      <c r="JO895" s="15"/>
      <c r="JP895" s="15"/>
    </row>
    <row r="896" spans="33:276" ht="15" customHeight="1" x14ac:dyDescent="0.3">
      <c r="AG896" s="2"/>
      <c r="JD896" s="15"/>
      <c r="JE896" s="15"/>
      <c r="JF896" s="15"/>
      <c r="JG896" s="15"/>
      <c r="JH896" s="15"/>
      <c r="JI896" s="15"/>
      <c r="JJ896" s="15"/>
      <c r="JK896" s="15"/>
      <c r="JL896" s="15"/>
      <c r="JM896" s="15"/>
      <c r="JN896" s="15"/>
      <c r="JO896" s="15"/>
      <c r="JP896" s="15"/>
    </row>
    <row r="897" spans="33:276" ht="15" customHeight="1" x14ac:dyDescent="0.3">
      <c r="AG897" s="2"/>
      <c r="JD897" s="15"/>
      <c r="JE897" s="15"/>
      <c r="JF897" s="15"/>
      <c r="JG897" s="15"/>
      <c r="JH897" s="15"/>
      <c r="JI897" s="15"/>
      <c r="JJ897" s="15"/>
      <c r="JK897" s="15"/>
      <c r="JL897" s="15"/>
      <c r="JM897" s="15"/>
      <c r="JN897" s="15"/>
      <c r="JO897" s="15"/>
      <c r="JP897" s="15"/>
    </row>
    <row r="898" spans="33:276" ht="15" customHeight="1" x14ac:dyDescent="0.3">
      <c r="AG898" s="2"/>
      <c r="JD898" s="15"/>
      <c r="JE898" s="15"/>
      <c r="JF898" s="15"/>
      <c r="JG898" s="15"/>
      <c r="JH898" s="15"/>
      <c r="JI898" s="15"/>
      <c r="JJ898" s="15"/>
      <c r="JK898" s="15"/>
      <c r="JL898" s="15"/>
      <c r="JM898" s="15"/>
      <c r="JN898" s="15"/>
      <c r="JO898" s="15"/>
      <c r="JP898" s="15"/>
    </row>
    <row r="899" spans="33:276" ht="15" customHeight="1" x14ac:dyDescent="0.3">
      <c r="AG899" s="2"/>
      <c r="JD899" s="15"/>
      <c r="JE899" s="15"/>
      <c r="JF899" s="15"/>
      <c r="JG899" s="15"/>
      <c r="JH899" s="15"/>
      <c r="JI899" s="15"/>
      <c r="JJ899" s="15"/>
      <c r="JK899" s="15"/>
      <c r="JL899" s="15"/>
      <c r="JM899" s="15"/>
      <c r="JN899" s="15"/>
      <c r="JO899" s="15"/>
      <c r="JP899" s="15"/>
    </row>
    <row r="900" spans="33:276" ht="15" customHeight="1" x14ac:dyDescent="0.3">
      <c r="AG900" s="2"/>
      <c r="JD900" s="15"/>
      <c r="JE900" s="15"/>
      <c r="JF900" s="15"/>
      <c r="JG900" s="15"/>
      <c r="JH900" s="15"/>
      <c r="JI900" s="15"/>
      <c r="JJ900" s="15"/>
      <c r="JK900" s="15"/>
      <c r="JL900" s="15"/>
      <c r="JM900" s="15"/>
      <c r="JN900" s="15"/>
      <c r="JO900" s="15"/>
      <c r="JP900" s="15"/>
    </row>
    <row r="901" spans="33:276" ht="15" customHeight="1" x14ac:dyDescent="0.3">
      <c r="AG901" s="2"/>
      <c r="JD901" s="15"/>
      <c r="JE901" s="15"/>
      <c r="JF901" s="15"/>
      <c r="JG901" s="15"/>
      <c r="JH901" s="15"/>
      <c r="JI901" s="15"/>
      <c r="JJ901" s="15"/>
      <c r="JK901" s="15"/>
      <c r="JL901" s="15"/>
      <c r="JM901" s="15"/>
      <c r="JN901" s="15"/>
      <c r="JO901" s="15"/>
      <c r="JP901" s="15"/>
    </row>
    <row r="902" spans="33:276" ht="15" customHeight="1" x14ac:dyDescent="0.3">
      <c r="AG902" s="2"/>
      <c r="JD902" s="15"/>
      <c r="JE902" s="15"/>
      <c r="JF902" s="15"/>
      <c r="JG902" s="15"/>
      <c r="JH902" s="15"/>
      <c r="JI902" s="15"/>
      <c r="JJ902" s="15"/>
      <c r="JK902" s="15"/>
      <c r="JL902" s="15"/>
      <c r="JM902" s="15"/>
      <c r="JN902" s="15"/>
      <c r="JO902" s="15"/>
      <c r="JP902" s="15"/>
    </row>
    <row r="903" spans="33:276" ht="15" customHeight="1" x14ac:dyDescent="0.3">
      <c r="AG903" s="2"/>
      <c r="JD903" s="15"/>
      <c r="JE903" s="15"/>
      <c r="JF903" s="15"/>
      <c r="JG903" s="15"/>
      <c r="JH903" s="15"/>
      <c r="JI903" s="15"/>
      <c r="JJ903" s="15"/>
      <c r="JK903" s="15"/>
      <c r="JL903" s="15"/>
      <c r="JM903" s="15"/>
      <c r="JN903" s="15"/>
      <c r="JO903" s="15"/>
      <c r="JP903" s="15"/>
    </row>
    <row r="904" spans="33:276" ht="15" customHeight="1" x14ac:dyDescent="0.3">
      <c r="AG904" s="2"/>
      <c r="JD904" s="15"/>
      <c r="JE904" s="15"/>
      <c r="JF904" s="15"/>
      <c r="JG904" s="15"/>
      <c r="JH904" s="15"/>
      <c r="JI904" s="15"/>
      <c r="JJ904" s="15"/>
      <c r="JK904" s="15"/>
      <c r="JL904" s="15"/>
      <c r="JM904" s="15"/>
      <c r="JN904" s="15"/>
      <c r="JO904" s="15"/>
      <c r="JP904" s="15"/>
    </row>
    <row r="905" spans="33:276" ht="15" customHeight="1" x14ac:dyDescent="0.3">
      <c r="AG905" s="2"/>
      <c r="JD905" s="15"/>
      <c r="JE905" s="15"/>
      <c r="JF905" s="15"/>
      <c r="JG905" s="15"/>
      <c r="JH905" s="15"/>
      <c r="JI905" s="15"/>
      <c r="JJ905" s="15"/>
      <c r="JK905" s="15"/>
      <c r="JL905" s="15"/>
      <c r="JM905" s="15"/>
      <c r="JN905" s="15"/>
      <c r="JO905" s="15"/>
      <c r="JP905" s="15"/>
    </row>
    <row r="906" spans="33:276" ht="15" customHeight="1" x14ac:dyDescent="0.3">
      <c r="AG906" s="2"/>
      <c r="JD906" s="15"/>
      <c r="JE906" s="15"/>
      <c r="JF906" s="15"/>
      <c r="JG906" s="15"/>
      <c r="JH906" s="15"/>
      <c r="JI906" s="15"/>
      <c r="JJ906" s="15"/>
      <c r="JK906" s="15"/>
      <c r="JL906" s="15"/>
      <c r="JM906" s="15"/>
      <c r="JN906" s="15"/>
      <c r="JO906" s="15"/>
      <c r="JP906" s="15"/>
    </row>
    <row r="907" spans="33:276" ht="15" customHeight="1" x14ac:dyDescent="0.3">
      <c r="AG907" s="2"/>
      <c r="JD907" s="15"/>
      <c r="JE907" s="15"/>
      <c r="JF907" s="15"/>
      <c r="JG907" s="15"/>
      <c r="JH907" s="15"/>
      <c r="JI907" s="15"/>
      <c r="JJ907" s="15"/>
      <c r="JK907" s="15"/>
      <c r="JL907" s="15"/>
      <c r="JM907" s="15"/>
      <c r="JN907" s="15"/>
      <c r="JO907" s="15"/>
      <c r="JP907" s="15"/>
    </row>
    <row r="908" spans="33:276" ht="15" customHeight="1" x14ac:dyDescent="0.3">
      <c r="AG908" s="2"/>
      <c r="JD908" s="15"/>
      <c r="JE908" s="15"/>
      <c r="JF908" s="15"/>
      <c r="JG908" s="15"/>
      <c r="JH908" s="15"/>
      <c r="JI908" s="15"/>
      <c r="JJ908" s="15"/>
      <c r="JK908" s="15"/>
      <c r="JL908" s="15"/>
      <c r="JM908" s="15"/>
      <c r="JN908" s="15"/>
      <c r="JO908" s="15"/>
      <c r="JP908" s="15"/>
    </row>
    <row r="909" spans="33:276" ht="15" customHeight="1" x14ac:dyDescent="0.3">
      <c r="AG909" s="2"/>
      <c r="JD909" s="15"/>
      <c r="JE909" s="15"/>
      <c r="JF909" s="15"/>
      <c r="JG909" s="15"/>
      <c r="JH909" s="15"/>
      <c r="JI909" s="15"/>
      <c r="JJ909" s="15"/>
      <c r="JK909" s="15"/>
      <c r="JL909" s="15"/>
      <c r="JM909" s="15"/>
      <c r="JN909" s="15"/>
      <c r="JO909" s="15"/>
      <c r="JP909" s="15"/>
    </row>
    <row r="910" spans="33:276" ht="15" customHeight="1" x14ac:dyDescent="0.3">
      <c r="AG910" s="2"/>
      <c r="JD910" s="15"/>
      <c r="JE910" s="15"/>
      <c r="JF910" s="15"/>
      <c r="JG910" s="15"/>
      <c r="JH910" s="15"/>
      <c r="JI910" s="15"/>
      <c r="JJ910" s="15"/>
      <c r="JK910" s="15"/>
      <c r="JL910" s="15"/>
      <c r="JM910" s="15"/>
      <c r="JN910" s="15"/>
      <c r="JO910" s="15"/>
      <c r="JP910" s="15"/>
    </row>
    <row r="911" spans="33:276" ht="15" customHeight="1" x14ac:dyDescent="0.3">
      <c r="AG911" s="2"/>
      <c r="JD911" s="15"/>
      <c r="JE911" s="15"/>
      <c r="JF911" s="15"/>
      <c r="JG911" s="15"/>
      <c r="JH911" s="15"/>
      <c r="JI911" s="15"/>
      <c r="JJ911" s="15"/>
      <c r="JK911" s="15"/>
      <c r="JL911" s="15"/>
      <c r="JM911" s="15"/>
      <c r="JN911" s="15"/>
      <c r="JO911" s="15"/>
      <c r="JP911" s="15"/>
    </row>
    <row r="912" spans="33:276" ht="15" customHeight="1" x14ac:dyDescent="0.3">
      <c r="AG912" s="2"/>
      <c r="JD912" s="15"/>
      <c r="JE912" s="15"/>
      <c r="JF912" s="15"/>
      <c r="JG912" s="15"/>
      <c r="JH912" s="15"/>
      <c r="JI912" s="15"/>
      <c r="JJ912" s="15"/>
      <c r="JK912" s="15"/>
      <c r="JL912" s="15"/>
      <c r="JM912" s="15"/>
      <c r="JN912" s="15"/>
      <c r="JO912" s="15"/>
      <c r="JP912" s="15"/>
    </row>
    <row r="913" spans="33:276" ht="15" customHeight="1" x14ac:dyDescent="0.3">
      <c r="AG913" s="2"/>
      <c r="JD913" s="15"/>
      <c r="JE913" s="15"/>
      <c r="JF913" s="15"/>
      <c r="JG913" s="15"/>
      <c r="JH913" s="15"/>
      <c r="JI913" s="15"/>
      <c r="JJ913" s="15"/>
      <c r="JK913" s="15"/>
      <c r="JL913" s="15"/>
      <c r="JM913" s="15"/>
      <c r="JN913" s="15"/>
      <c r="JO913" s="15"/>
      <c r="JP913" s="15"/>
    </row>
    <row r="914" spans="33:276" ht="15" customHeight="1" x14ac:dyDescent="0.3">
      <c r="AG914" s="2"/>
      <c r="JD914" s="15"/>
      <c r="JE914" s="15"/>
      <c r="JF914" s="15"/>
      <c r="JG914" s="15"/>
      <c r="JH914" s="15"/>
      <c r="JI914" s="15"/>
      <c r="JJ914" s="15"/>
      <c r="JK914" s="15"/>
      <c r="JL914" s="15"/>
      <c r="JM914" s="15"/>
      <c r="JN914" s="15"/>
      <c r="JO914" s="15"/>
      <c r="JP914" s="15"/>
    </row>
    <row r="915" spans="33:276" ht="15" customHeight="1" x14ac:dyDescent="0.3">
      <c r="AG915" s="2"/>
      <c r="JD915" s="15"/>
      <c r="JE915" s="15"/>
      <c r="JF915" s="15"/>
      <c r="JG915" s="15"/>
      <c r="JH915" s="15"/>
      <c r="JI915" s="15"/>
      <c r="JJ915" s="15"/>
      <c r="JK915" s="15"/>
      <c r="JL915" s="15"/>
      <c r="JM915" s="15"/>
      <c r="JN915" s="15"/>
      <c r="JO915" s="15"/>
      <c r="JP915" s="15"/>
    </row>
    <row r="916" spans="33:276" ht="15" customHeight="1" x14ac:dyDescent="0.3">
      <c r="AG916" s="2"/>
      <c r="JD916" s="15"/>
      <c r="JE916" s="15"/>
      <c r="JF916" s="15"/>
      <c r="JG916" s="15"/>
      <c r="JH916" s="15"/>
      <c r="JI916" s="15"/>
      <c r="JJ916" s="15"/>
      <c r="JK916" s="15"/>
      <c r="JL916" s="15"/>
      <c r="JM916" s="15"/>
      <c r="JN916" s="15"/>
      <c r="JO916" s="15"/>
      <c r="JP916" s="15"/>
    </row>
    <row r="917" spans="33:276" ht="15" customHeight="1" x14ac:dyDescent="0.3">
      <c r="AG917" s="2"/>
      <c r="JD917" s="15"/>
      <c r="JE917" s="15"/>
      <c r="JF917" s="15"/>
      <c r="JG917" s="15"/>
      <c r="JH917" s="15"/>
      <c r="JI917" s="15"/>
      <c r="JJ917" s="15"/>
      <c r="JK917" s="15"/>
      <c r="JL917" s="15"/>
      <c r="JM917" s="15"/>
      <c r="JN917" s="15"/>
      <c r="JO917" s="15"/>
      <c r="JP917" s="15"/>
    </row>
    <row r="918" spans="33:276" ht="15" customHeight="1" x14ac:dyDescent="0.3">
      <c r="AG918" s="2"/>
      <c r="JD918" s="15"/>
      <c r="JE918" s="15"/>
      <c r="JF918" s="15"/>
      <c r="JG918" s="15"/>
      <c r="JH918" s="15"/>
      <c r="JI918" s="15"/>
      <c r="JJ918" s="15"/>
      <c r="JK918" s="15"/>
      <c r="JL918" s="15"/>
      <c r="JM918" s="15"/>
      <c r="JN918" s="15"/>
      <c r="JO918" s="15"/>
      <c r="JP918" s="15"/>
    </row>
    <row r="919" spans="33:276" ht="15" customHeight="1" x14ac:dyDescent="0.3">
      <c r="AG919" s="2"/>
      <c r="JD919" s="15"/>
      <c r="JE919" s="15"/>
      <c r="JF919" s="15"/>
      <c r="JG919" s="15"/>
      <c r="JH919" s="15"/>
      <c r="JI919" s="15"/>
      <c r="JJ919" s="15"/>
      <c r="JK919" s="15"/>
      <c r="JL919" s="15"/>
      <c r="JM919" s="15"/>
      <c r="JN919" s="15"/>
      <c r="JO919" s="15"/>
      <c r="JP919" s="15"/>
    </row>
    <row r="920" spans="33:276" ht="15" customHeight="1" x14ac:dyDescent="0.3">
      <c r="AG920" s="2"/>
      <c r="JD920" s="15"/>
      <c r="JE920" s="15"/>
      <c r="JF920" s="15"/>
      <c r="JG920" s="15"/>
      <c r="JH920" s="15"/>
      <c r="JI920" s="15"/>
      <c r="JJ920" s="15"/>
      <c r="JK920" s="15"/>
      <c r="JL920" s="15"/>
      <c r="JM920" s="15"/>
      <c r="JN920" s="15"/>
      <c r="JO920" s="15"/>
      <c r="JP920" s="15"/>
    </row>
    <row r="921" spans="33:276" ht="15" customHeight="1" x14ac:dyDescent="0.3">
      <c r="AG921" s="2"/>
      <c r="JD921" s="15"/>
      <c r="JE921" s="15"/>
      <c r="JF921" s="15"/>
      <c r="JG921" s="15"/>
      <c r="JH921" s="15"/>
      <c r="JI921" s="15"/>
      <c r="JJ921" s="15"/>
      <c r="JK921" s="15"/>
      <c r="JL921" s="15"/>
      <c r="JM921" s="15"/>
      <c r="JN921" s="15"/>
      <c r="JO921" s="15"/>
      <c r="JP921" s="15"/>
    </row>
    <row r="922" spans="33:276" ht="15" customHeight="1" x14ac:dyDescent="0.3">
      <c r="AG922" s="2"/>
      <c r="JD922" s="15"/>
      <c r="JE922" s="15"/>
      <c r="JF922" s="15"/>
      <c r="JG922" s="15"/>
      <c r="JH922" s="15"/>
      <c r="JI922" s="15"/>
      <c r="JJ922" s="15"/>
      <c r="JK922" s="15"/>
      <c r="JL922" s="15"/>
      <c r="JM922" s="15"/>
      <c r="JN922" s="15"/>
      <c r="JO922" s="15"/>
      <c r="JP922" s="15"/>
    </row>
    <row r="923" spans="33:276" ht="15" customHeight="1" x14ac:dyDescent="0.3">
      <c r="AG923" s="2"/>
      <c r="JD923" s="15"/>
      <c r="JE923" s="15"/>
      <c r="JF923" s="15"/>
      <c r="JG923" s="15"/>
      <c r="JH923" s="15"/>
      <c r="JI923" s="15"/>
      <c r="JJ923" s="15"/>
      <c r="JK923" s="15"/>
      <c r="JL923" s="15"/>
      <c r="JM923" s="15"/>
      <c r="JN923" s="15"/>
      <c r="JO923" s="15"/>
      <c r="JP923" s="15"/>
    </row>
    <row r="924" spans="33:276" ht="15" customHeight="1" x14ac:dyDescent="0.3">
      <c r="AG924" s="2"/>
      <c r="JD924" s="15"/>
      <c r="JE924" s="15"/>
      <c r="JF924" s="15"/>
      <c r="JG924" s="15"/>
      <c r="JH924" s="15"/>
      <c r="JI924" s="15"/>
      <c r="JJ924" s="15"/>
      <c r="JK924" s="15"/>
      <c r="JL924" s="15"/>
      <c r="JM924" s="15"/>
      <c r="JN924" s="15"/>
      <c r="JO924" s="15"/>
      <c r="JP924" s="15"/>
    </row>
    <row r="925" spans="33:276" ht="15" customHeight="1" x14ac:dyDescent="0.3">
      <c r="AG925" s="2"/>
      <c r="JD925" s="15"/>
      <c r="JE925" s="15"/>
      <c r="JF925" s="15"/>
      <c r="JG925" s="15"/>
      <c r="JH925" s="15"/>
      <c r="JI925" s="15"/>
      <c r="JJ925" s="15"/>
      <c r="JK925" s="15"/>
      <c r="JL925" s="15"/>
      <c r="JM925" s="15"/>
      <c r="JN925" s="15"/>
      <c r="JO925" s="15"/>
      <c r="JP925" s="15"/>
    </row>
    <row r="926" spans="33:276" ht="15" customHeight="1" x14ac:dyDescent="0.3">
      <c r="AG926" s="2"/>
      <c r="JD926" s="15"/>
      <c r="JE926" s="15"/>
      <c r="JF926" s="15"/>
      <c r="JG926" s="15"/>
      <c r="JH926" s="15"/>
      <c r="JI926" s="15"/>
      <c r="JJ926" s="15"/>
      <c r="JK926" s="15"/>
      <c r="JL926" s="15"/>
      <c r="JM926" s="15"/>
      <c r="JN926" s="15"/>
      <c r="JO926" s="15"/>
      <c r="JP926" s="15"/>
    </row>
    <row r="927" spans="33:276" ht="15" customHeight="1" x14ac:dyDescent="0.3">
      <c r="AG927" s="2"/>
      <c r="JD927" s="15"/>
      <c r="JE927" s="15"/>
      <c r="JF927" s="15"/>
      <c r="JG927" s="15"/>
      <c r="JH927" s="15"/>
      <c r="JI927" s="15"/>
      <c r="JJ927" s="15"/>
      <c r="JK927" s="15"/>
      <c r="JL927" s="15"/>
      <c r="JM927" s="15"/>
      <c r="JN927" s="15"/>
      <c r="JO927" s="15"/>
      <c r="JP927" s="15"/>
    </row>
    <row r="928" spans="33:276" ht="15" customHeight="1" x14ac:dyDescent="0.3">
      <c r="AG928" s="2"/>
      <c r="JD928" s="15"/>
      <c r="JE928" s="15"/>
      <c r="JF928" s="15"/>
      <c r="JG928" s="15"/>
      <c r="JH928" s="15"/>
      <c r="JI928" s="15"/>
      <c r="JJ928" s="15"/>
      <c r="JK928" s="15"/>
      <c r="JL928" s="15"/>
      <c r="JM928" s="15"/>
      <c r="JN928" s="15"/>
      <c r="JO928" s="15"/>
      <c r="JP928" s="15"/>
    </row>
    <row r="929" spans="33:276" ht="15" customHeight="1" x14ac:dyDescent="0.3">
      <c r="AG929" s="2"/>
      <c r="JD929" s="15"/>
      <c r="JE929" s="15"/>
      <c r="JF929" s="15"/>
      <c r="JG929" s="15"/>
      <c r="JH929" s="15"/>
      <c r="JI929" s="15"/>
      <c r="JJ929" s="15"/>
      <c r="JK929" s="15"/>
      <c r="JL929" s="15"/>
      <c r="JM929" s="15"/>
      <c r="JN929" s="15"/>
      <c r="JO929" s="15"/>
      <c r="JP929" s="15"/>
    </row>
    <row r="930" spans="33:276" ht="15" customHeight="1" x14ac:dyDescent="0.3">
      <c r="AG930" s="2"/>
      <c r="JD930" s="15"/>
      <c r="JE930" s="15"/>
      <c r="JF930" s="15"/>
      <c r="JG930" s="15"/>
      <c r="JH930" s="15"/>
      <c r="JI930" s="15"/>
      <c r="JJ930" s="15"/>
      <c r="JK930" s="15"/>
      <c r="JL930" s="15"/>
      <c r="JM930" s="15"/>
      <c r="JN930" s="15"/>
      <c r="JO930" s="15"/>
      <c r="JP930" s="15"/>
    </row>
    <row r="931" spans="33:276" ht="15" customHeight="1" x14ac:dyDescent="0.3">
      <c r="AG931" s="2"/>
      <c r="JD931" s="15"/>
      <c r="JE931" s="15"/>
      <c r="JF931" s="15"/>
      <c r="JG931" s="15"/>
      <c r="JH931" s="15"/>
      <c r="JI931" s="15"/>
      <c r="JJ931" s="15"/>
      <c r="JK931" s="15"/>
      <c r="JL931" s="15"/>
      <c r="JM931" s="15"/>
      <c r="JN931" s="15"/>
      <c r="JO931" s="15"/>
      <c r="JP931" s="15"/>
    </row>
    <row r="932" spans="33:276" ht="15" customHeight="1" x14ac:dyDescent="0.3">
      <c r="AG932" s="2"/>
      <c r="JD932" s="15"/>
      <c r="JE932" s="15"/>
      <c r="JF932" s="15"/>
      <c r="JG932" s="15"/>
      <c r="JH932" s="15"/>
      <c r="JI932" s="15"/>
      <c r="JJ932" s="15"/>
      <c r="JK932" s="15"/>
      <c r="JL932" s="15"/>
      <c r="JM932" s="15"/>
      <c r="JN932" s="15"/>
      <c r="JO932" s="15"/>
      <c r="JP932" s="15"/>
    </row>
    <row r="933" spans="33:276" ht="15" customHeight="1" x14ac:dyDescent="0.3">
      <c r="AG933" s="2"/>
      <c r="JD933" s="15"/>
      <c r="JE933" s="15"/>
      <c r="JF933" s="15"/>
      <c r="JG933" s="15"/>
      <c r="JH933" s="15"/>
      <c r="JI933" s="15"/>
      <c r="JJ933" s="15"/>
      <c r="JK933" s="15"/>
      <c r="JL933" s="15"/>
      <c r="JM933" s="15"/>
      <c r="JN933" s="15"/>
      <c r="JO933" s="15"/>
      <c r="JP933" s="15"/>
    </row>
    <row r="934" spans="33:276" ht="15" customHeight="1" x14ac:dyDescent="0.3">
      <c r="AG934" s="2"/>
      <c r="JD934" s="15"/>
      <c r="JE934" s="15"/>
      <c r="JF934" s="15"/>
      <c r="JG934" s="15"/>
      <c r="JH934" s="15"/>
      <c r="JI934" s="15"/>
      <c r="JJ934" s="15"/>
      <c r="JK934" s="15"/>
      <c r="JL934" s="15"/>
      <c r="JM934" s="15"/>
      <c r="JN934" s="15"/>
      <c r="JO934" s="15"/>
      <c r="JP934" s="15"/>
    </row>
    <row r="935" spans="33:276" ht="15" customHeight="1" x14ac:dyDescent="0.3">
      <c r="AG935" s="2"/>
      <c r="JD935" s="15"/>
      <c r="JE935" s="15"/>
      <c r="JF935" s="15"/>
      <c r="JG935" s="15"/>
      <c r="JH935" s="15"/>
      <c r="JI935" s="15"/>
      <c r="JJ935" s="15"/>
      <c r="JK935" s="15"/>
      <c r="JL935" s="15"/>
      <c r="JM935" s="15"/>
      <c r="JN935" s="15"/>
      <c r="JO935" s="15"/>
      <c r="JP935" s="15"/>
    </row>
    <row r="936" spans="33:276" ht="15" customHeight="1" x14ac:dyDescent="0.3">
      <c r="AG936" s="2"/>
      <c r="JD936" s="15"/>
      <c r="JE936" s="15"/>
      <c r="JF936" s="15"/>
      <c r="JG936" s="15"/>
      <c r="JH936" s="15"/>
      <c r="JI936" s="15"/>
      <c r="JJ936" s="15"/>
      <c r="JK936" s="15"/>
      <c r="JL936" s="15"/>
      <c r="JM936" s="15"/>
      <c r="JN936" s="15"/>
      <c r="JO936" s="15"/>
      <c r="JP936" s="15"/>
    </row>
    <row r="937" spans="33:276" ht="15" customHeight="1" x14ac:dyDescent="0.3">
      <c r="AG937" s="2"/>
      <c r="JD937" s="15"/>
      <c r="JE937" s="15"/>
      <c r="JF937" s="15"/>
      <c r="JG937" s="15"/>
      <c r="JH937" s="15"/>
      <c r="JI937" s="15"/>
      <c r="JJ937" s="15"/>
      <c r="JK937" s="15"/>
      <c r="JL937" s="15"/>
      <c r="JM937" s="15"/>
      <c r="JN937" s="15"/>
      <c r="JO937" s="15"/>
      <c r="JP937" s="15"/>
    </row>
    <row r="938" spans="33:276" ht="15" customHeight="1" x14ac:dyDescent="0.3">
      <c r="AG938" s="2"/>
      <c r="JD938" s="15"/>
      <c r="JE938" s="15"/>
      <c r="JF938" s="15"/>
      <c r="JG938" s="15"/>
      <c r="JH938" s="15"/>
      <c r="JI938" s="15"/>
      <c r="JJ938" s="15"/>
      <c r="JK938" s="15"/>
      <c r="JL938" s="15"/>
      <c r="JM938" s="15"/>
      <c r="JN938" s="15"/>
      <c r="JO938" s="15"/>
      <c r="JP938" s="15"/>
    </row>
    <row r="939" spans="33:276" ht="15" customHeight="1" x14ac:dyDescent="0.3">
      <c r="AG939" s="2"/>
      <c r="JD939" s="15"/>
      <c r="JE939" s="15"/>
      <c r="JF939" s="15"/>
      <c r="JG939" s="15"/>
      <c r="JH939" s="15"/>
      <c r="JI939" s="15"/>
      <c r="JJ939" s="15"/>
      <c r="JK939" s="15"/>
      <c r="JL939" s="15"/>
      <c r="JM939" s="15"/>
      <c r="JN939" s="15"/>
      <c r="JO939" s="15"/>
      <c r="JP939" s="15"/>
    </row>
    <row r="940" spans="33:276" ht="15" customHeight="1" x14ac:dyDescent="0.3">
      <c r="AG940" s="2"/>
      <c r="JD940" s="15"/>
      <c r="JE940" s="15"/>
      <c r="JF940" s="15"/>
      <c r="JG940" s="15"/>
      <c r="JH940" s="15"/>
      <c r="JI940" s="15"/>
      <c r="JJ940" s="15"/>
      <c r="JK940" s="15"/>
      <c r="JL940" s="15"/>
      <c r="JM940" s="15"/>
      <c r="JN940" s="15"/>
      <c r="JO940" s="15"/>
      <c r="JP940" s="15"/>
    </row>
    <row r="941" spans="33:276" ht="15" customHeight="1" x14ac:dyDescent="0.3">
      <c r="AG941" s="2"/>
      <c r="JD941" s="15"/>
      <c r="JE941" s="15"/>
      <c r="JF941" s="15"/>
      <c r="JG941" s="15"/>
      <c r="JH941" s="15"/>
      <c r="JI941" s="15"/>
      <c r="JJ941" s="15"/>
      <c r="JK941" s="15"/>
      <c r="JL941" s="15"/>
      <c r="JM941" s="15"/>
      <c r="JN941" s="15"/>
      <c r="JO941" s="15"/>
      <c r="JP941" s="15"/>
    </row>
    <row r="942" spans="33:276" ht="15" customHeight="1" x14ac:dyDescent="0.3">
      <c r="AG942" s="2"/>
      <c r="JD942" s="15"/>
      <c r="JE942" s="15"/>
      <c r="JF942" s="15"/>
      <c r="JG942" s="15"/>
      <c r="JH942" s="15"/>
      <c r="JI942" s="15"/>
      <c r="JJ942" s="15"/>
      <c r="JK942" s="15"/>
      <c r="JL942" s="15"/>
      <c r="JM942" s="15"/>
      <c r="JN942" s="15"/>
      <c r="JO942" s="15"/>
      <c r="JP942" s="15"/>
    </row>
    <row r="943" spans="33:276" ht="15" customHeight="1" x14ac:dyDescent="0.3">
      <c r="AG943" s="2"/>
      <c r="JD943" s="15"/>
      <c r="JE943" s="15"/>
      <c r="JF943" s="15"/>
      <c r="JG943" s="15"/>
      <c r="JH943" s="15"/>
      <c r="JI943" s="15"/>
      <c r="JJ943" s="15"/>
      <c r="JK943" s="15"/>
      <c r="JL943" s="15"/>
      <c r="JM943" s="15"/>
      <c r="JN943" s="15"/>
      <c r="JO943" s="15"/>
      <c r="JP943" s="15"/>
    </row>
    <row r="944" spans="33:276" ht="15" customHeight="1" x14ac:dyDescent="0.3">
      <c r="AG944" s="2"/>
      <c r="JD944" s="15"/>
      <c r="JE944" s="15"/>
      <c r="JF944" s="15"/>
      <c r="JG944" s="15"/>
      <c r="JH944" s="15"/>
      <c r="JI944" s="15"/>
      <c r="JJ944" s="15"/>
      <c r="JK944" s="15"/>
      <c r="JL944" s="15"/>
      <c r="JM944" s="15"/>
      <c r="JN944" s="15"/>
      <c r="JO944" s="15"/>
      <c r="JP944" s="15"/>
    </row>
    <row r="945" spans="33:276" ht="15" customHeight="1" x14ac:dyDescent="0.3">
      <c r="AG945" s="2"/>
      <c r="JD945" s="15"/>
      <c r="JE945" s="15"/>
      <c r="JF945" s="15"/>
      <c r="JG945" s="15"/>
      <c r="JH945" s="15"/>
      <c r="JI945" s="15"/>
      <c r="JJ945" s="15"/>
      <c r="JK945" s="15"/>
      <c r="JL945" s="15"/>
      <c r="JM945" s="15"/>
      <c r="JN945" s="15"/>
      <c r="JO945" s="15"/>
      <c r="JP945" s="15"/>
    </row>
    <row r="946" spans="33:276" ht="15" customHeight="1" x14ac:dyDescent="0.3">
      <c r="AG946" s="2"/>
      <c r="JD946" s="15"/>
      <c r="JE946" s="15"/>
      <c r="JF946" s="15"/>
      <c r="JG946" s="15"/>
      <c r="JH946" s="15"/>
      <c r="JI946" s="15"/>
      <c r="JJ946" s="15"/>
      <c r="JK946" s="15"/>
      <c r="JL946" s="15"/>
      <c r="JM946" s="15"/>
      <c r="JN946" s="15"/>
      <c r="JO946" s="15"/>
      <c r="JP946" s="15"/>
    </row>
    <row r="947" spans="33:276" ht="15" customHeight="1" x14ac:dyDescent="0.3">
      <c r="AG947" s="2"/>
      <c r="JD947" s="15"/>
      <c r="JE947" s="15"/>
      <c r="JF947" s="15"/>
      <c r="JG947" s="15"/>
      <c r="JH947" s="15"/>
      <c r="JI947" s="15"/>
      <c r="JJ947" s="15"/>
      <c r="JK947" s="15"/>
      <c r="JL947" s="15"/>
      <c r="JM947" s="15"/>
      <c r="JN947" s="15"/>
      <c r="JO947" s="15"/>
      <c r="JP947" s="15"/>
    </row>
    <row r="948" spans="33:276" ht="15" customHeight="1" x14ac:dyDescent="0.3">
      <c r="AG948" s="2"/>
      <c r="JD948" s="15"/>
      <c r="JE948" s="15"/>
      <c r="JF948" s="15"/>
      <c r="JG948" s="15"/>
      <c r="JH948" s="15"/>
      <c r="JI948" s="15"/>
      <c r="JJ948" s="15"/>
      <c r="JK948" s="15"/>
      <c r="JL948" s="15"/>
      <c r="JM948" s="15"/>
      <c r="JN948" s="15"/>
      <c r="JO948" s="15"/>
      <c r="JP948" s="15"/>
    </row>
    <row r="949" spans="33:276" ht="15" customHeight="1" x14ac:dyDescent="0.3">
      <c r="AG949" s="2"/>
      <c r="JD949" s="15"/>
      <c r="JE949" s="15"/>
      <c r="JF949" s="15"/>
      <c r="JG949" s="15"/>
      <c r="JH949" s="15"/>
      <c r="JI949" s="15"/>
      <c r="JJ949" s="15"/>
      <c r="JK949" s="15"/>
      <c r="JL949" s="15"/>
      <c r="JM949" s="15"/>
      <c r="JN949" s="15"/>
      <c r="JO949" s="15"/>
      <c r="JP949" s="15"/>
    </row>
    <row r="950" spans="33:276" ht="15" customHeight="1" x14ac:dyDescent="0.3">
      <c r="AG950" s="2"/>
      <c r="JD950" s="15"/>
      <c r="JE950" s="15"/>
      <c r="JF950" s="15"/>
      <c r="JG950" s="15"/>
      <c r="JH950" s="15"/>
      <c r="JI950" s="15"/>
      <c r="JJ950" s="15"/>
      <c r="JK950" s="15"/>
      <c r="JL950" s="15"/>
      <c r="JM950" s="15"/>
      <c r="JN950" s="15"/>
      <c r="JO950" s="15"/>
      <c r="JP950" s="15"/>
    </row>
    <row r="951" spans="33:276" ht="15" customHeight="1" x14ac:dyDescent="0.3">
      <c r="AG951" s="2"/>
      <c r="JD951" s="15"/>
      <c r="JE951" s="15"/>
      <c r="JF951" s="15"/>
      <c r="JG951" s="15"/>
      <c r="JH951" s="15"/>
      <c r="JI951" s="15"/>
      <c r="JJ951" s="15"/>
      <c r="JK951" s="15"/>
      <c r="JL951" s="15"/>
      <c r="JM951" s="15"/>
      <c r="JN951" s="15"/>
      <c r="JO951" s="15"/>
      <c r="JP951" s="15"/>
    </row>
    <row r="952" spans="33:276" ht="15" customHeight="1" x14ac:dyDescent="0.3">
      <c r="AG952" s="2"/>
      <c r="JD952" s="15"/>
      <c r="JE952" s="15"/>
      <c r="JF952" s="15"/>
      <c r="JG952" s="15"/>
      <c r="JH952" s="15"/>
      <c r="JI952" s="15"/>
      <c r="JJ952" s="15"/>
      <c r="JK952" s="15"/>
      <c r="JL952" s="15"/>
      <c r="JM952" s="15"/>
      <c r="JN952" s="15"/>
      <c r="JO952" s="15"/>
      <c r="JP952" s="15"/>
    </row>
    <row r="953" spans="33:276" ht="15" customHeight="1" x14ac:dyDescent="0.3">
      <c r="AG953" s="2"/>
      <c r="JD953" s="15"/>
      <c r="JE953" s="15"/>
      <c r="JF953" s="15"/>
      <c r="JG953" s="15"/>
      <c r="JH953" s="15"/>
      <c r="JI953" s="15"/>
      <c r="JJ953" s="15"/>
      <c r="JK953" s="15"/>
      <c r="JL953" s="15"/>
      <c r="JM953" s="15"/>
      <c r="JN953" s="15"/>
      <c r="JO953" s="15"/>
      <c r="JP953" s="15"/>
    </row>
    <row r="954" spans="33:276" ht="15" customHeight="1" x14ac:dyDescent="0.3">
      <c r="AG954" s="2"/>
      <c r="JD954" s="15"/>
      <c r="JE954" s="15"/>
      <c r="JF954" s="15"/>
      <c r="JG954" s="15"/>
      <c r="JH954" s="15"/>
      <c r="JI954" s="15"/>
      <c r="JJ954" s="15"/>
      <c r="JK954" s="15"/>
      <c r="JL954" s="15"/>
      <c r="JM954" s="15"/>
      <c r="JN954" s="15"/>
      <c r="JO954" s="15"/>
      <c r="JP954" s="15"/>
    </row>
    <row r="955" spans="33:276" ht="15" customHeight="1" x14ac:dyDescent="0.3">
      <c r="AG955" s="2"/>
      <c r="JD955" s="15"/>
      <c r="JE955" s="15"/>
      <c r="JF955" s="15"/>
      <c r="JG955" s="15"/>
      <c r="JH955" s="15"/>
      <c r="JI955" s="15"/>
      <c r="JJ955" s="15"/>
      <c r="JK955" s="15"/>
      <c r="JL955" s="15"/>
      <c r="JM955" s="15"/>
      <c r="JN955" s="15"/>
      <c r="JO955" s="15"/>
      <c r="JP955" s="15"/>
    </row>
    <row r="956" spans="33:276" ht="15" customHeight="1" x14ac:dyDescent="0.3">
      <c r="AG956" s="2"/>
      <c r="JD956" s="15"/>
      <c r="JE956" s="15"/>
      <c r="JF956" s="15"/>
      <c r="JG956" s="15"/>
      <c r="JH956" s="15"/>
      <c r="JI956" s="15"/>
      <c r="JJ956" s="15"/>
      <c r="JK956" s="15"/>
      <c r="JL956" s="15"/>
      <c r="JM956" s="15"/>
      <c r="JN956" s="15"/>
      <c r="JO956" s="15"/>
      <c r="JP956" s="15"/>
    </row>
    <row r="957" spans="33:276" ht="15" customHeight="1" x14ac:dyDescent="0.3">
      <c r="AG957" s="2"/>
      <c r="JD957" s="15"/>
      <c r="JE957" s="15"/>
      <c r="JF957" s="15"/>
      <c r="JG957" s="15"/>
      <c r="JH957" s="15"/>
      <c r="JI957" s="15"/>
      <c r="JJ957" s="15"/>
      <c r="JK957" s="15"/>
      <c r="JL957" s="15"/>
      <c r="JM957" s="15"/>
      <c r="JN957" s="15"/>
      <c r="JO957" s="15"/>
      <c r="JP957" s="15"/>
    </row>
    <row r="958" spans="33:276" ht="15" customHeight="1" x14ac:dyDescent="0.3">
      <c r="AG958" s="2"/>
      <c r="JD958" s="15"/>
      <c r="JE958" s="15"/>
      <c r="JF958" s="15"/>
      <c r="JG958" s="15"/>
      <c r="JH958" s="15"/>
      <c r="JI958" s="15"/>
      <c r="JJ958" s="15"/>
      <c r="JK958" s="15"/>
      <c r="JL958" s="15"/>
      <c r="JM958" s="15"/>
      <c r="JN958" s="15"/>
      <c r="JO958" s="15"/>
      <c r="JP958" s="15"/>
    </row>
    <row r="959" spans="33:276" ht="15" customHeight="1" x14ac:dyDescent="0.3">
      <c r="AG959" s="2"/>
      <c r="JD959" s="15"/>
      <c r="JE959" s="15"/>
      <c r="JF959" s="15"/>
      <c r="JG959" s="15"/>
      <c r="JH959" s="15"/>
      <c r="JI959" s="15"/>
      <c r="JJ959" s="15"/>
      <c r="JK959" s="15"/>
      <c r="JL959" s="15"/>
      <c r="JM959" s="15"/>
      <c r="JN959" s="15"/>
      <c r="JO959" s="15"/>
      <c r="JP959" s="15"/>
    </row>
    <row r="960" spans="33:276" ht="15" customHeight="1" x14ac:dyDescent="0.3">
      <c r="AG960" s="2"/>
      <c r="JD960" s="15"/>
      <c r="JE960" s="15"/>
      <c r="JF960" s="15"/>
      <c r="JG960" s="15"/>
      <c r="JH960" s="15"/>
      <c r="JI960" s="15"/>
      <c r="JJ960" s="15"/>
      <c r="JK960" s="15"/>
      <c r="JL960" s="15"/>
      <c r="JM960" s="15"/>
      <c r="JN960" s="15"/>
      <c r="JO960" s="15"/>
      <c r="JP960" s="15"/>
    </row>
    <row r="961" spans="33:276" ht="15" customHeight="1" x14ac:dyDescent="0.3">
      <c r="AG961" s="2"/>
      <c r="JD961" s="15"/>
      <c r="JE961" s="15"/>
      <c r="JF961" s="15"/>
      <c r="JG961" s="15"/>
      <c r="JH961" s="15"/>
      <c r="JI961" s="15"/>
      <c r="JJ961" s="15"/>
      <c r="JK961" s="15"/>
      <c r="JL961" s="15"/>
      <c r="JM961" s="15"/>
      <c r="JN961" s="15"/>
      <c r="JO961" s="15"/>
      <c r="JP961" s="15"/>
    </row>
    <row r="962" spans="33:276" ht="15" customHeight="1" x14ac:dyDescent="0.3">
      <c r="AG962" s="2"/>
      <c r="JD962" s="15"/>
      <c r="JE962" s="15"/>
      <c r="JF962" s="15"/>
      <c r="JG962" s="15"/>
      <c r="JH962" s="15"/>
      <c r="JI962" s="15"/>
      <c r="JJ962" s="15"/>
      <c r="JK962" s="15"/>
      <c r="JL962" s="15"/>
      <c r="JM962" s="15"/>
      <c r="JN962" s="15"/>
      <c r="JO962" s="15"/>
      <c r="JP962" s="15"/>
    </row>
    <row r="963" spans="33:276" ht="15" customHeight="1" x14ac:dyDescent="0.3">
      <c r="AG963" s="2"/>
      <c r="JD963" s="15"/>
      <c r="JE963" s="15"/>
      <c r="JF963" s="15"/>
      <c r="JG963" s="15"/>
      <c r="JH963" s="15"/>
      <c r="JI963" s="15"/>
      <c r="JJ963" s="15"/>
      <c r="JK963" s="15"/>
      <c r="JL963" s="15"/>
      <c r="JM963" s="15"/>
      <c r="JN963" s="15"/>
      <c r="JO963" s="15"/>
      <c r="JP963" s="15"/>
    </row>
    <row r="964" spans="33:276" ht="15" customHeight="1" x14ac:dyDescent="0.3">
      <c r="AG964" s="2"/>
      <c r="JD964" s="15"/>
      <c r="JE964" s="15"/>
      <c r="JF964" s="15"/>
      <c r="JG964" s="15"/>
      <c r="JH964" s="15"/>
      <c r="JI964" s="15"/>
      <c r="JJ964" s="15"/>
      <c r="JK964" s="15"/>
      <c r="JL964" s="15"/>
      <c r="JM964" s="15"/>
      <c r="JN964" s="15"/>
      <c r="JO964" s="15"/>
      <c r="JP964" s="15"/>
    </row>
    <row r="965" spans="33:276" ht="15" customHeight="1" x14ac:dyDescent="0.3">
      <c r="AG965" s="2"/>
      <c r="JD965" s="15"/>
      <c r="JE965" s="15"/>
      <c r="JF965" s="15"/>
      <c r="JG965" s="15"/>
      <c r="JH965" s="15"/>
      <c r="JI965" s="15"/>
      <c r="JJ965" s="15"/>
      <c r="JK965" s="15"/>
      <c r="JL965" s="15"/>
      <c r="JM965" s="15"/>
      <c r="JN965" s="15"/>
      <c r="JO965" s="15"/>
      <c r="JP965" s="15"/>
    </row>
    <row r="966" spans="33:276" ht="15" customHeight="1" x14ac:dyDescent="0.3">
      <c r="AG966" s="2"/>
      <c r="JD966" s="15"/>
      <c r="JE966" s="15"/>
      <c r="JF966" s="15"/>
      <c r="JG966" s="15"/>
      <c r="JH966" s="15"/>
      <c r="JI966" s="15"/>
      <c r="JJ966" s="15"/>
      <c r="JK966" s="15"/>
      <c r="JL966" s="15"/>
      <c r="JM966" s="15"/>
      <c r="JN966" s="15"/>
      <c r="JO966" s="15"/>
      <c r="JP966" s="15"/>
    </row>
    <row r="967" spans="33:276" ht="15" customHeight="1" x14ac:dyDescent="0.3">
      <c r="AG967" s="2"/>
      <c r="JD967" s="15"/>
      <c r="JE967" s="15"/>
      <c r="JF967" s="15"/>
      <c r="JG967" s="15"/>
      <c r="JH967" s="15"/>
      <c r="JI967" s="15"/>
      <c r="JJ967" s="15"/>
      <c r="JK967" s="15"/>
      <c r="JL967" s="15"/>
      <c r="JM967" s="15"/>
      <c r="JN967" s="15"/>
      <c r="JO967" s="15"/>
      <c r="JP967" s="15"/>
    </row>
    <row r="968" spans="33:276" ht="15" customHeight="1" x14ac:dyDescent="0.3">
      <c r="AG968" s="2"/>
      <c r="JD968" s="15"/>
      <c r="JE968" s="15"/>
      <c r="JF968" s="15"/>
      <c r="JG968" s="15"/>
      <c r="JH968" s="15"/>
      <c r="JI968" s="15"/>
      <c r="JJ968" s="15"/>
      <c r="JK968" s="15"/>
      <c r="JL968" s="15"/>
      <c r="JM968" s="15"/>
      <c r="JN968" s="15"/>
      <c r="JO968" s="15"/>
      <c r="JP968" s="15"/>
    </row>
    <row r="969" spans="33:276" ht="15" customHeight="1" x14ac:dyDescent="0.3">
      <c r="AG969" s="2"/>
      <c r="JD969" s="15"/>
      <c r="JE969" s="15"/>
      <c r="JF969" s="15"/>
      <c r="JG969" s="15"/>
      <c r="JH969" s="15"/>
      <c r="JI969" s="15"/>
      <c r="JJ969" s="15"/>
      <c r="JK969" s="15"/>
      <c r="JL969" s="15"/>
      <c r="JM969" s="15"/>
      <c r="JN969" s="15"/>
      <c r="JO969" s="15"/>
      <c r="JP969" s="15"/>
    </row>
    <row r="970" spans="33:276" ht="15" customHeight="1" x14ac:dyDescent="0.3">
      <c r="AG970" s="2"/>
      <c r="JD970" s="15"/>
      <c r="JE970" s="15"/>
      <c r="JF970" s="15"/>
      <c r="JG970" s="15"/>
      <c r="JH970" s="15"/>
      <c r="JI970" s="15"/>
      <c r="JJ970" s="15"/>
      <c r="JK970" s="15"/>
      <c r="JL970" s="15"/>
      <c r="JM970" s="15"/>
      <c r="JN970" s="15"/>
      <c r="JO970" s="15"/>
      <c r="JP970" s="15"/>
    </row>
    <row r="971" spans="33:276" ht="15" customHeight="1" x14ac:dyDescent="0.3">
      <c r="AG971" s="2"/>
      <c r="JD971" s="15"/>
      <c r="JE971" s="15"/>
      <c r="JF971" s="15"/>
      <c r="JG971" s="15"/>
      <c r="JH971" s="15"/>
      <c r="JI971" s="15"/>
      <c r="JJ971" s="15"/>
      <c r="JK971" s="15"/>
      <c r="JL971" s="15"/>
      <c r="JM971" s="15"/>
      <c r="JN971" s="15"/>
      <c r="JO971" s="15"/>
      <c r="JP971" s="15"/>
    </row>
    <row r="972" spans="33:276" ht="15" customHeight="1" x14ac:dyDescent="0.3">
      <c r="AG972" s="2"/>
      <c r="JD972" s="15"/>
      <c r="JE972" s="15"/>
      <c r="JF972" s="15"/>
      <c r="JG972" s="15"/>
      <c r="JH972" s="15"/>
      <c r="JI972" s="15"/>
      <c r="JJ972" s="15"/>
      <c r="JK972" s="15"/>
      <c r="JL972" s="15"/>
      <c r="JM972" s="15"/>
      <c r="JN972" s="15"/>
      <c r="JO972" s="15"/>
      <c r="JP972" s="15"/>
    </row>
    <row r="973" spans="33:276" ht="15" customHeight="1" x14ac:dyDescent="0.3">
      <c r="AG973" s="2"/>
      <c r="JD973" s="15"/>
      <c r="JE973" s="15"/>
      <c r="JF973" s="15"/>
      <c r="JG973" s="15"/>
      <c r="JH973" s="15"/>
      <c r="JI973" s="15"/>
      <c r="JJ973" s="15"/>
      <c r="JK973" s="15"/>
      <c r="JL973" s="15"/>
      <c r="JM973" s="15"/>
      <c r="JN973" s="15"/>
      <c r="JO973" s="15"/>
      <c r="JP973" s="15"/>
    </row>
    <row r="974" spans="33:276" ht="15" customHeight="1" x14ac:dyDescent="0.3">
      <c r="AG974" s="2"/>
      <c r="JD974" s="15"/>
      <c r="JE974" s="15"/>
      <c r="JF974" s="15"/>
      <c r="JG974" s="15"/>
      <c r="JH974" s="15"/>
      <c r="JI974" s="15"/>
      <c r="JJ974" s="15"/>
      <c r="JK974" s="15"/>
      <c r="JL974" s="15"/>
      <c r="JM974" s="15"/>
      <c r="JN974" s="15"/>
      <c r="JO974" s="15"/>
      <c r="JP974" s="15"/>
    </row>
    <row r="975" spans="33:276" ht="15" customHeight="1" x14ac:dyDescent="0.3">
      <c r="AG975" s="2"/>
      <c r="JD975" s="15"/>
      <c r="JE975" s="15"/>
      <c r="JF975" s="15"/>
      <c r="JG975" s="15"/>
      <c r="JH975" s="15"/>
      <c r="JI975" s="15"/>
      <c r="JJ975" s="15"/>
      <c r="JK975" s="15"/>
      <c r="JL975" s="15"/>
      <c r="JM975" s="15"/>
      <c r="JN975" s="15"/>
      <c r="JO975" s="15"/>
      <c r="JP975" s="15"/>
    </row>
    <row r="976" spans="33:276" ht="15" customHeight="1" x14ac:dyDescent="0.3">
      <c r="AG976" s="2"/>
      <c r="JD976" s="15"/>
      <c r="JE976" s="15"/>
      <c r="JF976" s="15"/>
      <c r="JG976" s="15"/>
      <c r="JH976" s="15"/>
      <c r="JI976" s="15"/>
      <c r="JJ976" s="15"/>
      <c r="JK976" s="15"/>
      <c r="JL976" s="15"/>
      <c r="JM976" s="15"/>
      <c r="JN976" s="15"/>
      <c r="JO976" s="15"/>
      <c r="JP976" s="15"/>
    </row>
    <row r="977" spans="33:276" ht="15" customHeight="1" x14ac:dyDescent="0.3">
      <c r="AG977" s="2"/>
      <c r="JD977" s="15"/>
      <c r="JE977" s="15"/>
      <c r="JF977" s="15"/>
      <c r="JG977" s="15"/>
      <c r="JH977" s="15"/>
      <c r="JI977" s="15"/>
      <c r="JJ977" s="15"/>
      <c r="JK977" s="15"/>
      <c r="JL977" s="15"/>
      <c r="JM977" s="15"/>
      <c r="JN977" s="15"/>
      <c r="JO977" s="15"/>
      <c r="JP977" s="15"/>
    </row>
    <row r="978" spans="33:276" ht="15" customHeight="1" x14ac:dyDescent="0.3">
      <c r="AG978" s="2"/>
      <c r="JD978" s="15"/>
      <c r="JE978" s="15"/>
      <c r="JF978" s="15"/>
      <c r="JG978" s="15"/>
      <c r="JH978" s="15"/>
      <c r="JI978" s="15"/>
      <c r="JJ978" s="15"/>
      <c r="JK978" s="15"/>
      <c r="JL978" s="15"/>
      <c r="JM978" s="15"/>
      <c r="JN978" s="15"/>
      <c r="JO978" s="15"/>
      <c r="JP978" s="15"/>
    </row>
    <row r="979" spans="33:276" ht="15" customHeight="1" x14ac:dyDescent="0.3">
      <c r="AG979" s="2"/>
      <c r="JD979" s="15"/>
      <c r="JE979" s="15"/>
      <c r="JF979" s="15"/>
      <c r="JG979" s="15"/>
      <c r="JH979" s="15"/>
      <c r="JI979" s="15"/>
      <c r="JJ979" s="15"/>
      <c r="JK979" s="15"/>
      <c r="JL979" s="15"/>
      <c r="JM979" s="15"/>
      <c r="JN979" s="15"/>
      <c r="JO979" s="15"/>
      <c r="JP979" s="15"/>
    </row>
    <row r="980" spans="33:276" ht="15" customHeight="1" x14ac:dyDescent="0.3">
      <c r="AG980" s="2"/>
      <c r="JD980" s="15"/>
      <c r="JE980" s="15"/>
      <c r="JF980" s="15"/>
      <c r="JG980" s="15"/>
      <c r="JH980" s="15"/>
      <c r="JI980" s="15"/>
      <c r="JJ980" s="15"/>
      <c r="JK980" s="15"/>
      <c r="JL980" s="15"/>
      <c r="JM980" s="15"/>
      <c r="JN980" s="15"/>
      <c r="JO980" s="15"/>
      <c r="JP980" s="15"/>
    </row>
    <row r="981" spans="33:276" ht="15" customHeight="1" x14ac:dyDescent="0.3">
      <c r="AG981" s="2"/>
      <c r="JD981" s="15"/>
      <c r="JE981" s="15"/>
      <c r="JF981" s="15"/>
      <c r="JG981" s="15"/>
      <c r="JH981" s="15"/>
      <c r="JI981" s="15"/>
      <c r="JJ981" s="15"/>
      <c r="JK981" s="15"/>
      <c r="JL981" s="15"/>
      <c r="JM981" s="15"/>
      <c r="JN981" s="15"/>
      <c r="JO981" s="15"/>
      <c r="JP981" s="15"/>
    </row>
    <row r="982" spans="33:276" ht="15" customHeight="1" x14ac:dyDescent="0.3">
      <c r="AG982" s="2"/>
      <c r="JD982" s="15"/>
      <c r="JE982" s="15"/>
      <c r="JF982" s="15"/>
      <c r="JG982" s="15"/>
      <c r="JH982" s="15"/>
      <c r="JI982" s="15"/>
      <c r="JJ982" s="15"/>
      <c r="JK982" s="15"/>
      <c r="JL982" s="15"/>
      <c r="JM982" s="15"/>
      <c r="JN982" s="15"/>
      <c r="JO982" s="15"/>
      <c r="JP982" s="15"/>
    </row>
    <row r="983" spans="33:276" ht="15" customHeight="1" x14ac:dyDescent="0.3">
      <c r="AG983" s="2"/>
      <c r="JD983" s="15"/>
      <c r="JE983" s="15"/>
      <c r="JF983" s="15"/>
      <c r="JG983" s="15"/>
      <c r="JH983" s="15"/>
      <c r="JI983" s="15"/>
      <c r="JJ983" s="15"/>
      <c r="JK983" s="15"/>
      <c r="JL983" s="15"/>
      <c r="JM983" s="15"/>
      <c r="JN983" s="15"/>
      <c r="JO983" s="15"/>
      <c r="JP983" s="15"/>
    </row>
    <row r="984" spans="33:276" ht="15" customHeight="1" x14ac:dyDescent="0.3">
      <c r="AG984" s="2"/>
      <c r="JD984" s="15"/>
      <c r="JE984" s="15"/>
      <c r="JF984" s="15"/>
      <c r="JG984" s="15"/>
      <c r="JH984" s="15"/>
      <c r="JI984" s="15"/>
      <c r="JJ984" s="15"/>
      <c r="JK984" s="15"/>
      <c r="JL984" s="15"/>
      <c r="JM984" s="15"/>
      <c r="JN984" s="15"/>
      <c r="JO984" s="15"/>
      <c r="JP984" s="15"/>
    </row>
    <row r="985" spans="33:276" ht="15" customHeight="1" x14ac:dyDescent="0.3">
      <c r="AG985" s="2"/>
      <c r="JD985" s="15"/>
      <c r="JE985" s="15"/>
      <c r="JF985" s="15"/>
      <c r="JG985" s="15"/>
      <c r="JH985" s="15"/>
      <c r="JI985" s="15"/>
      <c r="JJ985" s="15"/>
      <c r="JK985" s="15"/>
      <c r="JL985" s="15"/>
      <c r="JM985" s="15"/>
      <c r="JN985" s="15"/>
      <c r="JO985" s="15"/>
      <c r="JP985" s="15"/>
    </row>
    <row r="986" spans="33:276" ht="15" customHeight="1" x14ac:dyDescent="0.3">
      <c r="AG986" s="2"/>
      <c r="JD986" s="15"/>
      <c r="JE986" s="15"/>
      <c r="JF986" s="15"/>
      <c r="JG986" s="15"/>
      <c r="JH986" s="15"/>
      <c r="JI986" s="15"/>
      <c r="JJ986" s="15"/>
      <c r="JK986" s="15"/>
      <c r="JL986" s="15"/>
      <c r="JM986" s="15"/>
      <c r="JN986" s="15"/>
      <c r="JO986" s="15"/>
      <c r="JP986" s="15"/>
    </row>
    <row r="987" spans="33:276" ht="15" customHeight="1" x14ac:dyDescent="0.3">
      <c r="AG987" s="2"/>
      <c r="JD987" s="15"/>
      <c r="JE987" s="15"/>
      <c r="JF987" s="15"/>
      <c r="JG987" s="15"/>
      <c r="JH987" s="15"/>
      <c r="JI987" s="15"/>
      <c r="JJ987" s="15"/>
      <c r="JK987" s="15"/>
      <c r="JL987" s="15"/>
      <c r="JM987" s="15"/>
      <c r="JN987" s="15"/>
      <c r="JO987" s="15"/>
      <c r="JP987" s="15"/>
    </row>
    <row r="988" spans="33:276" ht="15" customHeight="1" x14ac:dyDescent="0.3">
      <c r="AG988" s="2"/>
      <c r="JD988" s="15"/>
      <c r="JE988" s="15"/>
      <c r="JF988" s="15"/>
      <c r="JG988" s="15"/>
      <c r="JH988" s="15"/>
      <c r="JI988" s="15"/>
      <c r="JJ988" s="15"/>
      <c r="JK988" s="15"/>
      <c r="JL988" s="15"/>
      <c r="JM988" s="15"/>
      <c r="JN988" s="15"/>
      <c r="JO988" s="15"/>
      <c r="JP988" s="15"/>
    </row>
    <row r="989" spans="33:276" ht="15" customHeight="1" x14ac:dyDescent="0.3">
      <c r="AG989" s="2"/>
      <c r="JD989" s="15"/>
      <c r="JE989" s="15"/>
      <c r="JF989" s="15"/>
      <c r="JG989" s="15"/>
      <c r="JH989" s="15"/>
      <c r="JI989" s="15"/>
      <c r="JJ989" s="15"/>
      <c r="JK989" s="15"/>
      <c r="JL989" s="15"/>
      <c r="JM989" s="15"/>
      <c r="JN989" s="15"/>
      <c r="JO989" s="15"/>
      <c r="JP989" s="15"/>
    </row>
    <row r="990" spans="33:276" ht="15" customHeight="1" x14ac:dyDescent="0.3">
      <c r="AG990" s="2"/>
      <c r="JD990" s="15"/>
      <c r="JE990" s="15"/>
      <c r="JF990" s="15"/>
      <c r="JG990" s="15"/>
      <c r="JH990" s="15"/>
      <c r="JI990" s="15"/>
      <c r="JJ990" s="15"/>
      <c r="JK990" s="15"/>
      <c r="JL990" s="15"/>
      <c r="JM990" s="15"/>
      <c r="JN990" s="15"/>
      <c r="JO990" s="15"/>
      <c r="JP990" s="15"/>
    </row>
    <row r="991" spans="33:276" ht="15" customHeight="1" x14ac:dyDescent="0.3">
      <c r="AG991" s="2"/>
      <c r="JD991" s="15"/>
      <c r="JE991" s="15"/>
      <c r="JF991" s="15"/>
      <c r="JG991" s="15"/>
      <c r="JH991" s="15"/>
      <c r="JI991" s="15"/>
      <c r="JJ991" s="15"/>
      <c r="JK991" s="15"/>
      <c r="JL991" s="15"/>
      <c r="JM991" s="15"/>
      <c r="JN991" s="15"/>
      <c r="JO991" s="15"/>
      <c r="JP991" s="15"/>
    </row>
    <row r="992" spans="33:276" ht="15" customHeight="1" x14ac:dyDescent="0.3">
      <c r="AG992" s="2"/>
      <c r="JD992" s="15"/>
      <c r="JE992" s="15"/>
      <c r="JF992" s="15"/>
      <c r="JG992" s="15"/>
      <c r="JH992" s="15"/>
      <c r="JI992" s="15"/>
      <c r="JJ992" s="15"/>
      <c r="JK992" s="15"/>
      <c r="JL992" s="15"/>
      <c r="JM992" s="15"/>
      <c r="JN992" s="15"/>
      <c r="JO992" s="15"/>
      <c r="JP992" s="15"/>
    </row>
    <row r="993" spans="33:276" ht="15" customHeight="1" x14ac:dyDescent="0.3">
      <c r="AG993" s="2"/>
      <c r="JD993" s="15"/>
      <c r="JE993" s="15"/>
      <c r="JF993" s="15"/>
      <c r="JG993" s="15"/>
      <c r="JH993" s="15"/>
      <c r="JI993" s="15"/>
      <c r="JJ993" s="15"/>
      <c r="JK993" s="15"/>
      <c r="JL993" s="15"/>
      <c r="JM993" s="15"/>
      <c r="JN993" s="15"/>
      <c r="JO993" s="15"/>
      <c r="JP993" s="15"/>
    </row>
    <row r="994" spans="33:276" ht="15" customHeight="1" x14ac:dyDescent="0.3">
      <c r="AG994" s="2"/>
      <c r="JD994" s="15"/>
      <c r="JE994" s="15"/>
      <c r="JF994" s="15"/>
      <c r="JG994" s="15"/>
      <c r="JH994" s="15"/>
      <c r="JI994" s="15"/>
      <c r="JJ994" s="15"/>
      <c r="JK994" s="15"/>
      <c r="JL994" s="15"/>
      <c r="JM994" s="15"/>
      <c r="JN994" s="15"/>
      <c r="JO994" s="15"/>
      <c r="JP994" s="15"/>
    </row>
    <row r="995" spans="33:276" ht="15" customHeight="1" x14ac:dyDescent="0.3">
      <c r="AG995" s="2"/>
      <c r="JD995" s="15"/>
      <c r="JE995" s="15"/>
      <c r="JF995" s="15"/>
      <c r="JG995" s="15"/>
      <c r="JH995" s="15"/>
      <c r="JI995" s="15"/>
      <c r="JJ995" s="15"/>
      <c r="JK995" s="15"/>
      <c r="JL995" s="15"/>
      <c r="JM995" s="15"/>
      <c r="JN995" s="15"/>
      <c r="JO995" s="15"/>
      <c r="JP995" s="15"/>
    </row>
    <row r="996" spans="33:276" ht="15" customHeight="1" x14ac:dyDescent="0.3">
      <c r="AG996" s="2"/>
      <c r="JD996" s="15"/>
      <c r="JE996" s="15"/>
      <c r="JF996" s="15"/>
      <c r="JG996" s="15"/>
      <c r="JH996" s="15"/>
      <c r="JI996" s="15"/>
      <c r="JJ996" s="15"/>
      <c r="JK996" s="15"/>
      <c r="JL996" s="15"/>
      <c r="JM996" s="15"/>
      <c r="JN996" s="15"/>
      <c r="JO996" s="15"/>
      <c r="JP996" s="15"/>
    </row>
    <row r="997" spans="33:276" ht="15" customHeight="1" x14ac:dyDescent="0.3">
      <c r="AG997" s="2"/>
      <c r="JD997" s="15"/>
      <c r="JE997" s="15"/>
      <c r="JF997" s="15"/>
      <c r="JG997" s="15"/>
      <c r="JH997" s="15"/>
      <c r="JI997" s="15"/>
      <c r="JJ997" s="15"/>
      <c r="JK997" s="15"/>
      <c r="JL997" s="15"/>
      <c r="JM997" s="15"/>
      <c r="JN997" s="15"/>
      <c r="JO997" s="15"/>
      <c r="JP997" s="15"/>
    </row>
    <row r="998" spans="33:276" ht="15" customHeight="1" x14ac:dyDescent="0.3">
      <c r="AG998" s="2"/>
      <c r="JD998" s="15"/>
      <c r="JE998" s="15"/>
      <c r="JF998" s="15"/>
      <c r="JG998" s="15"/>
      <c r="JH998" s="15"/>
      <c r="JI998" s="15"/>
      <c r="JJ998" s="15"/>
      <c r="JK998" s="15"/>
      <c r="JL998" s="15"/>
      <c r="JM998" s="15"/>
      <c r="JN998" s="15"/>
      <c r="JO998" s="15"/>
      <c r="JP998" s="15"/>
    </row>
    <row r="999" spans="33:276" ht="15" customHeight="1" x14ac:dyDescent="0.3">
      <c r="AG999" s="2"/>
      <c r="JD999" s="15"/>
      <c r="JE999" s="15"/>
      <c r="JF999" s="15"/>
      <c r="JG999" s="15"/>
      <c r="JH999" s="15"/>
      <c r="JI999" s="15"/>
      <c r="JJ999" s="15"/>
      <c r="JK999" s="15"/>
      <c r="JL999" s="15"/>
      <c r="JM999" s="15"/>
      <c r="JN999" s="15"/>
      <c r="JO999" s="15"/>
      <c r="JP999" s="15"/>
    </row>
    <row r="1000" spans="33:276" ht="15" customHeight="1" x14ac:dyDescent="0.3">
      <c r="AG1000" s="2"/>
      <c r="JD1000" s="15"/>
      <c r="JE1000" s="15"/>
      <c r="JF1000" s="15"/>
      <c r="JG1000" s="15"/>
      <c r="JH1000" s="15"/>
      <c r="JI1000" s="15"/>
      <c r="JJ1000" s="15"/>
      <c r="JK1000" s="15"/>
      <c r="JL1000" s="15"/>
      <c r="JM1000" s="15"/>
      <c r="JN1000" s="15"/>
      <c r="JO1000" s="15"/>
      <c r="JP1000" s="15"/>
    </row>
    <row r="1001" spans="33:276" ht="15" customHeight="1" x14ac:dyDescent="0.3">
      <c r="AG1001" s="2"/>
      <c r="JD1001" s="15"/>
      <c r="JE1001" s="15"/>
      <c r="JF1001" s="15"/>
      <c r="JG1001" s="15"/>
      <c r="JH1001" s="15"/>
      <c r="JI1001" s="15"/>
      <c r="JJ1001" s="15"/>
      <c r="JK1001" s="15"/>
      <c r="JL1001" s="15"/>
      <c r="JM1001" s="15"/>
      <c r="JN1001" s="15"/>
      <c r="JO1001" s="15"/>
      <c r="JP1001" s="15"/>
    </row>
    <row r="1002" spans="33:276" ht="15" customHeight="1" x14ac:dyDescent="0.3">
      <c r="AG1002" s="2"/>
      <c r="JD1002" s="15"/>
      <c r="JE1002" s="15"/>
      <c r="JF1002" s="15"/>
      <c r="JG1002" s="15"/>
      <c r="JH1002" s="15"/>
      <c r="JI1002" s="15"/>
      <c r="JJ1002" s="15"/>
      <c r="JK1002" s="15"/>
      <c r="JL1002" s="15"/>
      <c r="JM1002" s="15"/>
      <c r="JN1002" s="15"/>
      <c r="JO1002" s="15"/>
      <c r="JP1002" s="15"/>
    </row>
    <row r="1003" spans="33:276" ht="15" customHeight="1" x14ac:dyDescent="0.3">
      <c r="AG1003" s="2"/>
      <c r="JD1003" s="15"/>
      <c r="JE1003" s="15"/>
      <c r="JF1003" s="15"/>
      <c r="JG1003" s="15"/>
      <c r="JH1003" s="15"/>
      <c r="JI1003" s="15"/>
      <c r="JJ1003" s="15"/>
      <c r="JK1003" s="15"/>
      <c r="JL1003" s="15"/>
      <c r="JM1003" s="15"/>
      <c r="JN1003" s="15"/>
      <c r="JO1003" s="15"/>
      <c r="JP1003" s="15"/>
    </row>
    <row r="1004" spans="33:276" ht="15" customHeight="1" x14ac:dyDescent="0.3">
      <c r="AG1004" s="2"/>
      <c r="JD1004" s="15"/>
      <c r="JE1004" s="15"/>
      <c r="JF1004" s="15"/>
      <c r="JG1004" s="15"/>
      <c r="JH1004" s="15"/>
      <c r="JI1004" s="15"/>
      <c r="JJ1004" s="15"/>
      <c r="JK1004" s="15"/>
      <c r="JL1004" s="15"/>
      <c r="JM1004" s="15"/>
      <c r="JN1004" s="15"/>
      <c r="JO1004" s="15"/>
      <c r="JP1004" s="15"/>
    </row>
    <row r="1005" spans="33:276" ht="15" customHeight="1" x14ac:dyDescent="0.3">
      <c r="AG1005" s="2"/>
      <c r="JD1005" s="15"/>
      <c r="JE1005" s="15"/>
      <c r="JF1005" s="15"/>
      <c r="JG1005" s="15"/>
      <c r="JH1005" s="15"/>
      <c r="JI1005" s="15"/>
      <c r="JJ1005" s="15"/>
      <c r="JK1005" s="15"/>
      <c r="JL1005" s="15"/>
      <c r="JM1005" s="15"/>
      <c r="JN1005" s="15"/>
      <c r="JO1005" s="15"/>
      <c r="JP1005" s="15"/>
    </row>
    <row r="1006" spans="33:276" ht="15" customHeight="1" x14ac:dyDescent="0.3">
      <c r="AG1006" s="2"/>
      <c r="JD1006" s="15"/>
      <c r="JE1006" s="15"/>
      <c r="JF1006" s="15"/>
      <c r="JG1006" s="15"/>
      <c r="JH1006" s="15"/>
      <c r="JI1006" s="15"/>
      <c r="JJ1006" s="15"/>
      <c r="JK1006" s="15"/>
      <c r="JL1006" s="15"/>
      <c r="JM1006" s="15"/>
      <c r="JN1006" s="15"/>
      <c r="JO1006" s="15"/>
      <c r="JP1006" s="15"/>
    </row>
    <row r="1007" spans="33:276" ht="15" customHeight="1" x14ac:dyDescent="0.3">
      <c r="AG1007" s="2"/>
      <c r="JD1007" s="15"/>
      <c r="JE1007" s="15"/>
      <c r="JF1007" s="15"/>
      <c r="JG1007" s="15"/>
      <c r="JH1007" s="15"/>
      <c r="JI1007" s="15"/>
      <c r="JJ1007" s="15"/>
      <c r="JK1007" s="15"/>
      <c r="JL1007" s="15"/>
      <c r="JM1007" s="15"/>
      <c r="JN1007" s="15"/>
      <c r="JO1007" s="15"/>
      <c r="JP1007" s="15"/>
    </row>
    <row r="1008" spans="33:276" ht="15" customHeight="1" x14ac:dyDescent="0.3">
      <c r="AG1008" s="2"/>
      <c r="JD1008" s="15"/>
      <c r="JE1008" s="15"/>
      <c r="JF1008" s="15"/>
      <c r="JG1008" s="15"/>
      <c r="JH1008" s="15"/>
      <c r="JI1008" s="15"/>
      <c r="JJ1008" s="15"/>
      <c r="JK1008" s="15"/>
      <c r="JL1008" s="15"/>
      <c r="JM1008" s="15"/>
      <c r="JN1008" s="15"/>
      <c r="JO1008" s="15"/>
      <c r="JP1008" s="15"/>
    </row>
    <row r="1009" spans="33:276" ht="15" customHeight="1" x14ac:dyDescent="0.3">
      <c r="AG1009" s="2"/>
      <c r="JD1009" s="15"/>
      <c r="JE1009" s="15"/>
      <c r="JF1009" s="15"/>
      <c r="JG1009" s="15"/>
      <c r="JH1009" s="15"/>
      <c r="JI1009" s="15"/>
      <c r="JJ1009" s="15"/>
      <c r="JK1009" s="15"/>
      <c r="JL1009" s="15"/>
      <c r="JM1009" s="15"/>
      <c r="JN1009" s="15"/>
      <c r="JO1009" s="15"/>
      <c r="JP1009" s="15"/>
    </row>
    <row r="1010" spans="33:276" ht="15" customHeight="1" x14ac:dyDescent="0.3">
      <c r="AG1010" s="2"/>
      <c r="JD1010" s="15"/>
      <c r="JE1010" s="15"/>
      <c r="JF1010" s="15"/>
      <c r="JG1010" s="15"/>
      <c r="JH1010" s="15"/>
      <c r="JI1010" s="15"/>
      <c r="JJ1010" s="15"/>
      <c r="JK1010" s="15"/>
      <c r="JL1010" s="15"/>
      <c r="JM1010" s="15"/>
      <c r="JN1010" s="15"/>
      <c r="JO1010" s="15"/>
      <c r="JP1010" s="15"/>
    </row>
    <row r="1011" spans="33:276" ht="15" customHeight="1" x14ac:dyDescent="0.3">
      <c r="AG1011" s="2"/>
      <c r="JD1011" s="15"/>
      <c r="JE1011" s="15"/>
      <c r="JF1011" s="15"/>
      <c r="JG1011" s="15"/>
      <c r="JH1011" s="15"/>
      <c r="JI1011" s="15"/>
      <c r="JJ1011" s="15"/>
      <c r="JK1011" s="15"/>
      <c r="JL1011" s="15"/>
      <c r="JM1011" s="15"/>
      <c r="JN1011" s="15"/>
      <c r="JO1011" s="15"/>
      <c r="JP1011" s="15"/>
    </row>
    <row r="1012" spans="33:276" ht="15" customHeight="1" x14ac:dyDescent="0.3">
      <c r="AG1012" s="2"/>
      <c r="JD1012" s="15"/>
      <c r="JE1012" s="15"/>
      <c r="JF1012" s="15"/>
      <c r="JG1012" s="15"/>
      <c r="JH1012" s="15"/>
      <c r="JI1012" s="15"/>
      <c r="JJ1012" s="15"/>
      <c r="JK1012" s="15"/>
      <c r="JL1012" s="15"/>
      <c r="JM1012" s="15"/>
      <c r="JN1012" s="15"/>
      <c r="JO1012" s="15"/>
      <c r="JP1012" s="15"/>
    </row>
    <row r="1013" spans="33:276" ht="15" customHeight="1" x14ac:dyDescent="0.3">
      <c r="AG1013" s="2"/>
      <c r="JD1013" s="15"/>
      <c r="JE1013" s="15"/>
      <c r="JF1013" s="15"/>
      <c r="JG1013" s="15"/>
      <c r="JH1013" s="15"/>
      <c r="JI1013" s="15"/>
      <c r="JJ1013" s="15"/>
      <c r="JK1013" s="15"/>
      <c r="JL1013" s="15"/>
      <c r="JM1013" s="15"/>
      <c r="JN1013" s="15"/>
      <c r="JO1013" s="15"/>
      <c r="JP1013" s="15"/>
    </row>
    <row r="1014" spans="33:276" ht="15" customHeight="1" x14ac:dyDescent="0.3">
      <c r="AG1014" s="2"/>
      <c r="JD1014" s="15"/>
      <c r="JE1014" s="15"/>
      <c r="JF1014" s="15"/>
      <c r="JG1014" s="15"/>
      <c r="JH1014" s="15"/>
      <c r="JI1014" s="15"/>
      <c r="JJ1014" s="15"/>
      <c r="JK1014" s="15"/>
      <c r="JL1014" s="15"/>
      <c r="JM1014" s="15"/>
      <c r="JN1014" s="15"/>
      <c r="JO1014" s="15"/>
      <c r="JP1014" s="15"/>
    </row>
    <row r="1015" spans="33:276" ht="15" customHeight="1" x14ac:dyDescent="0.3">
      <c r="AG1015" s="2"/>
      <c r="JD1015" s="15"/>
      <c r="JE1015" s="15"/>
      <c r="JF1015" s="15"/>
      <c r="JG1015" s="15"/>
      <c r="JH1015" s="15"/>
      <c r="JI1015" s="15"/>
      <c r="JJ1015" s="15"/>
      <c r="JK1015" s="15"/>
      <c r="JL1015" s="15"/>
      <c r="JM1015" s="15"/>
      <c r="JN1015" s="15"/>
      <c r="JO1015" s="15"/>
      <c r="JP1015" s="15"/>
    </row>
    <row r="1016" spans="33:276" ht="15" customHeight="1" x14ac:dyDescent="0.3">
      <c r="AG1016" s="2"/>
      <c r="JD1016" s="15"/>
      <c r="JE1016" s="15"/>
      <c r="JF1016" s="15"/>
      <c r="JG1016" s="15"/>
      <c r="JH1016" s="15"/>
      <c r="JI1016" s="15"/>
      <c r="JJ1016" s="15"/>
      <c r="JK1016" s="15"/>
      <c r="JL1016" s="15"/>
      <c r="JM1016" s="15"/>
      <c r="JN1016" s="15"/>
      <c r="JO1016" s="15"/>
      <c r="JP1016" s="15"/>
    </row>
    <row r="1017" spans="33:276" ht="15" customHeight="1" x14ac:dyDescent="0.3">
      <c r="AG1017" s="2"/>
      <c r="JD1017" s="15"/>
      <c r="JE1017" s="15"/>
      <c r="JF1017" s="15"/>
      <c r="JG1017" s="15"/>
      <c r="JH1017" s="15"/>
      <c r="JI1017" s="15"/>
      <c r="JJ1017" s="15"/>
      <c r="JK1017" s="15"/>
      <c r="JL1017" s="15"/>
      <c r="JM1017" s="15"/>
      <c r="JN1017" s="15"/>
      <c r="JO1017" s="15"/>
      <c r="JP1017" s="15"/>
    </row>
    <row r="1018" spans="33:276" ht="15" customHeight="1" x14ac:dyDescent="0.3">
      <c r="AG1018" s="2"/>
      <c r="JD1018" s="15"/>
      <c r="JE1018" s="15"/>
      <c r="JF1018" s="15"/>
      <c r="JG1018" s="15"/>
      <c r="JH1018" s="15"/>
      <c r="JI1018" s="15"/>
      <c r="JJ1018" s="15"/>
      <c r="JK1018" s="15"/>
      <c r="JL1018" s="15"/>
      <c r="JM1018" s="15"/>
      <c r="JN1018" s="15"/>
      <c r="JO1018" s="15"/>
      <c r="JP1018" s="15"/>
    </row>
    <row r="1019" spans="33:276" ht="15" customHeight="1" x14ac:dyDescent="0.3">
      <c r="AG1019" s="2"/>
      <c r="JD1019" s="15"/>
      <c r="JE1019" s="15"/>
      <c r="JF1019" s="15"/>
      <c r="JG1019" s="15"/>
      <c r="JH1019" s="15"/>
      <c r="JI1019" s="15"/>
      <c r="JJ1019" s="15"/>
      <c r="JK1019" s="15"/>
      <c r="JL1019" s="15"/>
      <c r="JM1019" s="15"/>
      <c r="JN1019" s="15"/>
      <c r="JO1019" s="15"/>
      <c r="JP1019" s="15"/>
    </row>
    <row r="1020" spans="33:276" ht="15" customHeight="1" x14ac:dyDescent="0.3">
      <c r="AG1020" s="2"/>
      <c r="JD1020" s="15"/>
      <c r="JE1020" s="15"/>
      <c r="JF1020" s="15"/>
      <c r="JG1020" s="15"/>
      <c r="JH1020" s="15"/>
      <c r="JI1020" s="15"/>
      <c r="JJ1020" s="15"/>
      <c r="JK1020" s="15"/>
      <c r="JL1020" s="15"/>
      <c r="JM1020" s="15"/>
      <c r="JN1020" s="15"/>
      <c r="JO1020" s="15"/>
      <c r="JP1020" s="15"/>
    </row>
    <row r="1021" spans="33:276" ht="15" customHeight="1" x14ac:dyDescent="0.3">
      <c r="AG1021" s="2"/>
      <c r="JD1021" s="15"/>
      <c r="JE1021" s="15"/>
      <c r="JF1021" s="15"/>
      <c r="JG1021" s="15"/>
      <c r="JH1021" s="15"/>
      <c r="JI1021" s="15"/>
      <c r="JJ1021" s="15"/>
      <c r="JK1021" s="15"/>
      <c r="JL1021" s="15"/>
      <c r="JM1021" s="15"/>
      <c r="JN1021" s="15"/>
      <c r="JO1021" s="15"/>
      <c r="JP1021" s="15"/>
    </row>
    <row r="1022" spans="33:276" ht="15" customHeight="1" x14ac:dyDescent="0.3">
      <c r="AG1022" s="2"/>
      <c r="JD1022" s="15"/>
      <c r="JE1022" s="15"/>
      <c r="JF1022" s="15"/>
      <c r="JG1022" s="15"/>
      <c r="JH1022" s="15"/>
      <c r="JI1022" s="15"/>
      <c r="JJ1022" s="15"/>
      <c r="JK1022" s="15"/>
      <c r="JL1022" s="15"/>
      <c r="JM1022" s="15"/>
      <c r="JN1022" s="15"/>
      <c r="JO1022" s="15"/>
      <c r="JP1022" s="15"/>
    </row>
    <row r="1023" spans="33:276" ht="15" customHeight="1" x14ac:dyDescent="0.3">
      <c r="AG1023" s="2"/>
      <c r="JD1023" s="15"/>
      <c r="JE1023" s="15"/>
      <c r="JF1023" s="15"/>
      <c r="JG1023" s="15"/>
      <c r="JH1023" s="15"/>
      <c r="JI1023" s="15"/>
      <c r="JJ1023" s="15"/>
      <c r="JK1023" s="15"/>
      <c r="JL1023" s="15"/>
      <c r="JM1023" s="15"/>
      <c r="JN1023" s="15"/>
      <c r="JO1023" s="15"/>
      <c r="JP1023" s="15"/>
    </row>
    <row r="1024" spans="33:276" ht="15" customHeight="1" x14ac:dyDescent="0.3">
      <c r="AG1024" s="2"/>
      <c r="JD1024" s="15"/>
      <c r="JE1024" s="15"/>
      <c r="JF1024" s="15"/>
      <c r="JG1024" s="15"/>
      <c r="JH1024" s="15"/>
      <c r="JI1024" s="15"/>
      <c r="JJ1024" s="15"/>
      <c r="JK1024" s="15"/>
      <c r="JL1024" s="15"/>
      <c r="JM1024" s="15"/>
      <c r="JN1024" s="15"/>
      <c r="JO1024" s="15"/>
      <c r="JP1024" s="15"/>
    </row>
    <row r="1025" spans="33:276" ht="15" customHeight="1" x14ac:dyDescent="0.3">
      <c r="AG1025" s="2"/>
      <c r="JD1025" s="15"/>
      <c r="JE1025" s="15"/>
      <c r="JF1025" s="15"/>
      <c r="JG1025" s="15"/>
      <c r="JH1025" s="15"/>
      <c r="JI1025" s="15"/>
      <c r="JJ1025" s="15"/>
      <c r="JK1025" s="15"/>
      <c r="JL1025" s="15"/>
      <c r="JM1025" s="15"/>
      <c r="JN1025" s="15"/>
      <c r="JO1025" s="15"/>
      <c r="JP1025" s="15"/>
    </row>
    <row r="1026" spans="33:276" ht="15" customHeight="1" x14ac:dyDescent="0.3">
      <c r="AG1026" s="2"/>
      <c r="JD1026" s="15"/>
      <c r="JE1026" s="15"/>
      <c r="JF1026" s="15"/>
      <c r="JG1026" s="15"/>
      <c r="JH1026" s="15"/>
      <c r="JI1026" s="15"/>
      <c r="JJ1026" s="15"/>
      <c r="JK1026" s="15"/>
      <c r="JL1026" s="15"/>
      <c r="JM1026" s="15"/>
      <c r="JN1026" s="15"/>
      <c r="JO1026" s="15"/>
      <c r="JP1026" s="15"/>
    </row>
    <row r="1027" spans="33:276" ht="15" customHeight="1" x14ac:dyDescent="0.3">
      <c r="AG1027" s="2"/>
      <c r="JD1027" s="15"/>
      <c r="JE1027" s="15"/>
      <c r="JF1027" s="15"/>
      <c r="JG1027" s="15"/>
      <c r="JH1027" s="15"/>
      <c r="JI1027" s="15"/>
      <c r="JJ1027" s="15"/>
      <c r="JK1027" s="15"/>
      <c r="JL1027" s="15"/>
      <c r="JM1027" s="15"/>
      <c r="JN1027" s="15"/>
      <c r="JO1027" s="15"/>
      <c r="JP1027" s="15"/>
    </row>
    <row r="1028" spans="33:276" ht="15" customHeight="1" x14ac:dyDescent="0.3">
      <c r="AG1028" s="2"/>
      <c r="JD1028" s="15"/>
      <c r="JE1028" s="15"/>
      <c r="JF1028" s="15"/>
      <c r="JG1028" s="15"/>
      <c r="JH1028" s="15"/>
      <c r="JI1028" s="15"/>
      <c r="JJ1028" s="15"/>
      <c r="JK1028" s="15"/>
      <c r="JL1028" s="15"/>
      <c r="JM1028" s="15"/>
      <c r="JN1028" s="15"/>
      <c r="JO1028" s="15"/>
      <c r="JP1028" s="15"/>
    </row>
    <row r="1029" spans="33:276" ht="15" customHeight="1" x14ac:dyDescent="0.3">
      <c r="AG1029" s="2"/>
      <c r="JD1029" s="15"/>
      <c r="JE1029" s="15"/>
      <c r="JF1029" s="15"/>
      <c r="JG1029" s="15"/>
      <c r="JH1029" s="15"/>
      <c r="JI1029" s="15"/>
      <c r="JJ1029" s="15"/>
      <c r="JK1029" s="15"/>
      <c r="JL1029" s="15"/>
      <c r="JM1029" s="15"/>
      <c r="JN1029" s="15"/>
      <c r="JO1029" s="15"/>
      <c r="JP1029" s="15"/>
    </row>
    <row r="1030" spans="33:276" ht="15" customHeight="1" x14ac:dyDescent="0.3">
      <c r="AG1030" s="2"/>
      <c r="JD1030" s="15"/>
      <c r="JE1030" s="15"/>
      <c r="JF1030" s="15"/>
      <c r="JG1030" s="15"/>
      <c r="JH1030" s="15"/>
      <c r="JI1030" s="15"/>
      <c r="JJ1030" s="15"/>
      <c r="JK1030" s="15"/>
      <c r="JL1030" s="15"/>
      <c r="JM1030" s="15"/>
      <c r="JN1030" s="15"/>
      <c r="JO1030" s="15"/>
      <c r="JP1030" s="15"/>
    </row>
    <row r="1031" spans="33:276" ht="15" customHeight="1" x14ac:dyDescent="0.3">
      <c r="AG1031" s="2"/>
      <c r="JD1031" s="15"/>
      <c r="JE1031" s="15"/>
      <c r="JF1031" s="15"/>
      <c r="JG1031" s="15"/>
      <c r="JH1031" s="15"/>
      <c r="JI1031" s="15"/>
      <c r="JJ1031" s="15"/>
      <c r="JK1031" s="15"/>
      <c r="JL1031" s="15"/>
      <c r="JM1031" s="15"/>
      <c r="JN1031" s="15"/>
      <c r="JO1031" s="15"/>
      <c r="JP1031" s="15"/>
    </row>
    <row r="1032" spans="33:276" ht="15" customHeight="1" x14ac:dyDescent="0.3">
      <c r="AG1032" s="2"/>
      <c r="JD1032" s="15"/>
      <c r="JE1032" s="15"/>
      <c r="JF1032" s="15"/>
      <c r="JG1032" s="15"/>
      <c r="JH1032" s="15"/>
      <c r="JI1032" s="15"/>
      <c r="JJ1032" s="15"/>
      <c r="JK1032" s="15"/>
      <c r="JL1032" s="15"/>
      <c r="JM1032" s="15"/>
      <c r="JN1032" s="15"/>
      <c r="JO1032" s="15"/>
      <c r="JP1032" s="15"/>
    </row>
    <row r="1033" spans="33:276" ht="15" customHeight="1" x14ac:dyDescent="0.3">
      <c r="AG1033" s="2"/>
      <c r="JD1033" s="15"/>
      <c r="JE1033" s="15"/>
      <c r="JF1033" s="15"/>
      <c r="JG1033" s="15"/>
      <c r="JH1033" s="15"/>
      <c r="JI1033" s="15"/>
      <c r="JJ1033" s="15"/>
      <c r="JK1033" s="15"/>
      <c r="JL1033" s="15"/>
      <c r="JM1033" s="15"/>
      <c r="JN1033" s="15"/>
      <c r="JO1033" s="15"/>
      <c r="JP1033" s="15"/>
    </row>
    <row r="1034" spans="33:276" ht="15" customHeight="1" x14ac:dyDescent="0.3">
      <c r="AG1034" s="2"/>
      <c r="JD1034" s="15"/>
      <c r="JE1034" s="15"/>
      <c r="JF1034" s="15"/>
      <c r="JG1034" s="15"/>
      <c r="JH1034" s="15"/>
      <c r="JI1034" s="15"/>
      <c r="JJ1034" s="15"/>
      <c r="JK1034" s="15"/>
      <c r="JL1034" s="15"/>
      <c r="JM1034" s="15"/>
      <c r="JN1034" s="15"/>
      <c r="JO1034" s="15"/>
      <c r="JP1034" s="15"/>
    </row>
    <row r="1035" spans="33:276" ht="15" customHeight="1" x14ac:dyDescent="0.3">
      <c r="AG1035" s="2"/>
      <c r="JD1035" s="15"/>
      <c r="JE1035" s="15"/>
      <c r="JF1035" s="15"/>
      <c r="JG1035" s="15"/>
      <c r="JH1035" s="15"/>
      <c r="JI1035" s="15"/>
      <c r="JJ1035" s="15"/>
      <c r="JK1035" s="15"/>
      <c r="JL1035" s="15"/>
      <c r="JM1035" s="15"/>
      <c r="JN1035" s="15"/>
      <c r="JO1035" s="15"/>
      <c r="JP1035" s="15"/>
    </row>
    <row r="1036" spans="33:276" ht="15" customHeight="1" x14ac:dyDescent="0.3">
      <c r="AG1036" s="2"/>
      <c r="JD1036" s="15"/>
      <c r="JE1036" s="15"/>
      <c r="JF1036" s="15"/>
      <c r="JG1036" s="15"/>
      <c r="JH1036" s="15"/>
      <c r="JI1036" s="15"/>
      <c r="JJ1036" s="15"/>
      <c r="JK1036" s="15"/>
      <c r="JL1036" s="15"/>
      <c r="JM1036" s="15"/>
      <c r="JN1036" s="15"/>
      <c r="JO1036" s="15"/>
      <c r="JP1036" s="15"/>
    </row>
    <row r="1037" spans="33:276" ht="15" customHeight="1" x14ac:dyDescent="0.3">
      <c r="AG1037" s="2"/>
      <c r="JD1037" s="15"/>
      <c r="JE1037" s="15"/>
      <c r="JF1037" s="15"/>
      <c r="JG1037" s="15"/>
      <c r="JH1037" s="15"/>
      <c r="JI1037" s="15"/>
      <c r="JJ1037" s="15"/>
      <c r="JK1037" s="15"/>
      <c r="JL1037" s="15"/>
      <c r="JM1037" s="15"/>
      <c r="JN1037" s="15"/>
      <c r="JO1037" s="15"/>
      <c r="JP1037" s="15"/>
    </row>
    <row r="1038" spans="33:276" ht="15" customHeight="1" x14ac:dyDescent="0.3">
      <c r="AG1038" s="2"/>
      <c r="JD1038" s="15"/>
      <c r="JE1038" s="15"/>
      <c r="JF1038" s="15"/>
      <c r="JG1038" s="15"/>
      <c r="JH1038" s="15"/>
      <c r="JI1038" s="15"/>
      <c r="JJ1038" s="15"/>
      <c r="JK1038" s="15"/>
      <c r="JL1038" s="15"/>
      <c r="JM1038" s="15"/>
      <c r="JN1038" s="15"/>
      <c r="JO1038" s="15"/>
      <c r="JP1038" s="15"/>
    </row>
    <row r="1039" spans="33:276" ht="15" customHeight="1" x14ac:dyDescent="0.3">
      <c r="AG1039" s="2"/>
      <c r="JD1039" s="15"/>
      <c r="JE1039" s="15"/>
      <c r="JF1039" s="15"/>
      <c r="JG1039" s="15"/>
      <c r="JH1039" s="15"/>
      <c r="JI1039" s="15"/>
      <c r="JJ1039" s="15"/>
      <c r="JK1039" s="15"/>
      <c r="JL1039" s="15"/>
      <c r="JM1039" s="15"/>
      <c r="JN1039" s="15"/>
      <c r="JO1039" s="15"/>
      <c r="JP1039" s="15"/>
    </row>
    <row r="1040" spans="33:276" ht="15" customHeight="1" x14ac:dyDescent="0.3">
      <c r="AG1040" s="2"/>
      <c r="JD1040" s="15"/>
      <c r="JE1040" s="15"/>
      <c r="JF1040" s="15"/>
      <c r="JG1040" s="15"/>
      <c r="JH1040" s="15"/>
      <c r="JI1040" s="15"/>
      <c r="JJ1040" s="15"/>
      <c r="JK1040" s="15"/>
      <c r="JL1040" s="15"/>
      <c r="JM1040" s="15"/>
      <c r="JN1040" s="15"/>
      <c r="JO1040" s="15"/>
      <c r="JP1040" s="15"/>
    </row>
    <row r="1041" spans="33:276" ht="15" customHeight="1" x14ac:dyDescent="0.3">
      <c r="AG1041" s="2"/>
      <c r="JD1041" s="15"/>
      <c r="JE1041" s="15"/>
      <c r="JF1041" s="15"/>
      <c r="JG1041" s="15"/>
      <c r="JH1041" s="15"/>
      <c r="JI1041" s="15"/>
      <c r="JJ1041" s="15"/>
      <c r="JK1041" s="15"/>
      <c r="JL1041" s="15"/>
      <c r="JM1041" s="15"/>
      <c r="JN1041" s="15"/>
      <c r="JO1041" s="15"/>
      <c r="JP1041" s="15"/>
    </row>
    <row r="1042" spans="33:276" ht="15" customHeight="1" x14ac:dyDescent="0.3">
      <c r="AG1042" s="2"/>
      <c r="JD1042" s="15"/>
      <c r="JE1042" s="15"/>
      <c r="JF1042" s="15"/>
      <c r="JG1042" s="15"/>
      <c r="JH1042" s="15"/>
      <c r="JI1042" s="15"/>
      <c r="JJ1042" s="15"/>
      <c r="JK1042" s="15"/>
      <c r="JL1042" s="15"/>
      <c r="JM1042" s="15"/>
      <c r="JN1042" s="15"/>
      <c r="JO1042" s="15"/>
      <c r="JP1042" s="15"/>
    </row>
    <row r="1043" spans="33:276" ht="15" customHeight="1" x14ac:dyDescent="0.3">
      <c r="AG1043" s="2"/>
      <c r="JD1043" s="15"/>
      <c r="JE1043" s="15"/>
      <c r="JF1043" s="15"/>
      <c r="JG1043" s="15"/>
      <c r="JH1043" s="15"/>
      <c r="JI1043" s="15"/>
      <c r="JJ1043" s="15"/>
      <c r="JK1043" s="15"/>
      <c r="JL1043" s="15"/>
      <c r="JM1043" s="15"/>
      <c r="JN1043" s="15"/>
      <c r="JO1043" s="15"/>
      <c r="JP1043" s="15"/>
    </row>
    <row r="1044" spans="33:276" ht="15" customHeight="1" x14ac:dyDescent="0.3">
      <c r="AG1044" s="2"/>
      <c r="JD1044" s="15"/>
      <c r="JE1044" s="15"/>
      <c r="JF1044" s="15"/>
      <c r="JG1044" s="15"/>
      <c r="JH1044" s="15"/>
      <c r="JI1044" s="15"/>
      <c r="JJ1044" s="15"/>
      <c r="JK1044" s="15"/>
      <c r="JL1044" s="15"/>
      <c r="JM1044" s="15"/>
      <c r="JN1044" s="15"/>
      <c r="JO1044" s="15"/>
      <c r="JP1044" s="15"/>
    </row>
    <row r="1045" spans="33:276" ht="15" customHeight="1" x14ac:dyDescent="0.3">
      <c r="AG1045" s="2"/>
      <c r="JD1045" s="15"/>
      <c r="JE1045" s="15"/>
      <c r="JF1045" s="15"/>
      <c r="JG1045" s="15"/>
      <c r="JH1045" s="15"/>
      <c r="JI1045" s="15"/>
      <c r="JJ1045" s="15"/>
      <c r="JK1045" s="15"/>
      <c r="JL1045" s="15"/>
      <c r="JM1045" s="15"/>
      <c r="JN1045" s="15"/>
      <c r="JO1045" s="15"/>
      <c r="JP1045" s="15"/>
    </row>
    <row r="1046" spans="33:276" ht="15" customHeight="1" x14ac:dyDescent="0.3">
      <c r="AG1046" s="2"/>
      <c r="JD1046" s="15"/>
      <c r="JE1046" s="15"/>
      <c r="JF1046" s="15"/>
      <c r="JG1046" s="15"/>
      <c r="JH1046" s="15"/>
      <c r="JI1046" s="15"/>
      <c r="JJ1046" s="15"/>
      <c r="JK1046" s="15"/>
      <c r="JL1046" s="15"/>
      <c r="JM1046" s="15"/>
      <c r="JN1046" s="15"/>
      <c r="JO1046" s="15"/>
      <c r="JP1046" s="15"/>
    </row>
    <row r="1047" spans="33:276" ht="15" customHeight="1" x14ac:dyDescent="0.3">
      <c r="AG1047" s="2"/>
      <c r="JD1047" s="15"/>
      <c r="JE1047" s="15"/>
      <c r="JF1047" s="15"/>
      <c r="JG1047" s="15"/>
      <c r="JH1047" s="15"/>
      <c r="JI1047" s="15"/>
      <c r="JJ1047" s="15"/>
      <c r="JK1047" s="15"/>
      <c r="JL1047" s="15"/>
      <c r="JM1047" s="15"/>
      <c r="JN1047" s="15"/>
      <c r="JO1047" s="15"/>
      <c r="JP1047" s="15"/>
    </row>
    <row r="1048" spans="33:276" ht="15" customHeight="1" x14ac:dyDescent="0.3">
      <c r="AG1048" s="2"/>
      <c r="JD1048" s="15"/>
      <c r="JE1048" s="15"/>
      <c r="JF1048" s="15"/>
      <c r="JG1048" s="15"/>
      <c r="JH1048" s="15"/>
      <c r="JI1048" s="15"/>
      <c r="JJ1048" s="15"/>
      <c r="JK1048" s="15"/>
      <c r="JL1048" s="15"/>
      <c r="JM1048" s="15"/>
      <c r="JN1048" s="15"/>
      <c r="JO1048" s="15"/>
      <c r="JP1048" s="15"/>
    </row>
    <row r="1049" spans="33:276" ht="15" customHeight="1" x14ac:dyDescent="0.3">
      <c r="AG1049" s="2"/>
      <c r="JD1049" s="15"/>
      <c r="JE1049" s="15"/>
      <c r="JF1049" s="15"/>
      <c r="JG1049" s="15"/>
      <c r="JH1049" s="15"/>
      <c r="JI1049" s="15"/>
      <c r="JJ1049" s="15"/>
      <c r="JK1049" s="15"/>
      <c r="JL1049" s="15"/>
      <c r="JM1049" s="15"/>
      <c r="JN1049" s="15"/>
      <c r="JO1049" s="15"/>
      <c r="JP1049" s="15"/>
    </row>
    <row r="1050" spans="33:276" ht="15" customHeight="1" x14ac:dyDescent="0.3">
      <c r="AG1050" s="2"/>
      <c r="JD1050" s="15"/>
      <c r="JE1050" s="15"/>
      <c r="JF1050" s="15"/>
      <c r="JG1050" s="15"/>
      <c r="JH1050" s="15"/>
      <c r="JI1050" s="15"/>
      <c r="JJ1050" s="15"/>
      <c r="JK1050" s="15"/>
      <c r="JL1050" s="15"/>
      <c r="JM1050" s="15"/>
      <c r="JN1050" s="15"/>
      <c r="JO1050" s="15"/>
      <c r="JP1050" s="15"/>
    </row>
    <row r="1051" spans="33:276" ht="15" customHeight="1" x14ac:dyDescent="0.3">
      <c r="AG1051" s="2"/>
      <c r="JD1051" s="15"/>
      <c r="JE1051" s="15"/>
      <c r="JF1051" s="15"/>
      <c r="JG1051" s="15"/>
      <c r="JH1051" s="15"/>
      <c r="JI1051" s="15"/>
      <c r="JJ1051" s="15"/>
      <c r="JK1051" s="15"/>
      <c r="JL1051" s="15"/>
      <c r="JM1051" s="15"/>
      <c r="JN1051" s="15"/>
      <c r="JO1051" s="15"/>
      <c r="JP1051" s="15"/>
    </row>
    <row r="1052" spans="33:276" ht="15" customHeight="1" x14ac:dyDescent="0.3">
      <c r="AG1052" s="2"/>
      <c r="JD1052" s="15"/>
      <c r="JE1052" s="15"/>
      <c r="JF1052" s="15"/>
      <c r="JG1052" s="15"/>
      <c r="JH1052" s="15"/>
      <c r="JI1052" s="15"/>
      <c r="JJ1052" s="15"/>
      <c r="JK1052" s="15"/>
      <c r="JL1052" s="15"/>
      <c r="JM1052" s="15"/>
      <c r="JN1052" s="15"/>
      <c r="JO1052" s="15"/>
      <c r="JP1052" s="15"/>
    </row>
    <row r="1053" spans="33:276" ht="15" customHeight="1" x14ac:dyDescent="0.3">
      <c r="AG1053" s="2"/>
      <c r="JD1053" s="15"/>
      <c r="JE1053" s="15"/>
      <c r="JF1053" s="15"/>
      <c r="JG1053" s="15"/>
      <c r="JH1053" s="15"/>
      <c r="JI1053" s="15"/>
      <c r="JJ1053" s="15"/>
      <c r="JK1053" s="15"/>
      <c r="JL1053" s="15"/>
      <c r="JM1053" s="15"/>
      <c r="JN1053" s="15"/>
      <c r="JO1053" s="15"/>
      <c r="JP1053" s="15"/>
    </row>
    <row r="1054" spans="33:276" ht="15" customHeight="1" x14ac:dyDescent="0.3">
      <c r="AG1054" s="2"/>
      <c r="JD1054" s="15"/>
      <c r="JE1054" s="15"/>
      <c r="JF1054" s="15"/>
      <c r="JG1054" s="15"/>
      <c r="JH1054" s="15"/>
      <c r="JI1054" s="15"/>
      <c r="JJ1054" s="15"/>
      <c r="JK1054" s="15"/>
      <c r="JL1054" s="15"/>
      <c r="JM1054" s="15"/>
      <c r="JN1054" s="15"/>
      <c r="JO1054" s="15"/>
      <c r="JP1054" s="15"/>
    </row>
    <row r="1055" spans="33:276" ht="15" customHeight="1" x14ac:dyDescent="0.3">
      <c r="AG1055" s="2"/>
      <c r="JD1055" s="15"/>
      <c r="JE1055" s="15"/>
      <c r="JF1055" s="15"/>
      <c r="JG1055" s="15"/>
      <c r="JH1055" s="15"/>
      <c r="JI1055" s="15"/>
      <c r="JJ1055" s="15"/>
      <c r="JK1055" s="15"/>
      <c r="JL1055" s="15"/>
      <c r="JM1055" s="15"/>
      <c r="JN1055" s="15"/>
      <c r="JO1055" s="15"/>
      <c r="JP1055" s="15"/>
    </row>
    <row r="1056" spans="33:276" ht="15" customHeight="1" x14ac:dyDescent="0.3">
      <c r="AG1056" s="2"/>
      <c r="JD1056" s="15"/>
      <c r="JE1056" s="15"/>
      <c r="JF1056" s="15"/>
      <c r="JG1056" s="15"/>
      <c r="JH1056" s="15"/>
      <c r="JI1056" s="15"/>
      <c r="JJ1056" s="15"/>
      <c r="JK1056" s="15"/>
      <c r="JL1056" s="15"/>
      <c r="JM1056" s="15"/>
      <c r="JN1056" s="15"/>
      <c r="JO1056" s="15"/>
      <c r="JP1056" s="15"/>
    </row>
    <row r="1057" spans="33:276" ht="15" customHeight="1" x14ac:dyDescent="0.3">
      <c r="AG1057" s="2"/>
      <c r="JD1057" s="15"/>
      <c r="JE1057" s="15"/>
      <c r="JF1057" s="15"/>
      <c r="JG1057" s="15"/>
      <c r="JH1057" s="15"/>
      <c r="JI1057" s="15"/>
      <c r="JJ1057" s="15"/>
      <c r="JK1057" s="15"/>
      <c r="JL1057" s="15"/>
      <c r="JM1057" s="15"/>
      <c r="JN1057" s="15"/>
      <c r="JO1057" s="15"/>
      <c r="JP1057" s="15"/>
    </row>
    <row r="1058" spans="33:276" ht="15" customHeight="1" x14ac:dyDescent="0.3">
      <c r="AG1058" s="2"/>
      <c r="JD1058" s="15"/>
      <c r="JE1058" s="15"/>
      <c r="JF1058" s="15"/>
      <c r="JG1058" s="15"/>
      <c r="JH1058" s="15"/>
      <c r="JI1058" s="15"/>
      <c r="JJ1058" s="15"/>
      <c r="JK1058" s="15"/>
      <c r="JL1058" s="15"/>
      <c r="JM1058" s="15"/>
      <c r="JN1058" s="15"/>
      <c r="JO1058" s="15"/>
      <c r="JP1058" s="15"/>
    </row>
    <row r="1059" spans="33:276" ht="15" customHeight="1" x14ac:dyDescent="0.3">
      <c r="AG1059" s="2"/>
      <c r="JD1059" s="15"/>
      <c r="JE1059" s="15"/>
      <c r="JF1059" s="15"/>
      <c r="JG1059" s="15"/>
      <c r="JH1059" s="15"/>
      <c r="JI1059" s="15"/>
      <c r="JJ1059" s="15"/>
      <c r="JK1059" s="15"/>
      <c r="JL1059" s="15"/>
      <c r="JM1059" s="15"/>
      <c r="JN1059" s="15"/>
      <c r="JO1059" s="15"/>
      <c r="JP1059" s="15"/>
    </row>
    <row r="1060" spans="33:276" ht="15" customHeight="1" x14ac:dyDescent="0.3">
      <c r="AG1060" s="2"/>
      <c r="JD1060" s="15"/>
      <c r="JE1060" s="15"/>
      <c r="JF1060" s="15"/>
      <c r="JG1060" s="15"/>
      <c r="JH1060" s="15"/>
      <c r="JI1060" s="15"/>
      <c r="JJ1060" s="15"/>
      <c r="JK1060" s="15"/>
      <c r="JL1060" s="15"/>
      <c r="JM1060" s="15"/>
      <c r="JN1060" s="15"/>
      <c r="JO1060" s="15"/>
      <c r="JP1060" s="15"/>
    </row>
    <row r="1061" spans="33:276" ht="15" customHeight="1" x14ac:dyDescent="0.3">
      <c r="AG1061" s="2"/>
      <c r="JD1061" s="15"/>
      <c r="JE1061" s="15"/>
      <c r="JF1061" s="15"/>
      <c r="JG1061" s="15"/>
      <c r="JH1061" s="15"/>
      <c r="JI1061" s="15"/>
      <c r="JJ1061" s="15"/>
      <c r="JK1061" s="15"/>
      <c r="JL1061" s="15"/>
      <c r="JM1061" s="15"/>
      <c r="JN1061" s="15"/>
      <c r="JO1061" s="15"/>
      <c r="JP1061" s="15"/>
    </row>
    <row r="1062" spans="33:276" ht="15" customHeight="1" x14ac:dyDescent="0.3">
      <c r="AG1062" s="2"/>
      <c r="JD1062" s="15"/>
      <c r="JE1062" s="15"/>
      <c r="JF1062" s="15"/>
      <c r="JG1062" s="15"/>
      <c r="JH1062" s="15"/>
      <c r="JI1062" s="15"/>
      <c r="JJ1062" s="15"/>
      <c r="JK1062" s="15"/>
      <c r="JL1062" s="15"/>
      <c r="JM1062" s="15"/>
      <c r="JN1062" s="15"/>
      <c r="JO1062" s="15"/>
      <c r="JP1062" s="15"/>
    </row>
    <row r="1063" spans="33:276" ht="15" customHeight="1" x14ac:dyDescent="0.3">
      <c r="AG1063" s="2"/>
      <c r="JD1063" s="15"/>
      <c r="JE1063" s="15"/>
      <c r="JF1063" s="15"/>
      <c r="JG1063" s="15"/>
      <c r="JH1063" s="15"/>
      <c r="JI1063" s="15"/>
      <c r="JJ1063" s="15"/>
      <c r="JK1063" s="15"/>
      <c r="JL1063" s="15"/>
      <c r="JM1063" s="15"/>
      <c r="JN1063" s="15"/>
      <c r="JO1063" s="15"/>
      <c r="JP1063" s="15"/>
    </row>
    <row r="1064" spans="33:276" ht="15" customHeight="1" x14ac:dyDescent="0.3">
      <c r="AG1064" s="2"/>
      <c r="JD1064" s="15"/>
      <c r="JE1064" s="15"/>
      <c r="JF1064" s="15"/>
      <c r="JG1064" s="15"/>
      <c r="JH1064" s="15"/>
      <c r="JI1064" s="15"/>
      <c r="JJ1064" s="15"/>
      <c r="JK1064" s="15"/>
      <c r="JL1064" s="15"/>
      <c r="JM1064" s="15"/>
      <c r="JN1064" s="15"/>
      <c r="JO1064" s="15"/>
      <c r="JP1064" s="15"/>
    </row>
    <row r="1065" spans="33:276" ht="15" customHeight="1" x14ac:dyDescent="0.3">
      <c r="AG1065" s="2"/>
      <c r="JD1065" s="15"/>
      <c r="JE1065" s="15"/>
      <c r="JF1065" s="15"/>
      <c r="JG1065" s="15"/>
      <c r="JH1065" s="15"/>
      <c r="JI1065" s="15"/>
      <c r="JJ1065" s="15"/>
      <c r="JK1065" s="15"/>
      <c r="JL1065" s="15"/>
      <c r="JM1065" s="15"/>
      <c r="JN1065" s="15"/>
      <c r="JO1065" s="15"/>
      <c r="JP1065" s="15"/>
    </row>
    <row r="1066" spans="33:276" ht="15" customHeight="1" x14ac:dyDescent="0.3">
      <c r="AG1066" s="2"/>
      <c r="JD1066" s="15"/>
      <c r="JE1066" s="15"/>
      <c r="JF1066" s="15"/>
      <c r="JG1066" s="15"/>
      <c r="JH1066" s="15"/>
      <c r="JI1066" s="15"/>
      <c r="JJ1066" s="15"/>
      <c r="JK1066" s="15"/>
      <c r="JL1066" s="15"/>
      <c r="JM1066" s="15"/>
      <c r="JN1066" s="15"/>
      <c r="JO1066" s="15"/>
      <c r="JP1066" s="15"/>
    </row>
    <row r="1067" spans="33:276" ht="15" customHeight="1" x14ac:dyDescent="0.3">
      <c r="AG1067" s="2"/>
      <c r="JD1067" s="15"/>
      <c r="JE1067" s="15"/>
      <c r="JF1067" s="15"/>
      <c r="JG1067" s="15"/>
      <c r="JH1067" s="15"/>
      <c r="JI1067" s="15"/>
      <c r="JJ1067" s="15"/>
      <c r="JK1067" s="15"/>
      <c r="JL1067" s="15"/>
      <c r="JM1067" s="15"/>
      <c r="JN1067" s="15"/>
      <c r="JO1067" s="15"/>
      <c r="JP1067" s="15"/>
    </row>
    <row r="1068" spans="33:276" ht="15" customHeight="1" x14ac:dyDescent="0.3">
      <c r="AG1068" s="2"/>
      <c r="JD1068" s="15"/>
      <c r="JE1068" s="15"/>
      <c r="JF1068" s="15"/>
      <c r="JG1068" s="15"/>
      <c r="JH1068" s="15"/>
      <c r="JI1068" s="15"/>
      <c r="JJ1068" s="15"/>
      <c r="JK1068" s="15"/>
      <c r="JL1068" s="15"/>
      <c r="JM1068" s="15"/>
      <c r="JN1068" s="15"/>
      <c r="JO1068" s="15"/>
      <c r="JP1068" s="15"/>
    </row>
    <row r="1069" spans="33:276" ht="15" customHeight="1" x14ac:dyDescent="0.3">
      <c r="AG1069" s="2"/>
      <c r="JD1069" s="15"/>
      <c r="JE1069" s="15"/>
      <c r="JF1069" s="15"/>
      <c r="JG1069" s="15"/>
      <c r="JH1069" s="15"/>
      <c r="JI1069" s="15"/>
      <c r="JJ1069" s="15"/>
      <c r="JK1069" s="15"/>
      <c r="JL1069" s="15"/>
      <c r="JM1069" s="15"/>
      <c r="JN1069" s="15"/>
      <c r="JO1069" s="15"/>
      <c r="JP1069" s="15"/>
    </row>
    <row r="1070" spans="33:276" ht="15" customHeight="1" x14ac:dyDescent="0.3">
      <c r="AG1070" s="2"/>
      <c r="JD1070" s="15"/>
      <c r="JE1070" s="15"/>
      <c r="JF1070" s="15"/>
      <c r="JG1070" s="15"/>
      <c r="JH1070" s="15"/>
      <c r="JI1070" s="15"/>
      <c r="JJ1070" s="15"/>
      <c r="JK1070" s="15"/>
      <c r="JL1070" s="15"/>
      <c r="JM1070" s="15"/>
      <c r="JN1070" s="15"/>
      <c r="JO1070" s="15"/>
      <c r="JP1070" s="15"/>
    </row>
    <row r="1071" spans="33:276" ht="15" customHeight="1" x14ac:dyDescent="0.3">
      <c r="AG1071" s="2"/>
      <c r="JD1071" s="15"/>
      <c r="JE1071" s="15"/>
      <c r="JF1071" s="15"/>
      <c r="JG1071" s="15"/>
      <c r="JH1071" s="15"/>
      <c r="JI1071" s="15"/>
      <c r="JJ1071" s="15"/>
      <c r="JK1071" s="15"/>
      <c r="JL1071" s="15"/>
      <c r="JM1071" s="15"/>
      <c r="JN1071" s="15"/>
      <c r="JO1071" s="15"/>
      <c r="JP1071" s="15"/>
    </row>
    <row r="1072" spans="33:276" ht="15" customHeight="1" x14ac:dyDescent="0.3">
      <c r="AG1072" s="2"/>
      <c r="JD1072" s="15"/>
      <c r="JE1072" s="15"/>
      <c r="JF1072" s="15"/>
      <c r="JG1072" s="15"/>
      <c r="JH1072" s="15"/>
      <c r="JI1072" s="15"/>
      <c r="JJ1072" s="15"/>
      <c r="JK1072" s="15"/>
      <c r="JL1072" s="15"/>
      <c r="JM1072" s="15"/>
      <c r="JN1072" s="15"/>
      <c r="JO1072" s="15"/>
      <c r="JP1072" s="15"/>
    </row>
    <row r="1073" spans="33:276" ht="15" customHeight="1" x14ac:dyDescent="0.3">
      <c r="AG1073" s="2"/>
      <c r="JD1073" s="15"/>
      <c r="JE1073" s="15"/>
      <c r="JF1073" s="15"/>
      <c r="JG1073" s="15"/>
      <c r="JH1073" s="15"/>
      <c r="JI1073" s="15"/>
      <c r="JJ1073" s="15"/>
      <c r="JK1073" s="15"/>
      <c r="JL1073" s="15"/>
      <c r="JM1073" s="15"/>
      <c r="JN1073" s="15"/>
      <c r="JO1073" s="15"/>
      <c r="JP1073" s="15"/>
    </row>
    <row r="1074" spans="33:276" ht="15" customHeight="1" x14ac:dyDescent="0.3">
      <c r="AG1074" s="2"/>
      <c r="JD1074" s="15"/>
      <c r="JE1074" s="15"/>
      <c r="JF1074" s="15"/>
      <c r="JG1074" s="15"/>
      <c r="JH1074" s="15"/>
      <c r="JI1074" s="15"/>
      <c r="JJ1074" s="15"/>
      <c r="JK1074" s="15"/>
      <c r="JL1074" s="15"/>
      <c r="JM1074" s="15"/>
      <c r="JN1074" s="15"/>
      <c r="JO1074" s="15"/>
      <c r="JP1074" s="15"/>
    </row>
    <row r="1075" spans="33:276" ht="15" customHeight="1" x14ac:dyDescent="0.3">
      <c r="AG1075" s="2"/>
      <c r="JD1075" s="15"/>
      <c r="JE1075" s="15"/>
      <c r="JF1075" s="15"/>
      <c r="JG1075" s="15"/>
      <c r="JH1075" s="15"/>
      <c r="JI1075" s="15"/>
      <c r="JJ1075" s="15"/>
      <c r="JK1075" s="15"/>
      <c r="JL1075" s="15"/>
      <c r="JM1075" s="15"/>
      <c r="JN1075" s="15"/>
      <c r="JO1075" s="15"/>
      <c r="JP1075" s="15"/>
    </row>
    <row r="1076" spans="33:276" ht="15" customHeight="1" x14ac:dyDescent="0.3">
      <c r="AG1076" s="2"/>
      <c r="JD1076" s="15"/>
      <c r="JE1076" s="15"/>
      <c r="JF1076" s="15"/>
      <c r="JG1076" s="15"/>
      <c r="JH1076" s="15"/>
      <c r="JI1076" s="15"/>
      <c r="JJ1076" s="15"/>
      <c r="JK1076" s="15"/>
      <c r="JL1076" s="15"/>
      <c r="JM1076" s="15"/>
      <c r="JN1076" s="15"/>
      <c r="JO1076" s="15"/>
      <c r="JP1076" s="15"/>
    </row>
    <row r="1077" spans="33:276" ht="15" customHeight="1" x14ac:dyDescent="0.3">
      <c r="AG1077" s="2"/>
      <c r="JD1077" s="15"/>
      <c r="JE1077" s="15"/>
      <c r="JF1077" s="15"/>
      <c r="JG1077" s="15"/>
      <c r="JH1077" s="15"/>
      <c r="JI1077" s="15"/>
      <c r="JJ1077" s="15"/>
      <c r="JK1077" s="15"/>
      <c r="JL1077" s="15"/>
      <c r="JM1077" s="15"/>
      <c r="JN1077" s="15"/>
      <c r="JO1077" s="15"/>
      <c r="JP1077" s="15"/>
    </row>
    <row r="1078" spans="33:276" ht="15" customHeight="1" x14ac:dyDescent="0.3">
      <c r="AG1078" s="2"/>
      <c r="JD1078" s="15"/>
      <c r="JE1078" s="15"/>
      <c r="JF1078" s="15"/>
      <c r="JG1078" s="15"/>
      <c r="JH1078" s="15"/>
      <c r="JI1078" s="15"/>
      <c r="JJ1078" s="15"/>
      <c r="JK1078" s="15"/>
      <c r="JL1078" s="15"/>
      <c r="JM1078" s="15"/>
      <c r="JN1078" s="15"/>
      <c r="JO1078" s="15"/>
      <c r="JP1078" s="15"/>
    </row>
    <row r="1079" spans="33:276" ht="15" customHeight="1" x14ac:dyDescent="0.3">
      <c r="AG1079" s="2"/>
      <c r="JD1079" s="15"/>
      <c r="JE1079" s="15"/>
      <c r="JF1079" s="15"/>
      <c r="JG1079" s="15"/>
      <c r="JH1079" s="15"/>
      <c r="JI1079" s="15"/>
      <c r="JJ1079" s="15"/>
      <c r="JK1079" s="15"/>
      <c r="JL1079" s="15"/>
      <c r="JM1079" s="15"/>
      <c r="JN1079" s="15"/>
      <c r="JO1079" s="15"/>
      <c r="JP1079" s="15"/>
    </row>
    <row r="1080" spans="33:276" ht="15" customHeight="1" x14ac:dyDescent="0.3">
      <c r="AG1080" s="2"/>
      <c r="JD1080" s="15"/>
      <c r="JE1080" s="15"/>
      <c r="JF1080" s="15"/>
      <c r="JG1080" s="15"/>
      <c r="JH1080" s="15"/>
      <c r="JI1080" s="15"/>
      <c r="JJ1080" s="15"/>
      <c r="JK1080" s="15"/>
      <c r="JL1080" s="15"/>
      <c r="JM1080" s="15"/>
      <c r="JN1080" s="15"/>
      <c r="JO1080" s="15"/>
      <c r="JP1080" s="15"/>
    </row>
    <row r="1081" spans="33:276" ht="15" customHeight="1" x14ac:dyDescent="0.3">
      <c r="AG1081" s="2"/>
      <c r="JD1081" s="15"/>
      <c r="JE1081" s="15"/>
      <c r="JF1081" s="15"/>
      <c r="JG1081" s="15"/>
      <c r="JH1081" s="15"/>
      <c r="JI1081" s="15"/>
      <c r="JJ1081" s="15"/>
      <c r="JK1081" s="15"/>
      <c r="JL1081" s="15"/>
      <c r="JM1081" s="15"/>
      <c r="JN1081" s="15"/>
      <c r="JO1081" s="15"/>
      <c r="JP1081" s="15"/>
    </row>
    <row r="1082" spans="33:276" ht="15" customHeight="1" x14ac:dyDescent="0.3">
      <c r="AG1082" s="2"/>
      <c r="JD1082" s="15"/>
      <c r="JE1082" s="15"/>
      <c r="JF1082" s="15"/>
      <c r="JG1082" s="15"/>
      <c r="JH1082" s="15"/>
      <c r="JI1082" s="15"/>
      <c r="JJ1082" s="15"/>
      <c r="JK1082" s="15"/>
      <c r="JL1082" s="15"/>
      <c r="JM1082" s="15"/>
      <c r="JN1082" s="15"/>
      <c r="JO1082" s="15"/>
      <c r="JP1082" s="15"/>
    </row>
    <row r="1083" spans="33:276" ht="15" customHeight="1" x14ac:dyDescent="0.3">
      <c r="AG1083" s="2"/>
      <c r="JD1083" s="15"/>
      <c r="JE1083" s="15"/>
      <c r="JF1083" s="15"/>
      <c r="JG1083" s="15"/>
      <c r="JH1083" s="15"/>
      <c r="JI1083" s="15"/>
      <c r="JJ1083" s="15"/>
      <c r="JK1083" s="15"/>
      <c r="JL1083" s="15"/>
      <c r="JM1083" s="15"/>
      <c r="JN1083" s="15"/>
      <c r="JO1083" s="15"/>
      <c r="JP1083" s="15"/>
    </row>
    <row r="1084" spans="33:276" ht="15" customHeight="1" x14ac:dyDescent="0.3">
      <c r="AG1084" s="2"/>
      <c r="JD1084" s="15"/>
      <c r="JE1084" s="15"/>
      <c r="JF1084" s="15"/>
      <c r="JG1084" s="15"/>
      <c r="JH1084" s="15"/>
      <c r="JI1084" s="15"/>
      <c r="JJ1084" s="15"/>
      <c r="JK1084" s="15"/>
      <c r="JL1084" s="15"/>
      <c r="JM1084" s="15"/>
      <c r="JN1084" s="15"/>
      <c r="JO1084" s="15"/>
      <c r="JP1084" s="15"/>
    </row>
    <row r="1085" spans="33:276" ht="15" customHeight="1" x14ac:dyDescent="0.3">
      <c r="AG1085" s="2"/>
      <c r="JD1085" s="15"/>
      <c r="JE1085" s="15"/>
      <c r="JF1085" s="15"/>
      <c r="JG1085" s="15"/>
      <c r="JH1085" s="15"/>
      <c r="JI1085" s="15"/>
      <c r="JJ1085" s="15"/>
      <c r="JK1085" s="15"/>
      <c r="JL1085" s="15"/>
      <c r="JM1085" s="15"/>
      <c r="JN1085" s="15"/>
      <c r="JO1085" s="15"/>
      <c r="JP1085" s="15"/>
    </row>
    <row r="1086" spans="33:276" ht="15" customHeight="1" x14ac:dyDescent="0.3">
      <c r="AG1086" s="2"/>
      <c r="JD1086" s="15"/>
      <c r="JE1086" s="15"/>
      <c r="JF1086" s="15"/>
      <c r="JG1086" s="15"/>
      <c r="JH1086" s="15"/>
      <c r="JI1086" s="15"/>
      <c r="JJ1086" s="15"/>
      <c r="JK1086" s="15"/>
      <c r="JL1086" s="15"/>
      <c r="JM1086" s="15"/>
      <c r="JN1086" s="15"/>
      <c r="JO1086" s="15"/>
      <c r="JP1086" s="15"/>
    </row>
    <row r="1087" spans="33:276" ht="15" customHeight="1" x14ac:dyDescent="0.3">
      <c r="AG1087" s="2"/>
      <c r="JD1087" s="15"/>
      <c r="JE1087" s="15"/>
      <c r="JF1087" s="15"/>
      <c r="JG1087" s="15"/>
      <c r="JH1087" s="15"/>
      <c r="JI1087" s="15"/>
      <c r="JJ1087" s="15"/>
      <c r="JK1087" s="15"/>
      <c r="JL1087" s="15"/>
      <c r="JM1087" s="15"/>
      <c r="JN1087" s="15"/>
      <c r="JO1087" s="15"/>
      <c r="JP1087" s="15"/>
    </row>
    <row r="1088" spans="33:276" ht="15" customHeight="1" x14ac:dyDescent="0.3">
      <c r="AG1088" s="2"/>
      <c r="JD1088" s="15"/>
      <c r="JE1088" s="15"/>
      <c r="JF1088" s="15"/>
      <c r="JG1088" s="15"/>
      <c r="JH1088" s="15"/>
      <c r="JI1088" s="15"/>
      <c r="JJ1088" s="15"/>
      <c r="JK1088" s="15"/>
      <c r="JL1088" s="15"/>
      <c r="JM1088" s="15"/>
      <c r="JN1088" s="15"/>
      <c r="JO1088" s="15"/>
      <c r="JP1088" s="15"/>
    </row>
    <row r="1089" spans="33:276" ht="15" customHeight="1" x14ac:dyDescent="0.3">
      <c r="AG1089" s="2"/>
      <c r="JD1089" s="15"/>
      <c r="JE1089" s="15"/>
      <c r="JF1089" s="15"/>
      <c r="JG1089" s="15"/>
      <c r="JH1089" s="15"/>
      <c r="JI1089" s="15"/>
      <c r="JJ1089" s="15"/>
      <c r="JK1089" s="15"/>
      <c r="JL1089" s="15"/>
      <c r="JM1089" s="15"/>
      <c r="JN1089" s="15"/>
      <c r="JO1089" s="15"/>
      <c r="JP1089" s="15"/>
    </row>
    <row r="1090" spans="33:276" ht="15" customHeight="1" x14ac:dyDescent="0.3">
      <c r="AG1090" s="2"/>
      <c r="JD1090" s="15"/>
      <c r="JE1090" s="15"/>
      <c r="JF1090" s="15"/>
      <c r="JG1090" s="15"/>
      <c r="JH1090" s="15"/>
      <c r="JI1090" s="15"/>
      <c r="JJ1090" s="15"/>
      <c r="JK1090" s="15"/>
      <c r="JL1090" s="15"/>
      <c r="JM1090" s="15"/>
      <c r="JN1090" s="15"/>
      <c r="JO1090" s="15"/>
      <c r="JP1090" s="15"/>
    </row>
    <row r="1091" spans="33:276" ht="15" customHeight="1" x14ac:dyDescent="0.3">
      <c r="AG1091" s="2"/>
      <c r="JD1091" s="15"/>
      <c r="JE1091" s="15"/>
      <c r="JF1091" s="15"/>
      <c r="JG1091" s="15"/>
      <c r="JH1091" s="15"/>
      <c r="JI1091" s="15"/>
      <c r="JJ1091" s="15"/>
      <c r="JK1091" s="15"/>
      <c r="JL1091" s="15"/>
      <c r="JM1091" s="15"/>
      <c r="JN1091" s="15"/>
      <c r="JO1091" s="15"/>
      <c r="JP1091" s="15"/>
    </row>
    <row r="1092" spans="33:276" ht="15" customHeight="1" x14ac:dyDescent="0.3">
      <c r="AG1092" s="2"/>
      <c r="JD1092" s="15"/>
      <c r="JE1092" s="15"/>
      <c r="JF1092" s="15"/>
      <c r="JG1092" s="15"/>
      <c r="JH1092" s="15"/>
      <c r="JI1092" s="15"/>
      <c r="JJ1092" s="15"/>
      <c r="JK1092" s="15"/>
      <c r="JL1092" s="15"/>
      <c r="JM1092" s="15"/>
      <c r="JN1092" s="15"/>
      <c r="JO1092" s="15"/>
      <c r="JP1092" s="15"/>
    </row>
    <row r="1093" spans="33:276" ht="15" customHeight="1" x14ac:dyDescent="0.3">
      <c r="AG1093" s="2"/>
      <c r="JD1093" s="15"/>
      <c r="JE1093" s="15"/>
      <c r="JF1093" s="15"/>
      <c r="JG1093" s="15"/>
      <c r="JH1093" s="15"/>
      <c r="JI1093" s="15"/>
      <c r="JJ1093" s="15"/>
      <c r="JK1093" s="15"/>
      <c r="JL1093" s="15"/>
      <c r="JM1093" s="15"/>
      <c r="JN1093" s="15"/>
      <c r="JO1093" s="15"/>
      <c r="JP1093" s="15"/>
    </row>
    <row r="1094" spans="33:276" ht="15" customHeight="1" x14ac:dyDescent="0.3">
      <c r="AG1094" s="2"/>
      <c r="JD1094" s="15"/>
      <c r="JE1094" s="15"/>
      <c r="JF1094" s="15"/>
      <c r="JG1094" s="15"/>
      <c r="JH1094" s="15"/>
      <c r="JI1094" s="15"/>
      <c r="JJ1094" s="15"/>
      <c r="JK1094" s="15"/>
      <c r="JL1094" s="15"/>
      <c r="JM1094" s="15"/>
      <c r="JN1094" s="15"/>
      <c r="JO1094" s="15"/>
      <c r="JP1094" s="15"/>
    </row>
    <row r="1095" spans="33:276" ht="15" customHeight="1" x14ac:dyDescent="0.3">
      <c r="AG1095" s="2"/>
      <c r="JD1095" s="15"/>
      <c r="JE1095" s="15"/>
      <c r="JF1095" s="15"/>
      <c r="JG1095" s="15"/>
      <c r="JH1095" s="15"/>
      <c r="JI1095" s="15"/>
      <c r="JJ1095" s="15"/>
      <c r="JK1095" s="15"/>
      <c r="JL1095" s="15"/>
      <c r="JM1095" s="15"/>
      <c r="JN1095" s="15"/>
      <c r="JO1095" s="15"/>
      <c r="JP1095" s="15"/>
    </row>
    <row r="1096" spans="33:276" ht="15" customHeight="1" x14ac:dyDescent="0.3">
      <c r="AG1096" s="2"/>
      <c r="JD1096" s="15"/>
      <c r="JE1096" s="15"/>
      <c r="JF1096" s="15"/>
      <c r="JG1096" s="15"/>
      <c r="JH1096" s="15"/>
      <c r="JI1096" s="15"/>
      <c r="JJ1096" s="15"/>
      <c r="JK1096" s="15"/>
      <c r="JL1096" s="15"/>
      <c r="JM1096" s="15"/>
      <c r="JN1096" s="15"/>
      <c r="JO1096" s="15"/>
      <c r="JP1096" s="15"/>
    </row>
    <row r="1097" spans="33:276" ht="15" customHeight="1" x14ac:dyDescent="0.3">
      <c r="AG1097" s="2"/>
      <c r="JD1097" s="15"/>
      <c r="JE1097" s="15"/>
      <c r="JF1097" s="15"/>
      <c r="JG1097" s="15"/>
      <c r="JH1097" s="15"/>
      <c r="JI1097" s="15"/>
      <c r="JJ1097" s="15"/>
      <c r="JK1097" s="15"/>
      <c r="JL1097" s="15"/>
      <c r="JM1097" s="15"/>
      <c r="JN1097" s="15"/>
      <c r="JO1097" s="15"/>
      <c r="JP1097" s="15"/>
    </row>
    <row r="1098" spans="33:276" ht="15" customHeight="1" x14ac:dyDescent="0.3">
      <c r="AG1098" s="2"/>
      <c r="JD1098" s="15"/>
      <c r="JE1098" s="15"/>
      <c r="JF1098" s="15"/>
      <c r="JG1098" s="15"/>
      <c r="JH1098" s="15"/>
      <c r="JI1098" s="15"/>
      <c r="JJ1098" s="15"/>
      <c r="JK1098" s="15"/>
      <c r="JL1098" s="15"/>
      <c r="JM1098" s="15"/>
      <c r="JN1098" s="15"/>
      <c r="JO1098" s="15"/>
      <c r="JP1098" s="15"/>
    </row>
    <row r="1099" spans="33:276" ht="15" customHeight="1" x14ac:dyDescent="0.3">
      <c r="AG1099" s="2"/>
      <c r="JD1099" s="15"/>
      <c r="JE1099" s="15"/>
      <c r="JF1099" s="15"/>
      <c r="JG1099" s="15"/>
      <c r="JH1099" s="15"/>
      <c r="JI1099" s="15"/>
      <c r="JJ1099" s="15"/>
      <c r="JK1099" s="15"/>
      <c r="JL1099" s="15"/>
      <c r="JM1099" s="15"/>
      <c r="JN1099" s="15"/>
      <c r="JO1099" s="15"/>
      <c r="JP1099" s="15"/>
    </row>
    <row r="1100" spans="33:276" ht="15" customHeight="1" x14ac:dyDescent="0.3">
      <c r="AG1100" s="2"/>
      <c r="JD1100" s="15"/>
      <c r="JE1100" s="15"/>
      <c r="JF1100" s="15"/>
      <c r="JG1100" s="15"/>
      <c r="JH1100" s="15"/>
      <c r="JI1100" s="15"/>
      <c r="JJ1100" s="15"/>
      <c r="JK1100" s="15"/>
      <c r="JL1100" s="15"/>
      <c r="JM1100" s="15"/>
      <c r="JN1100" s="15"/>
      <c r="JO1100" s="15"/>
      <c r="JP1100" s="15"/>
    </row>
    <row r="1101" spans="33:276" ht="15" customHeight="1" x14ac:dyDescent="0.3">
      <c r="AG1101" s="2"/>
      <c r="JD1101" s="15"/>
      <c r="JE1101" s="15"/>
      <c r="JF1101" s="15"/>
      <c r="JG1101" s="15"/>
      <c r="JH1101" s="15"/>
      <c r="JI1101" s="15"/>
      <c r="JJ1101" s="15"/>
      <c r="JK1101" s="15"/>
      <c r="JL1101" s="15"/>
      <c r="JM1101" s="15"/>
      <c r="JN1101" s="15"/>
      <c r="JO1101" s="15"/>
      <c r="JP1101" s="15"/>
    </row>
    <row r="1102" spans="33:276" ht="15" customHeight="1" x14ac:dyDescent="0.3">
      <c r="AG1102" s="2"/>
      <c r="JD1102" s="15"/>
      <c r="JE1102" s="15"/>
      <c r="JF1102" s="15"/>
      <c r="JG1102" s="15"/>
      <c r="JH1102" s="15"/>
      <c r="JI1102" s="15"/>
      <c r="JJ1102" s="15"/>
      <c r="JK1102" s="15"/>
      <c r="JL1102" s="15"/>
      <c r="JM1102" s="15"/>
      <c r="JN1102" s="15"/>
      <c r="JO1102" s="15"/>
      <c r="JP1102" s="15"/>
    </row>
    <row r="1103" spans="33:276" ht="15" customHeight="1" x14ac:dyDescent="0.3">
      <c r="AG1103" s="2"/>
      <c r="JD1103" s="15"/>
      <c r="JE1103" s="15"/>
      <c r="JF1103" s="15"/>
      <c r="JG1103" s="15"/>
      <c r="JH1103" s="15"/>
      <c r="JI1103" s="15"/>
      <c r="JJ1103" s="15"/>
      <c r="JK1103" s="15"/>
      <c r="JL1103" s="15"/>
      <c r="JM1103" s="15"/>
      <c r="JN1103" s="15"/>
      <c r="JO1103" s="15"/>
      <c r="JP1103" s="15"/>
    </row>
    <row r="1104" spans="33:276" ht="15" customHeight="1" x14ac:dyDescent="0.3">
      <c r="AG1104" s="2"/>
      <c r="JD1104" s="15"/>
      <c r="JE1104" s="15"/>
      <c r="JF1104" s="15"/>
      <c r="JG1104" s="15"/>
      <c r="JH1104" s="15"/>
      <c r="JI1104" s="15"/>
      <c r="JJ1104" s="15"/>
      <c r="JK1104" s="15"/>
      <c r="JL1104" s="15"/>
      <c r="JM1104" s="15"/>
      <c r="JN1104" s="15"/>
      <c r="JO1104" s="15"/>
      <c r="JP1104" s="15"/>
    </row>
    <row r="1105" spans="33:276" ht="15" customHeight="1" x14ac:dyDescent="0.3">
      <c r="AG1105" s="2"/>
      <c r="JD1105" s="15"/>
      <c r="JE1105" s="15"/>
      <c r="JF1105" s="15"/>
      <c r="JG1105" s="15"/>
      <c r="JH1105" s="15"/>
      <c r="JI1105" s="15"/>
      <c r="JJ1105" s="15"/>
      <c r="JK1105" s="15"/>
      <c r="JL1105" s="15"/>
      <c r="JM1105" s="15"/>
      <c r="JN1105" s="15"/>
      <c r="JO1105" s="15"/>
      <c r="JP1105" s="15"/>
    </row>
    <row r="1106" spans="33:276" ht="15" customHeight="1" x14ac:dyDescent="0.3">
      <c r="AG1106" s="2"/>
      <c r="JD1106" s="15"/>
      <c r="JE1106" s="15"/>
      <c r="JF1106" s="15"/>
      <c r="JG1106" s="15"/>
      <c r="JH1106" s="15"/>
      <c r="JI1106" s="15"/>
      <c r="JJ1106" s="15"/>
      <c r="JK1106" s="15"/>
      <c r="JL1106" s="15"/>
      <c r="JM1106" s="15"/>
      <c r="JN1106" s="15"/>
      <c r="JO1106" s="15"/>
      <c r="JP1106" s="15"/>
    </row>
    <row r="1107" spans="33:276" ht="15" customHeight="1" x14ac:dyDescent="0.3">
      <c r="AG1107" s="2"/>
      <c r="JD1107" s="15"/>
      <c r="JE1107" s="15"/>
      <c r="JF1107" s="15"/>
      <c r="JG1107" s="15"/>
      <c r="JH1107" s="15"/>
      <c r="JI1107" s="15"/>
      <c r="JJ1107" s="15"/>
      <c r="JK1107" s="15"/>
      <c r="JL1107" s="15"/>
      <c r="JM1107" s="15"/>
      <c r="JN1107" s="15"/>
      <c r="JO1107" s="15"/>
      <c r="JP1107" s="15"/>
    </row>
    <row r="1108" spans="33:276" ht="15" customHeight="1" x14ac:dyDescent="0.3">
      <c r="AG1108" s="2"/>
      <c r="JD1108" s="15"/>
      <c r="JE1108" s="15"/>
      <c r="JF1108" s="15"/>
      <c r="JG1108" s="15"/>
      <c r="JH1108" s="15"/>
      <c r="JI1108" s="15"/>
      <c r="JJ1108" s="15"/>
      <c r="JK1108" s="15"/>
      <c r="JL1108" s="15"/>
      <c r="JM1108" s="15"/>
      <c r="JN1108" s="15"/>
      <c r="JO1108" s="15"/>
      <c r="JP1108" s="15"/>
    </row>
    <row r="1109" spans="33:276" ht="15" customHeight="1" x14ac:dyDescent="0.3">
      <c r="AG1109" s="2"/>
      <c r="JD1109" s="15"/>
      <c r="JE1109" s="15"/>
      <c r="JF1109" s="15"/>
      <c r="JG1109" s="15"/>
      <c r="JH1109" s="15"/>
      <c r="JI1109" s="15"/>
      <c r="JJ1109" s="15"/>
      <c r="JK1109" s="15"/>
      <c r="JL1109" s="15"/>
      <c r="JM1109" s="15"/>
      <c r="JN1109" s="15"/>
      <c r="JO1109" s="15"/>
      <c r="JP1109" s="15"/>
    </row>
    <row r="1110" spans="33:276" ht="15" customHeight="1" x14ac:dyDescent="0.3">
      <c r="AG1110" s="2"/>
      <c r="JD1110" s="15"/>
      <c r="JE1110" s="15"/>
      <c r="JF1110" s="15"/>
      <c r="JG1110" s="15"/>
      <c r="JH1110" s="15"/>
      <c r="JI1110" s="15"/>
      <c r="JJ1110" s="15"/>
      <c r="JK1110" s="15"/>
      <c r="JL1110" s="15"/>
      <c r="JM1110" s="15"/>
      <c r="JN1110" s="15"/>
      <c r="JO1110" s="15"/>
      <c r="JP1110" s="15"/>
    </row>
    <row r="1111" spans="33:276" ht="15" customHeight="1" x14ac:dyDescent="0.3">
      <c r="AG1111" s="2"/>
      <c r="JD1111" s="15"/>
      <c r="JE1111" s="15"/>
      <c r="JF1111" s="15"/>
      <c r="JG1111" s="15"/>
      <c r="JH1111" s="15"/>
      <c r="JI1111" s="15"/>
      <c r="JJ1111" s="15"/>
      <c r="JK1111" s="15"/>
      <c r="JL1111" s="15"/>
      <c r="JM1111" s="15"/>
      <c r="JN1111" s="15"/>
      <c r="JO1111" s="15"/>
      <c r="JP1111" s="15"/>
    </row>
    <row r="1112" spans="33:276" ht="15" customHeight="1" x14ac:dyDescent="0.3">
      <c r="AG1112" s="2"/>
      <c r="JD1112" s="15"/>
      <c r="JE1112" s="15"/>
      <c r="JF1112" s="15"/>
      <c r="JG1112" s="15"/>
      <c r="JH1112" s="15"/>
      <c r="JI1112" s="15"/>
      <c r="JJ1112" s="15"/>
      <c r="JK1112" s="15"/>
      <c r="JL1112" s="15"/>
      <c r="JM1112" s="15"/>
      <c r="JN1112" s="15"/>
      <c r="JO1112" s="15"/>
      <c r="JP1112" s="15"/>
    </row>
    <row r="1113" spans="33:276" ht="15" customHeight="1" x14ac:dyDescent="0.3">
      <c r="AG1113" s="2"/>
      <c r="JD1113" s="15"/>
      <c r="JE1113" s="15"/>
      <c r="JF1113" s="15"/>
      <c r="JG1113" s="15"/>
      <c r="JH1113" s="15"/>
      <c r="JI1113" s="15"/>
      <c r="JJ1113" s="15"/>
      <c r="JK1113" s="15"/>
      <c r="JL1113" s="15"/>
      <c r="JM1113" s="15"/>
      <c r="JN1113" s="15"/>
      <c r="JO1113" s="15"/>
      <c r="JP1113" s="15"/>
    </row>
    <row r="1114" spans="33:276" ht="15" customHeight="1" x14ac:dyDescent="0.3">
      <c r="AG1114" s="2"/>
      <c r="JD1114" s="15"/>
      <c r="JE1114" s="15"/>
      <c r="JF1114" s="15"/>
      <c r="JG1114" s="15"/>
      <c r="JH1114" s="15"/>
      <c r="JI1114" s="15"/>
      <c r="JJ1114" s="15"/>
      <c r="JK1114" s="15"/>
      <c r="JL1114" s="15"/>
      <c r="JM1114" s="15"/>
      <c r="JN1114" s="15"/>
      <c r="JO1114" s="15"/>
      <c r="JP1114" s="15"/>
    </row>
    <row r="1115" spans="33:276" ht="15" customHeight="1" x14ac:dyDescent="0.3">
      <c r="AG1115" s="2"/>
      <c r="JD1115" s="15"/>
      <c r="JE1115" s="15"/>
      <c r="JF1115" s="15"/>
      <c r="JG1115" s="15"/>
      <c r="JH1115" s="15"/>
      <c r="JI1115" s="15"/>
      <c r="JJ1115" s="15"/>
      <c r="JK1115" s="15"/>
      <c r="JL1115" s="15"/>
      <c r="JM1115" s="15"/>
      <c r="JN1115" s="15"/>
      <c r="JO1115" s="15"/>
      <c r="JP1115" s="15"/>
    </row>
    <row r="1116" spans="33:276" ht="15" customHeight="1" x14ac:dyDescent="0.3">
      <c r="AG1116" s="2"/>
      <c r="JD1116" s="15"/>
      <c r="JE1116" s="15"/>
      <c r="JF1116" s="15"/>
      <c r="JG1116" s="15"/>
      <c r="JH1116" s="15"/>
      <c r="JI1116" s="15"/>
      <c r="JJ1116" s="15"/>
      <c r="JK1116" s="15"/>
      <c r="JL1116" s="15"/>
      <c r="JM1116" s="15"/>
      <c r="JN1116" s="15"/>
      <c r="JO1116" s="15"/>
      <c r="JP1116" s="15"/>
    </row>
    <row r="1117" spans="33:276" ht="15" customHeight="1" x14ac:dyDescent="0.3">
      <c r="AG1117" s="2"/>
      <c r="JD1117" s="15"/>
      <c r="JE1117" s="15"/>
      <c r="JF1117" s="15"/>
      <c r="JG1117" s="15"/>
      <c r="JH1117" s="15"/>
      <c r="JI1117" s="15"/>
      <c r="JJ1117" s="15"/>
      <c r="JK1117" s="15"/>
      <c r="JL1117" s="15"/>
      <c r="JM1117" s="15"/>
      <c r="JN1117" s="15"/>
      <c r="JO1117" s="15"/>
      <c r="JP1117" s="15"/>
    </row>
    <row r="1118" spans="33:276" ht="15" customHeight="1" x14ac:dyDescent="0.3">
      <c r="AG1118" s="2"/>
      <c r="JD1118" s="15"/>
      <c r="JE1118" s="15"/>
      <c r="JF1118" s="15"/>
      <c r="JG1118" s="15"/>
      <c r="JH1118" s="15"/>
      <c r="JI1118" s="15"/>
      <c r="JJ1118" s="15"/>
      <c r="JK1118" s="15"/>
      <c r="JL1118" s="15"/>
      <c r="JM1118" s="15"/>
      <c r="JN1118" s="15"/>
      <c r="JO1118" s="15"/>
      <c r="JP1118" s="15"/>
    </row>
    <row r="1119" spans="33:276" ht="15" customHeight="1" x14ac:dyDescent="0.3">
      <c r="AG1119" s="2"/>
      <c r="JD1119" s="15"/>
      <c r="JE1119" s="15"/>
      <c r="JF1119" s="15"/>
      <c r="JG1119" s="15"/>
      <c r="JH1119" s="15"/>
      <c r="JI1119" s="15"/>
      <c r="JJ1119" s="15"/>
      <c r="JK1119" s="15"/>
      <c r="JL1119" s="15"/>
      <c r="JM1119" s="15"/>
      <c r="JN1119" s="15"/>
      <c r="JO1119" s="15"/>
      <c r="JP1119" s="15"/>
    </row>
    <row r="1120" spans="33:276" ht="15" customHeight="1" x14ac:dyDescent="0.3">
      <c r="AG1120" s="2"/>
      <c r="JD1120" s="15"/>
      <c r="JE1120" s="15"/>
      <c r="JF1120" s="15"/>
      <c r="JG1120" s="15"/>
      <c r="JH1120" s="15"/>
      <c r="JI1120" s="15"/>
      <c r="JJ1120" s="15"/>
      <c r="JK1120" s="15"/>
      <c r="JL1120" s="15"/>
      <c r="JM1120" s="15"/>
      <c r="JN1120" s="15"/>
      <c r="JO1120" s="15"/>
      <c r="JP1120" s="15"/>
    </row>
    <row r="1121" spans="33:276" ht="15" customHeight="1" x14ac:dyDescent="0.3">
      <c r="AG1121" s="2"/>
      <c r="JD1121" s="15"/>
      <c r="JE1121" s="15"/>
      <c r="JF1121" s="15"/>
      <c r="JG1121" s="15"/>
      <c r="JH1121" s="15"/>
      <c r="JI1121" s="15"/>
      <c r="JJ1121" s="15"/>
      <c r="JK1121" s="15"/>
      <c r="JL1121" s="15"/>
      <c r="JM1121" s="15"/>
      <c r="JN1121" s="15"/>
      <c r="JO1121" s="15"/>
      <c r="JP1121" s="15"/>
    </row>
    <row r="1122" spans="33:276" ht="15" customHeight="1" x14ac:dyDescent="0.3">
      <c r="AG1122" s="2"/>
      <c r="JD1122" s="15"/>
      <c r="JE1122" s="15"/>
      <c r="JF1122" s="15"/>
      <c r="JG1122" s="15"/>
      <c r="JH1122" s="15"/>
      <c r="JI1122" s="15"/>
      <c r="JJ1122" s="15"/>
      <c r="JK1122" s="15"/>
      <c r="JL1122" s="15"/>
      <c r="JM1122" s="15"/>
      <c r="JN1122" s="15"/>
      <c r="JO1122" s="15"/>
      <c r="JP1122" s="15"/>
    </row>
    <row r="1123" spans="33:276" ht="15" customHeight="1" x14ac:dyDescent="0.3">
      <c r="AG1123" s="2"/>
      <c r="JD1123" s="15"/>
      <c r="JE1123" s="15"/>
      <c r="JF1123" s="15"/>
      <c r="JG1123" s="15"/>
      <c r="JH1123" s="15"/>
      <c r="JI1123" s="15"/>
      <c r="JJ1123" s="15"/>
      <c r="JK1123" s="15"/>
      <c r="JL1123" s="15"/>
      <c r="JM1123" s="15"/>
      <c r="JN1123" s="15"/>
      <c r="JO1123" s="15"/>
      <c r="JP1123" s="15"/>
    </row>
    <row r="1124" spans="33:276" ht="15" customHeight="1" x14ac:dyDescent="0.3">
      <c r="AG1124" s="2"/>
      <c r="JD1124" s="15"/>
      <c r="JE1124" s="15"/>
      <c r="JF1124" s="15"/>
      <c r="JG1124" s="15"/>
      <c r="JH1124" s="15"/>
      <c r="JI1124" s="15"/>
      <c r="JJ1124" s="15"/>
      <c r="JK1124" s="15"/>
      <c r="JL1124" s="15"/>
      <c r="JM1124" s="15"/>
      <c r="JN1124" s="15"/>
      <c r="JO1124" s="15"/>
      <c r="JP1124" s="15"/>
    </row>
    <row r="1125" spans="33:276" ht="15" customHeight="1" x14ac:dyDescent="0.3">
      <c r="AG1125" s="2"/>
      <c r="JD1125" s="15"/>
      <c r="JE1125" s="15"/>
      <c r="JF1125" s="15"/>
      <c r="JG1125" s="15"/>
      <c r="JH1125" s="15"/>
      <c r="JI1125" s="15"/>
      <c r="JJ1125" s="15"/>
      <c r="JK1125" s="15"/>
      <c r="JL1125" s="15"/>
      <c r="JM1125" s="15"/>
      <c r="JN1125" s="15"/>
      <c r="JO1125" s="15"/>
      <c r="JP1125" s="15"/>
    </row>
    <row r="1126" spans="33:276" ht="15" customHeight="1" x14ac:dyDescent="0.3">
      <c r="AG1126" s="2"/>
      <c r="JD1126" s="15"/>
      <c r="JE1126" s="15"/>
      <c r="JF1126" s="15"/>
      <c r="JG1126" s="15"/>
      <c r="JH1126" s="15"/>
      <c r="JI1126" s="15"/>
      <c r="JJ1126" s="15"/>
      <c r="JK1126" s="15"/>
      <c r="JL1126" s="15"/>
      <c r="JM1126" s="15"/>
      <c r="JN1126" s="15"/>
      <c r="JO1126" s="15"/>
      <c r="JP1126" s="15"/>
    </row>
    <row r="1127" spans="33:276" ht="15" customHeight="1" x14ac:dyDescent="0.3">
      <c r="AG1127" s="2"/>
      <c r="JD1127" s="15"/>
      <c r="JE1127" s="15"/>
      <c r="JF1127" s="15"/>
      <c r="JG1127" s="15"/>
      <c r="JH1127" s="15"/>
      <c r="JI1127" s="15"/>
      <c r="JJ1127" s="15"/>
      <c r="JK1127" s="15"/>
      <c r="JL1127" s="15"/>
      <c r="JM1127" s="15"/>
      <c r="JN1127" s="15"/>
      <c r="JO1127" s="15"/>
      <c r="JP1127" s="15"/>
    </row>
    <row r="1128" spans="33:276" ht="15" customHeight="1" x14ac:dyDescent="0.3">
      <c r="AG1128" s="2"/>
      <c r="JD1128" s="15"/>
      <c r="JE1128" s="15"/>
      <c r="JF1128" s="15"/>
      <c r="JG1128" s="15"/>
      <c r="JH1128" s="15"/>
      <c r="JI1128" s="15"/>
      <c r="JJ1128" s="15"/>
      <c r="JK1128" s="15"/>
      <c r="JL1128" s="15"/>
      <c r="JM1128" s="15"/>
      <c r="JN1128" s="15"/>
      <c r="JO1128" s="15"/>
      <c r="JP1128" s="15"/>
    </row>
    <row r="1129" spans="33:276" ht="15" customHeight="1" x14ac:dyDescent="0.3">
      <c r="AG1129" s="2"/>
      <c r="JD1129" s="15"/>
      <c r="JE1129" s="15"/>
      <c r="JF1129" s="15"/>
      <c r="JG1129" s="15"/>
      <c r="JH1129" s="15"/>
      <c r="JI1129" s="15"/>
      <c r="JJ1129" s="15"/>
      <c r="JK1129" s="15"/>
      <c r="JL1129" s="15"/>
      <c r="JM1129" s="15"/>
      <c r="JN1129" s="15"/>
      <c r="JO1129" s="15"/>
      <c r="JP1129" s="15"/>
    </row>
    <row r="1130" spans="33:276" ht="15" customHeight="1" x14ac:dyDescent="0.3">
      <c r="AG1130" s="2"/>
      <c r="JD1130" s="15"/>
      <c r="JE1130" s="15"/>
      <c r="JF1130" s="15"/>
      <c r="JG1130" s="15"/>
      <c r="JH1130" s="15"/>
      <c r="JI1130" s="15"/>
      <c r="JJ1130" s="15"/>
      <c r="JK1130" s="15"/>
      <c r="JL1130" s="15"/>
      <c r="JM1130" s="15"/>
      <c r="JN1130" s="15"/>
      <c r="JO1130" s="15"/>
      <c r="JP1130" s="15"/>
    </row>
    <row r="1131" spans="33:276" ht="15" customHeight="1" x14ac:dyDescent="0.3">
      <c r="AG1131" s="2"/>
      <c r="JD1131" s="15"/>
      <c r="JE1131" s="15"/>
      <c r="JF1131" s="15"/>
      <c r="JG1131" s="15"/>
      <c r="JH1131" s="15"/>
      <c r="JI1131" s="15"/>
      <c r="JJ1131" s="15"/>
      <c r="JK1131" s="15"/>
      <c r="JL1131" s="15"/>
      <c r="JM1131" s="15"/>
      <c r="JN1131" s="15"/>
      <c r="JO1131" s="15"/>
      <c r="JP1131" s="15"/>
    </row>
    <row r="1132" spans="33:276" ht="15" customHeight="1" x14ac:dyDescent="0.3">
      <c r="AG1132" s="2"/>
      <c r="JD1132" s="15"/>
      <c r="JE1132" s="15"/>
      <c r="JF1132" s="15"/>
      <c r="JG1132" s="15"/>
      <c r="JH1132" s="15"/>
      <c r="JI1132" s="15"/>
      <c r="JJ1132" s="15"/>
      <c r="JK1132" s="15"/>
      <c r="JL1132" s="15"/>
      <c r="JM1132" s="15"/>
      <c r="JN1132" s="15"/>
      <c r="JO1132" s="15"/>
      <c r="JP1132" s="15"/>
    </row>
    <row r="1133" spans="33:276" ht="15" customHeight="1" x14ac:dyDescent="0.3">
      <c r="AG1133" s="2"/>
      <c r="JD1133" s="15"/>
      <c r="JE1133" s="15"/>
      <c r="JF1133" s="15"/>
      <c r="JG1133" s="15"/>
      <c r="JH1133" s="15"/>
      <c r="JI1133" s="15"/>
      <c r="JJ1133" s="15"/>
      <c r="JK1133" s="15"/>
      <c r="JL1133" s="15"/>
      <c r="JM1133" s="15"/>
      <c r="JN1133" s="15"/>
      <c r="JO1133" s="15"/>
      <c r="JP1133" s="15"/>
    </row>
    <row r="1134" spans="33:276" ht="15" customHeight="1" x14ac:dyDescent="0.3">
      <c r="AG1134" s="2"/>
      <c r="JD1134" s="15"/>
      <c r="JE1134" s="15"/>
      <c r="JF1134" s="15"/>
      <c r="JG1134" s="15"/>
      <c r="JH1134" s="15"/>
      <c r="JI1134" s="15"/>
      <c r="JJ1134" s="15"/>
      <c r="JK1134" s="15"/>
      <c r="JL1134" s="15"/>
      <c r="JM1134" s="15"/>
      <c r="JN1134" s="15"/>
      <c r="JO1134" s="15"/>
      <c r="JP1134" s="15"/>
    </row>
    <row r="1135" spans="33:276" ht="15" customHeight="1" x14ac:dyDescent="0.3">
      <c r="AG1135" s="2"/>
      <c r="JD1135" s="15"/>
      <c r="JE1135" s="15"/>
      <c r="JF1135" s="15"/>
      <c r="JG1135" s="15"/>
      <c r="JH1135" s="15"/>
      <c r="JI1135" s="15"/>
      <c r="JJ1135" s="15"/>
      <c r="JK1135" s="15"/>
      <c r="JL1135" s="15"/>
      <c r="JM1135" s="15"/>
      <c r="JN1135" s="15"/>
      <c r="JO1135" s="15"/>
      <c r="JP1135" s="15"/>
    </row>
    <row r="1136" spans="33:276" ht="15" customHeight="1" x14ac:dyDescent="0.3">
      <c r="AG1136" s="2"/>
      <c r="JD1136" s="15"/>
      <c r="JE1136" s="15"/>
      <c r="JF1136" s="15"/>
      <c r="JG1136" s="15"/>
      <c r="JH1136" s="15"/>
      <c r="JI1136" s="15"/>
      <c r="JJ1136" s="15"/>
      <c r="JK1136" s="15"/>
      <c r="JL1136" s="15"/>
      <c r="JM1136" s="15"/>
      <c r="JN1136" s="15"/>
      <c r="JO1136" s="15"/>
      <c r="JP1136" s="15"/>
    </row>
    <row r="1137" spans="33:276" ht="15" customHeight="1" x14ac:dyDescent="0.3">
      <c r="AG1137" s="2"/>
      <c r="JD1137" s="15"/>
      <c r="JE1137" s="15"/>
      <c r="JF1137" s="15"/>
      <c r="JG1137" s="15"/>
      <c r="JH1137" s="15"/>
      <c r="JI1137" s="15"/>
      <c r="JJ1137" s="15"/>
      <c r="JK1137" s="15"/>
      <c r="JL1137" s="15"/>
      <c r="JM1137" s="15"/>
      <c r="JN1137" s="15"/>
      <c r="JO1137" s="15"/>
      <c r="JP1137" s="15"/>
    </row>
    <row r="1138" spans="33:276" ht="15" customHeight="1" x14ac:dyDescent="0.3">
      <c r="AG1138" s="2"/>
      <c r="JD1138" s="15"/>
      <c r="JE1138" s="15"/>
      <c r="JF1138" s="15"/>
      <c r="JG1138" s="15"/>
      <c r="JH1138" s="15"/>
      <c r="JI1138" s="15"/>
      <c r="JJ1138" s="15"/>
      <c r="JK1138" s="15"/>
      <c r="JL1138" s="15"/>
      <c r="JM1138" s="15"/>
      <c r="JN1138" s="15"/>
      <c r="JO1138" s="15"/>
      <c r="JP1138" s="15"/>
    </row>
    <row r="1139" spans="33:276" ht="15" customHeight="1" x14ac:dyDescent="0.3">
      <c r="AG1139" s="2"/>
      <c r="JD1139" s="15"/>
      <c r="JE1139" s="15"/>
      <c r="JF1139" s="15"/>
      <c r="JG1139" s="15"/>
      <c r="JH1139" s="15"/>
      <c r="JI1139" s="15"/>
      <c r="JJ1139" s="15"/>
      <c r="JK1139" s="15"/>
      <c r="JL1139" s="15"/>
      <c r="JM1139" s="15"/>
      <c r="JN1139" s="15"/>
      <c r="JO1139" s="15"/>
      <c r="JP1139" s="15"/>
    </row>
    <row r="1140" spans="33:276" ht="15" customHeight="1" x14ac:dyDescent="0.3">
      <c r="AG1140" s="2"/>
      <c r="JD1140" s="15"/>
      <c r="JE1140" s="15"/>
      <c r="JF1140" s="15"/>
      <c r="JG1140" s="15"/>
      <c r="JH1140" s="15"/>
      <c r="JI1140" s="15"/>
      <c r="JJ1140" s="15"/>
      <c r="JK1140" s="15"/>
      <c r="JL1140" s="15"/>
      <c r="JM1140" s="15"/>
      <c r="JN1140" s="15"/>
      <c r="JO1140" s="15"/>
      <c r="JP1140" s="15"/>
    </row>
    <row r="1141" spans="33:276" ht="15" customHeight="1" x14ac:dyDescent="0.3">
      <c r="AG1141" s="2"/>
      <c r="JD1141" s="15"/>
      <c r="JE1141" s="15"/>
      <c r="JF1141" s="15"/>
      <c r="JG1141" s="15"/>
      <c r="JH1141" s="15"/>
      <c r="JI1141" s="15"/>
      <c r="JJ1141" s="15"/>
      <c r="JK1141" s="15"/>
      <c r="JL1141" s="15"/>
      <c r="JM1141" s="15"/>
      <c r="JN1141" s="15"/>
      <c r="JO1141" s="15"/>
      <c r="JP1141" s="15"/>
    </row>
    <row r="1142" spans="33:276" ht="15" customHeight="1" x14ac:dyDescent="0.3">
      <c r="AG1142" s="2"/>
      <c r="JD1142" s="15"/>
      <c r="JE1142" s="15"/>
      <c r="JF1142" s="15"/>
      <c r="JG1142" s="15"/>
      <c r="JH1142" s="15"/>
      <c r="JI1142" s="15"/>
      <c r="JJ1142" s="15"/>
      <c r="JK1142" s="15"/>
      <c r="JL1142" s="15"/>
      <c r="JM1142" s="15"/>
      <c r="JN1142" s="15"/>
      <c r="JO1142" s="15"/>
      <c r="JP1142" s="15"/>
    </row>
    <row r="1143" spans="33:276" ht="15" customHeight="1" x14ac:dyDescent="0.3">
      <c r="AG1143" s="2"/>
      <c r="JD1143" s="15"/>
      <c r="JE1143" s="15"/>
      <c r="JF1143" s="15"/>
      <c r="JG1143" s="15"/>
      <c r="JH1143" s="15"/>
      <c r="JI1143" s="15"/>
      <c r="JJ1143" s="15"/>
      <c r="JK1143" s="15"/>
      <c r="JL1143" s="15"/>
      <c r="JM1143" s="15"/>
      <c r="JN1143" s="15"/>
      <c r="JO1143" s="15"/>
      <c r="JP1143" s="15"/>
    </row>
    <row r="1144" spans="33:276" ht="15" customHeight="1" x14ac:dyDescent="0.3">
      <c r="AG1144" s="2"/>
      <c r="JD1144" s="15"/>
      <c r="JE1144" s="15"/>
      <c r="JF1144" s="15"/>
      <c r="JG1144" s="15"/>
      <c r="JH1144" s="15"/>
      <c r="JI1144" s="15"/>
      <c r="JJ1144" s="15"/>
      <c r="JK1144" s="15"/>
      <c r="JL1144" s="15"/>
      <c r="JM1144" s="15"/>
      <c r="JN1144" s="15"/>
      <c r="JO1144" s="15"/>
      <c r="JP1144" s="15"/>
    </row>
    <row r="1145" spans="33:276" ht="15" customHeight="1" x14ac:dyDescent="0.3">
      <c r="AG1145" s="2"/>
      <c r="JD1145" s="15"/>
      <c r="JE1145" s="15"/>
      <c r="JF1145" s="15"/>
      <c r="JG1145" s="15"/>
      <c r="JH1145" s="15"/>
      <c r="JI1145" s="15"/>
      <c r="JJ1145" s="15"/>
      <c r="JK1145" s="15"/>
      <c r="JL1145" s="15"/>
      <c r="JM1145" s="15"/>
      <c r="JN1145" s="15"/>
      <c r="JO1145" s="15"/>
      <c r="JP1145" s="15"/>
    </row>
    <row r="1146" spans="33:276" ht="15" customHeight="1" x14ac:dyDescent="0.3">
      <c r="AG1146" s="2"/>
      <c r="JD1146" s="15"/>
      <c r="JE1146" s="15"/>
      <c r="JF1146" s="15"/>
      <c r="JG1146" s="15"/>
      <c r="JH1146" s="15"/>
      <c r="JI1146" s="15"/>
      <c r="JJ1146" s="15"/>
      <c r="JK1146" s="15"/>
      <c r="JL1146" s="15"/>
      <c r="JM1146" s="15"/>
      <c r="JN1146" s="15"/>
      <c r="JO1146" s="15"/>
      <c r="JP1146" s="15"/>
    </row>
    <row r="1147" spans="33:276" ht="15" customHeight="1" x14ac:dyDescent="0.3">
      <c r="AG1147" s="2"/>
      <c r="JD1147" s="15"/>
      <c r="JE1147" s="15"/>
      <c r="JF1147" s="15"/>
      <c r="JG1147" s="15"/>
      <c r="JH1147" s="15"/>
      <c r="JI1147" s="15"/>
      <c r="JJ1147" s="15"/>
      <c r="JK1147" s="15"/>
      <c r="JL1147" s="15"/>
      <c r="JM1147" s="15"/>
      <c r="JN1147" s="15"/>
      <c r="JO1147" s="15"/>
      <c r="JP1147" s="15"/>
    </row>
    <row r="1148" spans="33:276" ht="15" customHeight="1" x14ac:dyDescent="0.3">
      <c r="AG1148" s="2"/>
      <c r="JD1148" s="15"/>
      <c r="JE1148" s="15"/>
      <c r="JF1148" s="15"/>
      <c r="JG1148" s="15"/>
      <c r="JH1148" s="15"/>
      <c r="JI1148" s="15"/>
      <c r="JJ1148" s="15"/>
      <c r="JK1148" s="15"/>
      <c r="JL1148" s="15"/>
      <c r="JM1148" s="15"/>
      <c r="JN1148" s="15"/>
      <c r="JO1148" s="15"/>
      <c r="JP1148" s="15"/>
    </row>
    <row r="1149" spans="33:276" ht="15" customHeight="1" x14ac:dyDescent="0.3">
      <c r="AG1149" s="2"/>
      <c r="JD1149" s="15"/>
      <c r="JE1149" s="15"/>
      <c r="JF1149" s="15"/>
      <c r="JG1149" s="15"/>
      <c r="JH1149" s="15"/>
      <c r="JI1149" s="15"/>
      <c r="JJ1149" s="15"/>
      <c r="JK1149" s="15"/>
      <c r="JL1149" s="15"/>
      <c r="JM1149" s="15"/>
      <c r="JN1149" s="15"/>
      <c r="JO1149" s="15"/>
      <c r="JP1149" s="15"/>
    </row>
    <row r="1150" spans="33:276" ht="15" customHeight="1" x14ac:dyDescent="0.3">
      <c r="AG1150" s="2"/>
      <c r="JD1150" s="15"/>
      <c r="JE1150" s="15"/>
      <c r="JF1150" s="15"/>
      <c r="JG1150" s="15"/>
      <c r="JH1150" s="15"/>
      <c r="JI1150" s="15"/>
      <c r="JJ1150" s="15"/>
      <c r="JK1150" s="15"/>
      <c r="JL1150" s="15"/>
      <c r="JM1150" s="15"/>
      <c r="JN1150" s="15"/>
      <c r="JO1150" s="15"/>
      <c r="JP1150" s="15"/>
    </row>
    <row r="1151" spans="33:276" ht="15" customHeight="1" x14ac:dyDescent="0.3">
      <c r="AG1151" s="2"/>
      <c r="JD1151" s="15"/>
      <c r="JE1151" s="15"/>
      <c r="JF1151" s="15"/>
      <c r="JG1151" s="15"/>
      <c r="JH1151" s="15"/>
      <c r="JI1151" s="15"/>
      <c r="JJ1151" s="15"/>
      <c r="JK1151" s="15"/>
      <c r="JL1151" s="15"/>
      <c r="JM1151" s="15"/>
      <c r="JN1151" s="15"/>
      <c r="JO1151" s="15"/>
      <c r="JP1151" s="15"/>
    </row>
    <row r="1152" spans="33:276" ht="15" customHeight="1" x14ac:dyDescent="0.3">
      <c r="AG1152" s="2"/>
      <c r="JD1152" s="15"/>
      <c r="JE1152" s="15"/>
      <c r="JF1152" s="15"/>
      <c r="JG1152" s="15"/>
      <c r="JH1152" s="15"/>
      <c r="JI1152" s="15"/>
      <c r="JJ1152" s="15"/>
      <c r="JK1152" s="15"/>
      <c r="JL1152" s="15"/>
      <c r="JM1152" s="15"/>
      <c r="JN1152" s="15"/>
      <c r="JO1152" s="15"/>
      <c r="JP1152" s="15"/>
    </row>
    <row r="1153" spans="33:276" ht="15" customHeight="1" x14ac:dyDescent="0.3">
      <c r="AG1153" s="2"/>
      <c r="JD1153" s="15"/>
      <c r="JE1153" s="15"/>
      <c r="JF1153" s="15"/>
      <c r="JG1153" s="15"/>
      <c r="JH1153" s="15"/>
      <c r="JI1153" s="15"/>
      <c r="JJ1153" s="15"/>
      <c r="JK1153" s="15"/>
      <c r="JL1153" s="15"/>
      <c r="JM1153" s="15"/>
      <c r="JN1153" s="15"/>
      <c r="JO1153" s="15"/>
      <c r="JP1153" s="15"/>
    </row>
    <row r="1154" spans="33:276" ht="15" customHeight="1" x14ac:dyDescent="0.3">
      <c r="AG1154" s="2"/>
      <c r="JD1154" s="15"/>
      <c r="JE1154" s="15"/>
      <c r="JF1154" s="15"/>
      <c r="JG1154" s="15"/>
      <c r="JH1154" s="15"/>
      <c r="JI1154" s="15"/>
      <c r="JJ1154" s="15"/>
      <c r="JK1154" s="15"/>
      <c r="JL1154" s="15"/>
      <c r="JM1154" s="15"/>
      <c r="JN1154" s="15"/>
      <c r="JO1154" s="15"/>
      <c r="JP1154" s="15"/>
    </row>
    <row r="1155" spans="33:276" ht="15" customHeight="1" x14ac:dyDescent="0.3">
      <c r="AG1155" s="2"/>
      <c r="JD1155" s="15"/>
      <c r="JE1155" s="15"/>
      <c r="JF1155" s="15"/>
      <c r="JG1155" s="15"/>
      <c r="JH1155" s="15"/>
      <c r="JI1155" s="15"/>
      <c r="JJ1155" s="15"/>
      <c r="JK1155" s="15"/>
      <c r="JL1155" s="15"/>
      <c r="JM1155" s="15"/>
      <c r="JN1155" s="15"/>
      <c r="JO1155" s="15"/>
      <c r="JP1155" s="15"/>
    </row>
    <row r="1156" spans="33:276" ht="15" customHeight="1" x14ac:dyDescent="0.3">
      <c r="AG1156" s="2"/>
      <c r="JD1156" s="15"/>
      <c r="JE1156" s="15"/>
      <c r="JF1156" s="15"/>
      <c r="JG1156" s="15"/>
      <c r="JH1156" s="15"/>
      <c r="JI1156" s="15"/>
      <c r="JJ1156" s="15"/>
      <c r="JK1156" s="15"/>
      <c r="JL1156" s="15"/>
      <c r="JM1156" s="15"/>
      <c r="JN1156" s="15"/>
      <c r="JO1156" s="15"/>
      <c r="JP1156" s="15"/>
    </row>
    <row r="1157" spans="33:276" ht="15" customHeight="1" x14ac:dyDescent="0.3">
      <c r="AG1157" s="2"/>
      <c r="JD1157" s="15"/>
      <c r="JE1157" s="15"/>
      <c r="JF1157" s="15"/>
      <c r="JG1157" s="15"/>
      <c r="JH1157" s="15"/>
      <c r="JI1157" s="15"/>
      <c r="JJ1157" s="15"/>
      <c r="JK1157" s="15"/>
      <c r="JL1157" s="15"/>
      <c r="JM1157" s="15"/>
      <c r="JN1157" s="15"/>
      <c r="JO1157" s="15"/>
      <c r="JP1157" s="15"/>
    </row>
    <row r="1158" spans="33:276" ht="15" customHeight="1" x14ac:dyDescent="0.3">
      <c r="AG1158" s="2"/>
      <c r="JD1158" s="15"/>
      <c r="JE1158" s="15"/>
      <c r="JF1158" s="15"/>
      <c r="JG1158" s="15"/>
      <c r="JH1158" s="15"/>
      <c r="JI1158" s="15"/>
      <c r="JJ1158" s="15"/>
      <c r="JK1158" s="15"/>
      <c r="JL1158" s="15"/>
      <c r="JM1158" s="15"/>
      <c r="JN1158" s="15"/>
      <c r="JO1158" s="15"/>
      <c r="JP1158" s="15"/>
    </row>
    <row r="1159" spans="33:276" ht="15" customHeight="1" x14ac:dyDescent="0.3">
      <c r="AG1159" s="2"/>
      <c r="JD1159" s="15"/>
      <c r="JE1159" s="15"/>
      <c r="JF1159" s="15"/>
      <c r="JG1159" s="15"/>
      <c r="JH1159" s="15"/>
      <c r="JI1159" s="15"/>
      <c r="JJ1159" s="15"/>
      <c r="JK1159" s="15"/>
      <c r="JL1159" s="15"/>
      <c r="JM1159" s="15"/>
      <c r="JN1159" s="15"/>
      <c r="JO1159" s="15"/>
      <c r="JP1159" s="15"/>
    </row>
    <row r="1160" spans="33:276" ht="15" customHeight="1" x14ac:dyDescent="0.3">
      <c r="AG1160" s="2"/>
      <c r="JD1160" s="15"/>
      <c r="JE1160" s="15"/>
      <c r="JF1160" s="15"/>
      <c r="JG1160" s="15"/>
      <c r="JH1160" s="15"/>
      <c r="JI1160" s="15"/>
      <c r="JJ1160" s="15"/>
      <c r="JK1160" s="15"/>
      <c r="JL1160" s="15"/>
      <c r="JM1160" s="15"/>
      <c r="JN1160" s="15"/>
      <c r="JO1160" s="15"/>
      <c r="JP1160" s="15"/>
    </row>
    <row r="1161" spans="33:276" ht="15" customHeight="1" x14ac:dyDescent="0.3">
      <c r="AG1161" s="2"/>
      <c r="JD1161" s="15"/>
      <c r="JE1161" s="15"/>
      <c r="JF1161" s="15"/>
      <c r="JG1161" s="15"/>
      <c r="JH1161" s="15"/>
      <c r="JI1161" s="15"/>
      <c r="JJ1161" s="15"/>
      <c r="JK1161" s="15"/>
      <c r="JL1161" s="15"/>
      <c r="JM1161" s="15"/>
      <c r="JN1161" s="15"/>
      <c r="JO1161" s="15"/>
      <c r="JP1161" s="15"/>
    </row>
    <row r="1162" spans="33:276" ht="15" customHeight="1" x14ac:dyDescent="0.3">
      <c r="AG1162" s="2"/>
      <c r="JD1162" s="15"/>
      <c r="JE1162" s="15"/>
      <c r="JF1162" s="15"/>
      <c r="JG1162" s="15"/>
      <c r="JH1162" s="15"/>
      <c r="JI1162" s="15"/>
      <c r="JJ1162" s="15"/>
      <c r="JK1162" s="15"/>
      <c r="JL1162" s="15"/>
      <c r="JM1162" s="15"/>
      <c r="JN1162" s="15"/>
      <c r="JO1162" s="15"/>
      <c r="JP1162" s="15"/>
    </row>
    <row r="1163" spans="33:276" ht="15" customHeight="1" x14ac:dyDescent="0.3">
      <c r="AG1163" s="2"/>
      <c r="JD1163" s="15"/>
      <c r="JE1163" s="15"/>
      <c r="JF1163" s="15"/>
      <c r="JG1163" s="15"/>
      <c r="JH1163" s="15"/>
      <c r="JI1163" s="15"/>
      <c r="JJ1163" s="15"/>
      <c r="JK1163" s="15"/>
      <c r="JL1163" s="15"/>
      <c r="JM1163" s="15"/>
      <c r="JN1163" s="15"/>
      <c r="JO1163" s="15"/>
      <c r="JP1163" s="15"/>
    </row>
    <row r="1164" spans="33:276" ht="15" customHeight="1" x14ac:dyDescent="0.3">
      <c r="AG1164" s="2"/>
      <c r="JD1164" s="15"/>
      <c r="JE1164" s="15"/>
      <c r="JF1164" s="15"/>
      <c r="JG1164" s="15"/>
      <c r="JH1164" s="15"/>
      <c r="JI1164" s="15"/>
      <c r="JJ1164" s="15"/>
      <c r="JK1164" s="15"/>
      <c r="JL1164" s="15"/>
      <c r="JM1164" s="15"/>
      <c r="JN1164" s="15"/>
      <c r="JO1164" s="15"/>
      <c r="JP1164" s="15"/>
    </row>
    <row r="1165" spans="33:276" ht="15" customHeight="1" x14ac:dyDescent="0.3">
      <c r="AG1165" s="2"/>
      <c r="JD1165" s="15"/>
      <c r="JE1165" s="15"/>
      <c r="JF1165" s="15"/>
      <c r="JG1165" s="15"/>
      <c r="JH1165" s="15"/>
      <c r="JI1165" s="15"/>
      <c r="JJ1165" s="15"/>
      <c r="JK1165" s="15"/>
      <c r="JL1165" s="15"/>
      <c r="JM1165" s="15"/>
      <c r="JN1165" s="15"/>
      <c r="JO1165" s="15"/>
      <c r="JP1165" s="15"/>
    </row>
    <row r="1166" spans="33:276" ht="15" customHeight="1" x14ac:dyDescent="0.3">
      <c r="AG1166" s="2"/>
      <c r="JD1166" s="15"/>
      <c r="JE1166" s="15"/>
      <c r="JF1166" s="15"/>
      <c r="JG1166" s="15"/>
      <c r="JH1166" s="15"/>
      <c r="JI1166" s="15"/>
      <c r="JJ1166" s="15"/>
      <c r="JK1166" s="15"/>
      <c r="JL1166" s="15"/>
      <c r="JM1166" s="15"/>
      <c r="JN1166" s="15"/>
      <c r="JO1166" s="15"/>
      <c r="JP1166" s="15"/>
    </row>
    <row r="1167" spans="33:276" ht="15" customHeight="1" x14ac:dyDescent="0.3">
      <c r="AG1167" s="2"/>
      <c r="JD1167" s="15"/>
      <c r="JE1167" s="15"/>
      <c r="JF1167" s="15"/>
      <c r="JG1167" s="15"/>
      <c r="JH1167" s="15"/>
      <c r="JI1167" s="15"/>
      <c r="JJ1167" s="15"/>
      <c r="JK1167" s="15"/>
      <c r="JL1167" s="15"/>
      <c r="JM1167" s="15"/>
      <c r="JN1167" s="15"/>
      <c r="JO1167" s="15"/>
      <c r="JP1167" s="15"/>
    </row>
    <row r="1168" spans="33:276" ht="15" customHeight="1" x14ac:dyDescent="0.3">
      <c r="AG1168" s="2"/>
      <c r="JD1168" s="15"/>
      <c r="JE1168" s="15"/>
      <c r="JF1168" s="15"/>
      <c r="JG1168" s="15"/>
      <c r="JH1168" s="15"/>
      <c r="JI1168" s="15"/>
      <c r="JJ1168" s="15"/>
      <c r="JK1168" s="15"/>
      <c r="JL1168" s="15"/>
      <c r="JM1168" s="15"/>
      <c r="JN1168" s="15"/>
      <c r="JO1168" s="15"/>
      <c r="JP1168" s="15"/>
    </row>
    <row r="1169" spans="33:276" ht="15" customHeight="1" x14ac:dyDescent="0.3">
      <c r="AG1169" s="2"/>
      <c r="JD1169" s="15"/>
      <c r="JE1169" s="15"/>
      <c r="JF1169" s="15"/>
      <c r="JG1169" s="15"/>
      <c r="JH1169" s="15"/>
      <c r="JI1169" s="15"/>
      <c r="JJ1169" s="15"/>
      <c r="JK1169" s="15"/>
      <c r="JL1169" s="15"/>
      <c r="JM1169" s="15"/>
      <c r="JN1169" s="15"/>
      <c r="JO1169" s="15"/>
      <c r="JP1169" s="15"/>
    </row>
    <row r="1170" spans="33:276" ht="15" customHeight="1" x14ac:dyDescent="0.3">
      <c r="AG1170" s="2"/>
      <c r="JD1170" s="15"/>
      <c r="JE1170" s="15"/>
      <c r="JF1170" s="15"/>
      <c r="JG1170" s="15"/>
      <c r="JH1170" s="15"/>
      <c r="JI1170" s="15"/>
      <c r="JJ1170" s="15"/>
      <c r="JK1170" s="15"/>
      <c r="JL1170" s="15"/>
      <c r="JM1170" s="15"/>
      <c r="JN1170" s="15"/>
      <c r="JO1170" s="15"/>
      <c r="JP1170" s="15"/>
    </row>
    <row r="1171" spans="33:276" ht="15" customHeight="1" x14ac:dyDescent="0.3">
      <c r="AG1171" s="2"/>
      <c r="JD1171" s="15"/>
      <c r="JE1171" s="15"/>
      <c r="JF1171" s="15"/>
      <c r="JG1171" s="15"/>
      <c r="JH1171" s="15"/>
      <c r="JI1171" s="15"/>
      <c r="JJ1171" s="15"/>
      <c r="JK1171" s="15"/>
      <c r="JL1171" s="15"/>
      <c r="JM1171" s="15"/>
      <c r="JN1171" s="15"/>
      <c r="JO1171" s="15"/>
      <c r="JP1171" s="15"/>
    </row>
    <row r="1172" spans="33:276" ht="15" customHeight="1" x14ac:dyDescent="0.3">
      <c r="AG1172" s="2"/>
      <c r="JD1172" s="15"/>
      <c r="JE1172" s="15"/>
      <c r="JF1172" s="15"/>
      <c r="JG1172" s="15"/>
      <c r="JH1172" s="15"/>
      <c r="JI1172" s="15"/>
      <c r="JJ1172" s="15"/>
      <c r="JK1172" s="15"/>
      <c r="JL1172" s="15"/>
      <c r="JM1172" s="15"/>
      <c r="JN1172" s="15"/>
      <c r="JO1172" s="15"/>
      <c r="JP1172" s="15"/>
    </row>
    <row r="1173" spans="33:276" ht="15" customHeight="1" x14ac:dyDescent="0.3">
      <c r="AG1173" s="2"/>
      <c r="JD1173" s="15"/>
      <c r="JE1173" s="15"/>
      <c r="JF1173" s="15"/>
      <c r="JG1173" s="15"/>
      <c r="JH1173" s="15"/>
      <c r="JI1173" s="15"/>
      <c r="JJ1173" s="15"/>
      <c r="JK1173" s="15"/>
      <c r="JL1173" s="15"/>
      <c r="JM1173" s="15"/>
      <c r="JN1173" s="15"/>
      <c r="JO1173" s="15"/>
      <c r="JP1173" s="15"/>
    </row>
    <row r="1174" spans="33:276" ht="15" customHeight="1" x14ac:dyDescent="0.3">
      <c r="AG1174" s="2"/>
      <c r="JD1174" s="15"/>
      <c r="JE1174" s="15"/>
      <c r="JF1174" s="15"/>
      <c r="JG1174" s="15"/>
      <c r="JH1174" s="15"/>
      <c r="JI1174" s="15"/>
      <c r="JJ1174" s="15"/>
      <c r="JK1174" s="15"/>
      <c r="JL1174" s="15"/>
      <c r="JM1174" s="15"/>
      <c r="JN1174" s="15"/>
      <c r="JO1174" s="15"/>
      <c r="JP1174" s="15"/>
    </row>
    <row r="1175" spans="33:276" ht="15" customHeight="1" x14ac:dyDescent="0.3">
      <c r="AG1175" s="2"/>
      <c r="JD1175" s="15"/>
      <c r="JE1175" s="15"/>
      <c r="JF1175" s="15"/>
      <c r="JG1175" s="15"/>
      <c r="JH1175" s="15"/>
      <c r="JI1175" s="15"/>
      <c r="JJ1175" s="15"/>
      <c r="JK1175" s="15"/>
      <c r="JL1175" s="15"/>
      <c r="JM1175" s="15"/>
      <c r="JN1175" s="15"/>
      <c r="JO1175" s="15"/>
      <c r="JP1175" s="15"/>
    </row>
    <row r="1176" spans="33:276" ht="15" customHeight="1" x14ac:dyDescent="0.3">
      <c r="AG1176" s="2"/>
      <c r="JD1176" s="15"/>
      <c r="JE1176" s="15"/>
      <c r="JF1176" s="15"/>
      <c r="JG1176" s="15"/>
      <c r="JH1176" s="15"/>
      <c r="JI1176" s="15"/>
      <c r="JJ1176" s="15"/>
      <c r="JK1176" s="15"/>
      <c r="JL1176" s="15"/>
      <c r="JM1176" s="15"/>
      <c r="JN1176" s="15"/>
      <c r="JO1176" s="15"/>
      <c r="JP1176" s="15"/>
    </row>
    <row r="1177" spans="33:276" ht="15" customHeight="1" x14ac:dyDescent="0.3">
      <c r="AG1177" s="2"/>
      <c r="JD1177" s="15"/>
      <c r="JE1177" s="15"/>
      <c r="JF1177" s="15"/>
      <c r="JG1177" s="15"/>
      <c r="JH1177" s="15"/>
      <c r="JI1177" s="15"/>
      <c r="JJ1177" s="15"/>
      <c r="JK1177" s="15"/>
      <c r="JL1177" s="15"/>
      <c r="JM1177" s="15"/>
      <c r="JN1177" s="15"/>
      <c r="JO1177" s="15"/>
      <c r="JP1177" s="15"/>
    </row>
    <row r="1178" spans="33:276" ht="15" customHeight="1" x14ac:dyDescent="0.3">
      <c r="AG1178" s="2"/>
      <c r="JD1178" s="15"/>
      <c r="JE1178" s="15"/>
      <c r="JF1178" s="15"/>
      <c r="JG1178" s="15"/>
      <c r="JH1178" s="15"/>
      <c r="JI1178" s="15"/>
      <c r="JJ1178" s="15"/>
      <c r="JK1178" s="15"/>
      <c r="JL1178" s="15"/>
      <c r="JM1178" s="15"/>
      <c r="JN1178" s="15"/>
      <c r="JO1178" s="15"/>
      <c r="JP1178" s="15"/>
    </row>
    <row r="1179" spans="33:276" ht="15" customHeight="1" x14ac:dyDescent="0.3">
      <c r="AG1179" s="2"/>
      <c r="JD1179" s="15"/>
      <c r="JE1179" s="15"/>
      <c r="JF1179" s="15"/>
      <c r="JG1179" s="15"/>
      <c r="JH1179" s="15"/>
      <c r="JI1179" s="15"/>
      <c r="JJ1179" s="15"/>
      <c r="JK1179" s="15"/>
      <c r="JL1179" s="15"/>
      <c r="JM1179" s="15"/>
      <c r="JN1179" s="15"/>
      <c r="JO1179" s="15"/>
      <c r="JP1179" s="15"/>
    </row>
    <row r="1180" spans="33:276" ht="15" customHeight="1" x14ac:dyDescent="0.3">
      <c r="AG1180" s="2"/>
      <c r="JD1180" s="15"/>
      <c r="JE1180" s="15"/>
      <c r="JF1180" s="15"/>
      <c r="JG1180" s="15"/>
      <c r="JH1180" s="15"/>
      <c r="JI1180" s="15"/>
      <c r="JJ1180" s="15"/>
      <c r="JK1180" s="15"/>
      <c r="JL1180" s="15"/>
      <c r="JM1180" s="15"/>
      <c r="JN1180" s="15"/>
      <c r="JO1180" s="15"/>
      <c r="JP1180" s="15"/>
    </row>
    <row r="1181" spans="33:276" ht="15" customHeight="1" x14ac:dyDescent="0.3">
      <c r="AG1181" s="2"/>
      <c r="JD1181" s="15"/>
      <c r="JE1181" s="15"/>
      <c r="JF1181" s="15"/>
      <c r="JG1181" s="15"/>
      <c r="JH1181" s="15"/>
      <c r="JI1181" s="15"/>
      <c r="JJ1181" s="15"/>
      <c r="JK1181" s="15"/>
      <c r="JL1181" s="15"/>
      <c r="JM1181" s="15"/>
      <c r="JN1181" s="15"/>
      <c r="JO1181" s="15"/>
      <c r="JP1181" s="15"/>
    </row>
    <row r="1182" spans="33:276" ht="15" customHeight="1" x14ac:dyDescent="0.3">
      <c r="AG1182" s="2"/>
      <c r="JD1182" s="15"/>
      <c r="JE1182" s="15"/>
      <c r="JF1182" s="15"/>
      <c r="JG1182" s="15"/>
      <c r="JH1182" s="15"/>
      <c r="JI1182" s="15"/>
      <c r="JJ1182" s="15"/>
      <c r="JK1182" s="15"/>
      <c r="JL1182" s="15"/>
      <c r="JM1182" s="15"/>
      <c r="JN1182" s="15"/>
      <c r="JO1182" s="15"/>
      <c r="JP1182" s="15"/>
    </row>
    <row r="1183" spans="33:276" ht="15" customHeight="1" x14ac:dyDescent="0.3">
      <c r="AG1183" s="2"/>
      <c r="JD1183" s="15"/>
      <c r="JE1183" s="15"/>
      <c r="JF1183" s="15"/>
      <c r="JG1183" s="15"/>
      <c r="JH1183" s="15"/>
      <c r="JI1183" s="15"/>
      <c r="JJ1183" s="15"/>
      <c r="JK1183" s="15"/>
      <c r="JL1183" s="15"/>
      <c r="JM1183" s="15"/>
      <c r="JN1183" s="15"/>
      <c r="JO1183" s="15"/>
      <c r="JP1183" s="15"/>
    </row>
    <row r="1184" spans="33:276" ht="15" customHeight="1" x14ac:dyDescent="0.3">
      <c r="AG1184" s="2"/>
      <c r="JD1184" s="15"/>
      <c r="JE1184" s="15"/>
      <c r="JF1184" s="15"/>
      <c r="JG1184" s="15"/>
      <c r="JH1184" s="15"/>
      <c r="JI1184" s="15"/>
      <c r="JJ1184" s="15"/>
      <c r="JK1184" s="15"/>
      <c r="JL1184" s="15"/>
      <c r="JM1184" s="15"/>
      <c r="JN1184" s="15"/>
      <c r="JO1184" s="15"/>
      <c r="JP1184" s="15"/>
    </row>
    <row r="1185" spans="33:276" ht="15" customHeight="1" x14ac:dyDescent="0.3">
      <c r="AG1185" s="2"/>
      <c r="JD1185" s="15"/>
      <c r="JE1185" s="15"/>
      <c r="JF1185" s="15"/>
      <c r="JG1185" s="15"/>
      <c r="JH1185" s="15"/>
      <c r="JI1185" s="15"/>
      <c r="JJ1185" s="15"/>
      <c r="JK1185" s="15"/>
      <c r="JL1185" s="15"/>
      <c r="JM1185" s="15"/>
      <c r="JN1185" s="15"/>
      <c r="JO1185" s="15"/>
      <c r="JP1185" s="15"/>
    </row>
    <row r="1186" spans="33:276" ht="15" customHeight="1" x14ac:dyDescent="0.3">
      <c r="AG1186" s="2"/>
      <c r="JD1186" s="15"/>
      <c r="JE1186" s="15"/>
      <c r="JF1186" s="15"/>
      <c r="JG1186" s="15"/>
      <c r="JH1186" s="15"/>
      <c r="JI1186" s="15"/>
      <c r="JJ1186" s="15"/>
      <c r="JK1186" s="15"/>
      <c r="JL1186" s="15"/>
      <c r="JM1186" s="15"/>
      <c r="JN1186" s="15"/>
      <c r="JO1186" s="15"/>
      <c r="JP1186" s="15"/>
    </row>
    <row r="1187" spans="33:276" ht="15" customHeight="1" x14ac:dyDescent="0.3">
      <c r="AG1187" s="2"/>
      <c r="JD1187" s="15"/>
      <c r="JE1187" s="15"/>
      <c r="JF1187" s="15"/>
      <c r="JG1187" s="15"/>
      <c r="JH1187" s="15"/>
      <c r="JI1187" s="15"/>
      <c r="JJ1187" s="15"/>
      <c r="JK1187" s="15"/>
      <c r="JL1187" s="15"/>
      <c r="JM1187" s="15"/>
      <c r="JN1187" s="15"/>
      <c r="JO1187" s="15"/>
      <c r="JP1187" s="15"/>
    </row>
    <row r="1188" spans="33:276" ht="15" customHeight="1" x14ac:dyDescent="0.3">
      <c r="AG1188" s="2"/>
      <c r="JD1188" s="15"/>
      <c r="JE1188" s="15"/>
      <c r="JF1188" s="15"/>
      <c r="JG1188" s="15"/>
      <c r="JH1188" s="15"/>
      <c r="JI1188" s="15"/>
      <c r="JJ1188" s="15"/>
      <c r="JK1188" s="15"/>
      <c r="JL1188" s="15"/>
      <c r="JM1188" s="15"/>
      <c r="JN1188" s="15"/>
      <c r="JO1188" s="15"/>
      <c r="JP1188" s="15"/>
    </row>
    <row r="1189" spans="33:276" ht="15" customHeight="1" x14ac:dyDescent="0.3">
      <c r="AG1189" s="2"/>
      <c r="JD1189" s="15"/>
      <c r="JE1189" s="15"/>
      <c r="JF1189" s="15"/>
      <c r="JG1189" s="15"/>
      <c r="JH1189" s="15"/>
      <c r="JI1189" s="15"/>
      <c r="JJ1189" s="15"/>
      <c r="JK1189" s="15"/>
      <c r="JL1189" s="15"/>
      <c r="JM1189" s="15"/>
      <c r="JN1189" s="15"/>
      <c r="JO1189" s="15"/>
      <c r="JP1189" s="15"/>
    </row>
    <row r="1190" spans="33:276" ht="15" customHeight="1" x14ac:dyDescent="0.3">
      <c r="AG1190" s="2"/>
      <c r="JD1190" s="15"/>
      <c r="JE1190" s="15"/>
      <c r="JF1190" s="15"/>
      <c r="JG1190" s="15"/>
      <c r="JH1190" s="15"/>
      <c r="JI1190" s="15"/>
      <c r="JJ1190" s="15"/>
      <c r="JK1190" s="15"/>
      <c r="JL1190" s="15"/>
      <c r="JM1190" s="15"/>
      <c r="JN1190" s="15"/>
      <c r="JO1190" s="15"/>
      <c r="JP1190" s="15"/>
    </row>
    <row r="1191" spans="33:276" ht="15" customHeight="1" x14ac:dyDescent="0.3">
      <c r="AG1191" s="2"/>
      <c r="JD1191" s="15"/>
      <c r="JE1191" s="15"/>
      <c r="JF1191" s="15"/>
      <c r="JG1191" s="15"/>
      <c r="JH1191" s="15"/>
      <c r="JI1191" s="15"/>
      <c r="JJ1191" s="15"/>
      <c r="JK1191" s="15"/>
      <c r="JL1191" s="15"/>
      <c r="JM1191" s="15"/>
      <c r="JN1191" s="15"/>
      <c r="JO1191" s="15"/>
      <c r="JP1191" s="15"/>
    </row>
    <row r="1192" spans="33:276" ht="15" customHeight="1" x14ac:dyDescent="0.3">
      <c r="AG1192" s="2"/>
      <c r="JD1192" s="15"/>
      <c r="JE1192" s="15"/>
      <c r="JF1192" s="15"/>
      <c r="JG1192" s="15"/>
      <c r="JH1192" s="15"/>
      <c r="JI1192" s="15"/>
      <c r="JJ1192" s="15"/>
      <c r="JK1192" s="15"/>
      <c r="JL1192" s="15"/>
      <c r="JM1192" s="15"/>
      <c r="JN1192" s="15"/>
      <c r="JO1192" s="15"/>
      <c r="JP1192" s="15"/>
    </row>
    <row r="1193" spans="33:276" ht="15" customHeight="1" x14ac:dyDescent="0.3">
      <c r="AG1193" s="2"/>
      <c r="JD1193" s="15"/>
      <c r="JE1193" s="15"/>
      <c r="JF1193" s="15"/>
      <c r="JG1193" s="15"/>
      <c r="JH1193" s="15"/>
      <c r="JI1193" s="15"/>
      <c r="JJ1193" s="15"/>
      <c r="JK1193" s="15"/>
      <c r="JL1193" s="15"/>
      <c r="JM1193" s="15"/>
      <c r="JN1193" s="15"/>
      <c r="JO1193" s="15"/>
      <c r="JP1193" s="15"/>
    </row>
    <row r="1194" spans="33:276" ht="15" customHeight="1" x14ac:dyDescent="0.3">
      <c r="AG1194" s="2"/>
      <c r="JD1194" s="15"/>
      <c r="JE1194" s="15"/>
      <c r="JF1194" s="15"/>
      <c r="JG1194" s="15"/>
      <c r="JH1194" s="15"/>
      <c r="JI1194" s="15"/>
      <c r="JJ1194" s="15"/>
      <c r="JK1194" s="15"/>
      <c r="JL1194" s="15"/>
      <c r="JM1194" s="15"/>
      <c r="JN1194" s="15"/>
      <c r="JO1194" s="15"/>
      <c r="JP1194" s="15"/>
    </row>
    <row r="1195" spans="33:276" ht="15" customHeight="1" x14ac:dyDescent="0.3">
      <c r="AG1195" s="2"/>
      <c r="JD1195" s="15"/>
      <c r="JE1195" s="15"/>
      <c r="JF1195" s="15"/>
      <c r="JG1195" s="15"/>
      <c r="JH1195" s="15"/>
      <c r="JI1195" s="15"/>
      <c r="JJ1195" s="15"/>
      <c r="JK1195" s="15"/>
      <c r="JL1195" s="15"/>
      <c r="JM1195" s="15"/>
      <c r="JN1195" s="15"/>
      <c r="JO1195" s="15"/>
      <c r="JP1195" s="15"/>
    </row>
    <row r="1196" spans="33:276" ht="15" customHeight="1" x14ac:dyDescent="0.3">
      <c r="AG1196" s="2"/>
      <c r="JD1196" s="15"/>
      <c r="JE1196" s="15"/>
      <c r="JF1196" s="15"/>
      <c r="JG1196" s="15"/>
      <c r="JH1196" s="15"/>
      <c r="JI1196" s="15"/>
      <c r="JJ1196" s="15"/>
      <c r="JK1196" s="15"/>
      <c r="JL1196" s="15"/>
      <c r="JM1196" s="15"/>
      <c r="JN1196" s="15"/>
      <c r="JO1196" s="15"/>
      <c r="JP1196" s="15"/>
    </row>
    <row r="1197" spans="33:276" ht="15" customHeight="1" x14ac:dyDescent="0.3">
      <c r="AG1197" s="2"/>
      <c r="JD1197" s="15"/>
      <c r="JE1197" s="15"/>
      <c r="JF1197" s="15"/>
      <c r="JG1197" s="15"/>
      <c r="JH1197" s="15"/>
      <c r="JI1197" s="15"/>
      <c r="JJ1197" s="15"/>
      <c r="JK1197" s="15"/>
      <c r="JL1197" s="15"/>
      <c r="JM1197" s="15"/>
      <c r="JN1197" s="15"/>
      <c r="JO1197" s="15"/>
      <c r="JP1197" s="15"/>
    </row>
    <row r="1198" spans="33:276" ht="15" customHeight="1" x14ac:dyDescent="0.3">
      <c r="AG1198" s="2"/>
      <c r="JD1198" s="15"/>
      <c r="JE1198" s="15"/>
      <c r="JF1198" s="15"/>
      <c r="JG1198" s="15"/>
      <c r="JH1198" s="15"/>
      <c r="JI1198" s="15"/>
      <c r="JJ1198" s="15"/>
      <c r="JK1198" s="15"/>
      <c r="JL1198" s="15"/>
      <c r="JM1198" s="15"/>
      <c r="JN1198" s="15"/>
      <c r="JO1198" s="15"/>
      <c r="JP1198" s="15"/>
    </row>
    <row r="1199" spans="33:276" ht="15" customHeight="1" x14ac:dyDescent="0.3">
      <c r="AG1199" s="2"/>
      <c r="JD1199" s="15"/>
      <c r="JE1199" s="15"/>
      <c r="JF1199" s="15"/>
      <c r="JG1199" s="15"/>
      <c r="JH1199" s="15"/>
      <c r="JI1199" s="15"/>
      <c r="JJ1199" s="15"/>
      <c r="JK1199" s="15"/>
      <c r="JL1199" s="15"/>
      <c r="JM1199" s="15"/>
      <c r="JN1199" s="15"/>
      <c r="JO1199" s="15"/>
      <c r="JP1199" s="15"/>
    </row>
    <row r="1200" spans="33:276" ht="15" customHeight="1" x14ac:dyDescent="0.3">
      <c r="AG1200" s="2"/>
      <c r="JD1200" s="15"/>
      <c r="JE1200" s="15"/>
      <c r="JF1200" s="15"/>
      <c r="JG1200" s="15"/>
      <c r="JH1200" s="15"/>
      <c r="JI1200" s="15"/>
      <c r="JJ1200" s="15"/>
      <c r="JK1200" s="15"/>
      <c r="JL1200" s="15"/>
      <c r="JM1200" s="15"/>
      <c r="JN1200" s="15"/>
      <c r="JO1200" s="15"/>
      <c r="JP1200" s="15"/>
    </row>
    <row r="1201" spans="33:276" ht="15" customHeight="1" x14ac:dyDescent="0.3">
      <c r="AG1201" s="2"/>
      <c r="JD1201" s="15"/>
      <c r="JE1201" s="15"/>
      <c r="JF1201" s="15"/>
      <c r="JG1201" s="15"/>
      <c r="JH1201" s="15"/>
      <c r="JI1201" s="15"/>
      <c r="JJ1201" s="15"/>
      <c r="JK1201" s="15"/>
      <c r="JL1201" s="15"/>
      <c r="JM1201" s="15"/>
      <c r="JN1201" s="15"/>
      <c r="JO1201" s="15"/>
      <c r="JP1201" s="15"/>
    </row>
    <row r="1202" spans="33:276" ht="15" customHeight="1" x14ac:dyDescent="0.3">
      <c r="AG1202" s="2"/>
      <c r="JD1202" s="15"/>
      <c r="JE1202" s="15"/>
      <c r="JF1202" s="15"/>
      <c r="JG1202" s="15"/>
      <c r="JH1202" s="15"/>
      <c r="JI1202" s="15"/>
      <c r="JJ1202" s="15"/>
      <c r="JK1202" s="15"/>
      <c r="JL1202" s="15"/>
      <c r="JM1202" s="15"/>
      <c r="JN1202" s="15"/>
      <c r="JO1202" s="15"/>
      <c r="JP1202" s="15"/>
    </row>
    <row r="1203" spans="33:276" ht="15" customHeight="1" x14ac:dyDescent="0.3">
      <c r="AG1203" s="2"/>
      <c r="JD1203" s="15"/>
      <c r="JE1203" s="15"/>
      <c r="JF1203" s="15"/>
      <c r="JG1203" s="15"/>
      <c r="JH1203" s="15"/>
      <c r="JI1203" s="15"/>
      <c r="JJ1203" s="15"/>
      <c r="JK1203" s="15"/>
      <c r="JL1203" s="15"/>
      <c r="JM1203" s="15"/>
      <c r="JN1203" s="15"/>
      <c r="JO1203" s="15"/>
      <c r="JP1203" s="15"/>
    </row>
    <row r="1204" spans="33:276" ht="15" customHeight="1" x14ac:dyDescent="0.3">
      <c r="AG1204" s="2"/>
      <c r="JD1204" s="15"/>
      <c r="JE1204" s="15"/>
      <c r="JF1204" s="15"/>
      <c r="JG1204" s="15"/>
      <c r="JH1204" s="15"/>
      <c r="JI1204" s="15"/>
      <c r="JJ1204" s="15"/>
      <c r="JK1204" s="15"/>
      <c r="JL1204" s="15"/>
      <c r="JM1204" s="15"/>
      <c r="JN1204" s="15"/>
      <c r="JO1204" s="15"/>
      <c r="JP1204" s="15"/>
    </row>
    <row r="1205" spans="33:276" ht="15" customHeight="1" x14ac:dyDescent="0.3">
      <c r="AG1205" s="2"/>
      <c r="JD1205" s="15"/>
      <c r="JE1205" s="15"/>
      <c r="JF1205" s="15"/>
      <c r="JG1205" s="15"/>
      <c r="JH1205" s="15"/>
      <c r="JI1205" s="15"/>
      <c r="JJ1205" s="15"/>
      <c r="JK1205" s="15"/>
      <c r="JL1205" s="15"/>
      <c r="JM1205" s="15"/>
      <c r="JN1205" s="15"/>
      <c r="JO1205" s="15"/>
      <c r="JP1205" s="15"/>
    </row>
    <row r="1206" spans="33:276" ht="15" customHeight="1" x14ac:dyDescent="0.3">
      <c r="AG1206" s="2"/>
      <c r="JD1206" s="15"/>
      <c r="JE1206" s="15"/>
      <c r="JF1206" s="15"/>
      <c r="JG1206" s="15"/>
      <c r="JH1206" s="15"/>
      <c r="JI1206" s="15"/>
      <c r="JJ1206" s="15"/>
      <c r="JK1206" s="15"/>
      <c r="JL1206" s="15"/>
      <c r="JM1206" s="15"/>
      <c r="JN1206" s="15"/>
      <c r="JO1206" s="15"/>
      <c r="JP1206" s="15"/>
    </row>
    <row r="1207" spans="33:276" ht="15" customHeight="1" x14ac:dyDescent="0.3">
      <c r="AG1207" s="2"/>
      <c r="JD1207" s="15"/>
      <c r="JE1207" s="15"/>
      <c r="JF1207" s="15"/>
      <c r="JG1207" s="15"/>
      <c r="JH1207" s="15"/>
      <c r="JI1207" s="15"/>
      <c r="JJ1207" s="15"/>
      <c r="JK1207" s="15"/>
      <c r="JL1207" s="15"/>
      <c r="JM1207" s="15"/>
      <c r="JN1207" s="15"/>
      <c r="JO1207" s="15"/>
      <c r="JP1207" s="15"/>
    </row>
    <row r="1208" spans="33:276" ht="15" customHeight="1" x14ac:dyDescent="0.3">
      <c r="AG1208" s="2"/>
      <c r="JD1208" s="15"/>
      <c r="JE1208" s="15"/>
      <c r="JF1208" s="15"/>
      <c r="JG1208" s="15"/>
      <c r="JH1208" s="15"/>
      <c r="JI1208" s="15"/>
      <c r="JJ1208" s="15"/>
      <c r="JK1208" s="15"/>
      <c r="JL1208" s="15"/>
      <c r="JM1208" s="15"/>
      <c r="JN1208" s="15"/>
      <c r="JO1208" s="15"/>
      <c r="JP1208" s="15"/>
    </row>
    <row r="1209" spans="33:276" ht="15" customHeight="1" x14ac:dyDescent="0.3">
      <c r="AG1209" s="2"/>
      <c r="JD1209" s="15"/>
      <c r="JE1209" s="15"/>
      <c r="JF1209" s="15"/>
      <c r="JG1209" s="15"/>
      <c r="JH1209" s="15"/>
      <c r="JI1209" s="15"/>
      <c r="JJ1209" s="15"/>
      <c r="JK1209" s="15"/>
      <c r="JL1209" s="15"/>
      <c r="JM1209" s="15"/>
      <c r="JN1209" s="15"/>
      <c r="JO1209" s="15"/>
      <c r="JP1209" s="15"/>
    </row>
    <row r="1210" spans="33:276" ht="15" customHeight="1" x14ac:dyDescent="0.3">
      <c r="AG1210" s="2"/>
      <c r="JD1210" s="15"/>
      <c r="JE1210" s="15"/>
      <c r="JF1210" s="15"/>
      <c r="JG1210" s="15"/>
      <c r="JH1210" s="15"/>
      <c r="JI1210" s="15"/>
      <c r="JJ1210" s="15"/>
      <c r="JK1210" s="15"/>
      <c r="JL1210" s="15"/>
      <c r="JM1210" s="15"/>
      <c r="JN1210" s="15"/>
      <c r="JO1210" s="15"/>
      <c r="JP1210" s="15"/>
    </row>
    <row r="1211" spans="33:276" ht="15" customHeight="1" x14ac:dyDescent="0.3">
      <c r="AG1211" s="2"/>
      <c r="JD1211" s="15"/>
      <c r="JE1211" s="15"/>
      <c r="JF1211" s="15"/>
      <c r="JG1211" s="15"/>
      <c r="JH1211" s="15"/>
      <c r="JI1211" s="15"/>
      <c r="JJ1211" s="15"/>
      <c r="JK1211" s="15"/>
      <c r="JL1211" s="15"/>
      <c r="JM1211" s="15"/>
      <c r="JN1211" s="15"/>
      <c r="JO1211" s="15"/>
      <c r="JP1211" s="15"/>
    </row>
    <row r="1212" spans="33:276" ht="15" customHeight="1" x14ac:dyDescent="0.3">
      <c r="AG1212" s="2"/>
      <c r="JD1212" s="15"/>
      <c r="JE1212" s="15"/>
      <c r="JF1212" s="15"/>
      <c r="JG1212" s="15"/>
      <c r="JH1212" s="15"/>
      <c r="JI1212" s="15"/>
      <c r="JJ1212" s="15"/>
      <c r="JK1212" s="15"/>
      <c r="JL1212" s="15"/>
      <c r="JM1212" s="15"/>
      <c r="JN1212" s="15"/>
      <c r="JO1212" s="15"/>
      <c r="JP1212" s="15"/>
    </row>
    <row r="1213" spans="33:276" ht="15" customHeight="1" x14ac:dyDescent="0.3">
      <c r="AG1213" s="2"/>
      <c r="JD1213" s="15"/>
      <c r="JE1213" s="15"/>
      <c r="JF1213" s="15"/>
      <c r="JG1213" s="15"/>
      <c r="JH1213" s="15"/>
      <c r="JI1213" s="15"/>
      <c r="JJ1213" s="15"/>
      <c r="JK1213" s="15"/>
      <c r="JL1213" s="15"/>
      <c r="JM1213" s="15"/>
      <c r="JN1213" s="15"/>
      <c r="JO1213" s="15"/>
      <c r="JP1213" s="15"/>
    </row>
    <row r="1214" spans="33:276" ht="15" customHeight="1" x14ac:dyDescent="0.3">
      <c r="AG1214" s="2"/>
      <c r="JD1214" s="15"/>
      <c r="JE1214" s="15"/>
      <c r="JF1214" s="15"/>
      <c r="JG1214" s="15"/>
      <c r="JH1214" s="15"/>
      <c r="JI1214" s="15"/>
      <c r="JJ1214" s="15"/>
      <c r="JK1214" s="15"/>
      <c r="JL1214" s="15"/>
      <c r="JM1214" s="15"/>
      <c r="JN1214" s="15"/>
      <c r="JO1214" s="15"/>
      <c r="JP1214" s="15"/>
    </row>
    <row r="1215" spans="33:276" ht="15" customHeight="1" x14ac:dyDescent="0.3">
      <c r="AG1215" s="2"/>
      <c r="JD1215" s="15"/>
      <c r="JE1215" s="15"/>
      <c r="JF1215" s="15"/>
      <c r="JG1215" s="15"/>
      <c r="JH1215" s="15"/>
      <c r="JI1215" s="15"/>
      <c r="JJ1215" s="15"/>
      <c r="JK1215" s="15"/>
      <c r="JL1215" s="15"/>
      <c r="JM1215" s="15"/>
      <c r="JN1215" s="15"/>
      <c r="JO1215" s="15"/>
      <c r="JP1215" s="15"/>
    </row>
    <row r="1216" spans="33:276" ht="15" customHeight="1" x14ac:dyDescent="0.3">
      <c r="AG1216" s="2"/>
      <c r="JD1216" s="15"/>
      <c r="JE1216" s="15"/>
      <c r="JF1216" s="15"/>
      <c r="JG1216" s="15"/>
      <c r="JH1216" s="15"/>
      <c r="JI1216" s="15"/>
      <c r="JJ1216" s="15"/>
      <c r="JK1216" s="15"/>
      <c r="JL1216" s="15"/>
      <c r="JM1216" s="15"/>
      <c r="JN1216" s="15"/>
      <c r="JO1216" s="15"/>
      <c r="JP1216" s="15"/>
    </row>
    <row r="1217" spans="33:276" ht="15" customHeight="1" x14ac:dyDescent="0.3">
      <c r="AG1217" s="2"/>
      <c r="JD1217" s="15"/>
      <c r="JE1217" s="15"/>
      <c r="JF1217" s="15"/>
      <c r="JG1217" s="15"/>
      <c r="JH1217" s="15"/>
      <c r="JI1217" s="15"/>
      <c r="JJ1217" s="15"/>
      <c r="JK1217" s="15"/>
      <c r="JL1217" s="15"/>
      <c r="JM1217" s="15"/>
      <c r="JN1217" s="15"/>
      <c r="JO1217" s="15"/>
      <c r="JP1217" s="15"/>
    </row>
    <row r="1218" spans="33:276" ht="15" customHeight="1" x14ac:dyDescent="0.3">
      <c r="AG1218" s="2"/>
      <c r="JD1218" s="15"/>
      <c r="JE1218" s="15"/>
      <c r="JF1218" s="15"/>
      <c r="JG1218" s="15"/>
      <c r="JH1218" s="15"/>
      <c r="JI1218" s="15"/>
      <c r="JJ1218" s="15"/>
      <c r="JK1218" s="15"/>
      <c r="JL1218" s="15"/>
      <c r="JM1218" s="15"/>
      <c r="JN1218" s="15"/>
      <c r="JO1218" s="15"/>
      <c r="JP1218" s="15"/>
    </row>
    <row r="1219" spans="33:276" ht="15" customHeight="1" x14ac:dyDescent="0.3">
      <c r="AG1219" s="2"/>
      <c r="JD1219" s="15"/>
      <c r="JE1219" s="15"/>
      <c r="JF1219" s="15"/>
      <c r="JG1219" s="15"/>
      <c r="JH1219" s="15"/>
      <c r="JI1219" s="15"/>
      <c r="JJ1219" s="15"/>
      <c r="JK1219" s="15"/>
      <c r="JL1219" s="15"/>
      <c r="JM1219" s="15"/>
      <c r="JN1219" s="15"/>
      <c r="JO1219" s="15"/>
      <c r="JP1219" s="15"/>
    </row>
    <row r="1220" spans="33:276" ht="15" customHeight="1" x14ac:dyDescent="0.3">
      <c r="AG1220" s="2"/>
      <c r="JD1220" s="15"/>
      <c r="JE1220" s="15"/>
      <c r="JF1220" s="15"/>
      <c r="JG1220" s="15"/>
      <c r="JH1220" s="15"/>
      <c r="JI1220" s="15"/>
      <c r="JJ1220" s="15"/>
      <c r="JK1220" s="15"/>
      <c r="JL1220" s="15"/>
      <c r="JM1220" s="15"/>
      <c r="JN1220" s="15"/>
      <c r="JO1220" s="15"/>
      <c r="JP1220" s="15"/>
    </row>
    <row r="1221" spans="33:276" ht="15" customHeight="1" x14ac:dyDescent="0.3">
      <c r="AG1221" s="2"/>
      <c r="JD1221" s="15"/>
      <c r="JE1221" s="15"/>
      <c r="JF1221" s="15"/>
      <c r="JG1221" s="15"/>
      <c r="JH1221" s="15"/>
      <c r="JI1221" s="15"/>
      <c r="JJ1221" s="15"/>
      <c r="JK1221" s="15"/>
      <c r="JL1221" s="15"/>
      <c r="JM1221" s="15"/>
      <c r="JN1221" s="15"/>
      <c r="JO1221" s="15"/>
      <c r="JP1221" s="15"/>
    </row>
    <row r="1222" spans="33:276" ht="15" customHeight="1" x14ac:dyDescent="0.3">
      <c r="AG1222" s="2"/>
      <c r="JD1222" s="15"/>
      <c r="JE1222" s="15"/>
      <c r="JF1222" s="15"/>
      <c r="JG1222" s="15"/>
      <c r="JH1222" s="15"/>
      <c r="JI1222" s="15"/>
      <c r="JJ1222" s="15"/>
      <c r="JK1222" s="15"/>
      <c r="JL1222" s="15"/>
      <c r="JM1222" s="15"/>
      <c r="JN1222" s="15"/>
      <c r="JO1222" s="15"/>
      <c r="JP1222" s="15"/>
    </row>
    <row r="1223" spans="33:276" ht="15" customHeight="1" x14ac:dyDescent="0.3">
      <c r="AG1223" s="2"/>
      <c r="JD1223" s="15"/>
      <c r="JE1223" s="15"/>
      <c r="JF1223" s="15"/>
      <c r="JG1223" s="15"/>
      <c r="JH1223" s="15"/>
      <c r="JI1223" s="15"/>
      <c r="JJ1223" s="15"/>
      <c r="JK1223" s="15"/>
      <c r="JL1223" s="15"/>
      <c r="JM1223" s="15"/>
      <c r="JN1223" s="15"/>
      <c r="JO1223" s="15"/>
      <c r="JP1223" s="15"/>
    </row>
    <row r="1224" spans="33:276" ht="15" customHeight="1" x14ac:dyDescent="0.3">
      <c r="AG1224" s="2"/>
      <c r="JD1224" s="15"/>
      <c r="JE1224" s="15"/>
      <c r="JF1224" s="15"/>
      <c r="JG1224" s="15"/>
      <c r="JH1224" s="15"/>
      <c r="JI1224" s="15"/>
      <c r="JJ1224" s="15"/>
      <c r="JK1224" s="15"/>
      <c r="JL1224" s="15"/>
      <c r="JM1224" s="15"/>
      <c r="JN1224" s="15"/>
      <c r="JO1224" s="15"/>
      <c r="JP1224" s="15"/>
    </row>
    <row r="1225" spans="33:276" ht="15" customHeight="1" x14ac:dyDescent="0.3">
      <c r="AG1225" s="2"/>
      <c r="JD1225" s="15"/>
      <c r="JE1225" s="15"/>
      <c r="JF1225" s="15"/>
      <c r="JG1225" s="15"/>
      <c r="JH1225" s="15"/>
      <c r="JI1225" s="15"/>
      <c r="JJ1225" s="15"/>
      <c r="JK1225" s="15"/>
      <c r="JL1225" s="15"/>
      <c r="JM1225" s="15"/>
      <c r="JN1225" s="15"/>
      <c r="JO1225" s="15"/>
      <c r="JP1225" s="15"/>
    </row>
    <row r="1226" spans="33:276" ht="15" customHeight="1" x14ac:dyDescent="0.3">
      <c r="AG1226" s="2"/>
      <c r="JD1226" s="15"/>
      <c r="JE1226" s="15"/>
      <c r="JF1226" s="15"/>
      <c r="JG1226" s="15"/>
      <c r="JH1226" s="15"/>
      <c r="JI1226" s="15"/>
      <c r="JJ1226" s="15"/>
      <c r="JK1226" s="15"/>
      <c r="JL1226" s="15"/>
      <c r="JM1226" s="15"/>
      <c r="JN1226" s="15"/>
      <c r="JO1226" s="15"/>
      <c r="JP1226" s="15"/>
    </row>
    <row r="1227" spans="33:276" ht="15" customHeight="1" x14ac:dyDescent="0.3">
      <c r="AG1227" s="2"/>
      <c r="JD1227" s="15"/>
      <c r="JE1227" s="15"/>
      <c r="JF1227" s="15"/>
      <c r="JG1227" s="15"/>
      <c r="JH1227" s="15"/>
      <c r="JI1227" s="15"/>
      <c r="JJ1227" s="15"/>
      <c r="JK1227" s="15"/>
      <c r="JL1227" s="15"/>
      <c r="JM1227" s="15"/>
      <c r="JN1227" s="15"/>
      <c r="JO1227" s="15"/>
      <c r="JP1227" s="15"/>
    </row>
    <row r="1228" spans="33:276" ht="15" customHeight="1" x14ac:dyDescent="0.3">
      <c r="AG1228" s="2"/>
      <c r="JD1228" s="15"/>
      <c r="JE1228" s="15"/>
      <c r="JF1228" s="15"/>
      <c r="JG1228" s="15"/>
      <c r="JH1228" s="15"/>
      <c r="JI1228" s="15"/>
      <c r="JJ1228" s="15"/>
      <c r="JK1228" s="15"/>
      <c r="JL1228" s="15"/>
      <c r="JM1228" s="15"/>
      <c r="JN1228" s="15"/>
      <c r="JO1228" s="15"/>
      <c r="JP1228" s="15"/>
    </row>
    <row r="1229" spans="33:276" ht="15" customHeight="1" x14ac:dyDescent="0.3">
      <c r="AG1229" s="2"/>
      <c r="JD1229" s="15"/>
      <c r="JE1229" s="15"/>
      <c r="JF1229" s="15"/>
      <c r="JG1229" s="15"/>
      <c r="JH1229" s="15"/>
      <c r="JI1229" s="15"/>
      <c r="JJ1229" s="15"/>
      <c r="JK1229" s="15"/>
      <c r="JL1229" s="15"/>
      <c r="JM1229" s="15"/>
      <c r="JN1229" s="15"/>
      <c r="JO1229" s="15"/>
      <c r="JP1229" s="15"/>
    </row>
    <row r="1230" spans="33:276" ht="15" customHeight="1" x14ac:dyDescent="0.3">
      <c r="AG1230" s="2"/>
      <c r="JD1230" s="15"/>
      <c r="JE1230" s="15"/>
      <c r="JF1230" s="15"/>
      <c r="JG1230" s="15"/>
      <c r="JH1230" s="15"/>
      <c r="JI1230" s="15"/>
      <c r="JJ1230" s="15"/>
      <c r="JK1230" s="15"/>
      <c r="JL1230" s="15"/>
      <c r="JM1230" s="15"/>
      <c r="JN1230" s="15"/>
      <c r="JO1230" s="15"/>
      <c r="JP1230" s="15"/>
    </row>
    <row r="1231" spans="33:276" ht="15" customHeight="1" x14ac:dyDescent="0.3">
      <c r="AG1231" s="2"/>
      <c r="JD1231" s="15"/>
      <c r="JE1231" s="15"/>
      <c r="JF1231" s="15"/>
      <c r="JG1231" s="15"/>
      <c r="JH1231" s="15"/>
      <c r="JI1231" s="15"/>
      <c r="JJ1231" s="15"/>
      <c r="JK1231" s="15"/>
      <c r="JL1231" s="15"/>
      <c r="JM1231" s="15"/>
      <c r="JN1231" s="15"/>
      <c r="JO1231" s="15"/>
      <c r="JP1231" s="15"/>
    </row>
    <row r="1232" spans="33:276" ht="15" customHeight="1" x14ac:dyDescent="0.3">
      <c r="AG1232" s="2"/>
      <c r="JD1232" s="15"/>
      <c r="JE1232" s="15"/>
      <c r="JF1232" s="15"/>
      <c r="JG1232" s="15"/>
      <c r="JH1232" s="15"/>
      <c r="JI1232" s="15"/>
      <c r="JJ1232" s="15"/>
      <c r="JK1232" s="15"/>
      <c r="JL1232" s="15"/>
      <c r="JM1232" s="15"/>
      <c r="JN1232" s="15"/>
      <c r="JO1232" s="15"/>
      <c r="JP1232" s="15"/>
    </row>
    <row r="1233" spans="33:276" ht="15" customHeight="1" x14ac:dyDescent="0.3">
      <c r="AG1233" s="2"/>
      <c r="JD1233" s="15"/>
      <c r="JE1233" s="15"/>
      <c r="JF1233" s="15"/>
      <c r="JG1233" s="15"/>
      <c r="JH1233" s="15"/>
      <c r="JI1233" s="15"/>
      <c r="JJ1233" s="15"/>
      <c r="JK1233" s="15"/>
      <c r="JL1233" s="15"/>
      <c r="JM1233" s="15"/>
      <c r="JN1233" s="15"/>
      <c r="JO1233" s="15"/>
      <c r="JP1233" s="15"/>
    </row>
    <row r="1234" spans="33:276" ht="15" customHeight="1" x14ac:dyDescent="0.3">
      <c r="AG1234" s="2"/>
      <c r="JD1234" s="15"/>
      <c r="JE1234" s="15"/>
      <c r="JF1234" s="15"/>
      <c r="JG1234" s="15"/>
      <c r="JH1234" s="15"/>
      <c r="JI1234" s="15"/>
      <c r="JJ1234" s="15"/>
      <c r="JK1234" s="15"/>
      <c r="JL1234" s="15"/>
      <c r="JM1234" s="15"/>
      <c r="JN1234" s="15"/>
      <c r="JO1234" s="15"/>
      <c r="JP1234" s="15"/>
    </row>
    <row r="1235" spans="33:276" ht="15" customHeight="1" x14ac:dyDescent="0.3">
      <c r="AG1235" s="2"/>
      <c r="JD1235" s="15"/>
      <c r="JE1235" s="15"/>
      <c r="JF1235" s="15"/>
      <c r="JG1235" s="15"/>
      <c r="JH1235" s="15"/>
      <c r="JI1235" s="15"/>
      <c r="JJ1235" s="15"/>
      <c r="JK1235" s="15"/>
      <c r="JL1235" s="15"/>
      <c r="JM1235" s="15"/>
      <c r="JN1235" s="15"/>
      <c r="JO1235" s="15"/>
      <c r="JP1235" s="15"/>
    </row>
    <row r="1236" spans="33:276" ht="15" customHeight="1" x14ac:dyDescent="0.3">
      <c r="AG1236" s="2"/>
      <c r="JD1236" s="15"/>
      <c r="JE1236" s="15"/>
      <c r="JF1236" s="15"/>
      <c r="JG1236" s="15"/>
      <c r="JH1236" s="15"/>
      <c r="JI1236" s="15"/>
      <c r="JJ1236" s="15"/>
      <c r="JK1236" s="15"/>
      <c r="JL1236" s="15"/>
      <c r="JM1236" s="15"/>
      <c r="JN1236" s="15"/>
      <c r="JO1236" s="15"/>
      <c r="JP1236" s="15"/>
    </row>
    <row r="1237" spans="33:276" ht="15" customHeight="1" x14ac:dyDescent="0.3">
      <c r="AG1237" s="2"/>
      <c r="JD1237" s="15"/>
      <c r="JE1237" s="15"/>
      <c r="JF1237" s="15"/>
      <c r="JG1237" s="15"/>
      <c r="JH1237" s="15"/>
      <c r="JI1237" s="15"/>
      <c r="JJ1237" s="15"/>
      <c r="JK1237" s="15"/>
      <c r="JL1237" s="15"/>
      <c r="JM1237" s="15"/>
      <c r="JN1237" s="15"/>
      <c r="JO1237" s="15"/>
      <c r="JP1237" s="15"/>
    </row>
    <row r="1238" spans="33:276" ht="15" customHeight="1" x14ac:dyDescent="0.3">
      <c r="AG1238" s="2"/>
      <c r="JD1238" s="15"/>
      <c r="JE1238" s="15"/>
      <c r="JF1238" s="15"/>
      <c r="JG1238" s="15"/>
      <c r="JH1238" s="15"/>
      <c r="JI1238" s="15"/>
      <c r="JJ1238" s="15"/>
      <c r="JK1238" s="15"/>
      <c r="JL1238" s="15"/>
      <c r="JM1238" s="15"/>
      <c r="JN1238" s="15"/>
      <c r="JO1238" s="15"/>
      <c r="JP1238" s="15"/>
    </row>
    <row r="1239" spans="33:276" ht="15" customHeight="1" x14ac:dyDescent="0.3">
      <c r="AG1239" s="2"/>
      <c r="JD1239" s="15"/>
      <c r="JE1239" s="15"/>
      <c r="JF1239" s="15"/>
      <c r="JG1239" s="15"/>
      <c r="JH1239" s="15"/>
      <c r="JI1239" s="15"/>
      <c r="JJ1239" s="15"/>
      <c r="JK1239" s="15"/>
      <c r="JL1239" s="15"/>
      <c r="JM1239" s="15"/>
      <c r="JN1239" s="15"/>
      <c r="JO1239" s="15"/>
      <c r="JP1239" s="15"/>
    </row>
    <row r="1240" spans="33:276" ht="15" customHeight="1" x14ac:dyDescent="0.3">
      <c r="AG1240" s="2"/>
      <c r="JD1240" s="15"/>
      <c r="JE1240" s="15"/>
      <c r="JF1240" s="15"/>
      <c r="JG1240" s="15"/>
      <c r="JH1240" s="15"/>
      <c r="JI1240" s="15"/>
      <c r="JJ1240" s="15"/>
      <c r="JK1240" s="15"/>
      <c r="JL1240" s="15"/>
      <c r="JM1240" s="15"/>
      <c r="JN1240" s="15"/>
      <c r="JO1240" s="15"/>
      <c r="JP1240" s="15"/>
    </row>
    <row r="1241" spans="33:276" ht="15" customHeight="1" x14ac:dyDescent="0.3">
      <c r="AG1241" s="2"/>
      <c r="JD1241" s="15"/>
      <c r="JE1241" s="15"/>
      <c r="JF1241" s="15"/>
      <c r="JG1241" s="15"/>
      <c r="JH1241" s="15"/>
      <c r="JI1241" s="15"/>
      <c r="JJ1241" s="15"/>
      <c r="JK1241" s="15"/>
      <c r="JL1241" s="15"/>
      <c r="JM1241" s="15"/>
      <c r="JN1241" s="15"/>
      <c r="JO1241" s="15"/>
      <c r="JP1241" s="15"/>
    </row>
    <row r="1242" spans="33:276" ht="15" customHeight="1" x14ac:dyDescent="0.3">
      <c r="AG1242" s="2"/>
      <c r="JD1242" s="15"/>
      <c r="JE1242" s="15"/>
      <c r="JF1242" s="15"/>
      <c r="JG1242" s="15"/>
      <c r="JH1242" s="15"/>
      <c r="JI1242" s="15"/>
      <c r="JJ1242" s="15"/>
      <c r="JK1242" s="15"/>
      <c r="JL1242" s="15"/>
      <c r="JM1242" s="15"/>
      <c r="JN1242" s="15"/>
      <c r="JO1242" s="15"/>
      <c r="JP1242" s="15"/>
    </row>
    <row r="1243" spans="33:276" ht="15" customHeight="1" x14ac:dyDescent="0.3">
      <c r="AG1243" s="2"/>
      <c r="JD1243" s="15"/>
      <c r="JE1243" s="15"/>
      <c r="JF1243" s="15"/>
      <c r="JG1243" s="15"/>
      <c r="JH1243" s="15"/>
      <c r="JI1243" s="15"/>
      <c r="JJ1243" s="15"/>
      <c r="JK1243" s="15"/>
      <c r="JL1243" s="15"/>
      <c r="JM1243" s="15"/>
      <c r="JN1243" s="15"/>
      <c r="JO1243" s="15"/>
      <c r="JP1243" s="15"/>
    </row>
    <row r="1244" spans="33:276" ht="15" customHeight="1" x14ac:dyDescent="0.3">
      <c r="AG1244" s="2"/>
      <c r="JD1244" s="15"/>
      <c r="JE1244" s="15"/>
      <c r="JF1244" s="15"/>
      <c r="JG1244" s="15"/>
      <c r="JH1244" s="15"/>
      <c r="JI1244" s="15"/>
      <c r="JJ1244" s="15"/>
      <c r="JK1244" s="15"/>
      <c r="JL1244" s="15"/>
      <c r="JM1244" s="15"/>
      <c r="JN1244" s="15"/>
      <c r="JO1244" s="15"/>
      <c r="JP1244" s="15"/>
    </row>
    <row r="1245" spans="33:276" ht="15" customHeight="1" x14ac:dyDescent="0.3">
      <c r="AG1245" s="2"/>
      <c r="JD1245" s="15"/>
      <c r="JE1245" s="15"/>
      <c r="JF1245" s="15"/>
      <c r="JG1245" s="15"/>
      <c r="JH1245" s="15"/>
      <c r="JI1245" s="15"/>
      <c r="JJ1245" s="15"/>
      <c r="JK1245" s="15"/>
      <c r="JL1245" s="15"/>
      <c r="JM1245" s="15"/>
      <c r="JN1245" s="15"/>
      <c r="JO1245" s="15"/>
      <c r="JP1245" s="15"/>
    </row>
    <row r="1246" spans="33:276" ht="15" customHeight="1" x14ac:dyDescent="0.3">
      <c r="AG1246" s="2"/>
      <c r="JD1246" s="15"/>
      <c r="JE1246" s="15"/>
      <c r="JF1246" s="15"/>
      <c r="JG1246" s="15"/>
      <c r="JH1246" s="15"/>
      <c r="JI1246" s="15"/>
      <c r="JJ1246" s="15"/>
      <c r="JK1246" s="15"/>
      <c r="JL1246" s="15"/>
      <c r="JM1246" s="15"/>
      <c r="JN1246" s="15"/>
      <c r="JO1246" s="15"/>
      <c r="JP1246" s="15"/>
    </row>
    <row r="1247" spans="33:276" ht="15" customHeight="1" x14ac:dyDescent="0.3">
      <c r="AG1247" s="2"/>
      <c r="JD1247" s="15"/>
      <c r="JE1247" s="15"/>
      <c r="JF1247" s="15"/>
      <c r="JG1247" s="15"/>
      <c r="JH1247" s="15"/>
      <c r="JI1247" s="15"/>
      <c r="JJ1247" s="15"/>
      <c r="JK1247" s="15"/>
      <c r="JL1247" s="15"/>
      <c r="JM1247" s="15"/>
      <c r="JN1247" s="15"/>
      <c r="JO1247" s="15"/>
      <c r="JP1247" s="15"/>
    </row>
    <row r="1248" spans="33:276" ht="15" customHeight="1" x14ac:dyDescent="0.3">
      <c r="AG1248" s="2"/>
      <c r="JD1248" s="15"/>
      <c r="JE1248" s="15"/>
      <c r="JF1248" s="15"/>
      <c r="JG1248" s="15"/>
      <c r="JH1248" s="15"/>
      <c r="JI1248" s="15"/>
      <c r="JJ1248" s="15"/>
      <c r="JK1248" s="15"/>
      <c r="JL1248" s="15"/>
      <c r="JM1248" s="15"/>
      <c r="JN1248" s="15"/>
      <c r="JO1248" s="15"/>
      <c r="JP1248" s="15"/>
    </row>
    <row r="1249" spans="33:276" ht="15" customHeight="1" x14ac:dyDescent="0.3">
      <c r="AG1249" s="2"/>
      <c r="JD1249" s="15"/>
      <c r="JE1249" s="15"/>
      <c r="JF1249" s="15"/>
      <c r="JG1249" s="15"/>
      <c r="JH1249" s="15"/>
      <c r="JI1249" s="15"/>
      <c r="JJ1249" s="15"/>
      <c r="JK1249" s="15"/>
      <c r="JL1249" s="15"/>
      <c r="JM1249" s="15"/>
      <c r="JN1249" s="15"/>
      <c r="JO1249" s="15"/>
      <c r="JP1249" s="15"/>
    </row>
    <row r="1250" spans="33:276" ht="15" customHeight="1" x14ac:dyDescent="0.3">
      <c r="AG1250" s="2"/>
      <c r="JD1250" s="15"/>
      <c r="JE1250" s="15"/>
      <c r="JF1250" s="15"/>
      <c r="JG1250" s="15"/>
      <c r="JH1250" s="15"/>
      <c r="JI1250" s="15"/>
      <c r="JJ1250" s="15"/>
      <c r="JK1250" s="15"/>
      <c r="JL1250" s="15"/>
      <c r="JM1250" s="15"/>
      <c r="JN1250" s="15"/>
      <c r="JO1250" s="15"/>
      <c r="JP1250" s="15"/>
    </row>
    <row r="1251" spans="33:276" ht="15" customHeight="1" x14ac:dyDescent="0.3">
      <c r="AG1251" s="2"/>
      <c r="JD1251" s="15"/>
      <c r="JE1251" s="15"/>
      <c r="JF1251" s="15"/>
      <c r="JG1251" s="15"/>
      <c r="JH1251" s="15"/>
      <c r="JI1251" s="15"/>
      <c r="JJ1251" s="15"/>
      <c r="JK1251" s="15"/>
      <c r="JL1251" s="15"/>
      <c r="JM1251" s="15"/>
      <c r="JN1251" s="15"/>
      <c r="JO1251" s="15"/>
      <c r="JP1251" s="15"/>
    </row>
    <row r="1252" spans="33:276" ht="15" customHeight="1" x14ac:dyDescent="0.3">
      <c r="AG1252" s="2"/>
      <c r="JD1252" s="15"/>
      <c r="JE1252" s="15"/>
      <c r="JF1252" s="15"/>
      <c r="JG1252" s="15"/>
      <c r="JH1252" s="15"/>
      <c r="JI1252" s="15"/>
      <c r="JJ1252" s="15"/>
      <c r="JK1252" s="15"/>
      <c r="JL1252" s="15"/>
      <c r="JM1252" s="15"/>
      <c r="JN1252" s="15"/>
      <c r="JO1252" s="15"/>
      <c r="JP1252" s="15"/>
    </row>
    <row r="1253" spans="33:276" ht="15" customHeight="1" x14ac:dyDescent="0.3">
      <c r="AG1253" s="2"/>
      <c r="JD1253" s="15"/>
      <c r="JE1253" s="15"/>
      <c r="JF1253" s="15"/>
      <c r="JG1253" s="15"/>
      <c r="JH1253" s="15"/>
      <c r="JI1253" s="15"/>
      <c r="JJ1253" s="15"/>
      <c r="JK1253" s="15"/>
      <c r="JL1253" s="15"/>
      <c r="JM1253" s="15"/>
      <c r="JN1253" s="15"/>
      <c r="JO1253" s="15"/>
      <c r="JP1253" s="15"/>
    </row>
    <row r="1254" spans="33:276" ht="15" customHeight="1" x14ac:dyDescent="0.3">
      <c r="AG1254" s="2"/>
      <c r="JD1254" s="15"/>
      <c r="JE1254" s="15"/>
      <c r="JF1254" s="15"/>
      <c r="JG1254" s="15"/>
      <c r="JH1254" s="15"/>
      <c r="JI1254" s="15"/>
      <c r="JJ1254" s="15"/>
      <c r="JK1254" s="15"/>
      <c r="JL1254" s="15"/>
      <c r="JM1254" s="15"/>
      <c r="JN1254" s="15"/>
      <c r="JO1254" s="15"/>
      <c r="JP1254" s="15"/>
    </row>
    <row r="1255" spans="33:276" ht="15" customHeight="1" x14ac:dyDescent="0.3">
      <c r="AG1255" s="2"/>
      <c r="JD1255" s="15"/>
      <c r="JE1255" s="15"/>
      <c r="JF1255" s="15"/>
      <c r="JG1255" s="15"/>
      <c r="JH1255" s="15"/>
      <c r="JI1255" s="15"/>
      <c r="JJ1255" s="15"/>
      <c r="JK1255" s="15"/>
      <c r="JL1255" s="15"/>
      <c r="JM1255" s="15"/>
      <c r="JN1255" s="15"/>
      <c r="JO1255" s="15"/>
      <c r="JP1255" s="15"/>
    </row>
    <row r="1256" spans="33:276" ht="15" customHeight="1" x14ac:dyDescent="0.3">
      <c r="AG1256" s="2"/>
      <c r="JD1256" s="15"/>
      <c r="JE1256" s="15"/>
      <c r="JF1256" s="15"/>
      <c r="JG1256" s="15"/>
      <c r="JH1256" s="15"/>
      <c r="JI1256" s="15"/>
      <c r="JJ1256" s="15"/>
      <c r="JK1256" s="15"/>
      <c r="JL1256" s="15"/>
      <c r="JM1256" s="15"/>
      <c r="JN1256" s="15"/>
      <c r="JO1256" s="15"/>
      <c r="JP1256" s="15"/>
    </row>
    <row r="1257" spans="33:276" ht="15" customHeight="1" x14ac:dyDescent="0.3">
      <c r="AG1257" s="2"/>
      <c r="JD1257" s="15"/>
      <c r="JE1257" s="15"/>
      <c r="JF1257" s="15"/>
      <c r="JG1257" s="15"/>
      <c r="JH1257" s="15"/>
      <c r="JI1257" s="15"/>
      <c r="JJ1257" s="15"/>
      <c r="JK1257" s="15"/>
      <c r="JL1257" s="15"/>
      <c r="JM1257" s="15"/>
      <c r="JN1257" s="15"/>
      <c r="JO1257" s="15"/>
      <c r="JP1257" s="15"/>
    </row>
    <row r="1258" spans="33:276" ht="15" customHeight="1" x14ac:dyDescent="0.3">
      <c r="AG1258" s="2"/>
      <c r="JD1258" s="15"/>
      <c r="JE1258" s="15"/>
      <c r="JF1258" s="15"/>
      <c r="JG1258" s="15"/>
      <c r="JH1258" s="15"/>
      <c r="JI1258" s="15"/>
      <c r="JJ1258" s="15"/>
      <c r="JK1258" s="15"/>
      <c r="JL1258" s="15"/>
      <c r="JM1258" s="15"/>
      <c r="JN1258" s="15"/>
      <c r="JO1258" s="15"/>
      <c r="JP1258" s="15"/>
    </row>
    <row r="1259" spans="33:276" ht="15" customHeight="1" x14ac:dyDescent="0.3">
      <c r="AG1259" s="2"/>
      <c r="JD1259" s="15"/>
      <c r="JE1259" s="15"/>
      <c r="JF1259" s="15"/>
      <c r="JG1259" s="15"/>
      <c r="JH1259" s="15"/>
      <c r="JI1259" s="15"/>
      <c r="JJ1259" s="15"/>
      <c r="JK1259" s="15"/>
      <c r="JL1259" s="15"/>
      <c r="JM1259" s="15"/>
      <c r="JN1259" s="15"/>
      <c r="JO1259" s="15"/>
      <c r="JP1259" s="15"/>
    </row>
    <row r="1260" spans="33:276" ht="15" customHeight="1" x14ac:dyDescent="0.3">
      <c r="AG1260" s="2"/>
      <c r="JD1260" s="15"/>
      <c r="JE1260" s="15"/>
      <c r="JF1260" s="15"/>
      <c r="JG1260" s="15"/>
      <c r="JH1260" s="15"/>
      <c r="JI1260" s="15"/>
      <c r="JJ1260" s="15"/>
      <c r="JK1260" s="15"/>
      <c r="JL1260" s="15"/>
      <c r="JM1260" s="15"/>
      <c r="JN1260" s="15"/>
      <c r="JO1260" s="15"/>
      <c r="JP1260" s="15"/>
    </row>
    <row r="1261" spans="33:276" ht="15" customHeight="1" x14ac:dyDescent="0.3">
      <c r="AG1261" s="2"/>
      <c r="JD1261" s="15"/>
      <c r="JE1261" s="15"/>
      <c r="JF1261" s="15"/>
      <c r="JG1261" s="15"/>
      <c r="JH1261" s="15"/>
      <c r="JI1261" s="15"/>
      <c r="JJ1261" s="15"/>
      <c r="JK1261" s="15"/>
      <c r="JL1261" s="15"/>
      <c r="JM1261" s="15"/>
      <c r="JN1261" s="15"/>
      <c r="JO1261" s="15"/>
      <c r="JP1261" s="15"/>
    </row>
    <row r="1262" spans="33:276" ht="15" customHeight="1" x14ac:dyDescent="0.3">
      <c r="AG1262" s="2"/>
      <c r="JD1262" s="15"/>
      <c r="JE1262" s="15"/>
      <c r="JF1262" s="15"/>
      <c r="JG1262" s="15"/>
      <c r="JH1262" s="15"/>
      <c r="JI1262" s="15"/>
      <c r="JJ1262" s="15"/>
      <c r="JK1262" s="15"/>
      <c r="JL1262" s="15"/>
      <c r="JM1262" s="15"/>
      <c r="JN1262" s="15"/>
      <c r="JO1262" s="15"/>
      <c r="JP1262" s="15"/>
    </row>
    <row r="1263" spans="33:276" ht="15" customHeight="1" x14ac:dyDescent="0.3">
      <c r="AG1263" s="2"/>
      <c r="JD1263" s="15"/>
      <c r="JE1263" s="15"/>
      <c r="JF1263" s="15"/>
      <c r="JG1263" s="15"/>
      <c r="JH1263" s="15"/>
      <c r="JI1263" s="15"/>
      <c r="JJ1263" s="15"/>
      <c r="JK1263" s="15"/>
      <c r="JL1263" s="15"/>
      <c r="JM1263" s="15"/>
      <c r="JN1263" s="15"/>
      <c r="JO1263" s="15"/>
      <c r="JP1263" s="15"/>
    </row>
    <row r="1264" spans="33:276" ht="15" customHeight="1" x14ac:dyDescent="0.3">
      <c r="AG1264" s="2"/>
      <c r="JD1264" s="15"/>
      <c r="JE1264" s="15"/>
      <c r="JF1264" s="15"/>
      <c r="JG1264" s="15"/>
      <c r="JH1264" s="15"/>
      <c r="JI1264" s="15"/>
      <c r="JJ1264" s="15"/>
      <c r="JK1264" s="15"/>
      <c r="JL1264" s="15"/>
      <c r="JM1264" s="15"/>
      <c r="JN1264" s="15"/>
      <c r="JO1264" s="15"/>
      <c r="JP1264" s="15"/>
    </row>
    <row r="1265" spans="33:276" ht="15" customHeight="1" x14ac:dyDescent="0.3">
      <c r="AG1265" s="2"/>
      <c r="JD1265" s="15"/>
      <c r="JE1265" s="15"/>
      <c r="JF1265" s="15"/>
      <c r="JG1265" s="15"/>
      <c r="JH1265" s="15"/>
      <c r="JI1265" s="15"/>
      <c r="JJ1265" s="15"/>
      <c r="JK1265" s="15"/>
      <c r="JL1265" s="15"/>
      <c r="JM1265" s="15"/>
      <c r="JN1265" s="15"/>
      <c r="JO1265" s="15"/>
      <c r="JP1265" s="15"/>
    </row>
    <row r="1266" spans="33:276" ht="15" customHeight="1" x14ac:dyDescent="0.3">
      <c r="AG1266" s="2"/>
      <c r="JD1266" s="15"/>
      <c r="JE1266" s="15"/>
      <c r="JF1266" s="15"/>
      <c r="JG1266" s="15"/>
      <c r="JH1266" s="15"/>
      <c r="JI1266" s="15"/>
      <c r="JJ1266" s="15"/>
      <c r="JK1266" s="15"/>
      <c r="JL1266" s="15"/>
      <c r="JM1266" s="15"/>
      <c r="JN1266" s="15"/>
      <c r="JO1266" s="15"/>
      <c r="JP1266" s="15"/>
    </row>
    <row r="1267" spans="33:276" ht="15" customHeight="1" x14ac:dyDescent="0.3">
      <c r="AG1267" s="2"/>
      <c r="JD1267" s="15"/>
      <c r="JE1267" s="15"/>
      <c r="JF1267" s="15"/>
      <c r="JG1267" s="15"/>
      <c r="JH1267" s="15"/>
      <c r="JI1267" s="15"/>
      <c r="JJ1267" s="15"/>
      <c r="JK1267" s="15"/>
      <c r="JL1267" s="15"/>
      <c r="JM1267" s="15"/>
      <c r="JN1267" s="15"/>
      <c r="JO1267" s="15"/>
      <c r="JP1267" s="15"/>
    </row>
    <row r="1268" spans="33:276" ht="15" customHeight="1" x14ac:dyDescent="0.3">
      <c r="AG1268" s="2"/>
      <c r="JD1268" s="15"/>
      <c r="JE1268" s="15"/>
      <c r="JF1268" s="15"/>
      <c r="JG1268" s="15"/>
      <c r="JH1268" s="15"/>
      <c r="JI1268" s="15"/>
      <c r="JJ1268" s="15"/>
      <c r="JK1268" s="15"/>
      <c r="JL1268" s="15"/>
      <c r="JM1268" s="15"/>
      <c r="JN1268" s="15"/>
      <c r="JO1268" s="15"/>
      <c r="JP1268" s="15"/>
    </row>
    <row r="1269" spans="33:276" ht="15" customHeight="1" x14ac:dyDescent="0.3">
      <c r="AG1269" s="2"/>
      <c r="JD1269" s="15"/>
      <c r="JE1269" s="15"/>
      <c r="JF1269" s="15"/>
      <c r="JG1269" s="15"/>
      <c r="JH1269" s="15"/>
      <c r="JI1269" s="15"/>
      <c r="JJ1269" s="15"/>
      <c r="JK1269" s="15"/>
      <c r="JL1269" s="15"/>
      <c r="JM1269" s="15"/>
      <c r="JN1269" s="15"/>
      <c r="JO1269" s="15"/>
      <c r="JP1269" s="15"/>
    </row>
    <row r="1270" spans="33:276" ht="15" customHeight="1" x14ac:dyDescent="0.3">
      <c r="AG1270" s="2"/>
      <c r="JD1270" s="15"/>
      <c r="JE1270" s="15"/>
      <c r="JF1270" s="15"/>
      <c r="JG1270" s="15"/>
      <c r="JH1270" s="15"/>
      <c r="JI1270" s="15"/>
      <c r="JJ1270" s="15"/>
      <c r="JK1270" s="15"/>
      <c r="JL1270" s="15"/>
      <c r="JM1270" s="15"/>
      <c r="JN1270" s="15"/>
      <c r="JO1270" s="15"/>
      <c r="JP1270" s="15"/>
    </row>
    <row r="1271" spans="33:276" ht="15" customHeight="1" x14ac:dyDescent="0.3">
      <c r="AG1271" s="2"/>
      <c r="JD1271" s="15"/>
      <c r="JE1271" s="15"/>
      <c r="JF1271" s="15"/>
      <c r="JG1271" s="15"/>
      <c r="JH1271" s="15"/>
      <c r="JI1271" s="15"/>
      <c r="JJ1271" s="15"/>
      <c r="JK1271" s="15"/>
      <c r="JL1271" s="15"/>
      <c r="JM1271" s="15"/>
      <c r="JN1271" s="15"/>
      <c r="JO1271" s="15"/>
      <c r="JP1271" s="15"/>
    </row>
    <row r="1272" spans="33:276" ht="15" customHeight="1" x14ac:dyDescent="0.3">
      <c r="AG1272" s="2"/>
      <c r="JD1272" s="15"/>
      <c r="JE1272" s="15"/>
      <c r="JF1272" s="15"/>
      <c r="JG1272" s="15"/>
      <c r="JH1272" s="15"/>
      <c r="JI1272" s="15"/>
      <c r="JJ1272" s="15"/>
      <c r="JK1272" s="15"/>
      <c r="JL1272" s="15"/>
      <c r="JM1272" s="15"/>
      <c r="JN1272" s="15"/>
      <c r="JO1272" s="15"/>
      <c r="JP1272" s="15"/>
    </row>
    <row r="1273" spans="33:276" ht="15" customHeight="1" x14ac:dyDescent="0.3">
      <c r="AG1273" s="2"/>
      <c r="JD1273" s="15"/>
      <c r="JE1273" s="15"/>
      <c r="JF1273" s="15"/>
      <c r="JG1273" s="15"/>
      <c r="JH1273" s="15"/>
      <c r="JI1273" s="15"/>
      <c r="JJ1273" s="15"/>
      <c r="JK1273" s="15"/>
      <c r="JL1273" s="15"/>
      <c r="JM1273" s="15"/>
      <c r="JN1273" s="15"/>
      <c r="JO1273" s="15"/>
      <c r="JP1273" s="15"/>
    </row>
    <row r="1274" spans="33:276" ht="15" customHeight="1" x14ac:dyDescent="0.3">
      <c r="AG1274" s="2"/>
      <c r="JD1274" s="15"/>
      <c r="JE1274" s="15"/>
      <c r="JF1274" s="15"/>
      <c r="JG1274" s="15"/>
      <c r="JH1274" s="15"/>
      <c r="JI1274" s="15"/>
      <c r="JJ1274" s="15"/>
      <c r="JK1274" s="15"/>
      <c r="JL1274" s="15"/>
      <c r="JM1274" s="15"/>
      <c r="JN1274" s="15"/>
      <c r="JO1274" s="15"/>
      <c r="JP1274" s="15"/>
    </row>
    <row r="1275" spans="33:276" ht="15" customHeight="1" x14ac:dyDescent="0.3">
      <c r="AG1275" s="2"/>
      <c r="JD1275" s="15"/>
      <c r="JE1275" s="15"/>
      <c r="JF1275" s="15"/>
      <c r="JG1275" s="15"/>
      <c r="JH1275" s="15"/>
      <c r="JI1275" s="15"/>
      <c r="JJ1275" s="15"/>
      <c r="JK1275" s="15"/>
      <c r="JL1275" s="15"/>
      <c r="JM1275" s="15"/>
      <c r="JN1275" s="15"/>
      <c r="JO1275" s="15"/>
      <c r="JP1275" s="15"/>
    </row>
    <row r="1276" spans="33:276" ht="15" customHeight="1" x14ac:dyDescent="0.3">
      <c r="AG1276" s="2"/>
      <c r="JD1276" s="15"/>
      <c r="JE1276" s="15"/>
      <c r="JF1276" s="15"/>
      <c r="JG1276" s="15"/>
      <c r="JH1276" s="15"/>
      <c r="JI1276" s="15"/>
      <c r="JJ1276" s="15"/>
      <c r="JK1276" s="15"/>
      <c r="JL1276" s="15"/>
      <c r="JM1276" s="15"/>
      <c r="JN1276" s="15"/>
      <c r="JO1276" s="15"/>
      <c r="JP1276" s="15"/>
    </row>
    <row r="1277" spans="33:276" ht="15" customHeight="1" x14ac:dyDescent="0.3">
      <c r="AG1277" s="2"/>
      <c r="JD1277" s="15"/>
      <c r="JE1277" s="15"/>
      <c r="JF1277" s="15"/>
      <c r="JG1277" s="15"/>
      <c r="JH1277" s="15"/>
      <c r="JI1277" s="15"/>
      <c r="JJ1277" s="15"/>
      <c r="JK1277" s="15"/>
      <c r="JL1277" s="15"/>
      <c r="JM1277" s="15"/>
      <c r="JN1277" s="15"/>
      <c r="JO1277" s="15"/>
      <c r="JP1277" s="15"/>
    </row>
    <row r="1278" spans="33:276" ht="15" customHeight="1" x14ac:dyDescent="0.3">
      <c r="AG1278" s="2"/>
      <c r="JD1278" s="15"/>
      <c r="JE1278" s="15"/>
      <c r="JF1278" s="15"/>
      <c r="JG1278" s="15"/>
      <c r="JH1278" s="15"/>
      <c r="JI1278" s="15"/>
      <c r="JJ1278" s="15"/>
      <c r="JK1278" s="15"/>
      <c r="JL1278" s="15"/>
      <c r="JM1278" s="15"/>
      <c r="JN1278" s="15"/>
      <c r="JO1278" s="15"/>
      <c r="JP1278" s="15"/>
    </row>
    <row r="1279" spans="33:276" ht="15" customHeight="1" x14ac:dyDescent="0.3">
      <c r="AG1279" s="2"/>
      <c r="JD1279" s="15"/>
      <c r="JE1279" s="15"/>
      <c r="JF1279" s="15"/>
      <c r="JG1279" s="15"/>
      <c r="JH1279" s="15"/>
      <c r="JI1279" s="15"/>
      <c r="JJ1279" s="15"/>
      <c r="JK1279" s="15"/>
      <c r="JL1279" s="15"/>
      <c r="JM1279" s="15"/>
      <c r="JN1279" s="15"/>
      <c r="JO1279" s="15"/>
      <c r="JP1279" s="15"/>
    </row>
    <row r="1280" spans="33:276" ht="15" customHeight="1" x14ac:dyDescent="0.3">
      <c r="AG1280" s="2"/>
      <c r="JD1280" s="15"/>
      <c r="JE1280" s="15"/>
      <c r="JF1280" s="15"/>
      <c r="JG1280" s="15"/>
      <c r="JH1280" s="15"/>
      <c r="JI1280" s="15"/>
      <c r="JJ1280" s="15"/>
      <c r="JK1280" s="15"/>
      <c r="JL1280" s="15"/>
      <c r="JM1280" s="15"/>
      <c r="JN1280" s="15"/>
      <c r="JO1280" s="15"/>
      <c r="JP1280" s="15"/>
    </row>
    <row r="1281" spans="33:276" ht="15" customHeight="1" x14ac:dyDescent="0.3">
      <c r="AG1281" s="2"/>
      <c r="JD1281" s="15"/>
      <c r="JE1281" s="15"/>
      <c r="JF1281" s="15"/>
      <c r="JG1281" s="15"/>
      <c r="JH1281" s="15"/>
      <c r="JI1281" s="15"/>
      <c r="JJ1281" s="15"/>
      <c r="JK1281" s="15"/>
      <c r="JL1281" s="15"/>
      <c r="JM1281" s="15"/>
      <c r="JN1281" s="15"/>
      <c r="JO1281" s="15"/>
      <c r="JP1281" s="15"/>
    </row>
    <row r="1282" spans="33:276" ht="15" customHeight="1" x14ac:dyDescent="0.3">
      <c r="AG1282" s="2"/>
      <c r="JD1282" s="15"/>
      <c r="JE1282" s="15"/>
      <c r="JF1282" s="15"/>
      <c r="JG1282" s="15"/>
      <c r="JH1282" s="15"/>
      <c r="JI1282" s="15"/>
      <c r="JJ1282" s="15"/>
      <c r="JK1282" s="15"/>
      <c r="JL1282" s="15"/>
      <c r="JM1282" s="15"/>
      <c r="JN1282" s="15"/>
      <c r="JO1282" s="15"/>
      <c r="JP1282" s="15"/>
    </row>
    <row r="1283" spans="33:276" ht="15" customHeight="1" x14ac:dyDescent="0.3">
      <c r="AG1283" s="2"/>
      <c r="JD1283" s="15"/>
      <c r="JE1283" s="15"/>
      <c r="JF1283" s="15"/>
      <c r="JG1283" s="15"/>
      <c r="JH1283" s="15"/>
      <c r="JI1283" s="15"/>
      <c r="JJ1283" s="15"/>
      <c r="JK1283" s="15"/>
      <c r="JL1283" s="15"/>
      <c r="JM1283" s="15"/>
      <c r="JN1283" s="15"/>
      <c r="JO1283" s="15"/>
      <c r="JP1283" s="15"/>
    </row>
    <row r="1284" spans="33:276" ht="15" customHeight="1" x14ac:dyDescent="0.3">
      <c r="AG1284" s="2"/>
      <c r="JD1284" s="15"/>
      <c r="JE1284" s="15"/>
      <c r="JF1284" s="15"/>
      <c r="JG1284" s="15"/>
      <c r="JH1284" s="15"/>
      <c r="JI1284" s="15"/>
      <c r="JJ1284" s="15"/>
      <c r="JK1284" s="15"/>
      <c r="JL1284" s="15"/>
      <c r="JM1284" s="15"/>
      <c r="JN1284" s="15"/>
      <c r="JO1284" s="15"/>
      <c r="JP1284" s="15"/>
    </row>
    <row r="1285" spans="33:276" ht="15" customHeight="1" x14ac:dyDescent="0.3">
      <c r="AG1285" s="2"/>
      <c r="JD1285" s="15"/>
      <c r="JE1285" s="15"/>
      <c r="JF1285" s="15"/>
      <c r="JG1285" s="15"/>
      <c r="JH1285" s="15"/>
      <c r="JI1285" s="15"/>
      <c r="JJ1285" s="15"/>
      <c r="JK1285" s="15"/>
      <c r="JL1285" s="15"/>
      <c r="JM1285" s="15"/>
      <c r="JN1285" s="15"/>
      <c r="JO1285" s="15"/>
      <c r="JP1285" s="15"/>
    </row>
    <row r="1286" spans="33:276" ht="15" customHeight="1" x14ac:dyDescent="0.3">
      <c r="AG1286" s="2"/>
      <c r="JD1286" s="15"/>
      <c r="JE1286" s="15"/>
      <c r="JF1286" s="15"/>
      <c r="JG1286" s="15"/>
      <c r="JH1286" s="15"/>
      <c r="JI1286" s="15"/>
      <c r="JJ1286" s="15"/>
      <c r="JK1286" s="15"/>
      <c r="JL1286" s="15"/>
      <c r="JM1286" s="15"/>
      <c r="JN1286" s="15"/>
      <c r="JO1286" s="15"/>
      <c r="JP1286" s="15"/>
    </row>
    <row r="1287" spans="33:276" ht="15" customHeight="1" x14ac:dyDescent="0.3">
      <c r="AG1287" s="2"/>
      <c r="JD1287" s="15"/>
      <c r="JE1287" s="15"/>
      <c r="JF1287" s="15"/>
      <c r="JG1287" s="15"/>
      <c r="JH1287" s="15"/>
      <c r="JI1287" s="15"/>
      <c r="JJ1287" s="15"/>
      <c r="JK1287" s="15"/>
      <c r="JL1287" s="15"/>
      <c r="JM1287" s="15"/>
      <c r="JN1287" s="15"/>
      <c r="JO1287" s="15"/>
      <c r="JP1287" s="15"/>
    </row>
    <row r="1288" spans="33:276" ht="15" customHeight="1" x14ac:dyDescent="0.3">
      <c r="AG1288" s="2"/>
      <c r="JD1288" s="15"/>
      <c r="JE1288" s="15"/>
      <c r="JF1288" s="15"/>
      <c r="JG1288" s="15"/>
      <c r="JH1288" s="15"/>
      <c r="JI1288" s="15"/>
      <c r="JJ1288" s="15"/>
      <c r="JK1288" s="15"/>
      <c r="JL1288" s="15"/>
      <c r="JM1288" s="15"/>
      <c r="JN1288" s="15"/>
      <c r="JO1288" s="15"/>
      <c r="JP1288" s="15"/>
    </row>
    <row r="1289" spans="33:276" ht="15" customHeight="1" x14ac:dyDescent="0.3">
      <c r="AG1289" s="2"/>
      <c r="JD1289" s="15"/>
      <c r="JE1289" s="15"/>
      <c r="JF1289" s="15"/>
      <c r="JG1289" s="15"/>
      <c r="JH1289" s="15"/>
      <c r="JI1289" s="15"/>
      <c r="JJ1289" s="15"/>
      <c r="JK1289" s="15"/>
      <c r="JL1289" s="15"/>
      <c r="JM1289" s="15"/>
      <c r="JN1289" s="15"/>
      <c r="JO1289" s="15"/>
      <c r="JP1289" s="15"/>
    </row>
    <row r="1290" spans="33:276" ht="15" customHeight="1" x14ac:dyDescent="0.3">
      <c r="AG1290" s="2"/>
      <c r="JD1290" s="15"/>
      <c r="JE1290" s="15"/>
      <c r="JF1290" s="15"/>
      <c r="JG1290" s="15"/>
      <c r="JH1290" s="15"/>
      <c r="JI1290" s="15"/>
      <c r="JJ1290" s="15"/>
      <c r="JK1290" s="15"/>
      <c r="JL1290" s="15"/>
      <c r="JM1290" s="15"/>
      <c r="JN1290" s="15"/>
      <c r="JO1290" s="15"/>
      <c r="JP1290" s="15"/>
    </row>
    <row r="1291" spans="33:276" ht="15" customHeight="1" x14ac:dyDescent="0.3">
      <c r="AG1291" s="2"/>
      <c r="JD1291" s="15"/>
      <c r="JE1291" s="15"/>
      <c r="JF1291" s="15"/>
      <c r="JG1291" s="15"/>
      <c r="JH1291" s="15"/>
      <c r="JI1291" s="15"/>
      <c r="JJ1291" s="15"/>
      <c r="JK1291" s="15"/>
      <c r="JL1291" s="15"/>
      <c r="JM1291" s="15"/>
      <c r="JN1291" s="15"/>
      <c r="JO1291" s="15"/>
      <c r="JP1291" s="15"/>
    </row>
    <row r="1292" spans="33:276" ht="15" customHeight="1" x14ac:dyDescent="0.3">
      <c r="AG1292" s="2"/>
      <c r="JD1292" s="15"/>
      <c r="JE1292" s="15"/>
      <c r="JF1292" s="15"/>
      <c r="JG1292" s="15"/>
      <c r="JH1292" s="15"/>
      <c r="JI1292" s="15"/>
      <c r="JJ1292" s="15"/>
      <c r="JK1292" s="15"/>
      <c r="JL1292" s="15"/>
      <c r="JM1292" s="15"/>
      <c r="JN1292" s="15"/>
      <c r="JO1292" s="15"/>
      <c r="JP1292" s="15"/>
    </row>
    <row r="1293" spans="33:276" ht="15" customHeight="1" x14ac:dyDescent="0.3">
      <c r="AG1293" s="2"/>
      <c r="JD1293" s="15"/>
      <c r="JE1293" s="15"/>
      <c r="JF1293" s="15"/>
      <c r="JG1293" s="15"/>
      <c r="JH1293" s="15"/>
      <c r="JI1293" s="15"/>
      <c r="JJ1293" s="15"/>
      <c r="JK1293" s="15"/>
      <c r="JL1293" s="15"/>
      <c r="JM1293" s="15"/>
      <c r="JN1293" s="15"/>
      <c r="JO1293" s="15"/>
      <c r="JP1293" s="15"/>
    </row>
    <row r="1294" spans="33:276" ht="15" customHeight="1" x14ac:dyDescent="0.3">
      <c r="AG1294" s="2"/>
      <c r="JD1294" s="15"/>
      <c r="JE1294" s="15"/>
      <c r="JF1294" s="15"/>
      <c r="JG1294" s="15"/>
      <c r="JH1294" s="15"/>
      <c r="JI1294" s="15"/>
      <c r="JJ1294" s="15"/>
      <c r="JK1294" s="15"/>
      <c r="JL1294" s="15"/>
      <c r="JM1294" s="15"/>
      <c r="JN1294" s="15"/>
      <c r="JO1294" s="15"/>
      <c r="JP1294" s="15"/>
    </row>
    <row r="1295" spans="33:276" ht="15" customHeight="1" x14ac:dyDescent="0.3">
      <c r="AG1295" s="2"/>
      <c r="JD1295" s="15"/>
      <c r="JE1295" s="15"/>
      <c r="JF1295" s="15"/>
      <c r="JG1295" s="15"/>
      <c r="JH1295" s="15"/>
      <c r="JI1295" s="15"/>
      <c r="JJ1295" s="15"/>
      <c r="JK1295" s="15"/>
      <c r="JL1295" s="15"/>
      <c r="JM1295" s="15"/>
      <c r="JN1295" s="15"/>
      <c r="JO1295" s="15"/>
      <c r="JP1295" s="15"/>
    </row>
    <row r="1296" spans="33:276" ht="15" customHeight="1" x14ac:dyDescent="0.3">
      <c r="AG1296" s="2"/>
      <c r="JD1296" s="15"/>
      <c r="JE1296" s="15"/>
      <c r="JF1296" s="15"/>
      <c r="JG1296" s="15"/>
      <c r="JH1296" s="15"/>
      <c r="JI1296" s="15"/>
      <c r="JJ1296" s="15"/>
      <c r="JK1296" s="15"/>
      <c r="JL1296" s="15"/>
      <c r="JM1296" s="15"/>
      <c r="JN1296" s="15"/>
      <c r="JO1296" s="15"/>
      <c r="JP1296" s="15"/>
    </row>
    <row r="1297" spans="33:276" ht="15" customHeight="1" x14ac:dyDescent="0.3">
      <c r="AG1297" s="2"/>
      <c r="JD1297" s="15"/>
      <c r="JE1297" s="15"/>
      <c r="JF1297" s="15"/>
      <c r="JG1297" s="15"/>
      <c r="JH1297" s="15"/>
      <c r="JI1297" s="15"/>
      <c r="JJ1297" s="15"/>
      <c r="JK1297" s="15"/>
      <c r="JL1297" s="15"/>
      <c r="JM1297" s="15"/>
      <c r="JN1297" s="15"/>
      <c r="JO1297" s="15"/>
      <c r="JP1297" s="15"/>
    </row>
    <row r="1298" spans="33:276" ht="15" customHeight="1" x14ac:dyDescent="0.3">
      <c r="AG1298" s="2"/>
      <c r="JD1298" s="15"/>
      <c r="JE1298" s="15"/>
      <c r="JF1298" s="15"/>
      <c r="JG1298" s="15"/>
      <c r="JH1298" s="15"/>
      <c r="JI1298" s="15"/>
      <c r="JJ1298" s="15"/>
      <c r="JK1298" s="15"/>
      <c r="JL1298" s="15"/>
      <c r="JM1298" s="15"/>
      <c r="JN1298" s="15"/>
      <c r="JO1298" s="15"/>
      <c r="JP1298" s="15"/>
    </row>
    <row r="1299" spans="33:276" ht="15" customHeight="1" x14ac:dyDescent="0.3">
      <c r="AG1299" s="2"/>
      <c r="JD1299" s="15"/>
      <c r="JE1299" s="15"/>
      <c r="JF1299" s="15"/>
      <c r="JG1299" s="15"/>
      <c r="JH1299" s="15"/>
      <c r="JI1299" s="15"/>
      <c r="JJ1299" s="15"/>
      <c r="JK1299" s="15"/>
      <c r="JL1299" s="15"/>
      <c r="JM1299" s="15"/>
      <c r="JN1299" s="15"/>
      <c r="JO1299" s="15"/>
      <c r="JP1299" s="15"/>
    </row>
    <row r="1300" spans="33:276" ht="15" customHeight="1" x14ac:dyDescent="0.3">
      <c r="AG1300" s="2"/>
      <c r="JD1300" s="15"/>
      <c r="JE1300" s="15"/>
      <c r="JF1300" s="15"/>
      <c r="JG1300" s="15"/>
      <c r="JH1300" s="15"/>
      <c r="JI1300" s="15"/>
      <c r="JJ1300" s="15"/>
      <c r="JK1300" s="15"/>
      <c r="JL1300" s="15"/>
      <c r="JM1300" s="15"/>
      <c r="JN1300" s="15"/>
      <c r="JO1300" s="15"/>
      <c r="JP1300" s="15"/>
    </row>
    <row r="1301" spans="33:276" ht="15" customHeight="1" x14ac:dyDescent="0.3">
      <c r="AG1301" s="2"/>
      <c r="JD1301" s="15"/>
      <c r="JE1301" s="15"/>
      <c r="JF1301" s="15"/>
      <c r="JG1301" s="15"/>
      <c r="JH1301" s="15"/>
      <c r="JI1301" s="15"/>
      <c r="JJ1301" s="15"/>
      <c r="JK1301" s="15"/>
      <c r="JL1301" s="15"/>
      <c r="JM1301" s="15"/>
      <c r="JN1301" s="15"/>
      <c r="JO1301" s="15"/>
      <c r="JP1301" s="15"/>
    </row>
    <row r="1302" spans="33:276" ht="15" customHeight="1" x14ac:dyDescent="0.3">
      <c r="AG1302" s="2"/>
      <c r="JD1302" s="15"/>
      <c r="JE1302" s="15"/>
      <c r="JF1302" s="15"/>
      <c r="JG1302" s="15"/>
      <c r="JH1302" s="15"/>
      <c r="JI1302" s="15"/>
      <c r="JJ1302" s="15"/>
      <c r="JK1302" s="15"/>
      <c r="JL1302" s="15"/>
      <c r="JM1302" s="15"/>
      <c r="JN1302" s="15"/>
      <c r="JO1302" s="15"/>
      <c r="JP1302" s="15"/>
    </row>
    <row r="1303" spans="33:276" ht="15" customHeight="1" x14ac:dyDescent="0.3">
      <c r="AG1303" s="2"/>
      <c r="JD1303" s="15"/>
      <c r="JE1303" s="15"/>
      <c r="JF1303" s="15"/>
      <c r="JG1303" s="15"/>
      <c r="JH1303" s="15"/>
      <c r="JI1303" s="15"/>
      <c r="JJ1303" s="15"/>
      <c r="JK1303" s="15"/>
      <c r="JL1303" s="15"/>
      <c r="JM1303" s="15"/>
      <c r="JN1303" s="15"/>
      <c r="JO1303" s="15"/>
      <c r="JP1303" s="15"/>
    </row>
    <row r="1304" spans="33:276" ht="15" customHeight="1" x14ac:dyDescent="0.3">
      <c r="AG1304" s="2"/>
      <c r="JD1304" s="15"/>
      <c r="JE1304" s="15"/>
      <c r="JF1304" s="15"/>
      <c r="JG1304" s="15"/>
      <c r="JH1304" s="15"/>
      <c r="JI1304" s="15"/>
      <c r="JJ1304" s="15"/>
      <c r="JK1304" s="15"/>
      <c r="JL1304" s="15"/>
      <c r="JM1304" s="15"/>
      <c r="JN1304" s="15"/>
      <c r="JO1304" s="15"/>
      <c r="JP1304" s="15"/>
    </row>
    <row r="1305" spans="33:276" ht="15" customHeight="1" x14ac:dyDescent="0.3">
      <c r="AG1305" s="2"/>
      <c r="JD1305" s="15"/>
      <c r="JE1305" s="15"/>
      <c r="JF1305" s="15"/>
      <c r="JG1305" s="15"/>
      <c r="JH1305" s="15"/>
      <c r="JI1305" s="15"/>
      <c r="JJ1305" s="15"/>
      <c r="JK1305" s="15"/>
      <c r="JL1305" s="15"/>
      <c r="JM1305" s="15"/>
      <c r="JN1305" s="15"/>
      <c r="JO1305" s="15"/>
      <c r="JP1305" s="15"/>
    </row>
    <row r="1306" spans="33:276" ht="15" customHeight="1" x14ac:dyDescent="0.3">
      <c r="AG1306" s="2"/>
      <c r="JD1306" s="15"/>
      <c r="JE1306" s="15"/>
      <c r="JF1306" s="15"/>
      <c r="JG1306" s="15"/>
      <c r="JH1306" s="15"/>
      <c r="JI1306" s="15"/>
      <c r="JJ1306" s="15"/>
      <c r="JK1306" s="15"/>
      <c r="JL1306" s="15"/>
      <c r="JM1306" s="15"/>
      <c r="JN1306" s="15"/>
      <c r="JO1306" s="15"/>
      <c r="JP1306" s="15"/>
    </row>
    <row r="1307" spans="33:276" ht="15" customHeight="1" x14ac:dyDescent="0.3">
      <c r="AG1307" s="2"/>
      <c r="JD1307" s="15"/>
      <c r="JE1307" s="15"/>
      <c r="JF1307" s="15"/>
      <c r="JG1307" s="15"/>
      <c r="JH1307" s="15"/>
      <c r="JI1307" s="15"/>
      <c r="JJ1307" s="15"/>
      <c r="JK1307" s="15"/>
      <c r="JL1307" s="15"/>
      <c r="JM1307" s="15"/>
      <c r="JN1307" s="15"/>
      <c r="JO1307" s="15"/>
      <c r="JP1307" s="15"/>
    </row>
    <row r="1308" spans="33:276" ht="15" customHeight="1" x14ac:dyDescent="0.3">
      <c r="AG1308" s="2"/>
      <c r="JD1308" s="15"/>
      <c r="JE1308" s="15"/>
      <c r="JF1308" s="15"/>
      <c r="JG1308" s="15"/>
      <c r="JH1308" s="15"/>
      <c r="JI1308" s="15"/>
      <c r="JJ1308" s="15"/>
      <c r="JK1308" s="15"/>
      <c r="JL1308" s="15"/>
      <c r="JM1308" s="15"/>
      <c r="JN1308" s="15"/>
      <c r="JO1308" s="15"/>
      <c r="JP1308" s="15"/>
    </row>
    <row r="1309" spans="33:276" ht="15" customHeight="1" x14ac:dyDescent="0.3">
      <c r="AG1309" s="2"/>
      <c r="JD1309" s="15"/>
      <c r="JE1309" s="15"/>
      <c r="JF1309" s="15"/>
      <c r="JG1309" s="15"/>
      <c r="JH1309" s="15"/>
      <c r="JI1309" s="15"/>
      <c r="JJ1309" s="15"/>
      <c r="JK1309" s="15"/>
      <c r="JL1309" s="15"/>
      <c r="JM1309" s="15"/>
      <c r="JN1309" s="15"/>
      <c r="JO1309" s="15"/>
      <c r="JP1309" s="15"/>
    </row>
    <row r="1310" spans="33:276" ht="15" customHeight="1" x14ac:dyDescent="0.3">
      <c r="AG1310" s="2"/>
      <c r="JD1310" s="15"/>
      <c r="JE1310" s="15"/>
      <c r="JF1310" s="15"/>
      <c r="JG1310" s="15"/>
      <c r="JH1310" s="15"/>
      <c r="JI1310" s="15"/>
      <c r="JJ1310" s="15"/>
      <c r="JK1310" s="15"/>
      <c r="JL1310" s="15"/>
      <c r="JM1310" s="15"/>
      <c r="JN1310" s="15"/>
      <c r="JO1310" s="15"/>
      <c r="JP1310" s="15"/>
    </row>
    <row r="1311" spans="33:276" ht="15" customHeight="1" x14ac:dyDescent="0.3">
      <c r="AG1311" s="2"/>
      <c r="JD1311" s="15"/>
      <c r="JE1311" s="15"/>
      <c r="JF1311" s="15"/>
      <c r="JG1311" s="15"/>
      <c r="JH1311" s="15"/>
      <c r="JI1311" s="15"/>
      <c r="JJ1311" s="15"/>
      <c r="JK1311" s="15"/>
      <c r="JL1311" s="15"/>
      <c r="JM1311" s="15"/>
      <c r="JN1311" s="15"/>
      <c r="JO1311" s="15"/>
      <c r="JP1311" s="15"/>
    </row>
    <row r="1312" spans="33:276" ht="15" customHeight="1" x14ac:dyDescent="0.3">
      <c r="AG1312" s="2"/>
      <c r="JD1312" s="15"/>
      <c r="JE1312" s="15"/>
      <c r="JF1312" s="15"/>
      <c r="JG1312" s="15"/>
      <c r="JH1312" s="15"/>
      <c r="JI1312" s="15"/>
      <c r="JJ1312" s="15"/>
      <c r="JK1312" s="15"/>
      <c r="JL1312" s="15"/>
      <c r="JM1312" s="15"/>
      <c r="JN1312" s="15"/>
      <c r="JO1312" s="15"/>
      <c r="JP1312" s="15"/>
    </row>
    <row r="1313" spans="33:276" ht="15" customHeight="1" x14ac:dyDescent="0.3">
      <c r="AG1313" s="2"/>
      <c r="JD1313" s="15"/>
      <c r="JE1313" s="15"/>
      <c r="JF1313" s="15"/>
      <c r="JG1313" s="15"/>
      <c r="JH1313" s="15"/>
      <c r="JI1313" s="15"/>
      <c r="JJ1313" s="15"/>
      <c r="JK1313" s="15"/>
      <c r="JL1313" s="15"/>
      <c r="JM1313" s="15"/>
      <c r="JN1313" s="15"/>
      <c r="JO1313" s="15"/>
      <c r="JP1313" s="15"/>
    </row>
    <row r="1314" spans="33:276" ht="15" customHeight="1" x14ac:dyDescent="0.3">
      <c r="AG1314" s="2"/>
      <c r="JD1314" s="15"/>
      <c r="JE1314" s="15"/>
      <c r="JF1314" s="15"/>
      <c r="JG1314" s="15"/>
      <c r="JH1314" s="15"/>
      <c r="JI1314" s="15"/>
      <c r="JJ1314" s="15"/>
      <c r="JK1314" s="15"/>
      <c r="JL1314" s="15"/>
      <c r="JM1314" s="15"/>
      <c r="JN1314" s="15"/>
      <c r="JO1314" s="15"/>
      <c r="JP1314" s="15"/>
    </row>
    <row r="1315" spans="33:276" ht="15" customHeight="1" x14ac:dyDescent="0.3">
      <c r="AG1315" s="2"/>
      <c r="JD1315" s="15"/>
      <c r="JE1315" s="15"/>
      <c r="JF1315" s="15"/>
      <c r="JG1315" s="15"/>
      <c r="JH1315" s="15"/>
      <c r="JI1315" s="15"/>
      <c r="JJ1315" s="15"/>
      <c r="JK1315" s="15"/>
      <c r="JL1315" s="15"/>
      <c r="JM1315" s="15"/>
      <c r="JN1315" s="15"/>
      <c r="JO1315" s="15"/>
      <c r="JP1315" s="15"/>
    </row>
    <row r="1316" spans="33:276" ht="15" customHeight="1" x14ac:dyDescent="0.3">
      <c r="AG1316" s="2"/>
    </row>
    <row r="1317" spans="33:276" ht="15" customHeight="1" x14ac:dyDescent="0.3">
      <c r="AG1317" s="2"/>
    </row>
    <row r="1318" spans="33:276" ht="15" customHeight="1" x14ac:dyDescent="0.3">
      <c r="AG1318" s="2"/>
    </row>
    <row r="1319" spans="33:276" ht="15" customHeight="1" x14ac:dyDescent="0.3">
      <c r="AG1319" s="2"/>
    </row>
    <row r="1320" spans="33:276" ht="15" customHeight="1" x14ac:dyDescent="0.3">
      <c r="AG1320" s="2"/>
    </row>
    <row r="1321" spans="33:276" ht="15" customHeight="1" x14ac:dyDescent="0.3">
      <c r="AG1321" s="2"/>
    </row>
    <row r="1322" spans="33:276" ht="15" customHeight="1" x14ac:dyDescent="0.3">
      <c r="AG1322" s="2"/>
    </row>
    <row r="1323" spans="33:276" ht="15" customHeight="1" x14ac:dyDescent="0.3">
      <c r="AG1323" s="2"/>
    </row>
    <row r="1324" spans="33:276" ht="15" customHeight="1" x14ac:dyDescent="0.3">
      <c r="AG1324" s="2"/>
    </row>
    <row r="1325" spans="33:276" ht="15" customHeight="1" x14ac:dyDescent="0.3">
      <c r="AG1325" s="2"/>
    </row>
    <row r="1326" spans="33:276" ht="15" customHeight="1" x14ac:dyDescent="0.3">
      <c r="AG1326" s="2"/>
    </row>
    <row r="1327" spans="33:276" ht="15" customHeight="1" x14ac:dyDescent="0.3">
      <c r="AG1327" s="2"/>
    </row>
    <row r="1328" spans="33:276" ht="15" customHeight="1" x14ac:dyDescent="0.3">
      <c r="AG1328" s="2"/>
    </row>
    <row r="1329" spans="33:33" ht="15" customHeight="1" x14ac:dyDescent="0.3">
      <c r="AG1329" s="2"/>
    </row>
    <row r="1330" spans="33:33" ht="15" customHeight="1" x14ac:dyDescent="0.3">
      <c r="AG1330" s="2"/>
    </row>
    <row r="1331" spans="33:33" ht="15" customHeight="1" x14ac:dyDescent="0.3">
      <c r="AG1331" s="2"/>
    </row>
    <row r="1332" spans="33:33" ht="15" customHeight="1" x14ac:dyDescent="0.3">
      <c r="AG1332" s="2"/>
    </row>
    <row r="1333" spans="33:33" ht="15" customHeight="1" x14ac:dyDescent="0.3">
      <c r="AG1333" s="2"/>
    </row>
    <row r="1334" spans="33:33" ht="15" customHeight="1" x14ac:dyDescent="0.3">
      <c r="AG1334" s="2"/>
    </row>
    <row r="1335" spans="33:33" ht="15" customHeight="1" x14ac:dyDescent="0.3">
      <c r="AG1335" s="2"/>
    </row>
    <row r="1336" spans="33:33" ht="15" customHeight="1" x14ac:dyDescent="0.3">
      <c r="AG1336" s="2"/>
    </row>
    <row r="1337" spans="33:33" ht="15" customHeight="1" x14ac:dyDescent="0.3">
      <c r="AG1337" s="2"/>
    </row>
    <row r="1338" spans="33:33" ht="15" customHeight="1" x14ac:dyDescent="0.3">
      <c r="AG1338" s="2"/>
    </row>
    <row r="1339" spans="33:33" ht="15" customHeight="1" x14ac:dyDescent="0.3">
      <c r="AG1339" s="2"/>
    </row>
    <row r="1340" spans="33:33" ht="15" customHeight="1" x14ac:dyDescent="0.3">
      <c r="AG1340" s="2"/>
    </row>
    <row r="1341" spans="33:33" ht="15" customHeight="1" x14ac:dyDescent="0.3">
      <c r="AG1341" s="2"/>
    </row>
    <row r="1342" spans="33:33" ht="15" customHeight="1" x14ac:dyDescent="0.3">
      <c r="AG1342" s="2"/>
    </row>
    <row r="1343" spans="33:33" ht="15" customHeight="1" x14ac:dyDescent="0.3">
      <c r="AG1343" s="2"/>
    </row>
    <row r="1344" spans="33:33" ht="15" customHeight="1" x14ac:dyDescent="0.3">
      <c r="AG1344" s="2"/>
    </row>
    <row r="1345" spans="33:33" ht="15" customHeight="1" x14ac:dyDescent="0.3">
      <c r="AG1345" s="2"/>
    </row>
    <row r="1346" spans="33:33" ht="15" customHeight="1" x14ac:dyDescent="0.3">
      <c r="AG1346" s="2"/>
    </row>
    <row r="1347" spans="33:33" ht="15" customHeight="1" x14ac:dyDescent="0.3">
      <c r="AG1347" s="2"/>
    </row>
    <row r="1348" spans="33:33" ht="15" customHeight="1" x14ac:dyDescent="0.3">
      <c r="AG1348" s="2"/>
    </row>
    <row r="1349" spans="33:33" ht="15" customHeight="1" x14ac:dyDescent="0.3">
      <c r="AG1349" s="2"/>
    </row>
    <row r="1350" spans="33:33" ht="15" customHeight="1" x14ac:dyDescent="0.3">
      <c r="AG1350" s="2"/>
    </row>
    <row r="1351" spans="33:33" ht="15" customHeight="1" x14ac:dyDescent="0.3">
      <c r="AG1351" s="2"/>
    </row>
    <row r="1352" spans="33:33" ht="15" customHeight="1" x14ac:dyDescent="0.3">
      <c r="AG1352" s="2"/>
    </row>
    <row r="1353" spans="33:33" ht="15" customHeight="1" x14ac:dyDescent="0.3">
      <c r="AG1353" s="2"/>
    </row>
    <row r="1354" spans="33:33" ht="15" customHeight="1" x14ac:dyDescent="0.3">
      <c r="AG1354" s="2"/>
    </row>
    <row r="1355" spans="33:33" ht="15" customHeight="1" x14ac:dyDescent="0.3">
      <c r="AG1355" s="2"/>
    </row>
    <row r="1356" spans="33:33" ht="15" customHeight="1" x14ac:dyDescent="0.3">
      <c r="AG1356" s="2"/>
    </row>
    <row r="1357" spans="33:33" ht="15" customHeight="1" x14ac:dyDescent="0.3">
      <c r="AG1357" s="2"/>
    </row>
    <row r="1358" spans="33:33" ht="15" customHeight="1" x14ac:dyDescent="0.3">
      <c r="AG1358" s="2"/>
    </row>
    <row r="1359" spans="33:33" ht="15" customHeight="1" x14ac:dyDescent="0.3">
      <c r="AG1359" s="2"/>
    </row>
    <row r="1360" spans="33:33" ht="15" customHeight="1" x14ac:dyDescent="0.3">
      <c r="AG1360" s="2"/>
    </row>
    <row r="1361" spans="33:33" ht="15" customHeight="1" x14ac:dyDescent="0.3">
      <c r="AG1361" s="2"/>
    </row>
    <row r="1362" spans="33:33" ht="15" customHeight="1" x14ac:dyDescent="0.3">
      <c r="AG1362" s="2"/>
    </row>
    <row r="1363" spans="33:33" ht="15" customHeight="1" x14ac:dyDescent="0.3">
      <c r="AG1363" s="2"/>
    </row>
    <row r="1364" spans="33:33" ht="15" customHeight="1" x14ac:dyDescent="0.3">
      <c r="AG1364" s="2"/>
    </row>
    <row r="1365" spans="33:33" ht="15" customHeight="1" x14ac:dyDescent="0.3">
      <c r="AG1365" s="2"/>
    </row>
    <row r="1366" spans="33:33" ht="15" customHeight="1" x14ac:dyDescent="0.3">
      <c r="AG1366" s="2"/>
    </row>
    <row r="1367" spans="33:33" ht="15" customHeight="1" x14ac:dyDescent="0.3">
      <c r="AG1367" s="2"/>
    </row>
    <row r="1368" spans="33:33" ht="15" customHeight="1" x14ac:dyDescent="0.3">
      <c r="AG1368" s="2"/>
    </row>
    <row r="1369" spans="33:33" ht="15" customHeight="1" x14ac:dyDescent="0.3">
      <c r="AG1369" s="2"/>
    </row>
    <row r="1370" spans="33:33" ht="15" customHeight="1" x14ac:dyDescent="0.3">
      <c r="AG1370" s="2"/>
    </row>
    <row r="1371" spans="33:33" ht="15" customHeight="1" x14ac:dyDescent="0.3">
      <c r="AG1371" s="2"/>
    </row>
    <row r="1372" spans="33:33" ht="15" customHeight="1" x14ac:dyDescent="0.3">
      <c r="AG1372" s="2"/>
    </row>
    <row r="1373" spans="33:33" ht="15" customHeight="1" x14ac:dyDescent="0.3">
      <c r="AG1373" s="2"/>
    </row>
    <row r="1374" spans="33:33" ht="15" customHeight="1" x14ac:dyDescent="0.3">
      <c r="AG1374" s="2"/>
    </row>
    <row r="1375" spans="33:33" ht="15" customHeight="1" x14ac:dyDescent="0.3">
      <c r="AG1375" s="2"/>
    </row>
    <row r="1376" spans="33:33" ht="15" customHeight="1" x14ac:dyDescent="0.3">
      <c r="AG1376" s="2"/>
    </row>
    <row r="1377" spans="33:33" ht="15" customHeight="1" x14ac:dyDescent="0.3">
      <c r="AG1377" s="2"/>
    </row>
    <row r="1378" spans="33:33" ht="15" customHeight="1" x14ac:dyDescent="0.3">
      <c r="AG1378" s="2"/>
    </row>
    <row r="1379" spans="33:33" ht="15" customHeight="1" x14ac:dyDescent="0.3">
      <c r="AG1379" s="2"/>
    </row>
    <row r="1380" spans="33:33" ht="15" customHeight="1" x14ac:dyDescent="0.3">
      <c r="AG1380" s="2"/>
    </row>
    <row r="1381" spans="33:33" ht="15" customHeight="1" x14ac:dyDescent="0.3">
      <c r="AG1381" s="2"/>
    </row>
    <row r="1382" spans="33:33" ht="15" customHeight="1" x14ac:dyDescent="0.3">
      <c r="AG1382" s="2"/>
    </row>
    <row r="1383" spans="33:33" ht="15" customHeight="1" x14ac:dyDescent="0.3">
      <c r="AG1383" s="2"/>
    </row>
    <row r="1384" spans="33:33" ht="15" customHeight="1" x14ac:dyDescent="0.3">
      <c r="AG1384" s="2"/>
    </row>
    <row r="1385" spans="33:33" ht="15" customHeight="1" x14ac:dyDescent="0.3">
      <c r="AG1385" s="2"/>
    </row>
    <row r="1386" spans="33:33" ht="15" customHeight="1" x14ac:dyDescent="0.3">
      <c r="AG1386" s="2"/>
    </row>
    <row r="1387" spans="33:33" ht="15" customHeight="1" x14ac:dyDescent="0.3">
      <c r="AG1387" s="2"/>
    </row>
    <row r="1388" spans="33:33" ht="15" customHeight="1" x14ac:dyDescent="0.3">
      <c r="AG1388" s="2"/>
    </row>
    <row r="1389" spans="33:33" ht="15" customHeight="1" x14ac:dyDescent="0.3">
      <c r="AG1389" s="2"/>
    </row>
    <row r="1390" spans="33:33" ht="15" customHeight="1" x14ac:dyDescent="0.3">
      <c r="AG1390" s="2"/>
    </row>
    <row r="1391" spans="33:33" ht="15" customHeight="1" x14ac:dyDescent="0.3">
      <c r="AG1391" s="2"/>
    </row>
    <row r="1392" spans="33:33" ht="15" customHeight="1" x14ac:dyDescent="0.3">
      <c r="AG1392" s="2"/>
    </row>
    <row r="1393" spans="33:33" ht="15" customHeight="1" x14ac:dyDescent="0.3">
      <c r="AG1393" s="2"/>
    </row>
    <row r="1394" spans="33:33" ht="15" customHeight="1" x14ac:dyDescent="0.3">
      <c r="AG1394" s="2"/>
    </row>
    <row r="1395" spans="33:33" ht="15" customHeight="1" x14ac:dyDescent="0.3">
      <c r="AG1395" s="2"/>
    </row>
    <row r="1396" spans="33:33" ht="15" customHeight="1" x14ac:dyDescent="0.3">
      <c r="AG1396" s="2"/>
    </row>
    <row r="1397" spans="33:33" ht="15" customHeight="1" x14ac:dyDescent="0.3">
      <c r="AG1397" s="2"/>
    </row>
    <row r="1398" spans="33:33" ht="15" customHeight="1" x14ac:dyDescent="0.3">
      <c r="AG1398" s="2"/>
    </row>
    <row r="1399" spans="33:33" ht="15" customHeight="1" x14ac:dyDescent="0.3">
      <c r="AG1399" s="2"/>
    </row>
    <row r="1400" spans="33:33" ht="15" customHeight="1" x14ac:dyDescent="0.3">
      <c r="AG1400" s="2"/>
    </row>
    <row r="1401" spans="33:33" ht="15" customHeight="1" x14ac:dyDescent="0.3">
      <c r="AG1401" s="2"/>
    </row>
    <row r="1402" spans="33:33" ht="15" customHeight="1" x14ac:dyDescent="0.3">
      <c r="AG1402" s="2"/>
    </row>
    <row r="1403" spans="33:33" ht="15" customHeight="1" x14ac:dyDescent="0.3">
      <c r="AG1403" s="2"/>
    </row>
    <row r="1404" spans="33:33" ht="15" customHeight="1" x14ac:dyDescent="0.3">
      <c r="AG1404" s="2"/>
    </row>
    <row r="1405" spans="33:33" ht="15" customHeight="1" x14ac:dyDescent="0.3">
      <c r="AG1405" s="2"/>
    </row>
    <row r="1406" spans="33:33" ht="15" customHeight="1" x14ac:dyDescent="0.3">
      <c r="AG1406" s="2"/>
    </row>
    <row r="1407" spans="33:33" ht="15" customHeight="1" x14ac:dyDescent="0.3">
      <c r="AG1407" s="2"/>
    </row>
    <row r="1408" spans="33:33" ht="15" customHeight="1" x14ac:dyDescent="0.3">
      <c r="AG1408" s="2"/>
    </row>
    <row r="1409" spans="33:33" ht="15" customHeight="1" x14ac:dyDescent="0.3">
      <c r="AG1409" s="2"/>
    </row>
    <row r="1410" spans="33:33" ht="15" customHeight="1" x14ac:dyDescent="0.3">
      <c r="AG1410" s="2"/>
    </row>
    <row r="1411" spans="33:33" ht="15" customHeight="1" x14ac:dyDescent="0.3">
      <c r="AG1411" s="2"/>
    </row>
    <row r="1412" spans="33:33" ht="15" customHeight="1" x14ac:dyDescent="0.3">
      <c r="AG1412" s="2"/>
    </row>
    <row r="1413" spans="33:33" ht="15" customHeight="1" x14ac:dyDescent="0.3">
      <c r="AG1413" s="2"/>
    </row>
    <row r="1414" spans="33:33" ht="15" customHeight="1" x14ac:dyDescent="0.3">
      <c r="AG1414" s="2"/>
    </row>
    <row r="1415" spans="33:33" ht="15" customHeight="1" x14ac:dyDescent="0.3">
      <c r="AG1415" s="2"/>
    </row>
    <row r="1416" spans="33:33" ht="15" customHeight="1" x14ac:dyDescent="0.3">
      <c r="AG1416" s="2"/>
    </row>
    <row r="1417" spans="33:33" ht="15" customHeight="1" x14ac:dyDescent="0.3">
      <c r="AG1417" s="2"/>
    </row>
    <row r="1418" spans="33:33" ht="15" customHeight="1" x14ac:dyDescent="0.3">
      <c r="AG1418" s="2"/>
    </row>
    <row r="1419" spans="33:33" ht="15" customHeight="1" x14ac:dyDescent="0.3">
      <c r="AG1419" s="2"/>
    </row>
    <row r="1420" spans="33:33" ht="15" customHeight="1" x14ac:dyDescent="0.3">
      <c r="AG1420" s="2"/>
    </row>
    <row r="1421" spans="33:33" ht="15" customHeight="1" x14ac:dyDescent="0.3">
      <c r="AG1421" s="2"/>
    </row>
    <row r="1422" spans="33:33" ht="15" customHeight="1" x14ac:dyDescent="0.3">
      <c r="AG1422" s="2"/>
    </row>
    <row r="1423" spans="33:33" ht="15" customHeight="1" x14ac:dyDescent="0.3">
      <c r="AG1423" s="2"/>
    </row>
    <row r="1424" spans="33:33" ht="15" customHeight="1" x14ac:dyDescent="0.3">
      <c r="AG1424" s="2"/>
    </row>
    <row r="1425" spans="33:33" ht="15" customHeight="1" x14ac:dyDescent="0.3">
      <c r="AG1425" s="2"/>
    </row>
    <row r="1426" spans="33:33" ht="15" customHeight="1" x14ac:dyDescent="0.3">
      <c r="AG1426" s="2"/>
    </row>
    <row r="1427" spans="33:33" ht="15" customHeight="1" x14ac:dyDescent="0.3">
      <c r="AG1427" s="2"/>
    </row>
    <row r="1428" spans="33:33" ht="15" customHeight="1" x14ac:dyDescent="0.3">
      <c r="AG1428" s="2"/>
    </row>
    <row r="1429" spans="33:33" ht="15" customHeight="1" x14ac:dyDescent="0.3">
      <c r="AG1429" s="2"/>
    </row>
    <row r="1430" spans="33:33" ht="15" customHeight="1" x14ac:dyDescent="0.3">
      <c r="AG1430" s="2"/>
    </row>
    <row r="1431" spans="33:33" ht="15" customHeight="1" x14ac:dyDescent="0.3">
      <c r="AG1431" s="2"/>
    </row>
    <row r="1432" spans="33:33" ht="15" customHeight="1" x14ac:dyDescent="0.3">
      <c r="AG1432" s="2"/>
    </row>
    <row r="1433" spans="33:33" ht="15" customHeight="1" x14ac:dyDescent="0.3">
      <c r="AG1433" s="2"/>
    </row>
    <row r="1434" spans="33:33" ht="15" customHeight="1" x14ac:dyDescent="0.3">
      <c r="AG1434" s="2"/>
    </row>
    <row r="1435" spans="33:33" ht="15" customHeight="1" x14ac:dyDescent="0.3">
      <c r="AG1435" s="2"/>
    </row>
    <row r="1436" spans="33:33" ht="15" customHeight="1" x14ac:dyDescent="0.3">
      <c r="AG1436" s="2"/>
    </row>
    <row r="1437" spans="33:33" ht="15" customHeight="1" x14ac:dyDescent="0.3">
      <c r="AG1437" s="2"/>
    </row>
    <row r="1438" spans="33:33" ht="15" customHeight="1" x14ac:dyDescent="0.3">
      <c r="AG1438" s="2"/>
    </row>
    <row r="1439" spans="33:33" ht="15" customHeight="1" x14ac:dyDescent="0.3">
      <c r="AG1439" s="2"/>
    </row>
    <row r="1440" spans="33:33" ht="15" customHeight="1" x14ac:dyDescent="0.3">
      <c r="AG1440" s="2"/>
    </row>
    <row r="1441" spans="33:33" ht="15" customHeight="1" x14ac:dyDescent="0.3">
      <c r="AG1441" s="2"/>
    </row>
    <row r="1442" spans="33:33" ht="15" customHeight="1" x14ac:dyDescent="0.3">
      <c r="AG1442" s="2"/>
    </row>
    <row r="1443" spans="33:33" ht="15" customHeight="1" x14ac:dyDescent="0.3">
      <c r="AG1443" s="2"/>
    </row>
    <row r="1444" spans="33:33" ht="15" customHeight="1" x14ac:dyDescent="0.3">
      <c r="AG1444" s="2"/>
    </row>
    <row r="1445" spans="33:33" ht="15" customHeight="1" x14ac:dyDescent="0.3">
      <c r="AG1445" s="2"/>
    </row>
    <row r="1446" spans="33:33" ht="15" customHeight="1" x14ac:dyDescent="0.3">
      <c r="AG1446" s="2"/>
    </row>
    <row r="1447" spans="33:33" ht="15" customHeight="1" x14ac:dyDescent="0.3">
      <c r="AG1447" s="2"/>
    </row>
    <row r="1448" spans="33:33" ht="15" customHeight="1" x14ac:dyDescent="0.3">
      <c r="AG1448" s="2"/>
    </row>
    <row r="1449" spans="33:33" ht="15" customHeight="1" x14ac:dyDescent="0.3">
      <c r="AG1449" s="2"/>
    </row>
    <row r="1450" spans="33:33" ht="15" customHeight="1" x14ac:dyDescent="0.3">
      <c r="AG1450" s="2"/>
    </row>
    <row r="1451" spans="33:33" ht="15" customHeight="1" x14ac:dyDescent="0.3">
      <c r="AG1451" s="2"/>
    </row>
    <row r="1452" spans="33:33" ht="15" customHeight="1" x14ac:dyDescent="0.3">
      <c r="AG1452" s="2"/>
    </row>
    <row r="1453" spans="33:33" ht="15" customHeight="1" x14ac:dyDescent="0.3">
      <c r="AG1453" s="2"/>
    </row>
    <row r="1454" spans="33:33" ht="15" customHeight="1" x14ac:dyDescent="0.3">
      <c r="AG1454" s="2"/>
    </row>
    <row r="1455" spans="33:33" ht="15" customHeight="1" x14ac:dyDescent="0.3">
      <c r="AG1455" s="2"/>
    </row>
    <row r="1456" spans="33:33" ht="15" customHeight="1" x14ac:dyDescent="0.3">
      <c r="AG1456" s="2"/>
    </row>
    <row r="1457" spans="33:33" ht="15" customHeight="1" x14ac:dyDescent="0.3">
      <c r="AG1457" s="2"/>
    </row>
    <row r="1458" spans="33:33" ht="15" customHeight="1" x14ac:dyDescent="0.3">
      <c r="AG1458" s="2"/>
    </row>
    <row r="1459" spans="33:33" ht="15" customHeight="1" x14ac:dyDescent="0.3">
      <c r="AG1459" s="2"/>
    </row>
    <row r="1460" spans="33:33" ht="15" customHeight="1" x14ac:dyDescent="0.3">
      <c r="AG1460" s="2"/>
    </row>
    <row r="1461" spans="33:33" ht="15" customHeight="1" x14ac:dyDescent="0.3">
      <c r="AG1461" s="2"/>
    </row>
    <row r="1462" spans="33:33" ht="15" customHeight="1" x14ac:dyDescent="0.3">
      <c r="AG1462" s="2"/>
    </row>
    <row r="1463" spans="33:33" ht="15" customHeight="1" x14ac:dyDescent="0.3">
      <c r="AG1463" s="2"/>
    </row>
    <row r="1464" spans="33:33" ht="15" customHeight="1" x14ac:dyDescent="0.3">
      <c r="AG1464" s="2"/>
    </row>
    <row r="1465" spans="33:33" ht="15" customHeight="1" x14ac:dyDescent="0.3">
      <c r="AG1465" s="2"/>
    </row>
    <row r="1466" spans="33:33" ht="15" customHeight="1" x14ac:dyDescent="0.3">
      <c r="AG1466" s="2"/>
    </row>
    <row r="1467" spans="33:33" ht="15" customHeight="1" x14ac:dyDescent="0.3">
      <c r="AG1467" s="2"/>
    </row>
    <row r="1468" spans="33:33" ht="15" customHeight="1" x14ac:dyDescent="0.3">
      <c r="AG1468" s="2"/>
    </row>
    <row r="1469" spans="33:33" ht="15" customHeight="1" x14ac:dyDescent="0.3">
      <c r="AG1469" s="2"/>
    </row>
    <row r="1470" spans="33:33" ht="15" customHeight="1" x14ac:dyDescent="0.3">
      <c r="AG1470" s="2"/>
    </row>
    <row r="1471" spans="33:33" ht="15" customHeight="1" x14ac:dyDescent="0.3">
      <c r="AG1471" s="2"/>
    </row>
    <row r="1472" spans="33:33" ht="15" customHeight="1" x14ac:dyDescent="0.3">
      <c r="AG1472" s="2"/>
    </row>
    <row r="1473" spans="33:33" ht="15" customHeight="1" x14ac:dyDescent="0.3">
      <c r="AG1473" s="2"/>
    </row>
    <row r="1474" spans="33:33" ht="15" customHeight="1" x14ac:dyDescent="0.3">
      <c r="AG1474" s="2"/>
    </row>
    <row r="1475" spans="33:33" ht="15" customHeight="1" x14ac:dyDescent="0.3">
      <c r="AG1475" s="2"/>
    </row>
    <row r="1476" spans="33:33" ht="15" customHeight="1" x14ac:dyDescent="0.3">
      <c r="AG1476" s="2"/>
    </row>
    <row r="1477" spans="33:33" ht="15" customHeight="1" x14ac:dyDescent="0.3">
      <c r="AG1477" s="2"/>
    </row>
    <row r="1478" spans="33:33" ht="15" customHeight="1" x14ac:dyDescent="0.3">
      <c r="AG1478" s="2"/>
    </row>
    <row r="1479" spans="33:33" ht="15" customHeight="1" x14ac:dyDescent="0.3">
      <c r="AG1479" s="2"/>
    </row>
    <row r="1480" spans="33:33" ht="15" customHeight="1" x14ac:dyDescent="0.3">
      <c r="AG1480" s="2"/>
    </row>
    <row r="1481" spans="33:33" ht="15" customHeight="1" x14ac:dyDescent="0.3">
      <c r="AG1481" s="2"/>
    </row>
    <row r="1482" spans="33:33" ht="15" customHeight="1" x14ac:dyDescent="0.3">
      <c r="AG1482" s="2"/>
    </row>
    <row r="1483" spans="33:33" ht="15" customHeight="1" x14ac:dyDescent="0.3">
      <c r="AG1483" s="2"/>
    </row>
    <row r="1484" spans="33:33" ht="15" customHeight="1" x14ac:dyDescent="0.3">
      <c r="AG1484" s="2"/>
    </row>
    <row r="1485" spans="33:33" ht="15" customHeight="1" x14ac:dyDescent="0.3">
      <c r="AG1485" s="2"/>
    </row>
    <row r="1486" spans="33:33" ht="15" customHeight="1" x14ac:dyDescent="0.3">
      <c r="AG1486" s="2"/>
    </row>
    <row r="1487" spans="33:33" ht="15" customHeight="1" x14ac:dyDescent="0.3">
      <c r="AG1487" s="2"/>
    </row>
    <row r="1488" spans="33:33" ht="15" customHeight="1" x14ac:dyDescent="0.3">
      <c r="AG1488" s="2"/>
    </row>
    <row r="1489" spans="33:33" ht="15" customHeight="1" x14ac:dyDescent="0.3">
      <c r="AG1489" s="2"/>
    </row>
    <row r="1490" spans="33:33" ht="15" customHeight="1" x14ac:dyDescent="0.3">
      <c r="AG1490" s="2"/>
    </row>
    <row r="1491" spans="33:33" ht="15" customHeight="1" x14ac:dyDescent="0.3">
      <c r="AG1491" s="2"/>
    </row>
    <row r="1492" spans="33:33" ht="15" customHeight="1" x14ac:dyDescent="0.3">
      <c r="AG1492" s="2"/>
    </row>
    <row r="1493" spans="33:33" ht="15" customHeight="1" x14ac:dyDescent="0.3">
      <c r="AG1493" s="2"/>
    </row>
    <row r="1494" spans="33:33" ht="15" customHeight="1" x14ac:dyDescent="0.3">
      <c r="AG1494" s="2"/>
    </row>
    <row r="1495" spans="33:33" ht="15" customHeight="1" x14ac:dyDescent="0.3">
      <c r="AG1495" s="2"/>
    </row>
    <row r="1496" spans="33:33" ht="15" customHeight="1" x14ac:dyDescent="0.3">
      <c r="AG1496" s="2"/>
    </row>
    <row r="1497" spans="33:33" ht="15" customHeight="1" x14ac:dyDescent="0.3">
      <c r="AG1497" s="2"/>
    </row>
    <row r="1498" spans="33:33" ht="15" customHeight="1" x14ac:dyDescent="0.3">
      <c r="AG1498" s="2"/>
    </row>
    <row r="1499" spans="33:33" ht="15" customHeight="1" x14ac:dyDescent="0.3">
      <c r="AG1499" s="2"/>
    </row>
    <row r="1500" spans="33:33" ht="15" customHeight="1" x14ac:dyDescent="0.3">
      <c r="AG1500" s="2"/>
    </row>
    <row r="1501" spans="33:33" ht="15" customHeight="1" x14ac:dyDescent="0.3">
      <c r="AG1501" s="2"/>
    </row>
    <row r="1502" spans="33:33" ht="15" customHeight="1" x14ac:dyDescent="0.3">
      <c r="AG1502" s="2"/>
    </row>
    <row r="1503" spans="33:33" ht="15" customHeight="1" x14ac:dyDescent="0.3">
      <c r="AG1503" s="2"/>
    </row>
    <row r="1504" spans="33:33" ht="15" customHeight="1" x14ac:dyDescent="0.3">
      <c r="AG1504" s="2"/>
    </row>
    <row r="1505" spans="33:33" ht="15" customHeight="1" x14ac:dyDescent="0.3">
      <c r="AG1505" s="2"/>
    </row>
    <row r="1506" spans="33:33" ht="15" customHeight="1" x14ac:dyDescent="0.3">
      <c r="AG1506" s="2"/>
    </row>
    <row r="1507" spans="33:33" ht="15" customHeight="1" x14ac:dyDescent="0.3">
      <c r="AG1507" s="2"/>
    </row>
    <row r="1508" spans="33:33" ht="15" customHeight="1" x14ac:dyDescent="0.3">
      <c r="AG1508" s="2"/>
    </row>
    <row r="1509" spans="33:33" ht="15" customHeight="1" x14ac:dyDescent="0.3">
      <c r="AG1509" s="2"/>
    </row>
    <row r="1510" spans="33:33" ht="15" customHeight="1" x14ac:dyDescent="0.3">
      <c r="AG1510" s="2"/>
    </row>
    <row r="1511" spans="33:33" ht="15" customHeight="1" x14ac:dyDescent="0.3">
      <c r="AG1511" s="2"/>
    </row>
    <row r="1512" spans="33:33" ht="15" customHeight="1" x14ac:dyDescent="0.3">
      <c r="AG1512" s="2"/>
    </row>
    <row r="1513" spans="33:33" ht="15" customHeight="1" x14ac:dyDescent="0.3">
      <c r="AG1513" s="2"/>
    </row>
    <row r="1514" spans="33:33" ht="15" customHeight="1" x14ac:dyDescent="0.3">
      <c r="AG1514" s="2"/>
    </row>
    <row r="1515" spans="33:33" ht="15" customHeight="1" x14ac:dyDescent="0.3">
      <c r="AG1515" s="2"/>
    </row>
    <row r="1516" spans="33:33" ht="15" customHeight="1" x14ac:dyDescent="0.3">
      <c r="AG1516" s="2"/>
    </row>
    <row r="1517" spans="33:33" ht="15" customHeight="1" x14ac:dyDescent="0.3">
      <c r="AG1517" s="2"/>
    </row>
    <row r="1518" spans="33:33" ht="15" customHeight="1" x14ac:dyDescent="0.3">
      <c r="AG1518" s="2"/>
    </row>
    <row r="1519" spans="33:33" ht="15" customHeight="1" x14ac:dyDescent="0.3">
      <c r="AG1519" s="2"/>
    </row>
    <row r="1520" spans="33:33" ht="15" customHeight="1" x14ac:dyDescent="0.3">
      <c r="AG1520" s="2"/>
    </row>
    <row r="1521" spans="33:33" ht="15" customHeight="1" x14ac:dyDescent="0.3">
      <c r="AG1521" s="2"/>
    </row>
    <row r="1522" spans="33:33" ht="15" customHeight="1" x14ac:dyDescent="0.3">
      <c r="AG1522" s="2"/>
    </row>
    <row r="1523" spans="33:33" ht="15" customHeight="1" x14ac:dyDescent="0.3">
      <c r="AG1523" s="2"/>
    </row>
    <row r="1524" spans="33:33" ht="15" customHeight="1" x14ac:dyDescent="0.3">
      <c r="AG1524" s="2"/>
    </row>
    <row r="1525" spans="33:33" ht="15" customHeight="1" x14ac:dyDescent="0.3">
      <c r="AG1525" s="2"/>
    </row>
    <row r="1526" spans="33:33" ht="15" customHeight="1" x14ac:dyDescent="0.3">
      <c r="AG1526" s="2"/>
    </row>
    <row r="1527" spans="33:33" ht="15" customHeight="1" x14ac:dyDescent="0.3">
      <c r="AG1527" s="2"/>
    </row>
    <row r="1528" spans="33:33" ht="15" customHeight="1" x14ac:dyDescent="0.3">
      <c r="AG1528" s="2"/>
    </row>
    <row r="1529" spans="33:33" ht="15" customHeight="1" x14ac:dyDescent="0.3">
      <c r="AG1529" s="2"/>
    </row>
    <row r="1530" spans="33:33" ht="15" customHeight="1" x14ac:dyDescent="0.3">
      <c r="AG1530" s="2"/>
    </row>
    <row r="1531" spans="33:33" ht="15" customHeight="1" x14ac:dyDescent="0.3">
      <c r="AG1531" s="2"/>
    </row>
    <row r="1532" spans="33:33" ht="15" customHeight="1" x14ac:dyDescent="0.3">
      <c r="AG1532" s="2"/>
    </row>
    <row r="1533" spans="33:33" ht="15" customHeight="1" x14ac:dyDescent="0.3">
      <c r="AG1533" s="2"/>
    </row>
    <row r="1534" spans="33:33" ht="15" customHeight="1" x14ac:dyDescent="0.3">
      <c r="AG1534" s="2"/>
    </row>
    <row r="1535" spans="33:33" ht="15" customHeight="1" x14ac:dyDescent="0.3">
      <c r="AG1535" s="2"/>
    </row>
    <row r="1536" spans="33:33" ht="15" customHeight="1" x14ac:dyDescent="0.3">
      <c r="AG1536" s="2"/>
    </row>
    <row r="1537" spans="33:33" ht="15" customHeight="1" x14ac:dyDescent="0.3">
      <c r="AG1537" s="2"/>
    </row>
    <row r="1538" spans="33:33" ht="15" customHeight="1" x14ac:dyDescent="0.3">
      <c r="AG1538" s="2"/>
    </row>
    <row r="1539" spans="33:33" ht="15" customHeight="1" x14ac:dyDescent="0.3">
      <c r="AG1539" s="2"/>
    </row>
    <row r="1540" spans="33:33" ht="15" customHeight="1" x14ac:dyDescent="0.3">
      <c r="AG1540" s="2"/>
    </row>
    <row r="1541" spans="33:33" ht="15" customHeight="1" x14ac:dyDescent="0.3">
      <c r="AG1541" s="2"/>
    </row>
    <row r="1542" spans="33:33" ht="15" customHeight="1" x14ac:dyDescent="0.3">
      <c r="AG1542" s="2"/>
    </row>
    <row r="1543" spans="33:33" ht="15" customHeight="1" x14ac:dyDescent="0.3">
      <c r="AG1543" s="2"/>
    </row>
    <row r="1544" spans="33:33" ht="15" customHeight="1" x14ac:dyDescent="0.3">
      <c r="AG1544" s="2"/>
    </row>
    <row r="1545" spans="33:33" ht="15" customHeight="1" x14ac:dyDescent="0.3">
      <c r="AG1545" s="2"/>
    </row>
    <row r="1546" spans="33:33" ht="15" customHeight="1" x14ac:dyDescent="0.3">
      <c r="AG1546" s="2"/>
    </row>
    <row r="1547" spans="33:33" ht="15" customHeight="1" x14ac:dyDescent="0.3">
      <c r="AG1547" s="2"/>
    </row>
    <row r="1548" spans="33:33" ht="15" customHeight="1" x14ac:dyDescent="0.3">
      <c r="AG1548" s="2"/>
    </row>
    <row r="1549" spans="33:33" ht="15" customHeight="1" x14ac:dyDescent="0.3">
      <c r="AG1549" s="2"/>
    </row>
    <row r="1550" spans="33:33" ht="15" customHeight="1" x14ac:dyDescent="0.3">
      <c r="AG1550" s="2"/>
    </row>
    <row r="1551" spans="33:33" ht="15" customHeight="1" x14ac:dyDescent="0.3">
      <c r="AG1551" s="2"/>
    </row>
    <row r="1552" spans="33:33" ht="15" customHeight="1" x14ac:dyDescent="0.3">
      <c r="AG1552" s="2"/>
    </row>
    <row r="1553" spans="33:33" ht="15" customHeight="1" x14ac:dyDescent="0.3">
      <c r="AG1553" s="2"/>
    </row>
    <row r="1554" spans="33:33" ht="15" customHeight="1" x14ac:dyDescent="0.3">
      <c r="AG1554" s="2"/>
    </row>
    <row r="1555" spans="33:33" ht="15" customHeight="1" x14ac:dyDescent="0.3">
      <c r="AG1555" s="2"/>
    </row>
    <row r="1556" spans="33:33" ht="15" customHeight="1" x14ac:dyDescent="0.3">
      <c r="AG1556" s="2"/>
    </row>
    <row r="1557" spans="33:33" ht="15" customHeight="1" x14ac:dyDescent="0.3">
      <c r="AG1557" s="2"/>
    </row>
    <row r="1558" spans="33:33" ht="15" customHeight="1" x14ac:dyDescent="0.3">
      <c r="AG1558" s="2"/>
    </row>
    <row r="1559" spans="33:33" ht="15" customHeight="1" x14ac:dyDescent="0.3">
      <c r="AG1559" s="2"/>
    </row>
    <row r="1560" spans="33:33" ht="15" customHeight="1" x14ac:dyDescent="0.3">
      <c r="AG1560" s="2"/>
    </row>
    <row r="1561" spans="33:33" ht="15" customHeight="1" x14ac:dyDescent="0.3">
      <c r="AG1561" s="2"/>
    </row>
    <row r="1562" spans="33:33" ht="15" customHeight="1" x14ac:dyDescent="0.3">
      <c r="AG1562" s="2"/>
    </row>
    <row r="1563" spans="33:33" ht="15" customHeight="1" x14ac:dyDescent="0.3">
      <c r="AG1563" s="2"/>
    </row>
    <row r="1564" spans="33:33" ht="15" customHeight="1" x14ac:dyDescent="0.3">
      <c r="AG1564" s="2"/>
    </row>
    <row r="1565" spans="33:33" ht="15" customHeight="1" x14ac:dyDescent="0.3">
      <c r="AG1565" s="2"/>
    </row>
    <row r="1566" spans="33:33" ht="15" customHeight="1" x14ac:dyDescent="0.3">
      <c r="AG1566" s="2"/>
    </row>
    <row r="1567" spans="33:33" ht="15" customHeight="1" x14ac:dyDescent="0.3">
      <c r="AG1567" s="2"/>
    </row>
    <row r="1568" spans="33:33" ht="15" customHeight="1" x14ac:dyDescent="0.3">
      <c r="AG1568" s="2"/>
    </row>
    <row r="1569" spans="33:33" ht="15" customHeight="1" x14ac:dyDescent="0.3">
      <c r="AG1569" s="2"/>
    </row>
    <row r="1570" spans="33:33" ht="15" customHeight="1" x14ac:dyDescent="0.3">
      <c r="AG1570" s="2"/>
    </row>
    <row r="1571" spans="33:33" ht="15" customHeight="1" x14ac:dyDescent="0.3">
      <c r="AG1571" s="2"/>
    </row>
    <row r="1572" spans="33:33" ht="15" customHeight="1" x14ac:dyDescent="0.3">
      <c r="AG1572" s="2"/>
    </row>
    <row r="1573" spans="33:33" ht="15" customHeight="1" x14ac:dyDescent="0.3">
      <c r="AG1573" s="2"/>
    </row>
    <row r="1574" spans="33:33" ht="15" customHeight="1" x14ac:dyDescent="0.3">
      <c r="AG1574" s="2"/>
    </row>
    <row r="1575" spans="33:33" ht="15" customHeight="1" x14ac:dyDescent="0.3">
      <c r="AG1575" s="2"/>
    </row>
    <row r="1576" spans="33:33" ht="15" customHeight="1" x14ac:dyDescent="0.3">
      <c r="AG1576" s="2"/>
    </row>
    <row r="1577" spans="33:33" ht="15" customHeight="1" x14ac:dyDescent="0.3">
      <c r="AG1577" s="2"/>
    </row>
    <row r="1578" spans="33:33" ht="15" customHeight="1" x14ac:dyDescent="0.3">
      <c r="AG1578" s="2"/>
    </row>
    <row r="1579" spans="33:33" ht="15" customHeight="1" x14ac:dyDescent="0.3">
      <c r="AG1579" s="2"/>
    </row>
    <row r="1580" spans="33:33" ht="15" customHeight="1" x14ac:dyDescent="0.3">
      <c r="AG1580" s="2"/>
    </row>
    <row r="1581" spans="33:33" ht="15" customHeight="1" x14ac:dyDescent="0.3">
      <c r="AG1581" s="2"/>
    </row>
    <row r="1582" spans="33:33" ht="15" customHeight="1" x14ac:dyDescent="0.3">
      <c r="AG1582" s="2"/>
    </row>
    <row r="1583" spans="33:33" ht="15" customHeight="1" x14ac:dyDescent="0.3">
      <c r="AG1583" s="2"/>
    </row>
    <row r="1584" spans="33:33" ht="15" customHeight="1" x14ac:dyDescent="0.3">
      <c r="AG1584" s="2"/>
    </row>
    <row r="1585" spans="33:33" ht="15" customHeight="1" x14ac:dyDescent="0.3">
      <c r="AG1585" s="2"/>
    </row>
    <row r="1586" spans="33:33" ht="15" customHeight="1" x14ac:dyDescent="0.3">
      <c r="AG1586" s="2"/>
    </row>
    <row r="1587" spans="33:33" ht="15" customHeight="1" x14ac:dyDescent="0.3">
      <c r="AG1587" s="2"/>
    </row>
    <row r="1588" spans="33:33" ht="15" customHeight="1" x14ac:dyDescent="0.3">
      <c r="AG1588" s="2"/>
    </row>
    <row r="1589" spans="33:33" ht="15" customHeight="1" x14ac:dyDescent="0.3">
      <c r="AG1589" s="2"/>
    </row>
    <row r="1590" spans="33:33" ht="15" customHeight="1" x14ac:dyDescent="0.3">
      <c r="AG1590" s="2"/>
    </row>
    <row r="1591" spans="33:33" ht="15" customHeight="1" x14ac:dyDescent="0.3">
      <c r="AG1591" s="2"/>
    </row>
    <row r="1592" spans="33:33" ht="15" customHeight="1" x14ac:dyDescent="0.3">
      <c r="AG1592" s="2"/>
    </row>
    <row r="1593" spans="33:33" ht="15" customHeight="1" x14ac:dyDescent="0.3">
      <c r="AG1593" s="2"/>
    </row>
    <row r="1594" spans="33:33" ht="15" customHeight="1" x14ac:dyDescent="0.3">
      <c r="AG1594" s="2"/>
    </row>
    <row r="1595" spans="33:33" ht="15" customHeight="1" x14ac:dyDescent="0.3">
      <c r="AG1595" s="2"/>
    </row>
    <row r="1596" spans="33:33" ht="15" customHeight="1" x14ac:dyDescent="0.3">
      <c r="AG1596" s="2"/>
    </row>
    <row r="1597" spans="33:33" ht="15" customHeight="1" x14ac:dyDescent="0.3">
      <c r="AG1597" s="2"/>
    </row>
    <row r="1598" spans="33:33" ht="15" customHeight="1" x14ac:dyDescent="0.3">
      <c r="AG1598" s="2"/>
    </row>
    <row r="1599" spans="33:33" ht="15" customHeight="1" x14ac:dyDescent="0.3">
      <c r="AG1599" s="2"/>
    </row>
    <row r="1600" spans="33:33" ht="15" customHeight="1" x14ac:dyDescent="0.3">
      <c r="AG1600" s="2"/>
    </row>
    <row r="1601" spans="33:33" ht="15" customHeight="1" x14ac:dyDescent="0.3">
      <c r="AG1601" s="2"/>
    </row>
    <row r="1602" spans="33:33" ht="15" customHeight="1" x14ac:dyDescent="0.3">
      <c r="AG1602" s="2"/>
    </row>
    <row r="1603" spans="33:33" ht="15" customHeight="1" x14ac:dyDescent="0.3">
      <c r="AG1603" s="2"/>
    </row>
    <row r="1604" spans="33:33" ht="15" customHeight="1" x14ac:dyDescent="0.3">
      <c r="AG1604" s="2"/>
    </row>
    <row r="1605" spans="33:33" ht="15" customHeight="1" x14ac:dyDescent="0.3">
      <c r="AG1605" s="2"/>
    </row>
    <row r="1606" spans="33:33" ht="15" customHeight="1" x14ac:dyDescent="0.3">
      <c r="AG1606" s="2"/>
    </row>
    <row r="1607" spans="33:33" ht="15" customHeight="1" x14ac:dyDescent="0.3">
      <c r="AG1607" s="2"/>
    </row>
    <row r="1608" spans="33:33" ht="15" customHeight="1" x14ac:dyDescent="0.3">
      <c r="AG1608" s="2"/>
    </row>
    <row r="1609" spans="33:33" ht="15" customHeight="1" x14ac:dyDescent="0.3">
      <c r="AG1609" s="2"/>
    </row>
    <row r="1610" spans="33:33" ht="15" customHeight="1" x14ac:dyDescent="0.3">
      <c r="AG1610" s="2"/>
    </row>
    <row r="1611" spans="33:33" ht="15" customHeight="1" x14ac:dyDescent="0.3">
      <c r="AG1611" s="2"/>
    </row>
    <row r="1612" spans="33:33" ht="15" customHeight="1" x14ac:dyDescent="0.3">
      <c r="AG1612" s="2"/>
    </row>
    <row r="1613" spans="33:33" ht="15" customHeight="1" x14ac:dyDescent="0.3">
      <c r="AG1613" s="2"/>
    </row>
    <row r="1614" spans="33:33" ht="15" customHeight="1" x14ac:dyDescent="0.3">
      <c r="AG1614" s="2"/>
    </row>
    <row r="1615" spans="33:33" ht="15" customHeight="1" x14ac:dyDescent="0.3">
      <c r="AG1615" s="2"/>
    </row>
    <row r="1616" spans="33:33" ht="15" customHeight="1" x14ac:dyDescent="0.3">
      <c r="AG1616" s="2"/>
    </row>
    <row r="1617" spans="33:33" ht="15" customHeight="1" x14ac:dyDescent="0.3">
      <c r="AG1617" s="2"/>
    </row>
    <row r="1618" spans="33:33" ht="15" customHeight="1" x14ac:dyDescent="0.3">
      <c r="AG1618" s="2"/>
    </row>
    <row r="1619" spans="33:33" ht="15" customHeight="1" x14ac:dyDescent="0.3">
      <c r="AG1619" s="2"/>
    </row>
    <row r="1620" spans="33:33" ht="15" customHeight="1" x14ac:dyDescent="0.3">
      <c r="AG1620" s="2"/>
    </row>
    <row r="1621" spans="33:33" ht="15" customHeight="1" x14ac:dyDescent="0.3">
      <c r="AG1621" s="2"/>
    </row>
    <row r="1622" spans="33:33" ht="15" customHeight="1" x14ac:dyDescent="0.3">
      <c r="AG1622" s="2"/>
    </row>
    <row r="1623" spans="33:33" ht="15" customHeight="1" x14ac:dyDescent="0.3">
      <c r="AG1623" s="2"/>
    </row>
    <row r="1624" spans="33:33" ht="15" customHeight="1" x14ac:dyDescent="0.3">
      <c r="AG1624" s="2"/>
    </row>
    <row r="1625" spans="33:33" ht="15" customHeight="1" x14ac:dyDescent="0.3">
      <c r="AG1625" s="2"/>
    </row>
    <row r="1626" spans="33:33" ht="15" customHeight="1" x14ac:dyDescent="0.3">
      <c r="AG1626" s="2"/>
    </row>
    <row r="1627" spans="33:33" ht="15" customHeight="1" x14ac:dyDescent="0.3">
      <c r="AG1627" s="2"/>
    </row>
    <row r="1628" spans="33:33" ht="15" customHeight="1" x14ac:dyDescent="0.3">
      <c r="AG1628" s="2"/>
    </row>
    <row r="1629" spans="33:33" ht="15" customHeight="1" x14ac:dyDescent="0.3">
      <c r="AG1629" s="2"/>
    </row>
    <row r="1630" spans="33:33" ht="15" customHeight="1" x14ac:dyDescent="0.3">
      <c r="AG1630" s="2"/>
    </row>
    <row r="1631" spans="33:33" ht="15" customHeight="1" x14ac:dyDescent="0.3">
      <c r="AG1631" s="2"/>
    </row>
    <row r="1632" spans="33:33" ht="15" customHeight="1" x14ac:dyDescent="0.3">
      <c r="AG1632" s="2"/>
    </row>
    <row r="1633" spans="33:33" ht="15" customHeight="1" x14ac:dyDescent="0.3">
      <c r="AG1633" s="2"/>
    </row>
    <row r="1634" spans="33:33" ht="15" customHeight="1" x14ac:dyDescent="0.3">
      <c r="AG1634" s="2"/>
    </row>
    <row r="1635" spans="33:33" ht="15" customHeight="1" x14ac:dyDescent="0.3">
      <c r="AG1635" s="2"/>
    </row>
    <row r="1636" spans="33:33" ht="15" customHeight="1" x14ac:dyDescent="0.3">
      <c r="AG1636" s="2"/>
    </row>
    <row r="1637" spans="33:33" ht="15" customHeight="1" x14ac:dyDescent="0.3">
      <c r="AG1637" s="2"/>
    </row>
    <row r="1638" spans="33:33" ht="15" customHeight="1" x14ac:dyDescent="0.3">
      <c r="AG1638" s="2"/>
    </row>
    <row r="1639" spans="33:33" ht="15" customHeight="1" x14ac:dyDescent="0.3">
      <c r="AG1639" s="2"/>
    </row>
    <row r="1640" spans="33:33" ht="15" customHeight="1" x14ac:dyDescent="0.3">
      <c r="AG1640" s="2"/>
    </row>
    <row r="1641" spans="33:33" ht="15" customHeight="1" x14ac:dyDescent="0.3">
      <c r="AG1641" s="2"/>
    </row>
    <row r="1642" spans="33:33" ht="15" customHeight="1" x14ac:dyDescent="0.3">
      <c r="AG1642" s="2"/>
    </row>
    <row r="1643" spans="33:33" ht="15" customHeight="1" x14ac:dyDescent="0.3">
      <c r="AG1643" s="2"/>
    </row>
    <row r="1644" spans="33:33" ht="15" customHeight="1" x14ac:dyDescent="0.3">
      <c r="AG1644" s="2"/>
    </row>
    <row r="1645" spans="33:33" ht="15" customHeight="1" x14ac:dyDescent="0.3">
      <c r="AG1645" s="2"/>
    </row>
    <row r="1646" spans="33:33" ht="15" customHeight="1" x14ac:dyDescent="0.3">
      <c r="AG1646" s="2"/>
    </row>
    <row r="1647" spans="33:33" ht="15" customHeight="1" x14ac:dyDescent="0.3">
      <c r="AG1647" s="2"/>
    </row>
    <row r="1648" spans="33:33" ht="15" customHeight="1" x14ac:dyDescent="0.3">
      <c r="AG1648" s="2"/>
    </row>
    <row r="1649" spans="33:33" ht="15" customHeight="1" x14ac:dyDescent="0.3">
      <c r="AG1649" s="2"/>
    </row>
    <row r="1650" spans="33:33" ht="15" customHeight="1" x14ac:dyDescent="0.3">
      <c r="AG1650" s="2"/>
    </row>
    <row r="1651" spans="33:33" ht="15" customHeight="1" x14ac:dyDescent="0.3">
      <c r="AG1651" s="2"/>
    </row>
    <row r="1652" spans="33:33" ht="15" customHeight="1" x14ac:dyDescent="0.3">
      <c r="AG1652" s="2"/>
    </row>
    <row r="1653" spans="33:33" ht="15" customHeight="1" x14ac:dyDescent="0.3">
      <c r="AG1653" s="2"/>
    </row>
    <row r="1654" spans="33:33" ht="15" customHeight="1" x14ac:dyDescent="0.3">
      <c r="AG1654" s="2"/>
    </row>
    <row r="1655" spans="33:33" ht="15" customHeight="1" x14ac:dyDescent="0.3">
      <c r="AG1655" s="2"/>
    </row>
    <row r="1656" spans="33:33" ht="15" customHeight="1" x14ac:dyDescent="0.3">
      <c r="AG1656" s="2"/>
    </row>
    <row r="1657" spans="33:33" ht="15" customHeight="1" x14ac:dyDescent="0.3">
      <c r="AG1657" s="2"/>
    </row>
    <row r="1658" spans="33:33" ht="15" customHeight="1" x14ac:dyDescent="0.3">
      <c r="AG1658" s="2"/>
    </row>
    <row r="1659" spans="33:33" ht="15" customHeight="1" x14ac:dyDescent="0.3">
      <c r="AG1659" s="2"/>
    </row>
    <row r="1660" spans="33:33" ht="15" customHeight="1" x14ac:dyDescent="0.3">
      <c r="AG1660" s="2"/>
    </row>
    <row r="1661" spans="33:33" ht="15" customHeight="1" x14ac:dyDescent="0.3">
      <c r="AG1661" s="2"/>
    </row>
    <row r="1662" spans="33:33" ht="15" customHeight="1" x14ac:dyDescent="0.3">
      <c r="AG1662" s="2"/>
    </row>
    <row r="1663" spans="33:33" ht="15" customHeight="1" x14ac:dyDescent="0.3">
      <c r="AG1663" s="2"/>
    </row>
    <row r="1664" spans="33:33" ht="15" customHeight="1" x14ac:dyDescent="0.3">
      <c r="AG1664" s="2"/>
    </row>
    <row r="1665" spans="33:33" ht="15" customHeight="1" x14ac:dyDescent="0.3">
      <c r="AG1665" s="2"/>
    </row>
    <row r="1666" spans="33:33" ht="15" customHeight="1" x14ac:dyDescent="0.3">
      <c r="AG1666" s="2"/>
    </row>
    <row r="1667" spans="33:33" ht="15" customHeight="1" x14ac:dyDescent="0.3">
      <c r="AG1667" s="2"/>
    </row>
    <row r="1668" spans="33:33" ht="15" customHeight="1" x14ac:dyDescent="0.3">
      <c r="AG1668" s="2"/>
    </row>
    <row r="1669" spans="33:33" ht="15" customHeight="1" x14ac:dyDescent="0.3">
      <c r="AG1669" s="2"/>
    </row>
    <row r="1670" spans="33:33" ht="15" customHeight="1" x14ac:dyDescent="0.3">
      <c r="AG1670" s="2"/>
    </row>
    <row r="1671" spans="33:33" ht="15" customHeight="1" x14ac:dyDescent="0.3">
      <c r="AG1671" s="2"/>
    </row>
    <row r="1672" spans="33:33" ht="15" customHeight="1" x14ac:dyDescent="0.3">
      <c r="AG1672" s="2"/>
    </row>
    <row r="1673" spans="33:33" ht="15" customHeight="1" x14ac:dyDescent="0.3">
      <c r="AG1673" s="2"/>
    </row>
    <row r="1674" spans="33:33" ht="15" customHeight="1" x14ac:dyDescent="0.3">
      <c r="AG1674" s="2"/>
    </row>
    <row r="1675" spans="33:33" ht="15" customHeight="1" x14ac:dyDescent="0.3">
      <c r="AG1675" s="2"/>
    </row>
    <row r="1676" spans="33:33" ht="15" customHeight="1" x14ac:dyDescent="0.3">
      <c r="AG1676" s="2"/>
    </row>
    <row r="1677" spans="33:33" ht="15" customHeight="1" x14ac:dyDescent="0.3">
      <c r="AG1677" s="2"/>
    </row>
    <row r="1678" spans="33:33" ht="15" customHeight="1" x14ac:dyDescent="0.3">
      <c r="AG1678" s="2"/>
    </row>
    <row r="1679" spans="33:33" ht="15" customHeight="1" x14ac:dyDescent="0.3">
      <c r="AG1679" s="2"/>
    </row>
    <row r="1680" spans="33:33" ht="15" customHeight="1" x14ac:dyDescent="0.3">
      <c r="AG1680" s="2"/>
    </row>
    <row r="1681" spans="33:33" ht="15" customHeight="1" x14ac:dyDescent="0.3">
      <c r="AG1681" s="2"/>
    </row>
    <row r="1682" spans="33:33" ht="15" customHeight="1" x14ac:dyDescent="0.3">
      <c r="AG1682" s="2"/>
    </row>
    <row r="1683" spans="33:33" ht="15" customHeight="1" x14ac:dyDescent="0.3">
      <c r="AG1683" s="2"/>
    </row>
    <row r="1684" spans="33:33" ht="15" customHeight="1" x14ac:dyDescent="0.3">
      <c r="AG1684" s="2"/>
    </row>
    <row r="1685" spans="33:33" ht="15" customHeight="1" x14ac:dyDescent="0.3">
      <c r="AG1685" s="2"/>
    </row>
    <row r="1686" spans="33:33" ht="15" customHeight="1" x14ac:dyDescent="0.3">
      <c r="AG1686" s="2"/>
    </row>
    <row r="1687" spans="33:33" ht="15" customHeight="1" x14ac:dyDescent="0.3">
      <c r="AG1687" s="2"/>
    </row>
    <row r="1688" spans="33:33" ht="15" customHeight="1" x14ac:dyDescent="0.3">
      <c r="AG1688" s="2"/>
    </row>
    <row r="1689" spans="33:33" ht="15" customHeight="1" x14ac:dyDescent="0.3">
      <c r="AG1689" s="2"/>
    </row>
    <row r="1690" spans="33:33" ht="15" customHeight="1" x14ac:dyDescent="0.3">
      <c r="AG1690" s="2"/>
    </row>
    <row r="1691" spans="33:33" ht="15" customHeight="1" x14ac:dyDescent="0.3">
      <c r="AG1691" s="2"/>
    </row>
    <row r="1692" spans="33:33" ht="15" customHeight="1" x14ac:dyDescent="0.3">
      <c r="AG1692" s="2"/>
    </row>
    <row r="1693" spans="33:33" ht="15" customHeight="1" x14ac:dyDescent="0.3">
      <c r="AG1693" s="2"/>
    </row>
    <row r="1694" spans="33:33" ht="15" customHeight="1" x14ac:dyDescent="0.3">
      <c r="AG1694" s="2"/>
    </row>
    <row r="1695" spans="33:33" ht="15" customHeight="1" x14ac:dyDescent="0.3">
      <c r="AG1695" s="2"/>
    </row>
    <row r="1696" spans="33:33" ht="15" customHeight="1" x14ac:dyDescent="0.3">
      <c r="AG1696" s="2"/>
    </row>
    <row r="1697" spans="33:33" ht="15" customHeight="1" x14ac:dyDescent="0.3">
      <c r="AG1697" s="2"/>
    </row>
    <row r="1698" spans="33:33" ht="15" customHeight="1" x14ac:dyDescent="0.3">
      <c r="AG1698" s="2"/>
    </row>
    <row r="1699" spans="33:33" ht="15" customHeight="1" x14ac:dyDescent="0.3">
      <c r="AG1699" s="2"/>
    </row>
    <row r="1700" spans="33:33" ht="15" customHeight="1" x14ac:dyDescent="0.3">
      <c r="AG1700" s="2"/>
    </row>
    <row r="1701" spans="33:33" ht="15" customHeight="1" x14ac:dyDescent="0.3">
      <c r="AG1701" s="2"/>
    </row>
    <row r="1702" spans="33:33" ht="15" customHeight="1" x14ac:dyDescent="0.3">
      <c r="AG1702" s="2"/>
    </row>
    <row r="1703" spans="33:33" ht="15" customHeight="1" x14ac:dyDescent="0.3">
      <c r="AG1703" s="2"/>
    </row>
    <row r="1704" spans="33:33" ht="15" customHeight="1" x14ac:dyDescent="0.3">
      <c r="AG1704" s="2"/>
    </row>
    <row r="1705" spans="33:33" ht="15" customHeight="1" x14ac:dyDescent="0.3">
      <c r="AG1705" s="2"/>
    </row>
    <row r="1706" spans="33:33" ht="15" customHeight="1" x14ac:dyDescent="0.3">
      <c r="AG1706" s="2"/>
    </row>
    <row r="1707" spans="33:33" ht="15" customHeight="1" x14ac:dyDescent="0.3">
      <c r="AG1707" s="2"/>
    </row>
    <row r="1708" spans="33:33" ht="15" customHeight="1" x14ac:dyDescent="0.3">
      <c r="AG1708" s="2"/>
    </row>
    <row r="1709" spans="33:33" ht="15" customHeight="1" x14ac:dyDescent="0.3">
      <c r="AG1709" s="2"/>
    </row>
    <row r="1710" spans="33:33" ht="15" customHeight="1" x14ac:dyDescent="0.3">
      <c r="AG1710" s="2"/>
    </row>
    <row r="1711" spans="33:33" ht="15" customHeight="1" x14ac:dyDescent="0.3">
      <c r="AG1711" s="2"/>
    </row>
    <row r="1712" spans="33:33" ht="15" customHeight="1" x14ac:dyDescent="0.3">
      <c r="AG1712" s="2"/>
    </row>
    <row r="1713" spans="33:33" ht="15" customHeight="1" x14ac:dyDescent="0.3">
      <c r="AG1713" s="2"/>
    </row>
    <row r="1714" spans="33:33" ht="15" customHeight="1" x14ac:dyDescent="0.3">
      <c r="AG1714" s="2"/>
    </row>
    <row r="1715" spans="33:33" ht="15" customHeight="1" x14ac:dyDescent="0.3">
      <c r="AG1715" s="2"/>
    </row>
    <row r="1716" spans="33:33" ht="15" customHeight="1" x14ac:dyDescent="0.3">
      <c r="AG1716" s="2"/>
    </row>
    <row r="1717" spans="33:33" ht="15" customHeight="1" x14ac:dyDescent="0.3">
      <c r="AG1717" s="2"/>
    </row>
    <row r="1718" spans="33:33" ht="15" customHeight="1" x14ac:dyDescent="0.3">
      <c r="AG1718" s="2"/>
    </row>
    <row r="1719" spans="33:33" ht="15" customHeight="1" x14ac:dyDescent="0.3">
      <c r="AG1719" s="2"/>
    </row>
    <row r="1720" spans="33:33" ht="15" customHeight="1" x14ac:dyDescent="0.3">
      <c r="AG1720" s="2"/>
    </row>
    <row r="1721" spans="33:33" ht="15" customHeight="1" x14ac:dyDescent="0.3">
      <c r="AG1721" s="2"/>
    </row>
    <row r="1722" spans="33:33" ht="15" customHeight="1" x14ac:dyDescent="0.3">
      <c r="AG1722" s="2"/>
    </row>
    <row r="1723" spans="33:33" ht="15" customHeight="1" x14ac:dyDescent="0.3">
      <c r="AG1723" s="2"/>
    </row>
    <row r="1724" spans="33:33" ht="15" customHeight="1" x14ac:dyDescent="0.3">
      <c r="AG1724" s="2"/>
    </row>
    <row r="1725" spans="33:33" ht="15" customHeight="1" x14ac:dyDescent="0.3">
      <c r="AG1725" s="2"/>
    </row>
    <row r="1726" spans="33:33" ht="15" customHeight="1" x14ac:dyDescent="0.3">
      <c r="AG1726" s="2"/>
    </row>
    <row r="1727" spans="33:33" ht="15" customHeight="1" x14ac:dyDescent="0.3">
      <c r="AG1727" s="2"/>
    </row>
    <row r="1728" spans="33:33" ht="15" customHeight="1" x14ac:dyDescent="0.3">
      <c r="AG1728" s="2"/>
    </row>
    <row r="1729" spans="33:33" ht="15" customHeight="1" x14ac:dyDescent="0.3">
      <c r="AG1729" s="2"/>
    </row>
    <row r="1730" spans="33:33" ht="15" customHeight="1" x14ac:dyDescent="0.3">
      <c r="AG1730" s="2"/>
    </row>
    <row r="1731" spans="33:33" ht="15" customHeight="1" x14ac:dyDescent="0.3">
      <c r="AG1731" s="2"/>
    </row>
    <row r="1732" spans="33:33" ht="15" customHeight="1" x14ac:dyDescent="0.3">
      <c r="AG1732" s="2"/>
    </row>
    <row r="1733" spans="33:33" ht="15" customHeight="1" x14ac:dyDescent="0.3">
      <c r="AG1733" s="2"/>
    </row>
    <row r="1734" spans="33:33" ht="15" customHeight="1" x14ac:dyDescent="0.3">
      <c r="AG1734" s="2"/>
    </row>
    <row r="1735" spans="33:33" ht="15" customHeight="1" x14ac:dyDescent="0.3">
      <c r="AG1735" s="2"/>
    </row>
    <row r="1736" spans="33:33" ht="15" customHeight="1" x14ac:dyDescent="0.3">
      <c r="AG1736" s="2"/>
    </row>
    <row r="1737" spans="33:33" ht="15" customHeight="1" x14ac:dyDescent="0.3">
      <c r="AG1737" s="2"/>
    </row>
    <row r="1738" spans="33:33" ht="15" customHeight="1" x14ac:dyDescent="0.3">
      <c r="AG1738" s="2"/>
    </row>
    <row r="1739" spans="33:33" ht="15" customHeight="1" x14ac:dyDescent="0.3">
      <c r="AG1739" s="2"/>
    </row>
    <row r="1740" spans="33:33" ht="15" customHeight="1" x14ac:dyDescent="0.3">
      <c r="AG1740" s="2"/>
    </row>
    <row r="1741" spans="33:33" ht="15" customHeight="1" x14ac:dyDescent="0.3">
      <c r="AG1741" s="2"/>
    </row>
    <row r="1742" spans="33:33" ht="15" customHeight="1" x14ac:dyDescent="0.3">
      <c r="AG1742" s="2"/>
    </row>
    <row r="1743" spans="33:33" ht="15" customHeight="1" x14ac:dyDescent="0.3">
      <c r="AG1743" s="2"/>
    </row>
    <row r="1744" spans="33:33" ht="15" customHeight="1" x14ac:dyDescent="0.3">
      <c r="AG1744" s="2"/>
    </row>
    <row r="1745" spans="33:33" ht="15" customHeight="1" x14ac:dyDescent="0.3">
      <c r="AG1745" s="2"/>
    </row>
    <row r="1746" spans="33:33" ht="15" customHeight="1" x14ac:dyDescent="0.3">
      <c r="AG1746" s="2"/>
    </row>
    <row r="1747" spans="33:33" ht="15" customHeight="1" x14ac:dyDescent="0.3">
      <c r="AG1747" s="2"/>
    </row>
    <row r="1748" spans="33:33" ht="15" customHeight="1" x14ac:dyDescent="0.3">
      <c r="AG1748" s="2"/>
    </row>
    <row r="1749" spans="33:33" ht="15" customHeight="1" x14ac:dyDescent="0.3">
      <c r="AG1749" s="2"/>
    </row>
    <row r="1750" spans="33:33" ht="15" customHeight="1" x14ac:dyDescent="0.3">
      <c r="AG1750" s="2"/>
    </row>
    <row r="1751" spans="33:33" ht="15" customHeight="1" x14ac:dyDescent="0.3">
      <c r="AG1751" s="2"/>
    </row>
    <row r="1752" spans="33:33" ht="15" customHeight="1" x14ac:dyDescent="0.3">
      <c r="AG1752" s="2"/>
    </row>
    <row r="1753" spans="33:33" ht="15" customHeight="1" x14ac:dyDescent="0.3">
      <c r="AG1753" s="2"/>
    </row>
    <row r="1754" spans="33:33" ht="15" customHeight="1" x14ac:dyDescent="0.3">
      <c r="AG1754" s="2"/>
    </row>
    <row r="1755" spans="33:33" ht="15" customHeight="1" x14ac:dyDescent="0.3">
      <c r="AG1755" s="2"/>
    </row>
    <row r="1756" spans="33:33" ht="15" customHeight="1" x14ac:dyDescent="0.3">
      <c r="AG1756" s="2"/>
    </row>
    <row r="1757" spans="33:33" ht="15" customHeight="1" x14ac:dyDescent="0.3">
      <c r="AG1757" s="2"/>
    </row>
    <row r="1758" spans="33:33" ht="15" customHeight="1" x14ac:dyDescent="0.3">
      <c r="AG1758" s="2"/>
    </row>
    <row r="1759" spans="33:33" ht="15" customHeight="1" x14ac:dyDescent="0.3">
      <c r="AG1759" s="2"/>
    </row>
    <row r="1760" spans="33:33" ht="15" customHeight="1" x14ac:dyDescent="0.3">
      <c r="AG1760" s="2"/>
    </row>
    <row r="1761" spans="33:33" ht="15" customHeight="1" x14ac:dyDescent="0.3">
      <c r="AG1761" s="2"/>
    </row>
    <row r="1762" spans="33:33" ht="15" customHeight="1" x14ac:dyDescent="0.3">
      <c r="AG1762" s="2"/>
    </row>
    <row r="1763" spans="33:33" ht="15" customHeight="1" x14ac:dyDescent="0.3">
      <c r="AG1763" s="2"/>
    </row>
    <row r="1764" spans="33:33" ht="15" customHeight="1" x14ac:dyDescent="0.3">
      <c r="AG1764" s="2"/>
    </row>
    <row r="1765" spans="33:33" ht="15" customHeight="1" x14ac:dyDescent="0.3">
      <c r="AG1765" s="2"/>
    </row>
    <row r="1766" spans="33:33" ht="15" customHeight="1" x14ac:dyDescent="0.3">
      <c r="AG1766" s="2"/>
    </row>
    <row r="1767" spans="33:33" ht="15" customHeight="1" x14ac:dyDescent="0.3">
      <c r="AG1767" s="2"/>
    </row>
    <row r="1768" spans="33:33" ht="15" customHeight="1" x14ac:dyDescent="0.3">
      <c r="AG1768" s="2"/>
    </row>
    <row r="1769" spans="33:33" ht="15" customHeight="1" x14ac:dyDescent="0.3">
      <c r="AG1769" s="2"/>
    </row>
    <row r="1770" spans="33:33" ht="15" customHeight="1" x14ac:dyDescent="0.3">
      <c r="AG1770" s="2"/>
    </row>
    <row r="1771" spans="33:33" ht="15" customHeight="1" x14ac:dyDescent="0.3">
      <c r="AG1771" s="2"/>
    </row>
    <row r="1772" spans="33:33" ht="15" customHeight="1" x14ac:dyDescent="0.3">
      <c r="AG1772" s="2"/>
    </row>
    <row r="1773" spans="33:33" ht="15" customHeight="1" x14ac:dyDescent="0.3">
      <c r="AG1773" s="2"/>
    </row>
    <row r="1774" spans="33:33" ht="15" customHeight="1" x14ac:dyDescent="0.3">
      <c r="AG1774" s="2"/>
    </row>
    <row r="1775" spans="33:33" ht="15" customHeight="1" x14ac:dyDescent="0.3">
      <c r="AG1775" s="2"/>
    </row>
    <row r="1776" spans="33:33" ht="15" customHeight="1" x14ac:dyDescent="0.3">
      <c r="AG1776" s="2"/>
    </row>
    <row r="1777" spans="33:33" ht="15" customHeight="1" x14ac:dyDescent="0.3">
      <c r="AG1777" s="2"/>
    </row>
    <row r="1778" spans="33:33" ht="15" customHeight="1" x14ac:dyDescent="0.3">
      <c r="AG1778" s="2"/>
    </row>
    <row r="1779" spans="33:33" ht="15" customHeight="1" x14ac:dyDescent="0.3">
      <c r="AG1779" s="2"/>
    </row>
    <row r="1780" spans="33:33" ht="15" customHeight="1" x14ac:dyDescent="0.3">
      <c r="AG1780" s="2"/>
    </row>
    <row r="1781" spans="33:33" ht="15" customHeight="1" x14ac:dyDescent="0.3">
      <c r="AG1781" s="2"/>
    </row>
    <row r="1782" spans="33:33" ht="15" customHeight="1" x14ac:dyDescent="0.3">
      <c r="AG1782" s="2"/>
    </row>
    <row r="1783" spans="33:33" ht="15" customHeight="1" x14ac:dyDescent="0.3">
      <c r="AG1783" s="2"/>
    </row>
    <row r="1784" spans="33:33" ht="15" customHeight="1" x14ac:dyDescent="0.3">
      <c r="AG1784" s="2"/>
    </row>
    <row r="1785" spans="33:33" ht="15" customHeight="1" x14ac:dyDescent="0.3">
      <c r="AG1785" s="2"/>
    </row>
    <row r="1786" spans="33:33" ht="15" customHeight="1" x14ac:dyDescent="0.3">
      <c r="AG1786" s="2"/>
    </row>
    <row r="1787" spans="33:33" ht="15" customHeight="1" x14ac:dyDescent="0.3">
      <c r="AG1787" s="2"/>
    </row>
    <row r="1788" spans="33:33" ht="15" customHeight="1" x14ac:dyDescent="0.3">
      <c r="AG1788" s="2"/>
    </row>
    <row r="1789" spans="33:33" ht="15" customHeight="1" x14ac:dyDescent="0.3">
      <c r="AG1789" s="2"/>
    </row>
    <row r="1790" spans="33:33" ht="15" customHeight="1" x14ac:dyDescent="0.3">
      <c r="AG1790" s="2"/>
    </row>
    <row r="1791" spans="33:33" ht="15" customHeight="1" x14ac:dyDescent="0.3">
      <c r="AG1791" s="2"/>
    </row>
    <row r="1792" spans="33:33" ht="15" customHeight="1" x14ac:dyDescent="0.3">
      <c r="AG1792" s="2"/>
    </row>
    <row r="1793" spans="33:33" ht="15" customHeight="1" x14ac:dyDescent="0.3">
      <c r="AG1793" s="2"/>
    </row>
    <row r="1794" spans="33:33" ht="15" customHeight="1" x14ac:dyDescent="0.3">
      <c r="AG1794" s="2"/>
    </row>
    <row r="1795" spans="33:33" ht="15" customHeight="1" x14ac:dyDescent="0.3">
      <c r="AG1795" s="2"/>
    </row>
    <row r="1796" spans="33:33" ht="15" customHeight="1" x14ac:dyDescent="0.3">
      <c r="AG1796" s="2"/>
    </row>
    <row r="1797" spans="33:33" ht="15" customHeight="1" x14ac:dyDescent="0.3">
      <c r="AG1797" s="2"/>
    </row>
    <row r="1798" spans="33:33" ht="15" customHeight="1" x14ac:dyDescent="0.3">
      <c r="AG1798" s="2"/>
    </row>
    <row r="1799" spans="33:33" ht="15" customHeight="1" x14ac:dyDescent="0.3">
      <c r="AG1799" s="2"/>
    </row>
    <row r="1800" spans="33:33" ht="15" customHeight="1" x14ac:dyDescent="0.3">
      <c r="AG1800" s="2"/>
    </row>
    <row r="1801" spans="33:33" ht="15" customHeight="1" x14ac:dyDescent="0.3">
      <c r="AG1801" s="2"/>
    </row>
    <row r="1802" spans="33:33" ht="15" customHeight="1" x14ac:dyDescent="0.3">
      <c r="AG1802" s="2"/>
    </row>
    <row r="1803" spans="33:33" ht="15" customHeight="1" x14ac:dyDescent="0.3">
      <c r="AG1803" s="2"/>
    </row>
    <row r="1804" spans="33:33" ht="15" customHeight="1" x14ac:dyDescent="0.3">
      <c r="AG1804" s="2"/>
    </row>
    <row r="1805" spans="33:33" ht="15" customHeight="1" x14ac:dyDescent="0.3">
      <c r="AG1805" s="2"/>
    </row>
    <row r="1806" spans="33:33" ht="15" customHeight="1" x14ac:dyDescent="0.3">
      <c r="AG1806" s="2"/>
    </row>
    <row r="1807" spans="33:33" ht="15" customHeight="1" x14ac:dyDescent="0.3">
      <c r="AG1807" s="2"/>
    </row>
    <row r="1808" spans="33:33" ht="15" customHeight="1" x14ac:dyDescent="0.3">
      <c r="AG1808" s="2"/>
    </row>
    <row r="1809" spans="33:33" ht="15" customHeight="1" x14ac:dyDescent="0.3">
      <c r="AG1809" s="2"/>
    </row>
    <row r="1810" spans="33:33" ht="15" customHeight="1" x14ac:dyDescent="0.3">
      <c r="AG1810" s="2"/>
    </row>
    <row r="1811" spans="33:33" ht="15" customHeight="1" x14ac:dyDescent="0.3">
      <c r="AG1811" s="2"/>
    </row>
    <row r="1812" spans="33:33" ht="15" customHeight="1" x14ac:dyDescent="0.3">
      <c r="AG1812" s="2"/>
    </row>
    <row r="1813" spans="33:33" ht="15" customHeight="1" x14ac:dyDescent="0.3">
      <c r="AG1813" s="2"/>
    </row>
    <row r="1814" spans="33:33" ht="15" customHeight="1" x14ac:dyDescent="0.3">
      <c r="AG1814" s="2"/>
    </row>
    <row r="1815" spans="33:33" ht="15" customHeight="1" x14ac:dyDescent="0.3">
      <c r="AG1815" s="2"/>
    </row>
    <row r="1816" spans="33:33" ht="15" customHeight="1" x14ac:dyDescent="0.3">
      <c r="AG1816" s="2"/>
    </row>
    <row r="1817" spans="33:33" ht="15" customHeight="1" x14ac:dyDescent="0.3">
      <c r="AG1817" s="2"/>
    </row>
    <row r="1818" spans="33:33" ht="15" customHeight="1" x14ac:dyDescent="0.3">
      <c r="AG1818" s="2"/>
    </row>
    <row r="1819" spans="33:33" ht="15" customHeight="1" x14ac:dyDescent="0.3">
      <c r="AG1819" s="2"/>
    </row>
    <row r="1820" spans="33:33" ht="15" customHeight="1" x14ac:dyDescent="0.3">
      <c r="AG1820" s="2"/>
    </row>
    <row r="1821" spans="33:33" ht="15" customHeight="1" x14ac:dyDescent="0.3">
      <c r="AG1821" s="2"/>
    </row>
    <row r="1822" spans="33:33" ht="15" customHeight="1" x14ac:dyDescent="0.3">
      <c r="AG1822" s="2"/>
    </row>
    <row r="1823" spans="33:33" ht="15" customHeight="1" x14ac:dyDescent="0.3">
      <c r="AG1823" s="2"/>
    </row>
    <row r="1824" spans="33:33" ht="15" customHeight="1" x14ac:dyDescent="0.3">
      <c r="AG1824" s="2"/>
    </row>
    <row r="1825" spans="33:33" ht="15" customHeight="1" x14ac:dyDescent="0.3">
      <c r="AG1825" s="2"/>
    </row>
    <row r="1826" spans="33:33" ht="15" customHeight="1" x14ac:dyDescent="0.3">
      <c r="AG1826" s="2"/>
    </row>
    <row r="1827" spans="33:33" ht="15" customHeight="1" x14ac:dyDescent="0.3">
      <c r="AG1827" s="2"/>
    </row>
    <row r="1828" spans="33:33" ht="15" customHeight="1" x14ac:dyDescent="0.3">
      <c r="AG1828" s="2"/>
    </row>
    <row r="1829" spans="33:33" ht="15" customHeight="1" x14ac:dyDescent="0.3">
      <c r="AG1829" s="2"/>
    </row>
    <row r="1830" spans="33:33" ht="15" customHeight="1" x14ac:dyDescent="0.3">
      <c r="AG1830" s="2"/>
    </row>
    <row r="1831" spans="33:33" ht="15" customHeight="1" x14ac:dyDescent="0.3">
      <c r="AG1831" s="2"/>
    </row>
    <row r="1832" spans="33:33" ht="15" customHeight="1" x14ac:dyDescent="0.3">
      <c r="AG1832" s="2"/>
    </row>
    <row r="1833" spans="33:33" ht="15" customHeight="1" x14ac:dyDescent="0.3">
      <c r="AG1833" s="2"/>
    </row>
    <row r="1834" spans="33:33" ht="15" customHeight="1" x14ac:dyDescent="0.3">
      <c r="AG1834" s="2"/>
    </row>
    <row r="1835" spans="33:33" ht="15" customHeight="1" x14ac:dyDescent="0.3">
      <c r="AG1835" s="2"/>
    </row>
    <row r="1836" spans="33:33" ht="15" customHeight="1" x14ac:dyDescent="0.3">
      <c r="AG1836" s="2"/>
    </row>
    <row r="1837" spans="33:33" ht="15" customHeight="1" x14ac:dyDescent="0.3">
      <c r="AG1837" s="2"/>
    </row>
    <row r="1838" spans="33:33" ht="15" customHeight="1" x14ac:dyDescent="0.3">
      <c r="AG1838" s="2"/>
    </row>
    <row r="1839" spans="33:33" ht="15" customHeight="1" x14ac:dyDescent="0.3">
      <c r="AG1839" s="2"/>
    </row>
    <row r="1840" spans="33:33" ht="15" customHeight="1" x14ac:dyDescent="0.3">
      <c r="AG1840" s="2"/>
    </row>
    <row r="1841" spans="33:33" ht="15" customHeight="1" x14ac:dyDescent="0.3">
      <c r="AG1841" s="2"/>
    </row>
    <row r="1842" spans="33:33" ht="15" customHeight="1" x14ac:dyDescent="0.3">
      <c r="AG1842" s="2"/>
    </row>
    <row r="1843" spans="33:33" ht="15" customHeight="1" x14ac:dyDescent="0.3">
      <c r="AG1843" s="2"/>
    </row>
    <row r="1844" spans="33:33" ht="15" customHeight="1" x14ac:dyDescent="0.3">
      <c r="AG1844" s="2"/>
    </row>
    <row r="1845" spans="33:33" ht="15" customHeight="1" x14ac:dyDescent="0.3">
      <c r="AG1845" s="2"/>
    </row>
    <row r="1846" spans="33:33" ht="15" customHeight="1" x14ac:dyDescent="0.3">
      <c r="AG1846" s="2"/>
    </row>
    <row r="1847" spans="33:33" ht="15" customHeight="1" x14ac:dyDescent="0.3">
      <c r="AG1847" s="2"/>
    </row>
    <row r="1848" spans="33:33" ht="15" customHeight="1" x14ac:dyDescent="0.3">
      <c r="AG1848" s="2"/>
    </row>
    <row r="1849" spans="33:33" ht="15" customHeight="1" x14ac:dyDescent="0.3">
      <c r="AG1849" s="2"/>
    </row>
    <row r="1850" spans="33:33" ht="15" customHeight="1" x14ac:dyDescent="0.3">
      <c r="AG1850" s="2"/>
    </row>
    <row r="1851" spans="33:33" ht="15" customHeight="1" x14ac:dyDescent="0.3">
      <c r="AG1851" s="2"/>
    </row>
    <row r="1852" spans="33:33" ht="15" customHeight="1" x14ac:dyDescent="0.3">
      <c r="AG1852" s="2"/>
    </row>
    <row r="1853" spans="33:33" ht="15" customHeight="1" x14ac:dyDescent="0.3">
      <c r="AG1853" s="2"/>
    </row>
    <row r="1854" spans="33:33" ht="15" customHeight="1" x14ac:dyDescent="0.3">
      <c r="AG1854" s="2"/>
    </row>
    <row r="1855" spans="33:33" ht="15" customHeight="1" x14ac:dyDescent="0.3">
      <c r="AG1855" s="2"/>
    </row>
    <row r="1856" spans="33:33" ht="15" customHeight="1" x14ac:dyDescent="0.3">
      <c r="AG1856" s="2"/>
    </row>
    <row r="1857" spans="33:33" ht="15" customHeight="1" x14ac:dyDescent="0.3">
      <c r="AG1857" s="2"/>
    </row>
    <row r="1858" spans="33:33" ht="15" customHeight="1" x14ac:dyDescent="0.3">
      <c r="AG1858" s="2"/>
    </row>
    <row r="1859" spans="33:33" ht="15" customHeight="1" x14ac:dyDescent="0.3">
      <c r="AG1859" s="2"/>
    </row>
    <row r="1860" spans="33:33" ht="15" customHeight="1" x14ac:dyDescent="0.3">
      <c r="AG1860" s="2"/>
    </row>
    <row r="1861" spans="33:33" ht="15" customHeight="1" x14ac:dyDescent="0.3">
      <c r="AG1861" s="2"/>
    </row>
    <row r="1862" spans="33:33" ht="15" customHeight="1" x14ac:dyDescent="0.3">
      <c r="AG1862" s="2"/>
    </row>
    <row r="1863" spans="33:33" ht="15" customHeight="1" x14ac:dyDescent="0.3">
      <c r="AG1863" s="2"/>
    </row>
    <row r="1864" spans="33:33" ht="15" customHeight="1" x14ac:dyDescent="0.3">
      <c r="AG1864" s="2"/>
    </row>
    <row r="1865" spans="33:33" ht="15" customHeight="1" x14ac:dyDescent="0.3">
      <c r="AG1865" s="2"/>
    </row>
    <row r="1866" spans="33:33" ht="15" customHeight="1" x14ac:dyDescent="0.3">
      <c r="AG1866" s="2"/>
    </row>
    <row r="1867" spans="33:33" ht="15" customHeight="1" x14ac:dyDescent="0.3">
      <c r="AG1867" s="2"/>
    </row>
    <row r="1868" spans="33:33" ht="15" customHeight="1" x14ac:dyDescent="0.3">
      <c r="AG1868" s="2"/>
    </row>
    <row r="1869" spans="33:33" ht="15" customHeight="1" x14ac:dyDescent="0.3">
      <c r="AG1869" s="2"/>
    </row>
    <row r="1870" spans="33:33" ht="15" customHeight="1" x14ac:dyDescent="0.3">
      <c r="AG1870" s="2"/>
    </row>
    <row r="1871" spans="33:33" ht="15" customHeight="1" x14ac:dyDescent="0.3">
      <c r="AG1871" s="2"/>
    </row>
    <row r="1872" spans="33:33" ht="15" customHeight="1" x14ac:dyDescent="0.3">
      <c r="AG1872" s="2"/>
    </row>
    <row r="1873" spans="33:33" ht="15" customHeight="1" x14ac:dyDescent="0.3">
      <c r="AG1873" s="2"/>
    </row>
    <row r="1874" spans="33:33" ht="15" customHeight="1" x14ac:dyDescent="0.3">
      <c r="AG1874" s="2"/>
    </row>
    <row r="1875" spans="33:33" ht="15" customHeight="1" x14ac:dyDescent="0.3">
      <c r="AG1875" s="2"/>
    </row>
    <row r="1876" spans="33:33" ht="15" customHeight="1" x14ac:dyDescent="0.3">
      <c r="AG1876" s="2"/>
    </row>
    <row r="1877" spans="33:33" ht="15" customHeight="1" x14ac:dyDescent="0.3">
      <c r="AG1877" s="2"/>
    </row>
    <row r="1878" spans="33:33" ht="15" customHeight="1" x14ac:dyDescent="0.3">
      <c r="AG1878" s="2"/>
    </row>
    <row r="1879" spans="33:33" ht="15" customHeight="1" x14ac:dyDescent="0.3">
      <c r="AG1879" s="2"/>
    </row>
    <row r="1880" spans="33:33" ht="15" customHeight="1" x14ac:dyDescent="0.3">
      <c r="AG1880" s="2"/>
    </row>
    <row r="1881" spans="33:33" ht="15" customHeight="1" x14ac:dyDescent="0.3">
      <c r="AG1881" s="2"/>
    </row>
    <row r="1882" spans="33:33" ht="15" customHeight="1" x14ac:dyDescent="0.3">
      <c r="AG1882" s="2"/>
    </row>
    <row r="1883" spans="33:33" ht="15" customHeight="1" x14ac:dyDescent="0.3">
      <c r="AG1883" s="2"/>
    </row>
    <row r="1884" spans="33:33" ht="15" customHeight="1" x14ac:dyDescent="0.3">
      <c r="AG1884" s="2"/>
    </row>
    <row r="1885" spans="33:33" ht="15" customHeight="1" x14ac:dyDescent="0.3">
      <c r="AG1885" s="2"/>
    </row>
    <row r="1886" spans="33:33" ht="15" customHeight="1" x14ac:dyDescent="0.3">
      <c r="AG1886" s="2"/>
    </row>
    <row r="1887" spans="33:33" ht="15" customHeight="1" x14ac:dyDescent="0.3">
      <c r="AG1887" s="2"/>
    </row>
    <row r="1888" spans="33:33" ht="15" customHeight="1" x14ac:dyDescent="0.3">
      <c r="AG1888" s="2"/>
    </row>
    <row r="1889" spans="33:33" ht="15" customHeight="1" x14ac:dyDescent="0.3">
      <c r="AG1889" s="2"/>
    </row>
    <row r="1890" spans="33:33" ht="15" customHeight="1" x14ac:dyDescent="0.3">
      <c r="AG1890" s="2"/>
    </row>
    <row r="1891" spans="33:33" ht="15" customHeight="1" x14ac:dyDescent="0.3">
      <c r="AG1891" s="2"/>
    </row>
    <row r="1892" spans="33:33" ht="15" customHeight="1" x14ac:dyDescent="0.3">
      <c r="AG1892" s="2"/>
    </row>
    <row r="1893" spans="33:33" ht="15" customHeight="1" x14ac:dyDescent="0.3">
      <c r="AG1893" s="2"/>
    </row>
    <row r="1894" spans="33:33" ht="15" customHeight="1" x14ac:dyDescent="0.3">
      <c r="AG1894" s="2"/>
    </row>
    <row r="1895" spans="33:33" ht="15" customHeight="1" x14ac:dyDescent="0.3">
      <c r="AG1895" s="2"/>
    </row>
    <row r="1896" spans="33:33" ht="15" customHeight="1" x14ac:dyDescent="0.3">
      <c r="AG1896" s="2"/>
    </row>
    <row r="1897" spans="33:33" ht="15" customHeight="1" x14ac:dyDescent="0.3">
      <c r="AG1897" s="2"/>
    </row>
    <row r="1898" spans="33:33" ht="15" customHeight="1" x14ac:dyDescent="0.3">
      <c r="AG1898" s="2"/>
    </row>
    <row r="1899" spans="33:33" ht="15" customHeight="1" x14ac:dyDescent="0.3">
      <c r="AG1899" s="2"/>
    </row>
    <row r="1900" spans="33:33" ht="15" customHeight="1" x14ac:dyDescent="0.3">
      <c r="AG1900" s="2"/>
    </row>
    <row r="1901" spans="33:33" ht="15" customHeight="1" x14ac:dyDescent="0.3">
      <c r="AG1901" s="2"/>
    </row>
    <row r="1902" spans="33:33" ht="15" customHeight="1" x14ac:dyDescent="0.3">
      <c r="AG1902" s="2"/>
    </row>
    <row r="1903" spans="33:33" ht="15" customHeight="1" x14ac:dyDescent="0.3">
      <c r="AG1903" s="2"/>
    </row>
    <row r="1904" spans="33:33" ht="15" customHeight="1" x14ac:dyDescent="0.3">
      <c r="AG1904" s="2"/>
    </row>
    <row r="1905" spans="33:33" ht="15" customHeight="1" x14ac:dyDescent="0.3">
      <c r="AG1905" s="2"/>
    </row>
    <row r="1906" spans="33:33" ht="15" customHeight="1" x14ac:dyDescent="0.3">
      <c r="AG1906" s="2"/>
    </row>
    <row r="1907" spans="33:33" ht="15" customHeight="1" x14ac:dyDescent="0.3">
      <c r="AG1907" s="2"/>
    </row>
    <row r="1908" spans="33:33" ht="15" customHeight="1" x14ac:dyDescent="0.3">
      <c r="AG1908" s="2"/>
    </row>
    <row r="1909" spans="33:33" ht="15" customHeight="1" x14ac:dyDescent="0.3">
      <c r="AG1909" s="2"/>
    </row>
    <row r="1910" spans="33:33" ht="15" customHeight="1" x14ac:dyDescent="0.3">
      <c r="AG1910" s="2"/>
    </row>
    <row r="1911" spans="33:33" ht="15" customHeight="1" x14ac:dyDescent="0.3">
      <c r="AG1911" s="2"/>
    </row>
    <row r="1912" spans="33:33" ht="15" customHeight="1" x14ac:dyDescent="0.3">
      <c r="AG1912" s="2"/>
    </row>
    <row r="1913" spans="33:33" ht="15" customHeight="1" x14ac:dyDescent="0.3">
      <c r="AG1913" s="2"/>
    </row>
    <row r="1914" spans="33:33" ht="15" customHeight="1" x14ac:dyDescent="0.3">
      <c r="AG1914" s="2"/>
    </row>
    <row r="1915" spans="33:33" ht="15" customHeight="1" x14ac:dyDescent="0.3">
      <c r="AG1915" s="2"/>
    </row>
    <row r="1916" spans="33:33" ht="15" customHeight="1" x14ac:dyDescent="0.3">
      <c r="AG1916" s="2"/>
    </row>
    <row r="1917" spans="33:33" ht="15" customHeight="1" x14ac:dyDescent="0.3">
      <c r="AG1917" s="2"/>
    </row>
    <row r="1918" spans="33:33" ht="15" customHeight="1" x14ac:dyDescent="0.3">
      <c r="AG1918" s="2"/>
    </row>
    <row r="1919" spans="33:33" ht="15" customHeight="1" x14ac:dyDescent="0.3">
      <c r="AG1919" s="2"/>
    </row>
    <row r="1920" spans="33:33" ht="15" customHeight="1" x14ac:dyDescent="0.3">
      <c r="AG1920" s="2"/>
    </row>
    <row r="1921" spans="33:33" ht="15" customHeight="1" x14ac:dyDescent="0.3">
      <c r="AG1921" s="2"/>
    </row>
    <row r="1922" spans="33:33" ht="15" customHeight="1" x14ac:dyDescent="0.3">
      <c r="AG1922" s="2"/>
    </row>
    <row r="1923" spans="33:33" ht="15" customHeight="1" x14ac:dyDescent="0.3">
      <c r="AG1923" s="2"/>
    </row>
    <row r="1924" spans="33:33" ht="15" customHeight="1" x14ac:dyDescent="0.3">
      <c r="AG1924" s="2"/>
    </row>
    <row r="1925" spans="33:33" ht="15" customHeight="1" x14ac:dyDescent="0.3">
      <c r="AG1925" s="2"/>
    </row>
    <row r="1926" spans="33:33" ht="15" customHeight="1" x14ac:dyDescent="0.3">
      <c r="AG1926" s="2"/>
    </row>
    <row r="1927" spans="33:33" ht="15" customHeight="1" x14ac:dyDescent="0.3">
      <c r="AG1927" s="2"/>
    </row>
    <row r="1928" spans="33:33" ht="15" customHeight="1" x14ac:dyDescent="0.3">
      <c r="AG1928" s="2"/>
    </row>
    <row r="1929" spans="33:33" ht="15" customHeight="1" x14ac:dyDescent="0.3">
      <c r="AG1929" s="2"/>
    </row>
    <row r="1930" spans="33:33" ht="15" customHeight="1" x14ac:dyDescent="0.3">
      <c r="AG1930" s="2"/>
    </row>
    <row r="1931" spans="33:33" ht="15" customHeight="1" x14ac:dyDescent="0.3">
      <c r="AG1931" s="2"/>
    </row>
    <row r="1932" spans="33:33" ht="15" customHeight="1" x14ac:dyDescent="0.3">
      <c r="AG1932" s="2"/>
    </row>
    <row r="1933" spans="33:33" ht="15" customHeight="1" x14ac:dyDescent="0.3">
      <c r="AG1933" s="2"/>
    </row>
    <row r="1934" spans="33:33" ht="15" customHeight="1" x14ac:dyDescent="0.3">
      <c r="AG1934" s="2"/>
    </row>
    <row r="1935" spans="33:33" ht="15" customHeight="1" x14ac:dyDescent="0.3">
      <c r="AG1935" s="2"/>
    </row>
    <row r="1936" spans="33:33" ht="15" customHeight="1" x14ac:dyDescent="0.3">
      <c r="AG1936" s="2"/>
    </row>
    <row r="1937" spans="33:33" ht="15" customHeight="1" x14ac:dyDescent="0.3">
      <c r="AG1937" s="2"/>
    </row>
    <row r="1938" spans="33:33" ht="15" customHeight="1" x14ac:dyDescent="0.3">
      <c r="AG1938" s="2"/>
    </row>
    <row r="1939" spans="33:33" ht="15" customHeight="1" x14ac:dyDescent="0.3">
      <c r="AG1939" s="2"/>
    </row>
    <row r="1940" spans="33:33" ht="15" customHeight="1" x14ac:dyDescent="0.3">
      <c r="AG1940" s="2"/>
    </row>
    <row r="1941" spans="33:33" ht="15" customHeight="1" x14ac:dyDescent="0.3">
      <c r="AG1941" s="2"/>
    </row>
    <row r="1942" spans="33:33" ht="15" customHeight="1" x14ac:dyDescent="0.3">
      <c r="AG1942" s="2"/>
    </row>
    <row r="1943" spans="33:33" ht="15" customHeight="1" x14ac:dyDescent="0.3">
      <c r="AG1943" s="2"/>
    </row>
    <row r="1944" spans="33:33" ht="15" customHeight="1" x14ac:dyDescent="0.3">
      <c r="AG1944" s="2"/>
    </row>
    <row r="1945" spans="33:33" ht="15" customHeight="1" x14ac:dyDescent="0.3">
      <c r="AG1945" s="2"/>
    </row>
    <row r="1946" spans="33:33" ht="15" customHeight="1" x14ac:dyDescent="0.3">
      <c r="AG1946" s="2"/>
    </row>
    <row r="1947" spans="33:33" ht="15" customHeight="1" x14ac:dyDescent="0.3">
      <c r="AG1947" s="2"/>
    </row>
    <row r="1948" spans="33:33" ht="15" customHeight="1" x14ac:dyDescent="0.3">
      <c r="AG1948" s="2"/>
    </row>
    <row r="1949" spans="33:33" ht="15" customHeight="1" x14ac:dyDescent="0.3">
      <c r="AG1949" s="2"/>
    </row>
    <row r="1950" spans="33:33" ht="15" customHeight="1" x14ac:dyDescent="0.3">
      <c r="AG1950" s="2"/>
    </row>
    <row r="1951" spans="33:33" ht="15" customHeight="1" x14ac:dyDescent="0.3">
      <c r="AG1951" s="2"/>
    </row>
    <row r="1952" spans="33:33" ht="15" customHeight="1" x14ac:dyDescent="0.3">
      <c r="AG1952" s="2"/>
    </row>
    <row r="1953" spans="33:33" ht="15" customHeight="1" x14ac:dyDescent="0.3">
      <c r="AG1953" s="2"/>
    </row>
    <row r="1954" spans="33:33" ht="15" customHeight="1" x14ac:dyDescent="0.3">
      <c r="AG1954" s="2"/>
    </row>
    <row r="1955" spans="33:33" ht="15" customHeight="1" x14ac:dyDescent="0.3">
      <c r="AG1955" s="2"/>
    </row>
    <row r="1956" spans="33:33" ht="15" customHeight="1" x14ac:dyDescent="0.3">
      <c r="AG1956" s="2"/>
    </row>
    <row r="1957" spans="33:33" ht="15" customHeight="1" x14ac:dyDescent="0.3">
      <c r="AG1957" s="2"/>
    </row>
    <row r="1958" spans="33:33" ht="15" customHeight="1" x14ac:dyDescent="0.3">
      <c r="AG1958" s="2"/>
    </row>
    <row r="1959" spans="33:33" ht="15" customHeight="1" x14ac:dyDescent="0.3">
      <c r="AG1959" s="2"/>
    </row>
    <row r="1960" spans="33:33" ht="15" customHeight="1" x14ac:dyDescent="0.3">
      <c r="AG1960" s="2"/>
    </row>
    <row r="1961" spans="33:33" ht="15" customHeight="1" x14ac:dyDescent="0.3">
      <c r="AG1961" s="2"/>
    </row>
    <row r="1962" spans="33:33" ht="15" customHeight="1" x14ac:dyDescent="0.3">
      <c r="AG1962" s="2"/>
    </row>
    <row r="1963" spans="33:33" ht="15" customHeight="1" x14ac:dyDescent="0.3">
      <c r="AG1963" s="2"/>
    </row>
    <row r="1964" spans="33:33" ht="15" customHeight="1" x14ac:dyDescent="0.3">
      <c r="AG1964" s="2"/>
    </row>
    <row r="1965" spans="33:33" ht="15" customHeight="1" x14ac:dyDescent="0.3">
      <c r="AG1965" s="2"/>
    </row>
    <row r="1966" spans="33:33" ht="15" customHeight="1" x14ac:dyDescent="0.3">
      <c r="AG1966" s="2"/>
    </row>
    <row r="1967" spans="33:33" ht="15" customHeight="1" x14ac:dyDescent="0.3">
      <c r="AG1967" s="2"/>
    </row>
    <row r="1968" spans="33:33" ht="15" customHeight="1" x14ac:dyDescent="0.3">
      <c r="AG1968" s="2"/>
    </row>
    <row r="1969" spans="33:33" ht="15" customHeight="1" x14ac:dyDescent="0.3">
      <c r="AG1969" s="2"/>
    </row>
    <row r="1970" spans="33:33" ht="15" customHeight="1" x14ac:dyDescent="0.3">
      <c r="AG1970" s="2"/>
    </row>
    <row r="1971" spans="33:33" ht="15" customHeight="1" x14ac:dyDescent="0.3">
      <c r="AG1971" s="2"/>
    </row>
    <row r="1972" spans="33:33" ht="15" customHeight="1" x14ac:dyDescent="0.3">
      <c r="AG1972" s="2"/>
    </row>
    <row r="1973" spans="33:33" ht="15" customHeight="1" x14ac:dyDescent="0.3">
      <c r="AG1973" s="2"/>
    </row>
    <row r="1974" spans="33:33" ht="15" customHeight="1" x14ac:dyDescent="0.3">
      <c r="AG1974" s="2"/>
    </row>
    <row r="1975" spans="33:33" ht="15" customHeight="1" x14ac:dyDescent="0.3">
      <c r="AG1975" s="2"/>
    </row>
    <row r="1976" spans="33:33" ht="15" customHeight="1" x14ac:dyDescent="0.3">
      <c r="AG1976" s="2"/>
    </row>
    <row r="1977" spans="33:33" ht="15" customHeight="1" x14ac:dyDescent="0.3">
      <c r="AG1977" s="2"/>
    </row>
    <row r="1978" spans="33:33" ht="15" customHeight="1" x14ac:dyDescent="0.3">
      <c r="AG1978" s="2"/>
    </row>
    <row r="1979" spans="33:33" ht="15" customHeight="1" x14ac:dyDescent="0.3">
      <c r="AG1979" s="2"/>
    </row>
    <row r="1980" spans="33:33" ht="15" customHeight="1" x14ac:dyDescent="0.3">
      <c r="AG1980" s="2"/>
    </row>
    <row r="1981" spans="33:33" ht="15" customHeight="1" x14ac:dyDescent="0.3">
      <c r="AG1981" s="2"/>
    </row>
    <row r="1982" spans="33:33" ht="15" customHeight="1" x14ac:dyDescent="0.3">
      <c r="AG1982" s="2"/>
    </row>
    <row r="1983" spans="33:33" ht="15" customHeight="1" x14ac:dyDescent="0.3">
      <c r="AG1983" s="2"/>
    </row>
    <row r="1984" spans="33:33" ht="15" customHeight="1" x14ac:dyDescent="0.3">
      <c r="AG1984" s="2"/>
    </row>
    <row r="1985" spans="33:33" ht="15" customHeight="1" x14ac:dyDescent="0.3">
      <c r="AG1985" s="2"/>
    </row>
    <row r="1986" spans="33:33" ht="15" customHeight="1" x14ac:dyDescent="0.3">
      <c r="AG1986" s="2"/>
    </row>
    <row r="1987" spans="33:33" ht="15" customHeight="1" x14ac:dyDescent="0.3">
      <c r="AG1987" s="2"/>
    </row>
    <row r="1988" spans="33:33" ht="15" customHeight="1" x14ac:dyDescent="0.3">
      <c r="AG1988" s="2"/>
    </row>
    <row r="1989" spans="33:33" ht="15" customHeight="1" x14ac:dyDescent="0.3">
      <c r="AG1989" s="2"/>
    </row>
    <row r="1990" spans="33:33" ht="15" customHeight="1" x14ac:dyDescent="0.3">
      <c r="AG1990" s="2"/>
    </row>
    <row r="1991" spans="33:33" ht="15" customHeight="1" x14ac:dyDescent="0.3">
      <c r="AG1991" s="2"/>
    </row>
    <row r="1992" spans="33:33" ht="15" customHeight="1" x14ac:dyDescent="0.3">
      <c r="AG1992" s="2"/>
    </row>
    <row r="1993" spans="33:33" ht="15" customHeight="1" x14ac:dyDescent="0.3">
      <c r="AG1993" s="2"/>
    </row>
    <row r="1994" spans="33:33" ht="15" customHeight="1" x14ac:dyDescent="0.3">
      <c r="AG1994" s="2"/>
    </row>
    <row r="1995" spans="33:33" ht="15" customHeight="1" x14ac:dyDescent="0.3">
      <c r="AG1995" s="2"/>
    </row>
    <row r="1996" spans="33:33" ht="15" customHeight="1" x14ac:dyDescent="0.3">
      <c r="AG1996" s="2"/>
    </row>
    <row r="1997" spans="33:33" ht="15" customHeight="1" x14ac:dyDescent="0.3">
      <c r="AG1997" s="2"/>
    </row>
    <row r="1998" spans="33:33" ht="15" customHeight="1" x14ac:dyDescent="0.3">
      <c r="AG1998" s="2"/>
    </row>
    <row r="1999" spans="33:33" ht="15" customHeight="1" x14ac:dyDescent="0.3">
      <c r="AG1999" s="2"/>
    </row>
    <row r="2000" spans="33:33" ht="15" customHeight="1" x14ac:dyDescent="0.3">
      <c r="AG2000" s="2"/>
    </row>
    <row r="2001" spans="33:33" ht="15" customHeight="1" x14ac:dyDescent="0.3">
      <c r="AG2001" s="2"/>
    </row>
    <row r="2002" spans="33:33" ht="15" customHeight="1" x14ac:dyDescent="0.3">
      <c r="AG2002" s="2"/>
    </row>
    <row r="2003" spans="33:33" ht="15" customHeight="1" x14ac:dyDescent="0.3">
      <c r="AG2003" s="2"/>
    </row>
    <row r="2004" spans="33:33" ht="15" customHeight="1" x14ac:dyDescent="0.3">
      <c r="AG2004" s="2"/>
    </row>
    <row r="2005" spans="33:33" ht="15" customHeight="1" x14ac:dyDescent="0.3">
      <c r="AG2005" s="2"/>
    </row>
    <row r="2006" spans="33:33" ht="15" customHeight="1" x14ac:dyDescent="0.3">
      <c r="AG2006" s="2"/>
    </row>
    <row r="2007" spans="33:33" ht="15" customHeight="1" x14ac:dyDescent="0.3">
      <c r="AG2007" s="2"/>
    </row>
    <row r="2008" spans="33:33" ht="15" customHeight="1" x14ac:dyDescent="0.3">
      <c r="AG2008" s="2"/>
    </row>
    <row r="2009" spans="33:33" ht="15" customHeight="1" x14ac:dyDescent="0.3">
      <c r="AG2009" s="2"/>
    </row>
    <row r="2010" spans="33:33" ht="15" customHeight="1" x14ac:dyDescent="0.3">
      <c r="AG2010" s="2"/>
    </row>
    <row r="2011" spans="33:33" ht="15" customHeight="1" x14ac:dyDescent="0.3">
      <c r="AG2011" s="2"/>
    </row>
    <row r="2012" spans="33:33" ht="15" customHeight="1" x14ac:dyDescent="0.3">
      <c r="AG2012" s="2"/>
    </row>
    <row r="2013" spans="33:33" ht="15" customHeight="1" x14ac:dyDescent="0.3">
      <c r="AG2013" s="2"/>
    </row>
    <row r="2014" spans="33:33" ht="15" customHeight="1" x14ac:dyDescent="0.3">
      <c r="AG2014" s="2"/>
    </row>
    <row r="2015" spans="33:33" ht="15" customHeight="1" x14ac:dyDescent="0.3">
      <c r="AG2015" s="2"/>
    </row>
    <row r="2016" spans="33:33" ht="15" customHeight="1" x14ac:dyDescent="0.3">
      <c r="AG2016" s="2"/>
    </row>
    <row r="2017" spans="33:33" ht="15" customHeight="1" x14ac:dyDescent="0.3">
      <c r="AG2017" s="2"/>
    </row>
    <row r="2018" spans="33:33" ht="15" customHeight="1" x14ac:dyDescent="0.3">
      <c r="AG2018" s="2"/>
    </row>
    <row r="2019" spans="33:33" ht="15" customHeight="1" x14ac:dyDescent="0.3">
      <c r="AG2019" s="2"/>
    </row>
    <row r="2020" spans="33:33" ht="15" customHeight="1" x14ac:dyDescent="0.3">
      <c r="AG2020" s="2"/>
    </row>
    <row r="2021" spans="33:33" ht="15" customHeight="1" x14ac:dyDescent="0.3">
      <c r="AG2021" s="2"/>
    </row>
    <row r="2022" spans="33:33" ht="15" customHeight="1" x14ac:dyDescent="0.3">
      <c r="AG2022" s="2"/>
    </row>
    <row r="2023" spans="33:33" ht="15" customHeight="1" x14ac:dyDescent="0.3">
      <c r="AG2023" s="2"/>
    </row>
    <row r="2024" spans="33:33" ht="15" customHeight="1" x14ac:dyDescent="0.3">
      <c r="AG2024" s="2"/>
    </row>
    <row r="2025" spans="33:33" ht="15" customHeight="1" x14ac:dyDescent="0.3">
      <c r="AG2025" s="2"/>
    </row>
    <row r="2026" spans="33:33" ht="15" customHeight="1" x14ac:dyDescent="0.3">
      <c r="AG2026" s="2"/>
    </row>
    <row r="2027" spans="33:33" ht="15" customHeight="1" x14ac:dyDescent="0.3">
      <c r="AG2027" s="2"/>
    </row>
    <row r="2028" spans="33:33" ht="15" customHeight="1" x14ac:dyDescent="0.3">
      <c r="AG2028" s="2"/>
    </row>
    <row r="2029" spans="33:33" ht="15" customHeight="1" x14ac:dyDescent="0.3">
      <c r="AG2029" s="2"/>
    </row>
    <row r="2030" spans="33:33" ht="15" customHeight="1" x14ac:dyDescent="0.3">
      <c r="AG2030" s="2"/>
    </row>
    <row r="2031" spans="33:33" ht="15" customHeight="1" x14ac:dyDescent="0.3">
      <c r="AG2031" s="2"/>
    </row>
    <row r="2032" spans="33:33" ht="15" customHeight="1" x14ac:dyDescent="0.3">
      <c r="AG2032" s="2"/>
    </row>
    <row r="2033" spans="33:33" ht="15" customHeight="1" x14ac:dyDescent="0.3">
      <c r="AG2033" s="2"/>
    </row>
    <row r="2034" spans="33:33" ht="15" customHeight="1" x14ac:dyDescent="0.3">
      <c r="AG2034" s="2"/>
    </row>
    <row r="2035" spans="33:33" ht="15" customHeight="1" x14ac:dyDescent="0.3">
      <c r="AG2035" s="2"/>
    </row>
    <row r="2036" spans="33:33" ht="15" customHeight="1" x14ac:dyDescent="0.3">
      <c r="AG2036" s="2"/>
    </row>
    <row r="2037" spans="33:33" ht="15" customHeight="1" x14ac:dyDescent="0.3">
      <c r="AG2037" s="2"/>
    </row>
    <row r="2038" spans="33:33" ht="15" customHeight="1" x14ac:dyDescent="0.3">
      <c r="AG2038" s="2"/>
    </row>
    <row r="2039" spans="33:33" ht="15" customHeight="1" x14ac:dyDescent="0.3">
      <c r="AG2039" s="2"/>
    </row>
    <row r="2040" spans="33:33" ht="15" customHeight="1" x14ac:dyDescent="0.3">
      <c r="AG2040" s="2"/>
    </row>
    <row r="2041" spans="33:33" ht="15" customHeight="1" x14ac:dyDescent="0.3">
      <c r="AG2041" s="2"/>
    </row>
    <row r="2042" spans="33:33" ht="15" customHeight="1" x14ac:dyDescent="0.3">
      <c r="AG2042" s="2"/>
    </row>
    <row r="2043" spans="33:33" ht="15" customHeight="1" x14ac:dyDescent="0.3">
      <c r="AG2043" s="2"/>
    </row>
    <row r="2044" spans="33:33" ht="15" customHeight="1" x14ac:dyDescent="0.3">
      <c r="AG2044" s="2"/>
    </row>
    <row r="2045" spans="33:33" ht="15" customHeight="1" x14ac:dyDescent="0.3">
      <c r="AG2045" s="2"/>
    </row>
    <row r="2046" spans="33:33" ht="15" customHeight="1" x14ac:dyDescent="0.3">
      <c r="AG2046" s="2"/>
    </row>
    <row r="2047" spans="33:33" ht="15" customHeight="1" x14ac:dyDescent="0.3">
      <c r="AG2047" s="2"/>
    </row>
    <row r="2048" spans="33:33" ht="15" customHeight="1" x14ac:dyDescent="0.3">
      <c r="AG2048" s="2"/>
    </row>
    <row r="2049" spans="33:33" ht="15" customHeight="1" x14ac:dyDescent="0.3">
      <c r="AG2049" s="2"/>
    </row>
    <row r="2050" spans="33:33" ht="15" customHeight="1" x14ac:dyDescent="0.3">
      <c r="AG2050" s="2"/>
    </row>
    <row r="2051" spans="33:33" ht="15" customHeight="1" x14ac:dyDescent="0.3">
      <c r="AG2051" s="2"/>
    </row>
    <row r="2052" spans="33:33" ht="15" customHeight="1" x14ac:dyDescent="0.3">
      <c r="AG2052" s="2"/>
    </row>
    <row r="2053" spans="33:33" ht="15" customHeight="1" x14ac:dyDescent="0.3">
      <c r="AG2053" s="2"/>
    </row>
    <row r="2054" spans="33:33" ht="15" customHeight="1" x14ac:dyDescent="0.3">
      <c r="AG2054" s="2"/>
    </row>
    <row r="2055" spans="33:33" ht="15" customHeight="1" x14ac:dyDescent="0.3">
      <c r="AG2055" s="2"/>
    </row>
    <row r="2056" spans="33:33" ht="15" customHeight="1" x14ac:dyDescent="0.3">
      <c r="AG2056" s="2"/>
    </row>
    <row r="2057" spans="33:33" ht="15" customHeight="1" x14ac:dyDescent="0.3">
      <c r="AG2057" s="2"/>
    </row>
    <row r="2058" spans="33:33" ht="15" customHeight="1" x14ac:dyDescent="0.3">
      <c r="AG2058" s="2"/>
    </row>
    <row r="2059" spans="33:33" ht="15" customHeight="1" x14ac:dyDescent="0.3">
      <c r="AG2059" s="2"/>
    </row>
    <row r="2060" spans="33:33" ht="15" customHeight="1" x14ac:dyDescent="0.3">
      <c r="AG2060" s="2"/>
    </row>
    <row r="2061" spans="33:33" ht="15" customHeight="1" x14ac:dyDescent="0.3">
      <c r="AG2061" s="2"/>
    </row>
    <row r="2062" spans="33:33" ht="15" customHeight="1" x14ac:dyDescent="0.3">
      <c r="AG2062" s="2"/>
    </row>
    <row r="2063" spans="33:33" ht="15" customHeight="1" x14ac:dyDescent="0.3">
      <c r="AG2063" s="2"/>
    </row>
    <row r="2064" spans="33:33" ht="15" customHeight="1" x14ac:dyDescent="0.3">
      <c r="AG2064" s="2"/>
    </row>
    <row r="2065" spans="33:33" ht="15" customHeight="1" x14ac:dyDescent="0.3">
      <c r="AG2065" s="2"/>
    </row>
    <row r="2066" spans="33:33" ht="15" customHeight="1" x14ac:dyDescent="0.3">
      <c r="AG2066" s="2"/>
    </row>
    <row r="2067" spans="33:33" ht="15" customHeight="1" x14ac:dyDescent="0.3">
      <c r="AG2067" s="2"/>
    </row>
    <row r="2068" spans="33:33" ht="15" customHeight="1" x14ac:dyDescent="0.3">
      <c r="AG2068" s="2"/>
    </row>
    <row r="2069" spans="33:33" ht="15" customHeight="1" x14ac:dyDescent="0.3">
      <c r="AG2069" s="2"/>
    </row>
    <row r="2070" spans="33:33" ht="15" customHeight="1" x14ac:dyDescent="0.3">
      <c r="AG2070" s="2"/>
    </row>
    <row r="2071" spans="33:33" ht="15" customHeight="1" x14ac:dyDescent="0.3">
      <c r="AG2071" s="2"/>
    </row>
    <row r="2072" spans="33:33" ht="15" customHeight="1" x14ac:dyDescent="0.3">
      <c r="AG2072" s="2"/>
    </row>
    <row r="2073" spans="33:33" ht="15" customHeight="1" x14ac:dyDescent="0.3">
      <c r="AG2073" s="2"/>
    </row>
    <row r="2074" spans="33:33" ht="15" customHeight="1" x14ac:dyDescent="0.3">
      <c r="AG2074" s="2"/>
    </row>
    <row r="2075" spans="33:33" ht="15" customHeight="1" x14ac:dyDescent="0.3">
      <c r="AG2075" s="2"/>
    </row>
    <row r="2076" spans="33:33" ht="15" customHeight="1" x14ac:dyDescent="0.3">
      <c r="AG2076" s="2"/>
    </row>
    <row r="2077" spans="33:33" ht="15" customHeight="1" x14ac:dyDescent="0.3">
      <c r="AG2077" s="2"/>
    </row>
    <row r="2078" spans="33:33" ht="15" customHeight="1" x14ac:dyDescent="0.3">
      <c r="AG2078" s="2"/>
    </row>
    <row r="2079" spans="33:33" ht="15" customHeight="1" x14ac:dyDescent="0.3">
      <c r="AG2079" s="2"/>
    </row>
    <row r="2080" spans="33:33" ht="15" customHeight="1" x14ac:dyDescent="0.3">
      <c r="AG2080" s="2"/>
    </row>
    <row r="2081" spans="33:33" ht="15" customHeight="1" x14ac:dyDescent="0.3">
      <c r="AG2081" s="2"/>
    </row>
    <row r="2082" spans="33:33" ht="15" customHeight="1" x14ac:dyDescent="0.3">
      <c r="AG2082" s="2"/>
    </row>
    <row r="2083" spans="33:33" ht="15" customHeight="1" x14ac:dyDescent="0.3">
      <c r="AG2083" s="2"/>
    </row>
    <row r="2084" spans="33:33" ht="15" customHeight="1" x14ac:dyDescent="0.3">
      <c r="AG2084" s="2"/>
    </row>
    <row r="2085" spans="33:33" ht="15" customHeight="1" x14ac:dyDescent="0.3">
      <c r="AG2085" s="2"/>
    </row>
    <row r="2086" spans="33:33" ht="15" customHeight="1" x14ac:dyDescent="0.3">
      <c r="AG2086" s="2"/>
    </row>
    <row r="2087" spans="33:33" ht="15" customHeight="1" x14ac:dyDescent="0.3">
      <c r="AG2087" s="2"/>
    </row>
    <row r="2088" spans="33:33" ht="15" customHeight="1" x14ac:dyDescent="0.3">
      <c r="AG2088" s="2"/>
    </row>
    <row r="2089" spans="33:33" ht="15" customHeight="1" x14ac:dyDescent="0.3">
      <c r="AG2089" s="2"/>
    </row>
    <row r="2090" spans="33:33" ht="15" customHeight="1" x14ac:dyDescent="0.3">
      <c r="AG2090" s="2"/>
    </row>
    <row r="2091" spans="33:33" ht="15" customHeight="1" x14ac:dyDescent="0.3">
      <c r="AG2091" s="2"/>
    </row>
    <row r="2092" spans="33:33" ht="15" customHeight="1" x14ac:dyDescent="0.3">
      <c r="AG2092" s="2"/>
    </row>
    <row r="2093" spans="33:33" ht="15" customHeight="1" x14ac:dyDescent="0.3">
      <c r="AG2093" s="2"/>
    </row>
    <row r="2094" spans="33:33" ht="15" customHeight="1" x14ac:dyDescent="0.3">
      <c r="AG2094" s="2"/>
    </row>
    <row r="2095" spans="33:33" ht="15" customHeight="1" x14ac:dyDescent="0.3">
      <c r="AG2095" s="2"/>
    </row>
    <row r="2096" spans="33:33" ht="15" customHeight="1" x14ac:dyDescent="0.3">
      <c r="AG2096" s="2"/>
    </row>
    <row r="2097" spans="33:33" ht="15" customHeight="1" x14ac:dyDescent="0.3">
      <c r="AG2097" s="2"/>
    </row>
    <row r="2098" spans="33:33" ht="15" customHeight="1" x14ac:dyDescent="0.3">
      <c r="AG2098" s="2"/>
    </row>
    <row r="2099" spans="33:33" ht="15" customHeight="1" x14ac:dyDescent="0.3">
      <c r="AG2099" s="2"/>
    </row>
    <row r="2100" spans="33:33" ht="15" customHeight="1" x14ac:dyDescent="0.3">
      <c r="AG2100" s="2"/>
    </row>
    <row r="2101" spans="33:33" ht="15" customHeight="1" x14ac:dyDescent="0.3">
      <c r="AG2101" s="2"/>
    </row>
    <row r="2102" spans="33:33" ht="15" customHeight="1" x14ac:dyDescent="0.3">
      <c r="AG2102" s="2"/>
    </row>
    <row r="2103" spans="33:33" ht="15" customHeight="1" x14ac:dyDescent="0.3">
      <c r="AG2103" s="2"/>
    </row>
    <row r="2104" spans="33:33" ht="15" customHeight="1" x14ac:dyDescent="0.3">
      <c r="AG2104" s="2"/>
    </row>
    <row r="2105" spans="33:33" ht="15" customHeight="1" x14ac:dyDescent="0.3">
      <c r="AG2105" s="2"/>
    </row>
    <row r="2106" spans="33:33" ht="15" customHeight="1" x14ac:dyDescent="0.3">
      <c r="AG2106" s="2"/>
    </row>
    <row r="2107" spans="33:33" ht="15" customHeight="1" x14ac:dyDescent="0.3">
      <c r="AG2107" s="2"/>
    </row>
    <row r="2108" spans="33:33" ht="15" customHeight="1" x14ac:dyDescent="0.3">
      <c r="AG2108" s="2"/>
    </row>
    <row r="2109" spans="33:33" ht="15" customHeight="1" x14ac:dyDescent="0.3">
      <c r="AG2109" s="2"/>
    </row>
    <row r="2110" spans="33:33" ht="15" customHeight="1" x14ac:dyDescent="0.3">
      <c r="AG2110" s="2"/>
    </row>
    <row r="2111" spans="33:33" ht="15" customHeight="1" x14ac:dyDescent="0.3">
      <c r="AG2111" s="2"/>
    </row>
    <row r="2112" spans="33:33" ht="15" customHeight="1" x14ac:dyDescent="0.3">
      <c r="AG2112" s="2"/>
    </row>
    <row r="2113" spans="33:33" ht="15" customHeight="1" x14ac:dyDescent="0.3">
      <c r="AG2113" s="2"/>
    </row>
    <row r="2114" spans="33:33" ht="15" customHeight="1" x14ac:dyDescent="0.3">
      <c r="AG2114" s="2"/>
    </row>
    <row r="2115" spans="33:33" ht="15" customHeight="1" x14ac:dyDescent="0.3">
      <c r="AG2115" s="2"/>
    </row>
    <row r="2116" spans="33:33" ht="15" customHeight="1" x14ac:dyDescent="0.3">
      <c r="AG2116" s="2"/>
    </row>
    <row r="2117" spans="33:33" ht="15" customHeight="1" x14ac:dyDescent="0.3">
      <c r="AG2117" s="2"/>
    </row>
    <row r="2118" spans="33:33" ht="15" customHeight="1" x14ac:dyDescent="0.3">
      <c r="AG2118" s="2"/>
    </row>
    <row r="2119" spans="33:33" ht="15" customHeight="1" x14ac:dyDescent="0.3">
      <c r="AG2119" s="2"/>
    </row>
    <row r="2120" spans="33:33" ht="15" customHeight="1" x14ac:dyDescent="0.3">
      <c r="AG2120" s="2"/>
    </row>
    <row r="2121" spans="33:33" ht="15" customHeight="1" x14ac:dyDescent="0.3">
      <c r="AG2121" s="2"/>
    </row>
    <row r="2122" spans="33:33" ht="15" customHeight="1" x14ac:dyDescent="0.3">
      <c r="AG2122" s="2"/>
    </row>
    <row r="2123" spans="33:33" ht="15" customHeight="1" x14ac:dyDescent="0.3">
      <c r="AG2123" s="2"/>
    </row>
    <row r="2124" spans="33:33" ht="15" customHeight="1" x14ac:dyDescent="0.3">
      <c r="AG2124" s="2"/>
    </row>
    <row r="2125" spans="33:33" ht="15" customHeight="1" x14ac:dyDescent="0.3">
      <c r="AG2125" s="2"/>
    </row>
    <row r="2126" spans="33:33" ht="15" customHeight="1" x14ac:dyDescent="0.3">
      <c r="AG2126" s="2"/>
    </row>
    <row r="2127" spans="33:33" ht="15" customHeight="1" x14ac:dyDescent="0.3">
      <c r="AG2127" s="2"/>
    </row>
    <row r="2128" spans="33:33" ht="15" customHeight="1" x14ac:dyDescent="0.3">
      <c r="AG2128" s="2"/>
    </row>
    <row r="2129" spans="33:33" ht="15" customHeight="1" x14ac:dyDescent="0.3">
      <c r="AG2129" s="2"/>
    </row>
    <row r="2130" spans="33:33" ht="15" customHeight="1" x14ac:dyDescent="0.3">
      <c r="AG2130" s="2"/>
    </row>
    <row r="2131" spans="33:33" ht="15" customHeight="1" x14ac:dyDescent="0.3">
      <c r="AG2131" s="2"/>
    </row>
    <row r="2132" spans="33:33" ht="15" customHeight="1" x14ac:dyDescent="0.3">
      <c r="AG2132" s="2"/>
    </row>
    <row r="2133" spans="33:33" ht="15" customHeight="1" x14ac:dyDescent="0.3">
      <c r="AG2133" s="2"/>
    </row>
    <row r="2134" spans="33:33" ht="15" customHeight="1" x14ac:dyDescent="0.3">
      <c r="AG2134" s="2"/>
    </row>
    <row r="2135" spans="33:33" ht="15" customHeight="1" x14ac:dyDescent="0.3">
      <c r="AG2135" s="2"/>
    </row>
    <row r="2136" spans="33:33" ht="15" customHeight="1" x14ac:dyDescent="0.3">
      <c r="AG2136" s="2"/>
    </row>
    <row r="2137" spans="33:33" ht="15" customHeight="1" x14ac:dyDescent="0.3">
      <c r="AG2137" s="2"/>
    </row>
    <row r="2138" spans="33:33" ht="15" customHeight="1" x14ac:dyDescent="0.3">
      <c r="AG2138" s="2"/>
    </row>
    <row r="2139" spans="33:33" ht="15" customHeight="1" x14ac:dyDescent="0.3">
      <c r="AG2139" s="2"/>
    </row>
    <row r="2140" spans="33:33" ht="15" customHeight="1" x14ac:dyDescent="0.3">
      <c r="AG2140" s="2"/>
    </row>
    <row r="2141" spans="33:33" ht="15" customHeight="1" x14ac:dyDescent="0.3">
      <c r="AG2141" s="2"/>
    </row>
    <row r="2142" spans="33:33" ht="15" customHeight="1" x14ac:dyDescent="0.3">
      <c r="AG2142" s="2"/>
    </row>
    <row r="2143" spans="33:33" ht="15" customHeight="1" x14ac:dyDescent="0.3">
      <c r="AG2143" s="2"/>
    </row>
    <row r="2144" spans="33:33" ht="15" customHeight="1" x14ac:dyDescent="0.3">
      <c r="AG2144" s="2"/>
    </row>
    <row r="2145" spans="33:33" ht="15" customHeight="1" x14ac:dyDescent="0.3">
      <c r="AG2145" s="2"/>
    </row>
    <row r="2146" spans="33:33" ht="15" customHeight="1" x14ac:dyDescent="0.3">
      <c r="AG2146" s="2"/>
    </row>
    <row r="2147" spans="33:33" ht="15" customHeight="1" x14ac:dyDescent="0.3">
      <c r="AG2147" s="2"/>
    </row>
    <row r="2148" spans="33:33" ht="15" customHeight="1" x14ac:dyDescent="0.3">
      <c r="AG2148" s="2"/>
    </row>
    <row r="2149" spans="33:33" ht="15" customHeight="1" x14ac:dyDescent="0.3">
      <c r="AG2149" s="2"/>
    </row>
    <row r="2150" spans="33:33" ht="15" customHeight="1" x14ac:dyDescent="0.3">
      <c r="AG2150" s="2"/>
    </row>
    <row r="2151" spans="33:33" ht="15" customHeight="1" x14ac:dyDescent="0.3">
      <c r="AG2151" s="2"/>
    </row>
    <row r="2152" spans="33:33" ht="15" customHeight="1" x14ac:dyDescent="0.3">
      <c r="AG2152" s="2"/>
    </row>
    <row r="2153" spans="33:33" ht="15" customHeight="1" x14ac:dyDescent="0.3">
      <c r="AG2153" s="2"/>
    </row>
    <row r="2154" spans="33:33" ht="15" customHeight="1" x14ac:dyDescent="0.3">
      <c r="AG2154" s="2"/>
    </row>
    <row r="2155" spans="33:33" ht="15" customHeight="1" x14ac:dyDescent="0.3">
      <c r="AG2155" s="2"/>
    </row>
    <row r="2156" spans="33:33" ht="15" customHeight="1" x14ac:dyDescent="0.3">
      <c r="AG2156" s="2"/>
    </row>
    <row r="2157" spans="33:33" ht="15" customHeight="1" x14ac:dyDescent="0.3">
      <c r="AG2157" s="2"/>
    </row>
    <row r="2158" spans="33:33" ht="15" customHeight="1" x14ac:dyDescent="0.3">
      <c r="AG2158" s="2"/>
    </row>
    <row r="2159" spans="33:33" ht="15" customHeight="1" x14ac:dyDescent="0.3">
      <c r="AG2159" s="2"/>
    </row>
    <row r="2160" spans="33:33" ht="15" customHeight="1" x14ac:dyDescent="0.3">
      <c r="AG2160" s="2"/>
    </row>
    <row r="2161" spans="33:33" ht="15" customHeight="1" x14ac:dyDescent="0.3">
      <c r="AG2161" s="2"/>
    </row>
    <row r="2162" spans="33:33" ht="15" customHeight="1" x14ac:dyDescent="0.3">
      <c r="AG2162" s="2"/>
    </row>
    <row r="2163" spans="33:33" ht="15" customHeight="1" x14ac:dyDescent="0.3">
      <c r="AG2163" s="2"/>
    </row>
    <row r="2164" spans="33:33" ht="15" customHeight="1" x14ac:dyDescent="0.3">
      <c r="AG2164" s="2"/>
    </row>
    <row r="2165" spans="33:33" ht="15" customHeight="1" x14ac:dyDescent="0.3">
      <c r="AG2165" s="2"/>
    </row>
    <row r="2166" spans="33:33" ht="15" customHeight="1" x14ac:dyDescent="0.3">
      <c r="AG2166" s="2"/>
    </row>
    <row r="2167" spans="33:33" ht="15" customHeight="1" x14ac:dyDescent="0.3">
      <c r="AG2167" s="2"/>
    </row>
    <row r="2168" spans="33:33" ht="15" customHeight="1" x14ac:dyDescent="0.3">
      <c r="AG2168" s="2"/>
    </row>
    <row r="2169" spans="33:33" ht="15" customHeight="1" x14ac:dyDescent="0.3">
      <c r="AG2169" s="2"/>
    </row>
    <row r="2170" spans="33:33" ht="15" customHeight="1" x14ac:dyDescent="0.3">
      <c r="AG2170" s="2"/>
    </row>
    <row r="2171" spans="33:33" ht="15" customHeight="1" x14ac:dyDescent="0.3">
      <c r="AG2171" s="2"/>
    </row>
    <row r="2172" spans="33:33" ht="15" customHeight="1" x14ac:dyDescent="0.3">
      <c r="AG2172" s="2"/>
    </row>
    <row r="2173" spans="33:33" ht="15" customHeight="1" x14ac:dyDescent="0.3">
      <c r="AG2173" s="2"/>
    </row>
    <row r="2174" spans="33:33" ht="15" customHeight="1" x14ac:dyDescent="0.3">
      <c r="AG2174" s="2"/>
    </row>
    <row r="2175" spans="33:33" ht="15" customHeight="1" x14ac:dyDescent="0.3">
      <c r="AG2175" s="2"/>
    </row>
    <row r="2176" spans="33:33" ht="15" customHeight="1" x14ac:dyDescent="0.3">
      <c r="AG2176" s="2"/>
    </row>
    <row r="2177" spans="33:33" ht="15" customHeight="1" x14ac:dyDescent="0.3">
      <c r="AG2177" s="2"/>
    </row>
    <row r="2178" spans="33:33" ht="15" customHeight="1" x14ac:dyDescent="0.3">
      <c r="AG2178" s="2"/>
    </row>
    <row r="2179" spans="33:33" ht="15" customHeight="1" x14ac:dyDescent="0.3">
      <c r="AG2179" s="2"/>
    </row>
    <row r="2180" spans="33:33" ht="15" customHeight="1" x14ac:dyDescent="0.3">
      <c r="AG2180" s="2"/>
    </row>
    <row r="2181" spans="33:33" ht="15" customHeight="1" x14ac:dyDescent="0.3">
      <c r="AG2181" s="2"/>
    </row>
    <row r="2182" spans="33:33" ht="15" customHeight="1" x14ac:dyDescent="0.3">
      <c r="AG2182" s="2"/>
    </row>
    <row r="2183" spans="33:33" ht="15" customHeight="1" x14ac:dyDescent="0.3">
      <c r="AG2183" s="2"/>
    </row>
    <row r="2184" spans="33:33" ht="15" customHeight="1" x14ac:dyDescent="0.3">
      <c r="AG2184" s="2"/>
    </row>
    <row r="2185" spans="33:33" ht="15" customHeight="1" x14ac:dyDescent="0.3">
      <c r="AG2185" s="2"/>
    </row>
    <row r="2186" spans="33:33" ht="15" customHeight="1" x14ac:dyDescent="0.3">
      <c r="AG2186" s="2"/>
    </row>
    <row r="2187" spans="33:33" ht="15" customHeight="1" x14ac:dyDescent="0.3">
      <c r="AG2187" s="2"/>
    </row>
    <row r="2188" spans="33:33" ht="15" customHeight="1" x14ac:dyDescent="0.3">
      <c r="AG2188" s="2"/>
    </row>
    <row r="2189" spans="33:33" ht="15" customHeight="1" x14ac:dyDescent="0.3">
      <c r="AG2189" s="2"/>
    </row>
    <row r="2190" spans="33:33" ht="15" customHeight="1" x14ac:dyDescent="0.3">
      <c r="AG2190" s="2"/>
    </row>
    <row r="2191" spans="33:33" ht="15" customHeight="1" x14ac:dyDescent="0.3">
      <c r="AG2191" s="2"/>
    </row>
    <row r="2192" spans="33:33" ht="15" customHeight="1" x14ac:dyDescent="0.3">
      <c r="AG2192" s="2"/>
    </row>
    <row r="2193" spans="33:33" ht="15" customHeight="1" x14ac:dyDescent="0.3">
      <c r="AG2193" s="2"/>
    </row>
    <row r="2194" spans="33:33" ht="15" customHeight="1" x14ac:dyDescent="0.3">
      <c r="AG2194" s="2"/>
    </row>
    <row r="2195" spans="33:33" ht="15" customHeight="1" x14ac:dyDescent="0.3">
      <c r="AG2195" s="2"/>
    </row>
    <row r="2196" spans="33:33" ht="15" customHeight="1" x14ac:dyDescent="0.3">
      <c r="AG2196" s="2"/>
    </row>
    <row r="2197" spans="33:33" ht="15" customHeight="1" x14ac:dyDescent="0.3">
      <c r="AG2197" s="2"/>
    </row>
    <row r="2198" spans="33:33" ht="15" customHeight="1" x14ac:dyDescent="0.3">
      <c r="AG2198" s="2"/>
    </row>
    <row r="2199" spans="33:33" ht="15" customHeight="1" x14ac:dyDescent="0.3">
      <c r="AG2199" s="2"/>
    </row>
    <row r="2200" spans="33:33" ht="15" customHeight="1" x14ac:dyDescent="0.3">
      <c r="AG2200" s="2"/>
    </row>
    <row r="2201" spans="33:33" ht="15" customHeight="1" x14ac:dyDescent="0.3">
      <c r="AG2201" s="2"/>
    </row>
    <row r="2202" spans="33:33" ht="15" customHeight="1" x14ac:dyDescent="0.3">
      <c r="AG2202" s="2"/>
    </row>
    <row r="2203" spans="33:33" ht="15" customHeight="1" x14ac:dyDescent="0.3">
      <c r="AG2203" s="2"/>
    </row>
    <row r="2204" spans="33:33" ht="15" customHeight="1" x14ac:dyDescent="0.3">
      <c r="AG2204" s="2"/>
    </row>
    <row r="2205" spans="33:33" ht="15" customHeight="1" x14ac:dyDescent="0.3">
      <c r="AG2205" s="2"/>
    </row>
    <row r="2206" spans="33:33" ht="15" customHeight="1" x14ac:dyDescent="0.3">
      <c r="AG2206" s="2"/>
    </row>
    <row r="2207" spans="33:33" ht="15" customHeight="1" x14ac:dyDescent="0.3">
      <c r="AG2207" s="2"/>
    </row>
    <row r="2208" spans="33:33" ht="15" customHeight="1" x14ac:dyDescent="0.3">
      <c r="AG2208" s="2"/>
    </row>
    <row r="2209" spans="33:33" ht="15" customHeight="1" x14ac:dyDescent="0.3">
      <c r="AG2209" s="2"/>
    </row>
    <row r="2210" spans="33:33" ht="15" customHeight="1" x14ac:dyDescent="0.3">
      <c r="AG2210" s="2"/>
    </row>
    <row r="2211" spans="33:33" ht="15" customHeight="1" x14ac:dyDescent="0.3">
      <c r="AG2211" s="2"/>
    </row>
    <row r="2212" spans="33:33" ht="15" customHeight="1" x14ac:dyDescent="0.3">
      <c r="AG2212" s="2"/>
    </row>
    <row r="2213" spans="33:33" ht="15" customHeight="1" x14ac:dyDescent="0.3">
      <c r="AG2213" s="2"/>
    </row>
    <row r="2214" spans="33:33" ht="15" customHeight="1" x14ac:dyDescent="0.3">
      <c r="AG2214" s="2"/>
    </row>
    <row r="2215" spans="33:33" ht="15" customHeight="1" x14ac:dyDescent="0.3">
      <c r="AG2215" s="2"/>
    </row>
    <row r="2216" spans="33:33" ht="15" customHeight="1" x14ac:dyDescent="0.3">
      <c r="AG2216" s="2"/>
    </row>
    <row r="2217" spans="33:33" ht="15" customHeight="1" x14ac:dyDescent="0.3">
      <c r="AG2217" s="2"/>
    </row>
    <row r="2218" spans="33:33" ht="15" customHeight="1" x14ac:dyDescent="0.3">
      <c r="AG2218" s="2"/>
    </row>
    <row r="2219" spans="33:33" ht="15" customHeight="1" x14ac:dyDescent="0.3">
      <c r="AG2219" s="2"/>
    </row>
    <row r="2220" spans="33:33" ht="15" customHeight="1" x14ac:dyDescent="0.3">
      <c r="AG2220" s="2"/>
    </row>
    <row r="2221" spans="33:33" ht="15" customHeight="1" x14ac:dyDescent="0.3">
      <c r="AG2221" s="2"/>
    </row>
    <row r="2222" spans="33:33" ht="15" customHeight="1" x14ac:dyDescent="0.3">
      <c r="AG2222" s="2"/>
    </row>
    <row r="2223" spans="33:33" ht="15" customHeight="1" x14ac:dyDescent="0.3">
      <c r="AG2223" s="2"/>
    </row>
    <row r="2224" spans="33:33" ht="15" customHeight="1" x14ac:dyDescent="0.3">
      <c r="AG2224" s="2"/>
    </row>
    <row r="2225" spans="33:33" ht="15" customHeight="1" x14ac:dyDescent="0.3">
      <c r="AG2225" s="2"/>
    </row>
    <row r="2226" spans="33:33" ht="15" customHeight="1" x14ac:dyDescent="0.3">
      <c r="AG2226" s="2"/>
    </row>
    <row r="2227" spans="33:33" ht="15" customHeight="1" x14ac:dyDescent="0.3">
      <c r="AG2227" s="2"/>
    </row>
    <row r="2228" spans="33:33" ht="15" customHeight="1" x14ac:dyDescent="0.3">
      <c r="AG2228" s="2"/>
    </row>
    <row r="2229" spans="33:33" ht="15" customHeight="1" x14ac:dyDescent="0.3">
      <c r="AG2229" s="2"/>
    </row>
    <row r="2230" spans="33:33" ht="15" customHeight="1" x14ac:dyDescent="0.3">
      <c r="AG2230" s="2"/>
    </row>
    <row r="2231" spans="33:33" ht="15" customHeight="1" x14ac:dyDescent="0.3">
      <c r="AG2231" s="2"/>
    </row>
    <row r="2232" spans="33:33" ht="15" customHeight="1" x14ac:dyDescent="0.3">
      <c r="AG2232" s="2"/>
    </row>
    <row r="2233" spans="33:33" ht="15" customHeight="1" x14ac:dyDescent="0.3">
      <c r="AG2233" s="2"/>
    </row>
    <row r="2234" spans="33:33" ht="15" customHeight="1" x14ac:dyDescent="0.3">
      <c r="AG2234" s="2"/>
    </row>
    <row r="2235" spans="33:33" ht="15" customHeight="1" x14ac:dyDescent="0.3">
      <c r="AG2235" s="2"/>
    </row>
    <row r="2236" spans="33:33" ht="15" customHeight="1" x14ac:dyDescent="0.3">
      <c r="AG2236" s="2"/>
    </row>
    <row r="2237" spans="33:33" ht="15" customHeight="1" x14ac:dyDescent="0.3">
      <c r="AG2237" s="2"/>
    </row>
    <row r="2238" spans="33:33" ht="15" customHeight="1" x14ac:dyDescent="0.3">
      <c r="AG2238" s="2"/>
    </row>
    <row r="2239" spans="33:33" ht="15" customHeight="1" x14ac:dyDescent="0.3">
      <c r="AG2239" s="2"/>
    </row>
    <row r="2240" spans="33:33" ht="15" customHeight="1" x14ac:dyDescent="0.3">
      <c r="AG2240" s="2"/>
    </row>
    <row r="2241" spans="33:33" ht="15" customHeight="1" x14ac:dyDescent="0.3">
      <c r="AG2241" s="2"/>
    </row>
    <row r="2242" spans="33:33" ht="15" customHeight="1" x14ac:dyDescent="0.3">
      <c r="AG2242" s="2"/>
    </row>
    <row r="2243" spans="33:33" ht="15" customHeight="1" x14ac:dyDescent="0.3">
      <c r="AG2243" s="2"/>
    </row>
    <row r="2244" spans="33:33" ht="15" customHeight="1" x14ac:dyDescent="0.3">
      <c r="AG2244" s="2"/>
    </row>
    <row r="2245" spans="33:33" ht="15" customHeight="1" x14ac:dyDescent="0.3">
      <c r="AG2245" s="2"/>
    </row>
    <row r="2246" spans="33:33" ht="15" customHeight="1" x14ac:dyDescent="0.3">
      <c r="AG2246" s="2"/>
    </row>
    <row r="2247" spans="33:33" ht="15" customHeight="1" x14ac:dyDescent="0.3">
      <c r="AG2247" s="2"/>
    </row>
    <row r="2248" spans="33:33" ht="15" customHeight="1" x14ac:dyDescent="0.3">
      <c r="AG2248" s="2"/>
    </row>
    <row r="2249" spans="33:33" ht="15" customHeight="1" x14ac:dyDescent="0.3">
      <c r="AG2249" s="2"/>
    </row>
    <row r="2250" spans="33:33" ht="15" customHeight="1" x14ac:dyDescent="0.3">
      <c r="AG2250" s="2"/>
    </row>
    <row r="2251" spans="33:33" ht="15" customHeight="1" x14ac:dyDescent="0.3">
      <c r="AG2251" s="2"/>
    </row>
    <row r="2252" spans="33:33" ht="15" customHeight="1" x14ac:dyDescent="0.3">
      <c r="AG2252" s="2"/>
    </row>
    <row r="2253" spans="33:33" ht="15" customHeight="1" x14ac:dyDescent="0.3">
      <c r="AG2253" s="2"/>
    </row>
    <row r="2254" spans="33:33" ht="15" customHeight="1" x14ac:dyDescent="0.3">
      <c r="AG2254" s="2"/>
    </row>
    <row r="2255" spans="33:33" ht="15" customHeight="1" x14ac:dyDescent="0.3">
      <c r="AG2255" s="2"/>
    </row>
    <row r="2256" spans="33:33" ht="15" customHeight="1" x14ac:dyDescent="0.3">
      <c r="AG2256" s="2"/>
    </row>
    <row r="2257" spans="33:33" ht="15" customHeight="1" x14ac:dyDescent="0.3">
      <c r="AG2257" s="2"/>
    </row>
    <row r="2258" spans="33:33" ht="15" customHeight="1" x14ac:dyDescent="0.3">
      <c r="AG2258" s="2"/>
    </row>
    <row r="2259" spans="33:33" ht="15" customHeight="1" x14ac:dyDescent="0.3">
      <c r="AG2259" s="2"/>
    </row>
    <row r="2260" spans="33:33" ht="15" customHeight="1" x14ac:dyDescent="0.3">
      <c r="AG2260" s="2"/>
    </row>
    <row r="2261" spans="33:33" ht="15" customHeight="1" x14ac:dyDescent="0.3">
      <c r="AG2261" s="2"/>
    </row>
    <row r="2262" spans="33:33" ht="15" customHeight="1" x14ac:dyDescent="0.3">
      <c r="AG2262" s="2"/>
    </row>
    <row r="2263" spans="33:33" ht="15" customHeight="1" x14ac:dyDescent="0.3">
      <c r="AG2263" s="2"/>
    </row>
    <row r="2264" spans="33:33" ht="15" customHeight="1" x14ac:dyDescent="0.3">
      <c r="AG2264" s="2"/>
    </row>
    <row r="2265" spans="33:33" ht="15" customHeight="1" x14ac:dyDescent="0.3">
      <c r="AG2265" s="2"/>
    </row>
    <row r="2266" spans="33:33" ht="15" customHeight="1" x14ac:dyDescent="0.3">
      <c r="AG2266" s="2"/>
    </row>
    <row r="2267" spans="33:33" ht="15" customHeight="1" x14ac:dyDescent="0.3">
      <c r="AG2267" s="2"/>
    </row>
    <row r="2268" spans="33:33" ht="15" customHeight="1" x14ac:dyDescent="0.3">
      <c r="AG2268" s="2"/>
    </row>
    <row r="2269" spans="33:33" ht="15" customHeight="1" x14ac:dyDescent="0.3">
      <c r="AG2269" s="2"/>
    </row>
    <row r="2270" spans="33:33" ht="15" customHeight="1" x14ac:dyDescent="0.3">
      <c r="AG2270" s="2"/>
    </row>
    <row r="2271" spans="33:33" ht="15" customHeight="1" x14ac:dyDescent="0.3">
      <c r="AG2271" s="2"/>
    </row>
    <row r="2272" spans="33:33" ht="15" customHeight="1" x14ac:dyDescent="0.3">
      <c r="AG2272" s="2"/>
    </row>
    <row r="2273" spans="33:33" ht="15" customHeight="1" x14ac:dyDescent="0.3">
      <c r="AG2273" s="2"/>
    </row>
    <row r="2274" spans="33:33" ht="15" customHeight="1" x14ac:dyDescent="0.3">
      <c r="AG2274" s="2"/>
    </row>
    <row r="2275" spans="33:33" ht="15" customHeight="1" x14ac:dyDescent="0.3">
      <c r="AG2275" s="2"/>
    </row>
    <row r="2276" spans="33:33" ht="15" customHeight="1" x14ac:dyDescent="0.3">
      <c r="AG2276" s="2"/>
    </row>
    <row r="2277" spans="33:33" ht="15" customHeight="1" x14ac:dyDescent="0.3">
      <c r="AG2277" s="2"/>
    </row>
    <row r="2278" spans="33:33" ht="15" customHeight="1" x14ac:dyDescent="0.3">
      <c r="AG2278" s="2"/>
    </row>
    <row r="2279" spans="33:33" ht="15" customHeight="1" x14ac:dyDescent="0.3">
      <c r="AG2279" s="2"/>
    </row>
    <row r="2280" spans="33:33" ht="15" customHeight="1" x14ac:dyDescent="0.3">
      <c r="AG2280" s="2"/>
    </row>
    <row r="2281" spans="33:33" ht="15" customHeight="1" x14ac:dyDescent="0.3">
      <c r="AG2281" s="2"/>
    </row>
    <row r="2282" spans="33:33" ht="15" customHeight="1" x14ac:dyDescent="0.3">
      <c r="AG2282" s="2"/>
    </row>
    <row r="2283" spans="33:33" ht="15" customHeight="1" x14ac:dyDescent="0.3">
      <c r="AG2283" s="2"/>
    </row>
    <row r="2284" spans="33:33" ht="15" customHeight="1" x14ac:dyDescent="0.3">
      <c r="AG2284" s="2"/>
    </row>
    <row r="2285" spans="33:33" ht="15" customHeight="1" x14ac:dyDescent="0.3">
      <c r="AG2285" s="2"/>
    </row>
    <row r="2286" spans="33:33" ht="15" customHeight="1" x14ac:dyDescent="0.3">
      <c r="AG2286" s="2"/>
    </row>
    <row r="2287" spans="33:33" ht="15" customHeight="1" x14ac:dyDescent="0.3">
      <c r="AG2287" s="2"/>
    </row>
    <row r="2288" spans="33:33" ht="15" customHeight="1" x14ac:dyDescent="0.3">
      <c r="AG2288" s="2"/>
    </row>
    <row r="2289" spans="33:33" ht="15" customHeight="1" x14ac:dyDescent="0.3">
      <c r="AG2289" s="2"/>
    </row>
    <row r="2290" spans="33:33" ht="15" customHeight="1" x14ac:dyDescent="0.3">
      <c r="AG2290" s="2"/>
    </row>
    <row r="2291" spans="33:33" ht="15" customHeight="1" x14ac:dyDescent="0.3">
      <c r="AG2291" s="2"/>
    </row>
    <row r="2292" spans="33:33" ht="15" customHeight="1" x14ac:dyDescent="0.3">
      <c r="AG2292" s="2"/>
    </row>
    <row r="2293" spans="33:33" ht="15" customHeight="1" x14ac:dyDescent="0.3">
      <c r="AG2293" s="2"/>
    </row>
    <row r="2294" spans="33:33" ht="15" customHeight="1" x14ac:dyDescent="0.3">
      <c r="AG2294" s="2"/>
    </row>
    <row r="2295" spans="33:33" ht="15" customHeight="1" x14ac:dyDescent="0.3">
      <c r="AG2295" s="2"/>
    </row>
    <row r="2296" spans="33:33" ht="15" customHeight="1" x14ac:dyDescent="0.3">
      <c r="AG2296" s="2"/>
    </row>
    <row r="2297" spans="33:33" ht="15" customHeight="1" x14ac:dyDescent="0.3">
      <c r="AG2297" s="2"/>
    </row>
    <row r="2298" spans="33:33" ht="15" customHeight="1" x14ac:dyDescent="0.3">
      <c r="AG2298" s="2"/>
    </row>
    <row r="2299" spans="33:33" ht="15" customHeight="1" x14ac:dyDescent="0.3">
      <c r="AG2299" s="2"/>
    </row>
    <row r="2300" spans="33:33" ht="15" customHeight="1" x14ac:dyDescent="0.3">
      <c r="AG2300" s="2"/>
    </row>
    <row r="2301" spans="33:33" ht="15" customHeight="1" x14ac:dyDescent="0.3">
      <c r="AG2301" s="2"/>
    </row>
    <row r="2302" spans="33:33" ht="15" customHeight="1" x14ac:dyDescent="0.3">
      <c r="AG2302" s="2"/>
    </row>
    <row r="2303" spans="33:33" ht="15" customHeight="1" x14ac:dyDescent="0.3">
      <c r="AG2303" s="2"/>
    </row>
    <row r="2304" spans="33:33" ht="15" customHeight="1" x14ac:dyDescent="0.3">
      <c r="AG2304" s="2"/>
    </row>
    <row r="2305" spans="33:33" ht="15" customHeight="1" x14ac:dyDescent="0.3">
      <c r="AG2305" s="2"/>
    </row>
    <row r="2306" spans="33:33" ht="15" customHeight="1" x14ac:dyDescent="0.3">
      <c r="AG2306" s="2"/>
    </row>
    <row r="2307" spans="33:33" ht="15" customHeight="1" x14ac:dyDescent="0.3">
      <c r="AG2307" s="2"/>
    </row>
    <row r="2308" spans="33:33" ht="15" customHeight="1" x14ac:dyDescent="0.3">
      <c r="AG2308" s="2"/>
    </row>
    <row r="2309" spans="33:33" ht="15" customHeight="1" x14ac:dyDescent="0.3">
      <c r="AG2309" s="2"/>
    </row>
    <row r="2310" spans="33:33" ht="15" customHeight="1" x14ac:dyDescent="0.3">
      <c r="AG2310" s="2"/>
    </row>
    <row r="2311" spans="33:33" ht="15" customHeight="1" x14ac:dyDescent="0.3">
      <c r="AG2311" s="2"/>
    </row>
    <row r="2312" spans="33:33" ht="15" customHeight="1" x14ac:dyDescent="0.3">
      <c r="AG2312" s="2"/>
    </row>
    <row r="2313" spans="33:33" ht="15" customHeight="1" x14ac:dyDescent="0.3">
      <c r="AG2313" s="2"/>
    </row>
    <row r="2314" spans="33:33" ht="15" customHeight="1" x14ac:dyDescent="0.3">
      <c r="AG2314" s="2"/>
    </row>
    <row r="2315" spans="33:33" ht="15" customHeight="1" x14ac:dyDescent="0.3">
      <c r="AG2315" s="2"/>
    </row>
    <row r="2316" spans="33:33" ht="15" customHeight="1" x14ac:dyDescent="0.3">
      <c r="AG2316" s="2"/>
    </row>
    <row r="2317" spans="33:33" ht="15" customHeight="1" x14ac:dyDescent="0.3">
      <c r="AG2317" s="2"/>
    </row>
    <row r="2318" spans="33:33" ht="15" customHeight="1" x14ac:dyDescent="0.3">
      <c r="AG2318" s="2"/>
    </row>
    <row r="2319" spans="33:33" ht="15" customHeight="1" x14ac:dyDescent="0.3">
      <c r="AG2319" s="2"/>
    </row>
    <row r="2320" spans="33:33" ht="15" customHeight="1" x14ac:dyDescent="0.3">
      <c r="AG2320" s="2"/>
    </row>
    <row r="2321" spans="33:33" ht="15" customHeight="1" x14ac:dyDescent="0.3">
      <c r="AG2321" s="2"/>
    </row>
    <row r="2322" spans="33:33" ht="15" customHeight="1" x14ac:dyDescent="0.3">
      <c r="AG2322" s="2"/>
    </row>
    <row r="2323" spans="33:33" ht="15" customHeight="1" x14ac:dyDescent="0.3">
      <c r="AG2323" s="2"/>
    </row>
    <row r="2324" spans="33:33" ht="15" customHeight="1" x14ac:dyDescent="0.3">
      <c r="AG2324" s="2"/>
    </row>
    <row r="2325" spans="33:33" ht="15" customHeight="1" x14ac:dyDescent="0.3">
      <c r="AG2325" s="2"/>
    </row>
    <row r="2326" spans="33:33" ht="15" customHeight="1" x14ac:dyDescent="0.3">
      <c r="AG2326" s="2"/>
    </row>
    <row r="2327" spans="33:33" ht="15" customHeight="1" x14ac:dyDescent="0.3">
      <c r="AG2327" s="2"/>
    </row>
    <row r="2328" spans="33:33" ht="15" customHeight="1" x14ac:dyDescent="0.3">
      <c r="AG2328" s="2"/>
    </row>
    <row r="2329" spans="33:33" ht="15" customHeight="1" x14ac:dyDescent="0.3">
      <c r="AG2329" s="2"/>
    </row>
    <row r="2330" spans="33:33" ht="15" customHeight="1" x14ac:dyDescent="0.3">
      <c r="AG2330" s="2"/>
    </row>
    <row r="2331" spans="33:33" ht="15" customHeight="1" x14ac:dyDescent="0.3">
      <c r="AG2331" s="2"/>
    </row>
    <row r="2332" spans="33:33" ht="15" customHeight="1" x14ac:dyDescent="0.3">
      <c r="AG2332" s="2"/>
    </row>
    <row r="2333" spans="33:33" ht="15" customHeight="1" x14ac:dyDescent="0.3">
      <c r="AG2333" s="2"/>
    </row>
    <row r="2334" spans="33:33" ht="15" customHeight="1" x14ac:dyDescent="0.3">
      <c r="AG2334" s="2"/>
    </row>
    <row r="2335" spans="33:33" ht="15" customHeight="1" x14ac:dyDescent="0.3">
      <c r="AG2335" s="2"/>
    </row>
    <row r="2336" spans="33:33" ht="15" customHeight="1" x14ac:dyDescent="0.3">
      <c r="AG2336" s="2"/>
    </row>
    <row r="2337" spans="33:33" ht="15" customHeight="1" x14ac:dyDescent="0.3">
      <c r="AG2337" s="2"/>
    </row>
    <row r="2338" spans="33:33" ht="15" customHeight="1" x14ac:dyDescent="0.3">
      <c r="AG2338" s="2"/>
    </row>
    <row r="2339" spans="33:33" ht="15" customHeight="1" x14ac:dyDescent="0.3">
      <c r="AG2339" s="2"/>
    </row>
    <row r="2340" spans="33:33" ht="15" customHeight="1" x14ac:dyDescent="0.3">
      <c r="AG2340" s="2"/>
    </row>
    <row r="2341" spans="33:33" ht="15" customHeight="1" x14ac:dyDescent="0.3">
      <c r="AG2341" s="2"/>
    </row>
    <row r="2342" spans="33:33" ht="15" customHeight="1" x14ac:dyDescent="0.3">
      <c r="AG2342" s="2"/>
    </row>
    <row r="2343" spans="33:33" ht="15" customHeight="1" x14ac:dyDescent="0.3">
      <c r="AG2343" s="2"/>
    </row>
    <row r="2344" spans="33:33" ht="15" customHeight="1" x14ac:dyDescent="0.3">
      <c r="AG2344" s="2"/>
    </row>
    <row r="2345" spans="33:33" ht="15" customHeight="1" x14ac:dyDescent="0.3">
      <c r="AG2345" s="2"/>
    </row>
    <row r="2346" spans="33:33" ht="15" customHeight="1" x14ac:dyDescent="0.3">
      <c r="AG2346" s="2"/>
    </row>
    <row r="2347" spans="33:33" ht="15" customHeight="1" x14ac:dyDescent="0.3">
      <c r="AG2347" s="2"/>
    </row>
    <row r="2348" spans="33:33" ht="15" customHeight="1" x14ac:dyDescent="0.3">
      <c r="AG2348" s="2"/>
    </row>
    <row r="2349" spans="33:33" ht="15" customHeight="1" x14ac:dyDescent="0.3">
      <c r="AG2349" s="2"/>
    </row>
    <row r="2350" spans="33:33" ht="15" customHeight="1" x14ac:dyDescent="0.3">
      <c r="AG2350" s="2"/>
    </row>
    <row r="2351" spans="33:33" ht="15" customHeight="1" x14ac:dyDescent="0.3">
      <c r="AG2351" s="2"/>
    </row>
    <row r="2352" spans="33:33" ht="15" customHeight="1" x14ac:dyDescent="0.3">
      <c r="AG2352" s="2"/>
    </row>
    <row r="2353" spans="33:33" ht="15" customHeight="1" x14ac:dyDescent="0.3">
      <c r="AG2353" s="2"/>
    </row>
    <row r="2354" spans="33:33" ht="15" customHeight="1" x14ac:dyDescent="0.3">
      <c r="AG2354" s="2"/>
    </row>
    <row r="2355" spans="33:33" ht="15" customHeight="1" x14ac:dyDescent="0.3">
      <c r="AG2355" s="2"/>
    </row>
    <row r="2356" spans="33:33" ht="15" customHeight="1" x14ac:dyDescent="0.3">
      <c r="AG2356" s="2"/>
    </row>
    <row r="2357" spans="33:33" ht="15" customHeight="1" x14ac:dyDescent="0.3">
      <c r="AG2357" s="2"/>
    </row>
    <row r="2358" spans="33:33" ht="15" customHeight="1" x14ac:dyDescent="0.3">
      <c r="AG2358" s="2"/>
    </row>
    <row r="2359" spans="33:33" ht="15" customHeight="1" x14ac:dyDescent="0.3">
      <c r="AG2359" s="2"/>
    </row>
    <row r="2360" spans="33:33" ht="15" customHeight="1" x14ac:dyDescent="0.3">
      <c r="AG2360" s="2"/>
    </row>
    <row r="2361" spans="33:33" ht="15" customHeight="1" x14ac:dyDescent="0.3">
      <c r="AG2361" s="2"/>
    </row>
    <row r="2362" spans="33:33" ht="15" customHeight="1" x14ac:dyDescent="0.3">
      <c r="AG2362" s="2"/>
    </row>
    <row r="2363" spans="33:33" ht="15" customHeight="1" x14ac:dyDescent="0.3">
      <c r="AG2363" s="2"/>
    </row>
    <row r="2364" spans="33:33" ht="15" customHeight="1" x14ac:dyDescent="0.3">
      <c r="AG2364" s="2"/>
    </row>
    <row r="2365" spans="33:33" ht="15" customHeight="1" x14ac:dyDescent="0.3">
      <c r="AG2365" s="2"/>
    </row>
    <row r="2366" spans="33:33" ht="15" customHeight="1" x14ac:dyDescent="0.3">
      <c r="AG2366" s="2"/>
    </row>
    <row r="2367" spans="33:33" ht="15" customHeight="1" x14ac:dyDescent="0.3">
      <c r="AG2367" s="2"/>
    </row>
    <row r="2368" spans="33:33" ht="15" customHeight="1" x14ac:dyDescent="0.3">
      <c r="AG2368" s="2"/>
    </row>
    <row r="2369" spans="33:33" ht="15" customHeight="1" x14ac:dyDescent="0.3">
      <c r="AG2369" s="2"/>
    </row>
    <row r="2370" spans="33:33" ht="15" customHeight="1" x14ac:dyDescent="0.3">
      <c r="AG2370" s="2"/>
    </row>
    <row r="2371" spans="33:33" ht="15" customHeight="1" x14ac:dyDescent="0.3">
      <c r="AG2371" s="2"/>
    </row>
    <row r="2372" spans="33:33" ht="15" customHeight="1" x14ac:dyDescent="0.3">
      <c r="AG2372" s="2"/>
    </row>
    <row r="2373" spans="33:33" ht="15" customHeight="1" x14ac:dyDescent="0.3">
      <c r="AG2373" s="2"/>
    </row>
    <row r="2374" spans="33:33" ht="15" customHeight="1" x14ac:dyDescent="0.3">
      <c r="AG2374" s="2"/>
    </row>
    <row r="2375" spans="33:33" ht="15" customHeight="1" x14ac:dyDescent="0.3">
      <c r="AG2375" s="2"/>
    </row>
    <row r="2376" spans="33:33" ht="15" customHeight="1" x14ac:dyDescent="0.3">
      <c r="AG2376" s="2"/>
    </row>
    <row r="2377" spans="33:33" ht="15" customHeight="1" x14ac:dyDescent="0.3">
      <c r="AG2377" s="2"/>
    </row>
    <row r="2378" spans="33:33" ht="15" customHeight="1" x14ac:dyDescent="0.3">
      <c r="AG2378" s="2"/>
    </row>
    <row r="2379" spans="33:33" ht="15" customHeight="1" x14ac:dyDescent="0.3">
      <c r="AG2379" s="2"/>
    </row>
    <row r="2380" spans="33:33" ht="15" customHeight="1" x14ac:dyDescent="0.3">
      <c r="AG2380" s="2"/>
    </row>
    <row r="2381" spans="33:33" ht="15" customHeight="1" x14ac:dyDescent="0.3">
      <c r="AG2381" s="2"/>
    </row>
    <row r="2382" spans="33:33" ht="15" customHeight="1" x14ac:dyDescent="0.3">
      <c r="AG2382" s="2"/>
    </row>
    <row r="2383" spans="33:33" ht="15" customHeight="1" x14ac:dyDescent="0.3">
      <c r="AG2383" s="2"/>
    </row>
    <row r="2384" spans="33:33" ht="15" customHeight="1" x14ac:dyDescent="0.3">
      <c r="AG2384" s="2"/>
    </row>
    <row r="2385" spans="33:33" ht="15" customHeight="1" x14ac:dyDescent="0.3">
      <c r="AG2385" s="2"/>
    </row>
    <row r="2386" spans="33:33" ht="15" customHeight="1" x14ac:dyDescent="0.3">
      <c r="AG2386" s="2"/>
    </row>
    <row r="2387" spans="33:33" ht="15" customHeight="1" x14ac:dyDescent="0.3">
      <c r="AG2387" s="2"/>
    </row>
    <row r="2388" spans="33:33" ht="15" customHeight="1" x14ac:dyDescent="0.3">
      <c r="AG2388" s="2"/>
    </row>
    <row r="2389" spans="33:33" ht="15" customHeight="1" x14ac:dyDescent="0.3">
      <c r="AG2389" s="2"/>
    </row>
    <row r="2390" spans="33:33" ht="15" customHeight="1" x14ac:dyDescent="0.3">
      <c r="AG2390" s="2"/>
    </row>
    <row r="2391" spans="33:33" ht="15" customHeight="1" x14ac:dyDescent="0.3">
      <c r="AG2391" s="2"/>
    </row>
    <row r="2392" spans="33:33" ht="15" customHeight="1" x14ac:dyDescent="0.3">
      <c r="AG2392" s="2"/>
    </row>
    <row r="2393" spans="33:33" ht="15" customHeight="1" x14ac:dyDescent="0.3">
      <c r="AG2393" s="2"/>
    </row>
    <row r="2394" spans="33:33" ht="15" customHeight="1" x14ac:dyDescent="0.3">
      <c r="AG2394" s="2"/>
    </row>
    <row r="2395" spans="33:33" ht="15" customHeight="1" x14ac:dyDescent="0.3">
      <c r="AG2395" s="2"/>
    </row>
    <row r="2396" spans="33:33" ht="15" customHeight="1" x14ac:dyDescent="0.3">
      <c r="AG2396" s="2"/>
    </row>
    <row r="2397" spans="33:33" ht="15" customHeight="1" x14ac:dyDescent="0.3">
      <c r="AG2397" s="2"/>
    </row>
    <row r="2398" spans="33:33" ht="15" customHeight="1" x14ac:dyDescent="0.3">
      <c r="AG2398" s="2"/>
    </row>
    <row r="2399" spans="33:33" ht="15" customHeight="1" x14ac:dyDescent="0.3">
      <c r="AG2399" s="2"/>
    </row>
    <row r="2400" spans="33:33" ht="15" customHeight="1" x14ac:dyDescent="0.3">
      <c r="AG2400" s="2"/>
    </row>
    <row r="2401" spans="33:33" ht="15" customHeight="1" x14ac:dyDescent="0.3">
      <c r="AG2401" s="2"/>
    </row>
    <row r="2402" spans="33:33" ht="15" customHeight="1" x14ac:dyDescent="0.3">
      <c r="AG2402" s="2"/>
    </row>
    <row r="2403" spans="33:33" ht="15" customHeight="1" x14ac:dyDescent="0.3">
      <c r="AG2403" s="2"/>
    </row>
    <row r="2404" spans="33:33" ht="15" customHeight="1" x14ac:dyDescent="0.3">
      <c r="AG2404" s="2"/>
    </row>
    <row r="2405" spans="33:33" ht="15" customHeight="1" x14ac:dyDescent="0.3">
      <c r="AG2405" s="2"/>
    </row>
    <row r="2406" spans="33:33" ht="15" customHeight="1" x14ac:dyDescent="0.3">
      <c r="AG2406" s="2"/>
    </row>
    <row r="2407" spans="33:33" ht="15" customHeight="1" x14ac:dyDescent="0.3">
      <c r="AG2407" s="2"/>
    </row>
    <row r="2408" spans="33:33" ht="15" customHeight="1" x14ac:dyDescent="0.3">
      <c r="AG2408" s="2"/>
    </row>
    <row r="2409" spans="33:33" ht="15" customHeight="1" x14ac:dyDescent="0.3">
      <c r="AG2409" s="2"/>
    </row>
    <row r="2410" spans="33:33" ht="15" customHeight="1" x14ac:dyDescent="0.3">
      <c r="AG2410" s="2"/>
    </row>
    <row r="2411" spans="33:33" ht="15" customHeight="1" x14ac:dyDescent="0.3">
      <c r="AG2411" s="2"/>
    </row>
    <row r="2412" spans="33:33" ht="15" customHeight="1" x14ac:dyDescent="0.3">
      <c r="AG2412" s="2"/>
    </row>
    <row r="2413" spans="33:33" ht="15" customHeight="1" x14ac:dyDescent="0.3">
      <c r="AG2413" s="2"/>
    </row>
    <row r="2414" spans="33:33" ht="15" customHeight="1" x14ac:dyDescent="0.3">
      <c r="AG2414" s="2"/>
    </row>
    <row r="2415" spans="33:33" ht="15" customHeight="1" x14ac:dyDescent="0.3">
      <c r="AG2415" s="2"/>
    </row>
    <row r="2416" spans="33:33" ht="15" customHeight="1" x14ac:dyDescent="0.3">
      <c r="AG2416" s="2"/>
    </row>
    <row r="2417" spans="33:33" ht="15" customHeight="1" x14ac:dyDescent="0.3">
      <c r="AG2417" s="2"/>
    </row>
    <row r="2418" spans="33:33" ht="15" customHeight="1" x14ac:dyDescent="0.3">
      <c r="AG2418" s="2"/>
    </row>
    <row r="2419" spans="33:33" ht="15" customHeight="1" x14ac:dyDescent="0.3">
      <c r="AG2419" s="2"/>
    </row>
    <row r="2420" spans="33:33" ht="15" customHeight="1" x14ac:dyDescent="0.3">
      <c r="AG2420" s="2"/>
    </row>
    <row r="2421" spans="33:33" ht="15" customHeight="1" x14ac:dyDescent="0.3">
      <c r="AG2421" s="2"/>
    </row>
    <row r="2422" spans="33:33" ht="15" customHeight="1" x14ac:dyDescent="0.3">
      <c r="AG2422" s="2"/>
    </row>
    <row r="2423" spans="33:33" ht="15" customHeight="1" x14ac:dyDescent="0.3">
      <c r="AG2423" s="2"/>
    </row>
    <row r="2424" spans="33:33" ht="15" customHeight="1" x14ac:dyDescent="0.3">
      <c r="AG2424" s="2"/>
    </row>
    <row r="2425" spans="33:33" ht="15" customHeight="1" x14ac:dyDescent="0.3">
      <c r="AG2425" s="2"/>
    </row>
    <row r="2426" spans="33:33" ht="15" customHeight="1" x14ac:dyDescent="0.3">
      <c r="AG2426" s="2"/>
    </row>
    <row r="2427" spans="33:33" ht="15" customHeight="1" x14ac:dyDescent="0.3">
      <c r="AG2427" s="2"/>
    </row>
    <row r="2428" spans="33:33" ht="15" customHeight="1" x14ac:dyDescent="0.3">
      <c r="AG2428" s="2"/>
    </row>
    <row r="2429" spans="33:33" ht="15" customHeight="1" x14ac:dyDescent="0.3">
      <c r="AG2429" s="2"/>
    </row>
    <row r="2430" spans="33:33" ht="15" customHeight="1" x14ac:dyDescent="0.3">
      <c r="AG2430" s="2"/>
    </row>
    <row r="2431" spans="33:33" ht="15" customHeight="1" x14ac:dyDescent="0.3">
      <c r="AG2431" s="2"/>
    </row>
    <row r="2432" spans="33:33" ht="15" customHeight="1" x14ac:dyDescent="0.3">
      <c r="AG2432" s="2"/>
    </row>
    <row r="2433" spans="33:33" ht="15" customHeight="1" x14ac:dyDescent="0.3">
      <c r="AG2433" s="2"/>
    </row>
    <row r="2434" spans="33:33" ht="15" customHeight="1" x14ac:dyDescent="0.3">
      <c r="AG2434" s="2"/>
    </row>
    <row r="2435" spans="33:33" ht="15" customHeight="1" x14ac:dyDescent="0.3">
      <c r="AG2435" s="2"/>
    </row>
    <row r="2436" spans="33:33" ht="15" customHeight="1" x14ac:dyDescent="0.3">
      <c r="AG2436" s="2"/>
    </row>
    <row r="2437" spans="33:33" ht="15" customHeight="1" x14ac:dyDescent="0.3">
      <c r="AG2437" s="2"/>
    </row>
    <row r="2438" spans="33:33" ht="15" customHeight="1" x14ac:dyDescent="0.3">
      <c r="AG2438" s="2"/>
    </row>
    <row r="2439" spans="33:33" ht="15" customHeight="1" x14ac:dyDescent="0.3">
      <c r="AG2439" s="2"/>
    </row>
    <row r="2440" spans="33:33" ht="15" customHeight="1" x14ac:dyDescent="0.3">
      <c r="AG2440" s="2"/>
    </row>
    <row r="2441" spans="33:33" ht="15" customHeight="1" x14ac:dyDescent="0.3">
      <c r="AG2441" s="2"/>
    </row>
    <row r="2442" spans="33:33" ht="15" customHeight="1" x14ac:dyDescent="0.3">
      <c r="AG2442" s="2"/>
    </row>
    <row r="2443" spans="33:33" ht="15" customHeight="1" x14ac:dyDescent="0.3">
      <c r="AG2443" s="2"/>
    </row>
    <row r="2444" spans="33:33" ht="15" customHeight="1" x14ac:dyDescent="0.3">
      <c r="AG2444" s="2"/>
    </row>
    <row r="2445" spans="33:33" ht="15" customHeight="1" x14ac:dyDescent="0.3">
      <c r="AG2445" s="2"/>
    </row>
    <row r="2446" spans="33:33" ht="15" customHeight="1" x14ac:dyDescent="0.3">
      <c r="AG2446" s="2"/>
    </row>
    <row r="2447" spans="33:33" ht="15" customHeight="1" x14ac:dyDescent="0.3">
      <c r="AG2447" s="2"/>
    </row>
    <row r="2448" spans="33:33" ht="15" customHeight="1" x14ac:dyDescent="0.3">
      <c r="AG2448" s="2"/>
    </row>
    <row r="2449" spans="33:33" ht="15" customHeight="1" x14ac:dyDescent="0.3">
      <c r="AG2449" s="2"/>
    </row>
    <row r="2450" spans="33:33" ht="15" customHeight="1" x14ac:dyDescent="0.3">
      <c r="AG2450" s="2"/>
    </row>
    <row r="2451" spans="33:33" ht="15" customHeight="1" x14ac:dyDescent="0.3">
      <c r="AG2451" s="2"/>
    </row>
    <row r="2452" spans="33:33" ht="15" customHeight="1" x14ac:dyDescent="0.3">
      <c r="AG2452" s="2"/>
    </row>
    <row r="2453" spans="33:33" ht="15" customHeight="1" x14ac:dyDescent="0.3">
      <c r="AG2453" s="2"/>
    </row>
    <row r="2454" spans="33:33" ht="15" customHeight="1" x14ac:dyDescent="0.3">
      <c r="AG2454" s="2"/>
    </row>
    <row r="2455" spans="33:33" ht="15" customHeight="1" x14ac:dyDescent="0.3">
      <c r="AG2455" s="2"/>
    </row>
    <row r="2456" spans="33:33" ht="15" customHeight="1" x14ac:dyDescent="0.3">
      <c r="AG2456" s="2"/>
    </row>
    <row r="2457" spans="33:33" ht="15" customHeight="1" x14ac:dyDescent="0.3">
      <c r="AG2457" s="2"/>
    </row>
    <row r="2458" spans="33:33" ht="15" customHeight="1" x14ac:dyDescent="0.3">
      <c r="AG2458" s="2"/>
    </row>
    <row r="2459" spans="33:33" ht="15" customHeight="1" x14ac:dyDescent="0.3">
      <c r="AG2459" s="2"/>
    </row>
    <row r="2460" spans="33:33" ht="15" customHeight="1" x14ac:dyDescent="0.3">
      <c r="AG2460" s="2"/>
    </row>
    <row r="2461" spans="33:33" ht="15" customHeight="1" x14ac:dyDescent="0.3">
      <c r="AG2461" s="2"/>
    </row>
    <row r="2462" spans="33:33" ht="15" customHeight="1" x14ac:dyDescent="0.3">
      <c r="AG2462" s="2"/>
    </row>
    <row r="2463" spans="33:33" ht="15" customHeight="1" x14ac:dyDescent="0.3">
      <c r="AG2463" s="2"/>
    </row>
    <row r="2464" spans="33:33" ht="15" customHeight="1" x14ac:dyDescent="0.3">
      <c r="AG2464" s="2"/>
    </row>
    <row r="2465" spans="33:33" ht="15" customHeight="1" x14ac:dyDescent="0.3">
      <c r="AG2465" s="2"/>
    </row>
    <row r="2466" spans="33:33" ht="15" customHeight="1" x14ac:dyDescent="0.3">
      <c r="AG2466" s="2"/>
    </row>
    <row r="2467" spans="33:33" ht="15" customHeight="1" x14ac:dyDescent="0.3">
      <c r="AG2467" s="2"/>
    </row>
    <row r="2468" spans="33:33" ht="15" customHeight="1" x14ac:dyDescent="0.3">
      <c r="AG2468" s="2"/>
    </row>
    <row r="2469" spans="33:33" ht="15" customHeight="1" x14ac:dyDescent="0.3">
      <c r="AG2469" s="2"/>
    </row>
    <row r="2470" spans="33:33" ht="15" customHeight="1" x14ac:dyDescent="0.3">
      <c r="AG2470" s="2"/>
    </row>
    <row r="2471" spans="33:33" ht="15" customHeight="1" x14ac:dyDescent="0.3">
      <c r="AG2471" s="2"/>
    </row>
    <row r="2472" spans="33:33" ht="15" customHeight="1" x14ac:dyDescent="0.3">
      <c r="AG2472" s="2"/>
    </row>
    <row r="2473" spans="33:33" ht="15" customHeight="1" x14ac:dyDescent="0.3">
      <c r="AG2473" s="2"/>
    </row>
    <row r="2474" spans="33:33" ht="15" customHeight="1" x14ac:dyDescent="0.3">
      <c r="AG2474" s="2"/>
    </row>
    <row r="2475" spans="33:33" ht="15" customHeight="1" x14ac:dyDescent="0.3">
      <c r="AG2475" s="2"/>
    </row>
    <row r="2476" spans="33:33" ht="15" customHeight="1" x14ac:dyDescent="0.3">
      <c r="AG2476" s="2"/>
    </row>
    <row r="2477" spans="33:33" ht="15" customHeight="1" x14ac:dyDescent="0.3">
      <c r="AG2477" s="2"/>
    </row>
    <row r="2478" spans="33:33" ht="15" customHeight="1" x14ac:dyDescent="0.3">
      <c r="AG2478" s="2"/>
    </row>
    <row r="2479" spans="33:33" ht="15" customHeight="1" x14ac:dyDescent="0.3">
      <c r="AG2479" s="2"/>
    </row>
    <row r="2480" spans="33:33" ht="15" customHeight="1" x14ac:dyDescent="0.3">
      <c r="AG2480" s="2"/>
    </row>
    <row r="2481" spans="33:33" ht="15" customHeight="1" x14ac:dyDescent="0.3">
      <c r="AG2481" s="2"/>
    </row>
    <row r="2482" spans="33:33" ht="15" customHeight="1" x14ac:dyDescent="0.3">
      <c r="AG2482" s="2"/>
    </row>
    <row r="2483" spans="33:33" ht="15" customHeight="1" x14ac:dyDescent="0.3">
      <c r="AG2483" s="2"/>
    </row>
    <row r="2484" spans="33:33" ht="15" customHeight="1" x14ac:dyDescent="0.3">
      <c r="AG2484" s="2"/>
    </row>
    <row r="2485" spans="33:33" ht="15" customHeight="1" x14ac:dyDescent="0.3">
      <c r="AG2485" s="2"/>
    </row>
    <row r="2486" spans="33:33" ht="15" customHeight="1" x14ac:dyDescent="0.3">
      <c r="AG2486" s="2"/>
    </row>
    <row r="2487" spans="33:33" ht="15" customHeight="1" x14ac:dyDescent="0.3">
      <c r="AG2487" s="2"/>
    </row>
    <row r="2488" spans="33:33" ht="15" customHeight="1" x14ac:dyDescent="0.3">
      <c r="AG2488" s="2"/>
    </row>
    <row r="2489" spans="33:33" ht="15" customHeight="1" x14ac:dyDescent="0.3">
      <c r="AG2489" s="2"/>
    </row>
    <row r="2490" spans="33:33" ht="15" customHeight="1" x14ac:dyDescent="0.3">
      <c r="AG2490" s="2"/>
    </row>
    <row r="2491" spans="33:33" ht="15" customHeight="1" x14ac:dyDescent="0.3">
      <c r="AG2491" s="2"/>
    </row>
    <row r="2492" spans="33:33" ht="15" customHeight="1" x14ac:dyDescent="0.3">
      <c r="AG2492" s="2"/>
    </row>
    <row r="2493" spans="33:33" ht="15" customHeight="1" x14ac:dyDescent="0.3">
      <c r="AG2493" s="2"/>
    </row>
    <row r="2494" spans="33:33" ht="15" customHeight="1" x14ac:dyDescent="0.3">
      <c r="AG2494" s="2"/>
    </row>
    <row r="2495" spans="33:33" ht="15" customHeight="1" x14ac:dyDescent="0.3">
      <c r="AG2495" s="2"/>
    </row>
    <row r="2496" spans="33:33" ht="15" customHeight="1" x14ac:dyDescent="0.3">
      <c r="AG2496" s="2"/>
    </row>
    <row r="2497" spans="33:33" ht="15" customHeight="1" x14ac:dyDescent="0.3">
      <c r="AG2497" s="2"/>
    </row>
    <row r="2498" spans="33:33" ht="15" customHeight="1" x14ac:dyDescent="0.3">
      <c r="AG2498" s="2"/>
    </row>
    <row r="2499" spans="33:33" ht="15" customHeight="1" x14ac:dyDescent="0.3">
      <c r="AG2499" s="2"/>
    </row>
    <row r="2500" spans="33:33" ht="15" customHeight="1" x14ac:dyDescent="0.3">
      <c r="AG2500" s="2"/>
    </row>
    <row r="2501" spans="33:33" ht="15" customHeight="1" x14ac:dyDescent="0.3">
      <c r="AG2501" s="2"/>
    </row>
    <row r="2502" spans="33:33" ht="15" customHeight="1" x14ac:dyDescent="0.3">
      <c r="AG2502" s="2"/>
    </row>
    <row r="2503" spans="33:33" ht="15" customHeight="1" x14ac:dyDescent="0.3">
      <c r="AG2503" s="2"/>
    </row>
    <row r="2504" spans="33:33" ht="15" customHeight="1" x14ac:dyDescent="0.3">
      <c r="AG2504" s="2"/>
    </row>
    <row r="2505" spans="33:33" ht="15" customHeight="1" x14ac:dyDescent="0.3">
      <c r="AG2505" s="2"/>
    </row>
    <row r="2506" spans="33:33" ht="15" customHeight="1" x14ac:dyDescent="0.3">
      <c r="AG2506" s="2"/>
    </row>
    <row r="2507" spans="33:33" ht="15" customHeight="1" x14ac:dyDescent="0.3">
      <c r="AG2507" s="2"/>
    </row>
    <row r="2508" spans="33:33" ht="15" customHeight="1" x14ac:dyDescent="0.3">
      <c r="AG2508" s="2"/>
    </row>
    <row r="2509" spans="33:33" ht="15" customHeight="1" x14ac:dyDescent="0.3">
      <c r="AG2509" s="2"/>
    </row>
    <row r="2510" spans="33:33" ht="15" customHeight="1" x14ac:dyDescent="0.3">
      <c r="AG2510" s="2"/>
    </row>
    <row r="2511" spans="33:33" ht="15" customHeight="1" x14ac:dyDescent="0.3">
      <c r="AG2511" s="2"/>
    </row>
    <row r="2512" spans="33:33" ht="15" customHeight="1" x14ac:dyDescent="0.3">
      <c r="AG2512" s="2"/>
    </row>
    <row r="2513" spans="33:33" ht="15" customHeight="1" x14ac:dyDescent="0.3">
      <c r="AG2513" s="2"/>
    </row>
    <row r="2514" spans="33:33" ht="15" customHeight="1" x14ac:dyDescent="0.3">
      <c r="AG2514" s="2"/>
    </row>
    <row r="2515" spans="33:33" ht="15" customHeight="1" x14ac:dyDescent="0.3">
      <c r="AG2515" s="2"/>
    </row>
    <row r="2516" spans="33:33" ht="15" customHeight="1" x14ac:dyDescent="0.3">
      <c r="AG2516" s="2"/>
    </row>
    <row r="2517" spans="33:33" ht="15" customHeight="1" x14ac:dyDescent="0.3">
      <c r="AG2517" s="2"/>
    </row>
    <row r="2518" spans="33:33" ht="15" customHeight="1" x14ac:dyDescent="0.3">
      <c r="AG2518" s="2"/>
    </row>
    <row r="2519" spans="33:33" ht="15" customHeight="1" x14ac:dyDescent="0.3">
      <c r="AG2519" s="2"/>
    </row>
    <row r="2520" spans="33:33" ht="15" customHeight="1" x14ac:dyDescent="0.3">
      <c r="AG2520" s="2"/>
    </row>
    <row r="2521" spans="33:33" ht="15" customHeight="1" x14ac:dyDescent="0.3">
      <c r="AG2521" s="2"/>
    </row>
    <row r="2522" spans="33:33" ht="15" customHeight="1" x14ac:dyDescent="0.3">
      <c r="AG2522" s="2"/>
    </row>
    <row r="2523" spans="33:33" ht="15" customHeight="1" x14ac:dyDescent="0.3">
      <c r="AG2523" s="2"/>
    </row>
    <row r="2524" spans="33:33" ht="15" customHeight="1" x14ac:dyDescent="0.3">
      <c r="AG2524" s="2"/>
    </row>
    <row r="2525" spans="33:33" ht="15" customHeight="1" x14ac:dyDescent="0.3">
      <c r="AG2525" s="2"/>
    </row>
    <row r="2526" spans="33:33" ht="15" customHeight="1" x14ac:dyDescent="0.3">
      <c r="AG2526" s="2"/>
    </row>
    <row r="2527" spans="33:33" ht="15" customHeight="1" x14ac:dyDescent="0.3">
      <c r="AG2527" s="2"/>
    </row>
    <row r="2528" spans="33:33" ht="15" customHeight="1" x14ac:dyDescent="0.3">
      <c r="AG2528" s="2"/>
    </row>
    <row r="2529" spans="33:33" ht="15" customHeight="1" x14ac:dyDescent="0.3">
      <c r="AG2529" s="2"/>
    </row>
    <row r="2530" spans="33:33" ht="15" customHeight="1" x14ac:dyDescent="0.3">
      <c r="AG2530" s="2"/>
    </row>
    <row r="2531" spans="33:33" ht="15" customHeight="1" x14ac:dyDescent="0.3">
      <c r="AG2531" s="2"/>
    </row>
    <row r="2532" spans="33:33" ht="15" customHeight="1" x14ac:dyDescent="0.3">
      <c r="AG2532" s="2"/>
    </row>
    <row r="2533" spans="33:33" ht="15" customHeight="1" x14ac:dyDescent="0.3">
      <c r="AG2533" s="2"/>
    </row>
    <row r="2534" spans="33:33" ht="15" customHeight="1" x14ac:dyDescent="0.3">
      <c r="AG2534" s="2"/>
    </row>
    <row r="2535" spans="33:33" ht="15" customHeight="1" x14ac:dyDescent="0.3">
      <c r="AG2535" s="2"/>
    </row>
    <row r="2536" spans="33:33" ht="15" customHeight="1" x14ac:dyDescent="0.3">
      <c r="AG2536" s="2"/>
    </row>
    <row r="2537" spans="33:33" ht="15" customHeight="1" x14ac:dyDescent="0.3">
      <c r="AG2537" s="2"/>
    </row>
    <row r="2538" spans="33:33" ht="15" customHeight="1" x14ac:dyDescent="0.3">
      <c r="AG2538" s="2"/>
    </row>
    <row r="2539" spans="33:33" ht="15" customHeight="1" x14ac:dyDescent="0.3">
      <c r="AG2539" s="2"/>
    </row>
    <row r="2540" spans="33:33" ht="15" customHeight="1" x14ac:dyDescent="0.3">
      <c r="AG2540" s="2"/>
    </row>
    <row r="2541" spans="33:33" ht="15" customHeight="1" x14ac:dyDescent="0.3">
      <c r="AG2541" s="2"/>
    </row>
    <row r="2542" spans="33:33" ht="15" customHeight="1" x14ac:dyDescent="0.3">
      <c r="AG2542" s="2"/>
    </row>
    <row r="2543" spans="33:33" ht="15" customHeight="1" x14ac:dyDescent="0.3">
      <c r="AG2543" s="2"/>
    </row>
    <row r="2544" spans="33:33" ht="15" customHeight="1" x14ac:dyDescent="0.3">
      <c r="AG2544" s="2"/>
    </row>
    <row r="2545" spans="33:33" ht="15" customHeight="1" x14ac:dyDescent="0.3">
      <c r="AG2545" s="2"/>
    </row>
    <row r="2546" spans="33:33" ht="15" customHeight="1" x14ac:dyDescent="0.3">
      <c r="AG2546" s="2"/>
    </row>
    <row r="2547" spans="33:33" ht="15" customHeight="1" x14ac:dyDescent="0.3">
      <c r="AG2547" s="2"/>
    </row>
    <row r="2548" spans="33:33" ht="15" customHeight="1" x14ac:dyDescent="0.3">
      <c r="AG2548" s="2"/>
    </row>
    <row r="2549" spans="33:33" ht="15" customHeight="1" x14ac:dyDescent="0.3">
      <c r="AG2549" s="2"/>
    </row>
    <row r="2550" spans="33:33" ht="15" customHeight="1" x14ac:dyDescent="0.3">
      <c r="AG2550" s="2"/>
    </row>
    <row r="2551" spans="33:33" ht="15" customHeight="1" x14ac:dyDescent="0.3">
      <c r="AG2551" s="2"/>
    </row>
    <row r="2552" spans="33:33" ht="15" customHeight="1" x14ac:dyDescent="0.3">
      <c r="AG2552" s="2"/>
    </row>
    <row r="2553" spans="33:33" ht="15" customHeight="1" x14ac:dyDescent="0.3">
      <c r="AG2553" s="2"/>
    </row>
    <row r="2554" spans="33:33" ht="15" customHeight="1" x14ac:dyDescent="0.3">
      <c r="AG2554" s="2"/>
    </row>
    <row r="2555" spans="33:33" ht="15" customHeight="1" x14ac:dyDescent="0.3">
      <c r="AG2555" s="2"/>
    </row>
    <row r="2556" spans="33:33" ht="15" customHeight="1" x14ac:dyDescent="0.3">
      <c r="AG2556" s="2"/>
    </row>
    <row r="2557" spans="33:33" ht="15" customHeight="1" x14ac:dyDescent="0.3">
      <c r="AG2557" s="2"/>
    </row>
    <row r="2558" spans="33:33" ht="15" customHeight="1" x14ac:dyDescent="0.3">
      <c r="AG2558" s="2"/>
    </row>
    <row r="2559" spans="33:33" ht="15" customHeight="1" x14ac:dyDescent="0.3">
      <c r="AG2559" s="2"/>
    </row>
    <row r="2560" spans="33:33" ht="15" customHeight="1" x14ac:dyDescent="0.3">
      <c r="AG2560" s="2"/>
    </row>
    <row r="2561" spans="33:33" ht="15" customHeight="1" x14ac:dyDescent="0.3">
      <c r="AG2561" s="2"/>
    </row>
    <row r="2562" spans="33:33" ht="15" customHeight="1" x14ac:dyDescent="0.3">
      <c r="AG2562" s="2"/>
    </row>
    <row r="2563" spans="33:33" ht="15" customHeight="1" x14ac:dyDescent="0.3">
      <c r="AG2563" s="2"/>
    </row>
    <row r="2564" spans="33:33" ht="15" customHeight="1" x14ac:dyDescent="0.3">
      <c r="AG2564" s="2"/>
    </row>
    <row r="2565" spans="33:33" ht="15" customHeight="1" x14ac:dyDescent="0.3">
      <c r="AG2565" s="2"/>
    </row>
    <row r="2566" spans="33:33" ht="15" customHeight="1" x14ac:dyDescent="0.3">
      <c r="AG2566" s="2"/>
    </row>
    <row r="2567" spans="33:33" ht="15" customHeight="1" x14ac:dyDescent="0.3">
      <c r="AG2567" s="2"/>
    </row>
    <row r="2568" spans="33:33" ht="15" customHeight="1" x14ac:dyDescent="0.3">
      <c r="AG2568" s="2"/>
    </row>
    <row r="2569" spans="33:33" ht="15" customHeight="1" x14ac:dyDescent="0.3">
      <c r="AG2569" s="2"/>
    </row>
    <row r="2570" spans="33:33" ht="15" customHeight="1" x14ac:dyDescent="0.3">
      <c r="AG2570" s="2"/>
    </row>
    <row r="2571" spans="33:33" ht="15" customHeight="1" x14ac:dyDescent="0.3">
      <c r="AG2571" s="2"/>
    </row>
    <row r="2572" spans="33:33" ht="15" customHeight="1" x14ac:dyDescent="0.3">
      <c r="AG2572" s="2"/>
    </row>
    <row r="2573" spans="33:33" ht="15" customHeight="1" x14ac:dyDescent="0.3">
      <c r="AG2573" s="2"/>
    </row>
    <row r="2574" spans="33:33" ht="15" customHeight="1" x14ac:dyDescent="0.3">
      <c r="AG2574" s="2"/>
    </row>
    <row r="2575" spans="33:33" ht="15" customHeight="1" x14ac:dyDescent="0.3">
      <c r="AG2575" s="2"/>
    </row>
    <row r="2576" spans="33:33" ht="15" customHeight="1" x14ac:dyDescent="0.3">
      <c r="AG2576" s="2"/>
    </row>
    <row r="2577" spans="33:33" ht="15" customHeight="1" x14ac:dyDescent="0.3">
      <c r="AG2577" s="2"/>
    </row>
    <row r="2578" spans="33:33" ht="15" customHeight="1" x14ac:dyDescent="0.3">
      <c r="AG2578" s="2"/>
    </row>
    <row r="2579" spans="33:33" ht="15" customHeight="1" x14ac:dyDescent="0.3">
      <c r="AG2579" s="2"/>
    </row>
    <row r="2580" spans="33:33" ht="15" customHeight="1" x14ac:dyDescent="0.3">
      <c r="AG2580" s="2"/>
    </row>
    <row r="2581" spans="33:33" ht="15" customHeight="1" x14ac:dyDescent="0.3">
      <c r="AG2581" s="2"/>
    </row>
    <row r="2582" spans="33:33" ht="15" customHeight="1" x14ac:dyDescent="0.3">
      <c r="AG2582" s="2"/>
    </row>
    <row r="2583" spans="33:33" ht="15" customHeight="1" x14ac:dyDescent="0.3">
      <c r="AG2583" s="2"/>
    </row>
    <row r="2584" spans="33:33" ht="15" customHeight="1" x14ac:dyDescent="0.3">
      <c r="AG2584" s="2"/>
    </row>
    <row r="2585" spans="33:33" ht="15" customHeight="1" x14ac:dyDescent="0.3">
      <c r="AG2585" s="2"/>
    </row>
    <row r="2586" spans="33:33" ht="15" customHeight="1" x14ac:dyDescent="0.3">
      <c r="AG2586" s="2"/>
    </row>
    <row r="2587" spans="33:33" ht="15" customHeight="1" x14ac:dyDescent="0.3">
      <c r="AG2587" s="2"/>
    </row>
    <row r="2588" spans="33:33" ht="15" customHeight="1" x14ac:dyDescent="0.3">
      <c r="AG2588" s="2"/>
    </row>
    <row r="2589" spans="33:33" ht="15" customHeight="1" x14ac:dyDescent="0.3">
      <c r="AG2589" s="2"/>
    </row>
    <row r="2590" spans="33:33" ht="15" customHeight="1" x14ac:dyDescent="0.3">
      <c r="AG2590" s="2"/>
    </row>
    <row r="2591" spans="33:33" ht="15" customHeight="1" x14ac:dyDescent="0.3">
      <c r="AG2591" s="2"/>
    </row>
    <row r="2592" spans="33:33" ht="15" customHeight="1" x14ac:dyDescent="0.3">
      <c r="AG2592" s="2"/>
    </row>
    <row r="2593" spans="33:33" ht="15" customHeight="1" x14ac:dyDescent="0.3">
      <c r="AG2593" s="2"/>
    </row>
    <row r="2594" spans="33:33" ht="15" customHeight="1" x14ac:dyDescent="0.3">
      <c r="AG2594" s="2"/>
    </row>
    <row r="2595" spans="33:33" ht="15" customHeight="1" x14ac:dyDescent="0.3">
      <c r="AG2595" s="2"/>
    </row>
    <row r="2596" spans="33:33" ht="15" customHeight="1" x14ac:dyDescent="0.3">
      <c r="AG2596" s="2"/>
    </row>
    <row r="2597" spans="33:33" ht="15" customHeight="1" x14ac:dyDescent="0.3">
      <c r="AG2597" s="2"/>
    </row>
    <row r="2598" spans="33:33" ht="15" customHeight="1" x14ac:dyDescent="0.3">
      <c r="AG2598" s="2"/>
    </row>
    <row r="2599" spans="33:33" ht="15" customHeight="1" x14ac:dyDescent="0.3">
      <c r="AG2599" s="2"/>
    </row>
    <row r="2600" spans="33:33" ht="15" customHeight="1" x14ac:dyDescent="0.3">
      <c r="AG2600" s="2"/>
    </row>
    <row r="2601" spans="33:33" ht="15" customHeight="1" x14ac:dyDescent="0.3">
      <c r="AG2601" s="2"/>
    </row>
    <row r="2602" spans="33:33" ht="15" customHeight="1" x14ac:dyDescent="0.3">
      <c r="AG2602" s="2"/>
    </row>
    <row r="2603" spans="33:33" ht="15" customHeight="1" x14ac:dyDescent="0.3">
      <c r="AG2603" s="2"/>
    </row>
    <row r="2604" spans="33:33" ht="15" customHeight="1" x14ac:dyDescent="0.3">
      <c r="AG2604" s="2"/>
    </row>
    <row r="2605" spans="33:33" ht="15" customHeight="1" x14ac:dyDescent="0.3">
      <c r="AG2605" s="2"/>
    </row>
    <row r="2606" spans="33:33" ht="15" customHeight="1" x14ac:dyDescent="0.3">
      <c r="AG2606" s="2"/>
    </row>
    <row r="2607" spans="33:33" ht="15" customHeight="1" x14ac:dyDescent="0.3">
      <c r="AG2607" s="2"/>
    </row>
    <row r="2608" spans="33:33" ht="15" customHeight="1" x14ac:dyDescent="0.3">
      <c r="AG2608" s="2"/>
    </row>
    <row r="2609" spans="33:33" ht="15" customHeight="1" x14ac:dyDescent="0.3">
      <c r="AG2609" s="2"/>
    </row>
    <row r="2610" spans="33:33" ht="15" customHeight="1" x14ac:dyDescent="0.3">
      <c r="AG2610" s="2"/>
    </row>
    <row r="2611" spans="33:33" ht="15" customHeight="1" x14ac:dyDescent="0.3">
      <c r="AG2611" s="2"/>
    </row>
    <row r="2612" spans="33:33" ht="15" customHeight="1" x14ac:dyDescent="0.3">
      <c r="AG2612" s="2"/>
    </row>
    <row r="2613" spans="33:33" ht="15" customHeight="1" x14ac:dyDescent="0.3">
      <c r="AG2613" s="2"/>
    </row>
    <row r="2614" spans="33:33" ht="15" customHeight="1" x14ac:dyDescent="0.3">
      <c r="AG2614" s="2"/>
    </row>
    <row r="2615" spans="33:33" ht="15" customHeight="1" x14ac:dyDescent="0.3">
      <c r="AG2615" s="2"/>
    </row>
    <row r="2616" spans="33:33" ht="15" customHeight="1" x14ac:dyDescent="0.3">
      <c r="AG2616" s="2"/>
    </row>
    <row r="2617" spans="33:33" ht="15" customHeight="1" x14ac:dyDescent="0.3">
      <c r="AG2617" s="2"/>
    </row>
    <row r="2618" spans="33:33" ht="15" customHeight="1" x14ac:dyDescent="0.3">
      <c r="AG2618" s="2"/>
    </row>
    <row r="2619" spans="33:33" ht="15" customHeight="1" x14ac:dyDescent="0.3">
      <c r="AG2619" s="2"/>
    </row>
    <row r="2620" spans="33:33" ht="15" customHeight="1" x14ac:dyDescent="0.3">
      <c r="AG2620" s="2"/>
    </row>
    <row r="2621" spans="33:33" ht="15" customHeight="1" x14ac:dyDescent="0.3">
      <c r="AG2621" s="2"/>
    </row>
    <row r="2622" spans="33:33" ht="15" customHeight="1" x14ac:dyDescent="0.3">
      <c r="AG2622" s="2"/>
    </row>
    <row r="2623" spans="33:33" ht="15" customHeight="1" x14ac:dyDescent="0.3">
      <c r="AG2623" s="2"/>
    </row>
    <row r="2624" spans="33:33" ht="15" customHeight="1" x14ac:dyDescent="0.3">
      <c r="AG2624" s="2"/>
    </row>
    <row r="2625" spans="33:33" ht="15" customHeight="1" x14ac:dyDescent="0.3">
      <c r="AG2625" s="2"/>
    </row>
    <row r="2626" spans="33:33" ht="15" customHeight="1" x14ac:dyDescent="0.3">
      <c r="AG2626" s="2"/>
    </row>
    <row r="2627" spans="33:33" ht="15" customHeight="1" x14ac:dyDescent="0.3">
      <c r="AG2627" s="2"/>
    </row>
    <row r="2628" spans="33:33" ht="15" customHeight="1" x14ac:dyDescent="0.3">
      <c r="AG2628" s="2"/>
    </row>
    <row r="2629" spans="33:33" ht="15" customHeight="1" x14ac:dyDescent="0.3">
      <c r="AG2629" s="2"/>
    </row>
    <row r="2630" spans="33:33" ht="15" customHeight="1" x14ac:dyDescent="0.3">
      <c r="AG2630" s="2"/>
    </row>
    <row r="2631" spans="33:33" ht="15" customHeight="1" x14ac:dyDescent="0.3">
      <c r="AG2631" s="2"/>
    </row>
    <row r="2632" spans="33:33" ht="15" customHeight="1" x14ac:dyDescent="0.3">
      <c r="AG2632" s="2"/>
    </row>
    <row r="2633" spans="33:33" ht="15" customHeight="1" x14ac:dyDescent="0.3">
      <c r="AG2633" s="2"/>
    </row>
    <row r="2634" spans="33:33" ht="15" customHeight="1" x14ac:dyDescent="0.3">
      <c r="AG2634" s="2"/>
    </row>
    <row r="2635" spans="33:33" ht="15" customHeight="1" x14ac:dyDescent="0.3">
      <c r="AG2635" s="2"/>
    </row>
    <row r="2636" spans="33:33" ht="15" customHeight="1" x14ac:dyDescent="0.3">
      <c r="AG2636" s="2"/>
    </row>
    <row r="2637" spans="33:33" ht="15" customHeight="1" x14ac:dyDescent="0.3">
      <c r="AG2637" s="2"/>
    </row>
    <row r="2638" spans="33:33" ht="15" customHeight="1" x14ac:dyDescent="0.3">
      <c r="AG2638" s="2"/>
    </row>
    <row r="2639" spans="33:33" ht="15" customHeight="1" x14ac:dyDescent="0.3">
      <c r="AG2639" s="2"/>
    </row>
    <row r="2640" spans="33:33" ht="15" customHeight="1" x14ac:dyDescent="0.3">
      <c r="AG2640" s="2"/>
    </row>
    <row r="2641" spans="33:33" ht="15" customHeight="1" x14ac:dyDescent="0.3">
      <c r="AG2641" s="2"/>
    </row>
    <row r="2642" spans="33:33" ht="15" customHeight="1" x14ac:dyDescent="0.3">
      <c r="AG2642" s="2"/>
    </row>
    <row r="2643" spans="33:33" ht="15" customHeight="1" x14ac:dyDescent="0.3">
      <c r="AG2643" s="2"/>
    </row>
    <row r="2644" spans="33:33" ht="15" customHeight="1" x14ac:dyDescent="0.3">
      <c r="AG2644" s="2"/>
    </row>
    <row r="2645" spans="33:33" ht="15" customHeight="1" x14ac:dyDescent="0.3">
      <c r="AG2645" s="2"/>
    </row>
    <row r="2646" spans="33:33" ht="15" customHeight="1" x14ac:dyDescent="0.3">
      <c r="AG2646" s="2"/>
    </row>
    <row r="2647" spans="33:33" ht="15" customHeight="1" x14ac:dyDescent="0.3">
      <c r="AG2647" s="2"/>
    </row>
    <row r="2648" spans="33:33" ht="15" customHeight="1" x14ac:dyDescent="0.3">
      <c r="AG2648" s="2"/>
    </row>
    <row r="2649" spans="33:33" ht="15" customHeight="1" x14ac:dyDescent="0.3">
      <c r="AG2649" s="2"/>
    </row>
    <row r="2650" spans="33:33" ht="15" customHeight="1" x14ac:dyDescent="0.3">
      <c r="AG2650" s="2"/>
    </row>
    <row r="2651" spans="33:33" ht="15" customHeight="1" x14ac:dyDescent="0.3">
      <c r="AG2651" s="2"/>
    </row>
    <row r="2652" spans="33:33" ht="15" customHeight="1" x14ac:dyDescent="0.3">
      <c r="AG2652" s="2"/>
    </row>
    <row r="2653" spans="33:33" ht="15" customHeight="1" x14ac:dyDescent="0.3">
      <c r="AG2653" s="2"/>
    </row>
    <row r="2654" spans="33:33" ht="15" customHeight="1" x14ac:dyDescent="0.3">
      <c r="AG2654" s="2"/>
    </row>
    <row r="2655" spans="33:33" ht="15" customHeight="1" x14ac:dyDescent="0.3">
      <c r="AG2655" s="2"/>
    </row>
    <row r="2656" spans="33:33" ht="15" customHeight="1" x14ac:dyDescent="0.3">
      <c r="AG2656" s="2"/>
    </row>
    <row r="2657" spans="33:33" ht="15" customHeight="1" x14ac:dyDescent="0.3">
      <c r="AG2657" s="2"/>
    </row>
    <row r="2658" spans="33:33" ht="15" customHeight="1" x14ac:dyDescent="0.3">
      <c r="AG2658" s="2"/>
    </row>
    <row r="2659" spans="33:33" ht="15" customHeight="1" x14ac:dyDescent="0.3">
      <c r="AG2659" s="2"/>
    </row>
    <row r="2660" spans="33:33" ht="15" customHeight="1" x14ac:dyDescent="0.3">
      <c r="AG2660" s="2"/>
    </row>
    <row r="2661" spans="33:33" ht="15" customHeight="1" x14ac:dyDescent="0.3">
      <c r="AG2661" s="2"/>
    </row>
    <row r="2662" spans="33:33" ht="15" customHeight="1" x14ac:dyDescent="0.3">
      <c r="AG2662" s="2"/>
    </row>
    <row r="2663" spans="33:33" ht="15" customHeight="1" x14ac:dyDescent="0.3">
      <c r="AG2663" s="2"/>
    </row>
    <row r="2664" spans="33:33" ht="15" customHeight="1" x14ac:dyDescent="0.3">
      <c r="AG2664" s="2"/>
    </row>
    <row r="2665" spans="33:33" ht="15" customHeight="1" x14ac:dyDescent="0.3">
      <c r="AG2665" s="2"/>
    </row>
    <row r="2666" spans="33:33" ht="15" customHeight="1" x14ac:dyDescent="0.3">
      <c r="AG2666" s="2"/>
    </row>
    <row r="2667" spans="33:33" ht="15" customHeight="1" x14ac:dyDescent="0.3">
      <c r="AG2667" s="2"/>
    </row>
    <row r="2668" spans="33:33" ht="15" customHeight="1" x14ac:dyDescent="0.3">
      <c r="AG2668" s="2"/>
    </row>
    <row r="2669" spans="33:33" ht="15" customHeight="1" x14ac:dyDescent="0.3">
      <c r="AG2669" s="2"/>
    </row>
    <row r="2670" spans="33:33" ht="15" customHeight="1" x14ac:dyDescent="0.3">
      <c r="AG2670" s="2"/>
    </row>
    <row r="2671" spans="33:33" ht="15" customHeight="1" x14ac:dyDescent="0.3">
      <c r="AG2671" s="2"/>
    </row>
    <row r="2672" spans="33:33" ht="15" customHeight="1" x14ac:dyDescent="0.3">
      <c r="AG2672" s="2"/>
    </row>
    <row r="2673" spans="33:33" ht="15" customHeight="1" x14ac:dyDescent="0.3">
      <c r="AG2673" s="2"/>
    </row>
    <row r="2674" spans="33:33" ht="15" customHeight="1" x14ac:dyDescent="0.3">
      <c r="AG2674" s="2"/>
    </row>
    <row r="2675" spans="33:33" ht="15" customHeight="1" x14ac:dyDescent="0.3">
      <c r="AG2675" s="2"/>
    </row>
    <row r="2676" spans="33:33" ht="15" customHeight="1" x14ac:dyDescent="0.3">
      <c r="AG2676" s="2"/>
    </row>
    <row r="2677" spans="33:33" ht="15" customHeight="1" x14ac:dyDescent="0.3">
      <c r="AG2677" s="2"/>
    </row>
    <row r="2678" spans="33:33" ht="15" customHeight="1" x14ac:dyDescent="0.3">
      <c r="AG2678" s="2"/>
    </row>
    <row r="2679" spans="33:33" ht="15" customHeight="1" x14ac:dyDescent="0.3">
      <c r="AG2679" s="2"/>
    </row>
    <row r="2680" spans="33:33" ht="15" customHeight="1" x14ac:dyDescent="0.3">
      <c r="AG2680" s="2"/>
    </row>
    <row r="2681" spans="33:33" ht="15" customHeight="1" x14ac:dyDescent="0.3">
      <c r="AG2681" s="2"/>
    </row>
    <row r="2682" spans="33:33" ht="15" customHeight="1" x14ac:dyDescent="0.3">
      <c r="AG2682" s="2"/>
    </row>
    <row r="2683" spans="33:33" ht="15" customHeight="1" x14ac:dyDescent="0.3">
      <c r="AG2683" s="2"/>
    </row>
    <row r="2684" spans="33:33" ht="15" customHeight="1" x14ac:dyDescent="0.3">
      <c r="AG2684" s="2"/>
    </row>
    <row r="2685" spans="33:33" ht="15" customHeight="1" x14ac:dyDescent="0.3">
      <c r="AG2685" s="2"/>
    </row>
    <row r="2686" spans="33:33" ht="15" customHeight="1" x14ac:dyDescent="0.3">
      <c r="AG2686" s="2"/>
    </row>
    <row r="2687" spans="33:33" ht="15" customHeight="1" x14ac:dyDescent="0.3">
      <c r="AG2687" s="2"/>
    </row>
    <row r="2688" spans="33:33" ht="15" customHeight="1" x14ac:dyDescent="0.3">
      <c r="AG2688" s="2"/>
    </row>
    <row r="2689" spans="33:33" ht="15" customHeight="1" x14ac:dyDescent="0.3">
      <c r="AG2689" s="2"/>
    </row>
    <row r="2690" spans="33:33" ht="15" customHeight="1" x14ac:dyDescent="0.3">
      <c r="AG2690" s="2"/>
    </row>
    <row r="2691" spans="33:33" ht="15" customHeight="1" x14ac:dyDescent="0.3">
      <c r="AG2691" s="2"/>
    </row>
    <row r="2692" spans="33:33" ht="15" customHeight="1" x14ac:dyDescent="0.3">
      <c r="AG2692" s="2"/>
    </row>
    <row r="2693" spans="33:33" ht="15" customHeight="1" x14ac:dyDescent="0.3">
      <c r="AG2693" s="2"/>
    </row>
    <row r="2694" spans="33:33" ht="15" customHeight="1" x14ac:dyDescent="0.3">
      <c r="AG2694" s="2"/>
    </row>
    <row r="2695" spans="33:33" ht="15" customHeight="1" x14ac:dyDescent="0.3">
      <c r="AG2695" s="2"/>
    </row>
    <row r="2696" spans="33:33" ht="15" customHeight="1" x14ac:dyDescent="0.3">
      <c r="AG2696" s="2"/>
    </row>
    <row r="2697" spans="33:33" ht="15" customHeight="1" x14ac:dyDescent="0.3">
      <c r="AG2697" s="2"/>
    </row>
    <row r="2698" spans="33:33" ht="15" customHeight="1" x14ac:dyDescent="0.3">
      <c r="AG2698" s="2"/>
    </row>
    <row r="2699" spans="33:33" ht="15" customHeight="1" x14ac:dyDescent="0.3">
      <c r="AG2699" s="2"/>
    </row>
    <row r="2700" spans="33:33" ht="15" customHeight="1" x14ac:dyDescent="0.3">
      <c r="AG2700" s="2"/>
    </row>
    <row r="2701" spans="33:33" ht="15" customHeight="1" x14ac:dyDescent="0.3">
      <c r="AG2701" s="2"/>
    </row>
    <row r="2702" spans="33:33" ht="15" customHeight="1" x14ac:dyDescent="0.3">
      <c r="AG2702" s="2"/>
    </row>
    <row r="2703" spans="33:33" ht="15" customHeight="1" x14ac:dyDescent="0.3">
      <c r="AG2703" s="2"/>
    </row>
    <row r="2704" spans="33:33" ht="15" customHeight="1" x14ac:dyDescent="0.3">
      <c r="AG2704" s="2"/>
    </row>
    <row r="2705" spans="33:33" ht="15" customHeight="1" x14ac:dyDescent="0.3">
      <c r="AG2705" s="2"/>
    </row>
    <row r="2706" spans="33:33" ht="15" customHeight="1" x14ac:dyDescent="0.3">
      <c r="AG2706" s="2"/>
    </row>
    <row r="2707" spans="33:33" ht="15" customHeight="1" x14ac:dyDescent="0.3">
      <c r="AG2707" s="2"/>
    </row>
    <row r="2708" spans="33:33" ht="15" customHeight="1" x14ac:dyDescent="0.3">
      <c r="AG2708" s="2"/>
    </row>
    <row r="2709" spans="33:33" ht="15" customHeight="1" x14ac:dyDescent="0.3">
      <c r="AG2709" s="2"/>
    </row>
    <row r="2710" spans="33:33" ht="15" customHeight="1" x14ac:dyDescent="0.3">
      <c r="AG2710" s="2"/>
    </row>
    <row r="2711" spans="33:33" ht="15" customHeight="1" x14ac:dyDescent="0.3">
      <c r="AG2711" s="2"/>
    </row>
    <row r="2712" spans="33:33" ht="15" customHeight="1" x14ac:dyDescent="0.3">
      <c r="AG2712" s="2"/>
    </row>
    <row r="2713" spans="33:33" ht="15" customHeight="1" x14ac:dyDescent="0.3">
      <c r="AG2713" s="2"/>
    </row>
    <row r="2714" spans="33:33" ht="15" customHeight="1" x14ac:dyDescent="0.3">
      <c r="AG2714" s="2"/>
    </row>
    <row r="2715" spans="33:33" ht="15" customHeight="1" x14ac:dyDescent="0.3">
      <c r="AG2715" s="2"/>
    </row>
    <row r="2716" spans="33:33" ht="15" customHeight="1" x14ac:dyDescent="0.3">
      <c r="AG2716" s="2"/>
    </row>
    <row r="2717" spans="33:33" ht="15" customHeight="1" x14ac:dyDescent="0.3">
      <c r="AG2717" s="2"/>
    </row>
    <row r="2718" spans="33:33" ht="15" customHeight="1" x14ac:dyDescent="0.3">
      <c r="AG2718" s="2"/>
    </row>
    <row r="2719" spans="33:33" ht="15" customHeight="1" x14ac:dyDescent="0.3">
      <c r="AG2719" s="2"/>
    </row>
    <row r="2720" spans="33:33" ht="15" customHeight="1" x14ac:dyDescent="0.3">
      <c r="AG2720" s="2"/>
    </row>
    <row r="2721" spans="33:33" ht="15" customHeight="1" x14ac:dyDescent="0.3">
      <c r="AG2721" s="2"/>
    </row>
    <row r="2722" spans="33:33" ht="15" customHeight="1" x14ac:dyDescent="0.3">
      <c r="AG2722" s="2"/>
    </row>
    <row r="2723" spans="33:33" ht="15" customHeight="1" x14ac:dyDescent="0.3">
      <c r="AG2723" s="2"/>
    </row>
    <row r="2724" spans="33:33" ht="15" customHeight="1" x14ac:dyDescent="0.3">
      <c r="AG2724" s="2"/>
    </row>
    <row r="2725" spans="33:33" ht="15" customHeight="1" x14ac:dyDescent="0.3">
      <c r="AG2725" s="2"/>
    </row>
    <row r="2726" spans="33:33" ht="15" customHeight="1" x14ac:dyDescent="0.3">
      <c r="AG2726" s="2"/>
    </row>
    <row r="2727" spans="33:33" ht="15" customHeight="1" x14ac:dyDescent="0.3">
      <c r="AG2727" s="2"/>
    </row>
    <row r="2728" spans="33:33" ht="15" customHeight="1" x14ac:dyDescent="0.3">
      <c r="AG2728" s="2"/>
    </row>
    <row r="2729" spans="33:33" ht="15" customHeight="1" x14ac:dyDescent="0.3">
      <c r="AG2729" s="2"/>
    </row>
    <row r="2730" spans="33:33" ht="15" customHeight="1" x14ac:dyDescent="0.3">
      <c r="AG2730" s="2"/>
    </row>
    <row r="2731" spans="33:33" ht="15" customHeight="1" x14ac:dyDescent="0.3">
      <c r="AG2731" s="2"/>
    </row>
    <row r="2732" spans="33:33" ht="15" customHeight="1" x14ac:dyDescent="0.3">
      <c r="AG2732" s="2"/>
    </row>
    <row r="2733" spans="33:33" ht="15" customHeight="1" x14ac:dyDescent="0.3">
      <c r="AG2733" s="2"/>
    </row>
    <row r="2734" spans="33:33" ht="15" customHeight="1" x14ac:dyDescent="0.3">
      <c r="AG2734" s="2"/>
    </row>
    <row r="2735" spans="33:33" ht="15" customHeight="1" x14ac:dyDescent="0.3">
      <c r="AG2735" s="2"/>
    </row>
    <row r="2736" spans="33:33" ht="15" customHeight="1" x14ac:dyDescent="0.3">
      <c r="AG2736" s="2"/>
    </row>
    <row r="2737" spans="33:33" ht="15" customHeight="1" x14ac:dyDescent="0.3">
      <c r="AG2737" s="2"/>
    </row>
    <row r="2738" spans="33:33" ht="15" customHeight="1" x14ac:dyDescent="0.3">
      <c r="AG2738" s="2"/>
    </row>
    <row r="2739" spans="33:33" ht="15" customHeight="1" x14ac:dyDescent="0.3">
      <c r="AG2739" s="2"/>
    </row>
    <row r="2740" spans="33:33" ht="15" customHeight="1" x14ac:dyDescent="0.3">
      <c r="AG2740" s="2"/>
    </row>
    <row r="2741" spans="33:33" ht="15" customHeight="1" x14ac:dyDescent="0.3">
      <c r="AG2741" s="2"/>
    </row>
    <row r="2742" spans="33:33" ht="15" customHeight="1" x14ac:dyDescent="0.3">
      <c r="AG2742" s="2"/>
    </row>
    <row r="2743" spans="33:33" ht="15" customHeight="1" x14ac:dyDescent="0.3">
      <c r="AG2743" s="2"/>
    </row>
    <row r="2744" spans="33:33" ht="15" customHeight="1" x14ac:dyDescent="0.3">
      <c r="AG2744" s="2"/>
    </row>
    <row r="2745" spans="33:33" ht="15" customHeight="1" x14ac:dyDescent="0.3">
      <c r="AG2745" s="2"/>
    </row>
    <row r="2746" spans="33:33" ht="15" customHeight="1" x14ac:dyDescent="0.3">
      <c r="AG2746" s="2"/>
    </row>
    <row r="2747" spans="33:33" ht="15" customHeight="1" x14ac:dyDescent="0.3">
      <c r="AG2747" s="2"/>
    </row>
    <row r="2748" spans="33:33" ht="15" customHeight="1" x14ac:dyDescent="0.3">
      <c r="AG2748" s="2"/>
    </row>
    <row r="2749" spans="33:33" ht="15" customHeight="1" x14ac:dyDescent="0.3">
      <c r="AG2749" s="2"/>
    </row>
    <row r="2750" spans="33:33" ht="15" customHeight="1" x14ac:dyDescent="0.3">
      <c r="AG2750" s="2"/>
    </row>
    <row r="2751" spans="33:33" ht="15" customHeight="1" x14ac:dyDescent="0.3">
      <c r="AG2751" s="2"/>
    </row>
    <row r="2752" spans="33:33" ht="15" customHeight="1" x14ac:dyDescent="0.3">
      <c r="AG2752" s="2"/>
    </row>
    <row r="2753" spans="33:33" ht="15" customHeight="1" x14ac:dyDescent="0.3">
      <c r="AG2753" s="2"/>
    </row>
    <row r="2754" spans="33:33" ht="15" customHeight="1" x14ac:dyDescent="0.3">
      <c r="AG2754" s="2"/>
    </row>
    <row r="2755" spans="33:33" ht="15" customHeight="1" x14ac:dyDescent="0.3">
      <c r="AG2755" s="2"/>
    </row>
    <row r="2756" spans="33:33" ht="15" customHeight="1" x14ac:dyDescent="0.3">
      <c r="AG2756" s="2"/>
    </row>
    <row r="2757" spans="33:33" ht="15" customHeight="1" x14ac:dyDescent="0.3">
      <c r="AG2757" s="2"/>
    </row>
    <row r="2758" spans="33:33" ht="15" customHeight="1" x14ac:dyDescent="0.3">
      <c r="AG2758" s="2"/>
    </row>
    <row r="2759" spans="33:33" ht="15" customHeight="1" x14ac:dyDescent="0.3">
      <c r="AG2759" s="2"/>
    </row>
    <row r="2760" spans="33:33" ht="15" customHeight="1" x14ac:dyDescent="0.3">
      <c r="AG2760" s="2"/>
    </row>
    <row r="2761" spans="33:33" ht="15" customHeight="1" x14ac:dyDescent="0.3">
      <c r="AG2761" s="2"/>
    </row>
    <row r="2762" spans="33:33" ht="15" customHeight="1" x14ac:dyDescent="0.3">
      <c r="AG2762" s="2"/>
    </row>
    <row r="2763" spans="33:33" ht="15" customHeight="1" x14ac:dyDescent="0.3">
      <c r="AG2763" s="2"/>
    </row>
    <row r="2764" spans="33:33" ht="15" customHeight="1" x14ac:dyDescent="0.3">
      <c r="AG2764" s="2"/>
    </row>
    <row r="2765" spans="33:33" ht="15" customHeight="1" x14ac:dyDescent="0.3">
      <c r="AG2765" s="2"/>
    </row>
    <row r="2766" spans="33:33" ht="15" customHeight="1" x14ac:dyDescent="0.3">
      <c r="AG2766" s="2"/>
    </row>
    <row r="2767" spans="33:33" ht="15" customHeight="1" x14ac:dyDescent="0.3">
      <c r="AG2767" s="2"/>
    </row>
    <row r="2768" spans="33:33" ht="15" customHeight="1" x14ac:dyDescent="0.3">
      <c r="AG2768" s="2"/>
    </row>
    <row r="2769" spans="33:33" ht="15" customHeight="1" x14ac:dyDescent="0.3">
      <c r="AG2769" s="2"/>
    </row>
    <row r="2770" spans="33:33" ht="15" customHeight="1" x14ac:dyDescent="0.3">
      <c r="AG2770" s="2"/>
    </row>
    <row r="2771" spans="33:33" ht="15" customHeight="1" x14ac:dyDescent="0.3">
      <c r="AG2771" s="2"/>
    </row>
    <row r="2772" spans="33:33" ht="15" customHeight="1" x14ac:dyDescent="0.3">
      <c r="AG2772" s="2"/>
    </row>
    <row r="2773" spans="33:33" ht="15" customHeight="1" x14ac:dyDescent="0.3">
      <c r="AG2773" s="2"/>
    </row>
    <row r="2774" spans="33:33" ht="15" customHeight="1" x14ac:dyDescent="0.3">
      <c r="AG2774" s="2"/>
    </row>
    <row r="2775" spans="33:33" ht="15" customHeight="1" x14ac:dyDescent="0.3">
      <c r="AG2775" s="2"/>
    </row>
    <row r="2776" spans="33:33" ht="15" customHeight="1" x14ac:dyDescent="0.3">
      <c r="AG2776" s="2"/>
    </row>
    <row r="2777" spans="33:33" ht="15" customHeight="1" x14ac:dyDescent="0.3">
      <c r="AG2777" s="2"/>
    </row>
    <row r="2778" spans="33:33" ht="15" customHeight="1" x14ac:dyDescent="0.3">
      <c r="AG2778" s="2"/>
    </row>
    <row r="2779" spans="33:33" ht="15" customHeight="1" x14ac:dyDescent="0.3">
      <c r="AG2779" s="2"/>
    </row>
    <row r="2780" spans="33:33" ht="15" customHeight="1" x14ac:dyDescent="0.3">
      <c r="AG2780" s="2"/>
    </row>
    <row r="2781" spans="33:33" ht="15" customHeight="1" x14ac:dyDescent="0.3">
      <c r="AG2781" s="2"/>
    </row>
    <row r="2782" spans="33:33" ht="15" customHeight="1" x14ac:dyDescent="0.3">
      <c r="AG2782" s="2"/>
    </row>
    <row r="2783" spans="33:33" ht="15" customHeight="1" x14ac:dyDescent="0.3">
      <c r="AG2783" s="2"/>
    </row>
    <row r="2784" spans="33:33" ht="15" customHeight="1" x14ac:dyDescent="0.3">
      <c r="AG2784" s="2"/>
    </row>
    <row r="2785" spans="33:33" ht="15" customHeight="1" x14ac:dyDescent="0.3">
      <c r="AG2785" s="2"/>
    </row>
    <row r="2786" spans="33:33" ht="15" customHeight="1" x14ac:dyDescent="0.3">
      <c r="AG2786" s="2"/>
    </row>
    <row r="2787" spans="33:33" ht="15" customHeight="1" x14ac:dyDescent="0.3">
      <c r="AG2787" s="2"/>
    </row>
    <row r="2788" spans="33:33" ht="15" customHeight="1" x14ac:dyDescent="0.3">
      <c r="AG2788" s="2"/>
    </row>
    <row r="2789" spans="33:33" ht="15" customHeight="1" x14ac:dyDescent="0.3">
      <c r="AG2789" s="2"/>
    </row>
    <row r="2790" spans="33:33" ht="15" customHeight="1" x14ac:dyDescent="0.3">
      <c r="AG2790" s="2"/>
    </row>
    <row r="2791" spans="33:33" ht="15" customHeight="1" x14ac:dyDescent="0.3">
      <c r="AG2791" s="2"/>
    </row>
    <row r="2792" spans="33:33" ht="15" customHeight="1" x14ac:dyDescent="0.3">
      <c r="AG2792" s="2"/>
    </row>
    <row r="2793" spans="33:33" ht="15" customHeight="1" x14ac:dyDescent="0.3">
      <c r="AG2793" s="2"/>
    </row>
    <row r="2794" spans="33:33" ht="15" customHeight="1" x14ac:dyDescent="0.3">
      <c r="AG2794" s="2"/>
    </row>
    <row r="2795" spans="33:33" ht="15" customHeight="1" x14ac:dyDescent="0.3">
      <c r="AG2795" s="2"/>
    </row>
    <row r="2796" spans="33:33" ht="15" customHeight="1" x14ac:dyDescent="0.3">
      <c r="AG2796" s="2"/>
    </row>
    <row r="2797" spans="33:33" ht="15" customHeight="1" x14ac:dyDescent="0.3">
      <c r="AG2797" s="2"/>
    </row>
    <row r="2798" spans="33:33" ht="15" customHeight="1" x14ac:dyDescent="0.3">
      <c r="AG2798" s="2"/>
    </row>
    <row r="2799" spans="33:33" ht="15" customHeight="1" x14ac:dyDescent="0.3">
      <c r="AG2799" s="2"/>
    </row>
    <row r="2800" spans="33:33" ht="15" customHeight="1" x14ac:dyDescent="0.3">
      <c r="AG2800" s="2"/>
    </row>
    <row r="2801" spans="33:33" ht="15" customHeight="1" x14ac:dyDescent="0.3">
      <c r="AG2801" s="2"/>
    </row>
    <row r="2802" spans="33:33" ht="15" customHeight="1" x14ac:dyDescent="0.3">
      <c r="AG2802" s="2"/>
    </row>
    <row r="2803" spans="33:33" ht="15" customHeight="1" x14ac:dyDescent="0.3">
      <c r="AG2803" s="2"/>
    </row>
    <row r="2804" spans="33:33" ht="15" customHeight="1" x14ac:dyDescent="0.3">
      <c r="AG2804" s="2"/>
    </row>
    <row r="2805" spans="33:33" ht="15" customHeight="1" x14ac:dyDescent="0.3">
      <c r="AG2805" s="2"/>
    </row>
    <row r="2806" spans="33:33" ht="15" customHeight="1" x14ac:dyDescent="0.3">
      <c r="AG2806" s="2"/>
    </row>
    <row r="2807" spans="33:33" ht="15" customHeight="1" x14ac:dyDescent="0.3">
      <c r="AG2807" s="2"/>
    </row>
    <row r="2808" spans="33:33" ht="15" customHeight="1" x14ac:dyDescent="0.3">
      <c r="AG2808" s="2"/>
    </row>
    <row r="2809" spans="33:33" ht="15" customHeight="1" x14ac:dyDescent="0.3">
      <c r="AG2809" s="2"/>
    </row>
    <row r="2810" spans="33:33" ht="15" customHeight="1" x14ac:dyDescent="0.3">
      <c r="AG2810" s="2"/>
    </row>
    <row r="2811" spans="33:33" ht="15" customHeight="1" x14ac:dyDescent="0.3">
      <c r="AG2811" s="2"/>
    </row>
    <row r="2812" spans="33:33" ht="15" customHeight="1" x14ac:dyDescent="0.3">
      <c r="AG2812" s="2"/>
    </row>
    <row r="2813" spans="33:33" ht="15" customHeight="1" x14ac:dyDescent="0.3">
      <c r="AG2813" s="2"/>
    </row>
    <row r="2814" spans="33:33" ht="15" customHeight="1" x14ac:dyDescent="0.3">
      <c r="AG2814" s="2"/>
    </row>
    <row r="2815" spans="33:33" ht="15" customHeight="1" x14ac:dyDescent="0.3">
      <c r="AG2815" s="2"/>
    </row>
    <row r="2816" spans="33:33" ht="15" customHeight="1" x14ac:dyDescent="0.3">
      <c r="AG2816" s="2"/>
    </row>
    <row r="2817" spans="33:33" ht="15" customHeight="1" x14ac:dyDescent="0.3">
      <c r="AG2817" s="2"/>
    </row>
    <row r="2818" spans="33:33" ht="15" customHeight="1" x14ac:dyDescent="0.3">
      <c r="AG2818" s="2"/>
    </row>
    <row r="2819" spans="33:33" ht="15" customHeight="1" x14ac:dyDescent="0.3">
      <c r="AG2819" s="2"/>
    </row>
    <row r="2820" spans="33:33" ht="15" customHeight="1" x14ac:dyDescent="0.3">
      <c r="AG2820" s="2"/>
    </row>
    <row r="2821" spans="33:33" ht="15" customHeight="1" x14ac:dyDescent="0.3">
      <c r="AG2821" s="2"/>
    </row>
    <row r="2822" spans="33:33" ht="15" customHeight="1" x14ac:dyDescent="0.3">
      <c r="AG2822" s="2"/>
    </row>
    <row r="2823" spans="33:33" ht="15" customHeight="1" x14ac:dyDescent="0.3">
      <c r="AG2823" s="2"/>
    </row>
    <row r="2824" spans="33:33" ht="15" customHeight="1" x14ac:dyDescent="0.3">
      <c r="AG2824" s="2"/>
    </row>
    <row r="2825" spans="33:33" ht="15" customHeight="1" x14ac:dyDescent="0.3">
      <c r="AG2825" s="2"/>
    </row>
    <row r="2826" spans="33:33" ht="15" customHeight="1" x14ac:dyDescent="0.3">
      <c r="AG2826" s="2"/>
    </row>
    <row r="2827" spans="33:33" ht="15" customHeight="1" x14ac:dyDescent="0.3">
      <c r="AG2827" s="2"/>
    </row>
    <row r="2828" spans="33:33" ht="15" customHeight="1" x14ac:dyDescent="0.3">
      <c r="AG2828" s="2"/>
    </row>
    <row r="2829" spans="33:33" ht="15" customHeight="1" x14ac:dyDescent="0.3">
      <c r="AG2829" s="2"/>
    </row>
    <row r="2830" spans="33:33" ht="15" customHeight="1" x14ac:dyDescent="0.3">
      <c r="AG2830" s="2"/>
    </row>
    <row r="2831" spans="33:33" ht="15" customHeight="1" x14ac:dyDescent="0.3">
      <c r="AG2831" s="2"/>
    </row>
    <row r="2832" spans="33:33" ht="15" customHeight="1" x14ac:dyDescent="0.3">
      <c r="AG2832" s="2"/>
    </row>
    <row r="2833" spans="33:33" ht="15" customHeight="1" x14ac:dyDescent="0.3">
      <c r="AG2833" s="2"/>
    </row>
    <row r="2834" spans="33:33" ht="15" customHeight="1" x14ac:dyDescent="0.3">
      <c r="AG2834" s="2"/>
    </row>
    <row r="2835" spans="33:33" ht="15" customHeight="1" x14ac:dyDescent="0.3">
      <c r="AG2835" s="2"/>
    </row>
    <row r="2836" spans="33:33" ht="15" customHeight="1" x14ac:dyDescent="0.3">
      <c r="AG2836" s="2"/>
    </row>
    <row r="2837" spans="33:33" ht="15" customHeight="1" x14ac:dyDescent="0.3">
      <c r="AG2837" s="2"/>
    </row>
    <row r="2838" spans="33:33" ht="15" customHeight="1" x14ac:dyDescent="0.3">
      <c r="AG2838" s="2"/>
    </row>
    <row r="2839" spans="33:33" ht="15" customHeight="1" x14ac:dyDescent="0.3">
      <c r="AG2839" s="2"/>
    </row>
    <row r="2840" spans="33:33" ht="15" customHeight="1" x14ac:dyDescent="0.3">
      <c r="AG2840" s="2"/>
    </row>
    <row r="2841" spans="33:33" ht="15" customHeight="1" x14ac:dyDescent="0.3">
      <c r="AG2841" s="2"/>
    </row>
    <row r="2842" spans="33:33" ht="15" customHeight="1" x14ac:dyDescent="0.3">
      <c r="AG2842" s="2"/>
    </row>
    <row r="2843" spans="33:33" ht="15" customHeight="1" x14ac:dyDescent="0.3">
      <c r="AG2843" s="2"/>
    </row>
    <row r="2844" spans="33:33" ht="15" customHeight="1" x14ac:dyDescent="0.3">
      <c r="AG2844" s="2"/>
    </row>
    <row r="2845" spans="33:33" ht="15" customHeight="1" x14ac:dyDescent="0.3">
      <c r="AG2845" s="2"/>
    </row>
    <row r="2846" spans="33:33" ht="15" customHeight="1" x14ac:dyDescent="0.3">
      <c r="AG2846" s="2"/>
    </row>
    <row r="2847" spans="33:33" ht="15" customHeight="1" x14ac:dyDescent="0.3">
      <c r="AG2847" s="2"/>
    </row>
    <row r="2848" spans="33:33" ht="15" customHeight="1" x14ac:dyDescent="0.3">
      <c r="AG2848" s="2"/>
    </row>
    <row r="2849" spans="33:33" ht="15" customHeight="1" x14ac:dyDescent="0.3">
      <c r="AG2849" s="2"/>
    </row>
    <row r="2850" spans="33:33" ht="15" customHeight="1" x14ac:dyDescent="0.3">
      <c r="AG2850" s="2"/>
    </row>
    <row r="2851" spans="33:33" ht="15" customHeight="1" x14ac:dyDescent="0.3">
      <c r="AG2851" s="2"/>
    </row>
    <row r="2852" spans="33:33" ht="15" customHeight="1" x14ac:dyDescent="0.3">
      <c r="AG2852" s="2"/>
    </row>
    <row r="2853" spans="33:33" ht="15" customHeight="1" x14ac:dyDescent="0.3">
      <c r="AG2853" s="2"/>
    </row>
    <row r="2854" spans="33:33" ht="15" customHeight="1" x14ac:dyDescent="0.3">
      <c r="AG2854" s="2"/>
    </row>
    <row r="2855" spans="33:33" ht="15" customHeight="1" x14ac:dyDescent="0.3">
      <c r="AG2855" s="2"/>
    </row>
    <row r="2856" spans="33:33" ht="15" customHeight="1" x14ac:dyDescent="0.3">
      <c r="AG2856" s="2"/>
    </row>
    <row r="2857" spans="33:33" ht="15" customHeight="1" x14ac:dyDescent="0.3">
      <c r="AG2857" s="2"/>
    </row>
    <row r="2858" spans="33:33" ht="15" customHeight="1" x14ac:dyDescent="0.3">
      <c r="AG2858" s="2"/>
    </row>
    <row r="2859" spans="33:33" ht="15" customHeight="1" x14ac:dyDescent="0.3">
      <c r="AG2859" s="2"/>
    </row>
    <row r="2860" spans="33:33" ht="15" customHeight="1" x14ac:dyDescent="0.3">
      <c r="AG2860" s="2"/>
    </row>
    <row r="2861" spans="33:33" ht="15" customHeight="1" x14ac:dyDescent="0.3">
      <c r="AG2861" s="2"/>
    </row>
    <row r="2862" spans="33:33" ht="15" customHeight="1" x14ac:dyDescent="0.3">
      <c r="AG2862" s="2"/>
    </row>
    <row r="2863" spans="33:33" ht="15" customHeight="1" x14ac:dyDescent="0.3">
      <c r="AG2863" s="2"/>
    </row>
    <row r="2864" spans="33:33" ht="15" customHeight="1" x14ac:dyDescent="0.3">
      <c r="AG2864" s="2"/>
    </row>
    <row r="2865" spans="33:33" ht="15" customHeight="1" x14ac:dyDescent="0.3">
      <c r="AG2865" s="2"/>
    </row>
    <row r="2866" spans="33:33" ht="15" customHeight="1" x14ac:dyDescent="0.3">
      <c r="AG2866" s="2"/>
    </row>
    <row r="2867" spans="33:33" ht="15" customHeight="1" x14ac:dyDescent="0.3">
      <c r="AG2867" s="2"/>
    </row>
    <row r="2868" spans="33:33" ht="15" customHeight="1" x14ac:dyDescent="0.3">
      <c r="AG2868" s="2"/>
    </row>
    <row r="2869" spans="33:33" ht="15" customHeight="1" x14ac:dyDescent="0.3">
      <c r="AG2869" s="2"/>
    </row>
    <row r="2870" spans="33:33" ht="15" customHeight="1" x14ac:dyDescent="0.3">
      <c r="AG2870" s="2"/>
    </row>
    <row r="2871" spans="33:33" ht="15" customHeight="1" x14ac:dyDescent="0.3">
      <c r="AG2871" s="2"/>
    </row>
    <row r="2872" spans="33:33" ht="15" customHeight="1" x14ac:dyDescent="0.3">
      <c r="AG2872" s="2"/>
    </row>
    <row r="2873" spans="33:33" ht="15" customHeight="1" x14ac:dyDescent="0.3">
      <c r="AG2873" s="2"/>
    </row>
    <row r="2874" spans="33:33" ht="15" customHeight="1" x14ac:dyDescent="0.3">
      <c r="AG2874" s="2"/>
    </row>
    <row r="2875" spans="33:33" ht="15" customHeight="1" x14ac:dyDescent="0.3">
      <c r="AG2875" s="2"/>
    </row>
    <row r="2876" spans="33:33" ht="15" customHeight="1" x14ac:dyDescent="0.3">
      <c r="AG2876" s="2"/>
    </row>
    <row r="2877" spans="33:33" ht="15" customHeight="1" x14ac:dyDescent="0.3">
      <c r="AG2877" s="2"/>
    </row>
    <row r="2878" spans="33:33" ht="15" customHeight="1" x14ac:dyDescent="0.3">
      <c r="AG2878" s="2"/>
    </row>
    <row r="2879" spans="33:33" ht="15" customHeight="1" x14ac:dyDescent="0.3">
      <c r="AG2879" s="2"/>
    </row>
    <row r="2880" spans="33:33" ht="15" customHeight="1" x14ac:dyDescent="0.3">
      <c r="AG2880" s="2"/>
    </row>
    <row r="2881" spans="33:33" ht="15" customHeight="1" x14ac:dyDescent="0.3">
      <c r="AG2881" s="2"/>
    </row>
    <row r="2882" spans="33:33" ht="15" customHeight="1" x14ac:dyDescent="0.3">
      <c r="AG2882" s="2"/>
    </row>
    <row r="2883" spans="33:33" ht="15" customHeight="1" x14ac:dyDescent="0.3">
      <c r="AG2883" s="2"/>
    </row>
    <row r="2884" spans="33:33" ht="15" customHeight="1" x14ac:dyDescent="0.3">
      <c r="AG2884" s="2"/>
    </row>
    <row r="2885" spans="33:33" ht="15" customHeight="1" x14ac:dyDescent="0.3">
      <c r="AG2885" s="2"/>
    </row>
    <row r="2886" spans="33:33" ht="15" customHeight="1" x14ac:dyDescent="0.3">
      <c r="AG2886" s="2"/>
    </row>
    <row r="2887" spans="33:33" ht="15" customHeight="1" x14ac:dyDescent="0.3">
      <c r="AG2887" s="2"/>
    </row>
    <row r="2888" spans="33:33" ht="15" customHeight="1" x14ac:dyDescent="0.3">
      <c r="AG2888" s="2"/>
    </row>
    <row r="2889" spans="33:33" ht="15" customHeight="1" x14ac:dyDescent="0.3">
      <c r="AG2889" s="2"/>
    </row>
    <row r="2890" spans="33:33" ht="15" customHeight="1" x14ac:dyDescent="0.3">
      <c r="AG2890" s="2"/>
    </row>
    <row r="2891" spans="33:33" ht="15" customHeight="1" x14ac:dyDescent="0.3">
      <c r="AG2891" s="2"/>
    </row>
    <row r="2892" spans="33:33" ht="15" customHeight="1" x14ac:dyDescent="0.3">
      <c r="AG2892" s="2"/>
    </row>
    <row r="2893" spans="33:33" ht="15" customHeight="1" x14ac:dyDescent="0.3">
      <c r="AG2893" s="2"/>
    </row>
    <row r="2894" spans="33:33" ht="15" customHeight="1" x14ac:dyDescent="0.3">
      <c r="AG2894" s="2"/>
    </row>
    <row r="2895" spans="33:33" ht="15" customHeight="1" x14ac:dyDescent="0.3">
      <c r="AG2895" s="2"/>
    </row>
    <row r="2896" spans="33:33" ht="15" customHeight="1" x14ac:dyDescent="0.3">
      <c r="AG2896" s="2"/>
    </row>
    <row r="2897" spans="33:33" ht="15" customHeight="1" x14ac:dyDescent="0.3">
      <c r="AG2897" s="2"/>
    </row>
    <row r="2898" spans="33:33" ht="15" customHeight="1" x14ac:dyDescent="0.3">
      <c r="AG2898" s="2"/>
    </row>
    <row r="2899" spans="33:33" ht="15" customHeight="1" x14ac:dyDescent="0.3">
      <c r="AG2899" s="2"/>
    </row>
    <row r="2900" spans="33:33" ht="15" customHeight="1" x14ac:dyDescent="0.3">
      <c r="AG2900" s="2"/>
    </row>
    <row r="2901" spans="33:33" ht="15" customHeight="1" x14ac:dyDescent="0.3">
      <c r="AG2901" s="2"/>
    </row>
    <row r="2902" spans="33:33" ht="15" customHeight="1" x14ac:dyDescent="0.3">
      <c r="AG2902" s="2"/>
    </row>
    <row r="2903" spans="33:33" ht="15" customHeight="1" x14ac:dyDescent="0.3">
      <c r="AG2903" s="2"/>
    </row>
    <row r="2904" spans="33:33" ht="15" customHeight="1" x14ac:dyDescent="0.3">
      <c r="AG2904" s="2"/>
    </row>
    <row r="2905" spans="33:33" ht="15" customHeight="1" x14ac:dyDescent="0.3">
      <c r="AG2905" s="2"/>
    </row>
    <row r="2906" spans="33:33" ht="15" customHeight="1" x14ac:dyDescent="0.3">
      <c r="AG2906" s="2"/>
    </row>
    <row r="2907" spans="33:33" ht="15" customHeight="1" x14ac:dyDescent="0.3">
      <c r="AG2907" s="2"/>
    </row>
    <row r="2908" spans="33:33" ht="15" customHeight="1" x14ac:dyDescent="0.3">
      <c r="AG2908" s="2"/>
    </row>
    <row r="2909" spans="33:33" ht="15" customHeight="1" x14ac:dyDescent="0.3">
      <c r="AG2909" s="2"/>
    </row>
    <row r="2910" spans="33:33" ht="15" customHeight="1" x14ac:dyDescent="0.3">
      <c r="AG2910" s="2"/>
    </row>
    <row r="2911" spans="33:33" ht="15" customHeight="1" x14ac:dyDescent="0.3">
      <c r="AG2911" s="2"/>
    </row>
    <row r="2912" spans="33:33" ht="15" customHeight="1" x14ac:dyDescent="0.3">
      <c r="AG2912" s="2"/>
    </row>
    <row r="2913" spans="33:33" ht="15" customHeight="1" x14ac:dyDescent="0.3">
      <c r="AG2913" s="2"/>
    </row>
    <row r="2914" spans="33:33" ht="15" customHeight="1" x14ac:dyDescent="0.3">
      <c r="AG2914" s="2"/>
    </row>
    <row r="2915" spans="33:33" ht="15" customHeight="1" x14ac:dyDescent="0.3">
      <c r="AG2915" s="2"/>
    </row>
    <row r="2916" spans="33:33" ht="15" customHeight="1" x14ac:dyDescent="0.3">
      <c r="AG2916" s="2"/>
    </row>
    <row r="2917" spans="33:33" ht="15" customHeight="1" x14ac:dyDescent="0.3">
      <c r="AG2917" s="2"/>
    </row>
    <row r="2918" spans="33:33" ht="15" customHeight="1" x14ac:dyDescent="0.3">
      <c r="AG2918" s="2"/>
    </row>
    <row r="2919" spans="33:33" ht="15" customHeight="1" x14ac:dyDescent="0.3">
      <c r="AG2919" s="2"/>
    </row>
    <row r="2920" spans="33:33" ht="15" customHeight="1" x14ac:dyDescent="0.3">
      <c r="AG2920" s="2"/>
    </row>
    <row r="2921" spans="33:33" ht="15" customHeight="1" x14ac:dyDescent="0.3">
      <c r="AG2921" s="2"/>
    </row>
    <row r="2922" spans="33:33" ht="15" customHeight="1" x14ac:dyDescent="0.3">
      <c r="AG2922" s="2"/>
    </row>
    <row r="2923" spans="33:33" ht="15" customHeight="1" x14ac:dyDescent="0.3">
      <c r="AG2923" s="2"/>
    </row>
    <row r="2924" spans="33:33" ht="15" customHeight="1" x14ac:dyDescent="0.3">
      <c r="AG2924" s="2"/>
    </row>
    <row r="2925" spans="33:33" ht="15" customHeight="1" x14ac:dyDescent="0.3">
      <c r="AG2925" s="2"/>
    </row>
    <row r="2926" spans="33:33" ht="15" customHeight="1" x14ac:dyDescent="0.3">
      <c r="AG2926" s="2"/>
    </row>
    <row r="2927" spans="33:33" ht="15" customHeight="1" x14ac:dyDescent="0.3">
      <c r="AG2927" s="2"/>
    </row>
    <row r="2928" spans="33:33" ht="15" customHeight="1" x14ac:dyDescent="0.3">
      <c r="AG2928" s="2"/>
    </row>
    <row r="2929" spans="33:33" ht="15" customHeight="1" x14ac:dyDescent="0.3">
      <c r="AG2929" s="2"/>
    </row>
    <row r="2930" spans="33:33" ht="15" customHeight="1" x14ac:dyDescent="0.3">
      <c r="AG2930" s="2"/>
    </row>
    <row r="2931" spans="33:33" ht="15" customHeight="1" x14ac:dyDescent="0.3">
      <c r="AG2931" s="2"/>
    </row>
    <row r="2932" spans="33:33" ht="15" customHeight="1" x14ac:dyDescent="0.3">
      <c r="AG2932" s="2"/>
    </row>
    <row r="2933" spans="33:33" ht="15" customHeight="1" x14ac:dyDescent="0.3">
      <c r="AG2933" s="2"/>
    </row>
    <row r="2934" spans="33:33" ht="15" customHeight="1" x14ac:dyDescent="0.3">
      <c r="AG2934" s="2"/>
    </row>
    <row r="2935" spans="33:33" ht="15" customHeight="1" x14ac:dyDescent="0.3">
      <c r="AG2935" s="2"/>
    </row>
    <row r="2936" spans="33:33" ht="15" customHeight="1" x14ac:dyDescent="0.3">
      <c r="AG2936" s="2"/>
    </row>
    <row r="2937" spans="33:33" ht="15" customHeight="1" x14ac:dyDescent="0.3">
      <c r="AG2937" s="2"/>
    </row>
    <row r="2938" spans="33:33" ht="15" customHeight="1" x14ac:dyDescent="0.3">
      <c r="AG2938" s="2"/>
    </row>
    <row r="2939" spans="33:33" ht="15" customHeight="1" x14ac:dyDescent="0.3">
      <c r="AG2939" s="2"/>
    </row>
    <row r="2940" spans="33:33" ht="15" customHeight="1" x14ac:dyDescent="0.3">
      <c r="AG2940" s="2"/>
    </row>
    <row r="2941" spans="33:33" ht="15" customHeight="1" x14ac:dyDescent="0.3">
      <c r="AG2941" s="2"/>
    </row>
    <row r="2942" spans="33:33" ht="15" customHeight="1" x14ac:dyDescent="0.3">
      <c r="AG2942" s="2"/>
    </row>
    <row r="2943" spans="33:33" ht="15" customHeight="1" x14ac:dyDescent="0.3">
      <c r="AG2943" s="2"/>
    </row>
    <row r="2944" spans="33:33" ht="15" customHeight="1" x14ac:dyDescent="0.3">
      <c r="AG2944" s="2"/>
    </row>
    <row r="2945" spans="33:33" ht="15" customHeight="1" x14ac:dyDescent="0.3">
      <c r="AG2945" s="2"/>
    </row>
    <row r="2946" spans="33:33" ht="15" customHeight="1" x14ac:dyDescent="0.3">
      <c r="AG2946" s="2"/>
    </row>
    <row r="2947" spans="33:33" ht="15" customHeight="1" x14ac:dyDescent="0.3">
      <c r="AG2947" s="2"/>
    </row>
    <row r="2948" spans="33:33" ht="15" customHeight="1" x14ac:dyDescent="0.3">
      <c r="AG2948" s="2"/>
    </row>
    <row r="2949" spans="33:33" ht="15" customHeight="1" x14ac:dyDescent="0.3">
      <c r="AG2949" s="2"/>
    </row>
    <row r="2950" spans="33:33" ht="15" customHeight="1" x14ac:dyDescent="0.3">
      <c r="AG2950" s="2"/>
    </row>
    <row r="2951" spans="33:33" ht="15" customHeight="1" x14ac:dyDescent="0.3">
      <c r="AG2951" s="2"/>
    </row>
    <row r="2952" spans="33:33" ht="15" customHeight="1" x14ac:dyDescent="0.3">
      <c r="AG2952" s="2"/>
    </row>
    <row r="2953" spans="33:33" ht="15" customHeight="1" x14ac:dyDescent="0.3">
      <c r="AG2953" s="2"/>
    </row>
    <row r="2954" spans="33:33" ht="15" customHeight="1" x14ac:dyDescent="0.3">
      <c r="AG2954" s="2"/>
    </row>
    <row r="2955" spans="33:33" ht="15" customHeight="1" x14ac:dyDescent="0.3">
      <c r="AG2955" s="2"/>
    </row>
    <row r="2956" spans="33:33" ht="15" customHeight="1" x14ac:dyDescent="0.3">
      <c r="AG2956" s="2"/>
    </row>
    <row r="2957" spans="33:33" ht="15" customHeight="1" x14ac:dyDescent="0.3">
      <c r="AG2957" s="2"/>
    </row>
    <row r="2958" spans="33:33" ht="15" customHeight="1" x14ac:dyDescent="0.3">
      <c r="AG2958" s="2"/>
    </row>
    <row r="2959" spans="33:33" ht="15" customHeight="1" x14ac:dyDescent="0.3">
      <c r="AG2959" s="2"/>
    </row>
    <row r="2960" spans="33:33" ht="15" customHeight="1" x14ac:dyDescent="0.3">
      <c r="AG2960" s="2"/>
    </row>
    <row r="2961" spans="33:33" ht="15" customHeight="1" x14ac:dyDescent="0.3">
      <c r="AG2961" s="2"/>
    </row>
    <row r="2962" spans="33:33" ht="15" customHeight="1" x14ac:dyDescent="0.3">
      <c r="AG2962" s="2"/>
    </row>
    <row r="2963" spans="33:33" ht="15" customHeight="1" x14ac:dyDescent="0.3">
      <c r="AG2963" s="2"/>
    </row>
    <row r="2964" spans="33:33" ht="15" customHeight="1" x14ac:dyDescent="0.3">
      <c r="AG2964" s="2"/>
    </row>
    <row r="2965" spans="33:33" ht="15" customHeight="1" x14ac:dyDescent="0.3">
      <c r="AG2965" s="2"/>
    </row>
    <row r="2966" spans="33:33" ht="15" customHeight="1" x14ac:dyDescent="0.3">
      <c r="AG2966" s="2"/>
    </row>
    <row r="2967" spans="33:33" ht="15" customHeight="1" x14ac:dyDescent="0.3">
      <c r="AG2967" s="2"/>
    </row>
    <row r="2968" spans="33:33" ht="15" customHeight="1" x14ac:dyDescent="0.3">
      <c r="AG2968" s="2"/>
    </row>
    <row r="2969" spans="33:33" ht="15" customHeight="1" x14ac:dyDescent="0.3">
      <c r="AG2969" s="2"/>
    </row>
    <row r="2970" spans="33:33" ht="15" customHeight="1" x14ac:dyDescent="0.3">
      <c r="AG2970" s="2"/>
    </row>
    <row r="2971" spans="33:33" ht="15" customHeight="1" x14ac:dyDescent="0.3">
      <c r="AG2971" s="2"/>
    </row>
    <row r="2972" spans="33:33" ht="15" customHeight="1" x14ac:dyDescent="0.3">
      <c r="AG2972" s="2"/>
    </row>
    <row r="2973" spans="33:33" ht="15" customHeight="1" x14ac:dyDescent="0.3">
      <c r="AG2973" s="2"/>
    </row>
    <row r="2974" spans="33:33" ht="15" customHeight="1" x14ac:dyDescent="0.3">
      <c r="AG2974" s="2"/>
    </row>
    <row r="2975" spans="33:33" ht="15" customHeight="1" x14ac:dyDescent="0.3">
      <c r="AG2975" s="2"/>
    </row>
    <row r="2976" spans="33:33" ht="15" customHeight="1" x14ac:dyDescent="0.3">
      <c r="AG2976" s="2"/>
    </row>
    <row r="2977" spans="33:33" ht="15" customHeight="1" x14ac:dyDescent="0.3">
      <c r="AG2977" s="2"/>
    </row>
    <row r="2978" spans="33:33" ht="15" customHeight="1" x14ac:dyDescent="0.3">
      <c r="AG2978" s="2"/>
    </row>
    <row r="2979" spans="33:33" ht="15" customHeight="1" x14ac:dyDescent="0.3">
      <c r="AG2979" s="2"/>
    </row>
    <row r="2980" spans="33:33" ht="15" customHeight="1" x14ac:dyDescent="0.3">
      <c r="AG2980" s="2"/>
    </row>
    <row r="2981" spans="33:33" ht="15" customHeight="1" x14ac:dyDescent="0.3">
      <c r="AG2981" s="2"/>
    </row>
    <row r="2982" spans="33:33" x14ac:dyDescent="0.3">
      <c r="AG2982" s="2"/>
    </row>
    <row r="2983" spans="33:33" x14ac:dyDescent="0.3">
      <c r="AG2983" s="2"/>
    </row>
    <row r="2984" spans="33:33" x14ac:dyDescent="0.3">
      <c r="AG2984" s="2"/>
    </row>
    <row r="2985" spans="33:33" x14ac:dyDescent="0.3">
      <c r="AG2985" s="2"/>
    </row>
    <row r="2986" spans="33:33" x14ac:dyDescent="0.3">
      <c r="AG2986" s="2"/>
    </row>
    <row r="2987" spans="33:33" x14ac:dyDescent="0.3">
      <c r="AG2987" s="2"/>
    </row>
    <row r="2988" spans="33:33" x14ac:dyDescent="0.3">
      <c r="AG2988" s="2"/>
    </row>
    <row r="2989" spans="33:33" x14ac:dyDescent="0.3">
      <c r="AG2989" s="2"/>
    </row>
    <row r="2990" spans="33:33" x14ac:dyDescent="0.3">
      <c r="AG2990" s="2"/>
    </row>
  </sheetData>
  <mergeCells count="42">
    <mergeCell ref="CE5:CL5"/>
    <mergeCell ref="A4:A7"/>
    <mergeCell ref="B5:D5"/>
    <mergeCell ref="AZ5:BD5"/>
    <mergeCell ref="BE5:BH5"/>
    <mergeCell ref="E5:H5"/>
    <mergeCell ref="I5:AD5"/>
    <mergeCell ref="AE5:AN5"/>
    <mergeCell ref="AO5:AV5"/>
    <mergeCell ref="AW5:AY5"/>
    <mergeCell ref="BI5:BM5"/>
    <mergeCell ref="BN5:BR5"/>
    <mergeCell ref="BS5:BX5"/>
    <mergeCell ref="BY5:CD5"/>
    <mergeCell ref="JM3:JS4"/>
    <mergeCell ref="JE2:JL2"/>
    <mergeCell ref="ET5:EW5"/>
    <mergeCell ref="FB5:FG5"/>
    <mergeCell ref="FH5:FL5"/>
    <mergeCell ref="IR5:IV5"/>
    <mergeCell ref="IW5:JB5"/>
    <mergeCell ref="JC5:JC7"/>
    <mergeCell ref="FZ5:GT5"/>
    <mergeCell ref="FM5:FQ5"/>
    <mergeCell ref="FR5:FU5"/>
    <mergeCell ref="EX5:FA5"/>
    <mergeCell ref="E2:IU2"/>
    <mergeCell ref="IJ5:IQ5"/>
    <mergeCell ref="H4:IX4"/>
    <mergeCell ref="GU5:HF5"/>
    <mergeCell ref="JD4:JE4"/>
    <mergeCell ref="CT5:DB5"/>
    <mergeCell ref="FV5:FY5"/>
    <mergeCell ref="DO5:DX5"/>
    <mergeCell ref="CM5:CS5"/>
    <mergeCell ref="DC5:DF5"/>
    <mergeCell ref="EI5:EO5"/>
    <mergeCell ref="EP5:ES5"/>
    <mergeCell ref="DG5:DN5"/>
    <mergeCell ref="DY5:EB5"/>
    <mergeCell ref="EC5:EH5"/>
    <mergeCell ref="HG5:II5"/>
  </mergeCells>
  <dataValidations disablePrompts="1" count="5">
    <dataValidation type="list" allowBlank="1" showInputMessage="1" showErrorMessage="1" sqref="A65199" xr:uid="{3FCD26E1-5DB9-476C-9715-57566078DDAC}">
      <formula1>Program</formula1>
    </dataValidation>
    <dataValidation allowBlank="1" showErrorMessage="1" errorTitle="Date invalide" error="This date is invalid. Please write a date in the proper format and between 2024-04-01 and 2025-03-31." prompt="." sqref="E5" xr:uid="{6294AF7D-22BE-4109-B07D-69187D551F63}"/>
    <dataValidation allowBlank="1" showInputMessage="1" showErrorMessage="1" prompt="Select the community where the activities were performed" sqref="JC2" xr:uid="{BBE8C097-1260-4EF5-8811-B5B261C1E2BD}"/>
    <dataValidation allowBlank="1" showInputMessage="1" showErrorMessage="1" sqref="ET5 EX5" xr:uid="{9BBC6D11-D53A-4ACB-BADF-FC4F9714799F}"/>
    <dataValidation type="list" allowBlank="1" showInputMessage="1" showErrorMessage="1" sqref="EG6" xr:uid="{2A8DF790-C0BA-47F8-B426-8DB6B64BDAD5}">
      <formula1>Shoulder_Dys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68865-92C7-42BC-9089-CD2243A215E2}">
  <sheetPr codeName="Sheet11">
    <tabColor rgb="FFFF0000"/>
  </sheetPr>
  <dimension ref="A1:BN2995"/>
  <sheetViews>
    <sheetView topLeftCell="A7" workbookViewId="0">
      <selection activeCell="Q27" sqref="Q27"/>
    </sheetView>
  </sheetViews>
  <sheetFormatPr defaultColWidth="9.109375" defaultRowHeight="14.4" x14ac:dyDescent="0.3"/>
  <cols>
    <col min="1" max="1" width="19.6640625" style="2" customWidth="1"/>
    <col min="2" max="2" width="4.6640625" style="93" customWidth="1"/>
    <col min="3" max="51" width="4.6640625" style="2" customWidth="1"/>
    <col min="52" max="52" width="14.88671875" style="2" customWidth="1"/>
    <col min="53" max="53" width="9.109375" style="2"/>
    <col min="54" max="55" width="4.6640625" customWidth="1"/>
    <col min="64" max="16384" width="9.109375" style="2"/>
  </cols>
  <sheetData>
    <row r="1" spans="1:66" ht="21" customHeight="1" x14ac:dyDescent="0.3">
      <c r="B1" s="1"/>
      <c r="C1" s="1"/>
      <c r="D1" s="1"/>
      <c r="AZ1" s="1"/>
    </row>
    <row r="2" spans="1:66" ht="15" customHeight="1" thickBot="1" x14ac:dyDescent="0.35">
      <c r="E2" s="126"/>
      <c r="F2" s="127"/>
      <c r="G2" s="127"/>
      <c r="H2" s="127"/>
      <c r="I2" s="127"/>
      <c r="J2" s="127"/>
      <c r="K2" s="127"/>
      <c r="L2" s="127"/>
      <c r="M2" s="127"/>
      <c r="N2" s="127"/>
      <c r="O2" s="209"/>
      <c r="P2" s="209"/>
      <c r="Q2" s="209"/>
      <c r="R2" s="209"/>
      <c r="S2" s="209"/>
      <c r="T2" s="209"/>
      <c r="U2" s="209"/>
      <c r="V2" s="581" t="s">
        <v>97</v>
      </c>
      <c r="W2" s="581"/>
      <c r="X2" s="581"/>
      <c r="Y2" s="581"/>
      <c r="Z2" s="581"/>
      <c r="AA2" s="581"/>
      <c r="AB2" s="581"/>
      <c r="AC2" s="581"/>
      <c r="AD2" s="581"/>
      <c r="AE2" s="581"/>
      <c r="AF2" s="581"/>
      <c r="AG2" s="581"/>
      <c r="AH2" s="581"/>
      <c r="AI2" s="581"/>
      <c r="AJ2" s="581"/>
      <c r="AK2" s="581"/>
      <c r="AL2" s="581"/>
      <c r="AM2" s="581"/>
      <c r="AN2" s="209"/>
      <c r="AO2" s="209"/>
      <c r="AP2" s="209"/>
      <c r="AQ2" s="209"/>
      <c r="AR2" s="209"/>
      <c r="AS2" s="209"/>
      <c r="AT2" s="127"/>
      <c r="AU2" s="127"/>
      <c r="AV2" s="127"/>
      <c r="AW2" s="127"/>
      <c r="AX2" s="127"/>
      <c r="AY2" s="127"/>
      <c r="AZ2" s="128"/>
      <c r="BB2" s="574" t="s">
        <v>666</v>
      </c>
      <c r="BC2" s="574"/>
      <c r="BD2" s="574"/>
      <c r="BE2" s="574"/>
      <c r="BF2" s="574"/>
      <c r="BG2" s="574"/>
      <c r="BH2" s="574"/>
      <c r="BI2" s="353"/>
      <c r="BJ2" s="15"/>
      <c r="BK2" s="15"/>
    </row>
    <row r="3" spans="1:66" s="3" customFormat="1" ht="13.5" customHeight="1" thickTop="1" thickBot="1" x14ac:dyDescent="0.25">
      <c r="B3" s="9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BH3" s="352"/>
      <c r="BI3" s="597" t="s">
        <v>809</v>
      </c>
      <c r="BJ3" s="633"/>
      <c r="BK3" s="633"/>
      <c r="BL3" s="633"/>
      <c r="BM3" s="633"/>
      <c r="BN3" s="634"/>
    </row>
    <row r="4" spans="1:66" s="5" customFormat="1" ht="15" customHeight="1" thickTop="1" thickBot="1" x14ac:dyDescent="0.25">
      <c r="A4" s="594" t="s">
        <v>668</v>
      </c>
      <c r="B4" s="349"/>
      <c r="C4" s="349"/>
      <c r="D4" s="350" t="s">
        <v>810</v>
      </c>
      <c r="E4" s="351" t="s">
        <v>810</v>
      </c>
      <c r="F4" s="655" t="s">
        <v>811</v>
      </c>
      <c r="G4" s="656"/>
      <c r="H4" s="656"/>
      <c r="I4" s="656"/>
      <c r="J4" s="656"/>
      <c r="K4" s="656"/>
      <c r="L4" s="656"/>
      <c r="M4" s="656"/>
      <c r="N4" s="656"/>
      <c r="O4" s="656"/>
      <c r="P4" s="656"/>
      <c r="Q4" s="656"/>
      <c r="R4" s="656"/>
      <c r="S4" s="656"/>
      <c r="T4" s="656"/>
      <c r="U4" s="656"/>
      <c r="V4" s="656"/>
      <c r="W4" s="656"/>
      <c r="X4" s="656"/>
      <c r="Y4" s="656"/>
      <c r="Z4" s="656"/>
      <c r="AA4" s="656"/>
      <c r="AB4" s="656"/>
      <c r="AC4" s="656"/>
      <c r="AD4" s="656"/>
      <c r="AE4" s="656"/>
      <c r="AF4" s="656"/>
      <c r="AG4" s="656"/>
      <c r="AH4" s="656"/>
      <c r="AI4" s="656"/>
      <c r="AJ4" s="656"/>
      <c r="AK4" s="656"/>
      <c r="AL4" s="656"/>
      <c r="AM4" s="656"/>
      <c r="AN4" s="656"/>
      <c r="AO4" s="656"/>
      <c r="AP4" s="656"/>
      <c r="AQ4" s="656"/>
      <c r="AR4" s="656"/>
      <c r="AS4" s="656"/>
      <c r="AT4" s="656"/>
      <c r="AU4" s="340"/>
      <c r="AV4" s="382"/>
      <c r="AW4" s="382"/>
      <c r="AX4" s="658"/>
      <c r="AY4" s="659"/>
      <c r="AZ4" s="591" t="s">
        <v>671</v>
      </c>
      <c r="BB4" s="241"/>
      <c r="BC4" s="241"/>
      <c r="BI4" s="635"/>
      <c r="BJ4" s="636"/>
      <c r="BK4" s="636"/>
      <c r="BL4" s="636"/>
      <c r="BM4" s="636"/>
      <c r="BN4" s="637"/>
    </row>
    <row r="5" spans="1:66" s="5" customFormat="1" ht="75.599999999999994" customHeight="1" thickBot="1" x14ac:dyDescent="0.35">
      <c r="A5" s="595"/>
      <c r="B5" s="649" t="s">
        <v>812</v>
      </c>
      <c r="C5" s="650"/>
      <c r="D5" s="650"/>
      <c r="E5" s="651"/>
      <c r="F5" s="652" t="s">
        <v>813</v>
      </c>
      <c r="G5" s="653"/>
      <c r="H5" s="653"/>
      <c r="I5" s="653"/>
      <c r="J5" s="654"/>
      <c r="K5" s="652" t="s">
        <v>814</v>
      </c>
      <c r="L5" s="653"/>
      <c r="M5" s="653"/>
      <c r="N5" s="654"/>
      <c r="O5" s="652" t="s">
        <v>815</v>
      </c>
      <c r="P5" s="653"/>
      <c r="Q5" s="653"/>
      <c r="R5" s="653"/>
      <c r="S5" s="653"/>
      <c r="T5" s="653"/>
      <c r="U5" s="653"/>
      <c r="V5" s="653"/>
      <c r="W5" s="654"/>
      <c r="X5" s="652" t="s">
        <v>816</v>
      </c>
      <c r="Y5" s="653"/>
      <c r="Z5" s="653"/>
      <c r="AA5" s="654"/>
      <c r="AB5" s="652" t="s">
        <v>817</v>
      </c>
      <c r="AC5" s="653"/>
      <c r="AD5" s="653"/>
      <c r="AE5" s="653"/>
      <c r="AF5" s="653"/>
      <c r="AG5" s="653"/>
      <c r="AH5" s="653"/>
      <c r="AI5" s="653"/>
      <c r="AJ5" s="654"/>
      <c r="AK5" s="652" t="s">
        <v>818</v>
      </c>
      <c r="AL5" s="653"/>
      <c r="AM5" s="653"/>
      <c r="AN5" s="654"/>
      <c r="AO5" s="652" t="s">
        <v>819</v>
      </c>
      <c r="AP5" s="653"/>
      <c r="AQ5" s="653"/>
      <c r="AR5" s="653"/>
      <c r="AS5" s="653"/>
      <c r="AT5" s="653"/>
      <c r="AU5" s="651"/>
      <c r="AV5" s="652" t="s">
        <v>820</v>
      </c>
      <c r="AW5" s="653"/>
      <c r="AX5" s="653"/>
      <c r="AY5" s="654"/>
      <c r="AZ5" s="657"/>
      <c r="BB5" s="241"/>
      <c r="BC5" s="241"/>
      <c r="BH5" s="15"/>
      <c r="BI5" s="15"/>
      <c r="BJ5" s="15"/>
      <c r="BK5" s="15"/>
    </row>
    <row r="6" spans="1:66" s="1" customFormat="1" ht="133.94999999999999" customHeight="1" x14ac:dyDescent="0.3">
      <c r="A6" s="595"/>
      <c r="B6" s="313" t="s">
        <v>0</v>
      </c>
      <c r="C6" s="314" t="s">
        <v>104</v>
      </c>
      <c r="D6" s="314" t="s">
        <v>114</v>
      </c>
      <c r="E6" s="394" t="s">
        <v>821</v>
      </c>
      <c r="F6" s="313" t="s">
        <v>131</v>
      </c>
      <c r="G6" s="315" t="s">
        <v>188</v>
      </c>
      <c r="H6" s="315" t="s">
        <v>177</v>
      </c>
      <c r="I6" s="315" t="s">
        <v>114</v>
      </c>
      <c r="J6" s="394" t="s">
        <v>822</v>
      </c>
      <c r="K6" s="313" t="s">
        <v>0</v>
      </c>
      <c r="L6" s="314" t="s">
        <v>104</v>
      </c>
      <c r="M6" s="314" t="s">
        <v>114</v>
      </c>
      <c r="N6" s="394" t="s">
        <v>823</v>
      </c>
      <c r="O6" s="314" t="s">
        <v>114</v>
      </c>
      <c r="P6" s="181" t="s">
        <v>182</v>
      </c>
      <c r="Q6" s="181" t="s">
        <v>213</v>
      </c>
      <c r="R6" s="181" t="s">
        <v>286</v>
      </c>
      <c r="S6" s="181" t="s">
        <v>264</v>
      </c>
      <c r="T6" s="181" t="s">
        <v>349</v>
      </c>
      <c r="U6" s="181" t="s">
        <v>305</v>
      </c>
      <c r="V6" s="181" t="s">
        <v>353</v>
      </c>
      <c r="W6" s="394" t="s">
        <v>824</v>
      </c>
      <c r="X6" s="313" t="s">
        <v>0</v>
      </c>
      <c r="Y6" s="314" t="s">
        <v>104</v>
      </c>
      <c r="Z6" s="314" t="s">
        <v>114</v>
      </c>
      <c r="AA6" s="394" t="s">
        <v>825</v>
      </c>
      <c r="AB6" s="314" t="s">
        <v>114</v>
      </c>
      <c r="AC6" s="181" t="s">
        <v>182</v>
      </c>
      <c r="AD6" s="181" t="s">
        <v>213</v>
      </c>
      <c r="AE6" s="181" t="s">
        <v>286</v>
      </c>
      <c r="AF6" s="181" t="s">
        <v>264</v>
      </c>
      <c r="AG6" s="181" t="s">
        <v>349</v>
      </c>
      <c r="AH6" s="181" t="s">
        <v>305</v>
      </c>
      <c r="AI6" s="181" t="s">
        <v>353</v>
      </c>
      <c r="AJ6" s="395" t="s">
        <v>826</v>
      </c>
      <c r="AK6" s="313" t="s">
        <v>0</v>
      </c>
      <c r="AL6" s="314" t="s">
        <v>104</v>
      </c>
      <c r="AM6" s="314" t="s">
        <v>114</v>
      </c>
      <c r="AN6" s="395" t="s">
        <v>827</v>
      </c>
      <c r="AO6" s="314" t="s">
        <v>114</v>
      </c>
      <c r="AP6" s="314" t="s">
        <v>182</v>
      </c>
      <c r="AQ6" s="314" t="s">
        <v>246</v>
      </c>
      <c r="AR6" s="314" t="s">
        <v>289</v>
      </c>
      <c r="AS6" s="314" t="s">
        <v>324</v>
      </c>
      <c r="AT6" s="314" t="s">
        <v>353</v>
      </c>
      <c r="AU6" s="395" t="s">
        <v>828</v>
      </c>
      <c r="AV6" s="313" t="s">
        <v>0</v>
      </c>
      <c r="AW6" s="314" t="s">
        <v>104</v>
      </c>
      <c r="AX6" s="314" t="s">
        <v>114</v>
      </c>
      <c r="AY6" s="396" t="s">
        <v>829</v>
      </c>
      <c r="AZ6" s="592"/>
      <c r="BB6" s="300"/>
      <c r="BC6" s="300"/>
      <c r="BD6" s="15"/>
      <c r="BE6" s="15"/>
      <c r="BF6" s="16"/>
      <c r="BG6" s="16"/>
      <c r="BH6" s="15"/>
      <c r="BI6" s="15"/>
      <c r="BJ6" s="15"/>
      <c r="BK6" s="15"/>
    </row>
    <row r="7" spans="1:66" s="1" customFormat="1" ht="16.95" customHeight="1" x14ac:dyDescent="0.3">
      <c r="A7" s="596"/>
      <c r="B7" s="151" t="s">
        <v>687</v>
      </c>
      <c r="C7" s="96" t="s">
        <v>687</v>
      </c>
      <c r="D7" s="143" t="s">
        <v>687</v>
      </c>
      <c r="E7" s="273" t="s">
        <v>687</v>
      </c>
      <c r="F7" s="151" t="s">
        <v>687</v>
      </c>
      <c r="G7" s="96" t="s">
        <v>687</v>
      </c>
      <c r="H7" s="96" t="s">
        <v>687</v>
      </c>
      <c r="I7" s="143" t="s">
        <v>687</v>
      </c>
      <c r="J7" s="273" t="s">
        <v>687</v>
      </c>
      <c r="K7" s="151" t="s">
        <v>687</v>
      </c>
      <c r="L7" s="96" t="s">
        <v>687</v>
      </c>
      <c r="M7" s="143" t="s">
        <v>687</v>
      </c>
      <c r="N7" s="273" t="s">
        <v>687</v>
      </c>
      <c r="O7" s="151" t="s">
        <v>687</v>
      </c>
      <c r="P7" s="96" t="s">
        <v>687</v>
      </c>
      <c r="Q7" s="96" t="s">
        <v>687</v>
      </c>
      <c r="R7" s="96" t="s">
        <v>687</v>
      </c>
      <c r="S7" s="96" t="s">
        <v>687</v>
      </c>
      <c r="T7" s="96" t="s">
        <v>687</v>
      </c>
      <c r="U7" s="96" t="s">
        <v>687</v>
      </c>
      <c r="V7" s="96" t="s">
        <v>687</v>
      </c>
      <c r="W7" s="273" t="s">
        <v>687</v>
      </c>
      <c r="X7" s="96" t="s">
        <v>687</v>
      </c>
      <c r="Y7" s="96" t="s">
        <v>687</v>
      </c>
      <c r="Z7" s="143" t="s">
        <v>687</v>
      </c>
      <c r="AA7" s="273" t="s">
        <v>687</v>
      </c>
      <c r="AB7" s="151" t="s">
        <v>687</v>
      </c>
      <c r="AC7" s="96" t="s">
        <v>687</v>
      </c>
      <c r="AD7" s="96" t="s">
        <v>687</v>
      </c>
      <c r="AE7" s="96" t="s">
        <v>687</v>
      </c>
      <c r="AF7" s="96" t="s">
        <v>687</v>
      </c>
      <c r="AG7" s="96" t="s">
        <v>687</v>
      </c>
      <c r="AH7" s="96" t="s">
        <v>687</v>
      </c>
      <c r="AI7" s="96" t="s">
        <v>687</v>
      </c>
      <c r="AJ7" s="273" t="s">
        <v>687</v>
      </c>
      <c r="AK7" s="96" t="s">
        <v>687</v>
      </c>
      <c r="AL7" s="96" t="s">
        <v>687</v>
      </c>
      <c r="AM7" s="143" t="s">
        <v>687</v>
      </c>
      <c r="AN7" s="273" t="s">
        <v>687</v>
      </c>
      <c r="AO7" s="523" t="s">
        <v>687</v>
      </c>
      <c r="AP7" s="524" t="s">
        <v>687</v>
      </c>
      <c r="AQ7" s="524" t="s">
        <v>687</v>
      </c>
      <c r="AR7" s="524" t="s">
        <v>687</v>
      </c>
      <c r="AS7" s="524" t="s">
        <v>687</v>
      </c>
      <c r="AT7" s="524" t="s">
        <v>687</v>
      </c>
      <c r="AU7" s="273" t="s">
        <v>687</v>
      </c>
      <c r="AV7" s="96" t="s">
        <v>687</v>
      </c>
      <c r="AW7" s="96" t="s">
        <v>687</v>
      </c>
      <c r="AX7" s="143" t="s">
        <v>687</v>
      </c>
      <c r="AY7" s="242" t="s">
        <v>687</v>
      </c>
      <c r="AZ7" s="593"/>
      <c r="BB7" s="15"/>
      <c r="BC7" s="15"/>
      <c r="BD7" s="15"/>
      <c r="BE7" s="15"/>
      <c r="BF7" s="16"/>
      <c r="BG7" s="16"/>
      <c r="BH7" s="15"/>
      <c r="BI7" s="15"/>
      <c r="BJ7" s="15"/>
      <c r="BK7" s="15"/>
    </row>
    <row r="8" spans="1:66" ht="15" customHeight="1" x14ac:dyDescent="0.35">
      <c r="A8" s="569">
        <v>45748</v>
      </c>
      <c r="B8" s="317">
        <f>SUMPRODUCT(('Postnatal Care'!$D$7:$D$746=B$6)*('Postnatal Care'!$C$7:$C$746&gt;=Lists!$AE2)*('Postnatal Care'!$C$7:$C$746&lt;=Lists!$AF2))</f>
        <v>0</v>
      </c>
      <c r="C8" s="318">
        <f>SUMPRODUCT(('Postnatal Care'!$D$7:$D$746=C$6)*('Postnatal Care'!$C$7:$C$746&gt;=Lists!$AE2)*('Postnatal Care'!$C$7:$C$746&lt;=Lists!$AF2))</f>
        <v>0</v>
      </c>
      <c r="D8" s="319">
        <f>SUMPRODUCT(('Postnatal Care'!$D$7:$D$746=D$6)*('Postnatal Care'!$C$7:$C$746&gt;=Lists!$AE2)*('Postnatal Care'!$C$7:$C$746&lt;=Lists!$AF2))</f>
        <v>0</v>
      </c>
      <c r="E8" s="316">
        <f>SUM(B8:D8)</f>
        <v>0</v>
      </c>
      <c r="F8" s="317">
        <f>SUMPRODUCT(('Postnatal Care'!$E$7:$E$746=F$6)*('Postnatal Care'!$C$7:$C$746&gt;=Lists!$AE2)*('Postnatal Care'!$C$7:$C$746&lt;=Lists!$AF2))</f>
        <v>0</v>
      </c>
      <c r="G8" s="318">
        <f>SUMPRODUCT(('Postnatal Care'!$E$7:$E$746=G$6)*('Postnatal Care'!$C$7:$C$746&gt;=Lists!$AE2)*('Postnatal Care'!$C$7:$C$746&lt;=Lists!$AF2))</f>
        <v>0</v>
      </c>
      <c r="H8" s="318">
        <f>SUMPRODUCT(('Postnatal Care'!$E$7:$E$746=H$6)*('Postnatal Care'!$C$7:$C$746&gt;=Lists!$AE2)*('Postnatal Care'!$C$7:$C$746&lt;=Lists!$AF2))</f>
        <v>0</v>
      </c>
      <c r="I8" s="319">
        <f>SUMPRODUCT(('Postnatal Care'!$E$7:$E$746=I$6)*('Postnatal Care'!$C$7:$C$746&gt;=Lists!$AE2)*('Postnatal Care'!$C$7:$C$746&lt;=Lists!$AF2))</f>
        <v>0</v>
      </c>
      <c r="J8" s="316">
        <f>SUM(F8:I8)</f>
        <v>0</v>
      </c>
      <c r="K8" s="317">
        <f>SUMPRODUCT(('Postnatal Care'!$G$7:$G$746=K$6)*('Postnatal Care'!$C$7:$C$746&gt;=Lists!$AE2)*('Postnatal Care'!$C$7:$C$746&lt;=Lists!$AF2))</f>
        <v>0</v>
      </c>
      <c r="L8" s="318">
        <f>SUMPRODUCT(('Postnatal Care'!$G$7:$G$746=L$6)*('Postnatal Care'!$C$7:$C$746&gt;=Lists!$AE2)*('Postnatal Care'!$C$7:$C$746&lt;=Lists!$AF2))</f>
        <v>0</v>
      </c>
      <c r="M8" s="319">
        <f>SUMPRODUCT(('Postnatal Care'!$G$7:$G$746=M$6)*('Postnatal Care'!$C$7:$C$746&gt;=Lists!$AE2)*('Postnatal Care'!$C$7:$C$746&lt;=Lists!$AF2))</f>
        <v>0</v>
      </c>
      <c r="N8" s="316">
        <f>SUM(K8:M8)</f>
        <v>0</v>
      </c>
      <c r="O8" s="317">
        <f>SUMPRODUCT(('Postnatal Care'!$I$7:$I$746=O$6)*('Postnatal Care'!$C$7:$C$746&gt;=Lists!$AE2)*('Postnatal Care'!$C$7:$C$746&lt;=Lists!$AF2))</f>
        <v>0</v>
      </c>
      <c r="P8" s="317">
        <f>SUMPRODUCT(('Postnatal Care'!$I$7:$I$746=P$6)*('Postnatal Care'!$C$7:$C$746&gt;=Lists!$AE2)*('Postnatal Care'!$C$7:$C$746&lt;=Lists!$AF2))</f>
        <v>0</v>
      </c>
      <c r="Q8" s="317">
        <f>SUMPRODUCT(('Postnatal Care'!$I$7:$I$746=Q$6)*('Postnatal Care'!$C$7:$C$746&gt;=Lists!$AE2)*('Postnatal Care'!$C$7:$C$746&lt;=Lists!$AF2))</f>
        <v>0</v>
      </c>
      <c r="R8" s="317">
        <f>SUMPRODUCT(('Postnatal Care'!$I$7:$I$746=R$6)*('Postnatal Care'!$C$7:$C$746&gt;=Lists!$AE2)*('Postnatal Care'!$C$7:$C$746&lt;=Lists!$AF2))</f>
        <v>0</v>
      </c>
      <c r="S8" s="317">
        <f>SUMPRODUCT(('Postnatal Care'!$I$7:$I$746=S$6)*('Postnatal Care'!$C$7:$C$746&gt;=Lists!$AE2)*('Postnatal Care'!$C$7:$C$746&lt;=Lists!$AF2))</f>
        <v>0</v>
      </c>
      <c r="T8" s="317">
        <f>SUMPRODUCT(('Postnatal Care'!$I$7:$I$746=T$6)*('Postnatal Care'!$C$7:$C$746&gt;=Lists!$AE2)*('Postnatal Care'!$C$7:$C$746&lt;=Lists!$AF2))</f>
        <v>0</v>
      </c>
      <c r="U8" s="317">
        <f>SUMPRODUCT(('Postnatal Care'!$I$7:$I$746=U$6)*('Postnatal Care'!$C$7:$C$746&gt;=Lists!$AE2)*('Postnatal Care'!$C$7:$C$746&lt;=Lists!$AF2))</f>
        <v>0</v>
      </c>
      <c r="V8" s="317">
        <f>SUMPRODUCT(('Postnatal Care'!$I$7:$I$746=V$6)*('Postnatal Care'!$C$7:$C$746&gt;=Lists!$AE2)*('Postnatal Care'!$C$7:$C$746&lt;=Lists!$AF2))</f>
        <v>0</v>
      </c>
      <c r="W8" s="316">
        <f>SUM(O8:V8)</f>
        <v>0</v>
      </c>
      <c r="X8" s="317">
        <f>SUMPRODUCT(('Postnatal Care'!$J$7:$J$746=X$6)*('Postnatal Care'!$C$7:$C$746&gt;=Lists!$AE2)*('Postnatal Care'!$C$7:$C$746&lt;=Lists!$AF2))</f>
        <v>0</v>
      </c>
      <c r="Y8" s="317">
        <f>SUMPRODUCT(('Postnatal Care'!$J$7:$J$746=Y$6)*('Postnatal Care'!$C$7:$C$746&gt;=Lists!$AE2)*('Postnatal Care'!$C$7:$C$746&lt;=Lists!$AF2))</f>
        <v>0</v>
      </c>
      <c r="Z8" s="320">
        <f>SUMPRODUCT(('Postnatal Care'!$J$7:$J$746=Z$6)*('Postnatal Care'!$C$7:$C$746&gt;=Lists!$AE2)*('Postnatal Care'!$C$7:$C$746&lt;=Lists!$AF2))</f>
        <v>0</v>
      </c>
      <c r="AA8" s="316">
        <f>SUM(X8:Z8)</f>
        <v>0</v>
      </c>
      <c r="AB8" s="317">
        <f>SUMPRODUCT(('Postnatal Care'!$L$7:$L$746=AB$6)*('Postnatal Care'!$C$7:$C$746&gt;=Lists!$AE2)*('Postnatal Care'!$C$7:$C$746&lt;=Lists!$AF2))</f>
        <v>0</v>
      </c>
      <c r="AC8" s="317">
        <f>SUMPRODUCT(('Postnatal Care'!$L$7:$L$746=AC$6)*('Postnatal Care'!$C$7:$C$746&gt;=Lists!$AE2)*('Postnatal Care'!$C$7:$C$746&lt;=Lists!$AF2))</f>
        <v>0</v>
      </c>
      <c r="AD8" s="317">
        <f>SUMPRODUCT(('Postnatal Care'!$L$7:$L$746=AD$6)*('Postnatal Care'!$C$7:$C$746&gt;=Lists!$AE2)*('Postnatal Care'!$C$7:$C$746&lt;=Lists!$AF2))</f>
        <v>0</v>
      </c>
      <c r="AE8" s="317">
        <f>SUMPRODUCT(('Postnatal Care'!$L$7:$L$746=AE$6)*('Postnatal Care'!$C$7:$C$746&gt;=Lists!$AE2)*('Postnatal Care'!$C$7:$C$746&lt;=Lists!$AF2))</f>
        <v>0</v>
      </c>
      <c r="AF8" s="317">
        <f>SUMPRODUCT(('Postnatal Care'!$L$7:$L$746=AF$6)*('Postnatal Care'!$C$7:$C$746&gt;=Lists!$AE2)*('Postnatal Care'!$C$7:$C$746&lt;=Lists!$AF2))</f>
        <v>0</v>
      </c>
      <c r="AG8" s="317">
        <f>SUMPRODUCT(('Postnatal Care'!$L$7:$L$746=AG$6)*('Postnatal Care'!$C$7:$C$746&gt;=Lists!$AE2)*('Postnatal Care'!$C$7:$C$746&lt;=Lists!$AF2))</f>
        <v>0</v>
      </c>
      <c r="AH8" s="317">
        <f>SUMPRODUCT(('Postnatal Care'!$L$7:$L$746=AH$6)*('Postnatal Care'!$C$7:$C$746&gt;=Lists!$AE2)*('Postnatal Care'!$C$7:$C$746&lt;=Lists!$AF2))</f>
        <v>0</v>
      </c>
      <c r="AI8" s="317">
        <f>SUMPRODUCT(('Postnatal Care'!$L$7:$L$746=AI$6)*('Postnatal Care'!$C$7:$C$746&gt;=Lists!$AE2)*('Postnatal Care'!$C$7:$C$746&lt;=Lists!$AF2))</f>
        <v>0</v>
      </c>
      <c r="AJ8" s="316">
        <f t="shared" ref="AJ8:AJ19" si="0">SUM(AB8:AI8)</f>
        <v>0</v>
      </c>
      <c r="AK8" s="317">
        <f>SUMPRODUCT(('Postnatal Care'!$M$7:$M$746=AK$6)*('Postnatal Care'!$C$7:$C$746&gt;=Lists!$AE2)*('Postnatal Care'!$C$7:$C$746&lt;=Lists!$AF2))</f>
        <v>0</v>
      </c>
      <c r="AL8" s="317">
        <f>SUMPRODUCT(('Postnatal Care'!$M$7:$M$746=AL$6)*('Postnatal Care'!$C$7:$C$746&gt;=Lists!$AE2)*('Postnatal Care'!$C$7:$C$746&lt;=Lists!$AF2))</f>
        <v>0</v>
      </c>
      <c r="AM8" s="317">
        <f>SUMPRODUCT(('Postnatal Care'!$M$7:$M$746=AM$6)*('Postnatal Care'!$C$7:$C$746&gt;=Lists!$AE2)*('Postnatal Care'!$C$7:$C$746&lt;=Lists!$AF2))</f>
        <v>0</v>
      </c>
      <c r="AN8" s="316">
        <f>SUM(AK8:AM8)</f>
        <v>0</v>
      </c>
      <c r="AO8" s="317">
        <f>SUMPRODUCT(('Postnatal Care'!$O$7:$O$746=AO$6)*('Postnatal Care'!$C$7:$C$746&gt;=Lists!$AE2)*('Postnatal Care'!$C$7:$C$746&lt;=Lists!$AF2))</f>
        <v>0</v>
      </c>
      <c r="AP8" s="317">
        <f>SUMPRODUCT(('Postnatal Care'!$O$7:$O$746=AP$6)*('Postnatal Care'!$C$7:$C$746&gt;=Lists!$AE2)*('Postnatal Care'!$C$7:$C$746&lt;=Lists!$AF2))</f>
        <v>0</v>
      </c>
      <c r="AQ8" s="317">
        <f>SUMPRODUCT(('Postnatal Care'!$O$7:$O$746=AQ$6)*('Postnatal Care'!$C$7:$C$746&gt;=Lists!$AE2)*('Postnatal Care'!$C$7:$C$746&lt;=Lists!$AF2))</f>
        <v>0</v>
      </c>
      <c r="AR8" s="317">
        <f>SUMPRODUCT(('Postnatal Care'!$O$7:$O$746=AR$6)*('Postnatal Care'!$C$7:$C$746&gt;=Lists!$AE2)*('Postnatal Care'!$C$7:$C$746&lt;=Lists!$AF2))</f>
        <v>0</v>
      </c>
      <c r="AS8" s="317">
        <f>SUMPRODUCT(('Postnatal Care'!$O$7:$O$746=AS$6)*('Postnatal Care'!$C$7:$C$746&gt;=Lists!$AE2)*('Postnatal Care'!$C$7:$C$746&lt;=Lists!$AF2))</f>
        <v>0</v>
      </c>
      <c r="AT8" s="317">
        <f>SUMPRODUCT(('Postnatal Care'!$O$7:$O$746=AT$6)*('Postnatal Care'!$C$7:$C$746&gt;=Lists!$AE2)*('Postnatal Care'!$C$7:$C$746&lt;=Lists!$AF2))</f>
        <v>0</v>
      </c>
      <c r="AU8" s="316">
        <f t="shared" ref="AU8:AU19" si="1">SUM(AO8:AT8)</f>
        <v>0</v>
      </c>
      <c r="AV8" s="317">
        <f>SUMPRODUCT(('Postnatal Care'!$P$7:$P$746=AV$6)*('Postnatal Care'!$C$7:$C$746&gt;=Lists!$AE2)*('Postnatal Care'!$C$7:$C$746&lt;=Lists!$AF2))</f>
        <v>0</v>
      </c>
      <c r="AW8" s="317">
        <f>SUMPRODUCT(('Postnatal Care'!$P$7:$P$746=AW$6)*('Postnatal Care'!$C$7:$C$746&gt;=Lists!$AE2)*('Postnatal Care'!$C$7:$C$746&lt;=Lists!$AF2))</f>
        <v>0</v>
      </c>
      <c r="AX8" s="317">
        <f>SUMPRODUCT(('Postnatal Care'!$P$7:$P$746=AX$6)*('Postnatal Care'!$C$7:$C$746&gt;=Lists!$AE2)*('Postnatal Care'!$C$7:$C$746&lt;=Lists!$AF2))</f>
        <v>0</v>
      </c>
      <c r="AY8" s="341">
        <f>SUM(AV8:AX8)</f>
        <v>0</v>
      </c>
      <c r="AZ8" s="243">
        <f>SUM(E8,J8,N8,W8,AA8,AJ8,AN8,AU8,AY8)</f>
        <v>0</v>
      </c>
      <c r="BB8" s="15"/>
      <c r="BC8" s="15"/>
      <c r="BD8" s="15"/>
      <c r="BE8" s="15"/>
      <c r="BF8" s="16"/>
      <c r="BG8" s="16"/>
      <c r="BH8" s="15"/>
      <c r="BI8" s="15"/>
      <c r="BJ8" s="15"/>
      <c r="BK8" s="15"/>
    </row>
    <row r="9" spans="1:66" ht="15" customHeight="1" x14ac:dyDescent="0.35">
      <c r="A9" s="570">
        <v>45778</v>
      </c>
      <c r="B9" s="306">
        <f>SUMPRODUCT(('Postnatal Care'!$D$7:$D$746=B$6)*('Postnatal Care'!$C$7:$C$746&gt;=Lists!$AE3)*('Postnatal Care'!$C$7:$C$746&lt;=Lists!$AF3))</f>
        <v>0</v>
      </c>
      <c r="C9" s="304">
        <f>SUMPRODUCT(('Postnatal Care'!$D$7:$D$746=C$6)*('Postnatal Care'!$C$7:$C$746&gt;=Lists!$AE3)*('Postnatal Care'!$C$7:$C$746&lt;=Lists!$AF3))</f>
        <v>0</v>
      </c>
      <c r="D9" s="310">
        <f>SUMPRODUCT(('Postnatal Care'!$D$7:$D$746=D$6)*('Postnatal Care'!$C$7:$C$746&gt;=Lists!$AE3)*('Postnatal Care'!$C$7:$C$746&lt;=Lists!$AF3))</f>
        <v>0</v>
      </c>
      <c r="E9" s="308">
        <f t="shared" ref="E9:E19" si="2">SUM(B9:D9)</f>
        <v>0</v>
      </c>
      <c r="F9" s="306">
        <f>SUMPRODUCT(('Postnatal Care'!$E$7:$E$746=F$6)*('Postnatal Care'!$C$7:$C$746&gt;=Lists!$AE3)*('Postnatal Care'!$C$7:$C$746&lt;=Lists!$AF3))</f>
        <v>0</v>
      </c>
      <c r="G9" s="304">
        <f>SUMPRODUCT(('Postnatal Care'!$E$7:$E$746=G$6)*('Postnatal Care'!$C$7:$C$746&gt;=Lists!$AE3)*('Postnatal Care'!$C$7:$C$746&lt;=Lists!$AF3))</f>
        <v>0</v>
      </c>
      <c r="H9" s="304">
        <f>SUMPRODUCT(('Postnatal Care'!$E$7:$E$746=H$6)*('Postnatal Care'!$C$7:$C$746&gt;=Lists!$AE3)*('Postnatal Care'!$C$7:$C$746&lt;=Lists!$AF3))</f>
        <v>0</v>
      </c>
      <c r="I9" s="310">
        <f>SUMPRODUCT(('Postnatal Care'!$E$7:$E$746=I$6)*('Postnatal Care'!$C$7:$C$746&gt;=Lists!$AE3)*('Postnatal Care'!$C$7:$C$746&lt;=Lists!$AF3))</f>
        <v>0</v>
      </c>
      <c r="J9" s="308">
        <f t="shared" ref="J9:J19" si="3">SUM(F9:I9)</f>
        <v>0</v>
      </c>
      <c r="K9" s="306">
        <f>SUMPRODUCT(('Postnatal Care'!$G$7:$G$746=K$6)*('Postnatal Care'!$C$7:$C$746&gt;=Lists!$AE3)*('Postnatal Care'!$C$7:$C$746&lt;=Lists!$AF3))</f>
        <v>0</v>
      </c>
      <c r="L9" s="304">
        <f>SUMPRODUCT(('Postnatal Care'!$G$7:$G$746=L$6)*('Postnatal Care'!$C$7:$C$746&gt;=Lists!$AE3)*('Postnatal Care'!$C$7:$C$746&lt;=Lists!$AF3))</f>
        <v>0</v>
      </c>
      <c r="M9" s="310">
        <f>SUMPRODUCT(('Postnatal Care'!$G$7:$G$746=M$6)*('Postnatal Care'!$C$7:$C$746&gt;=Lists!$AE3)*('Postnatal Care'!$C$7:$C$746&lt;=Lists!$AF3))</f>
        <v>0</v>
      </c>
      <c r="N9" s="308">
        <f t="shared" ref="N9:N18" si="4">SUM(K9:M9)</f>
        <v>0</v>
      </c>
      <c r="O9" s="317">
        <f>SUMPRODUCT(('Postnatal Care'!$I$7:$I$746=O$6)*('Postnatal Care'!$C$7:$C$746&gt;=Lists!$AE3)*('Postnatal Care'!$C$7:$C$746&lt;=Lists!$AF3))</f>
        <v>0</v>
      </c>
      <c r="P9" s="317">
        <f>SUMPRODUCT(('Postnatal Care'!$I$7:$I$746=P$6)*('Postnatal Care'!$C$7:$C$746&gt;=Lists!$AE3)*('Postnatal Care'!$C$7:$C$746&lt;=Lists!$AF3))</f>
        <v>0</v>
      </c>
      <c r="Q9" s="317">
        <f>SUMPRODUCT(('Postnatal Care'!$I$7:$I$746=Q$6)*('Postnatal Care'!$C$7:$C$746&gt;=Lists!$AE3)*('Postnatal Care'!$C$7:$C$746&lt;=Lists!$AF3))</f>
        <v>0</v>
      </c>
      <c r="R9" s="317">
        <f>SUMPRODUCT(('Postnatal Care'!$I$7:$I$746=R$6)*('Postnatal Care'!$C$7:$C$746&gt;=Lists!$AE3)*('Postnatal Care'!$C$7:$C$746&lt;=Lists!$AF3))</f>
        <v>0</v>
      </c>
      <c r="S9" s="317">
        <f>SUMPRODUCT(('Postnatal Care'!$I$7:$I$746=S$6)*('Postnatal Care'!$C$7:$C$746&gt;=Lists!$AE3)*('Postnatal Care'!$C$7:$C$746&lt;=Lists!$AF3))</f>
        <v>0</v>
      </c>
      <c r="T9" s="317">
        <f>SUMPRODUCT(('Postnatal Care'!$I$7:$I$746=T$6)*('Postnatal Care'!$C$7:$C$746&gt;=Lists!$AE3)*('Postnatal Care'!$C$7:$C$746&lt;=Lists!$AF3))</f>
        <v>0</v>
      </c>
      <c r="U9" s="317">
        <f>SUMPRODUCT(('Postnatal Care'!$I$7:$I$746=U$6)*('Postnatal Care'!$C$7:$C$746&gt;=Lists!$AE3)*('Postnatal Care'!$C$7:$C$746&lt;=Lists!$AF3))</f>
        <v>0</v>
      </c>
      <c r="V9" s="317">
        <f>SUMPRODUCT(('Postnatal Care'!$I$7:$I$746=V$6)*('Postnatal Care'!$C$7:$C$746&gt;=Lists!$AE3)*('Postnatal Care'!$C$7:$C$746&lt;=Lists!$AF3))</f>
        <v>0</v>
      </c>
      <c r="W9" s="316">
        <f t="shared" ref="W9:W19" si="5">SUM(O9:V9)</f>
        <v>0</v>
      </c>
      <c r="X9" s="317">
        <f>SUMPRODUCT(('Postnatal Care'!$J$7:$J$746=X$6)*('Postnatal Care'!$C$7:$C$746&gt;=Lists!$AE3)*('Postnatal Care'!$C$7:$C$746&lt;=Lists!$AF3))</f>
        <v>0</v>
      </c>
      <c r="Y9" s="317">
        <f>SUMPRODUCT(('Postnatal Care'!$J$7:$J$746=Y$6)*('Postnatal Care'!$C$7:$C$746&gt;=Lists!$AE3)*('Postnatal Care'!$C$7:$C$746&lt;=Lists!$AF3))</f>
        <v>0</v>
      </c>
      <c r="Z9" s="320">
        <f>SUMPRODUCT(('Postnatal Care'!$J$7:$J$746=Z$6)*('Postnatal Care'!$C$7:$C$746&gt;=Lists!$AE3)*('Postnatal Care'!$C$7:$C$746&lt;=Lists!$AF3))</f>
        <v>0</v>
      </c>
      <c r="AA9" s="316">
        <f t="shared" ref="AA9:AA19" si="6">SUM(X9:Z9)</f>
        <v>0</v>
      </c>
      <c r="AB9" s="317">
        <f>SUMPRODUCT(('Postnatal Care'!$L$7:$L$746=AB$6)*('Postnatal Care'!$C$7:$C$746&gt;=Lists!$AE3)*('Postnatal Care'!$C$7:$C$746&lt;=Lists!$AF3))</f>
        <v>0</v>
      </c>
      <c r="AC9" s="317">
        <f>SUMPRODUCT(('Postnatal Care'!$L$7:$L$746=AC$6)*('Postnatal Care'!$C$7:$C$746&gt;=Lists!$AE3)*('Postnatal Care'!$C$7:$C$746&lt;=Lists!$AF3))</f>
        <v>0</v>
      </c>
      <c r="AD9" s="317">
        <f>SUMPRODUCT(('Postnatal Care'!$L$7:$L$746=AD$6)*('Postnatal Care'!$C$7:$C$746&gt;=Lists!$AE3)*('Postnatal Care'!$C$7:$C$746&lt;=Lists!$AF3))</f>
        <v>0</v>
      </c>
      <c r="AE9" s="317">
        <f>SUMPRODUCT(('Postnatal Care'!$L$7:$L$746=AE$6)*('Postnatal Care'!$C$7:$C$746&gt;=Lists!$AE3)*('Postnatal Care'!$C$7:$C$746&lt;=Lists!$AF3))</f>
        <v>0</v>
      </c>
      <c r="AF9" s="317">
        <f>SUMPRODUCT(('Postnatal Care'!$L$7:$L$746=AF$6)*('Postnatal Care'!$C$7:$C$746&gt;=Lists!$AE3)*('Postnatal Care'!$C$7:$C$746&lt;=Lists!$AF3))</f>
        <v>0</v>
      </c>
      <c r="AG9" s="317">
        <f>SUMPRODUCT(('Postnatal Care'!$L$7:$L$746=AG$6)*('Postnatal Care'!$C$7:$C$746&gt;=Lists!$AE3)*('Postnatal Care'!$C$7:$C$746&lt;=Lists!$AF3))</f>
        <v>0</v>
      </c>
      <c r="AH9" s="317">
        <f>SUMPRODUCT(('Postnatal Care'!$L$7:$L$746=AH$6)*('Postnatal Care'!$C$7:$C$746&gt;=Lists!$AE3)*('Postnatal Care'!$C$7:$C$746&lt;=Lists!$AF3))</f>
        <v>0</v>
      </c>
      <c r="AI9" s="317">
        <f>SUMPRODUCT(('Postnatal Care'!$L$7:$L$746=AI$6)*('Postnatal Care'!$C$7:$C$746&gt;=Lists!$AE3)*('Postnatal Care'!$C$7:$C$746&lt;=Lists!$AF3))</f>
        <v>0</v>
      </c>
      <c r="AJ9" s="316">
        <f t="shared" si="0"/>
        <v>0</v>
      </c>
      <c r="AK9" s="317">
        <f>SUMPRODUCT(('Postnatal Care'!$M$7:$M$746=AK$6)*('Postnatal Care'!$C$7:$C$746&gt;=Lists!$AE3)*('Postnatal Care'!$C$7:$C$746&lt;=Lists!$AF3))</f>
        <v>0</v>
      </c>
      <c r="AL9" s="317">
        <f>SUMPRODUCT(('Postnatal Care'!$M$7:$M$746=AL$6)*('Postnatal Care'!$C$7:$C$746&gt;=Lists!$AE3)*('Postnatal Care'!$C$7:$C$746&lt;=Lists!$AF3))</f>
        <v>0</v>
      </c>
      <c r="AM9" s="317">
        <f>SUMPRODUCT(('Postnatal Care'!$M$7:$M$746=AM$6)*('Postnatal Care'!$C$7:$C$746&gt;=Lists!$AE3)*('Postnatal Care'!$C$7:$C$746&lt;=Lists!$AF3))</f>
        <v>0</v>
      </c>
      <c r="AN9" s="316">
        <f t="shared" ref="AN9:AN19" si="7">SUM(AK9:AM9)</f>
        <v>0</v>
      </c>
      <c r="AO9" s="317">
        <f>SUMPRODUCT(('Postnatal Care'!$O$7:$O$746=AO$6)*('Postnatal Care'!$C$7:$C$746&gt;=Lists!$AE3)*('Postnatal Care'!$C$7:$C$746&lt;=Lists!$AF3))</f>
        <v>0</v>
      </c>
      <c r="AP9" s="317">
        <f>SUMPRODUCT(('Postnatal Care'!$O$7:$O$746=AP$6)*('Postnatal Care'!$C$7:$C$746&gt;=Lists!$AE3)*('Postnatal Care'!$C$7:$C$746&lt;=Lists!$AF3))</f>
        <v>0</v>
      </c>
      <c r="AQ9" s="317">
        <f>SUMPRODUCT(('Postnatal Care'!$O$7:$O$746=AQ$6)*('Postnatal Care'!$C$7:$C$746&gt;=Lists!$AE3)*('Postnatal Care'!$C$7:$C$746&lt;=Lists!$AF3))</f>
        <v>0</v>
      </c>
      <c r="AR9" s="317">
        <f>SUMPRODUCT(('Postnatal Care'!$O$7:$O$746=AR$6)*('Postnatal Care'!$C$7:$C$746&gt;=Lists!$AE3)*('Postnatal Care'!$C$7:$C$746&lt;=Lists!$AF3))</f>
        <v>0</v>
      </c>
      <c r="AS9" s="317">
        <f>SUMPRODUCT(('Postnatal Care'!$O$7:$O$746=AS$6)*('Postnatal Care'!$C$7:$C$746&gt;=Lists!$AE3)*('Postnatal Care'!$C$7:$C$746&lt;=Lists!$AF3))</f>
        <v>0</v>
      </c>
      <c r="AT9" s="317">
        <f>SUMPRODUCT(('Postnatal Care'!$O$7:$O$746=AT$6)*('Postnatal Care'!$C$7:$C$746&gt;=Lists!$AE3)*('Postnatal Care'!$C$7:$C$746&lt;=Lists!$AF3))</f>
        <v>0</v>
      </c>
      <c r="AU9" s="316">
        <f t="shared" si="1"/>
        <v>0</v>
      </c>
      <c r="AV9" s="317">
        <f>SUMPRODUCT(('Postnatal Care'!$P$7:$P$746=AV$6)*('Postnatal Care'!$C$7:$C$746&gt;=Lists!$AE3)*('Postnatal Care'!$C$7:$C$746&lt;=Lists!$AF3))</f>
        <v>0</v>
      </c>
      <c r="AW9" s="317">
        <f>SUMPRODUCT(('Postnatal Care'!$P$7:$P$746=AW$6)*('Postnatal Care'!$C$7:$C$746&gt;=Lists!$AE3)*('Postnatal Care'!$C$7:$C$746&lt;=Lists!$AF3))</f>
        <v>0</v>
      </c>
      <c r="AX9" s="317">
        <f>SUMPRODUCT(('Postnatal Care'!$P$7:$P$746=AX$6)*('Postnatal Care'!$C$7:$C$746&gt;=Lists!$AE3)*('Postnatal Care'!$C$7:$C$746&lt;=Lists!$AF3))</f>
        <v>0</v>
      </c>
      <c r="AY9" s="341">
        <f t="shared" ref="AY9:AY19" si="8">SUM(AV9:AX9)</f>
        <v>0</v>
      </c>
      <c r="AZ9" s="243">
        <f t="shared" ref="AZ9:AZ19" si="9">SUM(E9,J9,N9,W9,AA9,AJ9,AN9,AU9,AY9)</f>
        <v>0</v>
      </c>
      <c r="BB9" s="15"/>
      <c r="BC9" s="15"/>
      <c r="BD9" s="15"/>
      <c r="BE9" s="15"/>
      <c r="BF9" s="16"/>
      <c r="BG9" s="16"/>
      <c r="BH9" s="15"/>
      <c r="BI9" s="15"/>
      <c r="BJ9" s="15"/>
      <c r="BK9" s="15"/>
    </row>
    <row r="10" spans="1:66" ht="15" customHeight="1" x14ac:dyDescent="0.35">
      <c r="A10" s="570">
        <v>45809</v>
      </c>
      <c r="B10" s="306">
        <f>SUMPRODUCT(('Postnatal Care'!$D$7:$D$746=B$6)*('Postnatal Care'!$C$7:$C$746&gt;=Lists!$AE4)*('Postnatal Care'!$C$7:$C$746&lt;=Lists!$AF4))</f>
        <v>0</v>
      </c>
      <c r="C10" s="304">
        <f>SUMPRODUCT(('Postnatal Care'!$D$7:$D$746=C$6)*('Postnatal Care'!$C$7:$C$746&gt;=Lists!$AE4)*('Postnatal Care'!$C$7:$C$746&lt;=Lists!$AF4))</f>
        <v>0</v>
      </c>
      <c r="D10" s="310">
        <f>SUMPRODUCT(('Postnatal Care'!$D$7:$D$746=D$6)*('Postnatal Care'!$C$7:$C$746&gt;=Lists!$AE4)*('Postnatal Care'!$C$7:$C$746&lt;=Lists!$AF4))</f>
        <v>0</v>
      </c>
      <c r="E10" s="308">
        <f t="shared" si="2"/>
        <v>0</v>
      </c>
      <c r="F10" s="306">
        <f>SUMPRODUCT(('Postnatal Care'!$E$7:$E$746=F$6)*('Postnatal Care'!$C$7:$C$746&gt;=Lists!$AE4)*('Postnatal Care'!$C$7:$C$746&lt;=Lists!$AF4))</f>
        <v>0</v>
      </c>
      <c r="G10" s="304">
        <f>SUMPRODUCT(('Postnatal Care'!$E$7:$E$746=G$6)*('Postnatal Care'!$C$7:$C$746&gt;=Lists!$AE4)*('Postnatal Care'!$C$7:$C$746&lt;=Lists!$AF4))</f>
        <v>0</v>
      </c>
      <c r="H10" s="304">
        <f>SUMPRODUCT(('Postnatal Care'!$E$7:$E$746=H$6)*('Postnatal Care'!$C$7:$C$746&gt;=Lists!$AE4)*('Postnatal Care'!$C$7:$C$746&lt;=Lists!$AF4))</f>
        <v>0</v>
      </c>
      <c r="I10" s="310">
        <f>SUMPRODUCT(('Postnatal Care'!$E$7:$E$746=I$6)*('Postnatal Care'!$C$7:$C$746&gt;=Lists!$AE4)*('Postnatal Care'!$C$7:$C$746&lt;=Lists!$AF4))</f>
        <v>0</v>
      </c>
      <c r="J10" s="308">
        <f t="shared" si="3"/>
        <v>0</v>
      </c>
      <c r="K10" s="306">
        <f>SUMPRODUCT(('Postnatal Care'!$G$7:$G$746=K$6)*('Postnatal Care'!$C$7:$C$746&gt;=Lists!$AE4)*('Postnatal Care'!$C$7:$C$746&lt;=Lists!$AF4))</f>
        <v>0</v>
      </c>
      <c r="L10" s="304">
        <f>SUMPRODUCT(('Postnatal Care'!$G$7:$G$746=L$6)*('Postnatal Care'!$C$7:$C$746&gt;=Lists!$AE4)*('Postnatal Care'!$C$7:$C$746&lt;=Lists!$AF4))</f>
        <v>0</v>
      </c>
      <c r="M10" s="310">
        <f>SUMPRODUCT(('Postnatal Care'!$G$7:$G$746=M$6)*('Postnatal Care'!$C$7:$C$746&gt;=Lists!$AE4)*('Postnatal Care'!$C$7:$C$746&lt;=Lists!$AF4))</f>
        <v>0</v>
      </c>
      <c r="N10" s="308">
        <f t="shared" si="4"/>
        <v>0</v>
      </c>
      <c r="O10" s="317">
        <f>SUMPRODUCT(('Postnatal Care'!$I$7:$I$746=O$6)*('Postnatal Care'!$C$7:$C$746&gt;=Lists!$AE4)*('Postnatal Care'!$C$7:$C$746&lt;=Lists!$AF4))</f>
        <v>0</v>
      </c>
      <c r="P10" s="317">
        <f>SUMPRODUCT(('Postnatal Care'!$I$7:$I$746=P$6)*('Postnatal Care'!$C$7:$C$746&gt;=Lists!$AE4)*('Postnatal Care'!$C$7:$C$746&lt;=Lists!$AF4))</f>
        <v>0</v>
      </c>
      <c r="Q10" s="317">
        <f>SUMPRODUCT(('Postnatal Care'!$I$7:$I$746=Q$6)*('Postnatal Care'!$C$7:$C$746&gt;=Lists!$AE4)*('Postnatal Care'!$C$7:$C$746&lt;=Lists!$AF4))</f>
        <v>0</v>
      </c>
      <c r="R10" s="317">
        <f>SUMPRODUCT(('Postnatal Care'!$I$7:$I$746=R$6)*('Postnatal Care'!$C$7:$C$746&gt;=Lists!$AE4)*('Postnatal Care'!$C$7:$C$746&lt;=Lists!$AF4))</f>
        <v>0</v>
      </c>
      <c r="S10" s="317">
        <f>SUMPRODUCT(('Postnatal Care'!$I$7:$I$746=S$6)*('Postnatal Care'!$C$7:$C$746&gt;=Lists!$AE4)*('Postnatal Care'!$C$7:$C$746&lt;=Lists!$AF4))</f>
        <v>0</v>
      </c>
      <c r="T10" s="317">
        <f>SUMPRODUCT(('Postnatal Care'!$I$7:$I$746=T$6)*('Postnatal Care'!$C$7:$C$746&gt;=Lists!$AE4)*('Postnatal Care'!$C$7:$C$746&lt;=Lists!$AF4))</f>
        <v>0</v>
      </c>
      <c r="U10" s="317">
        <f>SUMPRODUCT(('Postnatal Care'!$I$7:$I$746=U$6)*('Postnatal Care'!$C$7:$C$746&gt;=Lists!$AE4)*('Postnatal Care'!$C$7:$C$746&lt;=Lists!$AF4))</f>
        <v>0</v>
      </c>
      <c r="V10" s="317">
        <f>SUMPRODUCT(('Postnatal Care'!$I$7:$I$746=V$6)*('Postnatal Care'!$C$7:$C$746&gt;=Lists!$AE4)*('Postnatal Care'!$C$7:$C$746&lt;=Lists!$AF4))</f>
        <v>0</v>
      </c>
      <c r="W10" s="316">
        <f t="shared" si="5"/>
        <v>0</v>
      </c>
      <c r="X10" s="317">
        <f>SUMPRODUCT(('Postnatal Care'!$J$7:$J$746=X$6)*('Postnatal Care'!$C$7:$C$746&gt;=Lists!$AE4)*('Postnatal Care'!$C$7:$C$746&lt;=Lists!$AF4))</f>
        <v>0</v>
      </c>
      <c r="Y10" s="317">
        <f>SUMPRODUCT(('Postnatal Care'!$J$7:$J$746=Y$6)*('Postnatal Care'!$C$7:$C$746&gt;=Lists!$AE4)*('Postnatal Care'!$C$7:$C$746&lt;=Lists!$AF4))</f>
        <v>0</v>
      </c>
      <c r="Z10" s="320">
        <f>SUMPRODUCT(('Postnatal Care'!$J$7:$J$746=Z$6)*('Postnatal Care'!$C$7:$C$746&gt;=Lists!$AE4)*('Postnatal Care'!$C$7:$C$746&lt;=Lists!$AF4))</f>
        <v>0</v>
      </c>
      <c r="AA10" s="316">
        <f t="shared" si="6"/>
        <v>0</v>
      </c>
      <c r="AB10" s="317">
        <f>SUMPRODUCT(('Postnatal Care'!$L$7:$L$746=AB$6)*('Postnatal Care'!$C$7:$C$746&gt;=Lists!$AE4)*('Postnatal Care'!$C$7:$C$746&lt;=Lists!$AF4))</f>
        <v>0</v>
      </c>
      <c r="AC10" s="317">
        <f>SUMPRODUCT(('Postnatal Care'!$L$7:$L$746=AC$6)*('Postnatal Care'!$C$7:$C$746&gt;=Lists!$AE4)*('Postnatal Care'!$C$7:$C$746&lt;=Lists!$AF4))</f>
        <v>0</v>
      </c>
      <c r="AD10" s="317">
        <f>SUMPRODUCT(('Postnatal Care'!$L$7:$L$746=AD$6)*('Postnatal Care'!$C$7:$C$746&gt;=Lists!$AE4)*('Postnatal Care'!$C$7:$C$746&lt;=Lists!$AF4))</f>
        <v>0</v>
      </c>
      <c r="AE10" s="317">
        <f>SUMPRODUCT(('Postnatal Care'!$L$7:$L$746=AE$6)*('Postnatal Care'!$C$7:$C$746&gt;=Lists!$AE4)*('Postnatal Care'!$C$7:$C$746&lt;=Lists!$AF4))</f>
        <v>0</v>
      </c>
      <c r="AF10" s="317">
        <f>SUMPRODUCT(('Postnatal Care'!$L$7:$L$746=AF$6)*('Postnatal Care'!$C$7:$C$746&gt;=Lists!$AE4)*('Postnatal Care'!$C$7:$C$746&lt;=Lists!$AF4))</f>
        <v>0</v>
      </c>
      <c r="AG10" s="317">
        <f>SUMPRODUCT(('Postnatal Care'!$L$7:$L$746=AG$6)*('Postnatal Care'!$C$7:$C$746&gt;=Lists!$AE4)*('Postnatal Care'!$C$7:$C$746&lt;=Lists!$AF4))</f>
        <v>0</v>
      </c>
      <c r="AH10" s="317">
        <f>SUMPRODUCT(('Postnatal Care'!$L$7:$L$746=AH$6)*('Postnatal Care'!$C$7:$C$746&gt;=Lists!$AE4)*('Postnatal Care'!$C$7:$C$746&lt;=Lists!$AF4))</f>
        <v>0</v>
      </c>
      <c r="AI10" s="317">
        <f>SUMPRODUCT(('Postnatal Care'!$L$7:$L$746=AI$6)*('Postnatal Care'!$C$7:$C$746&gt;=Lists!$AE4)*('Postnatal Care'!$C$7:$C$746&lt;=Lists!$AF4))</f>
        <v>0</v>
      </c>
      <c r="AJ10" s="316">
        <f t="shared" si="0"/>
        <v>0</v>
      </c>
      <c r="AK10" s="317">
        <f>SUMPRODUCT(('Postnatal Care'!$M$7:$M$746=AK$6)*('Postnatal Care'!$C$7:$C$746&gt;=Lists!$AE4)*('Postnatal Care'!$C$7:$C$746&lt;=Lists!$AF4))</f>
        <v>0</v>
      </c>
      <c r="AL10" s="317">
        <f>SUMPRODUCT(('Postnatal Care'!$M$7:$M$746=AL$6)*('Postnatal Care'!$C$7:$C$746&gt;=Lists!$AE4)*('Postnatal Care'!$C$7:$C$746&lt;=Lists!$AF4))</f>
        <v>0</v>
      </c>
      <c r="AM10" s="317">
        <f>SUMPRODUCT(('Postnatal Care'!$M$7:$M$746=AM$6)*('Postnatal Care'!$C$7:$C$746&gt;=Lists!$AE4)*('Postnatal Care'!$C$7:$C$746&lt;=Lists!$AF4))</f>
        <v>0</v>
      </c>
      <c r="AN10" s="316">
        <f t="shared" si="7"/>
        <v>0</v>
      </c>
      <c r="AO10" s="317">
        <f>SUMPRODUCT(('Postnatal Care'!$O$7:$O$746=AO$6)*('Postnatal Care'!$C$7:$C$746&gt;=Lists!$AE4)*('Postnatal Care'!$C$7:$C$746&lt;=Lists!$AF4))</f>
        <v>0</v>
      </c>
      <c r="AP10" s="317">
        <f>SUMPRODUCT(('Postnatal Care'!$O$7:$O$746=AP$6)*('Postnatal Care'!$C$7:$C$746&gt;=Lists!$AE4)*('Postnatal Care'!$C$7:$C$746&lt;=Lists!$AF4))</f>
        <v>0</v>
      </c>
      <c r="AQ10" s="317">
        <f>SUMPRODUCT(('Postnatal Care'!$O$7:$O$746=AQ$6)*('Postnatal Care'!$C$7:$C$746&gt;=Lists!$AE4)*('Postnatal Care'!$C$7:$C$746&lt;=Lists!$AF4))</f>
        <v>0</v>
      </c>
      <c r="AR10" s="317">
        <f>SUMPRODUCT(('Postnatal Care'!$O$7:$O$746=AR$6)*('Postnatal Care'!$C$7:$C$746&gt;=Lists!$AE4)*('Postnatal Care'!$C$7:$C$746&lt;=Lists!$AF4))</f>
        <v>0</v>
      </c>
      <c r="AS10" s="317">
        <f>SUMPRODUCT(('Postnatal Care'!$O$7:$O$746=AS$6)*('Postnatal Care'!$C$7:$C$746&gt;=Lists!$AE4)*('Postnatal Care'!$C$7:$C$746&lt;=Lists!$AF4))</f>
        <v>0</v>
      </c>
      <c r="AT10" s="317">
        <f>SUMPRODUCT(('Postnatal Care'!$O$7:$O$746=AT$6)*('Postnatal Care'!$C$7:$C$746&gt;=Lists!$AE4)*('Postnatal Care'!$C$7:$C$746&lt;=Lists!$AF4))</f>
        <v>0</v>
      </c>
      <c r="AU10" s="316">
        <f t="shared" si="1"/>
        <v>0</v>
      </c>
      <c r="AV10" s="317">
        <f>SUMPRODUCT(('Postnatal Care'!$P$7:$P$746=AV$6)*('Postnatal Care'!$C$7:$C$746&gt;=Lists!$AE4)*('Postnatal Care'!$C$7:$C$746&lt;=Lists!$AF4))</f>
        <v>0</v>
      </c>
      <c r="AW10" s="317">
        <f>SUMPRODUCT(('Postnatal Care'!$P$7:$P$746=AW$6)*('Postnatal Care'!$C$7:$C$746&gt;=Lists!$AE4)*('Postnatal Care'!$C$7:$C$746&lt;=Lists!$AF4))</f>
        <v>0</v>
      </c>
      <c r="AX10" s="317">
        <f>SUMPRODUCT(('Postnatal Care'!$P$7:$P$746=AX$6)*('Postnatal Care'!$C$7:$C$746&gt;=Lists!$AE4)*('Postnatal Care'!$C$7:$C$746&lt;=Lists!$AF4))</f>
        <v>0</v>
      </c>
      <c r="AY10" s="341">
        <f t="shared" si="8"/>
        <v>0</v>
      </c>
      <c r="AZ10" s="243">
        <f t="shared" si="9"/>
        <v>0</v>
      </c>
      <c r="BB10" s="15"/>
      <c r="BC10" s="15"/>
      <c r="BD10" s="15"/>
      <c r="BE10" s="15"/>
      <c r="BF10" s="16"/>
      <c r="BG10" s="16"/>
      <c r="BH10" s="15"/>
      <c r="BI10" s="15"/>
      <c r="BJ10" s="15"/>
      <c r="BK10" s="15"/>
    </row>
    <row r="11" spans="1:66" ht="15" customHeight="1" x14ac:dyDescent="0.35">
      <c r="A11" s="570">
        <v>45839</v>
      </c>
      <c r="B11" s="306">
        <f>SUMPRODUCT(('Postnatal Care'!$D$7:$D$746=B$6)*('Postnatal Care'!$C$7:$C$746&gt;=Lists!$AE5)*('Postnatal Care'!$C$7:$C$746&lt;=Lists!$AF5))</f>
        <v>0</v>
      </c>
      <c r="C11" s="304">
        <f>SUMPRODUCT(('Postnatal Care'!$D$7:$D$746=C$6)*('Postnatal Care'!$C$7:$C$746&gt;=Lists!$AE5)*('Postnatal Care'!$C$7:$C$746&lt;=Lists!$AF5))</f>
        <v>0</v>
      </c>
      <c r="D11" s="310">
        <f>SUMPRODUCT(('Postnatal Care'!$D$7:$D$746=D$6)*('Postnatal Care'!$C$7:$C$746&gt;=Lists!$AE5)*('Postnatal Care'!$C$7:$C$746&lt;=Lists!$AF5))</f>
        <v>0</v>
      </c>
      <c r="E11" s="308">
        <f t="shared" si="2"/>
        <v>0</v>
      </c>
      <c r="F11" s="306">
        <f>SUMPRODUCT(('Postnatal Care'!$E$7:$E$746=F$6)*('Postnatal Care'!$C$7:$C$746&gt;=Lists!$AE5)*('Postnatal Care'!$C$7:$C$746&lt;=Lists!$AF5))</f>
        <v>0</v>
      </c>
      <c r="G11" s="304">
        <f>SUMPRODUCT(('Postnatal Care'!$E$7:$E$746=G$6)*('Postnatal Care'!$C$7:$C$746&gt;=Lists!$AE5)*('Postnatal Care'!$C$7:$C$746&lt;=Lists!$AF5))</f>
        <v>0</v>
      </c>
      <c r="H11" s="304">
        <f>SUMPRODUCT(('Postnatal Care'!$E$7:$E$746=H$6)*('Postnatal Care'!$C$7:$C$746&gt;=Lists!$AE5)*('Postnatal Care'!$C$7:$C$746&lt;=Lists!$AF5))</f>
        <v>0</v>
      </c>
      <c r="I11" s="310">
        <f>SUMPRODUCT(('Postnatal Care'!$E$7:$E$746=I$6)*('Postnatal Care'!$C$7:$C$746&gt;=Lists!$AE5)*('Postnatal Care'!$C$7:$C$746&lt;=Lists!$AF5))</f>
        <v>0</v>
      </c>
      <c r="J11" s="308">
        <f t="shared" si="3"/>
        <v>0</v>
      </c>
      <c r="K11" s="306">
        <f>SUMPRODUCT(('Postnatal Care'!$G$7:$G$746=K$6)*('Postnatal Care'!$C$7:$C$746&gt;=Lists!$AE5)*('Postnatal Care'!$C$7:$C$746&lt;=Lists!$AF5))</f>
        <v>0</v>
      </c>
      <c r="L11" s="304">
        <f>SUMPRODUCT(('Postnatal Care'!$G$7:$G$746=L$6)*('Postnatal Care'!$C$7:$C$746&gt;=Lists!$AE5)*('Postnatal Care'!$C$7:$C$746&lt;=Lists!$AF5))</f>
        <v>0</v>
      </c>
      <c r="M11" s="310">
        <f>SUMPRODUCT(('Postnatal Care'!$G$7:$G$746=M$6)*('Postnatal Care'!$C$7:$C$746&gt;=Lists!$AE5)*('Postnatal Care'!$C$7:$C$746&lt;=Lists!$AF5))</f>
        <v>0</v>
      </c>
      <c r="N11" s="308">
        <f t="shared" si="4"/>
        <v>0</v>
      </c>
      <c r="O11" s="317">
        <f>SUMPRODUCT(('Postnatal Care'!$I$7:$I$746=O$6)*('Postnatal Care'!$C$7:$C$746&gt;=Lists!$AE5)*('Postnatal Care'!$C$7:$C$746&lt;=Lists!$AF5))</f>
        <v>0</v>
      </c>
      <c r="P11" s="317">
        <f>SUMPRODUCT(('Postnatal Care'!$I$7:$I$746=P$6)*('Postnatal Care'!$C$7:$C$746&gt;=Lists!$AE5)*('Postnatal Care'!$C$7:$C$746&lt;=Lists!$AF5))</f>
        <v>0</v>
      </c>
      <c r="Q11" s="317">
        <f>SUMPRODUCT(('Postnatal Care'!$I$7:$I$746=Q$6)*('Postnatal Care'!$C$7:$C$746&gt;=Lists!$AE5)*('Postnatal Care'!$C$7:$C$746&lt;=Lists!$AF5))</f>
        <v>0</v>
      </c>
      <c r="R11" s="317">
        <f>SUMPRODUCT(('Postnatal Care'!$I$7:$I$746=R$6)*('Postnatal Care'!$C$7:$C$746&gt;=Lists!$AE5)*('Postnatal Care'!$C$7:$C$746&lt;=Lists!$AF5))</f>
        <v>0</v>
      </c>
      <c r="S11" s="317">
        <f>SUMPRODUCT(('Postnatal Care'!$I$7:$I$746=S$6)*('Postnatal Care'!$C$7:$C$746&gt;=Lists!$AE5)*('Postnatal Care'!$C$7:$C$746&lt;=Lists!$AF5))</f>
        <v>0</v>
      </c>
      <c r="T11" s="317">
        <f>SUMPRODUCT(('Postnatal Care'!$I$7:$I$746=T$6)*('Postnatal Care'!$C$7:$C$746&gt;=Lists!$AE5)*('Postnatal Care'!$C$7:$C$746&lt;=Lists!$AF5))</f>
        <v>0</v>
      </c>
      <c r="U11" s="317">
        <f>SUMPRODUCT(('Postnatal Care'!$I$7:$I$746=U$6)*('Postnatal Care'!$C$7:$C$746&gt;=Lists!$AE5)*('Postnatal Care'!$C$7:$C$746&lt;=Lists!$AF5))</f>
        <v>0</v>
      </c>
      <c r="V11" s="317">
        <f>SUMPRODUCT(('Postnatal Care'!$I$7:$I$746=V$6)*('Postnatal Care'!$C$7:$C$746&gt;=Lists!$AE5)*('Postnatal Care'!$C$7:$C$746&lt;=Lists!$AF5))</f>
        <v>0</v>
      </c>
      <c r="W11" s="316">
        <f t="shared" si="5"/>
        <v>0</v>
      </c>
      <c r="X11" s="317">
        <f>SUMPRODUCT(('Postnatal Care'!$J$7:$J$746=X$6)*('Postnatal Care'!$C$7:$C$746&gt;=Lists!$AE5)*('Postnatal Care'!$C$7:$C$746&lt;=Lists!$AF5))</f>
        <v>0</v>
      </c>
      <c r="Y11" s="317">
        <f>SUMPRODUCT(('Postnatal Care'!$J$7:$J$746=Y$6)*('Postnatal Care'!$C$7:$C$746&gt;=Lists!$AE5)*('Postnatal Care'!$C$7:$C$746&lt;=Lists!$AF5))</f>
        <v>0</v>
      </c>
      <c r="Z11" s="320">
        <f>SUMPRODUCT(('Postnatal Care'!$J$7:$J$746=Z$6)*('Postnatal Care'!$C$7:$C$746&gt;=Lists!$AE5)*('Postnatal Care'!$C$7:$C$746&lt;=Lists!$AF5))</f>
        <v>0</v>
      </c>
      <c r="AA11" s="316">
        <f t="shared" si="6"/>
        <v>0</v>
      </c>
      <c r="AB11" s="317">
        <f>SUMPRODUCT(('Postnatal Care'!$L$7:$L$746=AB$6)*('Postnatal Care'!$C$7:$C$746&gt;=Lists!$AE5)*('Postnatal Care'!$C$7:$C$746&lt;=Lists!$AF5))</f>
        <v>0</v>
      </c>
      <c r="AC11" s="317">
        <f>SUMPRODUCT(('Postnatal Care'!$L$7:$L$746=AC$6)*('Postnatal Care'!$C$7:$C$746&gt;=Lists!$AE5)*('Postnatal Care'!$C$7:$C$746&lt;=Lists!$AF5))</f>
        <v>0</v>
      </c>
      <c r="AD11" s="317">
        <f>SUMPRODUCT(('Postnatal Care'!$L$7:$L$746=AD$6)*('Postnatal Care'!$C$7:$C$746&gt;=Lists!$AE5)*('Postnatal Care'!$C$7:$C$746&lt;=Lists!$AF5))</f>
        <v>0</v>
      </c>
      <c r="AE11" s="317">
        <f>SUMPRODUCT(('Postnatal Care'!$L$7:$L$746=AE$6)*('Postnatal Care'!$C$7:$C$746&gt;=Lists!$AE5)*('Postnatal Care'!$C$7:$C$746&lt;=Lists!$AF5))</f>
        <v>0</v>
      </c>
      <c r="AF11" s="317">
        <f>SUMPRODUCT(('Postnatal Care'!$L$7:$L$746=AF$6)*('Postnatal Care'!$C$7:$C$746&gt;=Lists!$AE5)*('Postnatal Care'!$C$7:$C$746&lt;=Lists!$AF5))</f>
        <v>0</v>
      </c>
      <c r="AG11" s="317">
        <f>SUMPRODUCT(('Postnatal Care'!$L$7:$L$746=AG$6)*('Postnatal Care'!$C$7:$C$746&gt;=Lists!$AE5)*('Postnatal Care'!$C$7:$C$746&lt;=Lists!$AF5))</f>
        <v>0</v>
      </c>
      <c r="AH11" s="317">
        <f>SUMPRODUCT(('Postnatal Care'!$L$7:$L$746=AH$6)*('Postnatal Care'!$C$7:$C$746&gt;=Lists!$AE5)*('Postnatal Care'!$C$7:$C$746&lt;=Lists!$AF5))</f>
        <v>0</v>
      </c>
      <c r="AI11" s="317">
        <f>SUMPRODUCT(('Postnatal Care'!$L$7:$L$746=AI$6)*('Postnatal Care'!$C$7:$C$746&gt;=Lists!$AE5)*('Postnatal Care'!$C$7:$C$746&lt;=Lists!$AF5))</f>
        <v>0</v>
      </c>
      <c r="AJ11" s="316">
        <f t="shared" si="0"/>
        <v>0</v>
      </c>
      <c r="AK11" s="317">
        <f>SUMPRODUCT(('Postnatal Care'!$M$7:$M$746=AK$6)*('Postnatal Care'!$C$7:$C$746&gt;=Lists!$AE5)*('Postnatal Care'!$C$7:$C$746&lt;=Lists!$AF5))</f>
        <v>0</v>
      </c>
      <c r="AL11" s="317">
        <f>SUMPRODUCT(('Postnatal Care'!$M$7:$M$746=AL$6)*('Postnatal Care'!$C$7:$C$746&gt;=Lists!$AE5)*('Postnatal Care'!$C$7:$C$746&lt;=Lists!$AF5))</f>
        <v>0</v>
      </c>
      <c r="AM11" s="317">
        <f>SUMPRODUCT(('Postnatal Care'!$M$7:$M$746=AM$6)*('Postnatal Care'!$C$7:$C$746&gt;=Lists!$AE5)*('Postnatal Care'!$C$7:$C$746&lt;=Lists!$AF5))</f>
        <v>0</v>
      </c>
      <c r="AN11" s="316">
        <f t="shared" si="7"/>
        <v>0</v>
      </c>
      <c r="AO11" s="317">
        <f>SUMPRODUCT(('Postnatal Care'!$O$7:$O$746=AO$6)*('Postnatal Care'!$C$7:$C$746&gt;=Lists!$AE5)*('Postnatal Care'!$C$7:$C$746&lt;=Lists!$AF5))</f>
        <v>0</v>
      </c>
      <c r="AP11" s="317">
        <f>SUMPRODUCT(('Postnatal Care'!$O$7:$O$746=AP$6)*('Postnatal Care'!$C$7:$C$746&gt;=Lists!$AE5)*('Postnatal Care'!$C$7:$C$746&lt;=Lists!$AF5))</f>
        <v>0</v>
      </c>
      <c r="AQ11" s="317">
        <f>SUMPRODUCT(('Postnatal Care'!$O$7:$O$746=AQ$6)*('Postnatal Care'!$C$7:$C$746&gt;=Lists!$AE5)*('Postnatal Care'!$C$7:$C$746&lt;=Lists!$AF5))</f>
        <v>0</v>
      </c>
      <c r="AR11" s="317">
        <f>SUMPRODUCT(('Postnatal Care'!$O$7:$O$746=AR$6)*('Postnatal Care'!$C$7:$C$746&gt;=Lists!$AE5)*('Postnatal Care'!$C$7:$C$746&lt;=Lists!$AF5))</f>
        <v>0</v>
      </c>
      <c r="AS11" s="317">
        <f>SUMPRODUCT(('Postnatal Care'!$O$7:$O$746=AS$6)*('Postnatal Care'!$C$7:$C$746&gt;=Lists!$AE5)*('Postnatal Care'!$C$7:$C$746&lt;=Lists!$AF5))</f>
        <v>0</v>
      </c>
      <c r="AT11" s="317">
        <f>SUMPRODUCT(('Postnatal Care'!$O$7:$O$746=AT$6)*('Postnatal Care'!$C$7:$C$746&gt;=Lists!$AE5)*('Postnatal Care'!$C$7:$C$746&lt;=Lists!$AF5))</f>
        <v>0</v>
      </c>
      <c r="AU11" s="316">
        <f t="shared" si="1"/>
        <v>0</v>
      </c>
      <c r="AV11" s="317">
        <f>SUMPRODUCT(('Postnatal Care'!$P$7:$P$746=AV$6)*('Postnatal Care'!$C$7:$C$746&gt;=Lists!$AE5)*('Postnatal Care'!$C$7:$C$746&lt;=Lists!$AF5))</f>
        <v>0</v>
      </c>
      <c r="AW11" s="317">
        <f>SUMPRODUCT(('Postnatal Care'!$P$7:$P$746=AW$6)*('Postnatal Care'!$C$7:$C$746&gt;=Lists!$AE5)*('Postnatal Care'!$C$7:$C$746&lt;=Lists!$AF5))</f>
        <v>0</v>
      </c>
      <c r="AX11" s="317">
        <f>SUMPRODUCT(('Postnatal Care'!$P$7:$P$746=AX$6)*('Postnatal Care'!$C$7:$C$746&gt;=Lists!$AE5)*('Postnatal Care'!$C$7:$C$746&lt;=Lists!$AF5))</f>
        <v>0</v>
      </c>
      <c r="AY11" s="341">
        <f t="shared" si="8"/>
        <v>0</v>
      </c>
      <c r="AZ11" s="243">
        <f t="shared" si="9"/>
        <v>0</v>
      </c>
      <c r="BB11" s="15"/>
      <c r="BC11" s="15"/>
      <c r="BD11" s="15"/>
      <c r="BE11" s="15"/>
      <c r="BF11" s="16"/>
      <c r="BG11" s="16"/>
      <c r="BH11" s="15"/>
      <c r="BI11" s="15"/>
      <c r="BJ11" s="15"/>
      <c r="BK11" s="15"/>
    </row>
    <row r="12" spans="1:66" ht="15" customHeight="1" x14ac:dyDescent="0.35">
      <c r="A12" s="570">
        <v>45870</v>
      </c>
      <c r="B12" s="306">
        <f>SUMPRODUCT(('Postnatal Care'!$D$7:$D$746=B$6)*('Postnatal Care'!$C$7:$C$746&gt;=Lists!$AE6)*('Postnatal Care'!$C$7:$C$746&lt;=Lists!$AF6))</f>
        <v>0</v>
      </c>
      <c r="C12" s="304">
        <f>SUMPRODUCT(('Postnatal Care'!$D$7:$D$746=C$6)*('Postnatal Care'!$C$7:$C$746&gt;=Lists!$AE6)*('Postnatal Care'!$C$7:$C$746&lt;=Lists!$AF6))</f>
        <v>0</v>
      </c>
      <c r="D12" s="310">
        <f>SUMPRODUCT(('Postnatal Care'!$D$7:$D$746=D$6)*('Postnatal Care'!$C$7:$C$746&gt;=Lists!$AE6)*('Postnatal Care'!$C$7:$C$746&lt;=Lists!$AF6))</f>
        <v>0</v>
      </c>
      <c r="E12" s="308">
        <f t="shared" si="2"/>
        <v>0</v>
      </c>
      <c r="F12" s="306">
        <f>SUMPRODUCT(('Postnatal Care'!$E$7:$E$746=F$6)*('Postnatal Care'!$C$7:$C$746&gt;=Lists!$AE6)*('Postnatal Care'!$C$7:$C$746&lt;=Lists!$AF6))</f>
        <v>0</v>
      </c>
      <c r="G12" s="304">
        <f>SUMPRODUCT(('Postnatal Care'!$E$7:$E$746=G$6)*('Postnatal Care'!$C$7:$C$746&gt;=Lists!$AE6)*('Postnatal Care'!$C$7:$C$746&lt;=Lists!$AF6))</f>
        <v>0</v>
      </c>
      <c r="H12" s="304">
        <f>SUMPRODUCT(('Postnatal Care'!$E$7:$E$746=H$6)*('Postnatal Care'!$C$7:$C$746&gt;=Lists!$AE6)*('Postnatal Care'!$C$7:$C$746&lt;=Lists!$AF6))</f>
        <v>0</v>
      </c>
      <c r="I12" s="310">
        <f>SUMPRODUCT(('Postnatal Care'!$E$7:$E$746=I$6)*('Postnatal Care'!$C$7:$C$746&gt;=Lists!$AE6)*('Postnatal Care'!$C$7:$C$746&lt;=Lists!$AF6))</f>
        <v>0</v>
      </c>
      <c r="J12" s="308">
        <f t="shared" si="3"/>
        <v>0</v>
      </c>
      <c r="K12" s="306">
        <f>SUMPRODUCT(('Postnatal Care'!$G$7:$G$746=K$6)*('Postnatal Care'!$C$7:$C$746&gt;=Lists!$AE6)*('Postnatal Care'!$C$7:$C$746&lt;=Lists!$AF6))</f>
        <v>0</v>
      </c>
      <c r="L12" s="304">
        <f>SUMPRODUCT(('Postnatal Care'!$G$7:$G$746=L$6)*('Postnatal Care'!$C$7:$C$746&gt;=Lists!$AE6)*('Postnatal Care'!$C$7:$C$746&lt;=Lists!$AF6))</f>
        <v>0</v>
      </c>
      <c r="M12" s="310">
        <f>SUMPRODUCT(('Postnatal Care'!$G$7:$G$746=M$6)*('Postnatal Care'!$C$7:$C$746&gt;=Lists!$AE6)*('Postnatal Care'!$C$7:$C$746&lt;=Lists!$AF6))</f>
        <v>0</v>
      </c>
      <c r="N12" s="308">
        <f t="shared" si="4"/>
        <v>0</v>
      </c>
      <c r="O12" s="317">
        <f>SUMPRODUCT(('Postnatal Care'!$I$7:$I$746=O$6)*('Postnatal Care'!$C$7:$C$746&gt;=Lists!$AE6)*('Postnatal Care'!$C$7:$C$746&lt;=Lists!$AF6))</f>
        <v>0</v>
      </c>
      <c r="P12" s="317">
        <f>SUMPRODUCT(('Postnatal Care'!$I$7:$I$746=P$6)*('Postnatal Care'!$C$7:$C$746&gt;=Lists!$AE6)*('Postnatal Care'!$C$7:$C$746&lt;=Lists!$AF6))</f>
        <v>0</v>
      </c>
      <c r="Q12" s="317">
        <f>SUMPRODUCT(('Postnatal Care'!$I$7:$I$746=Q$6)*('Postnatal Care'!$C$7:$C$746&gt;=Lists!$AE6)*('Postnatal Care'!$C$7:$C$746&lt;=Lists!$AF6))</f>
        <v>0</v>
      </c>
      <c r="R12" s="317">
        <f>SUMPRODUCT(('Postnatal Care'!$I$7:$I$746=R$6)*('Postnatal Care'!$C$7:$C$746&gt;=Lists!$AE6)*('Postnatal Care'!$C$7:$C$746&lt;=Lists!$AF6))</f>
        <v>0</v>
      </c>
      <c r="S12" s="317">
        <f>SUMPRODUCT(('Postnatal Care'!$I$7:$I$746=S$6)*('Postnatal Care'!$C$7:$C$746&gt;=Lists!$AE6)*('Postnatal Care'!$C$7:$C$746&lt;=Lists!$AF6))</f>
        <v>0</v>
      </c>
      <c r="T12" s="317">
        <f>SUMPRODUCT(('Postnatal Care'!$I$7:$I$746=T$6)*('Postnatal Care'!$C$7:$C$746&gt;=Lists!$AE6)*('Postnatal Care'!$C$7:$C$746&lt;=Lists!$AF6))</f>
        <v>0</v>
      </c>
      <c r="U12" s="317">
        <f>SUMPRODUCT(('Postnatal Care'!$I$7:$I$746=U$6)*('Postnatal Care'!$C$7:$C$746&gt;=Lists!$AE6)*('Postnatal Care'!$C$7:$C$746&lt;=Lists!$AF6))</f>
        <v>0</v>
      </c>
      <c r="V12" s="317">
        <f>SUMPRODUCT(('Postnatal Care'!$I$7:$I$746=V$6)*('Postnatal Care'!$C$7:$C$746&gt;=Lists!$AE6)*('Postnatal Care'!$C$7:$C$746&lt;=Lists!$AF6))</f>
        <v>0</v>
      </c>
      <c r="W12" s="316">
        <f t="shared" si="5"/>
        <v>0</v>
      </c>
      <c r="X12" s="317">
        <f>SUMPRODUCT(('Postnatal Care'!$J$7:$J$746=X$6)*('Postnatal Care'!$C$7:$C$746&gt;=Lists!$AE6)*('Postnatal Care'!$C$7:$C$746&lt;=Lists!$AF6))</f>
        <v>0</v>
      </c>
      <c r="Y12" s="317">
        <f>SUMPRODUCT(('Postnatal Care'!$J$7:$J$746=Y$6)*('Postnatal Care'!$C$7:$C$746&gt;=Lists!$AE6)*('Postnatal Care'!$C$7:$C$746&lt;=Lists!$AF6))</f>
        <v>0</v>
      </c>
      <c r="Z12" s="320">
        <f>SUMPRODUCT(('Postnatal Care'!$J$7:$J$746=Z$6)*('Postnatal Care'!$C$7:$C$746&gt;=Lists!$AE6)*('Postnatal Care'!$C$7:$C$746&lt;=Lists!$AF6))</f>
        <v>0</v>
      </c>
      <c r="AA12" s="316">
        <f t="shared" si="6"/>
        <v>0</v>
      </c>
      <c r="AB12" s="317">
        <f>SUMPRODUCT(('Postnatal Care'!$L$7:$L$746=AB$6)*('Postnatal Care'!$C$7:$C$746&gt;=Lists!$AE6)*('Postnatal Care'!$C$7:$C$746&lt;=Lists!$AF6))</f>
        <v>0</v>
      </c>
      <c r="AC12" s="317">
        <f>SUMPRODUCT(('Postnatal Care'!$L$7:$L$746=AC$6)*('Postnatal Care'!$C$7:$C$746&gt;=Lists!$AE6)*('Postnatal Care'!$C$7:$C$746&lt;=Lists!$AF6))</f>
        <v>0</v>
      </c>
      <c r="AD12" s="317">
        <f>SUMPRODUCT(('Postnatal Care'!$L$7:$L$746=AD$6)*('Postnatal Care'!$C$7:$C$746&gt;=Lists!$AE6)*('Postnatal Care'!$C$7:$C$746&lt;=Lists!$AF6))</f>
        <v>0</v>
      </c>
      <c r="AE12" s="317">
        <f>SUMPRODUCT(('Postnatal Care'!$L$7:$L$746=AE$6)*('Postnatal Care'!$C$7:$C$746&gt;=Lists!$AE6)*('Postnatal Care'!$C$7:$C$746&lt;=Lists!$AF6))</f>
        <v>0</v>
      </c>
      <c r="AF12" s="317">
        <f>SUMPRODUCT(('Postnatal Care'!$L$7:$L$746=AF$6)*('Postnatal Care'!$C$7:$C$746&gt;=Lists!$AE6)*('Postnatal Care'!$C$7:$C$746&lt;=Lists!$AF6))</f>
        <v>0</v>
      </c>
      <c r="AG12" s="317">
        <f>SUMPRODUCT(('Postnatal Care'!$L$7:$L$746=AG$6)*('Postnatal Care'!$C$7:$C$746&gt;=Lists!$AE6)*('Postnatal Care'!$C$7:$C$746&lt;=Lists!$AF6))</f>
        <v>0</v>
      </c>
      <c r="AH12" s="317">
        <f>SUMPRODUCT(('Postnatal Care'!$L$7:$L$746=AH$6)*('Postnatal Care'!$C$7:$C$746&gt;=Lists!$AE6)*('Postnatal Care'!$C$7:$C$746&lt;=Lists!$AF6))</f>
        <v>0</v>
      </c>
      <c r="AI12" s="317">
        <f>SUMPRODUCT(('Postnatal Care'!$L$7:$L$746=AI$6)*('Postnatal Care'!$C$7:$C$746&gt;=Lists!$AE6)*('Postnatal Care'!$C$7:$C$746&lt;=Lists!$AF6))</f>
        <v>0</v>
      </c>
      <c r="AJ12" s="316">
        <f t="shared" si="0"/>
        <v>0</v>
      </c>
      <c r="AK12" s="317">
        <f>SUMPRODUCT(('Postnatal Care'!$M$7:$M$746=AK$6)*('Postnatal Care'!$C$7:$C$746&gt;=Lists!$AE6)*('Postnatal Care'!$C$7:$C$746&lt;=Lists!$AF6))</f>
        <v>0</v>
      </c>
      <c r="AL12" s="317">
        <f>SUMPRODUCT(('Postnatal Care'!$M$7:$M$746=AL$6)*('Postnatal Care'!$C$7:$C$746&gt;=Lists!$AE6)*('Postnatal Care'!$C$7:$C$746&lt;=Lists!$AF6))</f>
        <v>0</v>
      </c>
      <c r="AM12" s="317">
        <f>SUMPRODUCT(('Postnatal Care'!$M$7:$M$746=AM$6)*('Postnatal Care'!$C$7:$C$746&gt;=Lists!$AE6)*('Postnatal Care'!$C$7:$C$746&lt;=Lists!$AF6))</f>
        <v>0</v>
      </c>
      <c r="AN12" s="316">
        <f t="shared" si="7"/>
        <v>0</v>
      </c>
      <c r="AO12" s="317">
        <f>SUMPRODUCT(('Postnatal Care'!$O$7:$O$746=AO$6)*('Postnatal Care'!$C$7:$C$746&gt;=Lists!$AE6)*('Postnatal Care'!$C$7:$C$746&lt;=Lists!$AF6))</f>
        <v>0</v>
      </c>
      <c r="AP12" s="317">
        <f>SUMPRODUCT(('Postnatal Care'!$O$7:$O$746=AP$6)*('Postnatal Care'!$C$7:$C$746&gt;=Lists!$AE6)*('Postnatal Care'!$C$7:$C$746&lt;=Lists!$AF6))</f>
        <v>0</v>
      </c>
      <c r="AQ12" s="317">
        <f>SUMPRODUCT(('Postnatal Care'!$O$7:$O$746=AQ$6)*('Postnatal Care'!$C$7:$C$746&gt;=Lists!$AE6)*('Postnatal Care'!$C$7:$C$746&lt;=Lists!$AF6))</f>
        <v>0</v>
      </c>
      <c r="AR12" s="317">
        <f>SUMPRODUCT(('Postnatal Care'!$O$7:$O$746=AR$6)*('Postnatal Care'!$C$7:$C$746&gt;=Lists!$AE6)*('Postnatal Care'!$C$7:$C$746&lt;=Lists!$AF6))</f>
        <v>0</v>
      </c>
      <c r="AS12" s="317">
        <f>SUMPRODUCT(('Postnatal Care'!$O$7:$O$746=AS$6)*('Postnatal Care'!$C$7:$C$746&gt;=Lists!$AE6)*('Postnatal Care'!$C$7:$C$746&lt;=Lists!$AF6))</f>
        <v>0</v>
      </c>
      <c r="AT12" s="317">
        <f>SUMPRODUCT(('Postnatal Care'!$O$7:$O$746=AT$6)*('Postnatal Care'!$C$7:$C$746&gt;=Lists!$AE6)*('Postnatal Care'!$C$7:$C$746&lt;=Lists!$AF6))</f>
        <v>0</v>
      </c>
      <c r="AU12" s="316">
        <f t="shared" si="1"/>
        <v>0</v>
      </c>
      <c r="AV12" s="317">
        <f>SUMPRODUCT(('Postnatal Care'!$P$7:$P$746=AV$6)*('Postnatal Care'!$C$7:$C$746&gt;=Lists!$AE6)*('Postnatal Care'!$C$7:$C$746&lt;=Lists!$AF6))</f>
        <v>0</v>
      </c>
      <c r="AW12" s="317">
        <f>SUMPRODUCT(('Postnatal Care'!$P$7:$P$746=AW$6)*('Postnatal Care'!$C$7:$C$746&gt;=Lists!$AE6)*('Postnatal Care'!$C$7:$C$746&lt;=Lists!$AF6))</f>
        <v>0</v>
      </c>
      <c r="AX12" s="317">
        <f>SUMPRODUCT(('Postnatal Care'!$P$7:$P$746=AX$6)*('Postnatal Care'!$C$7:$C$746&gt;=Lists!$AE6)*('Postnatal Care'!$C$7:$C$746&lt;=Lists!$AF6))</f>
        <v>0</v>
      </c>
      <c r="AY12" s="341">
        <f t="shared" si="8"/>
        <v>0</v>
      </c>
      <c r="AZ12" s="243">
        <f t="shared" si="9"/>
        <v>0</v>
      </c>
      <c r="BB12" s="15"/>
      <c r="BC12" s="15"/>
      <c r="BD12" s="15"/>
      <c r="BE12" s="15"/>
      <c r="BF12" s="16"/>
      <c r="BG12" s="16"/>
      <c r="BH12" s="15"/>
      <c r="BI12" s="15"/>
      <c r="BJ12" s="15"/>
      <c r="BK12" s="15"/>
    </row>
    <row r="13" spans="1:66" ht="15" customHeight="1" x14ac:dyDescent="0.35">
      <c r="A13" s="570">
        <v>45901</v>
      </c>
      <c r="B13" s="306">
        <f>SUMPRODUCT(('Postnatal Care'!$D$7:$D$746=B$6)*('Postnatal Care'!$C$7:$C$746&gt;=Lists!$AE7)*('Postnatal Care'!$C$7:$C$746&lt;=Lists!$AF7))</f>
        <v>0</v>
      </c>
      <c r="C13" s="304">
        <f>SUMPRODUCT(('Postnatal Care'!$D$7:$D$746=C$6)*('Postnatal Care'!$C$7:$C$746&gt;=Lists!$AE7)*('Postnatal Care'!$C$7:$C$746&lt;=Lists!$AF7))</f>
        <v>0</v>
      </c>
      <c r="D13" s="310">
        <f>SUMPRODUCT(('Postnatal Care'!$D$7:$D$746=D$6)*('Postnatal Care'!$C$7:$C$746&gt;=Lists!$AE7)*('Postnatal Care'!$C$7:$C$746&lt;=Lists!$AF7))</f>
        <v>0</v>
      </c>
      <c r="E13" s="308">
        <f t="shared" si="2"/>
        <v>0</v>
      </c>
      <c r="F13" s="306">
        <f>SUMPRODUCT(('Postnatal Care'!$E$7:$E$746=F$6)*('Postnatal Care'!$C$7:$C$746&gt;=Lists!$AE7)*('Postnatal Care'!$C$7:$C$746&lt;=Lists!$AF7))</f>
        <v>0</v>
      </c>
      <c r="G13" s="304">
        <f>SUMPRODUCT(('Postnatal Care'!$E$7:$E$746=G$6)*('Postnatal Care'!$C$7:$C$746&gt;=Lists!$AE7)*('Postnatal Care'!$C$7:$C$746&lt;=Lists!$AF7))</f>
        <v>0</v>
      </c>
      <c r="H13" s="304">
        <f>SUMPRODUCT(('Postnatal Care'!$E$7:$E$746=H$6)*('Postnatal Care'!$C$7:$C$746&gt;=Lists!$AE7)*('Postnatal Care'!$C$7:$C$746&lt;=Lists!$AF7))</f>
        <v>0</v>
      </c>
      <c r="I13" s="310">
        <f>SUMPRODUCT(('Postnatal Care'!$E$7:$E$746=I$6)*('Postnatal Care'!$C$7:$C$746&gt;=Lists!$AE7)*('Postnatal Care'!$C$7:$C$746&lt;=Lists!$AF7))</f>
        <v>0</v>
      </c>
      <c r="J13" s="308">
        <f t="shared" si="3"/>
        <v>0</v>
      </c>
      <c r="K13" s="306">
        <f>SUMPRODUCT(('Postnatal Care'!$G$7:$G$746=K$6)*('Postnatal Care'!$C$7:$C$746&gt;=Lists!$AE7)*('Postnatal Care'!$C$7:$C$746&lt;=Lists!$AF7))</f>
        <v>0</v>
      </c>
      <c r="L13" s="304">
        <f>SUMPRODUCT(('Postnatal Care'!$G$7:$G$746=L$6)*('Postnatal Care'!$C$7:$C$746&gt;=Lists!$AE7)*('Postnatal Care'!$C$7:$C$746&lt;=Lists!$AF7))</f>
        <v>0</v>
      </c>
      <c r="M13" s="310">
        <f>SUMPRODUCT(('Postnatal Care'!$G$7:$G$746=M$6)*('Postnatal Care'!$C$7:$C$746&gt;=Lists!$AE7)*('Postnatal Care'!$C$7:$C$746&lt;=Lists!$AF7))</f>
        <v>0</v>
      </c>
      <c r="N13" s="308">
        <f t="shared" si="4"/>
        <v>0</v>
      </c>
      <c r="O13" s="317">
        <f>SUMPRODUCT(('Postnatal Care'!$I$7:$I$746=O$6)*('Postnatal Care'!$C$7:$C$746&gt;=Lists!$AE7)*('Postnatal Care'!$C$7:$C$746&lt;=Lists!$AF7))</f>
        <v>0</v>
      </c>
      <c r="P13" s="317">
        <f>SUMPRODUCT(('Postnatal Care'!$I$7:$I$746=P$6)*('Postnatal Care'!$C$7:$C$746&gt;=Lists!$AE7)*('Postnatal Care'!$C$7:$C$746&lt;=Lists!$AF7))</f>
        <v>0</v>
      </c>
      <c r="Q13" s="317">
        <f>SUMPRODUCT(('Postnatal Care'!$I$7:$I$746=Q$6)*('Postnatal Care'!$C$7:$C$746&gt;=Lists!$AE7)*('Postnatal Care'!$C$7:$C$746&lt;=Lists!$AF7))</f>
        <v>0</v>
      </c>
      <c r="R13" s="317">
        <f>SUMPRODUCT(('Postnatal Care'!$I$7:$I$746=R$6)*('Postnatal Care'!$C$7:$C$746&gt;=Lists!$AE7)*('Postnatal Care'!$C$7:$C$746&lt;=Lists!$AF7))</f>
        <v>0</v>
      </c>
      <c r="S13" s="317">
        <f>SUMPRODUCT(('Postnatal Care'!$I$7:$I$746=S$6)*('Postnatal Care'!$C$7:$C$746&gt;=Lists!$AE7)*('Postnatal Care'!$C$7:$C$746&lt;=Lists!$AF7))</f>
        <v>0</v>
      </c>
      <c r="T13" s="317">
        <f>SUMPRODUCT(('Postnatal Care'!$I$7:$I$746=T$6)*('Postnatal Care'!$C$7:$C$746&gt;=Lists!$AE7)*('Postnatal Care'!$C$7:$C$746&lt;=Lists!$AF7))</f>
        <v>0</v>
      </c>
      <c r="U13" s="317">
        <f>SUMPRODUCT(('Postnatal Care'!$I$7:$I$746=U$6)*('Postnatal Care'!$C$7:$C$746&gt;=Lists!$AE7)*('Postnatal Care'!$C$7:$C$746&lt;=Lists!$AF7))</f>
        <v>0</v>
      </c>
      <c r="V13" s="317">
        <f>SUMPRODUCT(('Postnatal Care'!$I$7:$I$746=V$6)*('Postnatal Care'!$C$7:$C$746&gt;=Lists!$AE7)*('Postnatal Care'!$C$7:$C$746&lt;=Lists!$AF7))</f>
        <v>0</v>
      </c>
      <c r="W13" s="316">
        <f t="shared" si="5"/>
        <v>0</v>
      </c>
      <c r="X13" s="317">
        <f>SUMPRODUCT(('Postnatal Care'!$J$7:$J$746=X$6)*('Postnatal Care'!$C$7:$C$746&gt;=Lists!$AE7)*('Postnatal Care'!$C$7:$C$746&lt;=Lists!$AF7))</f>
        <v>0</v>
      </c>
      <c r="Y13" s="317">
        <f>SUMPRODUCT(('Postnatal Care'!$J$7:$J$746=Y$6)*('Postnatal Care'!$C$7:$C$746&gt;=Lists!$AE7)*('Postnatal Care'!$C$7:$C$746&lt;=Lists!$AF7))</f>
        <v>0</v>
      </c>
      <c r="Z13" s="320">
        <f>SUMPRODUCT(('Postnatal Care'!$J$7:$J$746=Z$6)*('Postnatal Care'!$C$7:$C$746&gt;=Lists!$AE7)*('Postnatal Care'!$C$7:$C$746&lt;=Lists!$AF7))</f>
        <v>0</v>
      </c>
      <c r="AA13" s="316">
        <f t="shared" si="6"/>
        <v>0</v>
      </c>
      <c r="AB13" s="317">
        <f>SUMPRODUCT(('Postnatal Care'!$L$7:$L$746=AB$6)*('Postnatal Care'!$C$7:$C$746&gt;=Lists!$AE7)*('Postnatal Care'!$C$7:$C$746&lt;=Lists!$AF7))</f>
        <v>0</v>
      </c>
      <c r="AC13" s="317">
        <f>SUMPRODUCT(('Postnatal Care'!$L$7:$L$746=AC$6)*('Postnatal Care'!$C$7:$C$746&gt;=Lists!$AE7)*('Postnatal Care'!$C$7:$C$746&lt;=Lists!$AF7))</f>
        <v>0</v>
      </c>
      <c r="AD13" s="317">
        <f>SUMPRODUCT(('Postnatal Care'!$L$7:$L$746=AD$6)*('Postnatal Care'!$C$7:$C$746&gt;=Lists!$AE7)*('Postnatal Care'!$C$7:$C$746&lt;=Lists!$AF7))</f>
        <v>0</v>
      </c>
      <c r="AE13" s="317">
        <f>SUMPRODUCT(('Postnatal Care'!$L$7:$L$746=AE$6)*('Postnatal Care'!$C$7:$C$746&gt;=Lists!$AE7)*('Postnatal Care'!$C$7:$C$746&lt;=Lists!$AF7))</f>
        <v>0</v>
      </c>
      <c r="AF13" s="317">
        <f>SUMPRODUCT(('Postnatal Care'!$L$7:$L$746=AF$6)*('Postnatal Care'!$C$7:$C$746&gt;=Lists!$AE7)*('Postnatal Care'!$C$7:$C$746&lt;=Lists!$AF7))</f>
        <v>0</v>
      </c>
      <c r="AG13" s="317">
        <f>SUMPRODUCT(('Postnatal Care'!$L$7:$L$746=AG$6)*('Postnatal Care'!$C$7:$C$746&gt;=Lists!$AE7)*('Postnatal Care'!$C$7:$C$746&lt;=Lists!$AF7))</f>
        <v>0</v>
      </c>
      <c r="AH13" s="317">
        <f>SUMPRODUCT(('Postnatal Care'!$L$7:$L$746=AH$6)*('Postnatal Care'!$C$7:$C$746&gt;=Lists!$AE7)*('Postnatal Care'!$C$7:$C$746&lt;=Lists!$AF7))</f>
        <v>0</v>
      </c>
      <c r="AI13" s="317">
        <f>SUMPRODUCT(('Postnatal Care'!$L$7:$L$746=AI$6)*('Postnatal Care'!$C$7:$C$746&gt;=Lists!$AE7)*('Postnatal Care'!$C$7:$C$746&lt;=Lists!$AF7))</f>
        <v>0</v>
      </c>
      <c r="AJ13" s="316">
        <f t="shared" si="0"/>
        <v>0</v>
      </c>
      <c r="AK13" s="317">
        <f>SUMPRODUCT(('Postnatal Care'!$M$7:$M$746=AK$6)*('Postnatal Care'!$C$7:$C$746&gt;=Lists!$AE7)*('Postnatal Care'!$C$7:$C$746&lt;=Lists!$AF7))</f>
        <v>0</v>
      </c>
      <c r="AL13" s="317">
        <f>SUMPRODUCT(('Postnatal Care'!$M$7:$M$746=AL$6)*('Postnatal Care'!$C$7:$C$746&gt;=Lists!$AE7)*('Postnatal Care'!$C$7:$C$746&lt;=Lists!$AF7))</f>
        <v>0</v>
      </c>
      <c r="AM13" s="317">
        <f>SUMPRODUCT(('Postnatal Care'!$M$7:$M$746=AM$6)*('Postnatal Care'!$C$7:$C$746&gt;=Lists!$AE7)*('Postnatal Care'!$C$7:$C$746&lt;=Lists!$AF7))</f>
        <v>0</v>
      </c>
      <c r="AN13" s="316">
        <f t="shared" si="7"/>
        <v>0</v>
      </c>
      <c r="AO13" s="317">
        <f>SUMPRODUCT(('Postnatal Care'!$O$7:$O$746=AO$6)*('Postnatal Care'!$C$7:$C$746&gt;=Lists!$AE7)*('Postnatal Care'!$C$7:$C$746&lt;=Lists!$AF7))</f>
        <v>0</v>
      </c>
      <c r="AP13" s="317">
        <f>SUMPRODUCT(('Postnatal Care'!$O$7:$O$746=AP$6)*('Postnatal Care'!$C$7:$C$746&gt;=Lists!$AE7)*('Postnatal Care'!$C$7:$C$746&lt;=Lists!$AF7))</f>
        <v>0</v>
      </c>
      <c r="AQ13" s="317">
        <f>SUMPRODUCT(('Postnatal Care'!$O$7:$O$746=AQ$6)*('Postnatal Care'!$C$7:$C$746&gt;=Lists!$AE7)*('Postnatal Care'!$C$7:$C$746&lt;=Lists!$AF7))</f>
        <v>0</v>
      </c>
      <c r="AR13" s="317">
        <f>SUMPRODUCT(('Postnatal Care'!$O$7:$O$746=AR$6)*('Postnatal Care'!$C$7:$C$746&gt;=Lists!$AE7)*('Postnatal Care'!$C$7:$C$746&lt;=Lists!$AF7))</f>
        <v>0</v>
      </c>
      <c r="AS13" s="317">
        <f>SUMPRODUCT(('Postnatal Care'!$O$7:$O$746=AS$6)*('Postnatal Care'!$C$7:$C$746&gt;=Lists!$AE7)*('Postnatal Care'!$C$7:$C$746&lt;=Lists!$AF7))</f>
        <v>0</v>
      </c>
      <c r="AT13" s="317">
        <f>SUMPRODUCT(('Postnatal Care'!$O$7:$O$746=AT$6)*('Postnatal Care'!$C$7:$C$746&gt;=Lists!$AE7)*('Postnatal Care'!$C$7:$C$746&lt;=Lists!$AF7))</f>
        <v>0</v>
      </c>
      <c r="AU13" s="316">
        <f t="shared" si="1"/>
        <v>0</v>
      </c>
      <c r="AV13" s="317">
        <f>SUMPRODUCT(('Postnatal Care'!$P$7:$P$746=AV$6)*('Postnatal Care'!$C$7:$C$746&gt;=Lists!$AE7)*('Postnatal Care'!$C$7:$C$746&lt;=Lists!$AF7))</f>
        <v>0</v>
      </c>
      <c r="AW13" s="317">
        <f>SUMPRODUCT(('Postnatal Care'!$P$7:$P$746=AW$6)*('Postnatal Care'!$C$7:$C$746&gt;=Lists!$AE7)*('Postnatal Care'!$C$7:$C$746&lt;=Lists!$AF7))</f>
        <v>0</v>
      </c>
      <c r="AX13" s="317">
        <f>SUMPRODUCT(('Postnatal Care'!$P$7:$P$746=AX$6)*('Postnatal Care'!$C$7:$C$746&gt;=Lists!$AE7)*('Postnatal Care'!$C$7:$C$746&lt;=Lists!$AF7))</f>
        <v>0</v>
      </c>
      <c r="AY13" s="341">
        <f t="shared" si="8"/>
        <v>0</v>
      </c>
      <c r="AZ13" s="243">
        <f t="shared" si="9"/>
        <v>0</v>
      </c>
      <c r="BB13" s="15"/>
      <c r="BC13" s="15"/>
      <c r="BD13" s="15"/>
      <c r="BE13" s="15"/>
      <c r="BF13" s="16"/>
      <c r="BG13" s="16"/>
      <c r="BH13" s="15"/>
      <c r="BI13" s="15"/>
      <c r="BJ13" s="15"/>
      <c r="BK13" s="15"/>
    </row>
    <row r="14" spans="1:66" ht="15" customHeight="1" x14ac:dyDescent="0.35">
      <c r="A14" s="570">
        <v>45931</v>
      </c>
      <c r="B14" s="306">
        <f>SUMPRODUCT(('Postnatal Care'!$D$7:$D$746=B$6)*('Postnatal Care'!$C$7:$C$746&gt;=Lists!$AE8)*('Postnatal Care'!$C$7:$C$746&lt;=Lists!$AF8))</f>
        <v>0</v>
      </c>
      <c r="C14" s="304">
        <f>SUMPRODUCT(('Postnatal Care'!$D$7:$D$746=C$6)*('Postnatal Care'!$C$7:$C$746&gt;=Lists!$AE8)*('Postnatal Care'!$C$7:$C$746&lt;=Lists!$AF8))</f>
        <v>0</v>
      </c>
      <c r="D14" s="310">
        <f>SUMPRODUCT(('Postnatal Care'!$D$7:$D$746=D$6)*('Postnatal Care'!$C$7:$C$746&gt;=Lists!$AE8)*('Postnatal Care'!$C$7:$C$746&lt;=Lists!$AF8))</f>
        <v>0</v>
      </c>
      <c r="E14" s="308">
        <f t="shared" si="2"/>
        <v>0</v>
      </c>
      <c r="F14" s="306">
        <f>SUMPRODUCT(('Postnatal Care'!$E$7:$E$746=F$6)*('Postnatal Care'!$C$7:$C$746&gt;=Lists!$AE8)*('Postnatal Care'!$C$7:$C$746&lt;=Lists!$AF8))</f>
        <v>0</v>
      </c>
      <c r="G14" s="304">
        <f>SUMPRODUCT(('Postnatal Care'!$E$7:$E$746=G$6)*('Postnatal Care'!$C$7:$C$746&gt;=Lists!$AE8)*('Postnatal Care'!$C$7:$C$746&lt;=Lists!$AF8))</f>
        <v>0</v>
      </c>
      <c r="H14" s="304">
        <f>SUMPRODUCT(('Postnatal Care'!$E$7:$E$746=H$6)*('Postnatal Care'!$C$7:$C$746&gt;=Lists!$AE8)*('Postnatal Care'!$C$7:$C$746&lt;=Lists!$AF8))</f>
        <v>0</v>
      </c>
      <c r="I14" s="310">
        <f>SUMPRODUCT(('Postnatal Care'!$E$7:$E$746=I$6)*('Postnatal Care'!$C$7:$C$746&gt;=Lists!$AE8)*('Postnatal Care'!$C$7:$C$746&lt;=Lists!$AF8))</f>
        <v>0</v>
      </c>
      <c r="J14" s="308">
        <f t="shared" si="3"/>
        <v>0</v>
      </c>
      <c r="K14" s="306">
        <f>SUMPRODUCT(('Postnatal Care'!$G$7:$G$746=K$6)*('Postnatal Care'!$C$7:$C$746&gt;=Lists!$AE8)*('Postnatal Care'!$C$7:$C$746&lt;=Lists!$AF8))</f>
        <v>0</v>
      </c>
      <c r="L14" s="304">
        <f>SUMPRODUCT(('Postnatal Care'!$G$7:$G$746=L$6)*('Postnatal Care'!$C$7:$C$746&gt;=Lists!$AE8)*('Postnatal Care'!$C$7:$C$746&lt;=Lists!$AF8))</f>
        <v>0</v>
      </c>
      <c r="M14" s="310">
        <f>SUMPRODUCT(('Postnatal Care'!$G$7:$G$746=M$6)*('Postnatal Care'!$C$7:$C$746&gt;=Lists!$AE8)*('Postnatal Care'!$C$7:$C$746&lt;=Lists!$AF8))</f>
        <v>0</v>
      </c>
      <c r="N14" s="308">
        <f t="shared" si="4"/>
        <v>0</v>
      </c>
      <c r="O14" s="317">
        <f>SUMPRODUCT(('Postnatal Care'!$I$7:$I$746=O$6)*('Postnatal Care'!$C$7:$C$746&gt;=Lists!$AE8)*('Postnatal Care'!$C$7:$C$746&lt;=Lists!$AF8))</f>
        <v>0</v>
      </c>
      <c r="P14" s="317">
        <f>SUMPRODUCT(('Postnatal Care'!$I$7:$I$746=P$6)*('Postnatal Care'!$C$7:$C$746&gt;=Lists!$AE8)*('Postnatal Care'!$C$7:$C$746&lt;=Lists!$AF8))</f>
        <v>0</v>
      </c>
      <c r="Q14" s="317">
        <f>SUMPRODUCT(('Postnatal Care'!$I$7:$I$746=Q$6)*('Postnatal Care'!$C$7:$C$746&gt;=Lists!$AE8)*('Postnatal Care'!$C$7:$C$746&lt;=Lists!$AF8))</f>
        <v>0</v>
      </c>
      <c r="R14" s="317">
        <f>SUMPRODUCT(('Postnatal Care'!$I$7:$I$746=R$6)*('Postnatal Care'!$C$7:$C$746&gt;=Lists!$AE8)*('Postnatal Care'!$C$7:$C$746&lt;=Lists!$AF8))</f>
        <v>0</v>
      </c>
      <c r="S14" s="317">
        <f>SUMPRODUCT(('Postnatal Care'!$I$7:$I$746=S$6)*('Postnatal Care'!$C$7:$C$746&gt;=Lists!$AE8)*('Postnatal Care'!$C$7:$C$746&lt;=Lists!$AF8))</f>
        <v>0</v>
      </c>
      <c r="T14" s="317">
        <f>SUMPRODUCT(('Postnatal Care'!$I$7:$I$746=T$6)*('Postnatal Care'!$C$7:$C$746&gt;=Lists!$AE8)*('Postnatal Care'!$C$7:$C$746&lt;=Lists!$AF8))</f>
        <v>0</v>
      </c>
      <c r="U14" s="317">
        <f>SUMPRODUCT(('Postnatal Care'!$I$7:$I$746=U$6)*('Postnatal Care'!$C$7:$C$746&gt;=Lists!$AE8)*('Postnatal Care'!$C$7:$C$746&lt;=Lists!$AF8))</f>
        <v>0</v>
      </c>
      <c r="V14" s="317">
        <f>SUMPRODUCT(('Postnatal Care'!$I$7:$I$746=V$6)*('Postnatal Care'!$C$7:$C$746&gt;=Lists!$AE8)*('Postnatal Care'!$C$7:$C$746&lt;=Lists!$AF8))</f>
        <v>0</v>
      </c>
      <c r="W14" s="316">
        <f t="shared" si="5"/>
        <v>0</v>
      </c>
      <c r="X14" s="317">
        <f>SUMPRODUCT(('Postnatal Care'!$J$7:$J$746=X$6)*('Postnatal Care'!$C$7:$C$746&gt;=Lists!$AE8)*('Postnatal Care'!$C$7:$C$746&lt;=Lists!$AF8))</f>
        <v>0</v>
      </c>
      <c r="Y14" s="317">
        <f>SUMPRODUCT(('Postnatal Care'!$J$7:$J$746=Y$6)*('Postnatal Care'!$C$7:$C$746&gt;=Lists!$AE8)*('Postnatal Care'!$C$7:$C$746&lt;=Lists!$AF8))</f>
        <v>0</v>
      </c>
      <c r="Z14" s="320">
        <f>SUMPRODUCT(('Postnatal Care'!$J$7:$J$746=Z$6)*('Postnatal Care'!$C$7:$C$746&gt;=Lists!$AE8)*('Postnatal Care'!$C$7:$C$746&lt;=Lists!$AF8))</f>
        <v>0</v>
      </c>
      <c r="AA14" s="316">
        <f t="shared" si="6"/>
        <v>0</v>
      </c>
      <c r="AB14" s="317">
        <f>SUMPRODUCT(('Postnatal Care'!$L$7:$L$746=AB$6)*('Postnatal Care'!$C$7:$C$746&gt;=Lists!$AE8)*('Postnatal Care'!$C$7:$C$746&lt;=Lists!$AF8))</f>
        <v>0</v>
      </c>
      <c r="AC14" s="317">
        <f>SUMPRODUCT(('Postnatal Care'!$L$7:$L$746=AC$6)*('Postnatal Care'!$C$7:$C$746&gt;=Lists!$AE8)*('Postnatal Care'!$C$7:$C$746&lt;=Lists!$AF8))</f>
        <v>0</v>
      </c>
      <c r="AD14" s="317">
        <f>SUMPRODUCT(('Postnatal Care'!$L$7:$L$746=AD$6)*('Postnatal Care'!$C$7:$C$746&gt;=Lists!$AE8)*('Postnatal Care'!$C$7:$C$746&lt;=Lists!$AF8))</f>
        <v>0</v>
      </c>
      <c r="AE14" s="317">
        <f>SUMPRODUCT(('Postnatal Care'!$L$7:$L$746=AE$6)*('Postnatal Care'!$C$7:$C$746&gt;=Lists!$AE8)*('Postnatal Care'!$C$7:$C$746&lt;=Lists!$AF8))</f>
        <v>0</v>
      </c>
      <c r="AF14" s="317">
        <f>SUMPRODUCT(('Postnatal Care'!$L$7:$L$746=AF$6)*('Postnatal Care'!$C$7:$C$746&gt;=Lists!$AE8)*('Postnatal Care'!$C$7:$C$746&lt;=Lists!$AF8))</f>
        <v>0</v>
      </c>
      <c r="AG14" s="317">
        <f>SUMPRODUCT(('Postnatal Care'!$L$7:$L$746=AG$6)*('Postnatal Care'!$C$7:$C$746&gt;=Lists!$AE8)*('Postnatal Care'!$C$7:$C$746&lt;=Lists!$AF8))</f>
        <v>0</v>
      </c>
      <c r="AH14" s="317">
        <f>SUMPRODUCT(('Postnatal Care'!$L$7:$L$746=AH$6)*('Postnatal Care'!$C$7:$C$746&gt;=Lists!$AE8)*('Postnatal Care'!$C$7:$C$746&lt;=Lists!$AF8))</f>
        <v>0</v>
      </c>
      <c r="AI14" s="317">
        <f>SUMPRODUCT(('Postnatal Care'!$L$7:$L$746=AI$6)*('Postnatal Care'!$C$7:$C$746&gt;=Lists!$AE8)*('Postnatal Care'!$C$7:$C$746&lt;=Lists!$AF8))</f>
        <v>0</v>
      </c>
      <c r="AJ14" s="316">
        <f t="shared" si="0"/>
        <v>0</v>
      </c>
      <c r="AK14" s="317">
        <f>SUMPRODUCT(('Postnatal Care'!$M$7:$M$746=AK$6)*('Postnatal Care'!$C$7:$C$746&gt;=Lists!$AE8)*('Postnatal Care'!$C$7:$C$746&lt;=Lists!$AF8))</f>
        <v>0</v>
      </c>
      <c r="AL14" s="317">
        <f>SUMPRODUCT(('Postnatal Care'!$M$7:$M$746=AL$6)*('Postnatal Care'!$C$7:$C$746&gt;=Lists!$AE8)*('Postnatal Care'!$C$7:$C$746&lt;=Lists!$AF8))</f>
        <v>0</v>
      </c>
      <c r="AM14" s="317">
        <f>SUMPRODUCT(('Postnatal Care'!$M$7:$M$746=AM$6)*('Postnatal Care'!$C$7:$C$746&gt;=Lists!$AE8)*('Postnatal Care'!$C$7:$C$746&lt;=Lists!$AF8))</f>
        <v>0</v>
      </c>
      <c r="AN14" s="316">
        <f t="shared" si="7"/>
        <v>0</v>
      </c>
      <c r="AO14" s="317">
        <f>SUMPRODUCT(('Postnatal Care'!$O$7:$O$746=AO$6)*('Postnatal Care'!$C$7:$C$746&gt;=Lists!$AE8)*('Postnatal Care'!$C$7:$C$746&lt;=Lists!$AF8))</f>
        <v>0</v>
      </c>
      <c r="AP14" s="317">
        <f>SUMPRODUCT(('Postnatal Care'!$O$7:$O$746=AP$6)*('Postnatal Care'!$C$7:$C$746&gt;=Lists!$AE8)*('Postnatal Care'!$C$7:$C$746&lt;=Lists!$AF8))</f>
        <v>0</v>
      </c>
      <c r="AQ14" s="317">
        <f>SUMPRODUCT(('Postnatal Care'!$O$7:$O$746=AQ$6)*('Postnatal Care'!$C$7:$C$746&gt;=Lists!$AE8)*('Postnatal Care'!$C$7:$C$746&lt;=Lists!$AF8))</f>
        <v>0</v>
      </c>
      <c r="AR14" s="317">
        <f>SUMPRODUCT(('Postnatal Care'!$O$7:$O$746=AR$6)*('Postnatal Care'!$C$7:$C$746&gt;=Lists!$AE8)*('Postnatal Care'!$C$7:$C$746&lt;=Lists!$AF8))</f>
        <v>0</v>
      </c>
      <c r="AS14" s="317">
        <f>SUMPRODUCT(('Postnatal Care'!$O$7:$O$746=AS$6)*('Postnatal Care'!$C$7:$C$746&gt;=Lists!$AE8)*('Postnatal Care'!$C$7:$C$746&lt;=Lists!$AF8))</f>
        <v>0</v>
      </c>
      <c r="AT14" s="317">
        <f>SUMPRODUCT(('Postnatal Care'!$O$7:$O$746=AT$6)*('Postnatal Care'!$C$7:$C$746&gt;=Lists!$AE8)*('Postnatal Care'!$C$7:$C$746&lt;=Lists!$AF8))</f>
        <v>0</v>
      </c>
      <c r="AU14" s="316">
        <f t="shared" si="1"/>
        <v>0</v>
      </c>
      <c r="AV14" s="317">
        <f>SUMPRODUCT(('Postnatal Care'!$P$7:$P$746=AV$6)*('Postnatal Care'!$C$7:$C$746&gt;=Lists!$AE8)*('Postnatal Care'!$C$7:$C$746&lt;=Lists!$AF8))</f>
        <v>0</v>
      </c>
      <c r="AW14" s="317">
        <f>SUMPRODUCT(('Postnatal Care'!$P$7:$P$746=AW$6)*('Postnatal Care'!$C$7:$C$746&gt;=Lists!$AE8)*('Postnatal Care'!$C$7:$C$746&lt;=Lists!$AF8))</f>
        <v>0</v>
      </c>
      <c r="AX14" s="317">
        <f>SUMPRODUCT(('Postnatal Care'!$P$7:$P$746=AX$6)*('Postnatal Care'!$C$7:$C$746&gt;=Lists!$AE8)*('Postnatal Care'!$C$7:$C$746&lt;=Lists!$AF8))</f>
        <v>0</v>
      </c>
      <c r="AY14" s="341">
        <f t="shared" si="8"/>
        <v>0</v>
      </c>
      <c r="AZ14" s="243">
        <f t="shared" si="9"/>
        <v>0</v>
      </c>
      <c r="BB14" s="15"/>
      <c r="BC14" s="15"/>
      <c r="BD14" s="15"/>
      <c r="BE14" s="15"/>
      <c r="BF14" s="16"/>
      <c r="BG14" s="16"/>
      <c r="BH14" s="15"/>
      <c r="BI14" s="15"/>
      <c r="BJ14" s="15"/>
      <c r="BK14" s="15"/>
    </row>
    <row r="15" spans="1:66" ht="15" customHeight="1" x14ac:dyDescent="0.35">
      <c r="A15" s="570">
        <v>45962</v>
      </c>
      <c r="B15" s="306">
        <f>SUMPRODUCT(('Postnatal Care'!$D$7:$D$746=B$6)*('Postnatal Care'!$C$7:$C$746&gt;=Lists!$AE9)*('Postnatal Care'!$C$7:$C$746&lt;=Lists!$AF9))</f>
        <v>0</v>
      </c>
      <c r="C15" s="304">
        <f>SUMPRODUCT(('Postnatal Care'!$D$7:$D$746=C$6)*('Postnatal Care'!$C$7:$C$746&gt;=Lists!$AE9)*('Postnatal Care'!$C$7:$C$746&lt;=Lists!$AF9))</f>
        <v>0</v>
      </c>
      <c r="D15" s="310">
        <f>SUMPRODUCT(('Postnatal Care'!$D$7:$D$746=D$6)*('Postnatal Care'!$C$7:$C$746&gt;=Lists!$AE9)*('Postnatal Care'!$C$7:$C$746&lt;=Lists!$AF9))</f>
        <v>0</v>
      </c>
      <c r="E15" s="308">
        <f t="shared" si="2"/>
        <v>0</v>
      </c>
      <c r="F15" s="306">
        <f>SUMPRODUCT(('Postnatal Care'!$E$7:$E$746=F$6)*('Postnatal Care'!$C$7:$C$746&gt;=Lists!$AE9)*('Postnatal Care'!$C$7:$C$746&lt;=Lists!$AF9))</f>
        <v>0</v>
      </c>
      <c r="G15" s="304">
        <f>SUMPRODUCT(('Postnatal Care'!$E$7:$E$746=G$6)*('Postnatal Care'!$C$7:$C$746&gt;=Lists!$AE9)*('Postnatal Care'!$C$7:$C$746&lt;=Lists!$AF9))</f>
        <v>0</v>
      </c>
      <c r="H15" s="304">
        <f>SUMPRODUCT(('Postnatal Care'!$E$7:$E$746=H$6)*('Postnatal Care'!$C$7:$C$746&gt;=Lists!$AE9)*('Postnatal Care'!$C$7:$C$746&lt;=Lists!$AF9))</f>
        <v>0</v>
      </c>
      <c r="I15" s="310">
        <f>SUMPRODUCT(('Postnatal Care'!$E$7:$E$746=I$6)*('Postnatal Care'!$C$7:$C$746&gt;=Lists!$AE9)*('Postnatal Care'!$C$7:$C$746&lt;=Lists!$AF9))</f>
        <v>0</v>
      </c>
      <c r="J15" s="308">
        <f t="shared" si="3"/>
        <v>0</v>
      </c>
      <c r="K15" s="306">
        <f>SUMPRODUCT(('Postnatal Care'!$G$7:$G$746=K$6)*('Postnatal Care'!$C$7:$C$746&gt;=Lists!$AE9)*('Postnatal Care'!$C$7:$C$746&lt;=Lists!$AF9))</f>
        <v>0</v>
      </c>
      <c r="L15" s="304">
        <f>SUMPRODUCT(('Postnatal Care'!$G$7:$G$746=L$6)*('Postnatal Care'!$C$7:$C$746&gt;=Lists!$AE9)*('Postnatal Care'!$C$7:$C$746&lt;=Lists!$AF9))</f>
        <v>0</v>
      </c>
      <c r="M15" s="310">
        <f>SUMPRODUCT(('Postnatal Care'!$G$7:$G$746=M$6)*('Postnatal Care'!$C$7:$C$746&gt;=Lists!$AE9)*('Postnatal Care'!$C$7:$C$746&lt;=Lists!$AF9))</f>
        <v>0</v>
      </c>
      <c r="N15" s="308">
        <f t="shared" si="4"/>
        <v>0</v>
      </c>
      <c r="O15" s="317">
        <f>SUMPRODUCT(('Postnatal Care'!$I$7:$I$746=O$6)*('Postnatal Care'!$C$7:$C$746&gt;=Lists!$AE9)*('Postnatal Care'!$C$7:$C$746&lt;=Lists!$AF9))</f>
        <v>0</v>
      </c>
      <c r="P15" s="317">
        <f>SUMPRODUCT(('Postnatal Care'!$I$7:$I$746=P$6)*('Postnatal Care'!$C$7:$C$746&gt;=Lists!$AE9)*('Postnatal Care'!$C$7:$C$746&lt;=Lists!$AF9))</f>
        <v>0</v>
      </c>
      <c r="Q15" s="317">
        <f>SUMPRODUCT(('Postnatal Care'!$I$7:$I$746=Q$6)*('Postnatal Care'!$C$7:$C$746&gt;=Lists!$AE9)*('Postnatal Care'!$C$7:$C$746&lt;=Lists!$AF9))</f>
        <v>0</v>
      </c>
      <c r="R15" s="317">
        <f>SUMPRODUCT(('Postnatal Care'!$I$7:$I$746=R$6)*('Postnatal Care'!$C$7:$C$746&gt;=Lists!$AE9)*('Postnatal Care'!$C$7:$C$746&lt;=Lists!$AF9))</f>
        <v>0</v>
      </c>
      <c r="S15" s="317">
        <f>SUMPRODUCT(('Postnatal Care'!$I$7:$I$746=S$6)*('Postnatal Care'!$C$7:$C$746&gt;=Lists!$AE9)*('Postnatal Care'!$C$7:$C$746&lt;=Lists!$AF9))</f>
        <v>0</v>
      </c>
      <c r="T15" s="317">
        <f>SUMPRODUCT(('Postnatal Care'!$I$7:$I$746=T$6)*('Postnatal Care'!$C$7:$C$746&gt;=Lists!$AE9)*('Postnatal Care'!$C$7:$C$746&lt;=Lists!$AF9))</f>
        <v>0</v>
      </c>
      <c r="U15" s="317">
        <f>SUMPRODUCT(('Postnatal Care'!$I$7:$I$746=U$6)*('Postnatal Care'!$C$7:$C$746&gt;=Lists!$AE9)*('Postnatal Care'!$C$7:$C$746&lt;=Lists!$AF9))</f>
        <v>0</v>
      </c>
      <c r="V15" s="317">
        <f>SUMPRODUCT(('Postnatal Care'!$I$7:$I$746=V$6)*('Postnatal Care'!$C$7:$C$746&gt;=Lists!$AE9)*('Postnatal Care'!$C$7:$C$746&lt;=Lists!$AF9))</f>
        <v>0</v>
      </c>
      <c r="W15" s="316">
        <f t="shared" si="5"/>
        <v>0</v>
      </c>
      <c r="X15" s="317">
        <f>SUMPRODUCT(('Postnatal Care'!$J$7:$J$746=X$6)*('Postnatal Care'!$C$7:$C$746&gt;=Lists!$AE9)*('Postnatal Care'!$C$7:$C$746&lt;=Lists!$AF9))</f>
        <v>0</v>
      </c>
      <c r="Y15" s="317">
        <f>SUMPRODUCT(('Postnatal Care'!$J$7:$J$746=Y$6)*('Postnatal Care'!$C$7:$C$746&gt;=Lists!$AE9)*('Postnatal Care'!$C$7:$C$746&lt;=Lists!$AF9))</f>
        <v>0</v>
      </c>
      <c r="Z15" s="320">
        <f>SUMPRODUCT(('Postnatal Care'!$J$7:$J$746=Z$6)*('Postnatal Care'!$C$7:$C$746&gt;=Lists!$AE9)*('Postnatal Care'!$C$7:$C$746&lt;=Lists!$AF9))</f>
        <v>0</v>
      </c>
      <c r="AA15" s="316">
        <f t="shared" si="6"/>
        <v>0</v>
      </c>
      <c r="AB15" s="317">
        <f>SUMPRODUCT(('Postnatal Care'!$L$7:$L$746=AB$6)*('Postnatal Care'!$C$7:$C$746&gt;=Lists!$AE9)*('Postnatal Care'!$C$7:$C$746&lt;=Lists!$AF9))</f>
        <v>0</v>
      </c>
      <c r="AC15" s="317">
        <f>SUMPRODUCT(('Postnatal Care'!$L$7:$L$746=AC$6)*('Postnatal Care'!$C$7:$C$746&gt;=Lists!$AE9)*('Postnatal Care'!$C$7:$C$746&lt;=Lists!$AF9))</f>
        <v>0</v>
      </c>
      <c r="AD15" s="317">
        <f>SUMPRODUCT(('Postnatal Care'!$L$7:$L$746=AD$6)*('Postnatal Care'!$C$7:$C$746&gt;=Lists!$AE9)*('Postnatal Care'!$C$7:$C$746&lt;=Lists!$AF9))</f>
        <v>0</v>
      </c>
      <c r="AE15" s="317">
        <f>SUMPRODUCT(('Postnatal Care'!$L$7:$L$746=AE$6)*('Postnatal Care'!$C$7:$C$746&gt;=Lists!$AE9)*('Postnatal Care'!$C$7:$C$746&lt;=Lists!$AF9))</f>
        <v>0</v>
      </c>
      <c r="AF15" s="317">
        <f>SUMPRODUCT(('Postnatal Care'!$L$7:$L$746=AF$6)*('Postnatal Care'!$C$7:$C$746&gt;=Lists!$AE9)*('Postnatal Care'!$C$7:$C$746&lt;=Lists!$AF9))</f>
        <v>0</v>
      </c>
      <c r="AG15" s="317">
        <f>SUMPRODUCT(('Postnatal Care'!$L$7:$L$746=AG$6)*('Postnatal Care'!$C$7:$C$746&gt;=Lists!$AE9)*('Postnatal Care'!$C$7:$C$746&lt;=Lists!$AF9))</f>
        <v>0</v>
      </c>
      <c r="AH15" s="317">
        <f>SUMPRODUCT(('Postnatal Care'!$L$7:$L$746=AH$6)*('Postnatal Care'!$C$7:$C$746&gt;=Lists!$AE9)*('Postnatal Care'!$C$7:$C$746&lt;=Lists!$AF9))</f>
        <v>0</v>
      </c>
      <c r="AI15" s="317">
        <f>SUMPRODUCT(('Postnatal Care'!$L$7:$L$746=AI$6)*('Postnatal Care'!$C$7:$C$746&gt;=Lists!$AE9)*('Postnatal Care'!$C$7:$C$746&lt;=Lists!$AF9))</f>
        <v>0</v>
      </c>
      <c r="AJ15" s="316">
        <f t="shared" si="0"/>
        <v>0</v>
      </c>
      <c r="AK15" s="317">
        <f>SUMPRODUCT(('Postnatal Care'!$M$7:$M$746=AK$6)*('Postnatal Care'!$C$7:$C$746&gt;=Lists!$AE9)*('Postnatal Care'!$C$7:$C$746&lt;=Lists!$AF9))</f>
        <v>0</v>
      </c>
      <c r="AL15" s="317">
        <f>SUMPRODUCT(('Postnatal Care'!$M$7:$M$746=AL$6)*('Postnatal Care'!$C$7:$C$746&gt;=Lists!$AE9)*('Postnatal Care'!$C$7:$C$746&lt;=Lists!$AF9))</f>
        <v>0</v>
      </c>
      <c r="AM15" s="317">
        <f>SUMPRODUCT(('Postnatal Care'!$M$7:$M$746=AM$6)*('Postnatal Care'!$C$7:$C$746&gt;=Lists!$AE9)*('Postnatal Care'!$C$7:$C$746&lt;=Lists!$AF9))</f>
        <v>0</v>
      </c>
      <c r="AN15" s="316">
        <f t="shared" si="7"/>
        <v>0</v>
      </c>
      <c r="AO15" s="317">
        <f>SUMPRODUCT(('Postnatal Care'!$O$7:$O$746=AO$6)*('Postnatal Care'!$C$7:$C$746&gt;=Lists!$AE9)*('Postnatal Care'!$C$7:$C$746&lt;=Lists!$AF9))</f>
        <v>0</v>
      </c>
      <c r="AP15" s="317">
        <f>SUMPRODUCT(('Postnatal Care'!$O$7:$O$746=AP$6)*('Postnatal Care'!$C$7:$C$746&gt;=Lists!$AE9)*('Postnatal Care'!$C$7:$C$746&lt;=Lists!$AF9))</f>
        <v>0</v>
      </c>
      <c r="AQ15" s="317">
        <f>SUMPRODUCT(('Postnatal Care'!$O$7:$O$746=AQ$6)*('Postnatal Care'!$C$7:$C$746&gt;=Lists!$AE9)*('Postnatal Care'!$C$7:$C$746&lt;=Lists!$AF9))</f>
        <v>0</v>
      </c>
      <c r="AR15" s="317">
        <f>SUMPRODUCT(('Postnatal Care'!$O$7:$O$746=AR$6)*('Postnatal Care'!$C$7:$C$746&gt;=Lists!$AE9)*('Postnatal Care'!$C$7:$C$746&lt;=Lists!$AF9))</f>
        <v>0</v>
      </c>
      <c r="AS15" s="317">
        <f>SUMPRODUCT(('Postnatal Care'!$O$7:$O$746=AS$6)*('Postnatal Care'!$C$7:$C$746&gt;=Lists!$AE9)*('Postnatal Care'!$C$7:$C$746&lt;=Lists!$AF9))</f>
        <v>0</v>
      </c>
      <c r="AT15" s="317">
        <f>SUMPRODUCT(('Postnatal Care'!$O$7:$O$746=AT$6)*('Postnatal Care'!$C$7:$C$746&gt;=Lists!$AE9)*('Postnatal Care'!$C$7:$C$746&lt;=Lists!$AF9))</f>
        <v>0</v>
      </c>
      <c r="AU15" s="316">
        <f t="shared" si="1"/>
        <v>0</v>
      </c>
      <c r="AV15" s="317">
        <f>SUMPRODUCT(('Postnatal Care'!$P$7:$P$746=AV$6)*('Postnatal Care'!$C$7:$C$746&gt;=Lists!$AE9)*('Postnatal Care'!$C$7:$C$746&lt;=Lists!$AF9))</f>
        <v>0</v>
      </c>
      <c r="AW15" s="317">
        <f>SUMPRODUCT(('Postnatal Care'!$P$7:$P$746=AW$6)*('Postnatal Care'!$C$7:$C$746&gt;=Lists!$AE9)*('Postnatal Care'!$C$7:$C$746&lt;=Lists!$AF9))</f>
        <v>0</v>
      </c>
      <c r="AX15" s="317">
        <f>SUMPRODUCT(('Postnatal Care'!$P$7:$P$746=AX$6)*('Postnatal Care'!$C$7:$C$746&gt;=Lists!$AE9)*('Postnatal Care'!$C$7:$C$746&lt;=Lists!$AF9))</f>
        <v>0</v>
      </c>
      <c r="AY15" s="341">
        <f t="shared" si="8"/>
        <v>0</v>
      </c>
      <c r="AZ15" s="243">
        <f t="shared" si="9"/>
        <v>0</v>
      </c>
      <c r="BB15" s="15"/>
      <c r="BC15" s="15"/>
      <c r="BD15" s="15"/>
      <c r="BE15" s="15"/>
      <c r="BF15" s="16"/>
      <c r="BG15" s="16"/>
      <c r="BH15" s="15"/>
      <c r="BI15" s="15"/>
      <c r="BJ15" s="15"/>
      <c r="BK15" s="15"/>
    </row>
    <row r="16" spans="1:66" ht="15" customHeight="1" x14ac:dyDescent="0.35">
      <c r="A16" s="570">
        <v>45992</v>
      </c>
      <c r="B16" s="306">
        <f>SUMPRODUCT(('Postnatal Care'!$D$7:$D$746=B$6)*('Postnatal Care'!$C$7:$C$746&gt;=Lists!$AE10)*('Postnatal Care'!$C$7:$C$746&lt;=Lists!$AF10))</f>
        <v>0</v>
      </c>
      <c r="C16" s="304">
        <f>SUMPRODUCT(('Postnatal Care'!$D$7:$D$746=C$6)*('Postnatal Care'!$C$7:$C$746&gt;=Lists!$AE10)*('Postnatal Care'!$C$7:$C$746&lt;=Lists!$AF10))</f>
        <v>0</v>
      </c>
      <c r="D16" s="310">
        <f>SUMPRODUCT(('Postnatal Care'!$D$7:$D$746=D$6)*('Postnatal Care'!$C$7:$C$746&gt;=Lists!$AE10)*('Postnatal Care'!$C$7:$C$746&lt;=Lists!$AF10))</f>
        <v>0</v>
      </c>
      <c r="E16" s="308">
        <f t="shared" si="2"/>
        <v>0</v>
      </c>
      <c r="F16" s="306">
        <f>SUMPRODUCT(('Postnatal Care'!$E$7:$E$746=F$6)*('Postnatal Care'!$C$7:$C$746&gt;=Lists!$AE10)*('Postnatal Care'!$C$7:$C$746&lt;=Lists!$AF10))</f>
        <v>0</v>
      </c>
      <c r="G16" s="304">
        <f>SUMPRODUCT(('Postnatal Care'!$E$7:$E$746=G$6)*('Postnatal Care'!$C$7:$C$746&gt;=Lists!$AE10)*('Postnatal Care'!$C$7:$C$746&lt;=Lists!$AF10))</f>
        <v>0</v>
      </c>
      <c r="H16" s="304">
        <f>SUMPRODUCT(('Postnatal Care'!$E$7:$E$746=H$6)*('Postnatal Care'!$C$7:$C$746&gt;=Lists!$AE10)*('Postnatal Care'!$C$7:$C$746&lt;=Lists!$AF10))</f>
        <v>0</v>
      </c>
      <c r="I16" s="310">
        <f>SUMPRODUCT(('Postnatal Care'!$E$7:$E$746=I$6)*('Postnatal Care'!$C$7:$C$746&gt;=Lists!$AE10)*('Postnatal Care'!$C$7:$C$746&lt;=Lists!$AF10))</f>
        <v>0</v>
      </c>
      <c r="J16" s="308">
        <f t="shared" si="3"/>
        <v>0</v>
      </c>
      <c r="K16" s="306">
        <f>SUMPRODUCT(('Postnatal Care'!$G$7:$G$746=K$6)*('Postnatal Care'!$C$7:$C$746&gt;=Lists!$AE10)*('Postnatal Care'!$C$7:$C$746&lt;=Lists!$AF10))</f>
        <v>0</v>
      </c>
      <c r="L16" s="304">
        <f>SUMPRODUCT(('Postnatal Care'!$G$7:$G$746=L$6)*('Postnatal Care'!$C$7:$C$746&gt;=Lists!$AE10)*('Postnatal Care'!$C$7:$C$746&lt;=Lists!$AF10))</f>
        <v>0</v>
      </c>
      <c r="M16" s="310">
        <f>SUMPRODUCT(('Postnatal Care'!$G$7:$G$746=M$6)*('Postnatal Care'!$C$7:$C$746&gt;=Lists!$AE10)*('Postnatal Care'!$C$7:$C$746&lt;=Lists!$AF10))</f>
        <v>0</v>
      </c>
      <c r="N16" s="308">
        <f t="shared" si="4"/>
        <v>0</v>
      </c>
      <c r="O16" s="317">
        <f>SUMPRODUCT(('Postnatal Care'!$I$7:$I$746=O$6)*('Postnatal Care'!$C$7:$C$746&gt;=Lists!$AE10)*('Postnatal Care'!$C$7:$C$746&lt;=Lists!$AF10))</f>
        <v>0</v>
      </c>
      <c r="P16" s="317">
        <f>SUMPRODUCT(('Postnatal Care'!$I$7:$I$746=P$6)*('Postnatal Care'!$C$7:$C$746&gt;=Lists!$AE10)*('Postnatal Care'!$C$7:$C$746&lt;=Lists!$AF10))</f>
        <v>0</v>
      </c>
      <c r="Q16" s="317">
        <f>SUMPRODUCT(('Postnatal Care'!$I$7:$I$746=Q$6)*('Postnatal Care'!$C$7:$C$746&gt;=Lists!$AE10)*('Postnatal Care'!$C$7:$C$746&lt;=Lists!$AF10))</f>
        <v>0</v>
      </c>
      <c r="R16" s="317">
        <f>SUMPRODUCT(('Postnatal Care'!$I$7:$I$746=R$6)*('Postnatal Care'!$C$7:$C$746&gt;=Lists!$AE10)*('Postnatal Care'!$C$7:$C$746&lt;=Lists!$AF10))</f>
        <v>0</v>
      </c>
      <c r="S16" s="317">
        <f>SUMPRODUCT(('Postnatal Care'!$I$7:$I$746=S$6)*('Postnatal Care'!$C$7:$C$746&gt;=Lists!$AE10)*('Postnatal Care'!$C$7:$C$746&lt;=Lists!$AF10))</f>
        <v>0</v>
      </c>
      <c r="T16" s="317">
        <f>SUMPRODUCT(('Postnatal Care'!$I$7:$I$746=T$6)*('Postnatal Care'!$C$7:$C$746&gt;=Lists!$AE10)*('Postnatal Care'!$C$7:$C$746&lt;=Lists!$AF10))</f>
        <v>0</v>
      </c>
      <c r="U16" s="317">
        <f>SUMPRODUCT(('Postnatal Care'!$I$7:$I$746=U$6)*('Postnatal Care'!$C$7:$C$746&gt;=Lists!$AE10)*('Postnatal Care'!$C$7:$C$746&lt;=Lists!$AF10))</f>
        <v>0</v>
      </c>
      <c r="V16" s="317">
        <f>SUMPRODUCT(('Postnatal Care'!$I$7:$I$746=V$6)*('Postnatal Care'!$C$7:$C$746&gt;=Lists!$AE10)*('Postnatal Care'!$C$7:$C$746&lt;=Lists!$AF10))</f>
        <v>0</v>
      </c>
      <c r="W16" s="316">
        <f t="shared" si="5"/>
        <v>0</v>
      </c>
      <c r="X16" s="317">
        <f>SUMPRODUCT(('Postnatal Care'!$J$7:$J$746=X$6)*('Postnatal Care'!$C$7:$C$746&gt;=Lists!$AE10)*('Postnatal Care'!$C$7:$C$746&lt;=Lists!$AF10))</f>
        <v>0</v>
      </c>
      <c r="Y16" s="317">
        <f>SUMPRODUCT(('Postnatal Care'!$J$7:$J$746=Y$6)*('Postnatal Care'!$C$7:$C$746&gt;=Lists!$AE10)*('Postnatal Care'!$C$7:$C$746&lt;=Lists!$AF10))</f>
        <v>0</v>
      </c>
      <c r="Z16" s="320">
        <f>SUMPRODUCT(('Postnatal Care'!$J$7:$J$746=Z$6)*('Postnatal Care'!$C$7:$C$746&gt;=Lists!$AE10)*('Postnatal Care'!$C$7:$C$746&lt;=Lists!$AF10))</f>
        <v>0</v>
      </c>
      <c r="AA16" s="316">
        <f t="shared" si="6"/>
        <v>0</v>
      </c>
      <c r="AB16" s="317">
        <f>SUMPRODUCT(('Postnatal Care'!$L$7:$L$746=AB$6)*('Postnatal Care'!$C$7:$C$746&gt;=Lists!$AE10)*('Postnatal Care'!$C$7:$C$746&lt;=Lists!$AF10))</f>
        <v>0</v>
      </c>
      <c r="AC16" s="317">
        <f>SUMPRODUCT(('Postnatal Care'!$L$7:$L$746=AC$6)*('Postnatal Care'!$C$7:$C$746&gt;=Lists!$AE10)*('Postnatal Care'!$C$7:$C$746&lt;=Lists!$AF10))</f>
        <v>0</v>
      </c>
      <c r="AD16" s="317">
        <f>SUMPRODUCT(('Postnatal Care'!$L$7:$L$746=AD$6)*('Postnatal Care'!$C$7:$C$746&gt;=Lists!$AE10)*('Postnatal Care'!$C$7:$C$746&lt;=Lists!$AF10))</f>
        <v>0</v>
      </c>
      <c r="AE16" s="317">
        <f>SUMPRODUCT(('Postnatal Care'!$L$7:$L$746=AE$6)*('Postnatal Care'!$C$7:$C$746&gt;=Lists!$AE10)*('Postnatal Care'!$C$7:$C$746&lt;=Lists!$AF10))</f>
        <v>0</v>
      </c>
      <c r="AF16" s="317">
        <f>SUMPRODUCT(('Postnatal Care'!$L$7:$L$746=AF$6)*('Postnatal Care'!$C$7:$C$746&gt;=Lists!$AE10)*('Postnatal Care'!$C$7:$C$746&lt;=Lists!$AF10))</f>
        <v>0</v>
      </c>
      <c r="AG16" s="317">
        <f>SUMPRODUCT(('Postnatal Care'!$L$7:$L$746=AG$6)*('Postnatal Care'!$C$7:$C$746&gt;=Lists!$AE10)*('Postnatal Care'!$C$7:$C$746&lt;=Lists!$AF10))</f>
        <v>0</v>
      </c>
      <c r="AH16" s="317">
        <f>SUMPRODUCT(('Postnatal Care'!$L$7:$L$746=AH$6)*('Postnatal Care'!$C$7:$C$746&gt;=Lists!$AE10)*('Postnatal Care'!$C$7:$C$746&lt;=Lists!$AF10))</f>
        <v>0</v>
      </c>
      <c r="AI16" s="317">
        <f>SUMPRODUCT(('Postnatal Care'!$L$7:$L$746=AI$6)*('Postnatal Care'!$C$7:$C$746&gt;=Lists!$AE10)*('Postnatal Care'!$C$7:$C$746&lt;=Lists!$AF10))</f>
        <v>0</v>
      </c>
      <c r="AJ16" s="316">
        <f t="shared" si="0"/>
        <v>0</v>
      </c>
      <c r="AK16" s="317">
        <f>SUMPRODUCT(('Postnatal Care'!$M$7:$M$746=AK$6)*('Postnatal Care'!$C$7:$C$746&gt;=Lists!$AE10)*('Postnatal Care'!$C$7:$C$746&lt;=Lists!$AF10))</f>
        <v>0</v>
      </c>
      <c r="AL16" s="317">
        <f>SUMPRODUCT(('Postnatal Care'!$M$7:$M$746=AL$6)*('Postnatal Care'!$C$7:$C$746&gt;=Lists!$AE10)*('Postnatal Care'!$C$7:$C$746&lt;=Lists!$AF10))</f>
        <v>0</v>
      </c>
      <c r="AM16" s="317">
        <f>SUMPRODUCT(('Postnatal Care'!$M$7:$M$746=AM$6)*('Postnatal Care'!$C$7:$C$746&gt;=Lists!$AE10)*('Postnatal Care'!$C$7:$C$746&lt;=Lists!$AF10))</f>
        <v>0</v>
      </c>
      <c r="AN16" s="316">
        <f t="shared" si="7"/>
        <v>0</v>
      </c>
      <c r="AO16" s="317">
        <f>SUMPRODUCT(('Postnatal Care'!$O$7:$O$746=AO$6)*('Postnatal Care'!$C$7:$C$746&gt;=Lists!$AE10)*('Postnatal Care'!$C$7:$C$746&lt;=Lists!$AF10))</f>
        <v>0</v>
      </c>
      <c r="AP16" s="317">
        <f>SUMPRODUCT(('Postnatal Care'!$O$7:$O$746=AP$6)*('Postnatal Care'!$C$7:$C$746&gt;=Lists!$AE10)*('Postnatal Care'!$C$7:$C$746&lt;=Lists!$AF10))</f>
        <v>0</v>
      </c>
      <c r="AQ16" s="317">
        <f>SUMPRODUCT(('Postnatal Care'!$O$7:$O$746=AQ$6)*('Postnatal Care'!$C$7:$C$746&gt;=Lists!$AE10)*('Postnatal Care'!$C$7:$C$746&lt;=Lists!$AF10))</f>
        <v>0</v>
      </c>
      <c r="AR16" s="317">
        <f>SUMPRODUCT(('Postnatal Care'!$O$7:$O$746=AR$6)*('Postnatal Care'!$C$7:$C$746&gt;=Lists!$AE10)*('Postnatal Care'!$C$7:$C$746&lt;=Lists!$AF10))</f>
        <v>0</v>
      </c>
      <c r="AS16" s="317">
        <f>SUMPRODUCT(('Postnatal Care'!$O$7:$O$746=AS$6)*('Postnatal Care'!$C$7:$C$746&gt;=Lists!$AE10)*('Postnatal Care'!$C$7:$C$746&lt;=Lists!$AF10))</f>
        <v>0</v>
      </c>
      <c r="AT16" s="317">
        <f>SUMPRODUCT(('Postnatal Care'!$O$7:$O$746=AT$6)*('Postnatal Care'!$C$7:$C$746&gt;=Lists!$AE10)*('Postnatal Care'!$C$7:$C$746&lt;=Lists!$AF10))</f>
        <v>0</v>
      </c>
      <c r="AU16" s="316">
        <f t="shared" si="1"/>
        <v>0</v>
      </c>
      <c r="AV16" s="317">
        <f>SUMPRODUCT(('Postnatal Care'!$P$7:$P$746=AV$6)*('Postnatal Care'!$C$7:$C$746&gt;=Lists!$AE10)*('Postnatal Care'!$C$7:$C$746&lt;=Lists!$AF10))</f>
        <v>0</v>
      </c>
      <c r="AW16" s="317">
        <f>SUMPRODUCT(('Postnatal Care'!$P$7:$P$746=AW$6)*('Postnatal Care'!$C$7:$C$746&gt;=Lists!$AE10)*('Postnatal Care'!$C$7:$C$746&lt;=Lists!$AF10))</f>
        <v>0</v>
      </c>
      <c r="AX16" s="317">
        <f>SUMPRODUCT(('Postnatal Care'!$P$7:$P$746=AX$6)*('Postnatal Care'!$C$7:$C$746&gt;=Lists!$AE10)*('Postnatal Care'!$C$7:$C$746&lt;=Lists!$AF10))</f>
        <v>0</v>
      </c>
      <c r="AY16" s="341">
        <f t="shared" si="8"/>
        <v>0</v>
      </c>
      <c r="AZ16" s="243">
        <f t="shared" si="9"/>
        <v>0</v>
      </c>
      <c r="BB16" s="15"/>
      <c r="BC16" s="15"/>
      <c r="BD16" s="15"/>
      <c r="BE16" s="15"/>
      <c r="BF16" s="16"/>
      <c r="BG16" s="16"/>
      <c r="BH16" s="15"/>
      <c r="BI16" s="15"/>
      <c r="BJ16" s="15"/>
      <c r="BK16" s="15"/>
    </row>
    <row r="17" spans="1:63" ht="15" customHeight="1" x14ac:dyDescent="0.35">
      <c r="A17" s="570">
        <v>46023</v>
      </c>
      <c r="B17" s="306">
        <f>SUMPRODUCT(('Postnatal Care'!$D$7:$D$746=B$6)*('Postnatal Care'!$C$7:$C$746&gt;=Lists!$AE11)*('Postnatal Care'!$C$7:$C$746&lt;=Lists!$AF11))</f>
        <v>0</v>
      </c>
      <c r="C17" s="304">
        <f>SUMPRODUCT(('Postnatal Care'!$D$7:$D$746=C$6)*('Postnatal Care'!$C$7:$C$746&gt;=Lists!$AE11)*('Postnatal Care'!$C$7:$C$746&lt;=Lists!$AF11))</f>
        <v>0</v>
      </c>
      <c r="D17" s="310">
        <f>SUMPRODUCT(('Postnatal Care'!$D$7:$D$746=D$6)*('Postnatal Care'!$C$7:$C$746&gt;=Lists!$AE11)*('Postnatal Care'!$C$7:$C$746&lt;=Lists!$AF11))</f>
        <v>0</v>
      </c>
      <c r="E17" s="308">
        <f t="shared" si="2"/>
        <v>0</v>
      </c>
      <c r="F17" s="306">
        <f>SUMPRODUCT(('Postnatal Care'!$E$7:$E$746=F$6)*('Postnatal Care'!$C$7:$C$746&gt;=Lists!$AE11)*('Postnatal Care'!$C$7:$C$746&lt;=Lists!$AF11))</f>
        <v>0</v>
      </c>
      <c r="G17" s="304">
        <f>SUMPRODUCT(('Postnatal Care'!$E$7:$E$746=G$6)*('Postnatal Care'!$C$7:$C$746&gt;=Lists!$AE11)*('Postnatal Care'!$C$7:$C$746&lt;=Lists!$AF11))</f>
        <v>0</v>
      </c>
      <c r="H17" s="304">
        <f>SUMPRODUCT(('Postnatal Care'!$E$7:$E$746=H$6)*('Postnatal Care'!$C$7:$C$746&gt;=Lists!$AE11)*('Postnatal Care'!$C$7:$C$746&lt;=Lists!$AF11))</f>
        <v>0</v>
      </c>
      <c r="I17" s="310">
        <f>SUMPRODUCT(('Postnatal Care'!$E$7:$E$746=I$6)*('Postnatal Care'!$C$7:$C$746&gt;=Lists!$AE11)*('Postnatal Care'!$C$7:$C$746&lt;=Lists!$AF11))</f>
        <v>0</v>
      </c>
      <c r="J17" s="308">
        <f t="shared" si="3"/>
        <v>0</v>
      </c>
      <c r="K17" s="306">
        <f>SUMPRODUCT(('Postnatal Care'!$G$7:$G$746=K$6)*('Postnatal Care'!$C$7:$C$746&gt;=Lists!$AE11)*('Postnatal Care'!$C$7:$C$746&lt;=Lists!$AF11))</f>
        <v>0</v>
      </c>
      <c r="L17" s="304">
        <f>SUMPRODUCT(('Postnatal Care'!$G$7:$G$746=L$6)*('Postnatal Care'!$C$7:$C$746&gt;=Lists!$AE11)*('Postnatal Care'!$C$7:$C$746&lt;=Lists!$AF11))</f>
        <v>0</v>
      </c>
      <c r="M17" s="310">
        <f>SUMPRODUCT(('Postnatal Care'!$G$7:$G$746=M$6)*('Postnatal Care'!$C$7:$C$746&gt;=Lists!$AE11)*('Postnatal Care'!$C$7:$C$746&lt;=Lists!$AF11))</f>
        <v>0</v>
      </c>
      <c r="N17" s="308">
        <f t="shared" si="4"/>
        <v>0</v>
      </c>
      <c r="O17" s="317">
        <f>SUMPRODUCT(('Postnatal Care'!$I$7:$I$746=O$6)*('Postnatal Care'!$C$7:$C$746&gt;=Lists!$AE11)*('Postnatal Care'!$C$7:$C$746&lt;=Lists!$AF11))</f>
        <v>0</v>
      </c>
      <c r="P17" s="317">
        <f>SUMPRODUCT(('Postnatal Care'!$I$7:$I$746=P$6)*('Postnatal Care'!$C$7:$C$746&gt;=Lists!$AE11)*('Postnatal Care'!$C$7:$C$746&lt;=Lists!$AF11))</f>
        <v>0</v>
      </c>
      <c r="Q17" s="317">
        <f>SUMPRODUCT(('Postnatal Care'!$I$7:$I$746=Q$6)*('Postnatal Care'!$C$7:$C$746&gt;=Lists!$AE11)*('Postnatal Care'!$C$7:$C$746&lt;=Lists!$AF11))</f>
        <v>0</v>
      </c>
      <c r="R17" s="317">
        <f>SUMPRODUCT(('Postnatal Care'!$I$7:$I$746=R$6)*('Postnatal Care'!$C$7:$C$746&gt;=Lists!$AE11)*('Postnatal Care'!$C$7:$C$746&lt;=Lists!$AF11))</f>
        <v>0</v>
      </c>
      <c r="S17" s="317">
        <f>SUMPRODUCT(('Postnatal Care'!$I$7:$I$746=S$6)*('Postnatal Care'!$C$7:$C$746&gt;=Lists!$AE11)*('Postnatal Care'!$C$7:$C$746&lt;=Lists!$AF11))</f>
        <v>0</v>
      </c>
      <c r="T17" s="317">
        <f>SUMPRODUCT(('Postnatal Care'!$I$7:$I$746=T$6)*('Postnatal Care'!$C$7:$C$746&gt;=Lists!$AE11)*('Postnatal Care'!$C$7:$C$746&lt;=Lists!$AF11))</f>
        <v>0</v>
      </c>
      <c r="U17" s="317">
        <f>SUMPRODUCT(('Postnatal Care'!$I$7:$I$746=U$6)*('Postnatal Care'!$C$7:$C$746&gt;=Lists!$AE11)*('Postnatal Care'!$C$7:$C$746&lt;=Lists!$AF11))</f>
        <v>0</v>
      </c>
      <c r="V17" s="317">
        <f>SUMPRODUCT(('Postnatal Care'!$I$7:$I$746=V$6)*('Postnatal Care'!$C$7:$C$746&gt;=Lists!$AE11)*('Postnatal Care'!$C$7:$C$746&lt;=Lists!$AF11))</f>
        <v>0</v>
      </c>
      <c r="W17" s="316">
        <f t="shared" si="5"/>
        <v>0</v>
      </c>
      <c r="X17" s="317">
        <f>SUMPRODUCT(('Postnatal Care'!$J$7:$J$746=X$6)*('Postnatal Care'!$C$7:$C$746&gt;=Lists!$AE11)*('Postnatal Care'!$C$7:$C$746&lt;=Lists!$AF11))</f>
        <v>0</v>
      </c>
      <c r="Y17" s="317">
        <f>SUMPRODUCT(('Postnatal Care'!$J$7:$J$746=Y$6)*('Postnatal Care'!$C$7:$C$746&gt;=Lists!$AE11)*('Postnatal Care'!$C$7:$C$746&lt;=Lists!$AF11))</f>
        <v>0</v>
      </c>
      <c r="Z17" s="320">
        <f>SUMPRODUCT(('Postnatal Care'!$J$7:$J$746=Z$6)*('Postnatal Care'!$C$7:$C$746&gt;=Lists!$AE11)*('Postnatal Care'!$C$7:$C$746&lt;=Lists!$AF11))</f>
        <v>0</v>
      </c>
      <c r="AA17" s="316">
        <f t="shared" si="6"/>
        <v>0</v>
      </c>
      <c r="AB17" s="317">
        <f>SUMPRODUCT(('Postnatal Care'!$L$7:$L$746=AB$6)*('Postnatal Care'!$C$7:$C$746&gt;=Lists!$AE11)*('Postnatal Care'!$C$7:$C$746&lt;=Lists!$AF11))</f>
        <v>0</v>
      </c>
      <c r="AC17" s="317">
        <f>SUMPRODUCT(('Postnatal Care'!$L$7:$L$746=AC$6)*('Postnatal Care'!$C$7:$C$746&gt;=Lists!$AE11)*('Postnatal Care'!$C$7:$C$746&lt;=Lists!$AF11))</f>
        <v>0</v>
      </c>
      <c r="AD17" s="317">
        <f>SUMPRODUCT(('Postnatal Care'!$L$7:$L$746=AD$6)*('Postnatal Care'!$C$7:$C$746&gt;=Lists!$AE11)*('Postnatal Care'!$C$7:$C$746&lt;=Lists!$AF11))</f>
        <v>0</v>
      </c>
      <c r="AE17" s="317">
        <f>SUMPRODUCT(('Postnatal Care'!$L$7:$L$746=AE$6)*('Postnatal Care'!$C$7:$C$746&gt;=Lists!$AE11)*('Postnatal Care'!$C$7:$C$746&lt;=Lists!$AF11))</f>
        <v>0</v>
      </c>
      <c r="AF17" s="317">
        <f>SUMPRODUCT(('Postnatal Care'!$L$7:$L$746=AF$6)*('Postnatal Care'!$C$7:$C$746&gt;=Lists!$AE11)*('Postnatal Care'!$C$7:$C$746&lt;=Lists!$AF11))</f>
        <v>0</v>
      </c>
      <c r="AG17" s="317">
        <f>SUMPRODUCT(('Postnatal Care'!$L$7:$L$746=AG$6)*('Postnatal Care'!$C$7:$C$746&gt;=Lists!$AE11)*('Postnatal Care'!$C$7:$C$746&lt;=Lists!$AF11))</f>
        <v>0</v>
      </c>
      <c r="AH17" s="317">
        <f>SUMPRODUCT(('Postnatal Care'!$L$7:$L$746=AH$6)*('Postnatal Care'!$C$7:$C$746&gt;=Lists!$AE11)*('Postnatal Care'!$C$7:$C$746&lt;=Lists!$AF11))</f>
        <v>0</v>
      </c>
      <c r="AI17" s="317">
        <f>SUMPRODUCT(('Postnatal Care'!$L$7:$L$746=AI$6)*('Postnatal Care'!$C$7:$C$746&gt;=Lists!$AE11)*('Postnatal Care'!$C$7:$C$746&lt;=Lists!$AF11))</f>
        <v>0</v>
      </c>
      <c r="AJ17" s="316">
        <f t="shared" si="0"/>
        <v>0</v>
      </c>
      <c r="AK17" s="317">
        <f>SUMPRODUCT(('Postnatal Care'!$M$7:$M$746=AK$6)*('Postnatal Care'!$C$7:$C$746&gt;=Lists!$AE11)*('Postnatal Care'!$C$7:$C$746&lt;=Lists!$AF11))</f>
        <v>0</v>
      </c>
      <c r="AL17" s="317">
        <f>SUMPRODUCT(('Postnatal Care'!$M$7:$M$746=AL$6)*('Postnatal Care'!$C$7:$C$746&gt;=Lists!$AE11)*('Postnatal Care'!$C$7:$C$746&lt;=Lists!$AF11))</f>
        <v>0</v>
      </c>
      <c r="AM17" s="317">
        <f>SUMPRODUCT(('Postnatal Care'!$M$7:$M$746=AM$6)*('Postnatal Care'!$C$7:$C$746&gt;=Lists!$AE11)*('Postnatal Care'!$C$7:$C$746&lt;=Lists!$AF11))</f>
        <v>0</v>
      </c>
      <c r="AN17" s="316">
        <f t="shared" si="7"/>
        <v>0</v>
      </c>
      <c r="AO17" s="317">
        <f>SUMPRODUCT(('Postnatal Care'!$O$7:$O$746=AO$6)*('Postnatal Care'!$C$7:$C$746&gt;=Lists!$AE11)*('Postnatal Care'!$C$7:$C$746&lt;=Lists!$AF11))</f>
        <v>0</v>
      </c>
      <c r="AP17" s="317">
        <f>SUMPRODUCT(('Postnatal Care'!$O$7:$O$746=AP$6)*('Postnatal Care'!$C$7:$C$746&gt;=Lists!$AE11)*('Postnatal Care'!$C$7:$C$746&lt;=Lists!$AF11))</f>
        <v>0</v>
      </c>
      <c r="AQ17" s="317">
        <f>SUMPRODUCT(('Postnatal Care'!$O$7:$O$746=AQ$6)*('Postnatal Care'!$C$7:$C$746&gt;=Lists!$AE11)*('Postnatal Care'!$C$7:$C$746&lt;=Lists!$AF11))</f>
        <v>0</v>
      </c>
      <c r="AR17" s="317">
        <f>SUMPRODUCT(('Postnatal Care'!$O$7:$O$746=AR$6)*('Postnatal Care'!$C$7:$C$746&gt;=Lists!$AE11)*('Postnatal Care'!$C$7:$C$746&lt;=Lists!$AF11))</f>
        <v>0</v>
      </c>
      <c r="AS17" s="317">
        <f>SUMPRODUCT(('Postnatal Care'!$O$7:$O$746=AS$6)*('Postnatal Care'!$C$7:$C$746&gt;=Lists!$AE11)*('Postnatal Care'!$C$7:$C$746&lt;=Lists!$AF11))</f>
        <v>0</v>
      </c>
      <c r="AT17" s="317">
        <f>SUMPRODUCT(('Postnatal Care'!$O$7:$O$746=AT$6)*('Postnatal Care'!$C$7:$C$746&gt;=Lists!$AE11)*('Postnatal Care'!$C$7:$C$746&lt;=Lists!$AF11))</f>
        <v>0</v>
      </c>
      <c r="AU17" s="316">
        <f t="shared" si="1"/>
        <v>0</v>
      </c>
      <c r="AV17" s="317">
        <f>SUMPRODUCT(('Postnatal Care'!$P$7:$P$746=AV$6)*('Postnatal Care'!$C$7:$C$746&gt;=Lists!$AE11)*('Postnatal Care'!$C$7:$C$746&lt;=Lists!$AF11))</f>
        <v>0</v>
      </c>
      <c r="AW17" s="317">
        <f>SUMPRODUCT(('Postnatal Care'!$P$7:$P$746=AW$6)*('Postnatal Care'!$C$7:$C$746&gt;=Lists!$AE11)*('Postnatal Care'!$C$7:$C$746&lt;=Lists!$AF11))</f>
        <v>0</v>
      </c>
      <c r="AX17" s="317">
        <f>SUMPRODUCT(('Postnatal Care'!$P$7:$P$746=AX$6)*('Postnatal Care'!$C$7:$C$746&gt;=Lists!$AE11)*('Postnatal Care'!$C$7:$C$746&lt;=Lists!$AF11))</f>
        <v>0</v>
      </c>
      <c r="AY17" s="341">
        <f t="shared" si="8"/>
        <v>0</v>
      </c>
      <c r="AZ17" s="243">
        <f t="shared" si="9"/>
        <v>0</v>
      </c>
      <c r="BB17" s="15"/>
      <c r="BC17" s="15"/>
      <c r="BD17" s="15"/>
      <c r="BE17" s="15"/>
      <c r="BF17" s="16"/>
      <c r="BG17" s="16"/>
      <c r="BH17" s="15"/>
      <c r="BI17" s="15"/>
      <c r="BJ17" s="15"/>
      <c r="BK17" s="15"/>
    </row>
    <row r="18" spans="1:63" ht="15" customHeight="1" x14ac:dyDescent="0.35">
      <c r="A18" s="570">
        <v>46054</v>
      </c>
      <c r="B18" s="306">
        <f>SUMPRODUCT(('Postnatal Care'!$D$7:$D$746=B$6)*('Postnatal Care'!$C$7:$C$746&gt;=Lists!$AE12)*('Postnatal Care'!$C$7:$C$746&lt;=Lists!$AF12))</f>
        <v>0</v>
      </c>
      <c r="C18" s="304">
        <f>SUMPRODUCT(('Postnatal Care'!$D$7:$D$746=C$6)*('Postnatal Care'!$C$7:$C$746&gt;=Lists!$AE12)*('Postnatal Care'!$C$7:$C$746&lt;=Lists!$AF12))</f>
        <v>0</v>
      </c>
      <c r="D18" s="310">
        <f>SUMPRODUCT(('Postnatal Care'!$D$7:$D$746=D$6)*('Postnatal Care'!$C$7:$C$746&gt;=Lists!$AE12)*('Postnatal Care'!$C$7:$C$746&lt;=Lists!$AF12))</f>
        <v>0</v>
      </c>
      <c r="E18" s="308">
        <f t="shared" si="2"/>
        <v>0</v>
      </c>
      <c r="F18" s="306">
        <f>SUMPRODUCT(('Postnatal Care'!$E$7:$E$746=F$6)*('Postnatal Care'!$C$7:$C$746&gt;=Lists!$AE12)*('Postnatal Care'!$C$7:$C$746&lt;=Lists!$AF12))</f>
        <v>0</v>
      </c>
      <c r="G18" s="304">
        <f>SUMPRODUCT(('Postnatal Care'!$E$7:$E$746=G$6)*('Postnatal Care'!$C$7:$C$746&gt;=Lists!$AE12)*('Postnatal Care'!$C$7:$C$746&lt;=Lists!$AF12))</f>
        <v>0</v>
      </c>
      <c r="H18" s="304">
        <f>SUMPRODUCT(('Postnatal Care'!$E$7:$E$746=H$6)*('Postnatal Care'!$C$7:$C$746&gt;=Lists!$AE12)*('Postnatal Care'!$C$7:$C$746&lt;=Lists!$AF12))</f>
        <v>0</v>
      </c>
      <c r="I18" s="310">
        <f>SUMPRODUCT(('Postnatal Care'!$E$7:$E$746=I$6)*('Postnatal Care'!$C$7:$C$746&gt;=Lists!$AE12)*('Postnatal Care'!$C$7:$C$746&lt;=Lists!$AF12))</f>
        <v>0</v>
      </c>
      <c r="J18" s="308">
        <f t="shared" si="3"/>
        <v>0</v>
      </c>
      <c r="K18" s="306">
        <f>SUMPRODUCT(('Postnatal Care'!$G$7:$G$746=K$6)*('Postnatal Care'!$C$7:$C$746&gt;=Lists!$AE12)*('Postnatal Care'!$C$7:$C$746&lt;=Lists!$AF12))</f>
        <v>0</v>
      </c>
      <c r="L18" s="304">
        <f>SUMPRODUCT(('Postnatal Care'!$G$7:$G$746=L$6)*('Postnatal Care'!$C$7:$C$746&gt;=Lists!$AE12)*('Postnatal Care'!$C$7:$C$746&lt;=Lists!$AF12))</f>
        <v>0</v>
      </c>
      <c r="M18" s="310">
        <f>SUMPRODUCT(('Postnatal Care'!$G$7:$G$746=M$6)*('Postnatal Care'!$C$7:$C$746&gt;=Lists!$AE12)*('Postnatal Care'!$C$7:$C$746&lt;=Lists!$AF12))</f>
        <v>0</v>
      </c>
      <c r="N18" s="308">
        <f t="shared" si="4"/>
        <v>0</v>
      </c>
      <c r="O18" s="317">
        <f>SUMPRODUCT(('Postnatal Care'!$I$7:$I$746=O$6)*('Postnatal Care'!$C$7:$C$746&gt;=Lists!$AE12)*('Postnatal Care'!$C$7:$C$746&lt;=Lists!$AF12))</f>
        <v>0</v>
      </c>
      <c r="P18" s="317">
        <f>SUMPRODUCT(('Postnatal Care'!$I$7:$I$746=P$6)*('Postnatal Care'!$C$7:$C$746&gt;=Lists!$AE12)*('Postnatal Care'!$C$7:$C$746&lt;=Lists!$AF12))</f>
        <v>0</v>
      </c>
      <c r="Q18" s="317">
        <f>SUMPRODUCT(('Postnatal Care'!$I$7:$I$746=Q$6)*('Postnatal Care'!$C$7:$C$746&gt;=Lists!$AE12)*('Postnatal Care'!$C$7:$C$746&lt;=Lists!$AF12))</f>
        <v>0</v>
      </c>
      <c r="R18" s="317">
        <f>SUMPRODUCT(('Postnatal Care'!$I$7:$I$746=R$6)*('Postnatal Care'!$C$7:$C$746&gt;=Lists!$AE12)*('Postnatal Care'!$C$7:$C$746&lt;=Lists!$AF12))</f>
        <v>0</v>
      </c>
      <c r="S18" s="317">
        <f>SUMPRODUCT(('Postnatal Care'!$I$7:$I$746=S$6)*('Postnatal Care'!$C$7:$C$746&gt;=Lists!$AE12)*('Postnatal Care'!$C$7:$C$746&lt;=Lists!$AF12))</f>
        <v>0</v>
      </c>
      <c r="T18" s="317">
        <f>SUMPRODUCT(('Postnatal Care'!$I$7:$I$746=T$6)*('Postnatal Care'!$C$7:$C$746&gt;=Lists!$AE12)*('Postnatal Care'!$C$7:$C$746&lt;=Lists!$AF12))</f>
        <v>0</v>
      </c>
      <c r="U18" s="317">
        <f>SUMPRODUCT(('Postnatal Care'!$I$7:$I$746=U$6)*('Postnatal Care'!$C$7:$C$746&gt;=Lists!$AE12)*('Postnatal Care'!$C$7:$C$746&lt;=Lists!$AF12))</f>
        <v>0</v>
      </c>
      <c r="V18" s="317">
        <f>SUMPRODUCT(('Postnatal Care'!$I$7:$I$746=V$6)*('Postnatal Care'!$C$7:$C$746&gt;=Lists!$AE12)*('Postnatal Care'!$C$7:$C$746&lt;=Lists!$AF12))</f>
        <v>0</v>
      </c>
      <c r="W18" s="316">
        <f t="shared" si="5"/>
        <v>0</v>
      </c>
      <c r="X18" s="317">
        <f>SUMPRODUCT(('Postnatal Care'!$J$7:$J$746=X$6)*('Postnatal Care'!$C$7:$C$746&gt;=Lists!$AE12)*('Postnatal Care'!$C$7:$C$746&lt;=Lists!$AF12))</f>
        <v>0</v>
      </c>
      <c r="Y18" s="317">
        <f>SUMPRODUCT(('Postnatal Care'!$J$7:$J$746=Y$6)*('Postnatal Care'!$C$7:$C$746&gt;=Lists!$AE12)*('Postnatal Care'!$C$7:$C$746&lt;=Lists!$AF12))</f>
        <v>0</v>
      </c>
      <c r="Z18" s="320">
        <f>SUMPRODUCT(('Postnatal Care'!$J$7:$J$746=Z$6)*('Postnatal Care'!$C$7:$C$746&gt;=Lists!$AE12)*('Postnatal Care'!$C$7:$C$746&lt;=Lists!$AF12))</f>
        <v>0</v>
      </c>
      <c r="AA18" s="316">
        <f t="shared" si="6"/>
        <v>0</v>
      </c>
      <c r="AB18" s="317">
        <f>SUMPRODUCT(('Postnatal Care'!$L$7:$L$746=AB$6)*('Postnatal Care'!$C$7:$C$746&gt;=Lists!$AE12)*('Postnatal Care'!$C$7:$C$746&lt;=Lists!$AF12))</f>
        <v>0</v>
      </c>
      <c r="AC18" s="317">
        <f>SUMPRODUCT(('Postnatal Care'!$L$7:$L$746=AC$6)*('Postnatal Care'!$C$7:$C$746&gt;=Lists!$AE12)*('Postnatal Care'!$C$7:$C$746&lt;=Lists!$AF12))</f>
        <v>0</v>
      </c>
      <c r="AD18" s="317">
        <f>SUMPRODUCT(('Postnatal Care'!$L$7:$L$746=AD$6)*('Postnatal Care'!$C$7:$C$746&gt;=Lists!$AE12)*('Postnatal Care'!$C$7:$C$746&lt;=Lists!$AF12))</f>
        <v>0</v>
      </c>
      <c r="AE18" s="317">
        <f>SUMPRODUCT(('Postnatal Care'!$L$7:$L$746=AE$6)*('Postnatal Care'!$C$7:$C$746&gt;=Lists!$AE12)*('Postnatal Care'!$C$7:$C$746&lt;=Lists!$AF12))</f>
        <v>0</v>
      </c>
      <c r="AF18" s="317">
        <f>SUMPRODUCT(('Postnatal Care'!$L$7:$L$746=AF$6)*('Postnatal Care'!$C$7:$C$746&gt;=Lists!$AE12)*('Postnatal Care'!$C$7:$C$746&lt;=Lists!$AF12))</f>
        <v>0</v>
      </c>
      <c r="AG18" s="317">
        <f>SUMPRODUCT(('Postnatal Care'!$L$7:$L$746=AG$6)*('Postnatal Care'!$C$7:$C$746&gt;=Lists!$AE12)*('Postnatal Care'!$C$7:$C$746&lt;=Lists!$AF12))</f>
        <v>0</v>
      </c>
      <c r="AH18" s="317">
        <f>SUMPRODUCT(('Postnatal Care'!$L$7:$L$746=AH$6)*('Postnatal Care'!$C$7:$C$746&gt;=Lists!$AE12)*('Postnatal Care'!$C$7:$C$746&lt;=Lists!$AF12))</f>
        <v>0</v>
      </c>
      <c r="AI18" s="317">
        <f>SUMPRODUCT(('Postnatal Care'!$L$7:$L$746=AI$6)*('Postnatal Care'!$C$7:$C$746&gt;=Lists!$AE12)*('Postnatal Care'!$C$7:$C$746&lt;=Lists!$AF12))</f>
        <v>0</v>
      </c>
      <c r="AJ18" s="316">
        <f t="shared" si="0"/>
        <v>0</v>
      </c>
      <c r="AK18" s="317">
        <f>SUMPRODUCT(('Postnatal Care'!$M$7:$M$746=AK$6)*('Postnatal Care'!$C$7:$C$746&gt;=Lists!$AE12)*('Postnatal Care'!$C$7:$C$746&lt;=Lists!$AF12))</f>
        <v>0</v>
      </c>
      <c r="AL18" s="317">
        <f>SUMPRODUCT(('Postnatal Care'!$M$7:$M$746=AL$6)*('Postnatal Care'!$C$7:$C$746&gt;=Lists!$AE12)*('Postnatal Care'!$C$7:$C$746&lt;=Lists!$AF12))</f>
        <v>0</v>
      </c>
      <c r="AM18" s="317">
        <f>SUMPRODUCT(('Postnatal Care'!$M$7:$M$746=AM$6)*('Postnatal Care'!$C$7:$C$746&gt;=Lists!$AE12)*('Postnatal Care'!$C$7:$C$746&lt;=Lists!$AF12))</f>
        <v>0</v>
      </c>
      <c r="AN18" s="316">
        <f t="shared" si="7"/>
        <v>0</v>
      </c>
      <c r="AO18" s="317">
        <f>SUMPRODUCT(('Postnatal Care'!$O$7:$O$746=AO$6)*('Postnatal Care'!$C$7:$C$746&gt;=Lists!$AE12)*('Postnatal Care'!$C$7:$C$746&lt;=Lists!$AF12))</f>
        <v>0</v>
      </c>
      <c r="AP18" s="317">
        <f>SUMPRODUCT(('Postnatal Care'!$O$7:$O$746=AP$6)*('Postnatal Care'!$C$7:$C$746&gt;=Lists!$AE12)*('Postnatal Care'!$C$7:$C$746&lt;=Lists!$AF12))</f>
        <v>0</v>
      </c>
      <c r="AQ18" s="317">
        <f>SUMPRODUCT(('Postnatal Care'!$O$7:$O$746=AQ$6)*('Postnatal Care'!$C$7:$C$746&gt;=Lists!$AE12)*('Postnatal Care'!$C$7:$C$746&lt;=Lists!$AF12))</f>
        <v>0</v>
      </c>
      <c r="AR18" s="317">
        <f>SUMPRODUCT(('Postnatal Care'!$O$7:$O$746=AR$6)*('Postnatal Care'!$C$7:$C$746&gt;=Lists!$AE12)*('Postnatal Care'!$C$7:$C$746&lt;=Lists!$AF12))</f>
        <v>0</v>
      </c>
      <c r="AS18" s="317">
        <f>SUMPRODUCT(('Postnatal Care'!$O$7:$O$746=AS$6)*('Postnatal Care'!$C$7:$C$746&gt;=Lists!$AE12)*('Postnatal Care'!$C$7:$C$746&lt;=Lists!$AF12))</f>
        <v>0</v>
      </c>
      <c r="AT18" s="317">
        <f>SUMPRODUCT(('Postnatal Care'!$O$7:$O$746=AT$6)*('Postnatal Care'!$C$7:$C$746&gt;=Lists!$AE12)*('Postnatal Care'!$C$7:$C$746&lt;=Lists!$AF12))</f>
        <v>0</v>
      </c>
      <c r="AU18" s="316">
        <f t="shared" si="1"/>
        <v>0</v>
      </c>
      <c r="AV18" s="317">
        <f>SUMPRODUCT(('Postnatal Care'!$P$7:$P$746=AV$6)*('Postnatal Care'!$C$7:$C$746&gt;=Lists!$AE12)*('Postnatal Care'!$C$7:$C$746&lt;=Lists!$AF12))</f>
        <v>0</v>
      </c>
      <c r="AW18" s="317">
        <f>SUMPRODUCT(('Postnatal Care'!$P$7:$P$746=AW$6)*('Postnatal Care'!$C$7:$C$746&gt;=Lists!$AE12)*('Postnatal Care'!$C$7:$C$746&lt;=Lists!$AF12))</f>
        <v>0</v>
      </c>
      <c r="AX18" s="317">
        <f>SUMPRODUCT(('Postnatal Care'!$P$7:$P$746=AX$6)*('Postnatal Care'!$C$7:$C$746&gt;=Lists!$AE12)*('Postnatal Care'!$C$7:$C$746&lt;=Lists!$AF12))</f>
        <v>0</v>
      </c>
      <c r="AY18" s="341">
        <f t="shared" si="8"/>
        <v>0</v>
      </c>
      <c r="AZ18" s="243">
        <f t="shared" si="9"/>
        <v>0</v>
      </c>
      <c r="BB18" s="15"/>
      <c r="BC18" s="15"/>
      <c r="BD18" s="15"/>
      <c r="BE18" s="15"/>
      <c r="BF18" s="16"/>
      <c r="BG18" s="16"/>
      <c r="BH18" s="15"/>
      <c r="BI18" s="15"/>
      <c r="BJ18" s="15"/>
      <c r="BK18" s="15"/>
    </row>
    <row r="19" spans="1:63" ht="15" customHeight="1" thickBot="1" x14ac:dyDescent="0.4">
      <c r="A19" s="571">
        <v>46082</v>
      </c>
      <c r="B19" s="307">
        <f>SUMPRODUCT(('Postnatal Care'!$D$7:$D$746=B$6)*('Postnatal Care'!$C$7:$C$746&gt;=Lists!$AE13)*('Postnatal Care'!$C$7:$C$746&lt;=Lists!$AF13))</f>
        <v>0</v>
      </c>
      <c r="C19" s="305">
        <f>SUMPRODUCT(('Postnatal Care'!$D$7:$D$746=C$6)*('Postnatal Care'!$C$7:$C$746&gt;=Lists!$AE13)*('Postnatal Care'!$C$7:$C$746&lt;=Lists!$AF13))</f>
        <v>0</v>
      </c>
      <c r="D19" s="311">
        <f>SUMPRODUCT(('Postnatal Care'!$D$7:$D$746=D$6)*('Postnatal Care'!$C$7:$C$746&gt;=Lists!$AE13)*('Postnatal Care'!$C$7:$C$746&lt;=Lists!$AF13))</f>
        <v>0</v>
      </c>
      <c r="E19" s="309">
        <f t="shared" si="2"/>
        <v>0</v>
      </c>
      <c r="F19" s="307">
        <f>SUMPRODUCT(('Postnatal Care'!$E$7:$E$746=F$6)*('Postnatal Care'!$C$7:$C$746&gt;=Lists!$AE13)*('Postnatal Care'!$C$7:$C$746&lt;=Lists!$AF13))</f>
        <v>0</v>
      </c>
      <c r="G19" s="305">
        <f>SUMPRODUCT(('Postnatal Care'!$E$7:$E$746=G$6)*('Postnatal Care'!$C$7:$C$746&gt;=Lists!$AE13)*('Postnatal Care'!$C$7:$C$746&lt;=Lists!$AF13))</f>
        <v>0</v>
      </c>
      <c r="H19" s="305">
        <f>SUMPRODUCT(('Postnatal Care'!$E$7:$E$746=H$6)*('Postnatal Care'!$C$7:$C$746&gt;=Lists!$AE13)*('Postnatal Care'!$C$7:$C$746&lt;=Lists!$AF13))</f>
        <v>0</v>
      </c>
      <c r="I19" s="311">
        <f>SUMPRODUCT(('Postnatal Care'!$E$7:$E$746=I$6)*('Postnatal Care'!$C$7:$C$746&gt;=Lists!$AE13)*('Postnatal Care'!$C$7:$C$746&lt;=Lists!$AF13))</f>
        <v>0</v>
      </c>
      <c r="J19" s="309">
        <f t="shared" si="3"/>
        <v>0</v>
      </c>
      <c r="K19" s="307">
        <f>SUMPRODUCT(('Postnatal Care'!$G$7:$G$746=K$6)*('Postnatal Care'!$C$7:$C$746&gt;=Lists!$AE13)*('Postnatal Care'!$C$7:$C$746&lt;=Lists!$AF13))</f>
        <v>0</v>
      </c>
      <c r="L19" s="305">
        <f>SUMPRODUCT(('Postnatal Care'!$G$7:$G$746=L$6)*('Postnatal Care'!$C$7:$C$746&gt;=Lists!$AE13)*('Postnatal Care'!$C$7:$C$746&lt;=Lists!$AF13))</f>
        <v>0</v>
      </c>
      <c r="M19" s="311">
        <f>SUMPRODUCT(('Postnatal Care'!$G$7:$G$746=M$6)*('Postnatal Care'!$C$7:$C$746&gt;=Lists!$AE13)*('Postnatal Care'!$C$7:$C$746&lt;=Lists!$AF13))</f>
        <v>0</v>
      </c>
      <c r="N19" s="309">
        <f t="shared" ref="N19" si="10">SUM(K19:M19)</f>
        <v>0</v>
      </c>
      <c r="O19" s="317">
        <f>SUMPRODUCT(('Postnatal Care'!$I$7:$I$746=O$6)*('Postnatal Care'!$C$7:$C$746&gt;=Lists!$AE13)*('Postnatal Care'!$C$7:$C$746&lt;=Lists!$AF13))</f>
        <v>0</v>
      </c>
      <c r="P19" s="317">
        <f>SUMPRODUCT(('Postnatal Care'!$I$7:$I$746=P$6)*('Postnatal Care'!$C$7:$C$746&gt;=Lists!$AE13)*('Postnatal Care'!$C$7:$C$746&lt;=Lists!$AF13))</f>
        <v>0</v>
      </c>
      <c r="Q19" s="317">
        <f>SUMPRODUCT(('Postnatal Care'!$I$7:$I$746=Q$6)*('Postnatal Care'!$C$7:$C$746&gt;=Lists!$AE13)*('Postnatal Care'!$C$7:$C$746&lt;=Lists!$AF13))</f>
        <v>0</v>
      </c>
      <c r="R19" s="317">
        <f>SUMPRODUCT(('Postnatal Care'!$I$7:$I$746=R$6)*('Postnatal Care'!$C$7:$C$746&gt;=Lists!$AE13)*('Postnatal Care'!$C$7:$C$746&lt;=Lists!$AF13))</f>
        <v>0</v>
      </c>
      <c r="S19" s="317">
        <f>SUMPRODUCT(('Postnatal Care'!$I$7:$I$746=S$6)*('Postnatal Care'!$C$7:$C$746&gt;=Lists!$AE13)*('Postnatal Care'!$C$7:$C$746&lt;=Lists!$AF13))</f>
        <v>0</v>
      </c>
      <c r="T19" s="317">
        <f>SUMPRODUCT(('Postnatal Care'!$I$7:$I$746=T$6)*('Postnatal Care'!$C$7:$C$746&gt;=Lists!$AE13)*('Postnatal Care'!$C$7:$C$746&lt;=Lists!$AF13))</f>
        <v>0</v>
      </c>
      <c r="U19" s="317">
        <f>SUMPRODUCT(('Postnatal Care'!$I$7:$I$746=U$6)*('Postnatal Care'!$C$7:$C$746&gt;=Lists!$AE13)*('Postnatal Care'!$C$7:$C$746&lt;=Lists!$AF13))</f>
        <v>0</v>
      </c>
      <c r="V19" s="317">
        <f>SUMPRODUCT(('Postnatal Care'!$I$7:$I$746=V$6)*('Postnatal Care'!$C$7:$C$746&gt;=Lists!$AE13)*('Postnatal Care'!$C$7:$C$746&lt;=Lists!$AF13))</f>
        <v>0</v>
      </c>
      <c r="W19" s="316">
        <f t="shared" si="5"/>
        <v>0</v>
      </c>
      <c r="X19" s="317">
        <f>SUMPRODUCT(('Postnatal Care'!$J$7:$J$746=X$6)*('Postnatal Care'!$C$7:$C$746&gt;=Lists!$AE13)*('Postnatal Care'!$C$7:$C$746&lt;=Lists!$AF13))</f>
        <v>0</v>
      </c>
      <c r="Y19" s="317">
        <f>SUMPRODUCT(('Postnatal Care'!$J$7:$J$746=Y$6)*('Postnatal Care'!$C$7:$C$746&gt;=Lists!$AE13)*('Postnatal Care'!$C$7:$C$746&lt;=Lists!$AF13))</f>
        <v>0</v>
      </c>
      <c r="Z19" s="320">
        <f>SUMPRODUCT(('Postnatal Care'!$J$7:$J$746=Z$6)*('Postnatal Care'!$C$7:$C$746&gt;=Lists!$AE13)*('Postnatal Care'!$C$7:$C$746&lt;=Lists!$AF13))</f>
        <v>0</v>
      </c>
      <c r="AA19" s="316">
        <f t="shared" si="6"/>
        <v>0</v>
      </c>
      <c r="AB19" s="317">
        <f>SUMPRODUCT(('Postnatal Care'!$L$7:$L$746=AB$6)*('Postnatal Care'!$C$7:$C$746&gt;=Lists!$AE13)*('Postnatal Care'!$C$7:$C$746&lt;=Lists!$AF13))</f>
        <v>0</v>
      </c>
      <c r="AC19" s="317">
        <f>SUMPRODUCT(('Postnatal Care'!$L$7:$L$746=AC$6)*('Postnatal Care'!$C$7:$C$746&gt;=Lists!$AE13)*('Postnatal Care'!$C$7:$C$746&lt;=Lists!$AF13))</f>
        <v>0</v>
      </c>
      <c r="AD19" s="317">
        <f>SUMPRODUCT(('Postnatal Care'!$L$7:$L$746=AD$6)*('Postnatal Care'!$C$7:$C$746&gt;=Lists!$AE13)*('Postnatal Care'!$C$7:$C$746&lt;=Lists!$AF13))</f>
        <v>0</v>
      </c>
      <c r="AE19" s="317">
        <f>SUMPRODUCT(('Postnatal Care'!$L$7:$L$746=AE$6)*('Postnatal Care'!$C$7:$C$746&gt;=Lists!$AE13)*('Postnatal Care'!$C$7:$C$746&lt;=Lists!$AF13))</f>
        <v>0</v>
      </c>
      <c r="AF19" s="317">
        <f>SUMPRODUCT(('Postnatal Care'!$L$7:$L$746=AF$6)*('Postnatal Care'!$C$7:$C$746&gt;=Lists!$AE13)*('Postnatal Care'!$C$7:$C$746&lt;=Lists!$AF13))</f>
        <v>0</v>
      </c>
      <c r="AG19" s="317">
        <f>SUMPRODUCT(('Postnatal Care'!$L$7:$L$746=AG$6)*('Postnatal Care'!$C$7:$C$746&gt;=Lists!$AE13)*('Postnatal Care'!$C$7:$C$746&lt;=Lists!$AF13))</f>
        <v>0</v>
      </c>
      <c r="AH19" s="317">
        <f>SUMPRODUCT(('Postnatal Care'!$L$7:$L$746=AH$6)*('Postnatal Care'!$C$7:$C$746&gt;=Lists!$AE13)*('Postnatal Care'!$C$7:$C$746&lt;=Lists!$AF13))</f>
        <v>0</v>
      </c>
      <c r="AI19" s="317">
        <f>SUMPRODUCT(('Postnatal Care'!$L$7:$L$746=AI$6)*('Postnatal Care'!$C$7:$C$746&gt;=Lists!$AE13)*('Postnatal Care'!$C$7:$C$746&lt;=Lists!$AF13))</f>
        <v>0</v>
      </c>
      <c r="AJ19" s="316">
        <f t="shared" si="0"/>
        <v>0</v>
      </c>
      <c r="AK19" s="317">
        <f>SUMPRODUCT(('Postnatal Care'!$M$7:$M$746=AK$6)*('Postnatal Care'!$C$7:$C$746&gt;=Lists!$AE13)*('Postnatal Care'!$C$7:$C$746&lt;=Lists!$AF13))</f>
        <v>0</v>
      </c>
      <c r="AL19" s="317">
        <f>SUMPRODUCT(('Postnatal Care'!$M$7:$M$746=AL$6)*('Postnatal Care'!$C$7:$C$746&gt;=Lists!$AE13)*('Postnatal Care'!$C$7:$C$746&lt;=Lists!$AF13))</f>
        <v>0</v>
      </c>
      <c r="AM19" s="317">
        <f>SUMPRODUCT(('Postnatal Care'!$M$7:$M$746=AM$6)*('Postnatal Care'!$C$7:$C$746&gt;=Lists!$AE13)*('Postnatal Care'!$C$7:$C$746&lt;=Lists!$AF13))</f>
        <v>0</v>
      </c>
      <c r="AN19" s="316">
        <f t="shared" si="7"/>
        <v>0</v>
      </c>
      <c r="AO19" s="317">
        <f>SUMPRODUCT(('Postnatal Care'!$O$7:$O$746=AO$6)*('Postnatal Care'!$C$7:$C$746&gt;=Lists!$AE13)*('Postnatal Care'!$C$7:$C$746&lt;=Lists!$AF13))</f>
        <v>0</v>
      </c>
      <c r="AP19" s="317">
        <f>SUMPRODUCT(('Postnatal Care'!$O$7:$O$746=AP$6)*('Postnatal Care'!$C$7:$C$746&gt;=Lists!$AE13)*('Postnatal Care'!$C$7:$C$746&lt;=Lists!$AF13))</f>
        <v>0</v>
      </c>
      <c r="AQ19" s="317">
        <f>SUMPRODUCT(('Postnatal Care'!$O$7:$O$746=AQ$6)*('Postnatal Care'!$C$7:$C$746&gt;=Lists!$AE13)*('Postnatal Care'!$C$7:$C$746&lt;=Lists!$AF13))</f>
        <v>0</v>
      </c>
      <c r="AR19" s="317">
        <f>SUMPRODUCT(('Postnatal Care'!$O$7:$O$746=AR$6)*('Postnatal Care'!$C$7:$C$746&gt;=Lists!$AE13)*('Postnatal Care'!$C$7:$C$746&lt;=Lists!$AF13))</f>
        <v>0</v>
      </c>
      <c r="AS19" s="317">
        <f>SUMPRODUCT(('Postnatal Care'!$O$7:$O$746=AS$6)*('Postnatal Care'!$C$7:$C$746&gt;=Lists!$AE13)*('Postnatal Care'!$C$7:$C$746&lt;=Lists!$AF13))</f>
        <v>0</v>
      </c>
      <c r="AT19" s="317">
        <f>SUMPRODUCT(('Postnatal Care'!$O$7:$O$746=AT$6)*('Postnatal Care'!$C$7:$C$746&gt;=Lists!$AE13)*('Postnatal Care'!$C$7:$C$746&lt;=Lists!$AF13))</f>
        <v>0</v>
      </c>
      <c r="AU19" s="316">
        <f t="shared" si="1"/>
        <v>0</v>
      </c>
      <c r="AV19" s="317">
        <f>SUMPRODUCT(('Postnatal Care'!$P$7:$P$746=AV$6)*('Postnatal Care'!$C$7:$C$746&gt;=Lists!$AE13)*('Postnatal Care'!$C$7:$C$746&lt;=Lists!$AF13))</f>
        <v>0</v>
      </c>
      <c r="AW19" s="317">
        <f>SUMPRODUCT(('Postnatal Care'!$P$7:$P$746=AW$6)*('Postnatal Care'!$C$7:$C$746&gt;=Lists!$AE13)*('Postnatal Care'!$C$7:$C$746&lt;=Lists!$AF13))</f>
        <v>0</v>
      </c>
      <c r="AX19" s="317">
        <f>SUMPRODUCT(('Postnatal Care'!$P$7:$P$746=AX$6)*('Postnatal Care'!$C$7:$C$746&gt;=Lists!$AE13)*('Postnatal Care'!$C$7:$C$746&lt;=Lists!$AF13))</f>
        <v>0</v>
      </c>
      <c r="AY19" s="341">
        <f t="shared" si="8"/>
        <v>0</v>
      </c>
      <c r="AZ19" s="243">
        <f t="shared" si="9"/>
        <v>0</v>
      </c>
      <c r="BB19" s="15"/>
      <c r="BC19" s="15"/>
      <c r="BD19" s="15"/>
      <c r="BE19" s="15"/>
      <c r="BF19" s="16"/>
      <c r="BG19" s="16"/>
      <c r="BH19" s="15"/>
      <c r="BI19" s="15"/>
      <c r="BJ19" s="15"/>
      <c r="BK19" s="15"/>
    </row>
    <row r="20" spans="1:63" ht="15" customHeight="1" thickTop="1" thickBot="1" x14ac:dyDescent="0.4">
      <c r="A20" s="194" t="s">
        <v>688</v>
      </c>
      <c r="B20" s="302">
        <f>SUM(B8:B19)</f>
        <v>0</v>
      </c>
      <c r="C20" s="302">
        <f t="shared" ref="C20" si="11">SUM(C8:C19)</f>
        <v>0</v>
      </c>
      <c r="D20" s="312">
        <f t="shared" ref="D20:F20" si="12">SUM(D8:D19)</f>
        <v>0</v>
      </c>
      <c r="E20" s="303">
        <f>SUM(E8:E19)</f>
        <v>0</v>
      </c>
      <c r="F20" s="302">
        <f t="shared" si="12"/>
        <v>0</v>
      </c>
      <c r="G20" s="302">
        <f t="shared" ref="G20" si="13">SUM(G8:G19)</f>
        <v>0</v>
      </c>
      <c r="H20" s="302">
        <f t="shared" ref="H20" si="14">SUM(H8:H19)</f>
        <v>0</v>
      </c>
      <c r="I20" s="312">
        <f t="shared" ref="I20" si="15">SUM(I8:I19)</f>
        <v>0</v>
      </c>
      <c r="J20" s="303">
        <f>SUM(J8:J19)</f>
        <v>0</v>
      </c>
      <c r="K20" s="302">
        <f>SUM(K8:K19)</f>
        <v>0</v>
      </c>
      <c r="L20" s="302">
        <f t="shared" ref="L20" si="16">SUM(L8:L19)</f>
        <v>0</v>
      </c>
      <c r="M20" s="312">
        <f t="shared" ref="M20:O20" si="17">SUM(M8:M19)</f>
        <v>0</v>
      </c>
      <c r="N20" s="303">
        <f>SUM(N8:N19)</f>
        <v>0</v>
      </c>
      <c r="O20" s="312">
        <f t="shared" si="17"/>
        <v>0</v>
      </c>
      <c r="P20" s="312">
        <f t="shared" ref="P20" si="18">SUM(P8:P19)</f>
        <v>0</v>
      </c>
      <c r="Q20" s="312">
        <f t="shared" ref="Q20" si="19">SUM(Q8:Q19)</f>
        <v>0</v>
      </c>
      <c r="R20" s="312">
        <f t="shared" ref="R20" si="20">SUM(R8:R19)</f>
        <v>0</v>
      </c>
      <c r="S20" s="312">
        <f t="shared" ref="S20" si="21">SUM(S8:S19)</f>
        <v>0</v>
      </c>
      <c r="T20" s="312">
        <f t="shared" ref="T20:U20" si="22">SUM(T8:T19)</f>
        <v>0</v>
      </c>
      <c r="U20" s="312">
        <f t="shared" si="22"/>
        <v>0</v>
      </c>
      <c r="V20" s="312">
        <f t="shared" ref="V20" si="23">SUM(V8:V19)</f>
        <v>0</v>
      </c>
      <c r="W20" s="303">
        <f>SUM(W8:W19)</f>
        <v>0</v>
      </c>
      <c r="X20" s="302">
        <f>SUM(X8:X19)</f>
        <v>0</v>
      </c>
      <c r="Y20" s="302">
        <f t="shared" ref="Y20" si="24">SUM(Y8:Y19)</f>
        <v>0</v>
      </c>
      <c r="Z20" s="312">
        <f t="shared" ref="Z20" si="25">SUM(Z8:Z19)</f>
        <v>0</v>
      </c>
      <c r="AA20" s="303">
        <f>SUM(AA8:AA19)</f>
        <v>0</v>
      </c>
      <c r="AB20" s="302">
        <f>SUM(AB8:AB19)</f>
        <v>0</v>
      </c>
      <c r="AC20" s="302">
        <f t="shared" ref="AC20:AI20" si="26">SUM(AC8:AC19)</f>
        <v>0</v>
      </c>
      <c r="AD20" s="302">
        <f t="shared" si="26"/>
        <v>0</v>
      </c>
      <c r="AE20" s="302">
        <f t="shared" si="26"/>
        <v>0</v>
      </c>
      <c r="AF20" s="302">
        <f t="shared" si="26"/>
        <v>0</v>
      </c>
      <c r="AG20" s="302">
        <f t="shared" si="26"/>
        <v>0</v>
      </c>
      <c r="AH20" s="302">
        <f t="shared" si="26"/>
        <v>0</v>
      </c>
      <c r="AI20" s="302">
        <f t="shared" si="26"/>
        <v>0</v>
      </c>
      <c r="AJ20" s="303">
        <f>SUM(AJ8:AJ19)</f>
        <v>0</v>
      </c>
      <c r="AK20" s="302">
        <f>SUM(AK8:AK19)</f>
        <v>0</v>
      </c>
      <c r="AL20" s="302">
        <f t="shared" ref="AL20" si="27">SUM(AL8:AL19)</f>
        <v>0</v>
      </c>
      <c r="AM20" s="312">
        <f t="shared" ref="AM20:AO20" si="28">SUM(AM8:AM19)</f>
        <v>0</v>
      </c>
      <c r="AN20" s="303">
        <f>SUM(AN8:AN19)</f>
        <v>0</v>
      </c>
      <c r="AO20" s="312">
        <f t="shared" si="28"/>
        <v>0</v>
      </c>
      <c r="AP20" s="312">
        <f t="shared" ref="AP20" si="29">SUM(AP8:AP19)</f>
        <v>0</v>
      </c>
      <c r="AQ20" s="312">
        <f t="shared" ref="AQ20" si="30">SUM(AQ8:AQ19)</f>
        <v>0</v>
      </c>
      <c r="AR20" s="312">
        <f t="shared" ref="AR20" si="31">SUM(AR8:AR19)</f>
        <v>0</v>
      </c>
      <c r="AS20" s="312">
        <f t="shared" ref="AS20" si="32">SUM(AS8:AS19)</f>
        <v>0</v>
      </c>
      <c r="AT20" s="312">
        <f t="shared" ref="AT20" si="33">SUM(AT8:AT19)</f>
        <v>0</v>
      </c>
      <c r="AU20" s="303">
        <f>SUM(AU8:AU19)</f>
        <v>0</v>
      </c>
      <c r="AV20" s="302">
        <f>SUM(AV8:AV19)</f>
        <v>0</v>
      </c>
      <c r="AW20" s="302">
        <f t="shared" ref="AW20" si="34">SUM(AW8:AW19)</f>
        <v>0</v>
      </c>
      <c r="AX20" s="312">
        <f t="shared" ref="AX20" si="35">SUM(AX8:AX19)</f>
        <v>0</v>
      </c>
      <c r="AY20" s="342">
        <f>SUM(AY8:AY19)</f>
        <v>0</v>
      </c>
      <c r="AZ20" s="564">
        <f t="shared" ref="AZ20" si="36">SUM(AZ8:AZ19)</f>
        <v>0</v>
      </c>
      <c r="BA20" s="26"/>
      <c r="BB20" s="15"/>
      <c r="BC20" s="15"/>
      <c r="BD20" s="15"/>
      <c r="BE20" s="15"/>
      <c r="BF20" s="16"/>
      <c r="BG20" s="16"/>
      <c r="BH20" s="15"/>
      <c r="BI20" s="15"/>
      <c r="BJ20" s="15"/>
      <c r="BK20" s="15"/>
    </row>
    <row r="21" spans="1:63" ht="15" customHeight="1" x14ac:dyDescent="0.3">
      <c r="A21" s="36"/>
      <c r="BB21" s="15"/>
      <c r="BC21" s="15"/>
      <c r="BD21" s="15"/>
      <c r="BE21" s="15"/>
      <c r="BF21" s="16"/>
      <c r="BG21" s="16"/>
      <c r="BH21" s="15"/>
      <c r="BI21" s="15"/>
      <c r="BJ21" s="15"/>
      <c r="BK21" s="15"/>
    </row>
    <row r="22" spans="1:63" ht="15" customHeight="1" x14ac:dyDescent="0.3">
      <c r="A22" s="32"/>
      <c r="R22" s="125"/>
      <c r="BB22" s="15"/>
      <c r="BC22" s="15"/>
      <c r="BD22" s="15"/>
      <c r="BE22" s="15"/>
      <c r="BF22" s="16"/>
      <c r="BG22" s="16"/>
      <c r="BH22" s="15"/>
      <c r="BI22" s="15"/>
      <c r="BJ22" s="15"/>
      <c r="BK22" s="15"/>
    </row>
    <row r="23" spans="1:63" ht="15" customHeight="1" x14ac:dyDescent="0.3">
      <c r="A23" s="32"/>
      <c r="R23" s="125"/>
      <c r="BB23" s="15"/>
      <c r="BC23" s="15"/>
      <c r="BD23" s="15"/>
      <c r="BE23" s="15"/>
      <c r="BF23" s="16"/>
      <c r="BG23" s="16"/>
      <c r="BH23" s="15"/>
      <c r="BI23" s="15"/>
      <c r="BJ23" s="15"/>
      <c r="BK23" s="15"/>
    </row>
    <row r="24" spans="1:63" ht="15" customHeight="1" x14ac:dyDescent="0.3">
      <c r="A24" s="32"/>
      <c r="R24" s="125"/>
      <c r="BB24" s="15"/>
      <c r="BC24" s="15"/>
      <c r="BD24" s="15"/>
      <c r="BE24" s="15"/>
      <c r="BF24" s="16"/>
      <c r="BG24" s="16"/>
      <c r="BH24" s="15"/>
      <c r="BI24" s="15"/>
      <c r="BJ24" s="15"/>
      <c r="BK24" s="15"/>
    </row>
    <row r="25" spans="1:63" ht="15" customHeight="1" x14ac:dyDescent="0.3">
      <c r="A25" s="32"/>
      <c r="R25" s="125"/>
      <c r="BB25" s="15"/>
      <c r="BC25" s="15"/>
      <c r="BD25" s="15"/>
      <c r="BE25" s="15"/>
      <c r="BF25" s="16"/>
      <c r="BG25" s="16"/>
      <c r="BH25" s="15"/>
      <c r="BI25" s="15"/>
      <c r="BJ25" s="15"/>
      <c r="BK25" s="15"/>
    </row>
    <row r="26" spans="1:63" ht="15" customHeight="1" x14ac:dyDescent="0.3">
      <c r="R26" s="125"/>
      <c r="BB26" s="15"/>
      <c r="BC26" s="15"/>
      <c r="BD26" s="15"/>
      <c r="BE26" s="15"/>
      <c r="BF26" s="16"/>
      <c r="BG26" s="16"/>
      <c r="BH26" s="15"/>
      <c r="BI26" s="15"/>
      <c r="BJ26" s="15"/>
      <c r="BK26" s="15"/>
    </row>
    <row r="27" spans="1:63" ht="15" customHeight="1" x14ac:dyDescent="0.3">
      <c r="R27" s="125"/>
      <c r="BB27" s="15"/>
      <c r="BC27" s="15"/>
      <c r="BD27" s="15"/>
      <c r="BE27" s="15"/>
      <c r="BF27" s="16"/>
      <c r="BG27" s="16"/>
      <c r="BH27" s="15"/>
      <c r="BI27" s="15"/>
      <c r="BJ27" s="15"/>
      <c r="BK27" s="15"/>
    </row>
    <row r="28" spans="1:63" ht="15" customHeight="1" x14ac:dyDescent="0.3">
      <c r="R28" s="125"/>
      <c r="BB28" s="15"/>
      <c r="BC28" s="15"/>
      <c r="BD28" s="15"/>
      <c r="BE28" s="15"/>
      <c r="BF28" s="16"/>
      <c r="BG28" s="16"/>
      <c r="BH28" s="15"/>
      <c r="BI28" s="15"/>
      <c r="BJ28" s="15"/>
      <c r="BK28" s="15"/>
    </row>
    <row r="29" spans="1:63" ht="15" customHeight="1" x14ac:dyDescent="0.3">
      <c r="BB29" s="15"/>
      <c r="BC29" s="15"/>
      <c r="BD29" s="15"/>
      <c r="BE29" s="15"/>
      <c r="BF29" s="16"/>
      <c r="BG29" s="16"/>
      <c r="BH29" s="15"/>
      <c r="BI29" s="15"/>
      <c r="BJ29" s="15"/>
      <c r="BK29" s="15"/>
    </row>
    <row r="30" spans="1:63" ht="15" customHeight="1" x14ac:dyDescent="0.3">
      <c r="BB30" s="15"/>
      <c r="BC30" s="15"/>
      <c r="BD30" s="15"/>
      <c r="BE30" s="15"/>
      <c r="BF30" s="16"/>
      <c r="BG30" s="16"/>
      <c r="BH30" s="15"/>
      <c r="BI30" s="15"/>
      <c r="BJ30" s="15"/>
      <c r="BK30" s="15"/>
    </row>
    <row r="31" spans="1:63" ht="15" customHeight="1" x14ac:dyDescent="0.3">
      <c r="BB31" s="15"/>
      <c r="BC31" s="15"/>
      <c r="BD31" s="15"/>
      <c r="BE31" s="15"/>
      <c r="BF31" s="16"/>
      <c r="BG31" s="16"/>
      <c r="BH31" s="15"/>
      <c r="BI31" s="15"/>
      <c r="BJ31" s="15"/>
      <c r="BK31" s="15"/>
    </row>
    <row r="32" spans="1:63" ht="15" customHeight="1" x14ac:dyDescent="0.3">
      <c r="R32" s="7"/>
      <c r="BB32" s="15"/>
      <c r="BC32" s="15"/>
      <c r="BD32" s="15"/>
      <c r="BE32" s="15"/>
      <c r="BF32" s="16"/>
      <c r="BG32" s="16"/>
      <c r="BH32" s="15"/>
      <c r="BI32" s="15"/>
      <c r="BJ32" s="15"/>
      <c r="BK32" s="15"/>
    </row>
    <row r="33" spans="54:63" ht="15" customHeight="1" x14ac:dyDescent="0.3">
      <c r="BB33" s="15"/>
      <c r="BC33" s="15"/>
      <c r="BD33" s="15"/>
      <c r="BE33" s="15"/>
      <c r="BF33" s="16"/>
      <c r="BG33" s="16"/>
      <c r="BH33" s="15"/>
      <c r="BI33" s="15"/>
      <c r="BJ33" s="15"/>
      <c r="BK33" s="15"/>
    </row>
    <row r="34" spans="54:63" ht="15" customHeight="1" x14ac:dyDescent="0.3">
      <c r="BB34" s="15"/>
      <c r="BC34" s="15"/>
      <c r="BD34" s="15"/>
      <c r="BE34" s="15"/>
      <c r="BF34" s="16"/>
      <c r="BG34" s="16"/>
      <c r="BH34" s="15"/>
      <c r="BI34" s="15"/>
      <c r="BJ34" s="15"/>
      <c r="BK34" s="15"/>
    </row>
    <row r="35" spans="54:63" ht="15" customHeight="1" x14ac:dyDescent="0.3">
      <c r="BB35" s="15"/>
      <c r="BC35" s="15"/>
      <c r="BD35" s="15"/>
      <c r="BE35" s="15"/>
      <c r="BF35" s="16"/>
      <c r="BG35" s="16"/>
      <c r="BH35" s="15"/>
      <c r="BI35" s="15"/>
      <c r="BJ35" s="15"/>
      <c r="BK35" s="15"/>
    </row>
    <row r="36" spans="54:63" ht="15" customHeight="1" x14ac:dyDescent="0.3">
      <c r="BB36" s="15"/>
      <c r="BC36" s="15"/>
      <c r="BD36" s="15"/>
      <c r="BE36" s="15"/>
      <c r="BF36" s="16"/>
      <c r="BG36" s="16"/>
      <c r="BH36" s="15"/>
      <c r="BI36" s="15"/>
      <c r="BJ36" s="15"/>
      <c r="BK36" s="15"/>
    </row>
    <row r="37" spans="54:63" ht="15" customHeight="1" x14ac:dyDescent="0.3">
      <c r="BB37" s="15"/>
      <c r="BC37" s="15"/>
      <c r="BD37" s="15"/>
      <c r="BE37" s="15"/>
      <c r="BF37" s="16"/>
      <c r="BG37" s="16"/>
      <c r="BH37" s="15"/>
      <c r="BI37" s="15"/>
      <c r="BJ37" s="15"/>
      <c r="BK37" s="15"/>
    </row>
    <row r="38" spans="54:63" ht="15" customHeight="1" x14ac:dyDescent="0.3">
      <c r="BB38" s="15"/>
      <c r="BC38" s="15"/>
      <c r="BD38" s="15"/>
      <c r="BE38" s="15"/>
      <c r="BF38" s="16"/>
      <c r="BG38" s="16"/>
      <c r="BH38" s="15"/>
      <c r="BI38" s="15"/>
      <c r="BJ38" s="15"/>
      <c r="BK38" s="15"/>
    </row>
    <row r="39" spans="54:63" ht="15" customHeight="1" x14ac:dyDescent="0.3">
      <c r="BB39" s="15"/>
      <c r="BC39" s="15"/>
      <c r="BD39" s="15"/>
      <c r="BE39" s="15"/>
      <c r="BF39" s="16"/>
      <c r="BG39" s="16"/>
      <c r="BH39" s="15"/>
      <c r="BI39" s="15"/>
      <c r="BJ39" s="15"/>
      <c r="BK39" s="15"/>
    </row>
    <row r="40" spans="54:63" ht="15" customHeight="1" x14ac:dyDescent="0.3">
      <c r="BB40" s="15"/>
      <c r="BC40" s="15"/>
      <c r="BD40" s="15"/>
      <c r="BE40" s="15"/>
      <c r="BF40" s="16"/>
      <c r="BG40" s="16"/>
      <c r="BH40" s="15"/>
      <c r="BI40" s="15"/>
      <c r="BJ40" s="15"/>
      <c r="BK40" s="15"/>
    </row>
    <row r="41" spans="54:63" ht="15" customHeight="1" x14ac:dyDescent="0.3">
      <c r="BB41" s="15"/>
      <c r="BC41" s="15"/>
      <c r="BD41" s="15"/>
      <c r="BE41" s="15"/>
      <c r="BF41" s="16"/>
      <c r="BG41" s="16"/>
      <c r="BH41" s="15"/>
      <c r="BI41" s="15"/>
      <c r="BJ41" s="15"/>
      <c r="BK41" s="15"/>
    </row>
    <row r="42" spans="54:63" ht="15" customHeight="1" x14ac:dyDescent="0.3">
      <c r="BB42" s="15"/>
      <c r="BC42" s="15"/>
      <c r="BD42" s="15"/>
      <c r="BE42" s="15"/>
      <c r="BF42" s="16"/>
      <c r="BG42" s="16"/>
      <c r="BH42" s="15"/>
      <c r="BI42" s="15"/>
      <c r="BJ42" s="15"/>
      <c r="BK42" s="15"/>
    </row>
    <row r="43" spans="54:63" ht="15" customHeight="1" x14ac:dyDescent="0.3">
      <c r="BB43" s="15"/>
      <c r="BC43" s="15"/>
      <c r="BD43" s="15"/>
      <c r="BE43" s="15"/>
      <c r="BF43" s="16"/>
      <c r="BG43" s="16"/>
      <c r="BH43" s="15"/>
      <c r="BI43" s="15"/>
      <c r="BJ43" s="15"/>
      <c r="BK43" s="15"/>
    </row>
    <row r="44" spans="54:63" ht="15" customHeight="1" x14ac:dyDescent="0.3">
      <c r="BB44" s="15"/>
      <c r="BC44" s="15"/>
      <c r="BD44" s="15"/>
      <c r="BE44" s="15"/>
      <c r="BF44" s="16"/>
      <c r="BG44" s="16"/>
      <c r="BH44" s="15"/>
      <c r="BI44" s="15"/>
      <c r="BJ44" s="15"/>
      <c r="BK44" s="15"/>
    </row>
    <row r="45" spans="54:63" ht="15" customHeight="1" x14ac:dyDescent="0.3">
      <c r="BB45" s="15"/>
      <c r="BC45" s="15"/>
      <c r="BD45" s="15"/>
      <c r="BE45" s="15"/>
      <c r="BF45" s="16"/>
      <c r="BG45" s="16"/>
      <c r="BH45" s="15"/>
      <c r="BI45" s="15"/>
      <c r="BJ45" s="15"/>
      <c r="BK45" s="15"/>
    </row>
    <row r="46" spans="54:63" ht="15" customHeight="1" x14ac:dyDescent="0.3">
      <c r="BB46" s="15"/>
      <c r="BC46" s="15"/>
      <c r="BD46" s="15"/>
      <c r="BE46" s="15"/>
      <c r="BF46" s="16"/>
      <c r="BG46" s="16"/>
      <c r="BH46" s="15"/>
      <c r="BI46" s="15"/>
      <c r="BJ46" s="15"/>
      <c r="BK46" s="15"/>
    </row>
    <row r="47" spans="54:63" ht="15" customHeight="1" x14ac:dyDescent="0.3">
      <c r="BB47" s="15"/>
      <c r="BC47" s="15"/>
      <c r="BD47" s="15"/>
      <c r="BE47" s="15"/>
      <c r="BF47" s="16"/>
      <c r="BG47" s="16"/>
      <c r="BH47" s="15"/>
      <c r="BI47" s="15"/>
      <c r="BJ47" s="15"/>
      <c r="BK47" s="15"/>
    </row>
    <row r="48" spans="54:63" ht="15" customHeight="1" x14ac:dyDescent="0.3">
      <c r="BB48" s="15"/>
      <c r="BC48" s="15"/>
      <c r="BD48" s="15"/>
      <c r="BE48" s="15"/>
      <c r="BF48" s="16"/>
      <c r="BG48" s="16"/>
      <c r="BH48" s="15"/>
      <c r="BI48" s="15"/>
      <c r="BJ48" s="15"/>
      <c r="BK48" s="15"/>
    </row>
    <row r="49" spans="54:63" ht="15" customHeight="1" x14ac:dyDescent="0.3">
      <c r="BB49" s="15"/>
      <c r="BC49" s="15"/>
      <c r="BD49" s="15"/>
      <c r="BE49" s="15"/>
      <c r="BF49" s="16"/>
      <c r="BG49" s="16"/>
      <c r="BH49" s="15"/>
      <c r="BI49" s="15"/>
      <c r="BJ49" s="15"/>
      <c r="BK49" s="15"/>
    </row>
    <row r="50" spans="54:63" ht="15" customHeight="1" x14ac:dyDescent="0.3">
      <c r="BB50" s="15"/>
      <c r="BC50" s="15"/>
      <c r="BD50" s="15"/>
      <c r="BE50" s="15"/>
      <c r="BF50" s="16"/>
      <c r="BG50" s="16"/>
      <c r="BH50" s="15"/>
      <c r="BI50" s="15"/>
      <c r="BJ50" s="15"/>
      <c r="BK50" s="15"/>
    </row>
    <row r="51" spans="54:63" ht="15" customHeight="1" x14ac:dyDescent="0.3">
      <c r="BB51" s="15"/>
      <c r="BC51" s="15"/>
      <c r="BD51" s="15"/>
      <c r="BE51" s="15"/>
      <c r="BF51" s="16"/>
      <c r="BG51" s="16"/>
      <c r="BH51" s="15"/>
      <c r="BI51" s="15"/>
      <c r="BJ51" s="15"/>
      <c r="BK51" s="15"/>
    </row>
    <row r="52" spans="54:63" ht="15" customHeight="1" x14ac:dyDescent="0.3">
      <c r="BB52" s="15"/>
      <c r="BC52" s="15"/>
      <c r="BD52" s="15"/>
      <c r="BE52" s="15"/>
      <c r="BF52" s="16"/>
      <c r="BG52" s="16"/>
      <c r="BH52" s="15"/>
      <c r="BI52" s="15"/>
      <c r="BJ52" s="15"/>
      <c r="BK52" s="15"/>
    </row>
    <row r="53" spans="54:63" ht="15" customHeight="1" x14ac:dyDescent="0.3">
      <c r="BB53" s="15"/>
      <c r="BC53" s="15"/>
      <c r="BD53" s="15"/>
      <c r="BE53" s="15"/>
      <c r="BF53" s="16"/>
      <c r="BG53" s="16"/>
      <c r="BH53" s="15"/>
      <c r="BI53" s="15"/>
      <c r="BJ53" s="15"/>
      <c r="BK53" s="15"/>
    </row>
    <row r="54" spans="54:63" ht="15" customHeight="1" x14ac:dyDescent="0.3">
      <c r="BB54" s="15"/>
      <c r="BC54" s="15"/>
      <c r="BD54" s="15"/>
      <c r="BE54" s="15"/>
      <c r="BF54" s="16"/>
      <c r="BG54" s="16"/>
      <c r="BH54" s="15"/>
      <c r="BI54" s="15"/>
      <c r="BJ54" s="15"/>
      <c r="BK54" s="15"/>
    </row>
    <row r="55" spans="54:63" ht="15" customHeight="1" x14ac:dyDescent="0.3">
      <c r="BB55" s="15"/>
      <c r="BC55" s="15"/>
      <c r="BD55" s="15"/>
      <c r="BE55" s="15"/>
      <c r="BF55" s="16"/>
      <c r="BG55" s="16"/>
      <c r="BH55" s="15"/>
      <c r="BI55" s="15"/>
      <c r="BJ55" s="15"/>
      <c r="BK55" s="15"/>
    </row>
    <row r="56" spans="54:63" ht="15" customHeight="1" x14ac:dyDescent="0.3">
      <c r="BB56" s="15"/>
      <c r="BC56" s="15"/>
      <c r="BD56" s="15"/>
      <c r="BE56" s="15"/>
      <c r="BF56" s="16"/>
      <c r="BG56" s="16"/>
      <c r="BH56" s="15"/>
      <c r="BI56" s="15"/>
      <c r="BJ56" s="15"/>
      <c r="BK56" s="15"/>
    </row>
    <row r="57" spans="54:63" ht="15" customHeight="1" x14ac:dyDescent="0.3">
      <c r="BB57" s="15"/>
      <c r="BC57" s="15"/>
      <c r="BD57" s="15"/>
      <c r="BE57" s="15"/>
      <c r="BF57" s="16"/>
      <c r="BG57" s="16"/>
      <c r="BH57" s="15"/>
      <c r="BI57" s="15"/>
      <c r="BJ57" s="15"/>
      <c r="BK57" s="15"/>
    </row>
    <row r="58" spans="54:63" ht="15" customHeight="1" x14ac:dyDescent="0.3">
      <c r="BB58" s="15"/>
      <c r="BC58" s="15"/>
      <c r="BD58" s="15"/>
      <c r="BE58" s="15"/>
      <c r="BF58" s="16"/>
      <c r="BG58" s="16"/>
      <c r="BH58" s="15"/>
      <c r="BI58" s="15"/>
      <c r="BJ58" s="15"/>
      <c r="BK58" s="15"/>
    </row>
    <row r="59" spans="54:63" ht="15" customHeight="1" x14ac:dyDescent="0.3">
      <c r="BB59" s="15"/>
      <c r="BC59" s="15"/>
      <c r="BD59" s="15"/>
      <c r="BE59" s="15"/>
      <c r="BF59" s="16"/>
      <c r="BG59" s="16"/>
      <c r="BH59" s="15"/>
      <c r="BI59" s="15"/>
      <c r="BJ59" s="15"/>
      <c r="BK59" s="15"/>
    </row>
    <row r="60" spans="54:63" ht="15" customHeight="1" x14ac:dyDescent="0.3">
      <c r="BB60" s="15"/>
      <c r="BC60" s="15"/>
      <c r="BD60" s="15"/>
      <c r="BE60" s="15"/>
      <c r="BF60" s="16"/>
      <c r="BG60" s="16"/>
      <c r="BH60" s="15"/>
      <c r="BI60" s="15"/>
      <c r="BJ60" s="15"/>
      <c r="BK60" s="15"/>
    </row>
    <row r="61" spans="54:63" ht="15" customHeight="1" x14ac:dyDescent="0.3">
      <c r="BB61" s="15"/>
      <c r="BC61" s="15"/>
      <c r="BD61" s="15"/>
      <c r="BE61" s="15"/>
      <c r="BF61" s="16"/>
      <c r="BG61" s="16"/>
      <c r="BH61" s="15"/>
      <c r="BI61" s="15"/>
      <c r="BJ61" s="15"/>
      <c r="BK61" s="15"/>
    </row>
    <row r="62" spans="54:63" ht="15" customHeight="1" x14ac:dyDescent="0.3">
      <c r="BB62" s="15"/>
      <c r="BC62" s="15"/>
      <c r="BD62" s="15"/>
      <c r="BE62" s="15"/>
      <c r="BF62" s="16"/>
      <c r="BG62" s="16"/>
      <c r="BH62" s="15"/>
      <c r="BI62" s="15"/>
      <c r="BJ62" s="15"/>
      <c r="BK62" s="15"/>
    </row>
    <row r="63" spans="54:63" ht="15" customHeight="1" x14ac:dyDescent="0.3">
      <c r="BB63" s="15"/>
      <c r="BC63" s="15"/>
      <c r="BD63" s="15"/>
      <c r="BE63" s="15"/>
      <c r="BF63" s="16"/>
      <c r="BG63" s="16"/>
      <c r="BH63" s="15"/>
      <c r="BI63" s="15"/>
      <c r="BJ63" s="15"/>
      <c r="BK63" s="15"/>
    </row>
    <row r="64" spans="54:63" ht="15" customHeight="1" x14ac:dyDescent="0.3">
      <c r="BB64" s="15"/>
      <c r="BC64" s="15"/>
      <c r="BD64" s="15"/>
      <c r="BE64" s="15"/>
      <c r="BF64" s="16"/>
      <c r="BG64" s="16"/>
      <c r="BH64" s="15"/>
      <c r="BI64" s="15"/>
      <c r="BJ64" s="15"/>
      <c r="BK64" s="15"/>
    </row>
    <row r="65" spans="54:63" ht="15" customHeight="1" x14ac:dyDescent="0.3">
      <c r="BB65" s="15"/>
      <c r="BC65" s="15"/>
      <c r="BD65" s="15"/>
      <c r="BE65" s="15"/>
      <c r="BF65" s="16"/>
      <c r="BG65" s="16"/>
      <c r="BH65" s="15"/>
      <c r="BI65" s="15"/>
      <c r="BJ65" s="15"/>
      <c r="BK65" s="15"/>
    </row>
    <row r="66" spans="54:63" ht="15" customHeight="1" x14ac:dyDescent="0.3">
      <c r="BB66" s="15"/>
      <c r="BC66" s="15"/>
      <c r="BD66" s="15"/>
      <c r="BE66" s="15"/>
      <c r="BF66" s="16"/>
      <c r="BG66" s="16"/>
      <c r="BH66" s="15"/>
      <c r="BI66" s="15"/>
      <c r="BJ66" s="15"/>
      <c r="BK66" s="15"/>
    </row>
    <row r="67" spans="54:63" ht="15" customHeight="1" x14ac:dyDescent="0.3">
      <c r="BB67" s="15"/>
      <c r="BC67" s="15"/>
      <c r="BD67" s="15"/>
      <c r="BE67" s="15"/>
      <c r="BF67" s="16"/>
      <c r="BG67" s="16"/>
      <c r="BH67" s="15"/>
      <c r="BI67" s="15"/>
      <c r="BJ67" s="15"/>
      <c r="BK67" s="15"/>
    </row>
    <row r="68" spans="54:63" ht="15" customHeight="1" x14ac:dyDescent="0.3">
      <c r="BB68" s="15"/>
      <c r="BC68" s="15"/>
      <c r="BD68" s="15"/>
      <c r="BE68" s="15"/>
      <c r="BF68" s="16"/>
      <c r="BG68" s="16"/>
      <c r="BH68" s="15"/>
      <c r="BI68" s="15"/>
      <c r="BJ68" s="15"/>
      <c r="BK68" s="15"/>
    </row>
    <row r="69" spans="54:63" ht="15" customHeight="1" x14ac:dyDescent="0.3">
      <c r="BB69" s="15"/>
      <c r="BC69" s="15"/>
      <c r="BD69" s="15"/>
      <c r="BE69" s="15"/>
      <c r="BF69" s="16"/>
      <c r="BG69" s="16"/>
      <c r="BH69" s="15"/>
      <c r="BI69" s="15"/>
      <c r="BJ69" s="15"/>
      <c r="BK69" s="15"/>
    </row>
    <row r="70" spans="54:63" ht="15" customHeight="1" x14ac:dyDescent="0.3">
      <c r="BB70" s="15"/>
      <c r="BC70" s="15"/>
      <c r="BD70" s="15"/>
      <c r="BE70" s="15"/>
      <c r="BF70" s="16"/>
      <c r="BG70" s="16"/>
      <c r="BH70" s="15"/>
      <c r="BI70" s="15"/>
      <c r="BJ70" s="15"/>
      <c r="BK70" s="15"/>
    </row>
    <row r="71" spans="54:63" ht="15" customHeight="1" x14ac:dyDescent="0.3">
      <c r="BB71" s="15"/>
      <c r="BC71" s="15"/>
      <c r="BD71" s="15"/>
      <c r="BE71" s="15"/>
      <c r="BF71" s="16"/>
      <c r="BG71" s="16"/>
      <c r="BH71" s="15"/>
      <c r="BI71" s="15"/>
      <c r="BJ71" s="15"/>
      <c r="BK71" s="15"/>
    </row>
    <row r="72" spans="54:63" ht="15" customHeight="1" x14ac:dyDescent="0.3">
      <c r="BB72" s="15"/>
      <c r="BC72" s="15"/>
      <c r="BD72" s="15"/>
      <c r="BE72" s="15"/>
      <c r="BF72" s="16"/>
      <c r="BG72" s="16"/>
      <c r="BH72" s="15"/>
      <c r="BI72" s="15"/>
      <c r="BJ72" s="15"/>
      <c r="BK72" s="15"/>
    </row>
    <row r="73" spans="54:63" ht="15" customHeight="1" x14ac:dyDescent="0.3">
      <c r="BB73" s="15"/>
      <c r="BC73" s="15"/>
      <c r="BD73" s="15"/>
      <c r="BE73" s="15"/>
      <c r="BF73" s="16"/>
      <c r="BG73" s="16"/>
      <c r="BH73" s="15"/>
      <c r="BI73" s="15"/>
      <c r="BJ73" s="15"/>
      <c r="BK73" s="15"/>
    </row>
    <row r="74" spans="54:63" ht="15" customHeight="1" x14ac:dyDescent="0.3">
      <c r="BB74" s="15"/>
      <c r="BC74" s="15"/>
      <c r="BD74" s="15"/>
      <c r="BE74" s="15"/>
      <c r="BF74" s="16"/>
      <c r="BG74" s="16"/>
      <c r="BH74" s="15"/>
      <c r="BI74" s="15"/>
      <c r="BJ74" s="15"/>
      <c r="BK74" s="15"/>
    </row>
    <row r="75" spans="54:63" ht="15" customHeight="1" x14ac:dyDescent="0.3">
      <c r="BB75" s="15"/>
      <c r="BC75" s="15"/>
      <c r="BD75" s="15"/>
      <c r="BE75" s="15"/>
      <c r="BF75" s="16"/>
      <c r="BG75" s="16"/>
      <c r="BH75" s="15"/>
      <c r="BI75" s="15"/>
      <c r="BJ75" s="15"/>
      <c r="BK75" s="15"/>
    </row>
    <row r="76" spans="54:63" ht="15" customHeight="1" x14ac:dyDescent="0.3">
      <c r="BB76" s="15"/>
      <c r="BC76" s="15"/>
      <c r="BD76" s="15"/>
      <c r="BE76" s="15"/>
      <c r="BF76" s="16"/>
      <c r="BG76" s="16"/>
      <c r="BH76" s="15"/>
      <c r="BI76" s="15"/>
      <c r="BJ76" s="15"/>
      <c r="BK76" s="15"/>
    </row>
    <row r="77" spans="54:63" ht="15" customHeight="1" x14ac:dyDescent="0.3">
      <c r="BB77" s="15"/>
      <c r="BC77" s="15"/>
      <c r="BD77" s="15"/>
      <c r="BE77" s="15"/>
      <c r="BF77" s="16"/>
      <c r="BG77" s="16"/>
      <c r="BH77" s="15"/>
      <c r="BI77" s="15"/>
      <c r="BJ77" s="15"/>
      <c r="BK77" s="15"/>
    </row>
    <row r="78" spans="54:63" ht="15" customHeight="1" x14ac:dyDescent="0.3">
      <c r="BB78" s="15"/>
      <c r="BC78" s="15"/>
      <c r="BD78" s="15"/>
      <c r="BE78" s="15"/>
      <c r="BF78" s="16"/>
      <c r="BG78" s="16"/>
      <c r="BH78" s="15"/>
      <c r="BI78" s="15"/>
      <c r="BJ78" s="15"/>
      <c r="BK78" s="15"/>
    </row>
    <row r="79" spans="54:63" ht="15" customHeight="1" x14ac:dyDescent="0.3">
      <c r="BB79" s="15"/>
      <c r="BC79" s="15"/>
      <c r="BD79" s="15"/>
      <c r="BE79" s="15"/>
      <c r="BF79" s="16"/>
      <c r="BG79" s="16"/>
      <c r="BH79" s="15"/>
      <c r="BI79" s="15"/>
      <c r="BJ79" s="15"/>
      <c r="BK79" s="15"/>
    </row>
    <row r="80" spans="54:63" ht="15" customHeight="1" x14ac:dyDescent="0.3">
      <c r="BB80" s="15"/>
      <c r="BC80" s="15"/>
      <c r="BD80" s="15"/>
      <c r="BE80" s="15"/>
      <c r="BF80" s="16"/>
      <c r="BG80" s="16"/>
      <c r="BH80" s="15"/>
      <c r="BI80" s="15"/>
      <c r="BJ80" s="15"/>
      <c r="BK80" s="15"/>
    </row>
    <row r="81" spans="54:63" ht="15" customHeight="1" x14ac:dyDescent="0.3">
      <c r="BB81" s="15"/>
      <c r="BC81" s="15"/>
      <c r="BD81" s="15"/>
      <c r="BE81" s="15"/>
      <c r="BF81" s="16"/>
      <c r="BG81" s="16"/>
      <c r="BH81" s="15"/>
      <c r="BI81" s="15"/>
      <c r="BJ81" s="15"/>
      <c r="BK81" s="15"/>
    </row>
    <row r="82" spans="54:63" ht="15" customHeight="1" x14ac:dyDescent="0.3">
      <c r="BB82" s="15"/>
      <c r="BC82" s="15"/>
      <c r="BD82" s="15"/>
      <c r="BE82" s="15"/>
      <c r="BF82" s="16"/>
      <c r="BG82" s="16"/>
      <c r="BH82" s="15"/>
      <c r="BI82" s="15"/>
      <c r="BJ82" s="15"/>
      <c r="BK82" s="15"/>
    </row>
    <row r="83" spans="54:63" ht="15" customHeight="1" x14ac:dyDescent="0.3">
      <c r="BB83" s="15"/>
      <c r="BC83" s="15"/>
      <c r="BD83" s="15"/>
      <c r="BE83" s="15"/>
      <c r="BF83" s="16"/>
      <c r="BG83" s="16"/>
      <c r="BH83" s="15"/>
      <c r="BI83" s="15"/>
      <c r="BJ83" s="15"/>
      <c r="BK83" s="15"/>
    </row>
    <row r="84" spans="54:63" ht="15" customHeight="1" x14ac:dyDescent="0.3">
      <c r="BB84" s="15"/>
      <c r="BC84" s="15"/>
      <c r="BD84" s="15"/>
      <c r="BE84" s="15"/>
      <c r="BF84" s="16"/>
      <c r="BG84" s="16"/>
      <c r="BH84" s="15"/>
      <c r="BI84" s="15"/>
      <c r="BJ84" s="15"/>
      <c r="BK84" s="15"/>
    </row>
    <row r="85" spans="54:63" ht="15" customHeight="1" x14ac:dyDescent="0.3">
      <c r="BB85" s="15"/>
      <c r="BC85" s="15"/>
      <c r="BD85" s="15"/>
      <c r="BE85" s="15"/>
      <c r="BF85" s="16"/>
      <c r="BG85" s="16"/>
      <c r="BH85" s="15"/>
      <c r="BI85" s="15"/>
      <c r="BJ85" s="15"/>
      <c r="BK85" s="15"/>
    </row>
    <row r="86" spans="54:63" ht="15" customHeight="1" x14ac:dyDescent="0.3">
      <c r="BB86" s="15"/>
      <c r="BC86" s="15"/>
      <c r="BD86" s="15"/>
      <c r="BE86" s="15"/>
      <c r="BF86" s="16"/>
      <c r="BG86" s="16"/>
      <c r="BH86" s="15"/>
      <c r="BI86" s="15"/>
      <c r="BJ86" s="15"/>
      <c r="BK86" s="15"/>
    </row>
    <row r="87" spans="54:63" ht="15" customHeight="1" x14ac:dyDescent="0.3">
      <c r="BB87" s="15"/>
      <c r="BC87" s="15"/>
      <c r="BD87" s="15"/>
      <c r="BE87" s="15"/>
      <c r="BF87" s="16"/>
      <c r="BG87" s="16"/>
      <c r="BH87" s="15"/>
      <c r="BI87" s="15"/>
      <c r="BJ87" s="15"/>
      <c r="BK87" s="15"/>
    </row>
    <row r="88" spans="54:63" ht="15" customHeight="1" x14ac:dyDescent="0.3">
      <c r="BB88" s="15"/>
      <c r="BC88" s="15"/>
      <c r="BD88" s="15"/>
      <c r="BE88" s="15"/>
      <c r="BF88" s="16"/>
      <c r="BG88" s="16"/>
      <c r="BH88" s="15"/>
      <c r="BI88" s="15"/>
      <c r="BJ88" s="15"/>
      <c r="BK88" s="15"/>
    </row>
    <row r="89" spans="54:63" ht="15" customHeight="1" x14ac:dyDescent="0.3">
      <c r="BB89" s="15"/>
      <c r="BC89" s="15"/>
      <c r="BD89" s="15"/>
      <c r="BE89" s="15"/>
      <c r="BF89" s="16"/>
      <c r="BG89" s="16"/>
      <c r="BH89" s="15"/>
      <c r="BI89" s="15"/>
      <c r="BJ89" s="15"/>
      <c r="BK89" s="15"/>
    </row>
    <row r="90" spans="54:63" ht="15" customHeight="1" x14ac:dyDescent="0.3">
      <c r="BB90" s="15"/>
      <c r="BC90" s="15"/>
      <c r="BD90" s="15"/>
      <c r="BE90" s="15"/>
      <c r="BF90" s="16"/>
      <c r="BG90" s="16"/>
      <c r="BH90" s="15"/>
      <c r="BI90" s="15"/>
      <c r="BJ90" s="15"/>
      <c r="BK90" s="15"/>
    </row>
    <row r="91" spans="54:63" ht="15" customHeight="1" x14ac:dyDescent="0.3">
      <c r="BB91" s="15"/>
      <c r="BC91" s="15"/>
      <c r="BD91" s="15"/>
      <c r="BE91" s="15"/>
      <c r="BF91" s="16"/>
      <c r="BG91" s="16"/>
      <c r="BH91" s="15"/>
      <c r="BI91" s="15"/>
      <c r="BJ91" s="15"/>
      <c r="BK91" s="15"/>
    </row>
    <row r="92" spans="54:63" ht="15" customHeight="1" x14ac:dyDescent="0.3">
      <c r="BB92" s="15"/>
      <c r="BC92" s="15"/>
      <c r="BD92" s="15"/>
      <c r="BE92" s="15"/>
      <c r="BF92" s="16"/>
      <c r="BG92" s="16"/>
      <c r="BH92" s="15"/>
      <c r="BI92" s="15"/>
      <c r="BJ92" s="15"/>
      <c r="BK92" s="15"/>
    </row>
    <row r="93" spans="54:63" ht="15" customHeight="1" x14ac:dyDescent="0.3">
      <c r="BB93" s="15"/>
      <c r="BC93" s="15"/>
      <c r="BD93" s="15"/>
      <c r="BE93" s="15"/>
      <c r="BF93" s="16"/>
      <c r="BG93" s="16"/>
      <c r="BH93" s="15"/>
      <c r="BI93" s="15"/>
      <c r="BJ93" s="15"/>
      <c r="BK93" s="15"/>
    </row>
    <row r="94" spans="54:63" ht="15" customHeight="1" x14ac:dyDescent="0.3">
      <c r="BB94" s="15"/>
      <c r="BC94" s="15"/>
      <c r="BD94" s="15"/>
      <c r="BE94" s="15"/>
      <c r="BF94" s="16"/>
      <c r="BG94" s="16"/>
      <c r="BH94" s="15"/>
      <c r="BI94" s="15"/>
      <c r="BJ94" s="15"/>
      <c r="BK94" s="15"/>
    </row>
    <row r="95" spans="54:63" ht="15" customHeight="1" x14ac:dyDescent="0.3">
      <c r="BB95" s="15"/>
      <c r="BC95" s="15"/>
      <c r="BD95" s="15"/>
      <c r="BE95" s="15"/>
      <c r="BF95" s="16"/>
      <c r="BG95" s="16"/>
      <c r="BH95" s="15"/>
      <c r="BI95" s="15"/>
      <c r="BJ95" s="15"/>
      <c r="BK95" s="15"/>
    </row>
    <row r="96" spans="54:63" ht="15" customHeight="1" x14ac:dyDescent="0.3">
      <c r="BB96" s="15"/>
      <c r="BC96" s="15"/>
      <c r="BD96" s="15"/>
      <c r="BE96" s="15"/>
      <c r="BF96" s="16"/>
      <c r="BG96" s="16"/>
      <c r="BH96" s="15"/>
      <c r="BI96" s="15"/>
      <c r="BJ96" s="15"/>
      <c r="BK96" s="15"/>
    </row>
    <row r="97" spans="54:63" ht="15" customHeight="1" x14ac:dyDescent="0.3">
      <c r="BB97" s="15"/>
      <c r="BC97" s="15"/>
      <c r="BD97" s="15"/>
      <c r="BE97" s="15"/>
      <c r="BF97" s="16"/>
      <c r="BG97" s="16"/>
      <c r="BH97" s="15"/>
      <c r="BI97" s="15"/>
      <c r="BJ97" s="15"/>
      <c r="BK97" s="15"/>
    </row>
    <row r="98" spans="54:63" ht="15" customHeight="1" x14ac:dyDescent="0.3">
      <c r="BB98" s="15"/>
      <c r="BC98" s="15"/>
      <c r="BD98" s="15"/>
      <c r="BE98" s="15"/>
      <c r="BF98" s="16"/>
      <c r="BG98" s="16"/>
      <c r="BH98" s="15"/>
      <c r="BI98" s="15"/>
      <c r="BJ98" s="15"/>
      <c r="BK98" s="15"/>
    </row>
    <row r="99" spans="54:63" ht="15" customHeight="1" x14ac:dyDescent="0.3">
      <c r="BB99" s="15"/>
      <c r="BC99" s="15"/>
      <c r="BD99" s="15"/>
      <c r="BE99" s="15"/>
      <c r="BF99" s="16"/>
      <c r="BG99" s="16"/>
      <c r="BH99" s="15"/>
      <c r="BI99" s="15"/>
      <c r="BJ99" s="15"/>
      <c r="BK99" s="15"/>
    </row>
    <row r="100" spans="54:63" ht="15" customHeight="1" x14ac:dyDescent="0.3">
      <c r="BB100" s="15"/>
      <c r="BC100" s="15"/>
      <c r="BD100" s="15"/>
      <c r="BE100" s="15"/>
      <c r="BF100" s="16"/>
      <c r="BG100" s="16"/>
      <c r="BH100" s="15"/>
      <c r="BI100" s="15"/>
      <c r="BJ100" s="15"/>
      <c r="BK100" s="15"/>
    </row>
    <row r="101" spans="54:63" ht="15" customHeight="1" x14ac:dyDescent="0.3">
      <c r="BB101" s="15"/>
      <c r="BC101" s="15"/>
      <c r="BD101" s="15"/>
      <c r="BE101" s="15"/>
      <c r="BF101" s="16"/>
      <c r="BG101" s="16"/>
      <c r="BH101" s="15"/>
      <c r="BI101" s="15"/>
      <c r="BJ101" s="15"/>
      <c r="BK101" s="15"/>
    </row>
    <row r="102" spans="54:63" ht="15" customHeight="1" x14ac:dyDescent="0.3">
      <c r="BB102" s="15"/>
      <c r="BC102" s="15"/>
      <c r="BD102" s="15"/>
      <c r="BE102" s="15"/>
      <c r="BF102" s="16"/>
      <c r="BG102" s="16"/>
      <c r="BH102" s="15"/>
      <c r="BI102" s="15"/>
      <c r="BJ102" s="15"/>
      <c r="BK102" s="15"/>
    </row>
    <row r="103" spans="54:63" ht="15" customHeight="1" x14ac:dyDescent="0.3">
      <c r="BB103" s="15"/>
      <c r="BC103" s="15"/>
      <c r="BD103" s="15"/>
      <c r="BE103" s="15"/>
      <c r="BF103" s="16"/>
      <c r="BG103" s="16"/>
      <c r="BH103" s="15"/>
      <c r="BI103" s="15"/>
      <c r="BJ103" s="15"/>
      <c r="BK103" s="15"/>
    </row>
    <row r="104" spans="54:63" ht="15" customHeight="1" x14ac:dyDescent="0.3">
      <c r="BB104" s="15"/>
      <c r="BC104" s="15"/>
      <c r="BD104" s="15"/>
      <c r="BE104" s="15"/>
      <c r="BF104" s="16"/>
      <c r="BG104" s="16"/>
      <c r="BH104" s="15"/>
      <c r="BI104" s="15"/>
      <c r="BJ104" s="15"/>
      <c r="BK104" s="15"/>
    </row>
    <row r="105" spans="54:63" ht="15" customHeight="1" x14ac:dyDescent="0.3">
      <c r="BB105" s="15"/>
      <c r="BC105" s="15"/>
      <c r="BD105" s="15"/>
      <c r="BE105" s="15"/>
      <c r="BF105" s="16"/>
      <c r="BG105" s="16"/>
      <c r="BH105" s="15"/>
      <c r="BI105" s="15"/>
      <c r="BJ105" s="15"/>
      <c r="BK105" s="15"/>
    </row>
    <row r="106" spans="54:63" ht="15" customHeight="1" x14ac:dyDescent="0.3">
      <c r="BB106" s="15"/>
      <c r="BC106" s="15"/>
      <c r="BD106" s="15"/>
      <c r="BE106" s="15"/>
      <c r="BF106" s="16"/>
      <c r="BG106" s="16"/>
      <c r="BH106" s="15"/>
      <c r="BI106" s="15"/>
      <c r="BJ106" s="15"/>
      <c r="BK106" s="15"/>
    </row>
    <row r="107" spans="54:63" ht="15" customHeight="1" x14ac:dyDescent="0.3">
      <c r="BB107" s="15"/>
      <c r="BC107" s="15"/>
      <c r="BD107" s="15"/>
      <c r="BE107" s="15"/>
      <c r="BF107" s="16"/>
      <c r="BG107" s="16"/>
      <c r="BH107" s="15"/>
      <c r="BI107" s="15"/>
      <c r="BJ107" s="15"/>
      <c r="BK107" s="15"/>
    </row>
    <row r="108" spans="54:63" ht="15" customHeight="1" x14ac:dyDescent="0.3">
      <c r="BB108" s="15"/>
      <c r="BC108" s="15"/>
      <c r="BD108" s="15"/>
      <c r="BE108" s="15"/>
      <c r="BF108" s="16"/>
      <c r="BG108" s="16"/>
      <c r="BH108" s="15"/>
      <c r="BI108" s="15"/>
      <c r="BJ108" s="15"/>
      <c r="BK108" s="15"/>
    </row>
    <row r="109" spans="54:63" ht="15" customHeight="1" x14ac:dyDescent="0.3">
      <c r="BB109" s="15"/>
      <c r="BC109" s="15"/>
      <c r="BD109" s="15"/>
      <c r="BE109" s="15"/>
      <c r="BF109" s="16"/>
      <c r="BG109" s="16"/>
      <c r="BH109" s="15"/>
      <c r="BI109" s="15"/>
      <c r="BJ109" s="15"/>
      <c r="BK109" s="15"/>
    </row>
    <row r="110" spans="54:63" ht="15" customHeight="1" x14ac:dyDescent="0.3">
      <c r="BB110" s="15"/>
      <c r="BC110" s="15"/>
      <c r="BD110" s="15"/>
      <c r="BE110" s="15"/>
      <c r="BF110" s="16"/>
      <c r="BG110" s="16"/>
      <c r="BH110" s="15"/>
      <c r="BI110" s="15"/>
      <c r="BJ110" s="15"/>
      <c r="BK110" s="15"/>
    </row>
    <row r="111" spans="54:63" ht="15" customHeight="1" x14ac:dyDescent="0.3">
      <c r="BB111" s="15"/>
      <c r="BC111" s="15"/>
      <c r="BD111" s="15"/>
      <c r="BE111" s="15"/>
      <c r="BF111" s="16"/>
      <c r="BG111" s="16"/>
      <c r="BH111" s="15"/>
      <c r="BI111" s="15"/>
      <c r="BJ111" s="15"/>
      <c r="BK111" s="15"/>
    </row>
    <row r="112" spans="54:63" ht="15" customHeight="1" x14ac:dyDescent="0.3">
      <c r="BB112" s="15"/>
      <c r="BC112" s="15"/>
      <c r="BD112" s="15"/>
      <c r="BE112" s="15"/>
      <c r="BF112" s="16"/>
      <c r="BG112" s="16"/>
      <c r="BH112" s="15"/>
      <c r="BI112" s="15"/>
      <c r="BJ112" s="15"/>
      <c r="BK112" s="15"/>
    </row>
    <row r="113" spans="54:63" ht="15" customHeight="1" x14ac:dyDescent="0.3">
      <c r="BB113" s="15"/>
      <c r="BC113" s="15"/>
      <c r="BD113" s="15"/>
      <c r="BE113" s="15"/>
      <c r="BF113" s="16"/>
      <c r="BG113" s="16"/>
      <c r="BH113" s="15"/>
      <c r="BI113" s="15"/>
      <c r="BJ113" s="15"/>
      <c r="BK113" s="15"/>
    </row>
    <row r="114" spans="54:63" ht="15" customHeight="1" x14ac:dyDescent="0.3">
      <c r="BB114" s="15"/>
      <c r="BC114" s="15"/>
      <c r="BD114" s="15"/>
      <c r="BE114" s="15"/>
      <c r="BF114" s="16"/>
      <c r="BG114" s="16"/>
      <c r="BH114" s="15"/>
      <c r="BI114" s="15"/>
      <c r="BJ114" s="15"/>
      <c r="BK114" s="15"/>
    </row>
    <row r="115" spans="54:63" ht="15" customHeight="1" x14ac:dyDescent="0.3">
      <c r="BB115" s="15"/>
      <c r="BC115" s="15"/>
      <c r="BD115" s="15"/>
      <c r="BE115" s="15"/>
      <c r="BF115" s="16"/>
      <c r="BG115" s="16"/>
      <c r="BH115" s="15"/>
      <c r="BI115" s="15"/>
      <c r="BJ115" s="15"/>
      <c r="BK115" s="15"/>
    </row>
    <row r="116" spans="54:63" ht="15" customHeight="1" x14ac:dyDescent="0.3">
      <c r="BB116" s="15"/>
      <c r="BC116" s="15"/>
      <c r="BD116" s="15"/>
      <c r="BE116" s="15"/>
      <c r="BF116" s="16"/>
      <c r="BG116" s="16"/>
      <c r="BH116" s="15"/>
      <c r="BI116" s="15"/>
      <c r="BJ116" s="15"/>
      <c r="BK116" s="15"/>
    </row>
    <row r="117" spans="54:63" ht="15" customHeight="1" x14ac:dyDescent="0.3">
      <c r="BB117" s="15"/>
      <c r="BC117" s="15"/>
      <c r="BD117" s="15"/>
      <c r="BE117" s="15"/>
      <c r="BF117" s="16"/>
      <c r="BG117" s="16"/>
      <c r="BH117" s="15"/>
      <c r="BI117" s="15"/>
      <c r="BJ117" s="15"/>
      <c r="BK117" s="15"/>
    </row>
    <row r="118" spans="54:63" ht="15" customHeight="1" x14ac:dyDescent="0.3">
      <c r="BB118" s="15"/>
      <c r="BC118" s="15"/>
      <c r="BD118" s="15"/>
      <c r="BE118" s="15"/>
      <c r="BF118" s="16"/>
      <c r="BG118" s="16"/>
      <c r="BH118" s="15"/>
      <c r="BI118" s="15"/>
      <c r="BJ118" s="15"/>
      <c r="BK118" s="15"/>
    </row>
    <row r="119" spans="54:63" ht="15" customHeight="1" x14ac:dyDescent="0.3">
      <c r="BB119" s="15"/>
      <c r="BC119" s="15"/>
      <c r="BD119" s="15"/>
      <c r="BE119" s="15"/>
      <c r="BF119" s="16"/>
      <c r="BG119" s="16"/>
      <c r="BH119" s="15"/>
      <c r="BI119" s="15"/>
      <c r="BJ119" s="15"/>
      <c r="BK119" s="15"/>
    </row>
    <row r="120" spans="54:63" ht="15" customHeight="1" x14ac:dyDescent="0.3">
      <c r="BB120" s="15"/>
      <c r="BC120" s="15"/>
      <c r="BD120" s="15"/>
      <c r="BE120" s="15"/>
      <c r="BF120" s="16"/>
      <c r="BG120" s="16"/>
      <c r="BH120" s="15"/>
      <c r="BI120" s="15"/>
      <c r="BJ120" s="15"/>
      <c r="BK120" s="15"/>
    </row>
    <row r="121" spans="54:63" ht="15" customHeight="1" x14ac:dyDescent="0.3">
      <c r="BB121" s="15"/>
      <c r="BC121" s="15"/>
      <c r="BD121" s="15"/>
      <c r="BE121" s="15"/>
      <c r="BF121" s="16"/>
      <c r="BG121" s="16"/>
      <c r="BH121" s="15"/>
      <c r="BI121" s="15"/>
      <c r="BJ121" s="15"/>
      <c r="BK121" s="15"/>
    </row>
    <row r="122" spans="54:63" ht="15" customHeight="1" x14ac:dyDescent="0.3">
      <c r="BB122" s="15"/>
      <c r="BC122" s="15"/>
      <c r="BD122" s="15"/>
      <c r="BE122" s="15"/>
      <c r="BF122" s="16"/>
      <c r="BG122" s="16"/>
      <c r="BH122" s="15"/>
      <c r="BI122" s="15"/>
      <c r="BJ122" s="15"/>
      <c r="BK122" s="15"/>
    </row>
    <row r="123" spans="54:63" ht="15" customHeight="1" x14ac:dyDescent="0.3">
      <c r="BB123" s="15"/>
      <c r="BC123" s="15"/>
      <c r="BD123" s="15"/>
      <c r="BE123" s="15"/>
      <c r="BF123" s="16"/>
      <c r="BG123" s="16"/>
      <c r="BH123" s="15"/>
      <c r="BI123" s="15"/>
      <c r="BJ123" s="15"/>
      <c r="BK123" s="15"/>
    </row>
    <row r="124" spans="54:63" ht="15" customHeight="1" x14ac:dyDescent="0.3">
      <c r="BB124" s="15"/>
      <c r="BC124" s="15"/>
      <c r="BD124" s="15"/>
      <c r="BE124" s="15"/>
      <c r="BF124" s="16"/>
      <c r="BG124" s="16"/>
      <c r="BH124" s="15"/>
      <c r="BI124" s="15"/>
      <c r="BJ124" s="15"/>
      <c r="BK124" s="15"/>
    </row>
    <row r="125" spans="54:63" ht="15" customHeight="1" x14ac:dyDescent="0.3">
      <c r="BB125" s="15"/>
      <c r="BC125" s="15"/>
      <c r="BD125" s="15"/>
      <c r="BE125" s="15"/>
      <c r="BF125" s="16"/>
      <c r="BG125" s="16"/>
      <c r="BH125" s="15"/>
      <c r="BI125" s="15"/>
      <c r="BJ125" s="15"/>
      <c r="BK125" s="15"/>
    </row>
    <row r="126" spans="54:63" ht="15" customHeight="1" x14ac:dyDescent="0.3">
      <c r="BB126" s="15"/>
      <c r="BC126" s="15"/>
      <c r="BD126" s="15"/>
      <c r="BE126" s="15"/>
      <c r="BF126" s="16"/>
      <c r="BG126" s="16"/>
      <c r="BH126" s="15"/>
      <c r="BI126" s="15"/>
      <c r="BJ126" s="15"/>
      <c r="BK126" s="15"/>
    </row>
    <row r="127" spans="54:63" ht="15" customHeight="1" x14ac:dyDescent="0.3">
      <c r="BB127" s="15"/>
      <c r="BC127" s="15"/>
      <c r="BD127" s="15"/>
      <c r="BE127" s="15"/>
      <c r="BF127" s="16"/>
      <c r="BG127" s="16"/>
      <c r="BH127" s="15"/>
      <c r="BI127" s="15"/>
      <c r="BJ127" s="15"/>
      <c r="BK127" s="15"/>
    </row>
    <row r="128" spans="54:63" ht="15" customHeight="1" x14ac:dyDescent="0.3">
      <c r="BB128" s="15"/>
      <c r="BC128" s="15"/>
      <c r="BD128" s="15"/>
      <c r="BE128" s="15"/>
      <c r="BF128" s="16"/>
      <c r="BG128" s="16"/>
      <c r="BH128" s="15"/>
      <c r="BI128" s="15"/>
      <c r="BJ128" s="15"/>
      <c r="BK128" s="15"/>
    </row>
    <row r="129" spans="54:63" ht="15" customHeight="1" x14ac:dyDescent="0.3">
      <c r="BB129" s="15"/>
      <c r="BC129" s="15"/>
      <c r="BD129" s="15"/>
      <c r="BE129" s="15"/>
      <c r="BF129" s="16"/>
      <c r="BG129" s="16"/>
      <c r="BH129" s="15"/>
      <c r="BI129" s="15"/>
      <c r="BJ129" s="15"/>
      <c r="BK129" s="15"/>
    </row>
    <row r="130" spans="54:63" ht="15" customHeight="1" x14ac:dyDescent="0.3">
      <c r="BB130" s="15"/>
      <c r="BC130" s="15"/>
      <c r="BD130" s="15"/>
      <c r="BE130" s="15"/>
      <c r="BF130" s="16"/>
      <c r="BG130" s="16"/>
      <c r="BH130" s="15"/>
      <c r="BI130" s="15"/>
      <c r="BJ130" s="15"/>
      <c r="BK130" s="15"/>
    </row>
    <row r="131" spans="54:63" ht="15" customHeight="1" x14ac:dyDescent="0.3">
      <c r="BB131" s="15"/>
      <c r="BC131" s="15"/>
      <c r="BD131" s="15"/>
      <c r="BE131" s="15"/>
      <c r="BF131" s="16"/>
      <c r="BG131" s="16"/>
      <c r="BH131" s="15"/>
      <c r="BI131" s="15"/>
      <c r="BJ131" s="15"/>
      <c r="BK131" s="15"/>
    </row>
    <row r="132" spans="54:63" ht="15" customHeight="1" x14ac:dyDescent="0.3">
      <c r="BB132" s="15"/>
      <c r="BC132" s="15"/>
      <c r="BD132" s="15"/>
      <c r="BE132" s="15"/>
      <c r="BF132" s="16"/>
      <c r="BG132" s="16"/>
      <c r="BH132" s="15"/>
      <c r="BI132" s="15"/>
      <c r="BJ132" s="15"/>
      <c r="BK132" s="15"/>
    </row>
    <row r="133" spans="54:63" ht="15" customHeight="1" x14ac:dyDescent="0.3">
      <c r="BB133" s="15"/>
      <c r="BC133" s="15"/>
      <c r="BD133" s="15"/>
      <c r="BE133" s="15"/>
      <c r="BF133" s="16"/>
      <c r="BG133" s="16"/>
      <c r="BH133" s="15"/>
      <c r="BI133" s="15"/>
      <c r="BJ133" s="15"/>
      <c r="BK133" s="15"/>
    </row>
    <row r="134" spans="54:63" ht="15" customHeight="1" x14ac:dyDescent="0.3">
      <c r="BB134" s="15"/>
      <c r="BC134" s="15"/>
      <c r="BD134" s="15"/>
      <c r="BE134" s="15"/>
      <c r="BF134" s="16"/>
      <c r="BG134" s="16"/>
      <c r="BH134" s="15"/>
      <c r="BI134" s="15"/>
      <c r="BJ134" s="15"/>
      <c r="BK134" s="15"/>
    </row>
    <row r="135" spans="54:63" ht="15" customHeight="1" x14ac:dyDescent="0.3">
      <c r="BB135" s="15"/>
      <c r="BC135" s="15"/>
      <c r="BD135" s="15"/>
      <c r="BE135" s="15"/>
      <c r="BF135" s="16"/>
      <c r="BG135" s="16"/>
      <c r="BH135" s="15"/>
      <c r="BI135" s="15"/>
      <c r="BJ135" s="15"/>
      <c r="BK135" s="15"/>
    </row>
    <row r="136" spans="54:63" ht="15" customHeight="1" x14ac:dyDescent="0.3">
      <c r="BB136" s="15"/>
      <c r="BC136" s="15"/>
      <c r="BD136" s="15"/>
      <c r="BE136" s="15"/>
      <c r="BF136" s="16"/>
      <c r="BG136" s="16"/>
      <c r="BH136" s="15"/>
      <c r="BI136" s="15"/>
      <c r="BJ136" s="15"/>
      <c r="BK136" s="15"/>
    </row>
    <row r="137" spans="54:63" ht="15" customHeight="1" x14ac:dyDescent="0.3">
      <c r="BB137" s="15"/>
      <c r="BC137" s="15"/>
      <c r="BD137" s="15"/>
      <c r="BE137" s="15"/>
      <c r="BF137" s="16"/>
      <c r="BG137" s="16"/>
      <c r="BH137" s="15"/>
      <c r="BI137" s="15"/>
      <c r="BJ137" s="15"/>
      <c r="BK137" s="15"/>
    </row>
    <row r="138" spans="54:63" ht="15" customHeight="1" x14ac:dyDescent="0.3">
      <c r="BB138" s="15"/>
      <c r="BC138" s="15"/>
      <c r="BD138" s="15"/>
      <c r="BE138" s="15"/>
      <c r="BF138" s="16"/>
      <c r="BG138" s="16"/>
      <c r="BH138" s="15"/>
      <c r="BI138" s="15"/>
      <c r="BJ138" s="15"/>
      <c r="BK138" s="15"/>
    </row>
    <row r="139" spans="54:63" ht="15" customHeight="1" x14ac:dyDescent="0.3">
      <c r="BB139" s="15"/>
      <c r="BC139" s="15"/>
      <c r="BD139" s="15"/>
      <c r="BE139" s="15"/>
      <c r="BF139" s="16"/>
      <c r="BG139" s="16"/>
      <c r="BH139" s="15"/>
      <c r="BI139" s="15"/>
      <c r="BJ139" s="15"/>
      <c r="BK139" s="15"/>
    </row>
    <row r="140" spans="54:63" ht="15" customHeight="1" x14ac:dyDescent="0.3">
      <c r="BB140" s="15"/>
      <c r="BC140" s="15"/>
      <c r="BD140" s="15"/>
      <c r="BE140" s="15"/>
      <c r="BF140" s="16"/>
      <c r="BG140" s="16"/>
      <c r="BH140" s="15"/>
      <c r="BI140" s="15"/>
      <c r="BJ140" s="15"/>
      <c r="BK140" s="15"/>
    </row>
    <row r="141" spans="54:63" ht="15" customHeight="1" x14ac:dyDescent="0.3">
      <c r="BB141" s="15"/>
      <c r="BC141" s="15"/>
      <c r="BD141" s="15"/>
      <c r="BE141" s="15"/>
      <c r="BF141" s="16"/>
      <c r="BG141" s="16"/>
      <c r="BH141" s="15"/>
      <c r="BI141" s="15"/>
      <c r="BJ141" s="15"/>
      <c r="BK141" s="15"/>
    </row>
    <row r="142" spans="54:63" ht="15" customHeight="1" x14ac:dyDescent="0.3">
      <c r="BB142" s="15"/>
      <c r="BC142" s="15"/>
      <c r="BD142" s="15"/>
      <c r="BE142" s="15"/>
      <c r="BF142" s="16"/>
      <c r="BG142" s="16"/>
      <c r="BH142" s="15"/>
      <c r="BI142" s="15"/>
      <c r="BJ142" s="15"/>
      <c r="BK142" s="15"/>
    </row>
    <row r="143" spans="54:63" ht="15" customHeight="1" x14ac:dyDescent="0.3">
      <c r="BB143" s="15"/>
      <c r="BC143" s="15"/>
      <c r="BD143" s="15"/>
      <c r="BE143" s="15"/>
      <c r="BF143" s="16"/>
      <c r="BG143" s="16"/>
      <c r="BH143" s="15"/>
      <c r="BI143" s="15"/>
      <c r="BJ143" s="15"/>
      <c r="BK143" s="15"/>
    </row>
    <row r="144" spans="54:63" ht="15" customHeight="1" x14ac:dyDescent="0.3">
      <c r="BB144" s="15"/>
      <c r="BC144" s="15"/>
      <c r="BD144" s="15"/>
      <c r="BE144" s="15"/>
      <c r="BF144" s="16"/>
      <c r="BG144" s="16"/>
      <c r="BH144" s="15"/>
      <c r="BI144" s="15"/>
      <c r="BJ144" s="15"/>
      <c r="BK144" s="15"/>
    </row>
    <row r="145" spans="54:63" ht="15" customHeight="1" x14ac:dyDescent="0.3">
      <c r="BB145" s="15"/>
      <c r="BC145" s="15"/>
      <c r="BD145" s="15"/>
      <c r="BE145" s="15"/>
      <c r="BF145" s="16"/>
      <c r="BG145" s="16"/>
      <c r="BH145" s="15"/>
      <c r="BI145" s="15"/>
      <c r="BJ145" s="15"/>
      <c r="BK145" s="15"/>
    </row>
    <row r="146" spans="54:63" ht="15" customHeight="1" x14ac:dyDescent="0.3">
      <c r="BB146" s="15"/>
      <c r="BC146" s="15"/>
      <c r="BD146" s="15"/>
      <c r="BE146" s="15"/>
      <c r="BF146" s="16"/>
      <c r="BG146" s="16"/>
      <c r="BH146" s="15"/>
      <c r="BI146" s="15"/>
      <c r="BJ146" s="15"/>
      <c r="BK146" s="15"/>
    </row>
    <row r="147" spans="54:63" ht="15" customHeight="1" x14ac:dyDescent="0.3">
      <c r="BB147" s="15"/>
      <c r="BC147" s="15"/>
      <c r="BD147" s="15"/>
      <c r="BE147" s="15"/>
      <c r="BF147" s="16"/>
      <c r="BG147" s="16"/>
      <c r="BH147" s="15"/>
      <c r="BI147" s="15"/>
      <c r="BJ147" s="15"/>
      <c r="BK147" s="15"/>
    </row>
    <row r="148" spans="54:63" ht="15" customHeight="1" x14ac:dyDescent="0.3">
      <c r="BB148" s="15"/>
      <c r="BC148" s="15"/>
      <c r="BD148" s="15"/>
      <c r="BE148" s="15"/>
      <c r="BF148" s="16"/>
      <c r="BG148" s="16"/>
      <c r="BH148" s="15"/>
      <c r="BI148" s="15"/>
      <c r="BJ148" s="15"/>
      <c r="BK148" s="15"/>
    </row>
    <row r="149" spans="54:63" ht="15" customHeight="1" x14ac:dyDescent="0.3">
      <c r="BB149" s="15"/>
      <c r="BC149" s="15"/>
      <c r="BD149" s="15"/>
      <c r="BE149" s="15"/>
      <c r="BF149" s="16"/>
      <c r="BG149" s="16"/>
      <c r="BH149" s="15"/>
      <c r="BI149" s="15"/>
      <c r="BJ149" s="15"/>
      <c r="BK149" s="15"/>
    </row>
    <row r="150" spans="54:63" ht="15" customHeight="1" x14ac:dyDescent="0.3">
      <c r="BB150" s="15"/>
      <c r="BC150" s="15"/>
      <c r="BD150" s="15"/>
      <c r="BE150" s="15"/>
      <c r="BF150" s="16"/>
      <c r="BG150" s="16"/>
      <c r="BH150" s="15"/>
      <c r="BI150" s="15"/>
      <c r="BJ150" s="15"/>
      <c r="BK150" s="15"/>
    </row>
    <row r="151" spans="54:63" ht="15" customHeight="1" x14ac:dyDescent="0.3">
      <c r="BB151" s="15"/>
      <c r="BC151" s="15"/>
      <c r="BD151" s="15"/>
      <c r="BE151" s="15"/>
      <c r="BF151" s="16"/>
      <c r="BG151" s="16"/>
      <c r="BH151" s="15"/>
      <c r="BI151" s="15"/>
      <c r="BJ151" s="15"/>
      <c r="BK151" s="15"/>
    </row>
    <row r="152" spans="54:63" ht="15" customHeight="1" x14ac:dyDescent="0.3">
      <c r="BB152" s="15"/>
      <c r="BC152" s="15"/>
      <c r="BD152" s="15"/>
      <c r="BE152" s="15"/>
      <c r="BF152" s="16"/>
      <c r="BG152" s="16"/>
      <c r="BH152" s="15"/>
      <c r="BI152" s="15"/>
      <c r="BJ152" s="15"/>
      <c r="BK152" s="15"/>
    </row>
    <row r="153" spans="54:63" ht="15" customHeight="1" x14ac:dyDescent="0.3">
      <c r="BB153" s="15"/>
      <c r="BC153" s="15"/>
      <c r="BD153" s="15"/>
      <c r="BE153" s="15"/>
      <c r="BF153" s="16"/>
      <c r="BG153" s="16"/>
      <c r="BH153" s="15"/>
      <c r="BI153" s="15"/>
      <c r="BJ153" s="15"/>
      <c r="BK153" s="15"/>
    </row>
    <row r="154" spans="54:63" ht="15" customHeight="1" x14ac:dyDescent="0.3">
      <c r="BB154" s="15"/>
      <c r="BC154" s="15"/>
      <c r="BD154" s="15"/>
      <c r="BE154" s="15"/>
      <c r="BF154" s="16"/>
      <c r="BG154" s="16"/>
      <c r="BH154" s="15"/>
      <c r="BI154" s="15"/>
      <c r="BJ154" s="15"/>
      <c r="BK154" s="15"/>
    </row>
    <row r="155" spans="54:63" ht="15" customHeight="1" x14ac:dyDescent="0.3">
      <c r="BB155" s="15"/>
      <c r="BC155" s="15"/>
      <c r="BD155" s="15"/>
      <c r="BE155" s="15"/>
      <c r="BF155" s="16"/>
      <c r="BG155" s="16"/>
      <c r="BH155" s="15"/>
      <c r="BI155" s="15"/>
      <c r="BJ155" s="15"/>
      <c r="BK155" s="15"/>
    </row>
    <row r="156" spans="54:63" ht="15" customHeight="1" x14ac:dyDescent="0.3">
      <c r="BB156" s="15"/>
      <c r="BC156" s="15"/>
      <c r="BD156" s="15"/>
      <c r="BE156" s="15"/>
      <c r="BF156" s="16"/>
      <c r="BG156" s="16"/>
      <c r="BH156" s="15"/>
      <c r="BI156" s="15"/>
      <c r="BJ156" s="15"/>
      <c r="BK156" s="15"/>
    </row>
    <row r="157" spans="54:63" ht="15" customHeight="1" x14ac:dyDescent="0.3">
      <c r="BB157" s="15"/>
      <c r="BC157" s="15"/>
      <c r="BD157" s="15"/>
      <c r="BE157" s="15"/>
      <c r="BF157" s="16"/>
      <c r="BG157" s="16"/>
      <c r="BH157" s="15"/>
      <c r="BI157" s="15"/>
      <c r="BJ157" s="15"/>
      <c r="BK157" s="15"/>
    </row>
    <row r="158" spans="54:63" ht="15" customHeight="1" x14ac:dyDescent="0.3">
      <c r="BB158" s="15"/>
      <c r="BC158" s="15"/>
      <c r="BD158" s="15"/>
      <c r="BE158" s="15"/>
      <c r="BF158" s="16"/>
      <c r="BG158" s="16"/>
      <c r="BH158" s="15"/>
      <c r="BI158" s="15"/>
      <c r="BJ158" s="15"/>
      <c r="BK158" s="15"/>
    </row>
    <row r="159" spans="54:63" ht="15" customHeight="1" x14ac:dyDescent="0.3">
      <c r="BB159" s="15"/>
      <c r="BC159" s="15"/>
      <c r="BD159" s="15"/>
      <c r="BE159" s="15"/>
      <c r="BF159" s="16"/>
      <c r="BG159" s="16"/>
      <c r="BH159" s="15"/>
      <c r="BI159" s="15"/>
      <c r="BJ159" s="15"/>
      <c r="BK159" s="15"/>
    </row>
    <row r="160" spans="54:63" ht="15" customHeight="1" x14ac:dyDescent="0.3">
      <c r="BB160" s="15"/>
      <c r="BC160" s="15"/>
      <c r="BD160" s="15"/>
      <c r="BE160" s="15"/>
      <c r="BF160" s="16"/>
      <c r="BG160" s="16"/>
      <c r="BH160" s="15"/>
      <c r="BI160" s="15"/>
      <c r="BJ160" s="15"/>
      <c r="BK160" s="15"/>
    </row>
    <row r="161" spans="54:63" ht="15" customHeight="1" x14ac:dyDescent="0.3">
      <c r="BB161" s="15"/>
      <c r="BC161" s="15"/>
      <c r="BD161" s="15"/>
      <c r="BE161" s="15"/>
      <c r="BF161" s="16"/>
      <c r="BG161" s="16"/>
      <c r="BH161" s="15"/>
      <c r="BI161" s="15"/>
      <c r="BJ161" s="15"/>
      <c r="BK161" s="15"/>
    </row>
    <row r="162" spans="54:63" ht="15" customHeight="1" x14ac:dyDescent="0.3">
      <c r="BB162" s="15"/>
      <c r="BC162" s="15"/>
      <c r="BD162" s="15"/>
      <c r="BE162" s="15"/>
      <c r="BF162" s="16"/>
      <c r="BG162" s="16"/>
      <c r="BH162" s="15"/>
      <c r="BI162" s="15"/>
      <c r="BJ162" s="15"/>
      <c r="BK162" s="15"/>
    </row>
    <row r="163" spans="54:63" ht="15" customHeight="1" x14ac:dyDescent="0.3">
      <c r="BB163" s="15"/>
      <c r="BC163" s="15"/>
      <c r="BD163" s="15"/>
      <c r="BE163" s="15"/>
      <c r="BF163" s="16"/>
      <c r="BG163" s="16"/>
      <c r="BH163" s="15"/>
      <c r="BI163" s="15"/>
      <c r="BJ163" s="15"/>
      <c r="BK163" s="15"/>
    </row>
    <row r="164" spans="54:63" ht="15" customHeight="1" x14ac:dyDescent="0.3">
      <c r="BB164" s="15"/>
      <c r="BC164" s="15"/>
      <c r="BD164" s="15"/>
      <c r="BE164" s="15"/>
      <c r="BF164" s="16"/>
      <c r="BG164" s="16"/>
      <c r="BH164" s="15"/>
      <c r="BI164" s="15"/>
      <c r="BJ164" s="15"/>
      <c r="BK164" s="15"/>
    </row>
    <row r="165" spans="54:63" ht="15" customHeight="1" x14ac:dyDescent="0.3">
      <c r="BB165" s="15"/>
      <c r="BC165" s="15"/>
      <c r="BD165" s="15"/>
      <c r="BE165" s="15"/>
      <c r="BF165" s="16"/>
      <c r="BG165" s="16"/>
      <c r="BH165" s="15"/>
      <c r="BI165" s="15"/>
      <c r="BJ165" s="15"/>
      <c r="BK165" s="15"/>
    </row>
    <row r="166" spans="54:63" ht="15" customHeight="1" x14ac:dyDescent="0.3">
      <c r="BB166" s="15"/>
      <c r="BC166" s="15"/>
      <c r="BD166" s="15"/>
      <c r="BE166" s="15"/>
      <c r="BF166" s="16"/>
      <c r="BG166" s="16"/>
      <c r="BH166" s="15"/>
      <c r="BI166" s="15"/>
      <c r="BJ166" s="15"/>
      <c r="BK166" s="15"/>
    </row>
    <row r="167" spans="54:63" ht="15" customHeight="1" x14ac:dyDescent="0.3">
      <c r="BB167" s="15"/>
      <c r="BC167" s="15"/>
      <c r="BD167" s="15"/>
      <c r="BE167" s="15"/>
      <c r="BF167" s="16"/>
      <c r="BG167" s="16"/>
      <c r="BH167" s="15"/>
      <c r="BI167" s="15"/>
      <c r="BJ167" s="15"/>
      <c r="BK167" s="15"/>
    </row>
    <row r="168" spans="54:63" ht="15" customHeight="1" x14ac:dyDescent="0.3">
      <c r="BB168" s="15"/>
      <c r="BC168" s="15"/>
      <c r="BD168" s="15"/>
      <c r="BE168" s="15"/>
      <c r="BF168" s="16"/>
      <c r="BG168" s="16"/>
      <c r="BH168" s="15"/>
      <c r="BI168" s="15"/>
      <c r="BJ168" s="15"/>
      <c r="BK168" s="15"/>
    </row>
    <row r="169" spans="54:63" ht="15" customHeight="1" x14ac:dyDescent="0.3">
      <c r="BB169" s="15"/>
      <c r="BC169" s="15"/>
      <c r="BD169" s="15"/>
      <c r="BE169" s="15"/>
      <c r="BF169" s="16"/>
      <c r="BG169" s="16"/>
      <c r="BH169" s="15"/>
      <c r="BI169" s="15"/>
      <c r="BJ169" s="15"/>
      <c r="BK169" s="15"/>
    </row>
    <row r="170" spans="54:63" ht="15" customHeight="1" x14ac:dyDescent="0.3">
      <c r="BB170" s="15"/>
      <c r="BC170" s="15"/>
      <c r="BD170" s="15"/>
      <c r="BE170" s="15"/>
      <c r="BF170" s="16"/>
      <c r="BG170" s="16"/>
      <c r="BH170" s="15"/>
      <c r="BI170" s="15"/>
      <c r="BJ170" s="15"/>
      <c r="BK170" s="15"/>
    </row>
    <row r="171" spans="54:63" ht="15" customHeight="1" x14ac:dyDescent="0.3">
      <c r="BB171" s="15"/>
      <c r="BC171" s="15"/>
      <c r="BD171" s="15"/>
      <c r="BE171" s="15"/>
      <c r="BF171" s="16"/>
      <c r="BG171" s="16"/>
      <c r="BH171" s="15"/>
      <c r="BI171" s="15"/>
      <c r="BJ171" s="15"/>
      <c r="BK171" s="15"/>
    </row>
    <row r="172" spans="54:63" ht="15" customHeight="1" x14ac:dyDescent="0.3">
      <c r="BB172" s="15"/>
      <c r="BC172" s="15"/>
      <c r="BD172" s="15"/>
      <c r="BE172" s="15"/>
      <c r="BF172" s="16"/>
      <c r="BG172" s="16"/>
      <c r="BH172" s="15"/>
      <c r="BI172" s="15"/>
      <c r="BJ172" s="15"/>
      <c r="BK172" s="15"/>
    </row>
    <row r="173" spans="54:63" ht="15" customHeight="1" x14ac:dyDescent="0.3">
      <c r="BB173" s="15"/>
      <c r="BC173" s="15"/>
      <c r="BD173" s="15"/>
      <c r="BE173" s="15"/>
      <c r="BF173" s="16"/>
      <c r="BG173" s="16"/>
      <c r="BH173" s="15"/>
      <c r="BI173" s="15"/>
      <c r="BJ173" s="15"/>
      <c r="BK173" s="15"/>
    </row>
    <row r="174" spans="54:63" ht="15" customHeight="1" x14ac:dyDescent="0.3">
      <c r="BB174" s="15"/>
      <c r="BC174" s="15"/>
      <c r="BD174" s="15"/>
      <c r="BE174" s="15"/>
      <c r="BF174" s="16"/>
      <c r="BG174" s="16"/>
      <c r="BH174" s="15"/>
      <c r="BI174" s="15"/>
      <c r="BJ174" s="15"/>
      <c r="BK174" s="15"/>
    </row>
    <row r="175" spans="54:63" ht="15" customHeight="1" x14ac:dyDescent="0.3">
      <c r="BB175" s="15"/>
      <c r="BC175" s="15"/>
      <c r="BD175" s="15"/>
      <c r="BE175" s="15"/>
      <c r="BF175" s="16"/>
      <c r="BG175" s="16"/>
      <c r="BH175" s="15"/>
      <c r="BI175" s="15"/>
      <c r="BJ175" s="15"/>
      <c r="BK175" s="15"/>
    </row>
    <row r="176" spans="54:63" ht="15" customHeight="1" x14ac:dyDescent="0.3">
      <c r="BB176" s="15"/>
      <c r="BC176" s="15"/>
      <c r="BD176" s="15"/>
      <c r="BE176" s="15"/>
      <c r="BF176" s="16"/>
      <c r="BG176" s="16"/>
      <c r="BH176" s="15"/>
      <c r="BI176" s="15"/>
      <c r="BJ176" s="15"/>
      <c r="BK176" s="15"/>
    </row>
    <row r="177" spans="54:63" ht="15" customHeight="1" x14ac:dyDescent="0.3">
      <c r="BB177" s="15"/>
      <c r="BC177" s="15"/>
      <c r="BD177" s="15"/>
      <c r="BE177" s="15"/>
      <c r="BF177" s="16"/>
      <c r="BG177" s="16"/>
      <c r="BH177" s="15"/>
      <c r="BI177" s="15"/>
      <c r="BJ177" s="15"/>
      <c r="BK177" s="15"/>
    </row>
    <row r="178" spans="54:63" ht="15" customHeight="1" x14ac:dyDescent="0.3">
      <c r="BB178" s="15"/>
      <c r="BC178" s="15"/>
      <c r="BD178" s="15"/>
      <c r="BE178" s="15"/>
      <c r="BF178" s="16"/>
      <c r="BG178" s="16"/>
      <c r="BH178" s="15"/>
      <c r="BI178" s="15"/>
      <c r="BJ178" s="15"/>
      <c r="BK178" s="15"/>
    </row>
    <row r="179" spans="54:63" ht="15" customHeight="1" x14ac:dyDescent="0.3">
      <c r="BB179" s="15"/>
      <c r="BC179" s="15"/>
      <c r="BD179" s="15"/>
      <c r="BE179" s="15"/>
      <c r="BF179" s="16"/>
      <c r="BG179" s="16"/>
      <c r="BH179" s="15"/>
      <c r="BI179" s="15"/>
      <c r="BJ179" s="15"/>
      <c r="BK179" s="15"/>
    </row>
    <row r="180" spans="54:63" ht="15" customHeight="1" x14ac:dyDescent="0.3">
      <c r="BB180" s="15"/>
      <c r="BC180" s="15"/>
      <c r="BD180" s="15"/>
      <c r="BE180" s="15"/>
      <c r="BF180" s="16"/>
      <c r="BG180" s="16"/>
      <c r="BH180" s="15"/>
      <c r="BI180" s="15"/>
      <c r="BJ180" s="15"/>
      <c r="BK180" s="15"/>
    </row>
    <row r="181" spans="54:63" ht="15" customHeight="1" x14ac:dyDescent="0.3">
      <c r="BB181" s="15"/>
      <c r="BC181" s="15"/>
      <c r="BD181" s="15"/>
      <c r="BE181" s="15"/>
      <c r="BF181" s="16"/>
      <c r="BG181" s="16"/>
      <c r="BH181" s="15"/>
      <c r="BI181" s="15"/>
      <c r="BJ181" s="15"/>
      <c r="BK181" s="15"/>
    </row>
    <row r="182" spans="54:63" ht="15" customHeight="1" x14ac:dyDescent="0.3">
      <c r="BB182" s="15"/>
      <c r="BC182" s="15"/>
      <c r="BD182" s="15"/>
      <c r="BE182" s="15"/>
      <c r="BF182" s="16"/>
      <c r="BG182" s="16"/>
      <c r="BH182" s="15"/>
      <c r="BI182" s="15"/>
      <c r="BJ182" s="15"/>
      <c r="BK182" s="15"/>
    </row>
    <row r="183" spans="54:63" ht="15" customHeight="1" x14ac:dyDescent="0.3">
      <c r="BB183" s="15"/>
      <c r="BC183" s="15"/>
      <c r="BD183" s="15"/>
      <c r="BE183" s="15"/>
      <c r="BF183" s="16"/>
      <c r="BG183" s="16"/>
      <c r="BH183" s="15"/>
      <c r="BI183" s="15"/>
      <c r="BJ183" s="15"/>
      <c r="BK183" s="15"/>
    </row>
    <row r="184" spans="54:63" ht="15" customHeight="1" x14ac:dyDescent="0.3">
      <c r="BB184" s="15"/>
      <c r="BC184" s="15"/>
      <c r="BD184" s="15"/>
      <c r="BE184" s="15"/>
      <c r="BF184" s="16"/>
      <c r="BG184" s="16"/>
      <c r="BH184" s="15"/>
      <c r="BI184" s="15"/>
      <c r="BJ184" s="15"/>
      <c r="BK184" s="15"/>
    </row>
    <row r="185" spans="54:63" ht="15" customHeight="1" x14ac:dyDescent="0.3">
      <c r="BB185" s="15"/>
      <c r="BC185" s="15"/>
      <c r="BD185" s="15"/>
      <c r="BE185" s="15"/>
      <c r="BF185" s="16"/>
      <c r="BG185" s="16"/>
      <c r="BH185" s="15"/>
      <c r="BI185" s="15"/>
      <c r="BJ185" s="15"/>
      <c r="BK185" s="15"/>
    </row>
    <row r="186" spans="54:63" ht="15" customHeight="1" x14ac:dyDescent="0.3">
      <c r="BB186" s="15"/>
      <c r="BC186" s="15"/>
      <c r="BD186" s="15"/>
      <c r="BE186" s="15"/>
      <c r="BF186" s="16"/>
      <c r="BG186" s="16"/>
      <c r="BH186" s="15"/>
      <c r="BI186" s="15"/>
      <c r="BJ186" s="15"/>
      <c r="BK186" s="15"/>
    </row>
    <row r="187" spans="54:63" ht="15" customHeight="1" x14ac:dyDescent="0.3">
      <c r="BB187" s="15"/>
      <c r="BC187" s="15"/>
      <c r="BD187" s="15"/>
      <c r="BE187" s="15"/>
      <c r="BF187" s="16"/>
      <c r="BG187" s="16"/>
      <c r="BH187" s="15"/>
      <c r="BI187" s="15"/>
      <c r="BJ187" s="15"/>
      <c r="BK187" s="15"/>
    </row>
    <row r="188" spans="54:63" ht="15" customHeight="1" x14ac:dyDescent="0.3">
      <c r="BB188" s="15"/>
      <c r="BC188" s="15"/>
      <c r="BD188" s="15"/>
      <c r="BE188" s="15"/>
      <c r="BF188" s="16"/>
      <c r="BG188" s="16"/>
      <c r="BH188" s="15"/>
      <c r="BI188" s="15"/>
      <c r="BJ188" s="15"/>
      <c r="BK188" s="15"/>
    </row>
    <row r="189" spans="54:63" ht="15" customHeight="1" x14ac:dyDescent="0.3">
      <c r="BB189" s="15"/>
      <c r="BC189" s="15"/>
      <c r="BD189" s="15"/>
      <c r="BE189" s="15"/>
      <c r="BF189" s="16"/>
      <c r="BG189" s="16"/>
      <c r="BH189" s="15"/>
      <c r="BI189" s="15"/>
      <c r="BJ189" s="15"/>
      <c r="BK189" s="15"/>
    </row>
    <row r="190" spans="54:63" ht="15" customHeight="1" x14ac:dyDescent="0.3">
      <c r="BB190" s="15"/>
      <c r="BC190" s="15"/>
      <c r="BD190" s="15"/>
      <c r="BE190" s="15"/>
      <c r="BF190" s="16"/>
      <c r="BG190" s="16"/>
      <c r="BH190" s="15"/>
      <c r="BI190" s="15"/>
      <c r="BJ190" s="15"/>
      <c r="BK190" s="15"/>
    </row>
    <row r="191" spans="54:63" ht="15" customHeight="1" x14ac:dyDescent="0.3">
      <c r="BB191" s="15"/>
      <c r="BC191" s="15"/>
      <c r="BD191" s="15"/>
      <c r="BE191" s="15"/>
      <c r="BF191" s="16"/>
      <c r="BG191" s="16"/>
      <c r="BH191" s="15"/>
      <c r="BI191" s="15"/>
      <c r="BJ191" s="15"/>
      <c r="BK191" s="15"/>
    </row>
    <row r="192" spans="54:63" ht="15" customHeight="1" x14ac:dyDescent="0.3">
      <c r="BB192" s="15"/>
      <c r="BC192" s="15"/>
      <c r="BD192" s="15"/>
      <c r="BE192" s="15"/>
      <c r="BF192" s="16"/>
      <c r="BG192" s="16"/>
      <c r="BH192" s="15"/>
      <c r="BI192" s="15"/>
      <c r="BJ192" s="15"/>
      <c r="BK192" s="15"/>
    </row>
    <row r="193" spans="54:63" ht="15" customHeight="1" x14ac:dyDescent="0.3">
      <c r="BB193" s="15"/>
      <c r="BC193" s="15"/>
      <c r="BD193" s="15"/>
      <c r="BE193" s="15"/>
      <c r="BF193" s="16"/>
      <c r="BG193" s="16"/>
      <c r="BH193" s="15"/>
      <c r="BI193" s="15"/>
      <c r="BJ193" s="15"/>
      <c r="BK193" s="15"/>
    </row>
    <row r="194" spans="54:63" ht="15" customHeight="1" x14ac:dyDescent="0.3">
      <c r="BB194" s="15"/>
      <c r="BC194" s="15"/>
      <c r="BD194" s="15"/>
      <c r="BE194" s="15"/>
      <c r="BF194" s="16"/>
      <c r="BG194" s="16"/>
      <c r="BH194" s="15"/>
      <c r="BI194" s="15"/>
      <c r="BJ194" s="15"/>
      <c r="BK194" s="15"/>
    </row>
    <row r="195" spans="54:63" ht="15" customHeight="1" x14ac:dyDescent="0.3">
      <c r="BB195" s="15"/>
      <c r="BC195" s="15"/>
      <c r="BD195" s="15"/>
      <c r="BE195" s="15"/>
      <c r="BF195" s="16"/>
      <c r="BG195" s="16"/>
      <c r="BH195" s="15"/>
      <c r="BI195" s="15"/>
      <c r="BJ195" s="15"/>
      <c r="BK195" s="15"/>
    </row>
    <row r="196" spans="54:63" ht="15" customHeight="1" x14ac:dyDescent="0.3"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54:63" ht="15" customHeight="1" x14ac:dyDescent="0.3"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54:63" ht="15" customHeight="1" x14ac:dyDescent="0.3"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54:63" ht="15" customHeight="1" x14ac:dyDescent="0.3"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54:63" ht="15" customHeight="1" x14ac:dyDescent="0.3"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54:63" ht="15" customHeight="1" x14ac:dyDescent="0.3"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54:63" ht="15" customHeight="1" x14ac:dyDescent="0.3"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54:63" ht="15" customHeight="1" x14ac:dyDescent="0.3"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54:63" ht="15" customHeight="1" x14ac:dyDescent="0.3"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54:63" ht="15" customHeight="1" x14ac:dyDescent="0.3"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54:63" ht="15" customHeight="1" x14ac:dyDescent="0.3"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54:63" ht="15" customHeight="1" x14ac:dyDescent="0.3"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54:63" ht="15" customHeight="1" x14ac:dyDescent="0.3"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54:63" ht="15" customHeight="1" x14ac:dyDescent="0.3"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54:63" ht="15" customHeight="1" x14ac:dyDescent="0.3"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54:63" ht="15" customHeight="1" x14ac:dyDescent="0.3"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54:63" ht="15" customHeight="1" x14ac:dyDescent="0.3"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54:63" ht="15" customHeight="1" x14ac:dyDescent="0.3"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  <row r="214" spans="54:63" ht="15" customHeight="1" x14ac:dyDescent="0.3"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</row>
    <row r="215" spans="54:63" ht="15" customHeight="1" x14ac:dyDescent="0.3"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</row>
    <row r="216" spans="54:63" ht="15" customHeight="1" x14ac:dyDescent="0.3"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</row>
    <row r="217" spans="54:63" ht="15" customHeight="1" x14ac:dyDescent="0.3"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</row>
    <row r="218" spans="54:63" ht="15" customHeight="1" x14ac:dyDescent="0.3"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</row>
    <row r="219" spans="54:63" ht="15" customHeight="1" x14ac:dyDescent="0.3"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</row>
    <row r="220" spans="54:63" ht="15" customHeight="1" x14ac:dyDescent="0.3"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</row>
    <row r="221" spans="54:63" ht="15" customHeight="1" x14ac:dyDescent="0.3"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</row>
    <row r="222" spans="54:63" ht="15" customHeight="1" x14ac:dyDescent="0.3"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</row>
    <row r="223" spans="54:63" ht="15" customHeight="1" x14ac:dyDescent="0.3"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</row>
    <row r="224" spans="54:63" ht="15" customHeight="1" x14ac:dyDescent="0.3"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</row>
    <row r="225" spans="54:63" ht="15" customHeight="1" x14ac:dyDescent="0.3"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</row>
    <row r="226" spans="54:63" ht="15" customHeight="1" x14ac:dyDescent="0.3"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</row>
    <row r="227" spans="54:63" ht="15" customHeight="1" x14ac:dyDescent="0.3"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</row>
    <row r="228" spans="54:63" ht="15" customHeight="1" x14ac:dyDescent="0.3"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</row>
    <row r="229" spans="54:63" ht="15" customHeight="1" x14ac:dyDescent="0.3"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</row>
    <row r="230" spans="54:63" ht="15" customHeight="1" x14ac:dyDescent="0.3"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</row>
    <row r="231" spans="54:63" ht="15" customHeight="1" x14ac:dyDescent="0.3"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</row>
    <row r="232" spans="54:63" ht="15" customHeight="1" x14ac:dyDescent="0.3"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</row>
    <row r="233" spans="54:63" ht="15" customHeight="1" x14ac:dyDescent="0.3"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</row>
    <row r="234" spans="54:63" ht="15" customHeight="1" x14ac:dyDescent="0.3"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</row>
    <row r="235" spans="54:63" ht="15" customHeight="1" x14ac:dyDescent="0.3"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</row>
    <row r="236" spans="54:63" ht="15" customHeight="1" x14ac:dyDescent="0.3"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</row>
    <row r="237" spans="54:63" ht="15" customHeight="1" x14ac:dyDescent="0.3"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</row>
    <row r="238" spans="54:63" ht="15" customHeight="1" x14ac:dyDescent="0.3"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</row>
    <row r="239" spans="54:63" ht="15" customHeight="1" x14ac:dyDescent="0.3"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</row>
    <row r="240" spans="54:63" ht="15" customHeight="1" x14ac:dyDescent="0.3"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</row>
    <row r="241" spans="54:63" ht="15" customHeight="1" x14ac:dyDescent="0.3"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</row>
    <row r="242" spans="54:63" ht="15" customHeight="1" x14ac:dyDescent="0.3"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</row>
    <row r="243" spans="54:63" ht="15" customHeight="1" x14ac:dyDescent="0.3"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</row>
    <row r="244" spans="54:63" ht="15" customHeight="1" x14ac:dyDescent="0.3"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</row>
    <row r="245" spans="54:63" ht="15" customHeight="1" x14ac:dyDescent="0.3"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</row>
    <row r="246" spans="54:63" ht="15" customHeight="1" x14ac:dyDescent="0.3"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</row>
    <row r="247" spans="54:63" ht="15" customHeight="1" x14ac:dyDescent="0.3"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</row>
    <row r="248" spans="54:63" ht="15" customHeight="1" x14ac:dyDescent="0.3"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</row>
    <row r="249" spans="54:63" ht="15" customHeight="1" x14ac:dyDescent="0.3"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</row>
    <row r="250" spans="54:63" ht="15" customHeight="1" x14ac:dyDescent="0.3"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</row>
    <row r="251" spans="54:63" ht="15" customHeight="1" x14ac:dyDescent="0.3"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</row>
    <row r="252" spans="54:63" ht="15" customHeight="1" x14ac:dyDescent="0.3"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</row>
    <row r="253" spans="54:63" ht="15" customHeight="1" x14ac:dyDescent="0.3"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</row>
    <row r="254" spans="54:63" ht="15" customHeight="1" x14ac:dyDescent="0.3"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</row>
    <row r="255" spans="54:63" ht="15" customHeight="1" x14ac:dyDescent="0.3"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</row>
    <row r="256" spans="54:63" ht="15" customHeight="1" x14ac:dyDescent="0.3"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</row>
    <row r="257" spans="54:63" ht="15" customHeight="1" x14ac:dyDescent="0.3"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</row>
    <row r="258" spans="54:63" ht="15" customHeight="1" x14ac:dyDescent="0.3"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</row>
    <row r="259" spans="54:63" ht="15" customHeight="1" x14ac:dyDescent="0.3"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</row>
    <row r="260" spans="54:63" ht="15" customHeight="1" x14ac:dyDescent="0.3"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</row>
    <row r="261" spans="54:63" ht="15" customHeight="1" x14ac:dyDescent="0.3"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</row>
    <row r="262" spans="54:63" ht="15" customHeight="1" x14ac:dyDescent="0.3"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</row>
    <row r="263" spans="54:63" ht="15" customHeight="1" x14ac:dyDescent="0.3"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</row>
    <row r="264" spans="54:63" ht="15" customHeight="1" x14ac:dyDescent="0.3"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</row>
    <row r="265" spans="54:63" ht="15" customHeight="1" x14ac:dyDescent="0.3"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</row>
    <row r="266" spans="54:63" ht="15" customHeight="1" x14ac:dyDescent="0.3"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</row>
    <row r="267" spans="54:63" ht="15" customHeight="1" x14ac:dyDescent="0.3"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</row>
    <row r="268" spans="54:63" ht="15" customHeight="1" x14ac:dyDescent="0.3"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</row>
    <row r="269" spans="54:63" ht="15" customHeight="1" x14ac:dyDescent="0.3"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</row>
    <row r="270" spans="54:63" ht="15" customHeight="1" x14ac:dyDescent="0.3"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</row>
    <row r="271" spans="54:63" ht="15" customHeight="1" x14ac:dyDescent="0.3"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</row>
    <row r="272" spans="54:63" ht="15" customHeight="1" x14ac:dyDescent="0.3"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</row>
    <row r="273" spans="54:63" ht="15" customHeight="1" x14ac:dyDescent="0.3"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</row>
    <row r="274" spans="54:63" ht="15" customHeight="1" x14ac:dyDescent="0.3"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</row>
    <row r="275" spans="54:63" ht="15" customHeight="1" x14ac:dyDescent="0.3"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</row>
    <row r="276" spans="54:63" ht="15" customHeight="1" x14ac:dyDescent="0.3"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</row>
    <row r="277" spans="54:63" ht="15" customHeight="1" x14ac:dyDescent="0.3"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</row>
    <row r="278" spans="54:63" ht="15" customHeight="1" x14ac:dyDescent="0.3"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</row>
    <row r="279" spans="54:63" ht="15" customHeight="1" x14ac:dyDescent="0.3"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</row>
    <row r="280" spans="54:63" ht="15" customHeight="1" x14ac:dyDescent="0.3"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</row>
    <row r="281" spans="54:63" ht="15" customHeight="1" x14ac:dyDescent="0.3"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</row>
    <row r="282" spans="54:63" ht="15" customHeight="1" x14ac:dyDescent="0.3"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</row>
    <row r="283" spans="54:63" ht="15" customHeight="1" x14ac:dyDescent="0.3"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</row>
    <row r="284" spans="54:63" ht="15" customHeight="1" x14ac:dyDescent="0.3"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</row>
    <row r="285" spans="54:63" ht="15" customHeight="1" x14ac:dyDescent="0.3"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</row>
    <row r="286" spans="54:63" ht="15" customHeight="1" x14ac:dyDescent="0.3"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</row>
    <row r="287" spans="54:63" ht="15" customHeight="1" x14ac:dyDescent="0.3"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</row>
    <row r="288" spans="54:63" ht="15" customHeight="1" x14ac:dyDescent="0.3"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</row>
    <row r="289" spans="54:63" ht="15" customHeight="1" x14ac:dyDescent="0.3"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</row>
    <row r="290" spans="54:63" ht="15" customHeight="1" x14ac:dyDescent="0.3"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</row>
    <row r="291" spans="54:63" ht="15" customHeight="1" x14ac:dyDescent="0.3"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</row>
    <row r="292" spans="54:63" ht="15" customHeight="1" x14ac:dyDescent="0.3"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</row>
    <row r="293" spans="54:63" ht="15" customHeight="1" x14ac:dyDescent="0.3"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</row>
    <row r="294" spans="54:63" ht="15" customHeight="1" x14ac:dyDescent="0.3"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</row>
    <row r="295" spans="54:63" ht="15" customHeight="1" x14ac:dyDescent="0.3"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</row>
    <row r="296" spans="54:63" ht="15" customHeight="1" x14ac:dyDescent="0.3"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</row>
    <row r="297" spans="54:63" ht="15" customHeight="1" x14ac:dyDescent="0.3"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</row>
    <row r="298" spans="54:63" ht="15" customHeight="1" x14ac:dyDescent="0.3"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</row>
    <row r="299" spans="54:63" ht="15" customHeight="1" x14ac:dyDescent="0.3"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</row>
    <row r="300" spans="54:63" ht="15" customHeight="1" x14ac:dyDescent="0.3"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</row>
    <row r="301" spans="54:63" ht="15" customHeight="1" x14ac:dyDescent="0.3"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</row>
    <row r="302" spans="54:63" ht="15" customHeight="1" x14ac:dyDescent="0.3"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</row>
    <row r="303" spans="54:63" ht="15" customHeight="1" x14ac:dyDescent="0.3"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</row>
    <row r="304" spans="54:63" ht="15" customHeight="1" x14ac:dyDescent="0.3"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</row>
    <row r="305" spans="54:63" ht="15" customHeight="1" x14ac:dyDescent="0.3"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</row>
    <row r="306" spans="54:63" ht="15" customHeight="1" x14ac:dyDescent="0.3"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</row>
    <row r="307" spans="54:63" ht="15" customHeight="1" x14ac:dyDescent="0.3"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</row>
    <row r="308" spans="54:63" ht="15" customHeight="1" x14ac:dyDescent="0.3"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</row>
    <row r="309" spans="54:63" ht="15" customHeight="1" x14ac:dyDescent="0.3"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</row>
    <row r="310" spans="54:63" ht="15" customHeight="1" x14ac:dyDescent="0.3"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</row>
    <row r="311" spans="54:63" ht="15" customHeight="1" x14ac:dyDescent="0.3"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</row>
    <row r="312" spans="54:63" ht="15" customHeight="1" x14ac:dyDescent="0.3"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</row>
    <row r="313" spans="54:63" ht="15" customHeight="1" x14ac:dyDescent="0.3"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</row>
    <row r="314" spans="54:63" ht="15" customHeight="1" x14ac:dyDescent="0.3"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</row>
    <row r="315" spans="54:63" ht="15" customHeight="1" x14ac:dyDescent="0.3"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</row>
    <row r="316" spans="54:63" ht="15" customHeight="1" x14ac:dyDescent="0.3"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</row>
    <row r="317" spans="54:63" ht="15" customHeight="1" x14ac:dyDescent="0.3"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</row>
    <row r="318" spans="54:63" ht="15" customHeight="1" x14ac:dyDescent="0.3"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</row>
    <row r="319" spans="54:63" ht="15" customHeight="1" x14ac:dyDescent="0.3"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</row>
    <row r="320" spans="54:63" ht="15" customHeight="1" x14ac:dyDescent="0.3"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</row>
    <row r="321" spans="54:63" ht="15" customHeight="1" x14ac:dyDescent="0.3"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</row>
    <row r="322" spans="54:63" ht="15" customHeight="1" x14ac:dyDescent="0.3"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</row>
    <row r="323" spans="54:63" ht="15" customHeight="1" x14ac:dyDescent="0.3"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</row>
    <row r="324" spans="54:63" ht="15" customHeight="1" x14ac:dyDescent="0.3"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</row>
    <row r="325" spans="54:63" ht="15" customHeight="1" x14ac:dyDescent="0.3"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</row>
    <row r="326" spans="54:63" ht="15" customHeight="1" x14ac:dyDescent="0.3"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</row>
    <row r="327" spans="54:63" ht="15" customHeight="1" x14ac:dyDescent="0.3"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</row>
    <row r="328" spans="54:63" ht="15" customHeight="1" x14ac:dyDescent="0.3"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</row>
    <row r="329" spans="54:63" ht="15" customHeight="1" x14ac:dyDescent="0.3"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</row>
    <row r="330" spans="54:63" ht="15" customHeight="1" x14ac:dyDescent="0.3"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</row>
    <row r="331" spans="54:63" ht="15" customHeight="1" x14ac:dyDescent="0.3"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</row>
    <row r="332" spans="54:63" ht="15" customHeight="1" x14ac:dyDescent="0.3"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</row>
    <row r="333" spans="54:63" ht="15" customHeight="1" x14ac:dyDescent="0.3"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</row>
    <row r="334" spans="54:63" ht="15" customHeight="1" x14ac:dyDescent="0.3"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</row>
    <row r="335" spans="54:63" ht="15" customHeight="1" x14ac:dyDescent="0.3"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</row>
    <row r="336" spans="54:63" ht="15" customHeight="1" x14ac:dyDescent="0.3"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</row>
    <row r="337" spans="54:63" ht="15" customHeight="1" x14ac:dyDescent="0.3"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</row>
    <row r="338" spans="54:63" ht="15" customHeight="1" x14ac:dyDescent="0.3"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</row>
    <row r="339" spans="54:63" ht="15" customHeight="1" x14ac:dyDescent="0.3"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</row>
    <row r="340" spans="54:63" ht="15" customHeight="1" x14ac:dyDescent="0.3"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</row>
    <row r="341" spans="54:63" ht="15" customHeight="1" x14ac:dyDescent="0.3"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</row>
    <row r="342" spans="54:63" ht="15" customHeight="1" x14ac:dyDescent="0.3"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</row>
    <row r="343" spans="54:63" ht="15" customHeight="1" x14ac:dyDescent="0.3"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</row>
    <row r="344" spans="54:63" ht="15" customHeight="1" x14ac:dyDescent="0.3"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</row>
    <row r="345" spans="54:63" ht="15" customHeight="1" x14ac:dyDescent="0.3"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</row>
    <row r="346" spans="54:63" ht="15" customHeight="1" x14ac:dyDescent="0.3"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</row>
    <row r="347" spans="54:63" ht="15" customHeight="1" x14ac:dyDescent="0.3"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</row>
    <row r="348" spans="54:63" ht="15" customHeight="1" x14ac:dyDescent="0.3"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</row>
    <row r="349" spans="54:63" ht="15" customHeight="1" x14ac:dyDescent="0.3"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</row>
    <row r="350" spans="54:63" ht="15" customHeight="1" x14ac:dyDescent="0.3"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</row>
    <row r="351" spans="54:63" ht="15" customHeight="1" x14ac:dyDescent="0.3"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</row>
    <row r="352" spans="54:63" ht="15" customHeight="1" x14ac:dyDescent="0.3"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</row>
    <row r="353" spans="54:63" ht="15" customHeight="1" x14ac:dyDescent="0.3"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</row>
    <row r="354" spans="54:63" ht="15" customHeight="1" x14ac:dyDescent="0.3"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</row>
    <row r="355" spans="54:63" ht="15" customHeight="1" x14ac:dyDescent="0.3"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</row>
    <row r="356" spans="54:63" ht="15" customHeight="1" x14ac:dyDescent="0.3"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</row>
    <row r="357" spans="54:63" ht="15" customHeight="1" x14ac:dyDescent="0.3"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</row>
    <row r="358" spans="54:63" ht="15" customHeight="1" x14ac:dyDescent="0.3"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</row>
    <row r="359" spans="54:63" ht="15" customHeight="1" x14ac:dyDescent="0.3"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</row>
    <row r="360" spans="54:63" ht="15" customHeight="1" x14ac:dyDescent="0.3"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</row>
    <row r="361" spans="54:63" ht="15" customHeight="1" x14ac:dyDescent="0.3"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</row>
    <row r="362" spans="54:63" ht="15" customHeight="1" x14ac:dyDescent="0.3"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</row>
    <row r="363" spans="54:63" ht="15" customHeight="1" x14ac:dyDescent="0.3"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</row>
    <row r="364" spans="54:63" ht="15" customHeight="1" x14ac:dyDescent="0.3"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</row>
    <row r="365" spans="54:63" ht="15" customHeight="1" x14ac:dyDescent="0.3"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</row>
    <row r="366" spans="54:63" ht="15" customHeight="1" x14ac:dyDescent="0.3"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</row>
    <row r="367" spans="54:63" ht="15" customHeight="1" x14ac:dyDescent="0.3"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</row>
    <row r="368" spans="54:63" ht="15" customHeight="1" x14ac:dyDescent="0.3"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</row>
    <row r="369" spans="54:63" ht="15" customHeight="1" x14ac:dyDescent="0.3"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</row>
    <row r="370" spans="54:63" ht="15" customHeight="1" x14ac:dyDescent="0.3"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</row>
    <row r="371" spans="54:63" ht="15" customHeight="1" x14ac:dyDescent="0.3"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</row>
    <row r="372" spans="54:63" ht="15" customHeight="1" x14ac:dyDescent="0.3"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</row>
    <row r="373" spans="54:63" ht="15" customHeight="1" x14ac:dyDescent="0.3"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</row>
    <row r="374" spans="54:63" ht="15" customHeight="1" x14ac:dyDescent="0.3"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</row>
    <row r="375" spans="54:63" ht="15" customHeight="1" x14ac:dyDescent="0.3"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</row>
    <row r="376" spans="54:63" ht="15" customHeight="1" x14ac:dyDescent="0.3"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</row>
    <row r="377" spans="54:63" ht="15" customHeight="1" x14ac:dyDescent="0.3"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</row>
    <row r="378" spans="54:63" ht="15" customHeight="1" x14ac:dyDescent="0.3"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</row>
    <row r="379" spans="54:63" ht="15" customHeight="1" x14ac:dyDescent="0.3"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</row>
    <row r="380" spans="54:63" ht="15" customHeight="1" x14ac:dyDescent="0.3"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</row>
    <row r="381" spans="54:63" ht="15" customHeight="1" x14ac:dyDescent="0.3"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</row>
    <row r="382" spans="54:63" ht="15" customHeight="1" x14ac:dyDescent="0.3"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</row>
    <row r="383" spans="54:63" ht="15" customHeight="1" x14ac:dyDescent="0.3"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</row>
    <row r="384" spans="54:63" ht="15" customHeight="1" x14ac:dyDescent="0.3"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</row>
    <row r="385" spans="54:63" ht="15" customHeight="1" x14ac:dyDescent="0.3"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</row>
    <row r="386" spans="54:63" ht="15" customHeight="1" x14ac:dyDescent="0.3"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</row>
    <row r="387" spans="54:63" ht="15" customHeight="1" x14ac:dyDescent="0.3"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</row>
    <row r="388" spans="54:63" ht="15" customHeight="1" x14ac:dyDescent="0.3"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</row>
    <row r="389" spans="54:63" ht="15" customHeight="1" x14ac:dyDescent="0.3"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</row>
    <row r="390" spans="54:63" ht="15" customHeight="1" x14ac:dyDescent="0.3"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</row>
    <row r="391" spans="54:63" ht="15" customHeight="1" x14ac:dyDescent="0.3"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</row>
    <row r="392" spans="54:63" ht="15" customHeight="1" x14ac:dyDescent="0.3"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</row>
    <row r="393" spans="54:63" ht="15" customHeight="1" x14ac:dyDescent="0.3"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</row>
    <row r="394" spans="54:63" ht="15" customHeight="1" x14ac:dyDescent="0.3"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</row>
    <row r="395" spans="54:63" ht="15" customHeight="1" x14ac:dyDescent="0.3"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</row>
    <row r="396" spans="54:63" ht="15" customHeight="1" x14ac:dyDescent="0.3"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</row>
    <row r="397" spans="54:63" ht="15" customHeight="1" x14ac:dyDescent="0.3"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</row>
    <row r="398" spans="54:63" ht="15" customHeight="1" x14ac:dyDescent="0.3"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</row>
    <row r="399" spans="54:63" ht="15" customHeight="1" x14ac:dyDescent="0.3"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</row>
    <row r="400" spans="54:63" ht="15" customHeight="1" x14ac:dyDescent="0.3"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</row>
    <row r="401" spans="54:63" ht="15" customHeight="1" x14ac:dyDescent="0.3"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</row>
    <row r="402" spans="54:63" ht="15" customHeight="1" x14ac:dyDescent="0.3"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</row>
    <row r="403" spans="54:63" ht="15" customHeight="1" x14ac:dyDescent="0.3"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</row>
    <row r="404" spans="54:63" ht="15" customHeight="1" x14ac:dyDescent="0.3"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</row>
    <row r="405" spans="54:63" ht="15" customHeight="1" x14ac:dyDescent="0.3"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</row>
    <row r="406" spans="54:63" ht="15" customHeight="1" x14ac:dyDescent="0.3"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</row>
    <row r="407" spans="54:63" ht="15" customHeight="1" x14ac:dyDescent="0.3"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</row>
    <row r="408" spans="54:63" ht="15" customHeight="1" x14ac:dyDescent="0.3"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</row>
    <row r="409" spans="54:63" ht="15" customHeight="1" x14ac:dyDescent="0.3"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</row>
    <row r="410" spans="54:63" ht="15" customHeight="1" x14ac:dyDescent="0.3"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</row>
    <row r="411" spans="54:63" ht="15" customHeight="1" x14ac:dyDescent="0.3"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</row>
    <row r="412" spans="54:63" ht="15" customHeight="1" x14ac:dyDescent="0.3"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</row>
    <row r="413" spans="54:63" ht="15" customHeight="1" x14ac:dyDescent="0.3"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</row>
    <row r="414" spans="54:63" ht="15" customHeight="1" x14ac:dyDescent="0.3"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</row>
    <row r="415" spans="54:63" ht="15" customHeight="1" x14ac:dyDescent="0.3"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</row>
    <row r="416" spans="54:63" ht="15" customHeight="1" x14ac:dyDescent="0.3"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</row>
    <row r="417" spans="54:63" ht="15" customHeight="1" x14ac:dyDescent="0.3"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</row>
    <row r="418" spans="54:63" ht="15" customHeight="1" x14ac:dyDescent="0.3"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</row>
    <row r="419" spans="54:63" ht="15" customHeight="1" x14ac:dyDescent="0.3"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</row>
    <row r="420" spans="54:63" ht="15" customHeight="1" x14ac:dyDescent="0.3"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</row>
    <row r="421" spans="54:63" ht="15" customHeight="1" x14ac:dyDescent="0.3"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</row>
    <row r="422" spans="54:63" ht="15" customHeight="1" x14ac:dyDescent="0.3"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</row>
    <row r="423" spans="54:63" ht="15" customHeight="1" x14ac:dyDescent="0.3"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</row>
    <row r="424" spans="54:63" ht="15" customHeight="1" x14ac:dyDescent="0.3"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</row>
    <row r="425" spans="54:63" ht="15" customHeight="1" x14ac:dyDescent="0.3"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</row>
    <row r="426" spans="54:63" ht="15" customHeight="1" x14ac:dyDescent="0.3"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</row>
    <row r="427" spans="54:63" ht="15" customHeight="1" x14ac:dyDescent="0.3"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</row>
    <row r="428" spans="54:63" ht="15" customHeight="1" x14ac:dyDescent="0.3"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</row>
    <row r="429" spans="54:63" ht="15" customHeight="1" x14ac:dyDescent="0.3"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</row>
    <row r="430" spans="54:63" ht="15" customHeight="1" x14ac:dyDescent="0.3"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</row>
    <row r="431" spans="54:63" ht="15" customHeight="1" x14ac:dyDescent="0.3"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</row>
    <row r="432" spans="54:63" ht="15" customHeight="1" x14ac:dyDescent="0.3"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</row>
    <row r="433" spans="54:63" ht="15" customHeight="1" x14ac:dyDescent="0.3"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</row>
    <row r="434" spans="54:63" ht="15" customHeight="1" x14ac:dyDescent="0.3"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</row>
    <row r="435" spans="54:63" ht="15" customHeight="1" x14ac:dyDescent="0.3"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</row>
    <row r="436" spans="54:63" ht="15" customHeight="1" x14ac:dyDescent="0.3"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</row>
    <row r="437" spans="54:63" ht="15" customHeight="1" x14ac:dyDescent="0.3"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</row>
    <row r="438" spans="54:63" ht="15" customHeight="1" x14ac:dyDescent="0.3"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</row>
    <row r="439" spans="54:63" ht="15" customHeight="1" x14ac:dyDescent="0.3"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</row>
    <row r="440" spans="54:63" ht="15" customHeight="1" x14ac:dyDescent="0.3"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</row>
    <row r="441" spans="54:63" ht="15" customHeight="1" x14ac:dyDescent="0.3"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</row>
    <row r="442" spans="54:63" ht="15" customHeight="1" x14ac:dyDescent="0.3"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</row>
    <row r="443" spans="54:63" ht="15" customHeight="1" x14ac:dyDescent="0.3"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</row>
    <row r="444" spans="54:63" ht="15" customHeight="1" x14ac:dyDescent="0.3"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</row>
    <row r="445" spans="54:63" ht="15" customHeight="1" x14ac:dyDescent="0.3"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</row>
    <row r="446" spans="54:63" ht="15" customHeight="1" x14ac:dyDescent="0.3"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</row>
    <row r="447" spans="54:63" ht="15" customHeight="1" x14ac:dyDescent="0.3"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</row>
    <row r="448" spans="54:63" ht="15" customHeight="1" x14ac:dyDescent="0.3"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</row>
    <row r="449" spans="54:63" ht="15" customHeight="1" x14ac:dyDescent="0.3"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</row>
    <row r="450" spans="54:63" ht="15" customHeight="1" x14ac:dyDescent="0.3"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</row>
    <row r="451" spans="54:63" ht="15" customHeight="1" x14ac:dyDescent="0.3"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</row>
    <row r="452" spans="54:63" ht="15" customHeight="1" x14ac:dyDescent="0.3"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</row>
    <row r="453" spans="54:63" ht="15" customHeight="1" x14ac:dyDescent="0.3"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</row>
    <row r="454" spans="54:63" ht="15" customHeight="1" x14ac:dyDescent="0.3"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</row>
    <row r="455" spans="54:63" ht="15" customHeight="1" x14ac:dyDescent="0.3"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</row>
    <row r="456" spans="54:63" ht="15" customHeight="1" x14ac:dyDescent="0.3"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</row>
    <row r="457" spans="54:63" ht="15" customHeight="1" x14ac:dyDescent="0.3"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</row>
    <row r="458" spans="54:63" ht="15" customHeight="1" x14ac:dyDescent="0.3"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</row>
    <row r="459" spans="54:63" ht="15" customHeight="1" x14ac:dyDescent="0.3"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</row>
    <row r="460" spans="54:63" ht="15" customHeight="1" x14ac:dyDescent="0.3"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</row>
    <row r="461" spans="54:63" ht="15" customHeight="1" x14ac:dyDescent="0.3"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</row>
    <row r="462" spans="54:63" ht="15" customHeight="1" x14ac:dyDescent="0.3"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</row>
    <row r="463" spans="54:63" ht="15" customHeight="1" x14ac:dyDescent="0.3"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</row>
    <row r="464" spans="54:63" ht="15" customHeight="1" x14ac:dyDescent="0.3"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</row>
    <row r="465" spans="54:63" ht="15" customHeight="1" x14ac:dyDescent="0.3"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</row>
    <row r="466" spans="54:63" ht="15" customHeight="1" x14ac:dyDescent="0.3"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</row>
    <row r="467" spans="54:63" ht="15" customHeight="1" x14ac:dyDescent="0.3"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</row>
    <row r="468" spans="54:63" ht="15" customHeight="1" x14ac:dyDescent="0.3"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</row>
    <row r="469" spans="54:63" ht="15" customHeight="1" x14ac:dyDescent="0.3"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</row>
    <row r="470" spans="54:63" ht="15" customHeight="1" x14ac:dyDescent="0.3"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</row>
    <row r="471" spans="54:63" ht="15" customHeight="1" x14ac:dyDescent="0.3"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</row>
    <row r="472" spans="54:63" ht="15" customHeight="1" x14ac:dyDescent="0.3"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</row>
    <row r="473" spans="54:63" ht="15" customHeight="1" x14ac:dyDescent="0.3"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</row>
    <row r="474" spans="54:63" ht="15" customHeight="1" x14ac:dyDescent="0.3"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</row>
    <row r="475" spans="54:63" ht="15" customHeight="1" x14ac:dyDescent="0.3"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</row>
    <row r="476" spans="54:63" ht="15" customHeight="1" x14ac:dyDescent="0.3"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</row>
    <row r="477" spans="54:63" ht="15" customHeight="1" x14ac:dyDescent="0.3"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</row>
    <row r="478" spans="54:63" ht="15" customHeight="1" x14ac:dyDescent="0.3"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</row>
    <row r="479" spans="54:63" ht="15" customHeight="1" x14ac:dyDescent="0.3"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</row>
    <row r="480" spans="54:63" ht="15" customHeight="1" x14ac:dyDescent="0.3"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</row>
    <row r="481" spans="54:63" ht="15" customHeight="1" x14ac:dyDescent="0.3"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</row>
    <row r="482" spans="54:63" ht="15" customHeight="1" x14ac:dyDescent="0.3"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</row>
    <row r="483" spans="54:63" ht="15" customHeight="1" x14ac:dyDescent="0.3"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</row>
    <row r="484" spans="54:63" ht="15" customHeight="1" x14ac:dyDescent="0.3"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</row>
    <row r="485" spans="54:63" ht="15" customHeight="1" x14ac:dyDescent="0.3"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</row>
    <row r="486" spans="54:63" ht="15" customHeight="1" x14ac:dyDescent="0.3"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</row>
    <row r="487" spans="54:63" ht="15" customHeight="1" x14ac:dyDescent="0.3"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</row>
    <row r="488" spans="54:63" ht="15" customHeight="1" x14ac:dyDescent="0.3"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</row>
    <row r="489" spans="54:63" ht="15" customHeight="1" x14ac:dyDescent="0.3"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</row>
    <row r="490" spans="54:63" ht="15" customHeight="1" x14ac:dyDescent="0.3"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</row>
    <row r="491" spans="54:63" ht="15" customHeight="1" x14ac:dyDescent="0.3"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</row>
    <row r="492" spans="54:63" ht="15" customHeight="1" x14ac:dyDescent="0.3"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</row>
    <row r="493" spans="54:63" ht="15" customHeight="1" x14ac:dyDescent="0.3"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</row>
    <row r="494" spans="54:63" ht="15" customHeight="1" x14ac:dyDescent="0.3"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</row>
    <row r="495" spans="54:63" ht="15" customHeight="1" x14ac:dyDescent="0.3"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</row>
    <row r="496" spans="54:63" ht="15" customHeight="1" x14ac:dyDescent="0.3"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</row>
    <row r="497" spans="54:63" ht="15" customHeight="1" x14ac:dyDescent="0.3"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</row>
    <row r="498" spans="54:63" ht="15" customHeight="1" x14ac:dyDescent="0.3"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</row>
    <row r="499" spans="54:63" ht="15" customHeight="1" x14ac:dyDescent="0.3"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</row>
    <row r="500" spans="54:63" ht="15" customHeight="1" x14ac:dyDescent="0.3"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</row>
    <row r="501" spans="54:63" ht="15" customHeight="1" x14ac:dyDescent="0.3"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</row>
    <row r="502" spans="54:63" ht="15" customHeight="1" x14ac:dyDescent="0.3"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</row>
    <row r="503" spans="54:63" ht="15" customHeight="1" x14ac:dyDescent="0.3"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</row>
    <row r="504" spans="54:63" ht="15" customHeight="1" x14ac:dyDescent="0.3"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</row>
    <row r="505" spans="54:63" ht="15" customHeight="1" x14ac:dyDescent="0.3"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</row>
    <row r="506" spans="54:63" ht="15" customHeight="1" x14ac:dyDescent="0.3"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</row>
    <row r="507" spans="54:63" ht="15" customHeight="1" x14ac:dyDescent="0.3"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</row>
    <row r="508" spans="54:63" ht="15" customHeight="1" x14ac:dyDescent="0.3"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</row>
    <row r="509" spans="54:63" ht="15" customHeight="1" x14ac:dyDescent="0.3"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</row>
    <row r="510" spans="54:63" ht="15" customHeight="1" x14ac:dyDescent="0.3"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</row>
    <row r="511" spans="54:63" ht="15" customHeight="1" x14ac:dyDescent="0.3"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</row>
    <row r="512" spans="54:63" ht="15" customHeight="1" x14ac:dyDescent="0.3"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</row>
    <row r="513" spans="54:63" ht="15" customHeight="1" x14ac:dyDescent="0.3"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</row>
    <row r="514" spans="54:63" ht="15" customHeight="1" x14ac:dyDescent="0.3"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</row>
    <row r="515" spans="54:63" ht="15" customHeight="1" x14ac:dyDescent="0.3"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</row>
    <row r="516" spans="54:63" ht="15" customHeight="1" x14ac:dyDescent="0.3"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</row>
    <row r="517" spans="54:63" ht="15" customHeight="1" x14ac:dyDescent="0.3"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</row>
    <row r="518" spans="54:63" ht="15" customHeight="1" x14ac:dyDescent="0.3"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</row>
    <row r="519" spans="54:63" ht="15" customHeight="1" x14ac:dyDescent="0.3"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</row>
    <row r="520" spans="54:63" ht="15" customHeight="1" x14ac:dyDescent="0.3"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</row>
    <row r="521" spans="54:63" ht="15" customHeight="1" x14ac:dyDescent="0.3"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</row>
    <row r="522" spans="54:63" ht="15" customHeight="1" x14ac:dyDescent="0.3"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</row>
    <row r="523" spans="54:63" ht="15" customHeight="1" x14ac:dyDescent="0.3"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</row>
    <row r="524" spans="54:63" ht="15" customHeight="1" x14ac:dyDescent="0.3"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</row>
    <row r="525" spans="54:63" ht="15" customHeight="1" x14ac:dyDescent="0.3"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</row>
    <row r="526" spans="54:63" ht="15" customHeight="1" x14ac:dyDescent="0.3">
      <c r="BB526" s="15"/>
      <c r="BC526" s="15"/>
      <c r="BD526" s="15"/>
      <c r="BE526" s="15"/>
      <c r="BF526" s="15"/>
      <c r="BG526" s="15"/>
      <c r="BH526" s="15"/>
      <c r="BI526" s="15"/>
      <c r="BJ526" s="15"/>
      <c r="BK526" s="15"/>
    </row>
    <row r="527" spans="54:63" ht="15" customHeight="1" x14ac:dyDescent="0.3">
      <c r="BB527" s="15"/>
      <c r="BC527" s="15"/>
      <c r="BD527" s="15"/>
      <c r="BE527" s="15"/>
      <c r="BF527" s="15"/>
      <c r="BG527" s="15"/>
      <c r="BH527" s="15"/>
      <c r="BI527" s="15"/>
      <c r="BJ527" s="15"/>
      <c r="BK527" s="15"/>
    </row>
    <row r="528" spans="54:63" ht="15" customHeight="1" x14ac:dyDescent="0.3">
      <c r="BB528" s="15"/>
      <c r="BC528" s="15"/>
      <c r="BD528" s="15"/>
      <c r="BE528" s="15"/>
      <c r="BF528" s="15"/>
      <c r="BG528" s="15"/>
      <c r="BH528" s="15"/>
      <c r="BI528" s="15"/>
      <c r="BJ528" s="15"/>
      <c r="BK528" s="15"/>
    </row>
    <row r="529" spans="54:63" ht="15" customHeight="1" x14ac:dyDescent="0.3">
      <c r="BB529" s="15"/>
      <c r="BC529" s="15"/>
      <c r="BD529" s="15"/>
      <c r="BE529" s="15"/>
      <c r="BF529" s="15"/>
      <c r="BG529" s="15"/>
      <c r="BH529" s="15"/>
      <c r="BI529" s="15"/>
      <c r="BJ529" s="15"/>
      <c r="BK529" s="15"/>
    </row>
    <row r="530" spans="54:63" ht="15" customHeight="1" x14ac:dyDescent="0.3">
      <c r="BB530" s="15"/>
      <c r="BC530" s="15"/>
      <c r="BD530" s="15"/>
      <c r="BE530" s="15"/>
      <c r="BF530" s="15"/>
      <c r="BG530" s="15"/>
      <c r="BH530" s="15"/>
      <c r="BI530" s="15"/>
      <c r="BJ530" s="15"/>
      <c r="BK530" s="15"/>
    </row>
    <row r="531" spans="54:63" ht="15" customHeight="1" x14ac:dyDescent="0.3">
      <c r="BB531" s="15"/>
      <c r="BC531" s="15"/>
      <c r="BD531" s="15"/>
      <c r="BE531" s="15"/>
      <c r="BF531" s="15"/>
      <c r="BG531" s="15"/>
      <c r="BH531" s="15"/>
      <c r="BI531" s="15"/>
      <c r="BJ531" s="15"/>
      <c r="BK531" s="15"/>
    </row>
    <row r="532" spans="54:63" ht="15" customHeight="1" x14ac:dyDescent="0.3">
      <c r="BB532" s="15"/>
      <c r="BC532" s="15"/>
      <c r="BD532" s="15"/>
      <c r="BE532" s="15"/>
      <c r="BF532" s="15"/>
      <c r="BG532" s="15"/>
      <c r="BH532" s="15"/>
      <c r="BI532" s="15"/>
      <c r="BJ532" s="15"/>
      <c r="BK532" s="15"/>
    </row>
    <row r="533" spans="54:63" ht="15" customHeight="1" x14ac:dyDescent="0.3">
      <c r="BB533" s="15"/>
      <c r="BC533" s="15"/>
      <c r="BD533" s="15"/>
      <c r="BE533" s="15"/>
      <c r="BF533" s="15"/>
      <c r="BG533" s="15"/>
      <c r="BH533" s="15"/>
      <c r="BI533" s="15"/>
      <c r="BJ533" s="15"/>
      <c r="BK533" s="15"/>
    </row>
    <row r="534" spans="54:63" ht="15" customHeight="1" x14ac:dyDescent="0.3">
      <c r="BB534" s="15"/>
      <c r="BC534" s="15"/>
      <c r="BD534" s="15"/>
      <c r="BE534" s="15"/>
      <c r="BF534" s="15"/>
      <c r="BG534" s="15"/>
      <c r="BH534" s="15"/>
      <c r="BI534" s="15"/>
      <c r="BJ534" s="15"/>
      <c r="BK534" s="15"/>
    </row>
    <row r="535" spans="54:63" ht="15" customHeight="1" x14ac:dyDescent="0.3"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</row>
    <row r="536" spans="54:63" ht="15" customHeight="1" x14ac:dyDescent="0.3"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</row>
    <row r="537" spans="54:63" ht="15" customHeight="1" x14ac:dyDescent="0.3">
      <c r="BB537" s="15"/>
      <c r="BC537" s="15"/>
      <c r="BD537" s="15"/>
      <c r="BE537" s="15"/>
      <c r="BF537" s="15"/>
      <c r="BG537" s="15"/>
      <c r="BH537" s="15"/>
      <c r="BI537" s="15"/>
      <c r="BJ537" s="15"/>
      <c r="BK537" s="15"/>
    </row>
    <row r="538" spans="54:63" ht="15" customHeight="1" x14ac:dyDescent="0.3">
      <c r="BB538" s="15"/>
      <c r="BC538" s="15"/>
      <c r="BD538" s="15"/>
      <c r="BE538" s="15"/>
      <c r="BF538" s="15"/>
      <c r="BG538" s="15"/>
      <c r="BH538" s="15"/>
      <c r="BI538" s="15"/>
      <c r="BJ538" s="15"/>
      <c r="BK538" s="15"/>
    </row>
    <row r="539" spans="54:63" ht="15" customHeight="1" x14ac:dyDescent="0.3">
      <c r="BB539" s="15"/>
      <c r="BC539" s="15"/>
      <c r="BD539" s="15"/>
      <c r="BE539" s="15"/>
      <c r="BF539" s="15"/>
      <c r="BG539" s="15"/>
      <c r="BH539" s="15"/>
      <c r="BI539" s="15"/>
      <c r="BJ539" s="15"/>
      <c r="BK539" s="15"/>
    </row>
    <row r="540" spans="54:63" ht="15" customHeight="1" x14ac:dyDescent="0.3">
      <c r="BB540" s="15"/>
      <c r="BC540" s="15"/>
      <c r="BD540" s="15"/>
      <c r="BE540" s="15"/>
      <c r="BF540" s="15"/>
      <c r="BG540" s="15"/>
      <c r="BH540" s="15"/>
      <c r="BI540" s="15"/>
      <c r="BJ540" s="15"/>
      <c r="BK540" s="15"/>
    </row>
    <row r="541" spans="54:63" ht="15" customHeight="1" x14ac:dyDescent="0.3">
      <c r="BB541" s="15"/>
      <c r="BC541" s="15"/>
      <c r="BD541" s="15"/>
      <c r="BE541" s="15"/>
      <c r="BF541" s="15"/>
      <c r="BG541" s="15"/>
      <c r="BH541" s="15"/>
      <c r="BI541" s="15"/>
      <c r="BJ541" s="15"/>
      <c r="BK541" s="15"/>
    </row>
    <row r="542" spans="54:63" ht="15" customHeight="1" x14ac:dyDescent="0.3">
      <c r="BB542" s="15"/>
      <c r="BC542" s="15"/>
      <c r="BD542" s="15"/>
      <c r="BE542" s="15"/>
      <c r="BF542" s="15"/>
      <c r="BG542" s="15"/>
      <c r="BH542" s="15"/>
      <c r="BI542" s="15"/>
      <c r="BJ542" s="15"/>
      <c r="BK542" s="15"/>
    </row>
    <row r="543" spans="54:63" ht="15" customHeight="1" x14ac:dyDescent="0.3">
      <c r="BB543" s="15"/>
      <c r="BC543" s="15"/>
      <c r="BD543" s="15"/>
      <c r="BE543" s="15"/>
      <c r="BF543" s="15"/>
      <c r="BG543" s="15"/>
      <c r="BH543" s="15"/>
      <c r="BI543" s="15"/>
      <c r="BJ543" s="15"/>
      <c r="BK543" s="15"/>
    </row>
    <row r="544" spans="54:63" ht="15" customHeight="1" x14ac:dyDescent="0.3"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</row>
    <row r="545" spans="54:63" ht="15" customHeight="1" x14ac:dyDescent="0.3">
      <c r="BB545" s="15"/>
      <c r="BC545" s="15"/>
      <c r="BD545" s="15"/>
      <c r="BE545" s="15"/>
      <c r="BF545" s="15"/>
      <c r="BG545" s="15"/>
      <c r="BH545" s="15"/>
      <c r="BI545" s="15"/>
      <c r="BJ545" s="15"/>
      <c r="BK545" s="15"/>
    </row>
    <row r="546" spans="54:63" ht="15" customHeight="1" x14ac:dyDescent="0.3">
      <c r="BB546" s="15"/>
      <c r="BC546" s="15"/>
      <c r="BD546" s="15"/>
      <c r="BE546" s="15"/>
      <c r="BF546" s="15"/>
      <c r="BG546" s="15"/>
      <c r="BH546" s="15"/>
      <c r="BI546" s="15"/>
      <c r="BJ546" s="15"/>
      <c r="BK546" s="15"/>
    </row>
    <row r="547" spans="54:63" ht="15" customHeight="1" x14ac:dyDescent="0.3">
      <c r="BB547" s="15"/>
      <c r="BC547" s="15"/>
      <c r="BD547" s="15"/>
      <c r="BE547" s="15"/>
      <c r="BF547" s="15"/>
      <c r="BG547" s="15"/>
      <c r="BH547" s="15"/>
      <c r="BI547" s="15"/>
      <c r="BJ547" s="15"/>
      <c r="BK547" s="15"/>
    </row>
    <row r="548" spans="54:63" ht="15" customHeight="1" x14ac:dyDescent="0.3"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</row>
    <row r="549" spans="54:63" ht="15" customHeight="1" x14ac:dyDescent="0.3">
      <c r="BB549" s="15"/>
      <c r="BC549" s="15"/>
      <c r="BD549" s="15"/>
      <c r="BE549" s="15"/>
      <c r="BF549" s="15"/>
      <c r="BG549" s="15"/>
      <c r="BH549" s="15"/>
      <c r="BI549" s="15"/>
      <c r="BJ549" s="15"/>
      <c r="BK549" s="15"/>
    </row>
    <row r="550" spans="54:63" ht="15" customHeight="1" x14ac:dyDescent="0.3"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</row>
    <row r="551" spans="54:63" ht="15" customHeight="1" x14ac:dyDescent="0.3"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</row>
    <row r="552" spans="54:63" ht="15" customHeight="1" x14ac:dyDescent="0.3"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</row>
    <row r="553" spans="54:63" ht="15" customHeight="1" x14ac:dyDescent="0.3"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</row>
    <row r="554" spans="54:63" ht="15" customHeight="1" x14ac:dyDescent="0.3"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</row>
    <row r="555" spans="54:63" ht="15" customHeight="1" x14ac:dyDescent="0.3"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</row>
    <row r="556" spans="54:63" ht="15" customHeight="1" x14ac:dyDescent="0.3"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</row>
    <row r="557" spans="54:63" ht="15" customHeight="1" x14ac:dyDescent="0.3"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</row>
    <row r="558" spans="54:63" ht="15" customHeight="1" x14ac:dyDescent="0.3"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</row>
    <row r="559" spans="54:63" ht="15" customHeight="1" x14ac:dyDescent="0.3"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</row>
    <row r="560" spans="54:63" ht="15" customHeight="1" x14ac:dyDescent="0.3"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</row>
    <row r="561" spans="54:63" ht="15" customHeight="1" x14ac:dyDescent="0.3"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</row>
    <row r="562" spans="54:63" ht="15" customHeight="1" x14ac:dyDescent="0.3"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</row>
    <row r="563" spans="54:63" ht="15" customHeight="1" x14ac:dyDescent="0.3"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</row>
    <row r="564" spans="54:63" ht="15" customHeight="1" x14ac:dyDescent="0.3"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</row>
    <row r="565" spans="54:63" ht="15" customHeight="1" x14ac:dyDescent="0.3"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</row>
    <row r="566" spans="54:63" ht="15" customHeight="1" x14ac:dyDescent="0.3"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</row>
    <row r="567" spans="54:63" ht="15" customHeight="1" x14ac:dyDescent="0.3"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</row>
    <row r="568" spans="54:63" ht="15" customHeight="1" x14ac:dyDescent="0.3"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</row>
    <row r="569" spans="54:63" ht="15" customHeight="1" x14ac:dyDescent="0.3"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</row>
    <row r="570" spans="54:63" ht="15" customHeight="1" x14ac:dyDescent="0.3"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</row>
    <row r="571" spans="54:63" ht="15" customHeight="1" x14ac:dyDescent="0.3"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</row>
    <row r="572" spans="54:63" ht="15" customHeight="1" x14ac:dyDescent="0.3"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</row>
    <row r="573" spans="54:63" ht="15" customHeight="1" x14ac:dyDescent="0.3"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</row>
    <row r="574" spans="54:63" ht="15" customHeight="1" x14ac:dyDescent="0.3"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</row>
    <row r="575" spans="54:63" ht="15" customHeight="1" x14ac:dyDescent="0.3"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</row>
    <row r="576" spans="54:63" ht="15" customHeight="1" x14ac:dyDescent="0.3"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</row>
    <row r="577" spans="54:63" ht="15" customHeight="1" x14ac:dyDescent="0.3"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</row>
    <row r="578" spans="54:63" ht="15" customHeight="1" x14ac:dyDescent="0.3"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</row>
    <row r="579" spans="54:63" ht="15" customHeight="1" x14ac:dyDescent="0.3"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</row>
    <row r="580" spans="54:63" ht="15" customHeight="1" x14ac:dyDescent="0.3"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</row>
    <row r="581" spans="54:63" ht="15" customHeight="1" x14ac:dyDescent="0.3"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</row>
    <row r="582" spans="54:63" ht="15" customHeight="1" x14ac:dyDescent="0.3"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</row>
    <row r="583" spans="54:63" ht="15" customHeight="1" x14ac:dyDescent="0.3"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</row>
    <row r="584" spans="54:63" ht="15" customHeight="1" x14ac:dyDescent="0.3"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</row>
    <row r="585" spans="54:63" ht="15" customHeight="1" x14ac:dyDescent="0.3"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</row>
    <row r="586" spans="54:63" ht="15" customHeight="1" x14ac:dyDescent="0.3"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</row>
    <row r="587" spans="54:63" ht="15" customHeight="1" x14ac:dyDescent="0.3"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</row>
    <row r="588" spans="54:63" ht="15" customHeight="1" x14ac:dyDescent="0.3"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</row>
    <row r="589" spans="54:63" ht="15" customHeight="1" x14ac:dyDescent="0.3"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</row>
    <row r="590" spans="54:63" ht="15" customHeight="1" x14ac:dyDescent="0.3">
      <c r="BB590" s="15"/>
      <c r="BC590" s="15"/>
      <c r="BD590" s="15"/>
      <c r="BE590" s="15"/>
      <c r="BF590" s="15"/>
      <c r="BG590" s="15"/>
      <c r="BH590" s="15"/>
      <c r="BI590" s="15"/>
      <c r="BJ590" s="15"/>
      <c r="BK590" s="15"/>
    </row>
    <row r="591" spans="54:63" ht="15" customHeight="1" x14ac:dyDescent="0.3">
      <c r="BB591" s="15"/>
      <c r="BC591" s="15"/>
      <c r="BD591" s="15"/>
      <c r="BE591" s="15"/>
      <c r="BF591" s="15"/>
      <c r="BG591" s="15"/>
      <c r="BH591" s="15"/>
      <c r="BI591" s="15"/>
      <c r="BJ591" s="15"/>
      <c r="BK591" s="15"/>
    </row>
    <row r="592" spans="54:63" ht="15" customHeight="1" x14ac:dyDescent="0.3">
      <c r="BB592" s="15"/>
      <c r="BC592" s="15"/>
      <c r="BD592" s="15"/>
      <c r="BE592" s="15"/>
      <c r="BF592" s="15"/>
      <c r="BG592" s="15"/>
      <c r="BH592" s="15"/>
      <c r="BI592" s="15"/>
      <c r="BJ592" s="15"/>
      <c r="BK592" s="15"/>
    </row>
    <row r="593" spans="54:63" ht="15" customHeight="1" x14ac:dyDescent="0.3">
      <c r="BB593" s="15"/>
      <c r="BC593" s="15"/>
      <c r="BD593" s="15"/>
      <c r="BE593" s="15"/>
      <c r="BF593" s="15"/>
      <c r="BG593" s="15"/>
      <c r="BH593" s="15"/>
      <c r="BI593" s="15"/>
      <c r="BJ593" s="15"/>
      <c r="BK593" s="15"/>
    </row>
    <row r="594" spans="54:63" ht="15" customHeight="1" x14ac:dyDescent="0.3">
      <c r="BB594" s="15"/>
      <c r="BC594" s="15"/>
      <c r="BD594" s="15"/>
      <c r="BE594" s="15"/>
      <c r="BF594" s="15"/>
      <c r="BG594" s="15"/>
      <c r="BH594" s="15"/>
      <c r="BI594" s="15"/>
      <c r="BJ594" s="15"/>
      <c r="BK594" s="15"/>
    </row>
    <row r="595" spans="54:63" ht="15" customHeight="1" x14ac:dyDescent="0.3">
      <c r="BB595" s="15"/>
      <c r="BC595" s="15"/>
      <c r="BD595" s="15"/>
      <c r="BE595" s="15"/>
      <c r="BF595" s="15"/>
      <c r="BG595" s="15"/>
      <c r="BH595" s="15"/>
      <c r="BI595" s="15"/>
      <c r="BJ595" s="15"/>
      <c r="BK595" s="15"/>
    </row>
    <row r="596" spans="54:63" ht="15" customHeight="1" x14ac:dyDescent="0.3">
      <c r="BB596" s="15"/>
      <c r="BC596" s="15"/>
      <c r="BD596" s="15"/>
      <c r="BE596" s="15"/>
      <c r="BF596" s="15"/>
      <c r="BG596" s="15"/>
      <c r="BH596" s="15"/>
      <c r="BI596" s="15"/>
      <c r="BJ596" s="15"/>
      <c r="BK596" s="15"/>
    </row>
    <row r="597" spans="54:63" ht="15" customHeight="1" x14ac:dyDescent="0.3">
      <c r="BB597" s="15"/>
      <c r="BC597" s="15"/>
      <c r="BD597" s="15"/>
      <c r="BE597" s="15"/>
      <c r="BF597" s="15"/>
      <c r="BG597" s="15"/>
      <c r="BH597" s="15"/>
      <c r="BI597" s="15"/>
      <c r="BJ597" s="15"/>
      <c r="BK597" s="15"/>
    </row>
    <row r="598" spans="54:63" ht="15" customHeight="1" x14ac:dyDescent="0.3"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</row>
    <row r="599" spans="54:63" ht="15" customHeight="1" x14ac:dyDescent="0.3">
      <c r="BB599" s="15"/>
      <c r="BC599" s="15"/>
      <c r="BD599" s="15"/>
      <c r="BE599" s="15"/>
      <c r="BF599" s="15"/>
      <c r="BG599" s="15"/>
      <c r="BH599" s="15"/>
      <c r="BI599" s="15"/>
      <c r="BJ599" s="15"/>
      <c r="BK599" s="15"/>
    </row>
    <row r="600" spans="54:63" ht="15" customHeight="1" x14ac:dyDescent="0.3">
      <c r="BB600" s="15"/>
      <c r="BC600" s="15"/>
      <c r="BD600" s="15"/>
      <c r="BE600" s="15"/>
      <c r="BF600" s="15"/>
      <c r="BG600" s="15"/>
      <c r="BH600" s="15"/>
      <c r="BI600" s="15"/>
      <c r="BJ600" s="15"/>
      <c r="BK600" s="15"/>
    </row>
    <row r="601" spans="54:63" ht="15" customHeight="1" x14ac:dyDescent="0.3">
      <c r="BB601" s="15"/>
      <c r="BC601" s="15"/>
      <c r="BD601" s="15"/>
      <c r="BE601" s="15"/>
      <c r="BF601" s="15"/>
      <c r="BG601" s="15"/>
      <c r="BH601" s="15"/>
      <c r="BI601" s="15"/>
      <c r="BJ601" s="15"/>
      <c r="BK601" s="15"/>
    </row>
    <row r="602" spans="54:63" ht="15" customHeight="1" x14ac:dyDescent="0.3">
      <c r="BB602" s="15"/>
      <c r="BC602" s="15"/>
      <c r="BD602" s="15"/>
      <c r="BE602" s="15"/>
      <c r="BF602" s="15"/>
      <c r="BG602" s="15"/>
      <c r="BH602" s="15"/>
      <c r="BI602" s="15"/>
      <c r="BJ602" s="15"/>
      <c r="BK602" s="15"/>
    </row>
    <row r="603" spans="54:63" ht="15" customHeight="1" x14ac:dyDescent="0.3"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</row>
    <row r="604" spans="54:63" ht="15" customHeight="1" x14ac:dyDescent="0.3">
      <c r="BB604" s="15"/>
      <c r="BC604" s="15"/>
      <c r="BD604" s="15"/>
      <c r="BE604" s="15"/>
      <c r="BF604" s="15"/>
      <c r="BG604" s="15"/>
      <c r="BH604" s="15"/>
      <c r="BI604" s="15"/>
      <c r="BJ604" s="15"/>
      <c r="BK604" s="15"/>
    </row>
    <row r="605" spans="54:63" ht="15" customHeight="1" x14ac:dyDescent="0.3">
      <c r="BB605" s="15"/>
      <c r="BC605" s="15"/>
      <c r="BD605" s="15"/>
      <c r="BE605" s="15"/>
      <c r="BF605" s="15"/>
      <c r="BG605" s="15"/>
      <c r="BH605" s="15"/>
      <c r="BI605" s="15"/>
      <c r="BJ605" s="15"/>
      <c r="BK605" s="15"/>
    </row>
    <row r="606" spans="54:63" ht="15" customHeight="1" x14ac:dyDescent="0.3">
      <c r="BB606" s="15"/>
      <c r="BC606" s="15"/>
      <c r="BD606" s="15"/>
      <c r="BE606" s="15"/>
      <c r="BF606" s="15"/>
      <c r="BG606" s="15"/>
      <c r="BH606" s="15"/>
      <c r="BI606" s="15"/>
      <c r="BJ606" s="15"/>
      <c r="BK606" s="15"/>
    </row>
    <row r="607" spans="54:63" ht="15" customHeight="1" x14ac:dyDescent="0.3">
      <c r="BB607" s="15"/>
      <c r="BC607" s="15"/>
      <c r="BD607" s="15"/>
      <c r="BE607" s="15"/>
      <c r="BF607" s="15"/>
      <c r="BG607" s="15"/>
      <c r="BH607" s="15"/>
      <c r="BI607" s="15"/>
      <c r="BJ607" s="15"/>
      <c r="BK607" s="15"/>
    </row>
    <row r="608" spans="54:63" ht="15" customHeight="1" x14ac:dyDescent="0.3">
      <c r="BB608" s="15"/>
      <c r="BC608" s="15"/>
      <c r="BD608" s="15"/>
      <c r="BE608" s="15"/>
      <c r="BF608" s="15"/>
      <c r="BG608" s="15"/>
      <c r="BH608" s="15"/>
      <c r="BI608" s="15"/>
      <c r="BJ608" s="15"/>
      <c r="BK608" s="15"/>
    </row>
    <row r="609" spans="54:63" ht="15" customHeight="1" x14ac:dyDescent="0.3">
      <c r="BB609" s="15"/>
      <c r="BC609" s="15"/>
      <c r="BD609" s="15"/>
      <c r="BE609" s="15"/>
      <c r="BF609" s="15"/>
      <c r="BG609" s="15"/>
      <c r="BH609" s="15"/>
      <c r="BI609" s="15"/>
      <c r="BJ609" s="15"/>
      <c r="BK609" s="15"/>
    </row>
    <row r="610" spans="54:63" ht="15" customHeight="1" x14ac:dyDescent="0.3">
      <c r="BB610" s="15"/>
      <c r="BC610" s="15"/>
      <c r="BD610" s="15"/>
      <c r="BE610" s="15"/>
      <c r="BF610" s="15"/>
      <c r="BG610" s="15"/>
      <c r="BH610" s="15"/>
      <c r="BI610" s="15"/>
      <c r="BJ610" s="15"/>
      <c r="BK610" s="15"/>
    </row>
    <row r="611" spans="54:63" ht="15" customHeight="1" x14ac:dyDescent="0.3">
      <c r="BB611" s="15"/>
      <c r="BC611" s="15"/>
      <c r="BD611" s="15"/>
      <c r="BE611" s="15"/>
      <c r="BF611" s="15"/>
      <c r="BG611" s="15"/>
      <c r="BH611" s="15"/>
      <c r="BI611" s="15"/>
      <c r="BJ611" s="15"/>
      <c r="BK611" s="15"/>
    </row>
    <row r="612" spans="54:63" ht="15" customHeight="1" x14ac:dyDescent="0.3">
      <c r="BB612" s="15"/>
      <c r="BC612" s="15"/>
      <c r="BD612" s="15"/>
      <c r="BE612" s="15"/>
      <c r="BF612" s="15"/>
      <c r="BG612" s="15"/>
      <c r="BH612" s="15"/>
      <c r="BI612" s="15"/>
      <c r="BJ612" s="15"/>
      <c r="BK612" s="15"/>
    </row>
    <row r="613" spans="54:63" ht="15" customHeight="1" x14ac:dyDescent="0.3">
      <c r="BB613" s="15"/>
      <c r="BC613" s="15"/>
      <c r="BD613" s="15"/>
      <c r="BE613" s="15"/>
      <c r="BF613" s="15"/>
      <c r="BG613" s="15"/>
      <c r="BH613" s="15"/>
      <c r="BI613" s="15"/>
      <c r="BJ613" s="15"/>
      <c r="BK613" s="15"/>
    </row>
    <row r="614" spans="54:63" ht="15" customHeight="1" x14ac:dyDescent="0.3">
      <c r="BB614" s="15"/>
      <c r="BC614" s="15"/>
      <c r="BD614" s="15"/>
      <c r="BE614" s="15"/>
      <c r="BF614" s="15"/>
      <c r="BG614" s="15"/>
      <c r="BH614" s="15"/>
      <c r="BI614" s="15"/>
      <c r="BJ614" s="15"/>
      <c r="BK614" s="15"/>
    </row>
    <row r="615" spans="54:63" ht="15" customHeight="1" x14ac:dyDescent="0.3">
      <c r="BB615" s="15"/>
      <c r="BC615" s="15"/>
      <c r="BD615" s="15"/>
      <c r="BE615" s="15"/>
      <c r="BF615" s="15"/>
      <c r="BG615" s="15"/>
      <c r="BH615" s="15"/>
      <c r="BI615" s="15"/>
      <c r="BJ615" s="15"/>
      <c r="BK615" s="15"/>
    </row>
    <row r="616" spans="54:63" ht="15" customHeight="1" x14ac:dyDescent="0.3">
      <c r="BB616" s="15"/>
      <c r="BC616" s="15"/>
      <c r="BD616" s="15"/>
      <c r="BE616" s="15"/>
      <c r="BF616" s="15"/>
      <c r="BG616" s="15"/>
      <c r="BH616" s="15"/>
      <c r="BI616" s="15"/>
      <c r="BJ616" s="15"/>
      <c r="BK616" s="15"/>
    </row>
    <row r="617" spans="54:63" ht="15" customHeight="1" x14ac:dyDescent="0.3">
      <c r="BB617" s="15"/>
      <c r="BC617" s="15"/>
      <c r="BD617" s="15"/>
      <c r="BE617" s="15"/>
      <c r="BF617" s="15"/>
      <c r="BG617" s="15"/>
      <c r="BH617" s="15"/>
      <c r="BI617" s="15"/>
      <c r="BJ617" s="15"/>
      <c r="BK617" s="15"/>
    </row>
    <row r="618" spans="54:63" ht="15" customHeight="1" x14ac:dyDescent="0.3">
      <c r="BB618" s="15"/>
      <c r="BC618" s="15"/>
      <c r="BD618" s="15"/>
      <c r="BE618" s="15"/>
      <c r="BF618" s="15"/>
      <c r="BG618" s="15"/>
      <c r="BH618" s="15"/>
      <c r="BI618" s="15"/>
      <c r="BJ618" s="15"/>
      <c r="BK618" s="15"/>
    </row>
    <row r="619" spans="54:63" ht="15" customHeight="1" x14ac:dyDescent="0.3">
      <c r="BB619" s="15"/>
      <c r="BC619" s="15"/>
      <c r="BD619" s="15"/>
      <c r="BE619" s="15"/>
      <c r="BF619" s="15"/>
      <c r="BG619" s="15"/>
      <c r="BH619" s="15"/>
      <c r="BI619" s="15"/>
      <c r="BJ619" s="15"/>
      <c r="BK619" s="15"/>
    </row>
    <row r="620" spans="54:63" ht="15" customHeight="1" x14ac:dyDescent="0.3">
      <c r="BB620" s="15"/>
      <c r="BC620" s="15"/>
      <c r="BD620" s="15"/>
      <c r="BE620" s="15"/>
      <c r="BF620" s="15"/>
      <c r="BG620" s="15"/>
      <c r="BH620" s="15"/>
      <c r="BI620" s="15"/>
      <c r="BJ620" s="15"/>
      <c r="BK620" s="15"/>
    </row>
    <row r="621" spans="54:63" ht="15" customHeight="1" x14ac:dyDescent="0.3">
      <c r="BB621" s="15"/>
      <c r="BC621" s="15"/>
      <c r="BD621" s="15"/>
      <c r="BE621" s="15"/>
      <c r="BF621" s="15"/>
      <c r="BG621" s="15"/>
      <c r="BH621" s="15"/>
      <c r="BI621" s="15"/>
      <c r="BJ621" s="15"/>
      <c r="BK621" s="15"/>
    </row>
    <row r="622" spans="54:63" ht="15" customHeight="1" x14ac:dyDescent="0.3">
      <c r="BB622" s="15"/>
      <c r="BC622" s="15"/>
      <c r="BD622" s="15"/>
      <c r="BE622" s="15"/>
      <c r="BF622" s="15"/>
      <c r="BG622" s="15"/>
      <c r="BH622" s="15"/>
      <c r="BI622" s="15"/>
      <c r="BJ622" s="15"/>
      <c r="BK622" s="15"/>
    </row>
    <row r="623" spans="54:63" ht="15" customHeight="1" x14ac:dyDescent="0.3">
      <c r="BB623" s="15"/>
      <c r="BC623" s="15"/>
      <c r="BD623" s="15"/>
      <c r="BE623" s="15"/>
      <c r="BF623" s="15"/>
      <c r="BG623" s="15"/>
      <c r="BH623" s="15"/>
      <c r="BI623" s="15"/>
      <c r="BJ623" s="15"/>
      <c r="BK623" s="15"/>
    </row>
    <row r="624" spans="54:63" ht="15" customHeight="1" x14ac:dyDescent="0.3">
      <c r="BB624" s="15"/>
      <c r="BC624" s="15"/>
      <c r="BD624" s="15"/>
      <c r="BE624" s="15"/>
      <c r="BF624" s="15"/>
      <c r="BG624" s="15"/>
      <c r="BH624" s="15"/>
      <c r="BI624" s="15"/>
      <c r="BJ624" s="15"/>
      <c r="BK624" s="15"/>
    </row>
    <row r="625" spans="54:63" ht="15" customHeight="1" x14ac:dyDescent="0.3">
      <c r="BB625" s="15"/>
      <c r="BC625" s="15"/>
      <c r="BD625" s="15"/>
      <c r="BE625" s="15"/>
      <c r="BF625" s="15"/>
      <c r="BG625" s="15"/>
      <c r="BH625" s="15"/>
      <c r="BI625" s="15"/>
      <c r="BJ625" s="15"/>
      <c r="BK625" s="15"/>
    </row>
    <row r="626" spans="54:63" ht="15" customHeight="1" x14ac:dyDescent="0.3">
      <c r="BB626" s="15"/>
      <c r="BC626" s="15"/>
      <c r="BD626" s="15"/>
      <c r="BE626" s="15"/>
      <c r="BF626" s="15"/>
      <c r="BG626" s="15"/>
      <c r="BH626" s="15"/>
      <c r="BI626" s="15"/>
      <c r="BJ626" s="15"/>
      <c r="BK626" s="15"/>
    </row>
    <row r="627" spans="54:63" ht="15" customHeight="1" x14ac:dyDescent="0.3">
      <c r="BB627" s="15"/>
      <c r="BC627" s="15"/>
      <c r="BD627" s="15"/>
      <c r="BE627" s="15"/>
      <c r="BF627" s="15"/>
      <c r="BG627" s="15"/>
      <c r="BH627" s="15"/>
      <c r="BI627" s="15"/>
      <c r="BJ627" s="15"/>
      <c r="BK627" s="15"/>
    </row>
    <row r="628" spans="54:63" ht="15" customHeight="1" x14ac:dyDescent="0.3">
      <c r="BB628" s="15"/>
      <c r="BC628" s="15"/>
      <c r="BD628" s="15"/>
      <c r="BE628" s="15"/>
      <c r="BF628" s="15"/>
      <c r="BG628" s="15"/>
      <c r="BH628" s="15"/>
      <c r="BI628" s="15"/>
      <c r="BJ628" s="15"/>
      <c r="BK628" s="15"/>
    </row>
    <row r="629" spans="54:63" ht="15" customHeight="1" x14ac:dyDescent="0.3">
      <c r="BB629" s="15"/>
      <c r="BC629" s="15"/>
      <c r="BD629" s="15"/>
      <c r="BE629" s="15"/>
      <c r="BF629" s="15"/>
      <c r="BG629" s="15"/>
      <c r="BH629" s="15"/>
      <c r="BI629" s="15"/>
      <c r="BJ629" s="15"/>
      <c r="BK629" s="15"/>
    </row>
    <row r="630" spans="54:63" ht="15" customHeight="1" x14ac:dyDescent="0.3">
      <c r="BB630" s="15"/>
      <c r="BC630" s="15"/>
      <c r="BD630" s="15"/>
      <c r="BE630" s="15"/>
      <c r="BF630" s="15"/>
      <c r="BG630" s="15"/>
      <c r="BH630" s="15"/>
      <c r="BI630" s="15"/>
      <c r="BJ630" s="15"/>
      <c r="BK630" s="15"/>
    </row>
    <row r="631" spans="54:63" ht="15" customHeight="1" x14ac:dyDescent="0.3">
      <c r="BB631" s="15"/>
      <c r="BC631" s="15"/>
      <c r="BD631" s="15"/>
      <c r="BE631" s="15"/>
      <c r="BF631" s="15"/>
      <c r="BG631" s="15"/>
      <c r="BH631" s="15"/>
      <c r="BI631" s="15"/>
      <c r="BJ631" s="15"/>
      <c r="BK631" s="15"/>
    </row>
    <row r="632" spans="54:63" ht="15" customHeight="1" x14ac:dyDescent="0.3">
      <c r="BB632" s="15"/>
      <c r="BC632" s="15"/>
      <c r="BD632" s="15"/>
      <c r="BE632" s="15"/>
      <c r="BF632" s="15"/>
      <c r="BG632" s="15"/>
      <c r="BH632" s="15"/>
      <c r="BI632" s="15"/>
      <c r="BJ632" s="15"/>
      <c r="BK632" s="15"/>
    </row>
    <row r="633" spans="54:63" ht="15" customHeight="1" x14ac:dyDescent="0.3">
      <c r="BB633" s="15"/>
      <c r="BC633" s="15"/>
      <c r="BD633" s="15"/>
      <c r="BE633" s="15"/>
      <c r="BF633" s="15"/>
      <c r="BG633" s="15"/>
      <c r="BH633" s="15"/>
      <c r="BI633" s="15"/>
      <c r="BJ633" s="15"/>
      <c r="BK633" s="15"/>
    </row>
    <row r="634" spans="54:63" ht="15" customHeight="1" x14ac:dyDescent="0.3">
      <c r="BB634" s="15"/>
      <c r="BC634" s="15"/>
      <c r="BD634" s="15"/>
      <c r="BE634" s="15"/>
      <c r="BF634" s="15"/>
      <c r="BG634" s="15"/>
      <c r="BH634" s="15"/>
      <c r="BI634" s="15"/>
      <c r="BJ634" s="15"/>
      <c r="BK634" s="15"/>
    </row>
    <row r="635" spans="54:63" ht="15" customHeight="1" x14ac:dyDescent="0.3">
      <c r="BB635" s="15"/>
      <c r="BC635" s="15"/>
      <c r="BD635" s="15"/>
      <c r="BE635" s="15"/>
      <c r="BF635" s="15"/>
      <c r="BG635" s="15"/>
      <c r="BH635" s="15"/>
      <c r="BI635" s="15"/>
      <c r="BJ635" s="15"/>
      <c r="BK635" s="15"/>
    </row>
    <row r="636" spans="54:63" ht="15" customHeight="1" x14ac:dyDescent="0.3">
      <c r="BB636" s="15"/>
      <c r="BC636" s="15"/>
      <c r="BD636" s="15"/>
      <c r="BE636" s="15"/>
      <c r="BF636" s="15"/>
      <c r="BG636" s="15"/>
      <c r="BH636" s="15"/>
      <c r="BI636" s="15"/>
      <c r="BJ636" s="15"/>
      <c r="BK636" s="15"/>
    </row>
    <row r="637" spans="54:63" ht="15" customHeight="1" x14ac:dyDescent="0.3">
      <c r="BB637" s="15"/>
      <c r="BC637" s="15"/>
      <c r="BD637" s="15"/>
      <c r="BE637" s="15"/>
      <c r="BF637" s="15"/>
      <c r="BG637" s="15"/>
      <c r="BH637" s="15"/>
      <c r="BI637" s="15"/>
      <c r="BJ637" s="15"/>
      <c r="BK637" s="15"/>
    </row>
    <row r="638" spans="54:63" ht="15" customHeight="1" x14ac:dyDescent="0.3">
      <c r="BB638" s="15"/>
      <c r="BC638" s="15"/>
      <c r="BD638" s="15"/>
      <c r="BE638" s="15"/>
      <c r="BF638" s="15"/>
      <c r="BG638" s="15"/>
      <c r="BH638" s="15"/>
      <c r="BI638" s="15"/>
      <c r="BJ638" s="15"/>
      <c r="BK638" s="15"/>
    </row>
    <row r="639" spans="54:63" ht="15" customHeight="1" x14ac:dyDescent="0.3"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</row>
    <row r="640" spans="54:63" ht="15" customHeight="1" x14ac:dyDescent="0.3">
      <c r="BB640" s="15"/>
      <c r="BC640" s="15"/>
      <c r="BD640" s="15"/>
      <c r="BE640" s="15"/>
      <c r="BF640" s="15"/>
      <c r="BG640" s="15"/>
      <c r="BH640" s="15"/>
      <c r="BI640" s="15"/>
      <c r="BJ640" s="15"/>
      <c r="BK640" s="15"/>
    </row>
    <row r="641" spans="54:63" ht="15" customHeight="1" x14ac:dyDescent="0.3">
      <c r="BB641" s="15"/>
      <c r="BC641" s="15"/>
      <c r="BD641" s="15"/>
      <c r="BE641" s="15"/>
      <c r="BF641" s="15"/>
      <c r="BG641" s="15"/>
      <c r="BH641" s="15"/>
      <c r="BI641" s="15"/>
      <c r="BJ641" s="15"/>
      <c r="BK641" s="15"/>
    </row>
    <row r="642" spans="54:63" ht="15" customHeight="1" x14ac:dyDescent="0.3">
      <c r="BB642" s="15"/>
      <c r="BC642" s="15"/>
      <c r="BD642" s="15"/>
      <c r="BE642" s="15"/>
      <c r="BF642" s="15"/>
      <c r="BG642" s="15"/>
      <c r="BH642" s="15"/>
      <c r="BI642" s="15"/>
      <c r="BJ642" s="15"/>
      <c r="BK642" s="15"/>
    </row>
    <row r="643" spans="54:63" ht="15" customHeight="1" x14ac:dyDescent="0.3">
      <c r="BB643" s="15"/>
      <c r="BC643" s="15"/>
      <c r="BD643" s="15"/>
      <c r="BE643" s="15"/>
      <c r="BF643" s="15"/>
      <c r="BG643" s="15"/>
      <c r="BH643" s="15"/>
      <c r="BI643" s="15"/>
      <c r="BJ643" s="15"/>
      <c r="BK643" s="15"/>
    </row>
    <row r="644" spans="54:63" ht="15" customHeight="1" x14ac:dyDescent="0.3">
      <c r="BB644" s="15"/>
      <c r="BC644" s="15"/>
      <c r="BD644" s="15"/>
      <c r="BE644" s="15"/>
      <c r="BF644" s="15"/>
      <c r="BG644" s="15"/>
      <c r="BH644" s="15"/>
      <c r="BI644" s="15"/>
      <c r="BJ644" s="15"/>
      <c r="BK644" s="15"/>
    </row>
    <row r="645" spans="54:63" ht="15" customHeight="1" x14ac:dyDescent="0.3"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</row>
    <row r="646" spans="54:63" ht="15" customHeight="1" x14ac:dyDescent="0.3">
      <c r="BB646" s="15"/>
      <c r="BC646" s="15"/>
      <c r="BD646" s="15"/>
      <c r="BE646" s="15"/>
      <c r="BF646" s="15"/>
      <c r="BG646" s="15"/>
      <c r="BH646" s="15"/>
      <c r="BI646" s="15"/>
      <c r="BJ646" s="15"/>
      <c r="BK646" s="15"/>
    </row>
    <row r="647" spans="54:63" ht="15" customHeight="1" x14ac:dyDescent="0.3">
      <c r="BB647" s="15"/>
      <c r="BC647" s="15"/>
      <c r="BD647" s="15"/>
      <c r="BE647" s="15"/>
      <c r="BF647" s="15"/>
      <c r="BG647" s="15"/>
      <c r="BH647" s="15"/>
      <c r="BI647" s="15"/>
      <c r="BJ647" s="15"/>
      <c r="BK647" s="15"/>
    </row>
    <row r="648" spans="54:63" ht="15" customHeight="1" x14ac:dyDescent="0.3">
      <c r="BB648" s="15"/>
      <c r="BC648" s="15"/>
      <c r="BD648" s="15"/>
      <c r="BE648" s="15"/>
      <c r="BF648" s="15"/>
      <c r="BG648" s="15"/>
      <c r="BH648" s="15"/>
      <c r="BI648" s="15"/>
      <c r="BJ648" s="15"/>
      <c r="BK648" s="15"/>
    </row>
    <row r="649" spans="54:63" ht="15" customHeight="1" x14ac:dyDescent="0.3">
      <c r="BB649" s="15"/>
      <c r="BC649" s="15"/>
      <c r="BD649" s="15"/>
      <c r="BE649" s="15"/>
      <c r="BF649" s="15"/>
      <c r="BG649" s="15"/>
      <c r="BH649" s="15"/>
      <c r="BI649" s="15"/>
      <c r="BJ649" s="15"/>
      <c r="BK649" s="15"/>
    </row>
    <row r="650" spans="54:63" ht="15" customHeight="1" x14ac:dyDescent="0.3">
      <c r="BB650" s="15"/>
      <c r="BC650" s="15"/>
      <c r="BD650" s="15"/>
      <c r="BE650" s="15"/>
      <c r="BF650" s="15"/>
      <c r="BG650" s="15"/>
      <c r="BH650" s="15"/>
      <c r="BI650" s="15"/>
      <c r="BJ650" s="15"/>
      <c r="BK650" s="15"/>
    </row>
    <row r="651" spans="54:63" ht="15" customHeight="1" x14ac:dyDescent="0.3">
      <c r="BB651" s="15"/>
      <c r="BC651" s="15"/>
      <c r="BD651" s="15"/>
      <c r="BE651" s="15"/>
      <c r="BF651" s="15"/>
      <c r="BG651" s="15"/>
      <c r="BH651" s="15"/>
      <c r="BI651" s="15"/>
      <c r="BJ651" s="15"/>
      <c r="BK651" s="15"/>
    </row>
    <row r="652" spans="54:63" ht="15" customHeight="1" x14ac:dyDescent="0.3">
      <c r="BB652" s="15"/>
      <c r="BC652" s="15"/>
      <c r="BD652" s="15"/>
      <c r="BE652" s="15"/>
      <c r="BF652" s="15"/>
      <c r="BG652" s="15"/>
      <c r="BH652" s="15"/>
      <c r="BI652" s="15"/>
      <c r="BJ652" s="15"/>
      <c r="BK652" s="15"/>
    </row>
    <row r="653" spans="54:63" ht="15" customHeight="1" x14ac:dyDescent="0.3">
      <c r="BB653" s="15"/>
      <c r="BC653" s="15"/>
      <c r="BD653" s="15"/>
      <c r="BE653" s="15"/>
      <c r="BF653" s="15"/>
      <c r="BG653" s="15"/>
      <c r="BH653" s="15"/>
      <c r="BI653" s="15"/>
      <c r="BJ653" s="15"/>
      <c r="BK653" s="15"/>
    </row>
    <row r="654" spans="54:63" ht="15" customHeight="1" x14ac:dyDescent="0.3">
      <c r="BB654" s="15"/>
      <c r="BC654" s="15"/>
      <c r="BD654" s="15"/>
      <c r="BE654" s="15"/>
      <c r="BF654" s="15"/>
      <c r="BG654" s="15"/>
      <c r="BH654" s="15"/>
      <c r="BI654" s="15"/>
      <c r="BJ654" s="15"/>
      <c r="BK654" s="15"/>
    </row>
    <row r="655" spans="54:63" ht="15" customHeight="1" x14ac:dyDescent="0.3">
      <c r="BB655" s="15"/>
      <c r="BC655" s="15"/>
      <c r="BD655" s="15"/>
      <c r="BE655" s="15"/>
      <c r="BF655" s="15"/>
      <c r="BG655" s="15"/>
      <c r="BH655" s="15"/>
      <c r="BI655" s="15"/>
      <c r="BJ655" s="15"/>
      <c r="BK655" s="15"/>
    </row>
    <row r="656" spans="54:63" ht="15" customHeight="1" x14ac:dyDescent="0.3">
      <c r="BB656" s="15"/>
      <c r="BC656" s="15"/>
      <c r="BD656" s="15"/>
      <c r="BE656" s="15"/>
      <c r="BF656" s="15"/>
      <c r="BG656" s="15"/>
      <c r="BH656" s="15"/>
      <c r="BI656" s="15"/>
      <c r="BJ656" s="15"/>
      <c r="BK656" s="15"/>
    </row>
    <row r="657" spans="54:63" ht="15" customHeight="1" x14ac:dyDescent="0.3">
      <c r="BB657" s="15"/>
      <c r="BC657" s="15"/>
      <c r="BD657" s="15"/>
      <c r="BE657" s="15"/>
      <c r="BF657" s="15"/>
      <c r="BG657" s="15"/>
      <c r="BH657" s="15"/>
      <c r="BI657" s="15"/>
      <c r="BJ657" s="15"/>
      <c r="BK657" s="15"/>
    </row>
    <row r="658" spans="54:63" ht="15" customHeight="1" x14ac:dyDescent="0.3">
      <c r="BB658" s="15"/>
      <c r="BC658" s="15"/>
      <c r="BD658" s="15"/>
      <c r="BE658" s="15"/>
      <c r="BF658" s="15"/>
      <c r="BG658" s="15"/>
      <c r="BH658" s="15"/>
      <c r="BI658" s="15"/>
      <c r="BJ658" s="15"/>
      <c r="BK658" s="15"/>
    </row>
    <row r="659" spans="54:63" ht="15" customHeight="1" x14ac:dyDescent="0.3">
      <c r="BB659" s="15"/>
      <c r="BC659" s="15"/>
      <c r="BD659" s="15"/>
      <c r="BE659" s="15"/>
      <c r="BF659" s="15"/>
      <c r="BG659" s="15"/>
      <c r="BH659" s="15"/>
      <c r="BI659" s="15"/>
      <c r="BJ659" s="15"/>
      <c r="BK659" s="15"/>
    </row>
    <row r="660" spans="54:63" ht="15" customHeight="1" x14ac:dyDescent="0.3">
      <c r="BB660" s="15"/>
      <c r="BC660" s="15"/>
      <c r="BD660" s="15"/>
      <c r="BE660" s="15"/>
      <c r="BF660" s="15"/>
      <c r="BG660" s="15"/>
      <c r="BH660" s="15"/>
      <c r="BI660" s="15"/>
      <c r="BJ660" s="15"/>
      <c r="BK660" s="15"/>
    </row>
    <row r="661" spans="54:63" ht="15" customHeight="1" x14ac:dyDescent="0.3"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</row>
    <row r="662" spans="54:63" ht="15" customHeight="1" x14ac:dyDescent="0.3"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</row>
    <row r="663" spans="54:63" ht="15" customHeight="1" x14ac:dyDescent="0.3">
      <c r="BB663" s="15"/>
      <c r="BC663" s="15"/>
      <c r="BD663" s="15"/>
      <c r="BE663" s="15"/>
      <c r="BF663" s="15"/>
      <c r="BG663" s="15"/>
      <c r="BH663" s="15"/>
      <c r="BI663" s="15"/>
      <c r="BJ663" s="15"/>
      <c r="BK663" s="15"/>
    </row>
    <row r="664" spans="54:63" ht="15" customHeight="1" x14ac:dyDescent="0.3">
      <c r="BB664" s="15"/>
      <c r="BC664" s="15"/>
      <c r="BD664" s="15"/>
      <c r="BE664" s="15"/>
      <c r="BF664" s="15"/>
      <c r="BG664" s="15"/>
      <c r="BH664" s="15"/>
      <c r="BI664" s="15"/>
      <c r="BJ664" s="15"/>
      <c r="BK664" s="15"/>
    </row>
    <row r="665" spans="54:63" ht="15" customHeight="1" x14ac:dyDescent="0.3">
      <c r="BB665" s="15"/>
      <c r="BC665" s="15"/>
      <c r="BD665" s="15"/>
      <c r="BE665" s="15"/>
      <c r="BF665" s="15"/>
      <c r="BG665" s="15"/>
      <c r="BH665" s="15"/>
      <c r="BI665" s="15"/>
      <c r="BJ665" s="15"/>
      <c r="BK665" s="15"/>
    </row>
    <row r="666" spans="54:63" ht="15" customHeight="1" x14ac:dyDescent="0.3"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</row>
    <row r="667" spans="54:63" ht="15" customHeight="1" x14ac:dyDescent="0.3">
      <c r="BB667" s="15"/>
      <c r="BC667" s="15"/>
      <c r="BD667" s="15"/>
      <c r="BE667" s="15"/>
      <c r="BF667" s="15"/>
      <c r="BG667" s="15"/>
      <c r="BH667" s="15"/>
      <c r="BI667" s="15"/>
      <c r="BJ667" s="15"/>
      <c r="BK667" s="15"/>
    </row>
    <row r="668" spans="54:63" ht="15" customHeight="1" x14ac:dyDescent="0.3">
      <c r="BB668" s="15"/>
      <c r="BC668" s="15"/>
      <c r="BD668" s="15"/>
      <c r="BE668" s="15"/>
      <c r="BF668" s="15"/>
      <c r="BG668" s="15"/>
      <c r="BH668" s="15"/>
      <c r="BI668" s="15"/>
      <c r="BJ668" s="15"/>
      <c r="BK668" s="15"/>
    </row>
    <row r="669" spans="54:63" ht="15" customHeight="1" x14ac:dyDescent="0.3">
      <c r="BB669" s="15"/>
      <c r="BC669" s="15"/>
      <c r="BD669" s="15"/>
      <c r="BE669" s="15"/>
      <c r="BF669" s="15"/>
      <c r="BG669" s="15"/>
      <c r="BH669" s="15"/>
      <c r="BI669" s="15"/>
      <c r="BJ669" s="15"/>
      <c r="BK669" s="15"/>
    </row>
    <row r="670" spans="54:63" ht="15" customHeight="1" x14ac:dyDescent="0.3">
      <c r="BB670" s="15"/>
      <c r="BC670" s="15"/>
      <c r="BD670" s="15"/>
      <c r="BE670" s="15"/>
      <c r="BF670" s="15"/>
      <c r="BG670" s="15"/>
      <c r="BH670" s="15"/>
      <c r="BI670" s="15"/>
      <c r="BJ670" s="15"/>
      <c r="BK670" s="15"/>
    </row>
    <row r="671" spans="54:63" ht="15" customHeight="1" x14ac:dyDescent="0.3">
      <c r="BB671" s="15"/>
      <c r="BC671" s="15"/>
      <c r="BD671" s="15"/>
      <c r="BE671" s="15"/>
      <c r="BF671" s="15"/>
      <c r="BG671" s="15"/>
      <c r="BH671" s="15"/>
      <c r="BI671" s="15"/>
      <c r="BJ671" s="15"/>
      <c r="BK671" s="15"/>
    </row>
    <row r="672" spans="54:63" ht="15" customHeight="1" x14ac:dyDescent="0.3">
      <c r="BB672" s="15"/>
      <c r="BC672" s="15"/>
      <c r="BD672" s="15"/>
      <c r="BE672" s="15"/>
      <c r="BF672" s="15"/>
      <c r="BG672" s="15"/>
      <c r="BH672" s="15"/>
      <c r="BI672" s="15"/>
      <c r="BJ672" s="15"/>
      <c r="BK672" s="15"/>
    </row>
    <row r="673" spans="54:63" ht="15" customHeight="1" x14ac:dyDescent="0.3">
      <c r="BB673" s="15"/>
      <c r="BC673" s="15"/>
      <c r="BD673" s="15"/>
      <c r="BE673" s="15"/>
      <c r="BF673" s="15"/>
      <c r="BG673" s="15"/>
      <c r="BH673" s="15"/>
      <c r="BI673" s="15"/>
      <c r="BJ673" s="15"/>
      <c r="BK673" s="15"/>
    </row>
    <row r="674" spans="54:63" ht="15" customHeight="1" x14ac:dyDescent="0.3">
      <c r="BB674" s="15"/>
      <c r="BC674" s="15"/>
      <c r="BD674" s="15"/>
      <c r="BE674" s="15"/>
      <c r="BF674" s="15"/>
      <c r="BG674" s="15"/>
      <c r="BH674" s="15"/>
      <c r="BI674" s="15"/>
      <c r="BJ674" s="15"/>
      <c r="BK674" s="15"/>
    </row>
    <row r="675" spans="54:63" ht="15" customHeight="1" x14ac:dyDescent="0.3">
      <c r="BB675" s="15"/>
      <c r="BC675" s="15"/>
      <c r="BD675" s="15"/>
      <c r="BE675" s="15"/>
      <c r="BF675" s="15"/>
      <c r="BG675" s="15"/>
      <c r="BH675" s="15"/>
      <c r="BI675" s="15"/>
      <c r="BJ675" s="15"/>
      <c r="BK675" s="15"/>
    </row>
    <row r="676" spans="54:63" ht="15" customHeight="1" x14ac:dyDescent="0.3">
      <c r="BB676" s="15"/>
      <c r="BC676" s="15"/>
      <c r="BD676" s="15"/>
      <c r="BE676" s="15"/>
      <c r="BF676" s="15"/>
      <c r="BG676" s="15"/>
      <c r="BH676" s="15"/>
      <c r="BI676" s="15"/>
      <c r="BJ676" s="15"/>
      <c r="BK676" s="15"/>
    </row>
    <row r="677" spans="54:63" ht="15" customHeight="1" x14ac:dyDescent="0.3">
      <c r="BB677" s="15"/>
      <c r="BC677" s="15"/>
      <c r="BD677" s="15"/>
      <c r="BE677" s="15"/>
      <c r="BF677" s="15"/>
      <c r="BG677" s="15"/>
      <c r="BH677" s="15"/>
      <c r="BI677" s="15"/>
      <c r="BJ677" s="15"/>
      <c r="BK677" s="15"/>
    </row>
    <row r="678" spans="54:63" ht="15" customHeight="1" x14ac:dyDescent="0.3">
      <c r="BB678" s="15"/>
      <c r="BC678" s="15"/>
      <c r="BD678" s="15"/>
      <c r="BE678" s="15"/>
      <c r="BF678" s="15"/>
      <c r="BG678" s="15"/>
      <c r="BH678" s="15"/>
      <c r="BI678" s="15"/>
      <c r="BJ678" s="15"/>
      <c r="BK678" s="15"/>
    </row>
    <row r="679" spans="54:63" ht="15" customHeight="1" x14ac:dyDescent="0.3">
      <c r="BB679" s="15"/>
      <c r="BC679" s="15"/>
      <c r="BD679" s="15"/>
      <c r="BE679" s="15"/>
      <c r="BF679" s="15"/>
      <c r="BG679" s="15"/>
      <c r="BH679" s="15"/>
      <c r="BI679" s="15"/>
      <c r="BJ679" s="15"/>
      <c r="BK679" s="15"/>
    </row>
    <row r="680" spans="54:63" ht="15" customHeight="1" x14ac:dyDescent="0.3">
      <c r="BB680" s="15"/>
      <c r="BC680" s="15"/>
      <c r="BD680" s="15"/>
      <c r="BE680" s="15"/>
      <c r="BF680" s="15"/>
      <c r="BG680" s="15"/>
      <c r="BH680" s="15"/>
      <c r="BI680" s="15"/>
      <c r="BJ680" s="15"/>
      <c r="BK680" s="15"/>
    </row>
    <row r="681" spans="54:63" ht="15" customHeight="1" x14ac:dyDescent="0.3">
      <c r="BB681" s="15"/>
      <c r="BC681" s="15"/>
      <c r="BD681" s="15"/>
      <c r="BE681" s="15"/>
      <c r="BF681" s="15"/>
      <c r="BG681" s="15"/>
      <c r="BH681" s="15"/>
      <c r="BI681" s="15"/>
      <c r="BJ681" s="15"/>
      <c r="BK681" s="15"/>
    </row>
    <row r="682" spans="54:63" ht="15" customHeight="1" x14ac:dyDescent="0.3">
      <c r="BB682" s="15"/>
      <c r="BC682" s="15"/>
      <c r="BD682" s="15"/>
      <c r="BE682" s="15"/>
      <c r="BF682" s="15"/>
      <c r="BG682" s="15"/>
      <c r="BH682" s="15"/>
      <c r="BI682" s="15"/>
      <c r="BJ682" s="15"/>
      <c r="BK682" s="15"/>
    </row>
    <row r="683" spans="54:63" ht="15" customHeight="1" x14ac:dyDescent="0.3">
      <c r="BB683" s="15"/>
      <c r="BC683" s="15"/>
      <c r="BD683" s="15"/>
      <c r="BE683" s="15"/>
      <c r="BF683" s="15"/>
      <c r="BG683" s="15"/>
      <c r="BH683" s="15"/>
      <c r="BI683" s="15"/>
      <c r="BJ683" s="15"/>
      <c r="BK683" s="15"/>
    </row>
    <row r="684" spans="54:63" ht="15" customHeight="1" x14ac:dyDescent="0.3">
      <c r="BB684" s="15"/>
      <c r="BC684" s="15"/>
      <c r="BD684" s="15"/>
      <c r="BE684" s="15"/>
      <c r="BF684" s="15"/>
      <c r="BG684" s="15"/>
      <c r="BH684" s="15"/>
      <c r="BI684" s="15"/>
      <c r="BJ684" s="15"/>
      <c r="BK684" s="15"/>
    </row>
    <row r="685" spans="54:63" ht="15" customHeight="1" x14ac:dyDescent="0.3">
      <c r="BB685" s="15"/>
      <c r="BC685" s="15"/>
      <c r="BD685" s="15"/>
      <c r="BE685" s="15"/>
      <c r="BF685" s="15"/>
      <c r="BG685" s="15"/>
      <c r="BH685" s="15"/>
      <c r="BI685" s="15"/>
      <c r="BJ685" s="15"/>
      <c r="BK685" s="15"/>
    </row>
    <row r="686" spans="54:63" ht="15" customHeight="1" x14ac:dyDescent="0.3">
      <c r="BB686" s="15"/>
      <c r="BC686" s="15"/>
      <c r="BD686" s="15"/>
      <c r="BE686" s="15"/>
      <c r="BF686" s="15"/>
      <c r="BG686" s="15"/>
      <c r="BH686" s="15"/>
      <c r="BI686" s="15"/>
      <c r="BJ686" s="15"/>
      <c r="BK686" s="15"/>
    </row>
    <row r="687" spans="54:63" ht="15" customHeight="1" x14ac:dyDescent="0.3">
      <c r="BB687" s="15"/>
      <c r="BC687" s="15"/>
      <c r="BD687" s="15"/>
      <c r="BE687" s="15"/>
      <c r="BF687" s="15"/>
      <c r="BG687" s="15"/>
      <c r="BH687" s="15"/>
      <c r="BI687" s="15"/>
      <c r="BJ687" s="15"/>
      <c r="BK687" s="15"/>
    </row>
    <row r="688" spans="54:63" ht="15" customHeight="1" x14ac:dyDescent="0.3">
      <c r="BB688" s="15"/>
      <c r="BC688" s="15"/>
      <c r="BD688" s="15"/>
      <c r="BE688" s="15"/>
      <c r="BF688" s="15"/>
      <c r="BG688" s="15"/>
      <c r="BH688" s="15"/>
      <c r="BI688" s="15"/>
      <c r="BJ688" s="15"/>
      <c r="BK688" s="15"/>
    </row>
    <row r="689" spans="54:63" ht="15" customHeight="1" x14ac:dyDescent="0.3">
      <c r="BB689" s="15"/>
      <c r="BC689" s="15"/>
      <c r="BD689" s="15"/>
      <c r="BE689" s="15"/>
      <c r="BF689" s="15"/>
      <c r="BG689" s="15"/>
      <c r="BH689" s="15"/>
      <c r="BI689" s="15"/>
      <c r="BJ689" s="15"/>
      <c r="BK689" s="15"/>
    </row>
    <row r="690" spans="54:63" ht="15" customHeight="1" x14ac:dyDescent="0.3">
      <c r="BB690" s="15"/>
      <c r="BC690" s="15"/>
      <c r="BD690" s="15"/>
      <c r="BE690" s="15"/>
      <c r="BF690" s="15"/>
      <c r="BG690" s="15"/>
      <c r="BH690" s="15"/>
      <c r="BI690" s="15"/>
      <c r="BJ690" s="15"/>
      <c r="BK690" s="15"/>
    </row>
    <row r="691" spans="54:63" ht="15" customHeight="1" x14ac:dyDescent="0.3"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</row>
    <row r="692" spans="54:63" ht="15" customHeight="1" x14ac:dyDescent="0.3">
      <c r="BB692" s="15"/>
      <c r="BC692" s="15"/>
      <c r="BD692" s="15"/>
      <c r="BE692" s="15"/>
      <c r="BF692" s="15"/>
      <c r="BG692" s="15"/>
      <c r="BH692" s="15"/>
      <c r="BI692" s="15"/>
      <c r="BJ692" s="15"/>
      <c r="BK692" s="15"/>
    </row>
    <row r="693" spans="54:63" ht="15" customHeight="1" x14ac:dyDescent="0.3">
      <c r="BB693" s="15"/>
      <c r="BC693" s="15"/>
      <c r="BD693" s="15"/>
      <c r="BE693" s="15"/>
      <c r="BF693" s="15"/>
      <c r="BG693" s="15"/>
      <c r="BH693" s="15"/>
      <c r="BI693" s="15"/>
      <c r="BJ693" s="15"/>
      <c r="BK693" s="15"/>
    </row>
    <row r="694" spans="54:63" ht="15" customHeight="1" x14ac:dyDescent="0.3">
      <c r="BB694" s="15"/>
      <c r="BC694" s="15"/>
      <c r="BD694" s="15"/>
      <c r="BE694" s="15"/>
      <c r="BF694" s="15"/>
      <c r="BG694" s="15"/>
      <c r="BH694" s="15"/>
      <c r="BI694" s="15"/>
      <c r="BJ694" s="15"/>
      <c r="BK694" s="15"/>
    </row>
    <row r="695" spans="54:63" ht="15" customHeight="1" x14ac:dyDescent="0.3">
      <c r="BB695" s="15"/>
      <c r="BC695" s="15"/>
      <c r="BD695" s="15"/>
      <c r="BE695" s="15"/>
      <c r="BF695" s="15"/>
      <c r="BG695" s="15"/>
      <c r="BH695" s="15"/>
      <c r="BI695" s="15"/>
      <c r="BJ695" s="15"/>
      <c r="BK695" s="15"/>
    </row>
    <row r="696" spans="54:63" ht="15" customHeight="1" x14ac:dyDescent="0.3">
      <c r="BB696" s="15"/>
      <c r="BC696" s="15"/>
      <c r="BD696" s="15"/>
      <c r="BE696" s="15"/>
      <c r="BF696" s="15"/>
      <c r="BG696" s="15"/>
      <c r="BH696" s="15"/>
      <c r="BI696" s="15"/>
      <c r="BJ696" s="15"/>
      <c r="BK696" s="15"/>
    </row>
    <row r="697" spans="54:63" ht="15" customHeight="1" x14ac:dyDescent="0.3">
      <c r="BB697" s="15"/>
      <c r="BC697" s="15"/>
      <c r="BD697" s="15"/>
      <c r="BE697" s="15"/>
      <c r="BF697" s="15"/>
      <c r="BG697" s="15"/>
      <c r="BH697" s="15"/>
      <c r="BI697" s="15"/>
      <c r="BJ697" s="15"/>
      <c r="BK697" s="15"/>
    </row>
    <row r="698" spans="54:63" ht="15" customHeight="1" x14ac:dyDescent="0.3">
      <c r="BB698" s="15"/>
      <c r="BC698" s="15"/>
      <c r="BD698" s="15"/>
      <c r="BE698" s="15"/>
      <c r="BF698" s="15"/>
      <c r="BG698" s="15"/>
      <c r="BH698" s="15"/>
      <c r="BI698" s="15"/>
      <c r="BJ698" s="15"/>
      <c r="BK698" s="15"/>
    </row>
    <row r="699" spans="54:63" ht="15" customHeight="1" x14ac:dyDescent="0.3">
      <c r="BB699" s="15"/>
      <c r="BC699" s="15"/>
      <c r="BD699" s="15"/>
      <c r="BE699" s="15"/>
      <c r="BF699" s="15"/>
      <c r="BG699" s="15"/>
      <c r="BH699" s="15"/>
      <c r="BI699" s="15"/>
      <c r="BJ699" s="15"/>
      <c r="BK699" s="15"/>
    </row>
    <row r="700" spans="54:63" ht="15" customHeight="1" x14ac:dyDescent="0.3">
      <c r="BB700" s="15"/>
      <c r="BC700" s="15"/>
      <c r="BD700" s="15"/>
      <c r="BE700" s="15"/>
      <c r="BF700" s="15"/>
      <c r="BG700" s="15"/>
      <c r="BH700" s="15"/>
      <c r="BI700" s="15"/>
      <c r="BJ700" s="15"/>
      <c r="BK700" s="15"/>
    </row>
    <row r="701" spans="54:63" ht="15" customHeight="1" x14ac:dyDescent="0.3"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</row>
    <row r="702" spans="54:63" ht="15" customHeight="1" x14ac:dyDescent="0.3">
      <c r="BB702" s="15"/>
      <c r="BC702" s="15"/>
      <c r="BD702" s="15"/>
      <c r="BE702" s="15"/>
      <c r="BF702" s="15"/>
      <c r="BG702" s="15"/>
      <c r="BH702" s="15"/>
      <c r="BI702" s="15"/>
      <c r="BJ702" s="15"/>
      <c r="BK702" s="15"/>
    </row>
    <row r="703" spans="54:63" ht="15" customHeight="1" x14ac:dyDescent="0.3">
      <c r="BB703" s="15"/>
      <c r="BC703" s="15"/>
      <c r="BD703" s="15"/>
      <c r="BE703" s="15"/>
      <c r="BF703" s="15"/>
      <c r="BG703" s="15"/>
      <c r="BH703" s="15"/>
      <c r="BI703" s="15"/>
      <c r="BJ703" s="15"/>
      <c r="BK703" s="15"/>
    </row>
    <row r="704" spans="54:63" ht="15" customHeight="1" x14ac:dyDescent="0.3">
      <c r="BB704" s="15"/>
      <c r="BC704" s="15"/>
      <c r="BD704" s="15"/>
      <c r="BE704" s="15"/>
      <c r="BF704" s="15"/>
      <c r="BG704" s="15"/>
      <c r="BH704" s="15"/>
      <c r="BI704" s="15"/>
      <c r="BJ704" s="15"/>
      <c r="BK704" s="15"/>
    </row>
    <row r="705" spans="54:63" ht="15" customHeight="1" x14ac:dyDescent="0.3">
      <c r="BB705" s="15"/>
      <c r="BC705" s="15"/>
      <c r="BD705" s="15"/>
      <c r="BE705" s="15"/>
      <c r="BF705" s="15"/>
      <c r="BG705" s="15"/>
      <c r="BH705" s="15"/>
      <c r="BI705" s="15"/>
      <c r="BJ705" s="15"/>
      <c r="BK705" s="15"/>
    </row>
    <row r="706" spans="54:63" ht="15" customHeight="1" x14ac:dyDescent="0.3">
      <c r="BB706" s="15"/>
      <c r="BC706" s="15"/>
      <c r="BD706" s="15"/>
      <c r="BE706" s="15"/>
      <c r="BF706" s="15"/>
      <c r="BG706" s="15"/>
      <c r="BH706" s="15"/>
      <c r="BI706" s="15"/>
      <c r="BJ706" s="15"/>
      <c r="BK706" s="15"/>
    </row>
    <row r="707" spans="54:63" ht="15" customHeight="1" x14ac:dyDescent="0.3">
      <c r="BB707" s="15"/>
      <c r="BC707" s="15"/>
      <c r="BD707" s="15"/>
      <c r="BE707" s="15"/>
      <c r="BF707" s="15"/>
      <c r="BG707" s="15"/>
      <c r="BH707" s="15"/>
      <c r="BI707" s="15"/>
      <c r="BJ707" s="15"/>
      <c r="BK707" s="15"/>
    </row>
    <row r="708" spans="54:63" ht="15" customHeight="1" x14ac:dyDescent="0.3">
      <c r="BB708" s="15"/>
      <c r="BC708" s="15"/>
      <c r="BD708" s="15"/>
      <c r="BE708" s="15"/>
      <c r="BF708" s="15"/>
      <c r="BG708" s="15"/>
      <c r="BH708" s="15"/>
      <c r="BI708" s="15"/>
      <c r="BJ708" s="15"/>
      <c r="BK708" s="15"/>
    </row>
    <row r="709" spans="54:63" ht="15" customHeight="1" x14ac:dyDescent="0.3">
      <c r="BB709" s="15"/>
      <c r="BC709" s="15"/>
      <c r="BD709" s="15"/>
      <c r="BE709" s="15"/>
      <c r="BF709" s="15"/>
      <c r="BG709" s="15"/>
      <c r="BH709" s="15"/>
      <c r="BI709" s="15"/>
      <c r="BJ709" s="15"/>
      <c r="BK709" s="15"/>
    </row>
    <row r="710" spans="54:63" ht="15" customHeight="1" x14ac:dyDescent="0.3">
      <c r="BB710" s="15"/>
      <c r="BC710" s="15"/>
      <c r="BD710" s="15"/>
      <c r="BE710" s="15"/>
      <c r="BF710" s="15"/>
      <c r="BG710" s="15"/>
      <c r="BH710" s="15"/>
      <c r="BI710" s="15"/>
      <c r="BJ710" s="15"/>
      <c r="BK710" s="15"/>
    </row>
    <row r="711" spans="54:63" ht="15" customHeight="1" x14ac:dyDescent="0.3">
      <c r="BB711" s="15"/>
      <c r="BC711" s="15"/>
      <c r="BD711" s="15"/>
      <c r="BE711" s="15"/>
      <c r="BF711" s="15"/>
      <c r="BG711" s="15"/>
      <c r="BH711" s="15"/>
      <c r="BI711" s="15"/>
      <c r="BJ711" s="15"/>
      <c r="BK711" s="15"/>
    </row>
    <row r="712" spans="54:63" ht="15" customHeight="1" x14ac:dyDescent="0.3">
      <c r="BB712" s="15"/>
      <c r="BC712" s="15"/>
      <c r="BD712" s="15"/>
      <c r="BE712" s="15"/>
      <c r="BF712" s="15"/>
      <c r="BG712" s="15"/>
      <c r="BH712" s="15"/>
      <c r="BI712" s="15"/>
      <c r="BJ712" s="15"/>
      <c r="BK712" s="15"/>
    </row>
    <row r="713" spans="54:63" ht="15" customHeight="1" x14ac:dyDescent="0.3">
      <c r="BB713" s="15"/>
      <c r="BC713" s="15"/>
      <c r="BD713" s="15"/>
      <c r="BE713" s="15"/>
      <c r="BF713" s="15"/>
      <c r="BG713" s="15"/>
      <c r="BH713" s="15"/>
      <c r="BI713" s="15"/>
      <c r="BJ713" s="15"/>
      <c r="BK713" s="15"/>
    </row>
    <row r="714" spans="54:63" ht="15" customHeight="1" x14ac:dyDescent="0.3">
      <c r="BB714" s="15"/>
      <c r="BC714" s="15"/>
      <c r="BD714" s="15"/>
      <c r="BE714" s="15"/>
      <c r="BF714" s="15"/>
      <c r="BG714" s="15"/>
      <c r="BH714" s="15"/>
      <c r="BI714" s="15"/>
      <c r="BJ714" s="15"/>
      <c r="BK714" s="15"/>
    </row>
    <row r="715" spans="54:63" ht="15" customHeight="1" x14ac:dyDescent="0.3">
      <c r="BB715" s="15"/>
      <c r="BC715" s="15"/>
      <c r="BD715" s="15"/>
      <c r="BE715" s="15"/>
      <c r="BF715" s="15"/>
      <c r="BG715" s="15"/>
      <c r="BH715" s="15"/>
      <c r="BI715" s="15"/>
      <c r="BJ715" s="15"/>
      <c r="BK715" s="15"/>
    </row>
    <row r="716" spans="54:63" ht="15" customHeight="1" x14ac:dyDescent="0.3">
      <c r="BB716" s="15"/>
      <c r="BC716" s="15"/>
      <c r="BD716" s="15"/>
      <c r="BE716" s="15"/>
      <c r="BF716" s="15"/>
      <c r="BG716" s="15"/>
      <c r="BH716" s="15"/>
      <c r="BI716" s="15"/>
      <c r="BJ716" s="15"/>
      <c r="BK716" s="15"/>
    </row>
    <row r="717" spans="54:63" ht="15" customHeight="1" x14ac:dyDescent="0.3">
      <c r="BB717" s="15"/>
      <c r="BC717" s="15"/>
      <c r="BD717" s="15"/>
      <c r="BE717" s="15"/>
      <c r="BF717" s="15"/>
      <c r="BG717" s="15"/>
      <c r="BH717" s="15"/>
      <c r="BI717" s="15"/>
      <c r="BJ717" s="15"/>
      <c r="BK717" s="15"/>
    </row>
    <row r="718" spans="54:63" ht="15" customHeight="1" x14ac:dyDescent="0.3">
      <c r="BB718" s="15"/>
      <c r="BC718" s="15"/>
      <c r="BD718" s="15"/>
      <c r="BE718" s="15"/>
      <c r="BF718" s="15"/>
      <c r="BG718" s="15"/>
      <c r="BH718" s="15"/>
      <c r="BI718" s="15"/>
      <c r="BJ718" s="15"/>
      <c r="BK718" s="15"/>
    </row>
    <row r="719" spans="54:63" ht="15" customHeight="1" x14ac:dyDescent="0.3">
      <c r="BB719" s="15"/>
      <c r="BC719" s="15"/>
      <c r="BD719" s="15"/>
      <c r="BE719" s="15"/>
      <c r="BF719" s="15"/>
      <c r="BG719" s="15"/>
      <c r="BH719" s="15"/>
      <c r="BI719" s="15"/>
      <c r="BJ719" s="15"/>
      <c r="BK719" s="15"/>
    </row>
    <row r="720" spans="54:63" ht="15" customHeight="1" x14ac:dyDescent="0.3">
      <c r="BB720" s="15"/>
      <c r="BC720" s="15"/>
      <c r="BD720" s="15"/>
      <c r="BE720" s="15"/>
      <c r="BF720" s="15"/>
      <c r="BG720" s="15"/>
      <c r="BH720" s="15"/>
      <c r="BI720" s="15"/>
      <c r="BJ720" s="15"/>
      <c r="BK720" s="15"/>
    </row>
    <row r="721" spans="54:63" ht="15" customHeight="1" x14ac:dyDescent="0.3">
      <c r="BB721" s="15"/>
      <c r="BC721" s="15"/>
      <c r="BD721" s="15"/>
      <c r="BE721" s="15"/>
      <c r="BF721" s="15"/>
      <c r="BG721" s="15"/>
      <c r="BH721" s="15"/>
      <c r="BI721" s="15"/>
      <c r="BJ721" s="15"/>
      <c r="BK721" s="15"/>
    </row>
    <row r="722" spans="54:63" ht="15" customHeight="1" x14ac:dyDescent="0.3">
      <c r="BB722" s="15"/>
      <c r="BC722" s="15"/>
      <c r="BD722" s="15"/>
      <c r="BE722" s="15"/>
      <c r="BF722" s="15"/>
      <c r="BG722" s="15"/>
      <c r="BH722" s="15"/>
      <c r="BI722" s="15"/>
      <c r="BJ722" s="15"/>
      <c r="BK722" s="15"/>
    </row>
    <row r="723" spans="54:63" ht="15" customHeight="1" x14ac:dyDescent="0.3"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</row>
    <row r="724" spans="54:63" ht="15" customHeight="1" x14ac:dyDescent="0.3"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</row>
    <row r="725" spans="54:63" ht="15" customHeight="1" x14ac:dyDescent="0.3">
      <c r="BB725" s="15"/>
      <c r="BC725" s="15"/>
      <c r="BD725" s="15"/>
      <c r="BE725" s="15"/>
      <c r="BF725" s="15"/>
      <c r="BG725" s="15"/>
      <c r="BH725" s="15"/>
      <c r="BI725" s="15"/>
      <c r="BJ725" s="15"/>
      <c r="BK725" s="15"/>
    </row>
    <row r="726" spans="54:63" ht="15" customHeight="1" x14ac:dyDescent="0.3">
      <c r="BB726" s="15"/>
      <c r="BC726" s="15"/>
      <c r="BD726" s="15"/>
      <c r="BE726" s="15"/>
      <c r="BF726" s="15"/>
      <c r="BG726" s="15"/>
      <c r="BH726" s="15"/>
      <c r="BI726" s="15"/>
      <c r="BJ726" s="15"/>
      <c r="BK726" s="15"/>
    </row>
    <row r="727" spans="54:63" ht="15" customHeight="1" x14ac:dyDescent="0.3"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</row>
    <row r="728" spans="54:63" ht="15" customHeight="1" x14ac:dyDescent="0.3">
      <c r="BB728" s="15"/>
      <c r="BC728" s="15"/>
      <c r="BD728" s="15"/>
      <c r="BE728" s="15"/>
      <c r="BF728" s="15"/>
      <c r="BG728" s="15"/>
      <c r="BH728" s="15"/>
      <c r="BI728" s="15"/>
      <c r="BJ728" s="15"/>
      <c r="BK728" s="15"/>
    </row>
    <row r="729" spans="54:63" ht="15" customHeight="1" x14ac:dyDescent="0.3"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</row>
    <row r="730" spans="54:63" ht="15" customHeight="1" x14ac:dyDescent="0.3">
      <c r="BB730" s="15"/>
      <c r="BC730" s="15"/>
      <c r="BD730" s="15"/>
      <c r="BE730" s="15"/>
      <c r="BF730" s="15"/>
      <c r="BG730" s="15"/>
      <c r="BH730" s="15"/>
      <c r="BI730" s="15"/>
      <c r="BJ730" s="15"/>
      <c r="BK730" s="15"/>
    </row>
    <row r="731" spans="54:63" ht="15" customHeight="1" x14ac:dyDescent="0.3">
      <c r="BB731" s="15"/>
      <c r="BC731" s="15"/>
      <c r="BD731" s="15"/>
      <c r="BE731" s="15"/>
      <c r="BF731" s="15"/>
      <c r="BG731" s="15"/>
      <c r="BH731" s="15"/>
      <c r="BI731" s="15"/>
      <c r="BJ731" s="15"/>
      <c r="BK731" s="15"/>
    </row>
    <row r="732" spans="54:63" ht="15" customHeight="1" x14ac:dyDescent="0.3">
      <c r="BB732" s="15"/>
      <c r="BC732" s="15"/>
      <c r="BD732" s="15"/>
      <c r="BE732" s="15"/>
      <c r="BF732" s="15"/>
      <c r="BG732" s="15"/>
      <c r="BH732" s="15"/>
      <c r="BI732" s="15"/>
      <c r="BJ732" s="15"/>
      <c r="BK732" s="15"/>
    </row>
    <row r="733" spans="54:63" ht="15" customHeight="1" x14ac:dyDescent="0.3">
      <c r="BB733" s="15"/>
      <c r="BC733" s="15"/>
      <c r="BD733" s="15"/>
      <c r="BE733" s="15"/>
      <c r="BF733" s="15"/>
      <c r="BG733" s="15"/>
      <c r="BH733" s="15"/>
      <c r="BI733" s="15"/>
      <c r="BJ733" s="15"/>
      <c r="BK733" s="15"/>
    </row>
    <row r="734" spans="54:63" ht="15" customHeight="1" x14ac:dyDescent="0.3">
      <c r="BB734" s="15"/>
      <c r="BC734" s="15"/>
      <c r="BD734" s="15"/>
      <c r="BE734" s="15"/>
      <c r="BF734" s="15"/>
      <c r="BG734" s="15"/>
      <c r="BH734" s="15"/>
      <c r="BI734" s="15"/>
      <c r="BJ734" s="15"/>
      <c r="BK734" s="15"/>
    </row>
    <row r="735" spans="54:63" ht="15" customHeight="1" x14ac:dyDescent="0.3">
      <c r="BB735" s="15"/>
      <c r="BC735" s="15"/>
      <c r="BD735" s="15"/>
      <c r="BE735" s="15"/>
      <c r="BF735" s="15"/>
      <c r="BG735" s="15"/>
      <c r="BH735" s="15"/>
      <c r="BI735" s="15"/>
      <c r="BJ735" s="15"/>
      <c r="BK735" s="15"/>
    </row>
    <row r="736" spans="54:63" ht="15" customHeight="1" x14ac:dyDescent="0.3">
      <c r="BB736" s="15"/>
      <c r="BC736" s="15"/>
      <c r="BD736" s="15"/>
      <c r="BE736" s="15"/>
      <c r="BF736" s="15"/>
      <c r="BG736" s="15"/>
      <c r="BH736" s="15"/>
      <c r="BI736" s="15"/>
      <c r="BJ736" s="15"/>
      <c r="BK736" s="15"/>
    </row>
    <row r="737" spans="54:63" ht="15" customHeight="1" x14ac:dyDescent="0.3">
      <c r="BB737" s="15"/>
      <c r="BC737" s="15"/>
      <c r="BD737" s="15"/>
      <c r="BE737" s="15"/>
      <c r="BF737" s="15"/>
      <c r="BG737" s="15"/>
      <c r="BH737" s="15"/>
      <c r="BI737" s="15"/>
      <c r="BJ737" s="15"/>
      <c r="BK737" s="15"/>
    </row>
    <row r="738" spans="54:63" ht="15" customHeight="1" x14ac:dyDescent="0.3">
      <c r="BB738" s="15"/>
      <c r="BC738" s="15"/>
      <c r="BD738" s="15"/>
      <c r="BE738" s="15"/>
      <c r="BF738" s="15"/>
      <c r="BG738" s="15"/>
      <c r="BH738" s="15"/>
      <c r="BI738" s="15"/>
      <c r="BJ738" s="15"/>
      <c r="BK738" s="15"/>
    </row>
    <row r="739" spans="54:63" ht="15" customHeight="1" x14ac:dyDescent="0.3">
      <c r="BB739" s="15"/>
      <c r="BC739" s="15"/>
      <c r="BD739" s="15"/>
      <c r="BE739" s="15"/>
      <c r="BF739" s="15"/>
      <c r="BG739" s="15"/>
      <c r="BH739" s="15"/>
      <c r="BI739" s="15"/>
      <c r="BJ739" s="15"/>
      <c r="BK739" s="15"/>
    </row>
    <row r="740" spans="54:63" ht="15" customHeight="1" x14ac:dyDescent="0.3">
      <c r="BB740" s="15"/>
      <c r="BC740" s="15"/>
      <c r="BD740" s="15"/>
      <c r="BE740" s="15"/>
      <c r="BF740" s="15"/>
      <c r="BG740" s="15"/>
      <c r="BH740" s="15"/>
      <c r="BI740" s="15"/>
      <c r="BJ740" s="15"/>
      <c r="BK740" s="15"/>
    </row>
    <row r="741" spans="54:63" ht="15" customHeight="1" x14ac:dyDescent="0.3">
      <c r="BB741" s="15"/>
      <c r="BC741" s="15"/>
      <c r="BD741" s="15"/>
      <c r="BE741" s="15"/>
      <c r="BF741" s="15"/>
      <c r="BG741" s="15"/>
      <c r="BH741" s="15"/>
      <c r="BI741" s="15"/>
      <c r="BJ741" s="15"/>
      <c r="BK741" s="15"/>
    </row>
    <row r="742" spans="54:63" ht="15" customHeight="1" x14ac:dyDescent="0.3">
      <c r="BB742" s="15"/>
      <c r="BC742" s="15"/>
      <c r="BD742" s="15"/>
      <c r="BE742" s="15"/>
      <c r="BF742" s="15"/>
      <c r="BG742" s="15"/>
      <c r="BH742" s="15"/>
      <c r="BI742" s="15"/>
      <c r="BJ742" s="15"/>
      <c r="BK742" s="15"/>
    </row>
    <row r="743" spans="54:63" ht="15" customHeight="1" x14ac:dyDescent="0.3">
      <c r="BB743" s="15"/>
      <c r="BC743" s="15"/>
      <c r="BD743" s="15"/>
      <c r="BE743" s="15"/>
      <c r="BF743" s="15"/>
      <c r="BG743" s="15"/>
      <c r="BH743" s="15"/>
      <c r="BI743" s="15"/>
      <c r="BJ743" s="15"/>
      <c r="BK743" s="15"/>
    </row>
    <row r="744" spans="54:63" ht="15" customHeight="1" x14ac:dyDescent="0.3">
      <c r="BB744" s="15"/>
      <c r="BC744" s="15"/>
      <c r="BD744" s="15"/>
      <c r="BE744" s="15"/>
      <c r="BF744" s="15"/>
      <c r="BG744" s="15"/>
      <c r="BH744" s="15"/>
      <c r="BI744" s="15"/>
      <c r="BJ744" s="15"/>
      <c r="BK744" s="15"/>
    </row>
    <row r="745" spans="54:63" ht="15" customHeight="1" x14ac:dyDescent="0.3">
      <c r="BB745" s="15"/>
      <c r="BC745" s="15"/>
      <c r="BD745" s="15"/>
      <c r="BE745" s="15"/>
      <c r="BF745" s="15"/>
      <c r="BG745" s="15"/>
      <c r="BH745" s="15"/>
      <c r="BI745" s="15"/>
      <c r="BJ745" s="15"/>
      <c r="BK745" s="15"/>
    </row>
    <row r="746" spans="54:63" ht="15" customHeight="1" x14ac:dyDescent="0.3">
      <c r="BB746" s="15"/>
      <c r="BC746" s="15"/>
      <c r="BD746" s="15"/>
      <c r="BE746" s="15"/>
      <c r="BF746" s="15"/>
      <c r="BG746" s="15"/>
      <c r="BH746" s="15"/>
      <c r="BI746" s="15"/>
      <c r="BJ746" s="15"/>
      <c r="BK746" s="15"/>
    </row>
    <row r="747" spans="54:63" ht="15" customHeight="1" x14ac:dyDescent="0.3">
      <c r="BB747" s="15"/>
      <c r="BC747" s="15"/>
      <c r="BD747" s="15"/>
      <c r="BE747" s="15"/>
      <c r="BF747" s="15"/>
      <c r="BG747" s="15"/>
      <c r="BH747" s="15"/>
      <c r="BI747" s="15"/>
      <c r="BJ747" s="15"/>
      <c r="BK747" s="15"/>
    </row>
    <row r="748" spans="54:63" ht="15" customHeight="1" x14ac:dyDescent="0.3">
      <c r="BB748" s="15"/>
      <c r="BC748" s="15"/>
      <c r="BD748" s="15"/>
      <c r="BE748" s="15"/>
      <c r="BF748" s="15"/>
      <c r="BG748" s="15"/>
      <c r="BH748" s="15"/>
      <c r="BI748" s="15"/>
      <c r="BJ748" s="15"/>
      <c r="BK748" s="15"/>
    </row>
    <row r="749" spans="54:63" ht="15" customHeight="1" x14ac:dyDescent="0.3">
      <c r="BB749" s="15"/>
      <c r="BC749" s="15"/>
      <c r="BD749" s="15"/>
      <c r="BE749" s="15"/>
      <c r="BF749" s="15"/>
      <c r="BG749" s="15"/>
      <c r="BH749" s="15"/>
      <c r="BI749" s="15"/>
      <c r="BJ749" s="15"/>
      <c r="BK749" s="15"/>
    </row>
    <row r="750" spans="54:63" ht="15" customHeight="1" x14ac:dyDescent="0.3">
      <c r="BB750" s="15"/>
      <c r="BC750" s="15"/>
      <c r="BD750" s="15"/>
      <c r="BE750" s="15"/>
      <c r="BF750" s="15"/>
      <c r="BG750" s="15"/>
      <c r="BH750" s="15"/>
      <c r="BI750" s="15"/>
      <c r="BJ750" s="15"/>
      <c r="BK750" s="15"/>
    </row>
    <row r="751" spans="54:63" ht="15" customHeight="1" x14ac:dyDescent="0.3">
      <c r="BB751" s="15"/>
      <c r="BC751" s="15"/>
      <c r="BD751" s="15"/>
      <c r="BE751" s="15"/>
      <c r="BF751" s="15"/>
      <c r="BG751" s="15"/>
      <c r="BH751" s="15"/>
      <c r="BI751" s="15"/>
      <c r="BJ751" s="15"/>
      <c r="BK751" s="15"/>
    </row>
    <row r="752" spans="54:63" ht="15" customHeight="1" x14ac:dyDescent="0.3">
      <c r="BB752" s="15"/>
      <c r="BC752" s="15"/>
      <c r="BD752" s="15"/>
      <c r="BE752" s="15"/>
      <c r="BF752" s="15"/>
      <c r="BG752" s="15"/>
      <c r="BH752" s="15"/>
      <c r="BI752" s="15"/>
      <c r="BJ752" s="15"/>
      <c r="BK752" s="15"/>
    </row>
    <row r="753" spans="54:63" ht="15" customHeight="1" x14ac:dyDescent="0.3">
      <c r="BB753" s="15"/>
      <c r="BC753" s="15"/>
      <c r="BD753" s="15"/>
      <c r="BE753" s="15"/>
      <c r="BF753" s="15"/>
      <c r="BG753" s="15"/>
      <c r="BH753" s="15"/>
      <c r="BI753" s="15"/>
      <c r="BJ753" s="15"/>
      <c r="BK753" s="15"/>
    </row>
    <row r="754" spans="54:63" ht="15" customHeight="1" x14ac:dyDescent="0.3">
      <c r="BB754" s="15"/>
      <c r="BC754" s="15"/>
      <c r="BD754" s="15"/>
      <c r="BE754" s="15"/>
      <c r="BF754" s="15"/>
      <c r="BG754" s="15"/>
      <c r="BH754" s="15"/>
      <c r="BI754" s="15"/>
      <c r="BJ754" s="15"/>
      <c r="BK754" s="15"/>
    </row>
    <row r="755" spans="54:63" ht="15" customHeight="1" x14ac:dyDescent="0.3">
      <c r="BB755" s="15"/>
      <c r="BC755" s="15"/>
      <c r="BD755" s="15"/>
      <c r="BE755" s="15"/>
      <c r="BF755" s="15"/>
      <c r="BG755" s="15"/>
      <c r="BH755" s="15"/>
      <c r="BI755" s="15"/>
      <c r="BJ755" s="15"/>
      <c r="BK755" s="15"/>
    </row>
    <row r="756" spans="54:63" ht="15" customHeight="1" x14ac:dyDescent="0.3">
      <c r="BB756" s="15"/>
      <c r="BC756" s="15"/>
      <c r="BD756" s="15"/>
      <c r="BE756" s="15"/>
      <c r="BF756" s="15"/>
      <c r="BG756" s="15"/>
      <c r="BH756" s="15"/>
      <c r="BI756" s="15"/>
      <c r="BJ756" s="15"/>
      <c r="BK756" s="15"/>
    </row>
    <row r="757" spans="54:63" ht="15" customHeight="1" x14ac:dyDescent="0.3">
      <c r="BB757" s="15"/>
      <c r="BC757" s="15"/>
      <c r="BD757" s="15"/>
      <c r="BE757" s="15"/>
      <c r="BF757" s="15"/>
      <c r="BG757" s="15"/>
      <c r="BH757" s="15"/>
      <c r="BI757" s="15"/>
      <c r="BJ757" s="15"/>
      <c r="BK757" s="15"/>
    </row>
    <row r="758" spans="54:63" ht="15" customHeight="1" x14ac:dyDescent="0.3">
      <c r="BB758" s="15"/>
      <c r="BC758" s="15"/>
      <c r="BD758" s="15"/>
      <c r="BE758" s="15"/>
      <c r="BF758" s="15"/>
      <c r="BG758" s="15"/>
      <c r="BH758" s="15"/>
      <c r="BI758" s="15"/>
      <c r="BJ758" s="15"/>
      <c r="BK758" s="15"/>
    </row>
    <row r="759" spans="54:63" ht="15" customHeight="1" x14ac:dyDescent="0.3">
      <c r="BB759" s="15"/>
      <c r="BC759" s="15"/>
      <c r="BD759" s="15"/>
      <c r="BE759" s="15"/>
      <c r="BF759" s="15"/>
      <c r="BG759" s="15"/>
      <c r="BH759" s="15"/>
      <c r="BI759" s="15"/>
      <c r="BJ759" s="15"/>
      <c r="BK759" s="15"/>
    </row>
    <row r="760" spans="54:63" ht="15" customHeight="1" x14ac:dyDescent="0.3">
      <c r="BB760" s="15"/>
      <c r="BC760" s="15"/>
      <c r="BD760" s="15"/>
      <c r="BE760" s="15"/>
      <c r="BF760" s="15"/>
      <c r="BG760" s="15"/>
      <c r="BH760" s="15"/>
      <c r="BI760" s="15"/>
      <c r="BJ760" s="15"/>
      <c r="BK760" s="15"/>
    </row>
    <row r="761" spans="54:63" ht="15" customHeight="1" x14ac:dyDescent="0.3">
      <c r="BB761" s="15"/>
      <c r="BC761" s="15"/>
      <c r="BD761" s="15"/>
      <c r="BE761" s="15"/>
      <c r="BF761" s="15"/>
      <c r="BG761" s="15"/>
      <c r="BH761" s="15"/>
      <c r="BI761" s="15"/>
      <c r="BJ761" s="15"/>
      <c r="BK761" s="15"/>
    </row>
    <row r="762" spans="54:63" ht="15" customHeight="1" x14ac:dyDescent="0.3">
      <c r="BB762" s="15"/>
      <c r="BC762" s="15"/>
      <c r="BD762" s="15"/>
      <c r="BE762" s="15"/>
      <c r="BF762" s="15"/>
      <c r="BG762" s="15"/>
      <c r="BH762" s="15"/>
      <c r="BI762" s="15"/>
      <c r="BJ762" s="15"/>
      <c r="BK762" s="15"/>
    </row>
    <row r="763" spans="54:63" ht="15" customHeight="1" x14ac:dyDescent="0.3">
      <c r="BB763" s="15"/>
      <c r="BC763" s="15"/>
      <c r="BD763" s="15"/>
      <c r="BE763" s="15"/>
      <c r="BF763" s="15"/>
      <c r="BG763" s="15"/>
      <c r="BH763" s="15"/>
      <c r="BI763" s="15"/>
      <c r="BJ763" s="15"/>
      <c r="BK763" s="15"/>
    </row>
    <row r="764" spans="54:63" ht="15" customHeight="1" x14ac:dyDescent="0.3">
      <c r="BB764" s="15"/>
      <c r="BC764" s="15"/>
      <c r="BD764" s="15"/>
      <c r="BE764" s="15"/>
      <c r="BF764" s="15"/>
      <c r="BG764" s="15"/>
      <c r="BH764" s="15"/>
      <c r="BI764" s="15"/>
      <c r="BJ764" s="15"/>
      <c r="BK764" s="15"/>
    </row>
    <row r="765" spans="54:63" ht="15" customHeight="1" x14ac:dyDescent="0.3">
      <c r="BB765" s="15"/>
      <c r="BC765" s="15"/>
      <c r="BD765" s="15"/>
      <c r="BE765" s="15"/>
      <c r="BF765" s="15"/>
      <c r="BG765" s="15"/>
      <c r="BH765" s="15"/>
      <c r="BI765" s="15"/>
      <c r="BJ765" s="15"/>
      <c r="BK765" s="15"/>
    </row>
    <row r="766" spans="54:63" ht="15" customHeight="1" x14ac:dyDescent="0.3">
      <c r="BB766" s="15"/>
      <c r="BC766" s="15"/>
      <c r="BD766" s="15"/>
      <c r="BE766" s="15"/>
      <c r="BF766" s="15"/>
      <c r="BG766" s="15"/>
      <c r="BH766" s="15"/>
      <c r="BI766" s="15"/>
      <c r="BJ766" s="15"/>
      <c r="BK766" s="15"/>
    </row>
    <row r="767" spans="54:63" ht="15" customHeight="1" x14ac:dyDescent="0.3">
      <c r="BB767" s="15"/>
      <c r="BC767" s="15"/>
      <c r="BD767" s="15"/>
      <c r="BE767" s="15"/>
      <c r="BF767" s="15"/>
      <c r="BG767" s="15"/>
      <c r="BH767" s="15"/>
      <c r="BI767" s="15"/>
      <c r="BJ767" s="15"/>
      <c r="BK767" s="15"/>
    </row>
    <row r="768" spans="54:63" ht="15" customHeight="1" x14ac:dyDescent="0.3">
      <c r="BB768" s="15"/>
      <c r="BC768" s="15"/>
      <c r="BD768" s="15"/>
      <c r="BE768" s="15"/>
      <c r="BF768" s="15"/>
      <c r="BG768" s="15"/>
      <c r="BH768" s="15"/>
      <c r="BI768" s="15"/>
      <c r="BJ768" s="15"/>
      <c r="BK768" s="15"/>
    </row>
    <row r="769" spans="54:63" ht="15" customHeight="1" x14ac:dyDescent="0.3">
      <c r="BB769" s="15"/>
      <c r="BC769" s="15"/>
      <c r="BD769" s="15"/>
      <c r="BE769" s="15"/>
      <c r="BF769" s="15"/>
      <c r="BG769" s="15"/>
      <c r="BH769" s="15"/>
      <c r="BI769" s="15"/>
      <c r="BJ769" s="15"/>
      <c r="BK769" s="15"/>
    </row>
    <row r="770" spans="54:63" ht="15" customHeight="1" x14ac:dyDescent="0.3">
      <c r="BB770" s="15"/>
      <c r="BC770" s="15"/>
      <c r="BD770" s="15"/>
      <c r="BE770" s="15"/>
      <c r="BF770" s="15"/>
      <c r="BG770" s="15"/>
      <c r="BH770" s="15"/>
      <c r="BI770" s="15"/>
      <c r="BJ770" s="15"/>
      <c r="BK770" s="15"/>
    </row>
    <row r="771" spans="54:63" ht="15" customHeight="1" x14ac:dyDescent="0.3">
      <c r="BB771" s="15"/>
      <c r="BC771" s="15"/>
      <c r="BD771" s="15"/>
      <c r="BE771" s="15"/>
      <c r="BF771" s="15"/>
      <c r="BG771" s="15"/>
      <c r="BH771" s="15"/>
      <c r="BI771" s="15"/>
      <c r="BJ771" s="15"/>
      <c r="BK771" s="15"/>
    </row>
    <row r="772" spans="54:63" ht="15" customHeight="1" x14ac:dyDescent="0.3">
      <c r="BB772" s="15"/>
      <c r="BC772" s="15"/>
      <c r="BD772" s="15"/>
      <c r="BE772" s="15"/>
      <c r="BF772" s="15"/>
      <c r="BG772" s="15"/>
      <c r="BH772" s="15"/>
      <c r="BI772" s="15"/>
      <c r="BJ772" s="15"/>
      <c r="BK772" s="15"/>
    </row>
    <row r="773" spans="54:63" ht="15" customHeight="1" x14ac:dyDescent="0.3">
      <c r="BB773" s="15"/>
      <c r="BC773" s="15"/>
      <c r="BD773" s="15"/>
      <c r="BE773" s="15"/>
      <c r="BF773" s="15"/>
      <c r="BG773" s="15"/>
      <c r="BH773" s="15"/>
      <c r="BI773" s="15"/>
      <c r="BJ773" s="15"/>
      <c r="BK773" s="15"/>
    </row>
    <row r="774" spans="54:63" ht="15" customHeight="1" x14ac:dyDescent="0.3">
      <c r="BB774" s="15"/>
      <c r="BC774" s="15"/>
      <c r="BD774" s="15"/>
      <c r="BE774" s="15"/>
      <c r="BF774" s="15"/>
      <c r="BG774" s="15"/>
      <c r="BH774" s="15"/>
      <c r="BI774" s="15"/>
      <c r="BJ774" s="15"/>
      <c r="BK774" s="15"/>
    </row>
    <row r="775" spans="54:63" ht="15" customHeight="1" x14ac:dyDescent="0.3">
      <c r="BB775" s="15"/>
      <c r="BC775" s="15"/>
      <c r="BD775" s="15"/>
      <c r="BE775" s="15"/>
      <c r="BF775" s="15"/>
      <c r="BG775" s="15"/>
      <c r="BH775" s="15"/>
      <c r="BI775" s="15"/>
      <c r="BJ775" s="15"/>
      <c r="BK775" s="15"/>
    </row>
    <row r="776" spans="54:63" ht="15" customHeight="1" x14ac:dyDescent="0.3">
      <c r="BB776" s="15"/>
      <c r="BC776" s="15"/>
      <c r="BD776" s="15"/>
      <c r="BE776" s="15"/>
      <c r="BF776" s="15"/>
      <c r="BG776" s="15"/>
      <c r="BH776" s="15"/>
      <c r="BI776" s="15"/>
      <c r="BJ776" s="15"/>
      <c r="BK776" s="15"/>
    </row>
    <row r="777" spans="54:63" ht="15" customHeight="1" x14ac:dyDescent="0.3">
      <c r="BB777" s="15"/>
      <c r="BC777" s="15"/>
      <c r="BD777" s="15"/>
      <c r="BE777" s="15"/>
      <c r="BF777" s="15"/>
      <c r="BG777" s="15"/>
      <c r="BH777" s="15"/>
      <c r="BI777" s="15"/>
      <c r="BJ777" s="15"/>
      <c r="BK777" s="15"/>
    </row>
    <row r="778" spans="54:63" ht="15" customHeight="1" x14ac:dyDescent="0.3">
      <c r="BB778" s="15"/>
      <c r="BC778" s="15"/>
      <c r="BD778" s="15"/>
      <c r="BE778" s="15"/>
      <c r="BF778" s="15"/>
      <c r="BG778" s="15"/>
      <c r="BH778" s="15"/>
      <c r="BI778" s="15"/>
      <c r="BJ778" s="15"/>
      <c r="BK778" s="15"/>
    </row>
    <row r="779" spans="54:63" ht="15" customHeight="1" x14ac:dyDescent="0.3">
      <c r="BB779" s="15"/>
      <c r="BC779" s="15"/>
      <c r="BD779" s="15"/>
      <c r="BE779" s="15"/>
      <c r="BF779" s="15"/>
      <c r="BG779" s="15"/>
      <c r="BH779" s="15"/>
      <c r="BI779" s="15"/>
      <c r="BJ779" s="15"/>
      <c r="BK779" s="15"/>
    </row>
    <row r="780" spans="54:63" ht="15" customHeight="1" x14ac:dyDescent="0.3">
      <c r="BB780" s="15"/>
      <c r="BC780" s="15"/>
      <c r="BD780" s="15"/>
      <c r="BE780" s="15"/>
      <c r="BF780" s="15"/>
      <c r="BG780" s="15"/>
      <c r="BH780" s="15"/>
      <c r="BI780" s="15"/>
      <c r="BJ780" s="15"/>
      <c r="BK780" s="15"/>
    </row>
    <row r="781" spans="54:63" ht="15" customHeight="1" x14ac:dyDescent="0.3">
      <c r="BB781" s="15"/>
      <c r="BC781" s="15"/>
      <c r="BD781" s="15"/>
      <c r="BE781" s="15"/>
      <c r="BF781" s="15"/>
      <c r="BG781" s="15"/>
      <c r="BH781" s="15"/>
      <c r="BI781" s="15"/>
      <c r="BJ781" s="15"/>
      <c r="BK781" s="15"/>
    </row>
    <row r="782" spans="54:63" ht="15" customHeight="1" x14ac:dyDescent="0.3">
      <c r="BB782" s="15"/>
      <c r="BC782" s="15"/>
      <c r="BD782" s="15"/>
      <c r="BE782" s="15"/>
      <c r="BF782" s="15"/>
      <c r="BG782" s="15"/>
      <c r="BH782" s="15"/>
      <c r="BI782" s="15"/>
      <c r="BJ782" s="15"/>
      <c r="BK782" s="15"/>
    </row>
    <row r="783" spans="54:63" ht="15" customHeight="1" x14ac:dyDescent="0.3">
      <c r="BB783" s="15"/>
      <c r="BC783" s="15"/>
      <c r="BD783" s="15"/>
      <c r="BE783" s="15"/>
      <c r="BF783" s="15"/>
      <c r="BG783" s="15"/>
      <c r="BH783" s="15"/>
      <c r="BI783" s="15"/>
      <c r="BJ783" s="15"/>
      <c r="BK783" s="15"/>
    </row>
    <row r="784" spans="54:63" ht="15" customHeight="1" x14ac:dyDescent="0.3">
      <c r="BB784" s="15"/>
      <c r="BC784" s="15"/>
      <c r="BD784" s="15"/>
      <c r="BE784" s="15"/>
      <c r="BF784" s="15"/>
      <c r="BG784" s="15"/>
      <c r="BH784" s="15"/>
      <c r="BI784" s="15"/>
      <c r="BJ784" s="15"/>
      <c r="BK784" s="15"/>
    </row>
    <row r="785" spans="54:63" ht="15" customHeight="1" x14ac:dyDescent="0.3">
      <c r="BB785" s="15"/>
      <c r="BC785" s="15"/>
      <c r="BD785" s="15"/>
      <c r="BE785" s="15"/>
      <c r="BF785" s="15"/>
      <c r="BG785" s="15"/>
      <c r="BH785" s="15"/>
      <c r="BI785" s="15"/>
      <c r="BJ785" s="15"/>
      <c r="BK785" s="15"/>
    </row>
    <row r="786" spans="54:63" ht="15" customHeight="1" x14ac:dyDescent="0.3">
      <c r="BB786" s="15"/>
      <c r="BC786" s="15"/>
      <c r="BD786" s="15"/>
      <c r="BE786" s="15"/>
      <c r="BF786" s="15"/>
      <c r="BG786" s="15"/>
      <c r="BH786" s="15"/>
      <c r="BI786" s="15"/>
      <c r="BJ786" s="15"/>
      <c r="BK786" s="15"/>
    </row>
    <row r="787" spans="54:63" ht="15" customHeight="1" x14ac:dyDescent="0.3">
      <c r="BB787" s="15"/>
      <c r="BC787" s="15"/>
      <c r="BD787" s="15"/>
      <c r="BE787" s="15"/>
      <c r="BF787" s="15"/>
      <c r="BG787" s="15"/>
      <c r="BH787" s="15"/>
      <c r="BI787" s="15"/>
      <c r="BJ787" s="15"/>
      <c r="BK787" s="15"/>
    </row>
    <row r="788" spans="54:63" ht="15" customHeight="1" x14ac:dyDescent="0.3">
      <c r="BB788" s="15"/>
      <c r="BC788" s="15"/>
      <c r="BD788" s="15"/>
      <c r="BE788" s="15"/>
      <c r="BF788" s="15"/>
      <c r="BG788" s="15"/>
      <c r="BH788" s="15"/>
      <c r="BI788" s="15"/>
      <c r="BJ788" s="15"/>
      <c r="BK788" s="15"/>
    </row>
    <row r="789" spans="54:63" ht="15" customHeight="1" x14ac:dyDescent="0.3">
      <c r="BB789" s="15"/>
      <c r="BC789" s="15"/>
      <c r="BD789" s="15"/>
      <c r="BE789" s="15"/>
      <c r="BF789" s="15"/>
      <c r="BG789" s="15"/>
      <c r="BH789" s="15"/>
      <c r="BI789" s="15"/>
      <c r="BJ789" s="15"/>
      <c r="BK789" s="15"/>
    </row>
    <row r="790" spans="54:63" ht="15" customHeight="1" x14ac:dyDescent="0.3">
      <c r="BB790" s="15"/>
      <c r="BC790" s="15"/>
      <c r="BD790" s="15"/>
      <c r="BE790" s="15"/>
      <c r="BF790" s="15"/>
      <c r="BG790" s="15"/>
      <c r="BH790" s="15"/>
      <c r="BI790" s="15"/>
      <c r="BJ790" s="15"/>
      <c r="BK790" s="15"/>
    </row>
    <row r="791" spans="54:63" ht="15" customHeight="1" x14ac:dyDescent="0.3">
      <c r="BB791" s="15"/>
      <c r="BC791" s="15"/>
      <c r="BD791" s="15"/>
      <c r="BE791" s="15"/>
      <c r="BF791" s="15"/>
      <c r="BG791" s="15"/>
      <c r="BH791" s="15"/>
      <c r="BI791" s="15"/>
      <c r="BJ791" s="15"/>
      <c r="BK791" s="15"/>
    </row>
    <row r="792" spans="54:63" ht="15" customHeight="1" x14ac:dyDescent="0.3">
      <c r="BB792" s="15"/>
      <c r="BC792" s="15"/>
      <c r="BD792" s="15"/>
      <c r="BE792" s="15"/>
      <c r="BF792" s="15"/>
      <c r="BG792" s="15"/>
      <c r="BH792" s="15"/>
      <c r="BI792" s="15"/>
      <c r="BJ792" s="15"/>
      <c r="BK792" s="15"/>
    </row>
    <row r="793" spans="54:63" ht="15" customHeight="1" x14ac:dyDescent="0.3">
      <c r="BB793" s="15"/>
      <c r="BC793" s="15"/>
      <c r="BD793" s="15"/>
      <c r="BE793" s="15"/>
      <c r="BF793" s="15"/>
      <c r="BG793" s="15"/>
      <c r="BH793" s="15"/>
      <c r="BI793" s="15"/>
      <c r="BJ793" s="15"/>
      <c r="BK793" s="15"/>
    </row>
    <row r="794" spans="54:63" ht="15" customHeight="1" x14ac:dyDescent="0.3">
      <c r="BB794" s="15"/>
      <c r="BC794" s="15"/>
      <c r="BD794" s="15"/>
      <c r="BE794" s="15"/>
      <c r="BF794" s="15"/>
      <c r="BG794" s="15"/>
      <c r="BH794" s="15"/>
      <c r="BI794" s="15"/>
      <c r="BJ794" s="15"/>
      <c r="BK794" s="15"/>
    </row>
    <row r="795" spans="54:63" ht="15" customHeight="1" x14ac:dyDescent="0.3">
      <c r="BB795" s="15"/>
      <c r="BC795" s="15"/>
      <c r="BD795" s="15"/>
      <c r="BE795" s="15"/>
      <c r="BF795" s="15"/>
      <c r="BG795" s="15"/>
      <c r="BH795" s="15"/>
      <c r="BI795" s="15"/>
      <c r="BJ795" s="15"/>
      <c r="BK795" s="15"/>
    </row>
    <row r="796" spans="54:63" ht="15" customHeight="1" x14ac:dyDescent="0.3">
      <c r="BB796" s="15"/>
      <c r="BC796" s="15"/>
      <c r="BD796" s="15"/>
      <c r="BE796" s="15"/>
      <c r="BF796" s="15"/>
      <c r="BG796" s="15"/>
      <c r="BH796" s="15"/>
      <c r="BI796" s="15"/>
      <c r="BJ796" s="15"/>
      <c r="BK796" s="15"/>
    </row>
    <row r="797" spans="54:63" ht="15" customHeight="1" x14ac:dyDescent="0.3">
      <c r="BB797" s="15"/>
      <c r="BC797" s="15"/>
      <c r="BD797" s="15"/>
      <c r="BE797" s="15"/>
      <c r="BF797" s="15"/>
      <c r="BG797" s="15"/>
      <c r="BH797" s="15"/>
      <c r="BI797" s="15"/>
      <c r="BJ797" s="15"/>
      <c r="BK797" s="15"/>
    </row>
    <row r="798" spans="54:63" ht="15" customHeight="1" x14ac:dyDescent="0.3">
      <c r="BB798" s="15"/>
      <c r="BC798" s="15"/>
      <c r="BD798" s="15"/>
      <c r="BE798" s="15"/>
      <c r="BF798" s="15"/>
      <c r="BG798" s="15"/>
      <c r="BH798" s="15"/>
      <c r="BI798" s="15"/>
      <c r="BJ798" s="15"/>
      <c r="BK798" s="15"/>
    </row>
    <row r="799" spans="54:63" ht="15" customHeight="1" x14ac:dyDescent="0.3">
      <c r="BB799" s="15"/>
      <c r="BC799" s="15"/>
      <c r="BD799" s="15"/>
      <c r="BE799" s="15"/>
      <c r="BF799" s="15"/>
      <c r="BG799" s="15"/>
      <c r="BH799" s="15"/>
      <c r="BI799" s="15"/>
      <c r="BJ799" s="15"/>
      <c r="BK799" s="15"/>
    </row>
    <row r="800" spans="54:63" ht="15" customHeight="1" x14ac:dyDescent="0.3">
      <c r="BB800" s="15"/>
      <c r="BC800" s="15"/>
      <c r="BD800" s="15"/>
      <c r="BE800" s="15"/>
      <c r="BF800" s="15"/>
      <c r="BG800" s="15"/>
      <c r="BH800" s="15"/>
      <c r="BI800" s="15"/>
      <c r="BJ800" s="15"/>
      <c r="BK800" s="15"/>
    </row>
    <row r="801" spans="54:63" ht="15" customHeight="1" x14ac:dyDescent="0.3">
      <c r="BB801" s="15"/>
      <c r="BC801" s="15"/>
      <c r="BD801" s="15"/>
      <c r="BE801" s="15"/>
      <c r="BF801" s="15"/>
      <c r="BG801" s="15"/>
      <c r="BH801" s="15"/>
      <c r="BI801" s="15"/>
      <c r="BJ801" s="15"/>
      <c r="BK801" s="15"/>
    </row>
    <row r="802" spans="54:63" ht="15" customHeight="1" x14ac:dyDescent="0.3">
      <c r="BB802" s="15"/>
      <c r="BC802" s="15"/>
      <c r="BD802" s="15"/>
      <c r="BE802" s="15"/>
      <c r="BF802" s="15"/>
      <c r="BG802" s="15"/>
      <c r="BH802" s="15"/>
      <c r="BI802" s="15"/>
      <c r="BJ802" s="15"/>
      <c r="BK802" s="15"/>
    </row>
    <row r="803" spans="54:63" ht="15" customHeight="1" x14ac:dyDescent="0.3">
      <c r="BB803" s="15"/>
      <c r="BC803" s="15"/>
      <c r="BD803" s="15"/>
      <c r="BE803" s="15"/>
      <c r="BF803" s="15"/>
      <c r="BG803" s="15"/>
      <c r="BH803" s="15"/>
      <c r="BI803" s="15"/>
      <c r="BJ803" s="15"/>
      <c r="BK803" s="15"/>
    </row>
    <row r="804" spans="54:63" ht="15" customHeight="1" x14ac:dyDescent="0.3">
      <c r="BB804" s="15"/>
      <c r="BC804" s="15"/>
      <c r="BD804" s="15"/>
      <c r="BE804" s="15"/>
      <c r="BF804" s="15"/>
      <c r="BG804" s="15"/>
      <c r="BH804" s="15"/>
      <c r="BI804" s="15"/>
      <c r="BJ804" s="15"/>
      <c r="BK804" s="15"/>
    </row>
    <row r="805" spans="54:63" ht="15" customHeight="1" x14ac:dyDescent="0.3">
      <c r="BB805" s="15"/>
      <c r="BC805" s="15"/>
      <c r="BD805" s="15"/>
      <c r="BE805" s="15"/>
      <c r="BF805" s="15"/>
      <c r="BG805" s="15"/>
      <c r="BH805" s="15"/>
      <c r="BI805" s="15"/>
      <c r="BJ805" s="15"/>
      <c r="BK805" s="15"/>
    </row>
    <row r="806" spans="54:63" ht="15" customHeight="1" x14ac:dyDescent="0.3">
      <c r="BB806" s="15"/>
      <c r="BC806" s="15"/>
      <c r="BD806" s="15"/>
      <c r="BE806" s="15"/>
      <c r="BF806" s="15"/>
      <c r="BG806" s="15"/>
      <c r="BH806" s="15"/>
      <c r="BI806" s="15"/>
      <c r="BJ806" s="15"/>
      <c r="BK806" s="15"/>
    </row>
    <row r="807" spans="54:63" ht="15" customHeight="1" x14ac:dyDescent="0.3">
      <c r="BB807" s="15"/>
      <c r="BC807" s="15"/>
      <c r="BD807" s="15"/>
      <c r="BE807" s="15"/>
      <c r="BF807" s="15"/>
      <c r="BG807" s="15"/>
      <c r="BH807" s="15"/>
      <c r="BI807" s="15"/>
      <c r="BJ807" s="15"/>
      <c r="BK807" s="15"/>
    </row>
    <row r="808" spans="54:63" ht="15" customHeight="1" x14ac:dyDescent="0.3">
      <c r="BB808" s="15"/>
      <c r="BC808" s="15"/>
      <c r="BD808" s="15"/>
      <c r="BE808" s="15"/>
      <c r="BF808" s="15"/>
      <c r="BG808" s="15"/>
      <c r="BH808" s="15"/>
      <c r="BI808" s="15"/>
      <c r="BJ808" s="15"/>
      <c r="BK808" s="15"/>
    </row>
    <row r="809" spans="54:63" ht="15" customHeight="1" x14ac:dyDescent="0.3">
      <c r="BB809" s="15"/>
      <c r="BC809" s="15"/>
      <c r="BD809" s="15"/>
      <c r="BE809" s="15"/>
      <c r="BF809" s="15"/>
      <c r="BG809" s="15"/>
      <c r="BH809" s="15"/>
      <c r="BI809" s="15"/>
      <c r="BJ809" s="15"/>
      <c r="BK809" s="15"/>
    </row>
    <row r="810" spans="54:63" ht="15" customHeight="1" x14ac:dyDescent="0.3">
      <c r="BB810" s="15"/>
      <c r="BC810" s="15"/>
      <c r="BD810" s="15"/>
      <c r="BE810" s="15"/>
      <c r="BF810" s="15"/>
      <c r="BG810" s="15"/>
      <c r="BH810" s="15"/>
      <c r="BI810" s="15"/>
      <c r="BJ810" s="15"/>
      <c r="BK810" s="15"/>
    </row>
    <row r="811" spans="54:63" ht="15" customHeight="1" x14ac:dyDescent="0.3">
      <c r="BB811" s="15"/>
      <c r="BC811" s="15"/>
      <c r="BD811" s="15"/>
      <c r="BE811" s="15"/>
      <c r="BF811" s="15"/>
      <c r="BG811" s="15"/>
      <c r="BH811" s="15"/>
      <c r="BI811" s="15"/>
      <c r="BJ811" s="15"/>
      <c r="BK811" s="15"/>
    </row>
    <row r="812" spans="54:63" ht="15" customHeight="1" x14ac:dyDescent="0.3">
      <c r="BB812" s="15"/>
      <c r="BC812" s="15"/>
      <c r="BD812" s="15"/>
      <c r="BE812" s="15"/>
      <c r="BF812" s="15"/>
      <c r="BG812" s="15"/>
      <c r="BH812" s="15"/>
      <c r="BI812" s="15"/>
      <c r="BJ812" s="15"/>
      <c r="BK812" s="15"/>
    </row>
    <row r="813" spans="54:63" ht="15" customHeight="1" x14ac:dyDescent="0.3">
      <c r="BB813" s="15"/>
      <c r="BC813" s="15"/>
      <c r="BD813" s="15"/>
      <c r="BE813" s="15"/>
      <c r="BF813" s="15"/>
      <c r="BG813" s="15"/>
      <c r="BH813" s="15"/>
      <c r="BI813" s="15"/>
      <c r="BJ813" s="15"/>
      <c r="BK813" s="15"/>
    </row>
    <row r="814" spans="54:63" ht="15" customHeight="1" x14ac:dyDescent="0.3">
      <c r="BB814" s="15"/>
      <c r="BC814" s="15"/>
      <c r="BD814" s="15"/>
      <c r="BE814" s="15"/>
      <c r="BF814" s="15"/>
      <c r="BG814" s="15"/>
      <c r="BH814" s="15"/>
      <c r="BI814" s="15"/>
      <c r="BJ814" s="15"/>
      <c r="BK814" s="15"/>
    </row>
    <row r="815" spans="54:63" ht="15" customHeight="1" x14ac:dyDescent="0.3">
      <c r="BB815" s="15"/>
      <c r="BC815" s="15"/>
      <c r="BD815" s="15"/>
      <c r="BE815" s="15"/>
      <c r="BF815" s="15"/>
      <c r="BG815" s="15"/>
      <c r="BH815" s="15"/>
      <c r="BI815" s="15"/>
      <c r="BJ815" s="15"/>
      <c r="BK815" s="15"/>
    </row>
    <row r="816" spans="54:63" ht="15" customHeight="1" x14ac:dyDescent="0.3">
      <c r="BB816" s="15"/>
      <c r="BC816" s="15"/>
      <c r="BD816" s="15"/>
      <c r="BE816" s="15"/>
      <c r="BF816" s="15"/>
      <c r="BG816" s="15"/>
      <c r="BH816" s="15"/>
      <c r="BI816" s="15"/>
      <c r="BJ816" s="15"/>
      <c r="BK816" s="15"/>
    </row>
    <row r="817" spans="54:63" ht="15" customHeight="1" x14ac:dyDescent="0.3">
      <c r="BB817" s="15"/>
      <c r="BC817" s="15"/>
      <c r="BD817" s="15"/>
      <c r="BE817" s="15"/>
      <c r="BF817" s="15"/>
      <c r="BG817" s="15"/>
      <c r="BH817" s="15"/>
      <c r="BI817" s="15"/>
      <c r="BJ817" s="15"/>
      <c r="BK817" s="15"/>
    </row>
    <row r="818" spans="54:63" ht="15" customHeight="1" x14ac:dyDescent="0.3">
      <c r="BB818" s="15"/>
      <c r="BC818" s="15"/>
      <c r="BD818" s="15"/>
      <c r="BE818" s="15"/>
      <c r="BF818" s="15"/>
      <c r="BG818" s="15"/>
      <c r="BH818" s="15"/>
      <c r="BI818" s="15"/>
      <c r="BJ818" s="15"/>
      <c r="BK818" s="15"/>
    </row>
    <row r="819" spans="54:63" ht="15" customHeight="1" x14ac:dyDescent="0.3">
      <c r="BB819" s="15"/>
      <c r="BC819" s="15"/>
      <c r="BD819" s="15"/>
      <c r="BE819" s="15"/>
      <c r="BF819" s="15"/>
      <c r="BG819" s="15"/>
      <c r="BH819" s="15"/>
      <c r="BI819" s="15"/>
      <c r="BJ819" s="15"/>
      <c r="BK819" s="15"/>
    </row>
    <row r="820" spans="54:63" ht="15" customHeight="1" x14ac:dyDescent="0.3">
      <c r="BB820" s="15"/>
      <c r="BC820" s="15"/>
      <c r="BD820" s="15"/>
      <c r="BE820" s="15"/>
      <c r="BF820" s="15"/>
      <c r="BG820" s="15"/>
      <c r="BH820" s="15"/>
      <c r="BI820" s="15"/>
      <c r="BJ820" s="15"/>
      <c r="BK820" s="15"/>
    </row>
    <row r="821" spans="54:63" ht="15" customHeight="1" x14ac:dyDescent="0.3">
      <c r="BB821" s="15"/>
      <c r="BC821" s="15"/>
      <c r="BD821" s="15"/>
      <c r="BE821" s="15"/>
      <c r="BF821" s="15"/>
      <c r="BG821" s="15"/>
      <c r="BH821" s="15"/>
      <c r="BI821" s="15"/>
      <c r="BJ821" s="15"/>
      <c r="BK821" s="15"/>
    </row>
    <row r="822" spans="54:63" ht="15" customHeight="1" x14ac:dyDescent="0.3">
      <c r="BB822" s="15"/>
      <c r="BC822" s="15"/>
      <c r="BD822" s="15"/>
      <c r="BE822" s="15"/>
      <c r="BF822" s="15"/>
      <c r="BG822" s="15"/>
      <c r="BH822" s="15"/>
      <c r="BI822" s="15"/>
      <c r="BJ822" s="15"/>
      <c r="BK822" s="15"/>
    </row>
    <row r="823" spans="54:63" ht="15" customHeight="1" x14ac:dyDescent="0.3">
      <c r="BB823" s="15"/>
      <c r="BC823" s="15"/>
      <c r="BD823" s="15"/>
      <c r="BE823" s="15"/>
      <c r="BF823" s="15"/>
      <c r="BG823" s="15"/>
      <c r="BH823" s="15"/>
      <c r="BI823" s="15"/>
      <c r="BJ823" s="15"/>
      <c r="BK823" s="15"/>
    </row>
    <row r="824" spans="54:63" ht="15" customHeight="1" x14ac:dyDescent="0.3">
      <c r="BB824" s="15"/>
      <c r="BC824" s="15"/>
      <c r="BD824" s="15"/>
      <c r="BE824" s="15"/>
      <c r="BF824" s="15"/>
      <c r="BG824" s="15"/>
      <c r="BH824" s="15"/>
      <c r="BI824" s="15"/>
      <c r="BJ824" s="15"/>
      <c r="BK824" s="15"/>
    </row>
    <row r="825" spans="54:63" ht="15" customHeight="1" x14ac:dyDescent="0.3">
      <c r="BB825" s="15"/>
      <c r="BC825" s="15"/>
      <c r="BD825" s="15"/>
      <c r="BE825" s="15"/>
      <c r="BF825" s="15"/>
      <c r="BG825" s="15"/>
      <c r="BH825" s="15"/>
      <c r="BI825" s="15"/>
      <c r="BJ825" s="15"/>
      <c r="BK825" s="15"/>
    </row>
    <row r="826" spans="54:63" ht="15" customHeight="1" x14ac:dyDescent="0.3">
      <c r="BB826" s="15"/>
      <c r="BC826" s="15"/>
      <c r="BD826" s="15"/>
      <c r="BE826" s="15"/>
      <c r="BF826" s="15"/>
      <c r="BG826" s="15"/>
      <c r="BH826" s="15"/>
      <c r="BI826" s="15"/>
      <c r="BJ826" s="15"/>
      <c r="BK826" s="15"/>
    </row>
    <row r="827" spans="54:63" ht="15" customHeight="1" x14ac:dyDescent="0.3">
      <c r="BB827" s="15"/>
      <c r="BC827" s="15"/>
      <c r="BD827" s="15"/>
      <c r="BE827" s="15"/>
      <c r="BF827" s="15"/>
      <c r="BG827" s="15"/>
      <c r="BH827" s="15"/>
      <c r="BI827" s="15"/>
      <c r="BJ827" s="15"/>
      <c r="BK827" s="15"/>
    </row>
    <row r="828" spans="54:63" ht="15" customHeight="1" x14ac:dyDescent="0.3">
      <c r="BB828" s="15"/>
      <c r="BC828" s="15"/>
      <c r="BD828" s="15"/>
      <c r="BE828" s="15"/>
      <c r="BF828" s="15"/>
      <c r="BG828" s="15"/>
      <c r="BH828" s="15"/>
      <c r="BI828" s="15"/>
      <c r="BJ828" s="15"/>
      <c r="BK828" s="15"/>
    </row>
    <row r="829" spans="54:63" ht="15" customHeight="1" x14ac:dyDescent="0.3">
      <c r="BB829" s="15"/>
      <c r="BC829" s="15"/>
      <c r="BD829" s="15"/>
      <c r="BE829" s="15"/>
      <c r="BF829" s="15"/>
      <c r="BG829" s="15"/>
      <c r="BH829" s="15"/>
      <c r="BI829" s="15"/>
      <c r="BJ829" s="15"/>
      <c r="BK829" s="15"/>
    </row>
    <row r="830" spans="54:63" ht="15" customHeight="1" x14ac:dyDescent="0.3">
      <c r="BB830" s="15"/>
      <c r="BC830" s="15"/>
      <c r="BD830" s="15"/>
      <c r="BE830" s="15"/>
      <c r="BF830" s="15"/>
      <c r="BG830" s="15"/>
      <c r="BH830" s="15"/>
      <c r="BI830" s="15"/>
      <c r="BJ830" s="15"/>
      <c r="BK830" s="15"/>
    </row>
    <row r="831" spans="54:63" ht="15" customHeight="1" x14ac:dyDescent="0.3">
      <c r="BB831" s="15"/>
      <c r="BC831" s="15"/>
      <c r="BD831" s="15"/>
      <c r="BE831" s="15"/>
      <c r="BF831" s="15"/>
      <c r="BG831" s="15"/>
      <c r="BH831" s="15"/>
      <c r="BI831" s="15"/>
      <c r="BJ831" s="15"/>
      <c r="BK831" s="15"/>
    </row>
    <row r="832" spans="54:63" ht="15" customHeight="1" x14ac:dyDescent="0.3">
      <c r="BB832" s="15"/>
      <c r="BC832" s="15"/>
      <c r="BD832" s="15"/>
      <c r="BE832" s="15"/>
      <c r="BF832" s="15"/>
      <c r="BG832" s="15"/>
      <c r="BH832" s="15"/>
      <c r="BI832" s="15"/>
      <c r="BJ832" s="15"/>
      <c r="BK832" s="15"/>
    </row>
    <row r="833" spans="54:63" ht="15" customHeight="1" x14ac:dyDescent="0.3">
      <c r="BB833" s="15"/>
      <c r="BC833" s="15"/>
      <c r="BD833" s="15"/>
      <c r="BE833" s="15"/>
      <c r="BF833" s="15"/>
      <c r="BG833" s="15"/>
      <c r="BH833" s="15"/>
      <c r="BI833" s="15"/>
      <c r="BJ833" s="15"/>
      <c r="BK833" s="15"/>
    </row>
    <row r="834" spans="54:63" ht="15" customHeight="1" x14ac:dyDescent="0.3">
      <c r="BB834" s="15"/>
      <c r="BC834" s="15"/>
      <c r="BD834" s="15"/>
      <c r="BE834" s="15"/>
      <c r="BF834" s="15"/>
      <c r="BG834" s="15"/>
      <c r="BH834" s="15"/>
      <c r="BI834" s="15"/>
      <c r="BJ834" s="15"/>
      <c r="BK834" s="15"/>
    </row>
    <row r="835" spans="54:63" ht="15" customHeight="1" x14ac:dyDescent="0.3">
      <c r="BB835" s="15"/>
      <c r="BC835" s="15"/>
      <c r="BD835" s="15"/>
      <c r="BE835" s="15"/>
      <c r="BF835" s="15"/>
      <c r="BG835" s="15"/>
      <c r="BH835" s="15"/>
      <c r="BI835" s="15"/>
      <c r="BJ835" s="15"/>
      <c r="BK835" s="15"/>
    </row>
    <row r="836" spans="54:63" ht="15" customHeight="1" x14ac:dyDescent="0.3">
      <c r="BB836" s="15"/>
      <c r="BC836" s="15"/>
      <c r="BD836" s="15"/>
      <c r="BE836" s="15"/>
      <c r="BF836" s="15"/>
      <c r="BG836" s="15"/>
      <c r="BH836" s="15"/>
      <c r="BI836" s="15"/>
      <c r="BJ836" s="15"/>
      <c r="BK836" s="15"/>
    </row>
    <row r="837" spans="54:63" ht="15" customHeight="1" x14ac:dyDescent="0.3">
      <c r="BB837" s="15"/>
      <c r="BC837" s="15"/>
      <c r="BD837" s="15"/>
      <c r="BE837" s="15"/>
      <c r="BF837" s="15"/>
      <c r="BG837" s="15"/>
      <c r="BH837" s="15"/>
      <c r="BI837" s="15"/>
      <c r="BJ837" s="15"/>
      <c r="BK837" s="15"/>
    </row>
    <row r="838" spans="54:63" ht="15" customHeight="1" x14ac:dyDescent="0.3">
      <c r="BB838" s="15"/>
      <c r="BC838" s="15"/>
      <c r="BD838" s="15"/>
      <c r="BE838" s="15"/>
      <c r="BF838" s="15"/>
      <c r="BG838" s="15"/>
      <c r="BH838" s="15"/>
      <c r="BI838" s="15"/>
      <c r="BJ838" s="15"/>
      <c r="BK838" s="15"/>
    </row>
    <row r="839" spans="54:63" ht="15" customHeight="1" x14ac:dyDescent="0.3">
      <c r="BB839" s="15"/>
      <c r="BC839" s="15"/>
      <c r="BD839" s="15"/>
      <c r="BE839" s="15"/>
      <c r="BF839" s="15"/>
      <c r="BG839" s="15"/>
      <c r="BH839" s="15"/>
      <c r="BI839" s="15"/>
      <c r="BJ839" s="15"/>
      <c r="BK839" s="15"/>
    </row>
    <row r="840" spans="54:63" ht="15" customHeight="1" x14ac:dyDescent="0.3">
      <c r="BB840" s="15"/>
      <c r="BC840" s="15"/>
      <c r="BD840" s="15"/>
      <c r="BE840" s="15"/>
      <c r="BF840" s="15"/>
      <c r="BG840" s="15"/>
      <c r="BH840" s="15"/>
      <c r="BI840" s="15"/>
      <c r="BJ840" s="15"/>
      <c r="BK840" s="15"/>
    </row>
    <row r="841" spans="54:63" ht="15" customHeight="1" x14ac:dyDescent="0.3">
      <c r="BB841" s="15"/>
      <c r="BC841" s="15"/>
      <c r="BD841" s="15"/>
      <c r="BE841" s="15"/>
      <c r="BF841" s="15"/>
      <c r="BG841" s="15"/>
      <c r="BH841" s="15"/>
      <c r="BI841" s="15"/>
      <c r="BJ841" s="15"/>
      <c r="BK841" s="15"/>
    </row>
    <row r="842" spans="54:63" ht="15" customHeight="1" x14ac:dyDescent="0.3">
      <c r="BB842" s="15"/>
      <c r="BC842" s="15"/>
      <c r="BD842" s="15"/>
      <c r="BE842" s="15"/>
      <c r="BF842" s="15"/>
      <c r="BG842" s="15"/>
      <c r="BH842" s="15"/>
      <c r="BI842" s="15"/>
      <c r="BJ842" s="15"/>
      <c r="BK842" s="15"/>
    </row>
    <row r="843" spans="54:63" ht="15" customHeight="1" x14ac:dyDescent="0.3">
      <c r="BB843" s="15"/>
      <c r="BC843" s="15"/>
      <c r="BD843" s="15"/>
      <c r="BE843" s="15"/>
      <c r="BF843" s="15"/>
      <c r="BG843" s="15"/>
      <c r="BH843" s="15"/>
      <c r="BI843" s="15"/>
      <c r="BJ843" s="15"/>
      <c r="BK843" s="15"/>
    </row>
    <row r="844" spans="54:63" ht="15" customHeight="1" x14ac:dyDescent="0.3">
      <c r="BB844" s="15"/>
      <c r="BC844" s="15"/>
      <c r="BD844" s="15"/>
      <c r="BE844" s="15"/>
      <c r="BF844" s="15"/>
      <c r="BG844" s="15"/>
      <c r="BH844" s="15"/>
      <c r="BI844" s="15"/>
      <c r="BJ844" s="15"/>
      <c r="BK844" s="15"/>
    </row>
    <row r="845" spans="54:63" ht="15" customHeight="1" x14ac:dyDescent="0.3">
      <c r="BB845" s="15"/>
      <c r="BC845" s="15"/>
      <c r="BD845" s="15"/>
      <c r="BE845" s="15"/>
      <c r="BF845" s="15"/>
      <c r="BG845" s="15"/>
      <c r="BH845" s="15"/>
      <c r="BI845" s="15"/>
      <c r="BJ845" s="15"/>
      <c r="BK845" s="15"/>
    </row>
    <row r="846" spans="54:63" ht="15" customHeight="1" x14ac:dyDescent="0.3">
      <c r="BB846" s="15"/>
      <c r="BC846" s="15"/>
      <c r="BD846" s="15"/>
      <c r="BE846" s="15"/>
      <c r="BF846" s="15"/>
      <c r="BG846" s="15"/>
      <c r="BH846" s="15"/>
      <c r="BI846" s="15"/>
      <c r="BJ846" s="15"/>
      <c r="BK846" s="15"/>
    </row>
    <row r="847" spans="54:63" ht="15" customHeight="1" x14ac:dyDescent="0.3">
      <c r="BB847" s="15"/>
      <c r="BC847" s="15"/>
      <c r="BD847" s="15"/>
      <c r="BE847" s="15"/>
      <c r="BF847" s="15"/>
      <c r="BG847" s="15"/>
      <c r="BH847" s="15"/>
      <c r="BI847" s="15"/>
      <c r="BJ847" s="15"/>
      <c r="BK847" s="15"/>
    </row>
    <row r="848" spans="54:63" ht="15" customHeight="1" x14ac:dyDescent="0.3">
      <c r="BB848" s="15"/>
      <c r="BC848" s="15"/>
      <c r="BD848" s="15"/>
      <c r="BE848" s="15"/>
      <c r="BF848" s="15"/>
      <c r="BG848" s="15"/>
      <c r="BH848" s="15"/>
      <c r="BI848" s="15"/>
      <c r="BJ848" s="15"/>
      <c r="BK848" s="15"/>
    </row>
    <row r="849" spans="54:63" ht="15" customHeight="1" x14ac:dyDescent="0.3">
      <c r="BB849" s="15"/>
      <c r="BC849" s="15"/>
      <c r="BD849" s="15"/>
      <c r="BE849" s="15"/>
      <c r="BF849" s="15"/>
      <c r="BG849" s="15"/>
      <c r="BH849" s="15"/>
      <c r="BI849" s="15"/>
      <c r="BJ849" s="15"/>
      <c r="BK849" s="15"/>
    </row>
    <row r="850" spans="54:63" ht="15" customHeight="1" x14ac:dyDescent="0.3">
      <c r="BB850" s="15"/>
      <c r="BC850" s="15"/>
      <c r="BD850" s="15"/>
      <c r="BE850" s="15"/>
      <c r="BF850" s="15"/>
      <c r="BG850" s="15"/>
      <c r="BH850" s="15"/>
      <c r="BI850" s="15"/>
      <c r="BJ850" s="15"/>
      <c r="BK850" s="15"/>
    </row>
    <row r="851" spans="54:63" ht="15" customHeight="1" x14ac:dyDescent="0.3">
      <c r="BB851" s="15"/>
      <c r="BC851" s="15"/>
      <c r="BD851" s="15"/>
      <c r="BE851" s="15"/>
      <c r="BF851" s="15"/>
      <c r="BG851" s="15"/>
      <c r="BH851" s="15"/>
      <c r="BI851" s="15"/>
      <c r="BJ851" s="15"/>
      <c r="BK851" s="15"/>
    </row>
    <row r="852" spans="54:63" ht="15" customHeight="1" x14ac:dyDescent="0.3">
      <c r="BB852" s="15"/>
      <c r="BC852" s="15"/>
      <c r="BD852" s="15"/>
      <c r="BE852" s="15"/>
      <c r="BF852" s="15"/>
      <c r="BG852" s="15"/>
      <c r="BH852" s="15"/>
      <c r="BI852" s="15"/>
      <c r="BJ852" s="15"/>
      <c r="BK852" s="15"/>
    </row>
    <row r="853" spans="54:63" ht="15" customHeight="1" x14ac:dyDescent="0.3">
      <c r="BB853" s="15"/>
      <c r="BC853" s="15"/>
      <c r="BD853" s="15"/>
      <c r="BE853" s="15"/>
      <c r="BF853" s="15"/>
      <c r="BG853" s="15"/>
      <c r="BH853" s="15"/>
      <c r="BI853" s="15"/>
      <c r="BJ853" s="15"/>
      <c r="BK853" s="15"/>
    </row>
    <row r="854" spans="54:63" ht="15" customHeight="1" x14ac:dyDescent="0.3">
      <c r="BB854" s="15"/>
      <c r="BC854" s="15"/>
      <c r="BD854" s="15"/>
      <c r="BE854" s="15"/>
      <c r="BF854" s="15"/>
      <c r="BG854" s="15"/>
      <c r="BH854" s="15"/>
      <c r="BI854" s="15"/>
      <c r="BJ854" s="15"/>
      <c r="BK854" s="15"/>
    </row>
    <row r="855" spans="54:63" ht="15" customHeight="1" x14ac:dyDescent="0.3">
      <c r="BB855" s="15"/>
      <c r="BC855" s="15"/>
      <c r="BD855" s="15"/>
      <c r="BE855" s="15"/>
      <c r="BF855" s="15"/>
      <c r="BG855" s="15"/>
      <c r="BH855" s="15"/>
      <c r="BI855" s="15"/>
      <c r="BJ855" s="15"/>
      <c r="BK855" s="15"/>
    </row>
    <row r="856" spans="54:63" ht="15" customHeight="1" x14ac:dyDescent="0.3">
      <c r="BB856" s="15"/>
      <c r="BC856" s="15"/>
      <c r="BD856" s="15"/>
      <c r="BE856" s="15"/>
      <c r="BF856" s="15"/>
      <c r="BG856" s="15"/>
      <c r="BH856" s="15"/>
      <c r="BI856" s="15"/>
      <c r="BJ856" s="15"/>
      <c r="BK856" s="15"/>
    </row>
    <row r="857" spans="54:63" ht="15" customHeight="1" x14ac:dyDescent="0.3">
      <c r="BB857" s="15"/>
      <c r="BC857" s="15"/>
      <c r="BD857" s="15"/>
      <c r="BE857" s="15"/>
      <c r="BF857" s="15"/>
      <c r="BG857" s="15"/>
      <c r="BH857" s="15"/>
      <c r="BI857" s="15"/>
      <c r="BJ857" s="15"/>
      <c r="BK857" s="15"/>
    </row>
    <row r="858" spans="54:63" ht="15" customHeight="1" x14ac:dyDescent="0.3">
      <c r="BB858" s="15"/>
      <c r="BC858" s="15"/>
      <c r="BD858" s="15"/>
      <c r="BE858" s="15"/>
      <c r="BF858" s="15"/>
      <c r="BG858" s="15"/>
      <c r="BH858" s="15"/>
      <c r="BI858" s="15"/>
      <c r="BJ858" s="15"/>
      <c r="BK858" s="15"/>
    </row>
    <row r="859" spans="54:63" ht="15" customHeight="1" x14ac:dyDescent="0.3">
      <c r="BB859" s="15"/>
      <c r="BC859" s="15"/>
      <c r="BD859" s="15"/>
      <c r="BE859" s="15"/>
      <c r="BF859" s="15"/>
      <c r="BG859" s="15"/>
      <c r="BH859" s="15"/>
      <c r="BI859" s="15"/>
      <c r="BJ859" s="15"/>
      <c r="BK859" s="15"/>
    </row>
    <row r="860" spans="54:63" ht="15" customHeight="1" x14ac:dyDescent="0.3">
      <c r="BB860" s="15"/>
      <c r="BC860" s="15"/>
      <c r="BD860" s="15"/>
      <c r="BE860" s="15"/>
      <c r="BF860" s="15"/>
      <c r="BG860" s="15"/>
      <c r="BH860" s="15"/>
      <c r="BI860" s="15"/>
      <c r="BJ860" s="15"/>
      <c r="BK860" s="15"/>
    </row>
    <row r="861" spans="54:63" ht="15" customHeight="1" x14ac:dyDescent="0.3">
      <c r="BB861" s="15"/>
      <c r="BC861" s="15"/>
      <c r="BD861" s="15"/>
      <c r="BE861" s="15"/>
      <c r="BF861" s="15"/>
      <c r="BG861" s="15"/>
      <c r="BH861" s="15"/>
      <c r="BI861" s="15"/>
      <c r="BJ861" s="15"/>
      <c r="BK861" s="15"/>
    </row>
    <row r="862" spans="54:63" ht="15" customHeight="1" x14ac:dyDescent="0.3">
      <c r="BB862" s="15"/>
      <c r="BC862" s="15"/>
      <c r="BD862" s="15"/>
      <c r="BE862" s="15"/>
      <c r="BF862" s="15"/>
      <c r="BG862" s="15"/>
      <c r="BH862" s="15"/>
      <c r="BI862" s="15"/>
      <c r="BJ862" s="15"/>
      <c r="BK862" s="15"/>
    </row>
    <row r="863" spans="54:63" ht="15" customHeight="1" x14ac:dyDescent="0.3">
      <c r="BB863" s="15"/>
      <c r="BC863" s="15"/>
      <c r="BD863" s="15"/>
      <c r="BE863" s="15"/>
      <c r="BF863" s="15"/>
      <c r="BG863" s="15"/>
      <c r="BH863" s="15"/>
      <c r="BI863" s="15"/>
      <c r="BJ863" s="15"/>
      <c r="BK863" s="15"/>
    </row>
    <row r="864" spans="54:63" ht="15" customHeight="1" x14ac:dyDescent="0.3">
      <c r="BB864" s="15"/>
      <c r="BC864" s="15"/>
      <c r="BD864" s="15"/>
      <c r="BE864" s="15"/>
      <c r="BF864" s="15"/>
      <c r="BG864" s="15"/>
      <c r="BH864" s="15"/>
      <c r="BI864" s="15"/>
      <c r="BJ864" s="15"/>
      <c r="BK864" s="15"/>
    </row>
    <row r="865" spans="54:63" ht="15" customHeight="1" x14ac:dyDescent="0.3">
      <c r="BB865" s="15"/>
      <c r="BC865" s="15"/>
      <c r="BD865" s="15"/>
      <c r="BE865" s="15"/>
      <c r="BF865" s="15"/>
      <c r="BG865" s="15"/>
      <c r="BH865" s="15"/>
      <c r="BI865" s="15"/>
      <c r="BJ865" s="15"/>
      <c r="BK865" s="15"/>
    </row>
    <row r="866" spans="54:63" ht="15" customHeight="1" x14ac:dyDescent="0.3">
      <c r="BB866" s="15"/>
      <c r="BC866" s="15"/>
      <c r="BD866" s="15"/>
      <c r="BE866" s="15"/>
      <c r="BF866" s="15"/>
      <c r="BG866" s="15"/>
      <c r="BH866" s="15"/>
      <c r="BI866" s="15"/>
      <c r="BJ866" s="15"/>
      <c r="BK866" s="15"/>
    </row>
    <row r="867" spans="54:63" ht="15" customHeight="1" x14ac:dyDescent="0.3">
      <c r="BB867" s="15"/>
      <c r="BC867" s="15"/>
      <c r="BD867" s="15"/>
      <c r="BE867" s="15"/>
      <c r="BF867" s="15"/>
      <c r="BG867" s="15"/>
      <c r="BH867" s="15"/>
      <c r="BI867" s="15"/>
      <c r="BJ867" s="15"/>
      <c r="BK867" s="15"/>
    </row>
    <row r="868" spans="54:63" ht="15" customHeight="1" x14ac:dyDescent="0.3">
      <c r="BB868" s="15"/>
      <c r="BC868" s="15"/>
      <c r="BD868" s="15"/>
      <c r="BE868" s="15"/>
      <c r="BF868" s="15"/>
      <c r="BG868" s="15"/>
      <c r="BH868" s="15"/>
      <c r="BI868" s="15"/>
      <c r="BJ868" s="15"/>
      <c r="BK868" s="15"/>
    </row>
    <row r="869" spans="54:63" ht="15" customHeight="1" x14ac:dyDescent="0.3">
      <c r="BB869" s="15"/>
      <c r="BC869" s="15"/>
      <c r="BD869" s="15"/>
      <c r="BE869" s="15"/>
      <c r="BF869" s="15"/>
      <c r="BG869" s="15"/>
      <c r="BH869" s="15"/>
      <c r="BI869" s="15"/>
      <c r="BJ869" s="15"/>
      <c r="BK869" s="15"/>
    </row>
    <row r="870" spans="54:63" ht="15" customHeight="1" x14ac:dyDescent="0.3">
      <c r="BB870" s="15"/>
      <c r="BC870" s="15"/>
      <c r="BD870" s="15"/>
      <c r="BE870" s="15"/>
      <c r="BF870" s="15"/>
      <c r="BG870" s="15"/>
      <c r="BH870" s="15"/>
      <c r="BI870" s="15"/>
      <c r="BJ870" s="15"/>
      <c r="BK870" s="15"/>
    </row>
    <row r="871" spans="54:63" ht="15" customHeight="1" x14ac:dyDescent="0.3">
      <c r="BB871" s="15"/>
      <c r="BC871" s="15"/>
      <c r="BD871" s="15"/>
      <c r="BE871" s="15"/>
      <c r="BF871" s="15"/>
      <c r="BG871" s="15"/>
      <c r="BH871" s="15"/>
      <c r="BI871" s="15"/>
      <c r="BJ871" s="15"/>
      <c r="BK871" s="15"/>
    </row>
    <row r="872" spans="54:63" ht="15" customHeight="1" x14ac:dyDescent="0.3">
      <c r="BB872" s="15"/>
      <c r="BC872" s="15"/>
      <c r="BD872" s="15"/>
      <c r="BE872" s="15"/>
      <c r="BF872" s="15"/>
      <c r="BG872" s="15"/>
      <c r="BH872" s="15"/>
      <c r="BI872" s="15"/>
      <c r="BJ872" s="15"/>
      <c r="BK872" s="15"/>
    </row>
    <row r="873" spans="54:63" ht="15" customHeight="1" x14ac:dyDescent="0.3">
      <c r="BB873" s="15"/>
      <c r="BC873" s="15"/>
      <c r="BD873" s="15"/>
      <c r="BE873" s="15"/>
      <c r="BF873" s="15"/>
      <c r="BG873" s="15"/>
      <c r="BH873" s="15"/>
      <c r="BI873" s="15"/>
      <c r="BJ873" s="15"/>
      <c r="BK873" s="15"/>
    </row>
    <row r="874" spans="54:63" ht="15" customHeight="1" x14ac:dyDescent="0.3">
      <c r="BB874" s="15"/>
      <c r="BC874" s="15"/>
      <c r="BD874" s="15"/>
      <c r="BE874" s="15"/>
      <c r="BF874" s="15"/>
      <c r="BG874" s="15"/>
      <c r="BH874" s="15"/>
      <c r="BI874" s="15"/>
      <c r="BJ874" s="15"/>
      <c r="BK874" s="15"/>
    </row>
    <row r="875" spans="54:63" ht="15" customHeight="1" x14ac:dyDescent="0.3">
      <c r="BB875" s="15"/>
      <c r="BC875" s="15"/>
      <c r="BD875" s="15"/>
      <c r="BE875" s="15"/>
      <c r="BF875" s="15"/>
      <c r="BG875" s="15"/>
      <c r="BH875" s="15"/>
      <c r="BI875" s="15"/>
      <c r="BJ875" s="15"/>
      <c r="BK875" s="15"/>
    </row>
    <row r="876" spans="54:63" ht="15" customHeight="1" x14ac:dyDescent="0.3">
      <c r="BB876" s="15"/>
      <c r="BC876" s="15"/>
      <c r="BD876" s="15"/>
      <c r="BE876" s="15"/>
      <c r="BF876" s="15"/>
      <c r="BG876" s="15"/>
      <c r="BH876" s="15"/>
      <c r="BI876" s="15"/>
      <c r="BJ876" s="15"/>
      <c r="BK876" s="15"/>
    </row>
    <row r="877" spans="54:63" ht="15" customHeight="1" x14ac:dyDescent="0.3">
      <c r="BB877" s="15"/>
      <c r="BC877" s="15"/>
      <c r="BD877" s="15"/>
      <c r="BE877" s="15"/>
      <c r="BF877" s="15"/>
      <c r="BG877" s="15"/>
      <c r="BH877" s="15"/>
      <c r="BI877" s="15"/>
      <c r="BJ877" s="15"/>
      <c r="BK877" s="15"/>
    </row>
    <row r="878" spans="54:63" ht="15" customHeight="1" x14ac:dyDescent="0.3">
      <c r="BB878" s="15"/>
      <c r="BC878" s="15"/>
      <c r="BD878" s="15"/>
      <c r="BE878" s="15"/>
      <c r="BF878" s="15"/>
      <c r="BG878" s="15"/>
      <c r="BH878" s="15"/>
      <c r="BI878" s="15"/>
      <c r="BJ878" s="15"/>
      <c r="BK878" s="15"/>
    </row>
    <row r="879" spans="54:63" ht="15" customHeight="1" x14ac:dyDescent="0.3">
      <c r="BB879" s="15"/>
      <c r="BC879" s="15"/>
      <c r="BD879" s="15"/>
      <c r="BE879" s="15"/>
      <c r="BF879" s="15"/>
      <c r="BG879" s="15"/>
      <c r="BH879" s="15"/>
      <c r="BI879" s="15"/>
      <c r="BJ879" s="15"/>
      <c r="BK879" s="15"/>
    </row>
    <row r="880" spans="54:63" ht="15" customHeight="1" x14ac:dyDescent="0.3">
      <c r="BB880" s="15"/>
      <c r="BC880" s="15"/>
      <c r="BD880" s="15"/>
      <c r="BE880" s="15"/>
      <c r="BF880" s="15"/>
      <c r="BG880" s="15"/>
      <c r="BH880" s="15"/>
      <c r="BI880" s="15"/>
      <c r="BJ880" s="15"/>
      <c r="BK880" s="15"/>
    </row>
    <row r="881" spans="54:63" ht="15" customHeight="1" x14ac:dyDescent="0.3">
      <c r="BB881" s="15"/>
      <c r="BC881" s="15"/>
      <c r="BD881" s="15"/>
      <c r="BE881" s="15"/>
      <c r="BF881" s="15"/>
      <c r="BG881" s="15"/>
      <c r="BH881" s="15"/>
      <c r="BI881" s="15"/>
      <c r="BJ881" s="15"/>
      <c r="BK881" s="15"/>
    </row>
    <row r="882" spans="54:63" ht="15" customHeight="1" x14ac:dyDescent="0.3">
      <c r="BB882" s="15"/>
      <c r="BC882" s="15"/>
      <c r="BD882" s="15"/>
      <c r="BE882" s="15"/>
      <c r="BF882" s="15"/>
      <c r="BG882" s="15"/>
      <c r="BH882" s="15"/>
      <c r="BI882" s="15"/>
      <c r="BJ882" s="15"/>
      <c r="BK882" s="15"/>
    </row>
    <row r="883" spans="54:63" ht="15" customHeight="1" x14ac:dyDescent="0.3">
      <c r="BB883" s="15"/>
      <c r="BC883" s="15"/>
      <c r="BD883" s="15"/>
      <c r="BE883" s="15"/>
      <c r="BF883" s="15"/>
      <c r="BG883" s="15"/>
      <c r="BH883" s="15"/>
      <c r="BI883" s="15"/>
      <c r="BJ883" s="15"/>
      <c r="BK883" s="15"/>
    </row>
    <row r="884" spans="54:63" ht="15" customHeight="1" x14ac:dyDescent="0.3">
      <c r="BB884" s="15"/>
      <c r="BC884" s="15"/>
      <c r="BD884" s="15"/>
      <c r="BE884" s="15"/>
      <c r="BF884" s="15"/>
      <c r="BG884" s="15"/>
      <c r="BH884" s="15"/>
      <c r="BI884" s="15"/>
      <c r="BJ884" s="15"/>
      <c r="BK884" s="15"/>
    </row>
    <row r="885" spans="54:63" ht="15" customHeight="1" x14ac:dyDescent="0.3">
      <c r="BB885" s="15"/>
      <c r="BC885" s="15"/>
      <c r="BD885" s="15"/>
      <c r="BE885" s="15"/>
      <c r="BF885" s="15"/>
      <c r="BG885" s="15"/>
      <c r="BH885" s="15"/>
      <c r="BI885" s="15"/>
      <c r="BJ885" s="15"/>
      <c r="BK885" s="15"/>
    </row>
    <row r="886" spans="54:63" ht="15" customHeight="1" x14ac:dyDescent="0.3">
      <c r="BB886" s="15"/>
      <c r="BC886" s="15"/>
      <c r="BD886" s="15"/>
      <c r="BE886" s="15"/>
      <c r="BF886" s="15"/>
      <c r="BG886" s="15"/>
      <c r="BH886" s="15"/>
      <c r="BI886" s="15"/>
      <c r="BJ886" s="15"/>
      <c r="BK886" s="15"/>
    </row>
    <row r="887" spans="54:63" ht="15" customHeight="1" x14ac:dyDescent="0.3">
      <c r="BB887" s="15"/>
      <c r="BC887" s="15"/>
      <c r="BD887" s="15"/>
      <c r="BE887" s="15"/>
      <c r="BF887" s="15"/>
      <c r="BG887" s="15"/>
      <c r="BH887" s="15"/>
      <c r="BI887" s="15"/>
      <c r="BJ887" s="15"/>
      <c r="BK887" s="15"/>
    </row>
    <row r="888" spans="54:63" ht="15" customHeight="1" x14ac:dyDescent="0.3">
      <c r="BB888" s="15"/>
      <c r="BC888" s="15"/>
      <c r="BD888" s="15"/>
      <c r="BE888" s="15"/>
      <c r="BF888" s="15"/>
      <c r="BG888" s="15"/>
      <c r="BH888" s="15"/>
      <c r="BI888" s="15"/>
      <c r="BJ888" s="15"/>
      <c r="BK888" s="15"/>
    </row>
    <row r="889" spans="54:63" ht="15" customHeight="1" x14ac:dyDescent="0.3">
      <c r="BB889" s="15"/>
      <c r="BC889" s="15"/>
      <c r="BD889" s="15"/>
      <c r="BE889" s="15"/>
      <c r="BF889" s="15"/>
      <c r="BG889" s="15"/>
      <c r="BH889" s="15"/>
      <c r="BI889" s="15"/>
      <c r="BJ889" s="15"/>
      <c r="BK889" s="15"/>
    </row>
    <row r="890" spans="54:63" ht="15" customHeight="1" x14ac:dyDescent="0.3">
      <c r="BB890" s="15"/>
      <c r="BC890" s="15"/>
      <c r="BD890" s="15"/>
      <c r="BE890" s="15"/>
      <c r="BF890" s="15"/>
      <c r="BG890" s="15"/>
      <c r="BH890" s="15"/>
      <c r="BI890" s="15"/>
      <c r="BJ890" s="15"/>
      <c r="BK890" s="15"/>
    </row>
    <row r="891" spans="54:63" ht="15" customHeight="1" x14ac:dyDescent="0.3">
      <c r="BB891" s="15"/>
      <c r="BC891" s="15"/>
      <c r="BD891" s="15"/>
      <c r="BE891" s="15"/>
      <c r="BF891" s="15"/>
      <c r="BG891" s="15"/>
      <c r="BH891" s="15"/>
      <c r="BI891" s="15"/>
      <c r="BJ891" s="15"/>
      <c r="BK891" s="15"/>
    </row>
    <row r="892" spans="54:63" ht="15" customHeight="1" x14ac:dyDescent="0.3">
      <c r="BB892" s="15"/>
      <c r="BC892" s="15"/>
      <c r="BD892" s="15"/>
      <c r="BE892" s="15"/>
      <c r="BF892" s="15"/>
      <c r="BG892" s="15"/>
      <c r="BH892" s="15"/>
      <c r="BI892" s="15"/>
      <c r="BJ892" s="15"/>
      <c r="BK892" s="15"/>
    </row>
    <row r="893" spans="54:63" ht="15" customHeight="1" x14ac:dyDescent="0.3">
      <c r="BB893" s="15"/>
      <c r="BC893" s="15"/>
      <c r="BD893" s="15"/>
      <c r="BE893" s="15"/>
      <c r="BF893" s="15"/>
      <c r="BG893" s="15"/>
      <c r="BH893" s="15"/>
      <c r="BI893" s="15"/>
      <c r="BJ893" s="15"/>
      <c r="BK893" s="15"/>
    </row>
    <row r="894" spans="54:63" ht="15" customHeight="1" x14ac:dyDescent="0.3">
      <c r="BB894" s="15"/>
      <c r="BC894" s="15"/>
      <c r="BD894" s="15"/>
      <c r="BE894" s="15"/>
      <c r="BF894" s="15"/>
      <c r="BG894" s="15"/>
      <c r="BH894" s="15"/>
      <c r="BI894" s="15"/>
      <c r="BJ894" s="15"/>
      <c r="BK894" s="15"/>
    </row>
    <row r="895" spans="54:63" ht="15" customHeight="1" x14ac:dyDescent="0.3">
      <c r="BB895" s="15"/>
      <c r="BC895" s="15"/>
      <c r="BD895" s="15"/>
      <c r="BE895" s="15"/>
      <c r="BF895" s="15"/>
      <c r="BG895" s="15"/>
      <c r="BH895" s="15"/>
      <c r="BI895" s="15"/>
      <c r="BJ895" s="15"/>
      <c r="BK895" s="15"/>
    </row>
    <row r="896" spans="54:63" ht="15" customHeight="1" x14ac:dyDescent="0.3">
      <c r="BB896" s="15"/>
      <c r="BC896" s="15"/>
      <c r="BD896" s="15"/>
      <c r="BE896" s="15"/>
      <c r="BF896" s="15"/>
      <c r="BG896" s="15"/>
      <c r="BH896" s="15"/>
      <c r="BI896" s="15"/>
      <c r="BJ896" s="15"/>
      <c r="BK896" s="15"/>
    </row>
    <row r="897" spans="54:63" ht="15" customHeight="1" x14ac:dyDescent="0.3">
      <c r="BB897" s="15"/>
      <c r="BC897" s="15"/>
      <c r="BD897" s="15"/>
      <c r="BE897" s="15"/>
      <c r="BF897" s="15"/>
      <c r="BG897" s="15"/>
      <c r="BH897" s="15"/>
      <c r="BI897" s="15"/>
      <c r="BJ897" s="15"/>
      <c r="BK897" s="15"/>
    </row>
    <row r="898" spans="54:63" ht="15" customHeight="1" x14ac:dyDescent="0.3">
      <c r="BB898" s="15"/>
      <c r="BC898" s="15"/>
      <c r="BD898" s="15"/>
      <c r="BE898" s="15"/>
      <c r="BF898" s="15"/>
      <c r="BG898" s="15"/>
      <c r="BH898" s="15"/>
      <c r="BI898" s="15"/>
      <c r="BJ898" s="15"/>
      <c r="BK898" s="15"/>
    </row>
    <row r="899" spans="54:63" ht="15" customHeight="1" x14ac:dyDescent="0.3">
      <c r="BB899" s="15"/>
      <c r="BC899" s="15"/>
      <c r="BD899" s="15"/>
      <c r="BE899" s="15"/>
      <c r="BF899" s="15"/>
      <c r="BG899" s="15"/>
      <c r="BH899" s="15"/>
      <c r="BI899" s="15"/>
      <c r="BJ899" s="15"/>
      <c r="BK899" s="15"/>
    </row>
    <row r="900" spans="54:63" ht="15" customHeight="1" x14ac:dyDescent="0.3">
      <c r="BB900" s="15"/>
      <c r="BC900" s="15"/>
      <c r="BD900" s="15"/>
      <c r="BE900" s="15"/>
      <c r="BF900" s="15"/>
      <c r="BG900" s="15"/>
      <c r="BH900" s="15"/>
      <c r="BI900" s="15"/>
      <c r="BJ900" s="15"/>
      <c r="BK900" s="15"/>
    </row>
    <row r="901" spans="54:63" ht="15" customHeight="1" x14ac:dyDescent="0.3">
      <c r="BB901" s="15"/>
      <c r="BC901" s="15"/>
      <c r="BD901" s="15"/>
      <c r="BE901" s="15"/>
      <c r="BF901" s="15"/>
      <c r="BG901" s="15"/>
      <c r="BH901" s="15"/>
      <c r="BI901" s="15"/>
      <c r="BJ901" s="15"/>
      <c r="BK901" s="15"/>
    </row>
    <row r="902" spans="54:63" ht="15" customHeight="1" x14ac:dyDescent="0.3">
      <c r="BB902" s="15"/>
      <c r="BC902" s="15"/>
      <c r="BD902" s="15"/>
      <c r="BE902" s="15"/>
      <c r="BF902" s="15"/>
      <c r="BG902" s="15"/>
      <c r="BH902" s="15"/>
      <c r="BI902" s="15"/>
      <c r="BJ902" s="15"/>
      <c r="BK902" s="15"/>
    </row>
    <row r="903" spans="54:63" ht="15" customHeight="1" x14ac:dyDescent="0.3">
      <c r="BB903" s="15"/>
      <c r="BC903" s="15"/>
      <c r="BD903" s="15"/>
      <c r="BE903" s="15"/>
      <c r="BF903" s="15"/>
      <c r="BG903" s="15"/>
      <c r="BH903" s="15"/>
      <c r="BI903" s="15"/>
      <c r="BJ903" s="15"/>
      <c r="BK903" s="15"/>
    </row>
    <row r="904" spans="54:63" ht="15" customHeight="1" x14ac:dyDescent="0.3">
      <c r="BB904" s="15"/>
      <c r="BC904" s="15"/>
      <c r="BD904" s="15"/>
      <c r="BE904" s="15"/>
      <c r="BF904" s="15"/>
      <c r="BG904" s="15"/>
      <c r="BH904" s="15"/>
      <c r="BI904" s="15"/>
      <c r="BJ904" s="15"/>
      <c r="BK904" s="15"/>
    </row>
    <row r="905" spans="54:63" ht="15" customHeight="1" x14ac:dyDescent="0.3">
      <c r="BB905" s="15"/>
      <c r="BC905" s="15"/>
      <c r="BD905" s="15"/>
      <c r="BE905" s="15"/>
      <c r="BF905" s="15"/>
      <c r="BG905" s="15"/>
      <c r="BH905" s="15"/>
      <c r="BI905" s="15"/>
      <c r="BJ905" s="15"/>
      <c r="BK905" s="15"/>
    </row>
    <row r="906" spans="54:63" ht="15" customHeight="1" x14ac:dyDescent="0.3">
      <c r="BB906" s="15"/>
      <c r="BC906" s="15"/>
      <c r="BD906" s="15"/>
      <c r="BE906" s="15"/>
      <c r="BF906" s="15"/>
      <c r="BG906" s="15"/>
      <c r="BH906" s="15"/>
      <c r="BI906" s="15"/>
      <c r="BJ906" s="15"/>
      <c r="BK906" s="15"/>
    </row>
    <row r="907" spans="54:63" ht="15" customHeight="1" x14ac:dyDescent="0.3">
      <c r="BB907" s="15"/>
      <c r="BC907" s="15"/>
      <c r="BD907" s="15"/>
      <c r="BE907" s="15"/>
      <c r="BF907" s="15"/>
      <c r="BG907" s="15"/>
      <c r="BH907" s="15"/>
      <c r="BI907" s="15"/>
      <c r="BJ907" s="15"/>
      <c r="BK907" s="15"/>
    </row>
    <row r="908" spans="54:63" ht="15" customHeight="1" x14ac:dyDescent="0.3">
      <c r="BB908" s="15"/>
      <c r="BC908" s="15"/>
      <c r="BD908" s="15"/>
      <c r="BE908" s="15"/>
      <c r="BF908" s="15"/>
      <c r="BG908" s="15"/>
      <c r="BH908" s="15"/>
      <c r="BI908" s="15"/>
      <c r="BJ908" s="15"/>
      <c r="BK908" s="15"/>
    </row>
    <row r="909" spans="54:63" ht="15" customHeight="1" x14ac:dyDescent="0.3">
      <c r="BB909" s="15"/>
      <c r="BC909" s="15"/>
      <c r="BD909" s="15"/>
      <c r="BE909" s="15"/>
      <c r="BF909" s="15"/>
      <c r="BG909" s="15"/>
      <c r="BH909" s="15"/>
      <c r="BI909" s="15"/>
      <c r="BJ909" s="15"/>
      <c r="BK909" s="15"/>
    </row>
    <row r="910" spans="54:63" ht="15" customHeight="1" x14ac:dyDescent="0.3">
      <c r="BB910" s="15"/>
      <c r="BC910" s="15"/>
      <c r="BD910" s="15"/>
      <c r="BE910" s="15"/>
      <c r="BF910" s="15"/>
      <c r="BG910" s="15"/>
      <c r="BH910" s="15"/>
      <c r="BI910" s="15"/>
      <c r="BJ910" s="15"/>
      <c r="BK910" s="15"/>
    </row>
    <row r="911" spans="54:63" ht="15" customHeight="1" x14ac:dyDescent="0.3">
      <c r="BB911" s="15"/>
      <c r="BC911" s="15"/>
      <c r="BD911" s="15"/>
      <c r="BE911" s="15"/>
      <c r="BF911" s="15"/>
      <c r="BG911" s="15"/>
      <c r="BH911" s="15"/>
      <c r="BI911" s="15"/>
      <c r="BJ911" s="15"/>
      <c r="BK911" s="15"/>
    </row>
    <row r="912" spans="54:63" ht="15" customHeight="1" x14ac:dyDescent="0.3">
      <c r="BB912" s="15"/>
      <c r="BC912" s="15"/>
      <c r="BD912" s="15"/>
      <c r="BE912" s="15"/>
      <c r="BF912" s="15"/>
      <c r="BG912" s="15"/>
      <c r="BH912" s="15"/>
      <c r="BI912" s="15"/>
      <c r="BJ912" s="15"/>
      <c r="BK912" s="15"/>
    </row>
    <row r="913" spans="54:63" ht="15" customHeight="1" x14ac:dyDescent="0.3">
      <c r="BB913" s="15"/>
      <c r="BC913" s="15"/>
      <c r="BD913" s="15"/>
      <c r="BE913" s="15"/>
      <c r="BF913" s="15"/>
      <c r="BG913" s="15"/>
      <c r="BH913" s="15"/>
      <c r="BI913" s="15"/>
      <c r="BJ913" s="15"/>
      <c r="BK913" s="15"/>
    </row>
    <row r="914" spans="54:63" ht="15" customHeight="1" x14ac:dyDescent="0.3">
      <c r="BB914" s="15"/>
      <c r="BC914" s="15"/>
      <c r="BD914" s="15"/>
      <c r="BE914" s="15"/>
      <c r="BF914" s="15"/>
      <c r="BG914" s="15"/>
      <c r="BH914" s="15"/>
      <c r="BI914" s="15"/>
      <c r="BJ914" s="15"/>
      <c r="BK914" s="15"/>
    </row>
    <row r="915" spans="54:63" ht="15" customHeight="1" x14ac:dyDescent="0.3">
      <c r="BB915" s="15"/>
      <c r="BC915" s="15"/>
      <c r="BD915" s="15"/>
      <c r="BE915" s="15"/>
      <c r="BF915" s="15"/>
      <c r="BG915" s="15"/>
      <c r="BH915" s="15"/>
      <c r="BI915" s="15"/>
      <c r="BJ915" s="15"/>
      <c r="BK915" s="15"/>
    </row>
    <row r="916" spans="54:63" ht="15" customHeight="1" x14ac:dyDescent="0.3">
      <c r="BB916" s="15"/>
      <c r="BC916" s="15"/>
      <c r="BD916" s="15"/>
      <c r="BE916" s="15"/>
      <c r="BF916" s="15"/>
      <c r="BG916" s="15"/>
      <c r="BH916" s="15"/>
      <c r="BI916" s="15"/>
      <c r="BJ916" s="15"/>
      <c r="BK916" s="15"/>
    </row>
    <row r="917" spans="54:63" ht="15" customHeight="1" x14ac:dyDescent="0.3">
      <c r="BB917" s="15"/>
      <c r="BC917" s="15"/>
      <c r="BD917" s="15"/>
      <c r="BE917" s="15"/>
      <c r="BF917" s="15"/>
      <c r="BG917" s="15"/>
      <c r="BH917" s="15"/>
      <c r="BI917" s="15"/>
      <c r="BJ917" s="15"/>
      <c r="BK917" s="15"/>
    </row>
    <row r="918" spans="54:63" ht="15" customHeight="1" x14ac:dyDescent="0.3">
      <c r="BB918" s="15"/>
      <c r="BC918" s="15"/>
      <c r="BD918" s="15"/>
      <c r="BE918" s="15"/>
      <c r="BF918" s="15"/>
      <c r="BG918" s="15"/>
      <c r="BH918" s="15"/>
      <c r="BI918" s="15"/>
      <c r="BJ918" s="15"/>
      <c r="BK918" s="15"/>
    </row>
    <row r="919" spans="54:63" ht="15" customHeight="1" x14ac:dyDescent="0.3">
      <c r="BB919" s="15"/>
      <c r="BC919" s="15"/>
      <c r="BD919" s="15"/>
      <c r="BE919" s="15"/>
      <c r="BF919" s="15"/>
      <c r="BG919" s="15"/>
      <c r="BH919" s="15"/>
      <c r="BI919" s="15"/>
      <c r="BJ919" s="15"/>
      <c r="BK919" s="15"/>
    </row>
    <row r="920" spans="54:63" ht="15" customHeight="1" x14ac:dyDescent="0.3">
      <c r="BB920" s="15"/>
      <c r="BC920" s="15"/>
      <c r="BD920" s="15"/>
      <c r="BE920" s="15"/>
      <c r="BF920" s="15"/>
      <c r="BG920" s="15"/>
      <c r="BH920" s="15"/>
      <c r="BI920" s="15"/>
      <c r="BJ920" s="15"/>
      <c r="BK920" s="15"/>
    </row>
    <row r="921" spans="54:63" ht="15" customHeight="1" x14ac:dyDescent="0.3">
      <c r="BB921" s="15"/>
      <c r="BC921" s="15"/>
      <c r="BD921" s="15"/>
      <c r="BE921" s="15"/>
      <c r="BF921" s="15"/>
      <c r="BG921" s="15"/>
      <c r="BH921" s="15"/>
      <c r="BI921" s="15"/>
      <c r="BJ921" s="15"/>
      <c r="BK921" s="15"/>
    </row>
    <row r="922" spans="54:63" ht="15" customHeight="1" x14ac:dyDescent="0.3">
      <c r="BB922" s="15"/>
      <c r="BC922" s="15"/>
      <c r="BD922" s="15"/>
      <c r="BE922" s="15"/>
      <c r="BF922" s="15"/>
      <c r="BG922" s="15"/>
      <c r="BH922" s="15"/>
      <c r="BI922" s="15"/>
      <c r="BJ922" s="15"/>
      <c r="BK922" s="15"/>
    </row>
    <row r="923" spans="54:63" ht="15" customHeight="1" x14ac:dyDescent="0.3">
      <c r="BB923" s="15"/>
      <c r="BC923" s="15"/>
      <c r="BD923" s="15"/>
      <c r="BE923" s="15"/>
      <c r="BF923" s="15"/>
      <c r="BG923" s="15"/>
      <c r="BH923" s="15"/>
      <c r="BI923" s="15"/>
      <c r="BJ923" s="15"/>
      <c r="BK923" s="15"/>
    </row>
    <row r="924" spans="54:63" ht="15" customHeight="1" x14ac:dyDescent="0.3">
      <c r="BB924" s="15"/>
      <c r="BC924" s="15"/>
      <c r="BD924" s="15"/>
      <c r="BE924" s="15"/>
      <c r="BF924" s="15"/>
      <c r="BG924" s="15"/>
      <c r="BH924" s="15"/>
      <c r="BI924" s="15"/>
      <c r="BJ924" s="15"/>
      <c r="BK924" s="15"/>
    </row>
    <row r="925" spans="54:63" ht="15" customHeight="1" x14ac:dyDescent="0.3">
      <c r="BB925" s="15"/>
      <c r="BC925" s="15"/>
      <c r="BD925" s="15"/>
      <c r="BE925" s="15"/>
      <c r="BF925" s="15"/>
      <c r="BG925" s="15"/>
      <c r="BH925" s="15"/>
      <c r="BI925" s="15"/>
      <c r="BJ925" s="15"/>
      <c r="BK925" s="15"/>
    </row>
    <row r="926" spans="54:63" ht="15" customHeight="1" x14ac:dyDescent="0.3">
      <c r="BB926" s="15"/>
      <c r="BC926" s="15"/>
      <c r="BD926" s="15"/>
      <c r="BE926" s="15"/>
      <c r="BF926" s="15"/>
      <c r="BG926" s="15"/>
      <c r="BH926" s="15"/>
      <c r="BI926" s="15"/>
      <c r="BJ926" s="15"/>
      <c r="BK926" s="15"/>
    </row>
    <row r="927" spans="54:63" ht="15" customHeight="1" x14ac:dyDescent="0.3">
      <c r="BB927" s="15"/>
      <c r="BC927" s="15"/>
      <c r="BD927" s="15"/>
      <c r="BE927" s="15"/>
      <c r="BF927" s="15"/>
      <c r="BG927" s="15"/>
      <c r="BH927" s="15"/>
      <c r="BI927" s="15"/>
      <c r="BJ927" s="15"/>
      <c r="BK927" s="15"/>
    </row>
    <row r="928" spans="54:63" ht="15" customHeight="1" x14ac:dyDescent="0.3">
      <c r="BB928" s="15"/>
      <c r="BC928" s="15"/>
      <c r="BD928" s="15"/>
      <c r="BE928" s="15"/>
      <c r="BF928" s="15"/>
      <c r="BG928" s="15"/>
      <c r="BH928" s="15"/>
      <c r="BI928" s="15"/>
      <c r="BJ928" s="15"/>
      <c r="BK928" s="15"/>
    </row>
    <row r="929" spans="54:63" ht="15" customHeight="1" x14ac:dyDescent="0.3">
      <c r="BB929" s="15"/>
      <c r="BC929" s="15"/>
      <c r="BD929" s="15"/>
      <c r="BE929" s="15"/>
      <c r="BF929" s="15"/>
      <c r="BG929" s="15"/>
      <c r="BH929" s="15"/>
      <c r="BI929" s="15"/>
      <c r="BJ929" s="15"/>
      <c r="BK929" s="15"/>
    </row>
    <row r="930" spans="54:63" ht="15" customHeight="1" x14ac:dyDescent="0.3">
      <c r="BB930" s="15"/>
      <c r="BC930" s="15"/>
      <c r="BD930" s="15"/>
      <c r="BE930" s="15"/>
      <c r="BF930" s="15"/>
      <c r="BG930" s="15"/>
      <c r="BH930" s="15"/>
      <c r="BI930" s="15"/>
      <c r="BJ930" s="15"/>
      <c r="BK930" s="15"/>
    </row>
    <row r="931" spans="54:63" ht="15" customHeight="1" x14ac:dyDescent="0.3">
      <c r="BB931" s="15"/>
      <c r="BC931" s="15"/>
      <c r="BD931" s="15"/>
      <c r="BE931" s="15"/>
      <c r="BF931" s="15"/>
      <c r="BG931" s="15"/>
      <c r="BH931" s="15"/>
      <c r="BI931" s="15"/>
      <c r="BJ931" s="15"/>
      <c r="BK931" s="15"/>
    </row>
    <row r="932" spans="54:63" ht="15" customHeight="1" x14ac:dyDescent="0.3">
      <c r="BB932" s="15"/>
      <c r="BC932" s="15"/>
      <c r="BD932" s="15"/>
      <c r="BE932" s="15"/>
      <c r="BF932" s="15"/>
      <c r="BG932" s="15"/>
      <c r="BH932" s="15"/>
      <c r="BI932" s="15"/>
      <c r="BJ932" s="15"/>
      <c r="BK932" s="15"/>
    </row>
    <row r="933" spans="54:63" ht="15" customHeight="1" x14ac:dyDescent="0.3">
      <c r="BB933" s="15"/>
      <c r="BC933" s="15"/>
      <c r="BD933" s="15"/>
      <c r="BE933" s="15"/>
      <c r="BF933" s="15"/>
      <c r="BG933" s="15"/>
      <c r="BH933" s="15"/>
      <c r="BI933" s="15"/>
      <c r="BJ933" s="15"/>
      <c r="BK933" s="15"/>
    </row>
    <row r="934" spans="54:63" ht="15" customHeight="1" x14ac:dyDescent="0.3">
      <c r="BB934" s="15"/>
      <c r="BC934" s="15"/>
      <c r="BD934" s="15"/>
      <c r="BE934" s="15"/>
      <c r="BF934" s="15"/>
      <c r="BG934" s="15"/>
      <c r="BH934" s="15"/>
      <c r="BI934" s="15"/>
      <c r="BJ934" s="15"/>
      <c r="BK934" s="15"/>
    </row>
    <row r="935" spans="54:63" ht="15" customHeight="1" x14ac:dyDescent="0.3">
      <c r="BB935" s="15"/>
      <c r="BC935" s="15"/>
      <c r="BD935" s="15"/>
      <c r="BE935" s="15"/>
      <c r="BF935" s="15"/>
      <c r="BG935" s="15"/>
      <c r="BH935" s="15"/>
      <c r="BI935" s="15"/>
      <c r="BJ935" s="15"/>
      <c r="BK935" s="15"/>
    </row>
    <row r="936" spans="54:63" ht="15" customHeight="1" x14ac:dyDescent="0.3">
      <c r="BB936" s="15"/>
      <c r="BC936" s="15"/>
      <c r="BD936" s="15"/>
      <c r="BE936" s="15"/>
      <c r="BF936" s="15"/>
      <c r="BG936" s="15"/>
      <c r="BH936" s="15"/>
      <c r="BI936" s="15"/>
      <c r="BJ936" s="15"/>
      <c r="BK936" s="15"/>
    </row>
    <row r="937" spans="54:63" ht="15" customHeight="1" x14ac:dyDescent="0.3">
      <c r="BB937" s="15"/>
      <c r="BC937" s="15"/>
      <c r="BD937" s="15"/>
      <c r="BE937" s="15"/>
      <c r="BF937" s="15"/>
      <c r="BG937" s="15"/>
      <c r="BH937" s="15"/>
      <c r="BI937" s="15"/>
      <c r="BJ937" s="15"/>
      <c r="BK937" s="15"/>
    </row>
    <row r="938" spans="54:63" ht="15" customHeight="1" x14ac:dyDescent="0.3">
      <c r="BB938" s="15"/>
      <c r="BC938" s="15"/>
      <c r="BD938" s="15"/>
      <c r="BE938" s="15"/>
      <c r="BF938" s="15"/>
      <c r="BG938" s="15"/>
      <c r="BH938" s="15"/>
      <c r="BI938" s="15"/>
      <c r="BJ938" s="15"/>
      <c r="BK938" s="15"/>
    </row>
    <row r="939" spans="54:63" ht="15" customHeight="1" x14ac:dyDescent="0.3">
      <c r="BB939" s="15"/>
      <c r="BC939" s="15"/>
      <c r="BD939" s="15"/>
      <c r="BE939" s="15"/>
      <c r="BF939" s="15"/>
      <c r="BG939" s="15"/>
      <c r="BH939" s="15"/>
      <c r="BI939" s="15"/>
      <c r="BJ939" s="15"/>
      <c r="BK939" s="15"/>
    </row>
    <row r="940" spans="54:63" ht="15" customHeight="1" x14ac:dyDescent="0.3">
      <c r="BB940" s="15"/>
      <c r="BC940" s="15"/>
      <c r="BD940" s="15"/>
      <c r="BE940" s="15"/>
      <c r="BF940" s="15"/>
      <c r="BG940" s="15"/>
      <c r="BH940" s="15"/>
      <c r="BI940" s="15"/>
      <c r="BJ940" s="15"/>
      <c r="BK940" s="15"/>
    </row>
    <row r="941" spans="54:63" ht="15" customHeight="1" x14ac:dyDescent="0.3">
      <c r="BB941" s="15"/>
      <c r="BC941" s="15"/>
      <c r="BD941" s="15"/>
      <c r="BE941" s="15"/>
      <c r="BF941" s="15"/>
      <c r="BG941" s="15"/>
      <c r="BH941" s="15"/>
      <c r="BI941" s="15"/>
      <c r="BJ941" s="15"/>
      <c r="BK941" s="15"/>
    </row>
    <row r="942" spans="54:63" ht="15" customHeight="1" x14ac:dyDescent="0.3">
      <c r="BB942" s="15"/>
      <c r="BC942" s="15"/>
      <c r="BD942" s="15"/>
      <c r="BE942" s="15"/>
      <c r="BF942" s="15"/>
      <c r="BG942" s="15"/>
      <c r="BH942" s="15"/>
      <c r="BI942" s="15"/>
      <c r="BJ942" s="15"/>
      <c r="BK942" s="15"/>
    </row>
    <row r="943" spans="54:63" ht="15" customHeight="1" x14ac:dyDescent="0.3">
      <c r="BB943" s="15"/>
      <c r="BC943" s="15"/>
      <c r="BD943" s="15"/>
      <c r="BE943" s="15"/>
      <c r="BF943" s="15"/>
      <c r="BG943" s="15"/>
      <c r="BH943" s="15"/>
      <c r="BI943" s="15"/>
      <c r="BJ943" s="15"/>
      <c r="BK943" s="15"/>
    </row>
    <row r="944" spans="54:63" ht="15" customHeight="1" x14ac:dyDescent="0.3">
      <c r="BB944" s="15"/>
      <c r="BC944" s="15"/>
      <c r="BD944" s="15"/>
      <c r="BE944" s="15"/>
      <c r="BF944" s="15"/>
      <c r="BG944" s="15"/>
      <c r="BH944" s="15"/>
      <c r="BI944" s="15"/>
      <c r="BJ944" s="15"/>
      <c r="BK944" s="15"/>
    </row>
    <row r="945" spans="54:63" ht="15" customHeight="1" x14ac:dyDescent="0.3">
      <c r="BB945" s="15"/>
      <c r="BC945" s="15"/>
      <c r="BD945" s="15"/>
      <c r="BE945" s="15"/>
      <c r="BF945" s="15"/>
      <c r="BG945" s="15"/>
      <c r="BH945" s="15"/>
      <c r="BI945" s="15"/>
      <c r="BJ945" s="15"/>
      <c r="BK945" s="15"/>
    </row>
    <row r="946" spans="54:63" ht="15" customHeight="1" x14ac:dyDescent="0.3">
      <c r="BB946" s="15"/>
      <c r="BC946" s="15"/>
      <c r="BD946" s="15"/>
      <c r="BE946" s="15"/>
      <c r="BF946" s="15"/>
      <c r="BG946" s="15"/>
      <c r="BH946" s="15"/>
      <c r="BI946" s="15"/>
      <c r="BJ946" s="15"/>
      <c r="BK946" s="15"/>
    </row>
    <row r="947" spans="54:63" ht="15" customHeight="1" x14ac:dyDescent="0.3">
      <c r="BB947" s="15"/>
      <c r="BC947" s="15"/>
      <c r="BD947" s="15"/>
      <c r="BE947" s="15"/>
      <c r="BF947" s="15"/>
      <c r="BG947" s="15"/>
      <c r="BH947" s="15"/>
      <c r="BI947" s="15"/>
      <c r="BJ947" s="15"/>
      <c r="BK947" s="15"/>
    </row>
    <row r="948" spans="54:63" ht="15" customHeight="1" x14ac:dyDescent="0.3">
      <c r="BB948" s="15"/>
      <c r="BC948" s="15"/>
      <c r="BD948" s="15"/>
      <c r="BE948" s="15"/>
      <c r="BF948" s="15"/>
      <c r="BG948" s="15"/>
      <c r="BH948" s="15"/>
      <c r="BI948" s="15"/>
      <c r="BJ948" s="15"/>
      <c r="BK948" s="15"/>
    </row>
    <row r="949" spans="54:63" ht="15" customHeight="1" x14ac:dyDescent="0.3">
      <c r="BB949" s="15"/>
      <c r="BC949" s="15"/>
      <c r="BD949" s="15"/>
      <c r="BE949" s="15"/>
      <c r="BF949" s="15"/>
      <c r="BG949" s="15"/>
      <c r="BH949" s="15"/>
      <c r="BI949" s="15"/>
      <c r="BJ949" s="15"/>
      <c r="BK949" s="15"/>
    </row>
    <row r="950" spans="54:63" ht="15" customHeight="1" x14ac:dyDescent="0.3">
      <c r="BB950" s="15"/>
      <c r="BC950" s="15"/>
      <c r="BD950" s="15"/>
      <c r="BE950" s="15"/>
      <c r="BF950" s="15"/>
      <c r="BG950" s="15"/>
      <c r="BH950" s="15"/>
      <c r="BI950" s="15"/>
      <c r="BJ950" s="15"/>
      <c r="BK950" s="15"/>
    </row>
    <row r="951" spans="54:63" ht="15" customHeight="1" x14ac:dyDescent="0.3">
      <c r="BB951" s="15"/>
      <c r="BC951" s="15"/>
      <c r="BD951" s="15"/>
      <c r="BE951" s="15"/>
      <c r="BF951" s="15"/>
      <c r="BG951" s="15"/>
      <c r="BH951" s="15"/>
      <c r="BI951" s="15"/>
      <c r="BJ951" s="15"/>
      <c r="BK951" s="15"/>
    </row>
    <row r="952" spans="54:63" ht="15" customHeight="1" x14ac:dyDescent="0.3">
      <c r="BB952" s="15"/>
      <c r="BC952" s="15"/>
      <c r="BD952" s="15"/>
      <c r="BE952" s="15"/>
      <c r="BF952" s="15"/>
      <c r="BG952" s="15"/>
      <c r="BH952" s="15"/>
      <c r="BI952" s="15"/>
      <c r="BJ952" s="15"/>
      <c r="BK952" s="15"/>
    </row>
    <row r="953" spans="54:63" ht="15" customHeight="1" x14ac:dyDescent="0.3">
      <c r="BB953" s="15"/>
      <c r="BC953" s="15"/>
      <c r="BD953" s="15"/>
      <c r="BE953" s="15"/>
      <c r="BF953" s="15"/>
      <c r="BG953" s="15"/>
      <c r="BH953" s="15"/>
      <c r="BI953" s="15"/>
      <c r="BJ953" s="15"/>
      <c r="BK953" s="15"/>
    </row>
    <row r="954" spans="54:63" ht="15" customHeight="1" x14ac:dyDescent="0.3">
      <c r="BB954" s="15"/>
      <c r="BC954" s="15"/>
      <c r="BD954" s="15"/>
      <c r="BE954" s="15"/>
      <c r="BF954" s="15"/>
      <c r="BG954" s="15"/>
      <c r="BH954" s="15"/>
      <c r="BI954" s="15"/>
      <c r="BJ954" s="15"/>
      <c r="BK954" s="15"/>
    </row>
    <row r="955" spans="54:63" ht="15" customHeight="1" x14ac:dyDescent="0.3">
      <c r="BB955" s="15"/>
      <c r="BC955" s="15"/>
      <c r="BD955" s="15"/>
      <c r="BE955" s="15"/>
      <c r="BF955" s="15"/>
      <c r="BG955" s="15"/>
      <c r="BH955" s="15"/>
      <c r="BI955" s="15"/>
      <c r="BJ955" s="15"/>
      <c r="BK955" s="15"/>
    </row>
    <row r="956" spans="54:63" ht="15" customHeight="1" x14ac:dyDescent="0.3">
      <c r="BB956" s="15"/>
      <c r="BC956" s="15"/>
      <c r="BD956" s="15"/>
      <c r="BE956" s="15"/>
      <c r="BF956" s="15"/>
      <c r="BG956" s="15"/>
      <c r="BH956" s="15"/>
      <c r="BI956" s="15"/>
      <c r="BJ956" s="15"/>
      <c r="BK956" s="15"/>
    </row>
    <row r="957" spans="54:63" ht="15" customHeight="1" x14ac:dyDescent="0.3">
      <c r="BB957" s="15"/>
      <c r="BC957" s="15"/>
      <c r="BD957" s="15"/>
      <c r="BE957" s="15"/>
      <c r="BF957" s="15"/>
      <c r="BG957" s="15"/>
      <c r="BH957" s="15"/>
      <c r="BI957" s="15"/>
      <c r="BJ957" s="15"/>
      <c r="BK957" s="15"/>
    </row>
    <row r="958" spans="54:63" ht="15" customHeight="1" x14ac:dyDescent="0.3">
      <c r="BB958" s="15"/>
      <c r="BC958" s="15"/>
      <c r="BD958" s="15"/>
      <c r="BE958" s="15"/>
      <c r="BF958" s="15"/>
      <c r="BG958" s="15"/>
      <c r="BH958" s="15"/>
      <c r="BI958" s="15"/>
      <c r="BJ958" s="15"/>
      <c r="BK958" s="15"/>
    </row>
    <row r="959" spans="54:63" ht="15" customHeight="1" x14ac:dyDescent="0.3">
      <c r="BB959" s="15"/>
      <c r="BC959" s="15"/>
      <c r="BD959" s="15"/>
      <c r="BE959" s="15"/>
      <c r="BF959" s="15"/>
      <c r="BG959" s="15"/>
      <c r="BH959" s="15"/>
      <c r="BI959" s="15"/>
      <c r="BJ959" s="15"/>
      <c r="BK959" s="15"/>
    </row>
    <row r="960" spans="54:63" ht="15" customHeight="1" x14ac:dyDescent="0.3">
      <c r="BB960" s="15"/>
      <c r="BC960" s="15"/>
      <c r="BD960" s="15"/>
      <c r="BE960" s="15"/>
      <c r="BF960" s="15"/>
      <c r="BG960" s="15"/>
      <c r="BH960" s="15"/>
      <c r="BI960" s="15"/>
      <c r="BJ960" s="15"/>
      <c r="BK960" s="15"/>
    </row>
    <row r="961" spans="54:63" ht="15" customHeight="1" x14ac:dyDescent="0.3">
      <c r="BB961" s="15"/>
      <c r="BC961" s="15"/>
      <c r="BD961" s="15"/>
      <c r="BE961" s="15"/>
      <c r="BF961" s="15"/>
      <c r="BG961" s="15"/>
      <c r="BH961" s="15"/>
      <c r="BI961" s="15"/>
      <c r="BJ961" s="15"/>
      <c r="BK961" s="15"/>
    </row>
    <row r="962" spans="54:63" ht="15" customHeight="1" x14ac:dyDescent="0.3">
      <c r="BB962" s="15"/>
      <c r="BC962" s="15"/>
      <c r="BD962" s="15"/>
      <c r="BE962" s="15"/>
      <c r="BF962" s="15"/>
      <c r="BG962" s="15"/>
      <c r="BH962" s="15"/>
      <c r="BI962" s="15"/>
      <c r="BJ962" s="15"/>
      <c r="BK962" s="15"/>
    </row>
    <row r="963" spans="54:63" ht="15" customHeight="1" x14ac:dyDescent="0.3">
      <c r="BB963" s="15"/>
      <c r="BC963" s="15"/>
      <c r="BD963" s="15"/>
      <c r="BE963" s="15"/>
      <c r="BF963" s="15"/>
      <c r="BG963" s="15"/>
      <c r="BH963" s="15"/>
      <c r="BI963" s="15"/>
      <c r="BJ963" s="15"/>
      <c r="BK963" s="15"/>
    </row>
    <row r="964" spans="54:63" ht="15" customHeight="1" x14ac:dyDescent="0.3">
      <c r="BB964" s="15"/>
      <c r="BC964" s="15"/>
      <c r="BD964" s="15"/>
      <c r="BE964" s="15"/>
      <c r="BF964" s="15"/>
      <c r="BG964" s="15"/>
      <c r="BH964" s="15"/>
      <c r="BI964" s="15"/>
      <c r="BJ964" s="15"/>
      <c r="BK964" s="15"/>
    </row>
    <row r="965" spans="54:63" ht="15" customHeight="1" x14ac:dyDescent="0.3">
      <c r="BB965" s="15"/>
      <c r="BC965" s="15"/>
      <c r="BD965" s="15"/>
      <c r="BE965" s="15"/>
      <c r="BF965" s="15"/>
      <c r="BG965" s="15"/>
      <c r="BH965" s="15"/>
      <c r="BI965" s="15"/>
      <c r="BJ965" s="15"/>
      <c r="BK965" s="15"/>
    </row>
    <row r="966" spans="54:63" ht="15" customHeight="1" x14ac:dyDescent="0.3">
      <c r="BB966" s="15"/>
      <c r="BC966" s="15"/>
      <c r="BD966" s="15"/>
      <c r="BE966" s="15"/>
      <c r="BF966" s="15"/>
      <c r="BG966" s="15"/>
      <c r="BH966" s="15"/>
      <c r="BI966" s="15"/>
      <c r="BJ966" s="15"/>
      <c r="BK966" s="15"/>
    </row>
    <row r="967" spans="54:63" ht="15" customHeight="1" x14ac:dyDescent="0.3">
      <c r="BB967" s="15"/>
      <c r="BC967" s="15"/>
      <c r="BD967" s="15"/>
      <c r="BE967" s="15"/>
      <c r="BF967" s="15"/>
      <c r="BG967" s="15"/>
      <c r="BH967" s="15"/>
      <c r="BI967" s="15"/>
      <c r="BJ967" s="15"/>
      <c r="BK967" s="15"/>
    </row>
    <row r="968" spans="54:63" ht="15" customHeight="1" x14ac:dyDescent="0.3">
      <c r="BB968" s="15"/>
      <c r="BC968" s="15"/>
      <c r="BD968" s="15"/>
      <c r="BE968" s="15"/>
      <c r="BF968" s="15"/>
      <c r="BG968" s="15"/>
      <c r="BH968" s="15"/>
      <c r="BI968" s="15"/>
      <c r="BJ968" s="15"/>
      <c r="BK968" s="15"/>
    </row>
    <row r="969" spans="54:63" ht="15" customHeight="1" x14ac:dyDescent="0.3">
      <c r="BB969" s="15"/>
      <c r="BC969" s="15"/>
      <c r="BD969" s="15"/>
      <c r="BE969" s="15"/>
      <c r="BF969" s="15"/>
      <c r="BG969" s="15"/>
      <c r="BH969" s="15"/>
      <c r="BI969" s="15"/>
      <c r="BJ969" s="15"/>
      <c r="BK969" s="15"/>
    </row>
    <row r="970" spans="54:63" ht="15" customHeight="1" x14ac:dyDescent="0.3">
      <c r="BB970" s="15"/>
      <c r="BC970" s="15"/>
      <c r="BD970" s="15"/>
      <c r="BE970" s="15"/>
      <c r="BF970" s="15"/>
      <c r="BG970" s="15"/>
      <c r="BH970" s="15"/>
      <c r="BI970" s="15"/>
      <c r="BJ970" s="15"/>
      <c r="BK970" s="15"/>
    </row>
    <row r="971" spans="54:63" ht="15" customHeight="1" x14ac:dyDescent="0.3">
      <c r="BB971" s="15"/>
      <c r="BC971" s="15"/>
      <c r="BD971" s="15"/>
      <c r="BE971" s="15"/>
      <c r="BF971" s="15"/>
      <c r="BG971" s="15"/>
      <c r="BH971" s="15"/>
      <c r="BI971" s="15"/>
      <c r="BJ971" s="15"/>
      <c r="BK971" s="15"/>
    </row>
    <row r="972" spans="54:63" ht="15" customHeight="1" x14ac:dyDescent="0.3">
      <c r="BB972" s="15"/>
      <c r="BC972" s="15"/>
      <c r="BD972" s="15"/>
      <c r="BE972" s="15"/>
      <c r="BF972" s="15"/>
      <c r="BG972" s="15"/>
      <c r="BH972" s="15"/>
      <c r="BI972" s="15"/>
      <c r="BJ972" s="15"/>
      <c r="BK972" s="15"/>
    </row>
    <row r="973" spans="54:63" ht="15" customHeight="1" x14ac:dyDescent="0.3">
      <c r="BB973" s="15"/>
      <c r="BC973" s="15"/>
      <c r="BD973" s="15"/>
      <c r="BE973" s="15"/>
      <c r="BF973" s="15"/>
      <c r="BG973" s="15"/>
      <c r="BH973" s="15"/>
      <c r="BI973" s="15"/>
      <c r="BJ973" s="15"/>
      <c r="BK973" s="15"/>
    </row>
    <row r="974" spans="54:63" ht="15" customHeight="1" x14ac:dyDescent="0.3">
      <c r="BB974" s="15"/>
      <c r="BC974" s="15"/>
      <c r="BD974" s="15"/>
      <c r="BE974" s="15"/>
      <c r="BF974" s="15"/>
      <c r="BG974" s="15"/>
      <c r="BH974" s="15"/>
      <c r="BI974" s="15"/>
      <c r="BJ974" s="15"/>
      <c r="BK974" s="15"/>
    </row>
    <row r="975" spans="54:63" ht="15" customHeight="1" x14ac:dyDescent="0.3">
      <c r="BB975" s="15"/>
      <c r="BC975" s="15"/>
      <c r="BD975" s="15"/>
      <c r="BE975" s="15"/>
      <c r="BF975" s="15"/>
      <c r="BG975" s="15"/>
      <c r="BH975" s="15"/>
      <c r="BI975" s="15"/>
      <c r="BJ975" s="15"/>
      <c r="BK975" s="15"/>
    </row>
    <row r="976" spans="54:63" ht="15" customHeight="1" x14ac:dyDescent="0.3">
      <c r="BB976" s="15"/>
      <c r="BC976" s="15"/>
      <c r="BD976" s="15"/>
      <c r="BE976" s="15"/>
      <c r="BF976" s="15"/>
      <c r="BG976" s="15"/>
      <c r="BH976" s="15"/>
      <c r="BI976" s="15"/>
      <c r="BJ976" s="15"/>
      <c r="BK976" s="15"/>
    </row>
    <row r="977" spans="54:63" ht="15" customHeight="1" x14ac:dyDescent="0.3">
      <c r="BB977" s="15"/>
      <c r="BC977" s="15"/>
      <c r="BD977" s="15"/>
      <c r="BE977" s="15"/>
      <c r="BF977" s="15"/>
      <c r="BG977" s="15"/>
      <c r="BH977" s="15"/>
      <c r="BI977" s="15"/>
      <c r="BJ977" s="15"/>
      <c r="BK977" s="15"/>
    </row>
    <row r="978" spans="54:63" ht="15" customHeight="1" x14ac:dyDescent="0.3">
      <c r="BB978" s="15"/>
      <c r="BC978" s="15"/>
      <c r="BD978" s="15"/>
      <c r="BE978" s="15"/>
      <c r="BF978" s="15"/>
      <c r="BG978" s="15"/>
      <c r="BH978" s="15"/>
      <c r="BI978" s="15"/>
      <c r="BJ978" s="15"/>
      <c r="BK978" s="15"/>
    </row>
    <row r="979" spans="54:63" ht="15" customHeight="1" x14ac:dyDescent="0.3">
      <c r="BB979" s="15"/>
      <c r="BC979" s="15"/>
      <c r="BD979" s="15"/>
      <c r="BE979" s="15"/>
      <c r="BF979" s="15"/>
      <c r="BG979" s="15"/>
      <c r="BH979" s="15"/>
      <c r="BI979" s="15"/>
      <c r="BJ979" s="15"/>
      <c r="BK979" s="15"/>
    </row>
    <row r="980" spans="54:63" ht="15" customHeight="1" x14ac:dyDescent="0.3">
      <c r="BB980" s="15"/>
      <c r="BC980" s="15"/>
      <c r="BD980" s="15"/>
      <c r="BE980" s="15"/>
      <c r="BF980" s="15"/>
      <c r="BG980" s="15"/>
      <c r="BH980" s="15"/>
      <c r="BI980" s="15"/>
      <c r="BJ980" s="15"/>
      <c r="BK980" s="15"/>
    </row>
    <row r="981" spans="54:63" ht="15" customHeight="1" x14ac:dyDescent="0.3">
      <c r="BB981" s="15"/>
      <c r="BC981" s="15"/>
      <c r="BD981" s="15"/>
      <c r="BE981" s="15"/>
      <c r="BF981" s="15"/>
      <c r="BG981" s="15"/>
      <c r="BH981" s="15"/>
      <c r="BI981" s="15"/>
      <c r="BJ981" s="15"/>
      <c r="BK981" s="15"/>
    </row>
    <row r="982" spans="54:63" ht="15" customHeight="1" x14ac:dyDescent="0.3">
      <c r="BB982" s="15"/>
      <c r="BC982" s="15"/>
      <c r="BD982" s="15"/>
      <c r="BE982" s="15"/>
      <c r="BF982" s="15"/>
      <c r="BG982" s="15"/>
      <c r="BH982" s="15"/>
      <c r="BI982" s="15"/>
      <c r="BJ982" s="15"/>
      <c r="BK982" s="15"/>
    </row>
    <row r="983" spans="54:63" ht="15" customHeight="1" x14ac:dyDescent="0.3">
      <c r="BB983" s="15"/>
      <c r="BC983" s="15"/>
      <c r="BD983" s="15"/>
      <c r="BE983" s="15"/>
      <c r="BF983" s="15"/>
      <c r="BG983" s="15"/>
      <c r="BH983" s="15"/>
      <c r="BI983" s="15"/>
      <c r="BJ983" s="15"/>
      <c r="BK983" s="15"/>
    </row>
    <row r="984" spans="54:63" ht="15" customHeight="1" x14ac:dyDescent="0.3">
      <c r="BB984" s="15"/>
      <c r="BC984" s="15"/>
      <c r="BD984" s="15"/>
      <c r="BE984" s="15"/>
      <c r="BF984" s="15"/>
      <c r="BG984" s="15"/>
      <c r="BH984" s="15"/>
      <c r="BI984" s="15"/>
      <c r="BJ984" s="15"/>
      <c r="BK984" s="15"/>
    </row>
    <row r="985" spans="54:63" ht="15" customHeight="1" x14ac:dyDescent="0.3">
      <c r="BB985" s="15"/>
      <c r="BC985" s="15"/>
      <c r="BD985" s="15"/>
      <c r="BE985" s="15"/>
      <c r="BF985" s="15"/>
      <c r="BG985" s="15"/>
      <c r="BH985" s="15"/>
      <c r="BI985" s="15"/>
      <c r="BJ985" s="15"/>
      <c r="BK985" s="15"/>
    </row>
    <row r="986" spans="54:63" ht="15" customHeight="1" x14ac:dyDescent="0.3">
      <c r="BB986" s="15"/>
      <c r="BC986" s="15"/>
      <c r="BD986" s="15"/>
      <c r="BE986" s="15"/>
      <c r="BF986" s="15"/>
      <c r="BG986" s="15"/>
      <c r="BH986" s="15"/>
      <c r="BI986" s="15"/>
      <c r="BJ986" s="15"/>
      <c r="BK986" s="15"/>
    </row>
    <row r="987" spans="54:63" ht="15" customHeight="1" x14ac:dyDescent="0.3">
      <c r="BB987" s="15"/>
      <c r="BC987" s="15"/>
      <c r="BD987" s="15"/>
      <c r="BE987" s="15"/>
      <c r="BF987" s="15"/>
      <c r="BG987" s="15"/>
      <c r="BH987" s="15"/>
      <c r="BI987" s="15"/>
      <c r="BJ987" s="15"/>
      <c r="BK987" s="15"/>
    </row>
    <row r="988" spans="54:63" ht="15" customHeight="1" x14ac:dyDescent="0.3">
      <c r="BB988" s="15"/>
      <c r="BC988" s="15"/>
      <c r="BD988" s="15"/>
      <c r="BE988" s="15"/>
      <c r="BF988" s="15"/>
      <c r="BG988" s="15"/>
      <c r="BH988" s="15"/>
      <c r="BI988" s="15"/>
      <c r="BJ988" s="15"/>
      <c r="BK988" s="15"/>
    </row>
    <row r="989" spans="54:63" ht="15" customHeight="1" x14ac:dyDescent="0.3">
      <c r="BB989" s="15"/>
      <c r="BC989" s="15"/>
      <c r="BD989" s="15"/>
      <c r="BE989" s="15"/>
      <c r="BF989" s="15"/>
      <c r="BG989" s="15"/>
      <c r="BH989" s="15"/>
      <c r="BI989" s="15"/>
      <c r="BJ989" s="15"/>
      <c r="BK989" s="15"/>
    </row>
    <row r="990" spans="54:63" ht="15" customHeight="1" x14ac:dyDescent="0.3">
      <c r="BB990" s="15"/>
      <c r="BC990" s="15"/>
      <c r="BD990" s="15"/>
      <c r="BE990" s="15"/>
      <c r="BF990" s="15"/>
      <c r="BG990" s="15"/>
      <c r="BH990" s="15"/>
      <c r="BI990" s="15"/>
      <c r="BJ990" s="15"/>
      <c r="BK990" s="15"/>
    </row>
    <row r="991" spans="54:63" ht="15" customHeight="1" x14ac:dyDescent="0.3">
      <c r="BB991" s="15"/>
      <c r="BC991" s="15"/>
      <c r="BD991" s="15"/>
      <c r="BE991" s="15"/>
      <c r="BF991" s="15"/>
      <c r="BG991" s="15"/>
      <c r="BH991" s="15"/>
      <c r="BI991" s="15"/>
      <c r="BJ991" s="15"/>
      <c r="BK991" s="15"/>
    </row>
    <row r="992" spans="54:63" ht="15" customHeight="1" x14ac:dyDescent="0.3">
      <c r="BB992" s="15"/>
      <c r="BC992" s="15"/>
      <c r="BD992" s="15"/>
      <c r="BE992" s="15"/>
      <c r="BF992" s="15"/>
      <c r="BG992" s="15"/>
      <c r="BH992" s="15"/>
      <c r="BI992" s="15"/>
      <c r="BJ992" s="15"/>
      <c r="BK992" s="15"/>
    </row>
    <row r="993" spans="54:63" ht="15" customHeight="1" x14ac:dyDescent="0.3">
      <c r="BB993" s="15"/>
      <c r="BC993" s="15"/>
      <c r="BD993" s="15"/>
      <c r="BE993" s="15"/>
      <c r="BF993" s="15"/>
      <c r="BG993" s="15"/>
      <c r="BH993" s="15"/>
      <c r="BI993" s="15"/>
      <c r="BJ993" s="15"/>
      <c r="BK993" s="15"/>
    </row>
    <row r="994" spans="54:63" ht="15" customHeight="1" x14ac:dyDescent="0.3">
      <c r="BB994" s="15"/>
      <c r="BC994" s="15"/>
      <c r="BD994" s="15"/>
      <c r="BE994" s="15"/>
      <c r="BF994" s="15"/>
      <c r="BG994" s="15"/>
      <c r="BH994" s="15"/>
      <c r="BI994" s="15"/>
      <c r="BJ994" s="15"/>
      <c r="BK994" s="15"/>
    </row>
    <row r="995" spans="54:63" ht="15" customHeight="1" x14ac:dyDescent="0.3">
      <c r="BB995" s="15"/>
      <c r="BC995" s="15"/>
      <c r="BD995" s="15"/>
      <c r="BE995" s="15"/>
      <c r="BF995" s="15"/>
      <c r="BG995" s="15"/>
      <c r="BH995" s="15"/>
      <c r="BI995" s="15"/>
      <c r="BJ995" s="15"/>
      <c r="BK995" s="15"/>
    </row>
    <row r="996" spans="54:63" ht="15" customHeight="1" x14ac:dyDescent="0.3">
      <c r="BB996" s="15"/>
      <c r="BC996" s="15"/>
      <c r="BD996" s="15"/>
      <c r="BE996" s="15"/>
      <c r="BF996" s="15"/>
      <c r="BG996" s="15"/>
      <c r="BH996" s="15"/>
      <c r="BI996" s="15"/>
      <c r="BJ996" s="15"/>
      <c r="BK996" s="15"/>
    </row>
    <row r="997" spans="54:63" ht="15" customHeight="1" x14ac:dyDescent="0.3">
      <c r="BB997" s="15"/>
      <c r="BC997" s="15"/>
      <c r="BD997" s="15"/>
      <c r="BE997" s="15"/>
      <c r="BF997" s="15"/>
      <c r="BG997" s="15"/>
      <c r="BH997" s="15"/>
      <c r="BI997" s="15"/>
      <c r="BJ997" s="15"/>
      <c r="BK997" s="15"/>
    </row>
    <row r="998" spans="54:63" ht="15" customHeight="1" x14ac:dyDescent="0.3">
      <c r="BB998" s="15"/>
      <c r="BC998" s="15"/>
      <c r="BD998" s="15"/>
      <c r="BE998" s="15"/>
      <c r="BF998" s="15"/>
      <c r="BG998" s="15"/>
      <c r="BH998" s="15"/>
      <c r="BI998" s="15"/>
      <c r="BJ998" s="15"/>
      <c r="BK998" s="15"/>
    </row>
    <row r="999" spans="54:63" ht="15" customHeight="1" x14ac:dyDescent="0.3">
      <c r="BB999" s="15"/>
      <c r="BC999" s="15"/>
      <c r="BD999" s="15"/>
      <c r="BE999" s="15"/>
      <c r="BF999" s="15"/>
      <c r="BG999" s="15"/>
      <c r="BH999" s="15"/>
      <c r="BI999" s="15"/>
      <c r="BJ999" s="15"/>
      <c r="BK999" s="15"/>
    </row>
    <row r="1000" spans="54:63" ht="15" customHeight="1" x14ac:dyDescent="0.3">
      <c r="BB1000" s="15"/>
      <c r="BC1000" s="15"/>
      <c r="BD1000" s="15"/>
      <c r="BE1000" s="15"/>
      <c r="BF1000" s="15"/>
      <c r="BG1000" s="15"/>
      <c r="BH1000" s="15"/>
      <c r="BI1000" s="15"/>
      <c r="BJ1000" s="15"/>
      <c r="BK1000" s="15"/>
    </row>
    <row r="1001" spans="54:63" ht="15" customHeight="1" x14ac:dyDescent="0.3">
      <c r="BB1001" s="15"/>
      <c r="BC1001" s="15"/>
      <c r="BD1001" s="15"/>
      <c r="BE1001" s="15"/>
      <c r="BF1001" s="15"/>
      <c r="BG1001" s="15"/>
      <c r="BH1001" s="15"/>
      <c r="BI1001" s="15"/>
      <c r="BJ1001" s="15"/>
      <c r="BK1001" s="15"/>
    </row>
    <row r="1002" spans="54:63" ht="15" customHeight="1" x14ac:dyDescent="0.3">
      <c r="BB1002" s="15"/>
      <c r="BC1002" s="15"/>
      <c r="BD1002" s="15"/>
      <c r="BE1002" s="15"/>
      <c r="BF1002" s="15"/>
      <c r="BG1002" s="15"/>
      <c r="BH1002" s="15"/>
      <c r="BI1002" s="15"/>
      <c r="BJ1002" s="15"/>
      <c r="BK1002" s="15"/>
    </row>
    <row r="1003" spans="54:63" ht="15" customHeight="1" x14ac:dyDescent="0.3">
      <c r="BB1003" s="15"/>
      <c r="BC1003" s="15"/>
      <c r="BD1003" s="15"/>
      <c r="BE1003" s="15"/>
      <c r="BF1003" s="15"/>
      <c r="BG1003" s="15"/>
      <c r="BH1003" s="15"/>
      <c r="BI1003" s="15"/>
      <c r="BJ1003" s="15"/>
      <c r="BK1003" s="15"/>
    </row>
    <row r="1004" spans="54:63" ht="15" customHeight="1" x14ac:dyDescent="0.3">
      <c r="BB1004" s="15"/>
      <c r="BC1004" s="15"/>
      <c r="BD1004" s="15"/>
      <c r="BE1004" s="15"/>
      <c r="BF1004" s="15"/>
      <c r="BG1004" s="15"/>
      <c r="BH1004" s="15"/>
      <c r="BI1004" s="15"/>
      <c r="BJ1004" s="15"/>
      <c r="BK1004" s="15"/>
    </row>
    <row r="1005" spans="54:63" ht="15" customHeight="1" x14ac:dyDescent="0.3">
      <c r="BB1005" s="15"/>
      <c r="BC1005" s="15"/>
      <c r="BD1005" s="15"/>
      <c r="BE1005" s="15"/>
      <c r="BF1005" s="15"/>
      <c r="BG1005" s="15"/>
      <c r="BH1005" s="15"/>
      <c r="BI1005" s="15"/>
      <c r="BJ1005" s="15"/>
      <c r="BK1005" s="15"/>
    </row>
    <row r="1006" spans="54:63" ht="15" customHeight="1" x14ac:dyDescent="0.3">
      <c r="BB1006" s="15"/>
      <c r="BC1006" s="15"/>
      <c r="BD1006" s="15"/>
      <c r="BE1006" s="15"/>
      <c r="BF1006" s="15"/>
      <c r="BG1006" s="15"/>
      <c r="BH1006" s="15"/>
      <c r="BI1006" s="15"/>
      <c r="BJ1006" s="15"/>
      <c r="BK1006" s="15"/>
    </row>
    <row r="1007" spans="54:63" ht="15" customHeight="1" x14ac:dyDescent="0.3">
      <c r="BB1007" s="15"/>
      <c r="BC1007" s="15"/>
      <c r="BD1007" s="15"/>
      <c r="BE1007" s="15"/>
      <c r="BF1007" s="15"/>
      <c r="BG1007" s="15"/>
      <c r="BH1007" s="15"/>
      <c r="BI1007" s="15"/>
      <c r="BJ1007" s="15"/>
      <c r="BK1007" s="15"/>
    </row>
    <row r="1008" spans="54:63" ht="15" customHeight="1" x14ac:dyDescent="0.3">
      <c r="BB1008" s="15"/>
      <c r="BC1008" s="15"/>
      <c r="BD1008" s="15"/>
      <c r="BE1008" s="15"/>
      <c r="BF1008" s="15"/>
      <c r="BG1008" s="15"/>
      <c r="BH1008" s="15"/>
      <c r="BI1008" s="15"/>
      <c r="BJ1008" s="15"/>
      <c r="BK1008" s="15"/>
    </row>
    <row r="1009" spans="54:63" ht="15" customHeight="1" x14ac:dyDescent="0.3">
      <c r="BB1009" s="15"/>
      <c r="BC1009" s="15"/>
      <c r="BD1009" s="15"/>
      <c r="BE1009" s="15"/>
      <c r="BF1009" s="15"/>
      <c r="BG1009" s="15"/>
      <c r="BH1009" s="15"/>
      <c r="BI1009" s="15"/>
      <c r="BJ1009" s="15"/>
      <c r="BK1009" s="15"/>
    </row>
    <row r="1010" spans="54:63" ht="15" customHeight="1" x14ac:dyDescent="0.3">
      <c r="BB1010" s="15"/>
      <c r="BC1010" s="15"/>
      <c r="BD1010" s="15"/>
      <c r="BE1010" s="15"/>
      <c r="BF1010" s="15"/>
      <c r="BG1010" s="15"/>
      <c r="BH1010" s="15"/>
      <c r="BI1010" s="15"/>
      <c r="BJ1010" s="15"/>
      <c r="BK1010" s="15"/>
    </row>
    <row r="1011" spans="54:63" ht="15" customHeight="1" x14ac:dyDescent="0.3">
      <c r="BB1011" s="15"/>
      <c r="BC1011" s="15"/>
      <c r="BD1011" s="15"/>
      <c r="BE1011" s="15"/>
      <c r="BF1011" s="15"/>
      <c r="BG1011" s="15"/>
      <c r="BH1011" s="15"/>
      <c r="BI1011" s="15"/>
      <c r="BJ1011" s="15"/>
      <c r="BK1011" s="15"/>
    </row>
    <row r="1012" spans="54:63" ht="15" customHeight="1" x14ac:dyDescent="0.3">
      <c r="BB1012" s="15"/>
      <c r="BC1012" s="15"/>
      <c r="BD1012" s="15"/>
      <c r="BE1012" s="15"/>
      <c r="BF1012" s="15"/>
      <c r="BG1012" s="15"/>
      <c r="BH1012" s="15"/>
      <c r="BI1012" s="15"/>
      <c r="BJ1012" s="15"/>
      <c r="BK1012" s="15"/>
    </row>
    <row r="1013" spans="54:63" ht="15" customHeight="1" x14ac:dyDescent="0.3"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</row>
    <row r="1014" spans="54:63" ht="15" customHeight="1" x14ac:dyDescent="0.3">
      <c r="BB1014" s="15"/>
      <c r="BC1014" s="15"/>
      <c r="BD1014" s="15"/>
      <c r="BE1014" s="15"/>
      <c r="BF1014" s="15"/>
      <c r="BG1014" s="15"/>
      <c r="BH1014" s="15"/>
      <c r="BI1014" s="15"/>
      <c r="BJ1014" s="15"/>
      <c r="BK1014" s="15"/>
    </row>
    <row r="1015" spans="54:63" ht="15" customHeight="1" x14ac:dyDescent="0.3">
      <c r="BB1015" s="15"/>
      <c r="BC1015" s="15"/>
      <c r="BD1015" s="15"/>
      <c r="BE1015" s="15"/>
      <c r="BF1015" s="15"/>
      <c r="BG1015" s="15"/>
      <c r="BH1015" s="15"/>
      <c r="BI1015" s="15"/>
      <c r="BJ1015" s="15"/>
      <c r="BK1015" s="15"/>
    </row>
    <row r="1016" spans="54:63" ht="15" customHeight="1" x14ac:dyDescent="0.3">
      <c r="BB1016" s="15"/>
      <c r="BC1016" s="15"/>
      <c r="BD1016" s="15"/>
      <c r="BE1016" s="15"/>
      <c r="BF1016" s="15"/>
      <c r="BG1016" s="15"/>
      <c r="BH1016" s="15"/>
      <c r="BI1016" s="15"/>
      <c r="BJ1016" s="15"/>
      <c r="BK1016" s="15"/>
    </row>
    <row r="1017" spans="54:63" ht="15" customHeight="1" x14ac:dyDescent="0.3">
      <c r="BB1017" s="15"/>
      <c r="BC1017" s="15"/>
      <c r="BD1017" s="15"/>
      <c r="BE1017" s="15"/>
      <c r="BF1017" s="15"/>
      <c r="BG1017" s="15"/>
      <c r="BH1017" s="15"/>
      <c r="BI1017" s="15"/>
      <c r="BJ1017" s="15"/>
      <c r="BK1017" s="15"/>
    </row>
    <row r="1018" spans="54:63" ht="15" customHeight="1" x14ac:dyDescent="0.3">
      <c r="BB1018" s="15"/>
      <c r="BC1018" s="15"/>
      <c r="BD1018" s="15"/>
      <c r="BE1018" s="15"/>
      <c r="BF1018" s="15"/>
      <c r="BG1018" s="15"/>
      <c r="BH1018" s="15"/>
      <c r="BI1018" s="15"/>
      <c r="BJ1018" s="15"/>
      <c r="BK1018" s="15"/>
    </row>
    <row r="1019" spans="54:63" ht="15" customHeight="1" x14ac:dyDescent="0.3">
      <c r="BB1019" s="15"/>
      <c r="BC1019" s="15"/>
      <c r="BD1019" s="15"/>
      <c r="BE1019" s="15"/>
      <c r="BF1019" s="15"/>
      <c r="BG1019" s="15"/>
      <c r="BH1019" s="15"/>
      <c r="BI1019" s="15"/>
      <c r="BJ1019" s="15"/>
      <c r="BK1019" s="15"/>
    </row>
    <row r="1020" spans="54:63" ht="15" customHeight="1" x14ac:dyDescent="0.3">
      <c r="BB1020" s="15"/>
      <c r="BC1020" s="15"/>
      <c r="BD1020" s="15"/>
      <c r="BE1020" s="15"/>
      <c r="BF1020" s="15"/>
      <c r="BG1020" s="15"/>
      <c r="BH1020" s="15"/>
      <c r="BI1020" s="15"/>
      <c r="BJ1020" s="15"/>
      <c r="BK1020" s="15"/>
    </row>
    <row r="1021" spans="54:63" ht="15" customHeight="1" x14ac:dyDescent="0.3">
      <c r="BB1021" s="15"/>
      <c r="BC1021" s="15"/>
      <c r="BD1021" s="15"/>
      <c r="BE1021" s="15"/>
      <c r="BF1021" s="15"/>
      <c r="BG1021" s="15"/>
      <c r="BH1021" s="15"/>
      <c r="BI1021" s="15"/>
      <c r="BJ1021" s="15"/>
      <c r="BK1021" s="15"/>
    </row>
    <row r="1022" spans="54:63" ht="15" customHeight="1" x14ac:dyDescent="0.3">
      <c r="BB1022" s="15"/>
      <c r="BC1022" s="15"/>
      <c r="BD1022" s="15"/>
      <c r="BE1022" s="15"/>
      <c r="BF1022" s="15"/>
      <c r="BG1022" s="15"/>
      <c r="BH1022" s="15"/>
      <c r="BI1022" s="15"/>
      <c r="BJ1022" s="15"/>
      <c r="BK1022" s="15"/>
    </row>
    <row r="1023" spans="54:63" ht="15" customHeight="1" x14ac:dyDescent="0.3">
      <c r="BB1023" s="15"/>
      <c r="BC1023" s="15"/>
      <c r="BD1023" s="15"/>
      <c r="BE1023" s="15"/>
      <c r="BF1023" s="15"/>
      <c r="BG1023" s="15"/>
      <c r="BH1023" s="15"/>
      <c r="BI1023" s="15"/>
      <c r="BJ1023" s="15"/>
      <c r="BK1023" s="15"/>
    </row>
    <row r="1024" spans="54:63" ht="15" customHeight="1" x14ac:dyDescent="0.3">
      <c r="BB1024" s="15"/>
      <c r="BC1024" s="15"/>
      <c r="BD1024" s="15"/>
      <c r="BE1024" s="15"/>
      <c r="BF1024" s="15"/>
      <c r="BG1024" s="15"/>
      <c r="BH1024" s="15"/>
      <c r="BI1024" s="15"/>
      <c r="BJ1024" s="15"/>
      <c r="BK1024" s="15"/>
    </row>
    <row r="1025" spans="54:63" ht="15" customHeight="1" x14ac:dyDescent="0.3">
      <c r="BB1025" s="15"/>
      <c r="BC1025" s="15"/>
      <c r="BD1025" s="15"/>
      <c r="BE1025" s="15"/>
      <c r="BF1025" s="15"/>
      <c r="BG1025" s="15"/>
      <c r="BH1025" s="15"/>
      <c r="BI1025" s="15"/>
      <c r="BJ1025" s="15"/>
      <c r="BK1025" s="15"/>
    </row>
    <row r="1026" spans="54:63" ht="15" customHeight="1" x14ac:dyDescent="0.3">
      <c r="BB1026" s="15"/>
      <c r="BC1026" s="15"/>
      <c r="BD1026" s="15"/>
      <c r="BE1026" s="15"/>
      <c r="BF1026" s="15"/>
      <c r="BG1026" s="15"/>
      <c r="BH1026" s="15"/>
      <c r="BI1026" s="15"/>
      <c r="BJ1026" s="15"/>
      <c r="BK1026" s="15"/>
    </row>
    <row r="1027" spans="54:63" ht="15" customHeight="1" x14ac:dyDescent="0.3">
      <c r="BB1027" s="15"/>
      <c r="BC1027" s="15"/>
      <c r="BD1027" s="15"/>
      <c r="BE1027" s="15"/>
      <c r="BF1027" s="15"/>
      <c r="BG1027" s="15"/>
      <c r="BH1027" s="15"/>
      <c r="BI1027" s="15"/>
      <c r="BJ1027" s="15"/>
      <c r="BK1027" s="15"/>
    </row>
    <row r="1028" spans="54:63" ht="15" customHeight="1" x14ac:dyDescent="0.3">
      <c r="BB1028" s="15"/>
      <c r="BC1028" s="15"/>
      <c r="BD1028" s="15"/>
      <c r="BE1028" s="15"/>
      <c r="BF1028" s="15"/>
      <c r="BG1028" s="15"/>
      <c r="BH1028" s="15"/>
      <c r="BI1028" s="15"/>
      <c r="BJ1028" s="15"/>
      <c r="BK1028" s="15"/>
    </row>
    <row r="1029" spans="54:63" ht="15" customHeight="1" x14ac:dyDescent="0.3">
      <c r="BB1029" s="15"/>
      <c r="BC1029" s="15"/>
      <c r="BD1029" s="15"/>
      <c r="BE1029" s="15"/>
      <c r="BF1029" s="15"/>
      <c r="BG1029" s="15"/>
      <c r="BH1029" s="15"/>
      <c r="BI1029" s="15"/>
      <c r="BJ1029" s="15"/>
      <c r="BK1029" s="15"/>
    </row>
    <row r="1030" spans="54:63" ht="15" customHeight="1" x14ac:dyDescent="0.3">
      <c r="BB1030" s="15"/>
      <c r="BC1030" s="15"/>
      <c r="BD1030" s="15"/>
      <c r="BE1030" s="15"/>
      <c r="BF1030" s="15"/>
      <c r="BG1030" s="15"/>
      <c r="BH1030" s="15"/>
      <c r="BI1030" s="15"/>
      <c r="BJ1030" s="15"/>
      <c r="BK1030" s="15"/>
    </row>
    <row r="1031" spans="54:63" ht="15" customHeight="1" x14ac:dyDescent="0.3">
      <c r="BB1031" s="15"/>
      <c r="BC1031" s="15"/>
      <c r="BD1031" s="15"/>
      <c r="BE1031" s="15"/>
      <c r="BF1031" s="15"/>
      <c r="BG1031" s="15"/>
      <c r="BH1031" s="15"/>
      <c r="BI1031" s="15"/>
      <c r="BJ1031" s="15"/>
      <c r="BK1031" s="15"/>
    </row>
    <row r="1032" spans="54:63" ht="15" customHeight="1" x14ac:dyDescent="0.3">
      <c r="BB1032" s="15"/>
      <c r="BC1032" s="15"/>
      <c r="BD1032" s="15"/>
      <c r="BE1032" s="15"/>
      <c r="BF1032" s="15"/>
      <c r="BG1032" s="15"/>
      <c r="BH1032" s="15"/>
      <c r="BI1032" s="15"/>
      <c r="BJ1032" s="15"/>
      <c r="BK1032" s="15"/>
    </row>
    <row r="1033" spans="54:63" ht="15" customHeight="1" x14ac:dyDescent="0.3">
      <c r="BB1033" s="15"/>
      <c r="BC1033" s="15"/>
      <c r="BD1033" s="15"/>
      <c r="BE1033" s="15"/>
      <c r="BF1033" s="15"/>
      <c r="BG1033" s="15"/>
      <c r="BH1033" s="15"/>
      <c r="BI1033" s="15"/>
      <c r="BJ1033" s="15"/>
      <c r="BK1033" s="15"/>
    </row>
    <row r="1034" spans="54:63" ht="15" customHeight="1" x14ac:dyDescent="0.3">
      <c r="BB1034" s="15"/>
      <c r="BC1034" s="15"/>
      <c r="BD1034" s="15"/>
      <c r="BE1034" s="15"/>
      <c r="BF1034" s="15"/>
      <c r="BG1034" s="15"/>
      <c r="BH1034" s="15"/>
      <c r="BI1034" s="15"/>
      <c r="BJ1034" s="15"/>
      <c r="BK1034" s="15"/>
    </row>
    <row r="1035" spans="54:63" ht="15" customHeight="1" x14ac:dyDescent="0.3">
      <c r="BB1035" s="15"/>
      <c r="BC1035" s="15"/>
      <c r="BD1035" s="15"/>
      <c r="BE1035" s="15"/>
      <c r="BF1035" s="15"/>
      <c r="BG1035" s="15"/>
      <c r="BH1035" s="15"/>
      <c r="BI1035" s="15"/>
      <c r="BJ1035" s="15"/>
      <c r="BK1035" s="15"/>
    </row>
    <row r="1036" spans="54:63" ht="15" customHeight="1" x14ac:dyDescent="0.3">
      <c r="BB1036" s="15"/>
      <c r="BC1036" s="15"/>
      <c r="BD1036" s="15"/>
      <c r="BE1036" s="15"/>
      <c r="BF1036" s="15"/>
      <c r="BG1036" s="15"/>
      <c r="BH1036" s="15"/>
      <c r="BI1036" s="15"/>
      <c r="BJ1036" s="15"/>
      <c r="BK1036" s="15"/>
    </row>
    <row r="1037" spans="54:63" ht="15" customHeight="1" x14ac:dyDescent="0.3">
      <c r="BB1037" s="15"/>
      <c r="BC1037" s="15"/>
      <c r="BD1037" s="15"/>
      <c r="BE1037" s="15"/>
      <c r="BF1037" s="15"/>
      <c r="BG1037" s="15"/>
      <c r="BH1037" s="15"/>
      <c r="BI1037" s="15"/>
      <c r="BJ1037" s="15"/>
      <c r="BK1037" s="15"/>
    </row>
    <row r="1038" spans="54:63" ht="15" customHeight="1" x14ac:dyDescent="0.3">
      <c r="BB1038" s="15"/>
      <c r="BC1038" s="15"/>
      <c r="BD1038" s="15"/>
      <c r="BE1038" s="15"/>
      <c r="BF1038" s="15"/>
      <c r="BG1038" s="15"/>
      <c r="BH1038" s="15"/>
      <c r="BI1038" s="15"/>
      <c r="BJ1038" s="15"/>
      <c r="BK1038" s="15"/>
    </row>
    <row r="1039" spans="54:63" ht="15" customHeight="1" x14ac:dyDescent="0.3">
      <c r="BB1039" s="15"/>
      <c r="BC1039" s="15"/>
      <c r="BD1039" s="15"/>
      <c r="BE1039" s="15"/>
      <c r="BF1039" s="15"/>
      <c r="BG1039" s="15"/>
      <c r="BH1039" s="15"/>
      <c r="BI1039" s="15"/>
      <c r="BJ1039" s="15"/>
      <c r="BK1039" s="15"/>
    </row>
    <row r="1040" spans="54:63" ht="15" customHeight="1" x14ac:dyDescent="0.3">
      <c r="BB1040" s="15"/>
      <c r="BC1040" s="15"/>
      <c r="BD1040" s="15"/>
      <c r="BE1040" s="15"/>
      <c r="BF1040" s="15"/>
      <c r="BG1040" s="15"/>
      <c r="BH1040" s="15"/>
      <c r="BI1040" s="15"/>
      <c r="BJ1040" s="15"/>
      <c r="BK1040" s="15"/>
    </row>
    <row r="1041" spans="54:63" ht="15" customHeight="1" x14ac:dyDescent="0.3">
      <c r="BB1041" s="15"/>
      <c r="BC1041" s="15"/>
      <c r="BD1041" s="15"/>
      <c r="BE1041" s="15"/>
      <c r="BF1041" s="15"/>
      <c r="BG1041" s="15"/>
      <c r="BH1041" s="15"/>
      <c r="BI1041" s="15"/>
      <c r="BJ1041" s="15"/>
      <c r="BK1041" s="15"/>
    </row>
    <row r="1042" spans="54:63" ht="15" customHeight="1" x14ac:dyDescent="0.3">
      <c r="BB1042" s="15"/>
      <c r="BC1042" s="15"/>
      <c r="BD1042" s="15"/>
      <c r="BE1042" s="15"/>
      <c r="BF1042" s="15"/>
      <c r="BG1042" s="15"/>
      <c r="BH1042" s="15"/>
      <c r="BI1042" s="15"/>
      <c r="BJ1042" s="15"/>
      <c r="BK1042" s="15"/>
    </row>
    <row r="1043" spans="54:63" ht="15" customHeight="1" x14ac:dyDescent="0.3">
      <c r="BB1043" s="15"/>
      <c r="BC1043" s="15"/>
      <c r="BD1043" s="15"/>
      <c r="BE1043" s="15"/>
      <c r="BF1043" s="15"/>
      <c r="BG1043" s="15"/>
      <c r="BH1043" s="15"/>
      <c r="BI1043" s="15"/>
      <c r="BJ1043" s="15"/>
      <c r="BK1043" s="15"/>
    </row>
    <row r="1044" spans="54:63" ht="15" customHeight="1" x14ac:dyDescent="0.3">
      <c r="BB1044" s="15"/>
      <c r="BC1044" s="15"/>
      <c r="BD1044" s="15"/>
      <c r="BE1044" s="15"/>
      <c r="BF1044" s="15"/>
      <c r="BG1044" s="15"/>
      <c r="BH1044" s="15"/>
      <c r="BI1044" s="15"/>
      <c r="BJ1044" s="15"/>
      <c r="BK1044" s="15"/>
    </row>
    <row r="1045" spans="54:63" ht="15" customHeight="1" x14ac:dyDescent="0.3">
      <c r="BB1045" s="15"/>
      <c r="BC1045" s="15"/>
      <c r="BD1045" s="15"/>
      <c r="BE1045" s="15"/>
      <c r="BF1045" s="15"/>
      <c r="BG1045" s="15"/>
      <c r="BH1045" s="15"/>
      <c r="BI1045" s="15"/>
      <c r="BJ1045" s="15"/>
      <c r="BK1045" s="15"/>
    </row>
    <row r="1046" spans="54:63" ht="15" customHeight="1" x14ac:dyDescent="0.3">
      <c r="BB1046" s="15"/>
      <c r="BC1046" s="15"/>
      <c r="BD1046" s="15"/>
      <c r="BE1046" s="15"/>
      <c r="BF1046" s="15"/>
      <c r="BG1046" s="15"/>
      <c r="BH1046" s="15"/>
      <c r="BI1046" s="15"/>
      <c r="BJ1046" s="15"/>
      <c r="BK1046" s="15"/>
    </row>
    <row r="1047" spans="54:63" ht="15" customHeight="1" x14ac:dyDescent="0.3">
      <c r="BB1047" s="15"/>
      <c r="BC1047" s="15"/>
      <c r="BD1047" s="15"/>
      <c r="BE1047" s="15"/>
      <c r="BF1047" s="15"/>
      <c r="BG1047" s="15"/>
      <c r="BH1047" s="15"/>
      <c r="BI1047" s="15"/>
      <c r="BJ1047" s="15"/>
      <c r="BK1047" s="15"/>
    </row>
    <row r="1048" spans="54:63" ht="15" customHeight="1" x14ac:dyDescent="0.3">
      <c r="BB1048" s="15"/>
      <c r="BC1048" s="15"/>
      <c r="BD1048" s="15"/>
      <c r="BE1048" s="15"/>
      <c r="BF1048" s="15"/>
      <c r="BG1048" s="15"/>
      <c r="BH1048" s="15"/>
      <c r="BI1048" s="15"/>
      <c r="BJ1048" s="15"/>
      <c r="BK1048" s="15"/>
    </row>
    <row r="1049" spans="54:63" ht="15" customHeight="1" x14ac:dyDescent="0.3">
      <c r="BB1049" s="15"/>
      <c r="BC1049" s="15"/>
      <c r="BD1049" s="15"/>
      <c r="BE1049" s="15"/>
      <c r="BF1049" s="15"/>
      <c r="BG1049" s="15"/>
      <c r="BH1049" s="15"/>
      <c r="BI1049" s="15"/>
      <c r="BJ1049" s="15"/>
      <c r="BK1049" s="15"/>
    </row>
    <row r="1050" spans="54:63" ht="15" customHeight="1" x14ac:dyDescent="0.3">
      <c r="BB1050" s="15"/>
      <c r="BC1050" s="15"/>
      <c r="BD1050" s="15"/>
      <c r="BE1050" s="15"/>
      <c r="BF1050" s="15"/>
      <c r="BG1050" s="15"/>
      <c r="BH1050" s="15"/>
      <c r="BI1050" s="15"/>
      <c r="BJ1050" s="15"/>
      <c r="BK1050" s="15"/>
    </row>
    <row r="1051" spans="54:63" ht="15" customHeight="1" x14ac:dyDescent="0.3">
      <c r="BB1051" s="15"/>
      <c r="BC1051" s="15"/>
      <c r="BD1051" s="15"/>
      <c r="BE1051" s="15"/>
      <c r="BF1051" s="15"/>
      <c r="BG1051" s="15"/>
      <c r="BH1051" s="15"/>
      <c r="BI1051" s="15"/>
      <c r="BJ1051" s="15"/>
      <c r="BK1051" s="15"/>
    </row>
    <row r="1052" spans="54:63" ht="15" customHeight="1" x14ac:dyDescent="0.3">
      <c r="BB1052" s="15"/>
      <c r="BC1052" s="15"/>
      <c r="BD1052" s="15"/>
      <c r="BE1052" s="15"/>
      <c r="BF1052" s="15"/>
      <c r="BG1052" s="15"/>
      <c r="BH1052" s="15"/>
      <c r="BI1052" s="15"/>
      <c r="BJ1052" s="15"/>
      <c r="BK1052" s="15"/>
    </row>
    <row r="1053" spans="54:63" ht="15" customHeight="1" x14ac:dyDescent="0.3">
      <c r="BB1053" s="15"/>
      <c r="BC1053" s="15"/>
      <c r="BD1053" s="15"/>
      <c r="BE1053" s="15"/>
      <c r="BF1053" s="15"/>
      <c r="BG1053" s="15"/>
      <c r="BH1053" s="15"/>
      <c r="BI1053" s="15"/>
      <c r="BJ1053" s="15"/>
      <c r="BK1053" s="15"/>
    </row>
    <row r="1054" spans="54:63" ht="15" customHeight="1" x14ac:dyDescent="0.3">
      <c r="BB1054" s="15"/>
      <c r="BC1054" s="15"/>
      <c r="BD1054" s="15"/>
      <c r="BE1054" s="15"/>
      <c r="BF1054" s="15"/>
      <c r="BG1054" s="15"/>
      <c r="BH1054" s="15"/>
      <c r="BI1054" s="15"/>
      <c r="BJ1054" s="15"/>
      <c r="BK1054" s="15"/>
    </row>
    <row r="1055" spans="54:63" ht="15" customHeight="1" x14ac:dyDescent="0.3">
      <c r="BB1055" s="15"/>
      <c r="BC1055" s="15"/>
      <c r="BD1055" s="15"/>
      <c r="BE1055" s="15"/>
      <c r="BF1055" s="15"/>
      <c r="BG1055" s="15"/>
      <c r="BH1055" s="15"/>
      <c r="BI1055" s="15"/>
      <c r="BJ1055" s="15"/>
      <c r="BK1055" s="15"/>
    </row>
    <row r="1056" spans="54:63" ht="15" customHeight="1" x14ac:dyDescent="0.3">
      <c r="BB1056" s="15"/>
      <c r="BC1056" s="15"/>
      <c r="BD1056" s="15"/>
      <c r="BE1056" s="15"/>
      <c r="BF1056" s="15"/>
      <c r="BG1056" s="15"/>
      <c r="BH1056" s="15"/>
      <c r="BI1056" s="15"/>
      <c r="BJ1056" s="15"/>
      <c r="BK1056" s="15"/>
    </row>
    <row r="1057" spans="54:63" ht="15" customHeight="1" x14ac:dyDescent="0.3">
      <c r="BB1057" s="15"/>
      <c r="BC1057" s="15"/>
      <c r="BD1057" s="15"/>
      <c r="BE1057" s="15"/>
      <c r="BF1057" s="15"/>
      <c r="BG1057" s="15"/>
      <c r="BH1057" s="15"/>
      <c r="BI1057" s="15"/>
      <c r="BJ1057" s="15"/>
      <c r="BK1057" s="15"/>
    </row>
    <row r="1058" spans="54:63" ht="15" customHeight="1" x14ac:dyDescent="0.3">
      <c r="BB1058" s="15"/>
      <c r="BC1058" s="15"/>
      <c r="BD1058" s="15"/>
      <c r="BE1058" s="15"/>
      <c r="BF1058" s="15"/>
      <c r="BG1058" s="15"/>
      <c r="BH1058" s="15"/>
      <c r="BI1058" s="15"/>
      <c r="BJ1058" s="15"/>
      <c r="BK1058" s="15"/>
    </row>
    <row r="1059" spans="54:63" ht="15" customHeight="1" x14ac:dyDescent="0.3">
      <c r="BB1059" s="15"/>
      <c r="BC1059" s="15"/>
      <c r="BD1059" s="15"/>
      <c r="BE1059" s="15"/>
      <c r="BF1059" s="15"/>
      <c r="BG1059" s="15"/>
      <c r="BH1059" s="15"/>
      <c r="BI1059" s="15"/>
      <c r="BJ1059" s="15"/>
      <c r="BK1059" s="15"/>
    </row>
    <row r="1060" spans="54:63" ht="15" customHeight="1" x14ac:dyDescent="0.3">
      <c r="BB1060" s="15"/>
      <c r="BC1060" s="15"/>
      <c r="BD1060" s="15"/>
      <c r="BE1060" s="15"/>
      <c r="BF1060" s="15"/>
      <c r="BG1060" s="15"/>
      <c r="BH1060" s="15"/>
      <c r="BI1060" s="15"/>
      <c r="BJ1060" s="15"/>
      <c r="BK1060" s="15"/>
    </row>
    <row r="1061" spans="54:63" ht="15" customHeight="1" x14ac:dyDescent="0.3">
      <c r="BB1061" s="15"/>
      <c r="BC1061" s="15"/>
      <c r="BD1061" s="15"/>
      <c r="BE1061" s="15"/>
      <c r="BF1061" s="15"/>
      <c r="BG1061" s="15"/>
      <c r="BH1061" s="15"/>
      <c r="BI1061" s="15"/>
      <c r="BJ1061" s="15"/>
      <c r="BK1061" s="15"/>
    </row>
    <row r="1062" spans="54:63" ht="15" customHeight="1" x14ac:dyDescent="0.3">
      <c r="BB1062" s="15"/>
      <c r="BC1062" s="15"/>
      <c r="BD1062" s="15"/>
      <c r="BE1062" s="15"/>
      <c r="BF1062" s="15"/>
      <c r="BG1062" s="15"/>
      <c r="BH1062" s="15"/>
      <c r="BI1062" s="15"/>
      <c r="BJ1062" s="15"/>
      <c r="BK1062" s="15"/>
    </row>
    <row r="1063" spans="54:63" ht="15" customHeight="1" x14ac:dyDescent="0.3">
      <c r="BB1063" s="15"/>
      <c r="BC1063" s="15"/>
      <c r="BD1063" s="15"/>
      <c r="BE1063" s="15"/>
      <c r="BF1063" s="15"/>
      <c r="BG1063" s="15"/>
      <c r="BH1063" s="15"/>
      <c r="BI1063" s="15"/>
      <c r="BJ1063" s="15"/>
      <c r="BK1063" s="15"/>
    </row>
    <row r="1064" spans="54:63" ht="15" customHeight="1" x14ac:dyDescent="0.3">
      <c r="BB1064" s="15"/>
      <c r="BC1064" s="15"/>
      <c r="BD1064" s="15"/>
      <c r="BE1064" s="15"/>
      <c r="BF1064" s="15"/>
      <c r="BG1064" s="15"/>
      <c r="BH1064" s="15"/>
      <c r="BI1064" s="15"/>
      <c r="BJ1064" s="15"/>
      <c r="BK1064" s="15"/>
    </row>
    <row r="1065" spans="54:63" ht="15" customHeight="1" x14ac:dyDescent="0.3">
      <c r="BB1065" s="15"/>
      <c r="BC1065" s="15"/>
      <c r="BD1065" s="15"/>
      <c r="BE1065" s="15"/>
      <c r="BF1065" s="15"/>
      <c r="BG1065" s="15"/>
      <c r="BH1065" s="15"/>
      <c r="BI1065" s="15"/>
      <c r="BJ1065" s="15"/>
      <c r="BK1065" s="15"/>
    </row>
    <row r="1066" spans="54:63" ht="15" customHeight="1" x14ac:dyDescent="0.3">
      <c r="BB1066" s="15"/>
      <c r="BC1066" s="15"/>
      <c r="BD1066" s="15"/>
      <c r="BE1066" s="15"/>
      <c r="BF1066" s="15"/>
      <c r="BG1066" s="15"/>
      <c r="BH1066" s="15"/>
      <c r="BI1066" s="15"/>
      <c r="BJ1066" s="15"/>
      <c r="BK1066" s="15"/>
    </row>
    <row r="1067" spans="54:63" ht="15" customHeight="1" x14ac:dyDescent="0.3">
      <c r="BB1067" s="15"/>
      <c r="BC1067" s="15"/>
      <c r="BD1067" s="15"/>
      <c r="BE1067" s="15"/>
      <c r="BF1067" s="15"/>
      <c r="BG1067" s="15"/>
      <c r="BH1067" s="15"/>
      <c r="BI1067" s="15"/>
      <c r="BJ1067" s="15"/>
      <c r="BK1067" s="15"/>
    </row>
    <row r="1068" spans="54:63" ht="15" customHeight="1" x14ac:dyDescent="0.3">
      <c r="BB1068" s="15"/>
      <c r="BC1068" s="15"/>
      <c r="BD1068" s="15"/>
      <c r="BE1068" s="15"/>
      <c r="BF1068" s="15"/>
      <c r="BG1068" s="15"/>
      <c r="BH1068" s="15"/>
      <c r="BI1068" s="15"/>
      <c r="BJ1068" s="15"/>
      <c r="BK1068" s="15"/>
    </row>
    <row r="1069" spans="54:63" ht="15" customHeight="1" x14ac:dyDescent="0.3">
      <c r="BB1069" s="15"/>
      <c r="BC1069" s="15"/>
      <c r="BD1069" s="15"/>
      <c r="BE1069" s="15"/>
      <c r="BF1069" s="15"/>
      <c r="BG1069" s="15"/>
      <c r="BH1069" s="15"/>
      <c r="BI1069" s="15"/>
      <c r="BJ1069" s="15"/>
      <c r="BK1069" s="15"/>
    </row>
    <row r="1070" spans="54:63" ht="15" customHeight="1" x14ac:dyDescent="0.3">
      <c r="BB1070" s="15"/>
      <c r="BC1070" s="15"/>
      <c r="BD1070" s="15"/>
      <c r="BE1070" s="15"/>
      <c r="BF1070" s="15"/>
      <c r="BG1070" s="15"/>
      <c r="BH1070" s="15"/>
      <c r="BI1070" s="15"/>
      <c r="BJ1070" s="15"/>
      <c r="BK1070" s="15"/>
    </row>
    <row r="1071" spans="54:63" ht="15" customHeight="1" x14ac:dyDescent="0.3">
      <c r="BB1071" s="15"/>
      <c r="BC1071" s="15"/>
      <c r="BD1071" s="15"/>
      <c r="BE1071" s="15"/>
      <c r="BF1071" s="15"/>
      <c r="BG1071" s="15"/>
      <c r="BH1071" s="15"/>
      <c r="BI1071" s="15"/>
      <c r="BJ1071" s="15"/>
      <c r="BK1071" s="15"/>
    </row>
    <row r="1072" spans="54:63" ht="15" customHeight="1" x14ac:dyDescent="0.3">
      <c r="BB1072" s="15"/>
      <c r="BC1072" s="15"/>
      <c r="BD1072" s="15"/>
      <c r="BE1072" s="15"/>
      <c r="BF1072" s="15"/>
      <c r="BG1072" s="15"/>
      <c r="BH1072" s="15"/>
      <c r="BI1072" s="15"/>
      <c r="BJ1072" s="15"/>
      <c r="BK1072" s="15"/>
    </row>
    <row r="1073" spans="54:63" ht="15" customHeight="1" x14ac:dyDescent="0.3">
      <c r="BB1073" s="15"/>
      <c r="BC1073" s="15"/>
      <c r="BD1073" s="15"/>
      <c r="BE1073" s="15"/>
      <c r="BF1073" s="15"/>
      <c r="BG1073" s="15"/>
      <c r="BH1073" s="15"/>
      <c r="BI1073" s="15"/>
      <c r="BJ1073" s="15"/>
      <c r="BK1073" s="15"/>
    </row>
    <row r="1074" spans="54:63" ht="15" customHeight="1" x14ac:dyDescent="0.3">
      <c r="BB1074" s="15"/>
      <c r="BC1074" s="15"/>
      <c r="BD1074" s="15"/>
      <c r="BE1074" s="15"/>
      <c r="BF1074" s="15"/>
      <c r="BG1074" s="15"/>
      <c r="BH1074" s="15"/>
      <c r="BI1074" s="15"/>
      <c r="BJ1074" s="15"/>
      <c r="BK1074" s="15"/>
    </row>
    <row r="1075" spans="54:63" ht="15" customHeight="1" x14ac:dyDescent="0.3">
      <c r="BB1075" s="15"/>
      <c r="BC1075" s="15"/>
      <c r="BD1075" s="15"/>
      <c r="BE1075" s="15"/>
      <c r="BF1075" s="15"/>
      <c r="BG1075" s="15"/>
      <c r="BH1075" s="15"/>
      <c r="BI1075" s="15"/>
      <c r="BJ1075" s="15"/>
      <c r="BK1075" s="15"/>
    </row>
    <row r="1076" spans="54:63" ht="15" customHeight="1" x14ac:dyDescent="0.3">
      <c r="BB1076" s="15"/>
      <c r="BC1076" s="15"/>
      <c r="BD1076" s="15"/>
      <c r="BE1076" s="15"/>
      <c r="BF1076" s="15"/>
      <c r="BG1076" s="15"/>
      <c r="BH1076" s="15"/>
      <c r="BI1076" s="15"/>
      <c r="BJ1076" s="15"/>
      <c r="BK1076" s="15"/>
    </row>
    <row r="1077" spans="54:63" ht="15" customHeight="1" x14ac:dyDescent="0.3">
      <c r="BB1077" s="15"/>
      <c r="BC1077" s="15"/>
      <c r="BD1077" s="15"/>
      <c r="BE1077" s="15"/>
      <c r="BF1077" s="15"/>
      <c r="BG1077" s="15"/>
      <c r="BH1077" s="15"/>
      <c r="BI1077" s="15"/>
      <c r="BJ1077" s="15"/>
      <c r="BK1077" s="15"/>
    </row>
    <row r="1078" spans="54:63" ht="15" customHeight="1" x14ac:dyDescent="0.3">
      <c r="BB1078" s="15"/>
      <c r="BC1078" s="15"/>
      <c r="BD1078" s="15"/>
      <c r="BE1078" s="15"/>
      <c r="BF1078" s="15"/>
      <c r="BG1078" s="15"/>
      <c r="BH1078" s="15"/>
      <c r="BI1078" s="15"/>
      <c r="BJ1078" s="15"/>
      <c r="BK1078" s="15"/>
    </row>
    <row r="1079" spans="54:63" ht="15" customHeight="1" x14ac:dyDescent="0.3">
      <c r="BB1079" s="15"/>
      <c r="BC1079" s="15"/>
      <c r="BD1079" s="15"/>
      <c r="BE1079" s="15"/>
      <c r="BF1079" s="15"/>
      <c r="BG1079" s="15"/>
      <c r="BH1079" s="15"/>
      <c r="BI1079" s="15"/>
      <c r="BJ1079" s="15"/>
      <c r="BK1079" s="15"/>
    </row>
    <row r="1080" spans="54:63" ht="15" customHeight="1" x14ac:dyDescent="0.3">
      <c r="BB1080" s="15"/>
      <c r="BC1080" s="15"/>
      <c r="BD1080" s="15"/>
      <c r="BE1080" s="15"/>
      <c r="BF1080" s="15"/>
      <c r="BG1080" s="15"/>
      <c r="BH1080" s="15"/>
      <c r="BI1080" s="15"/>
      <c r="BJ1080" s="15"/>
      <c r="BK1080" s="15"/>
    </row>
    <row r="1081" spans="54:63" ht="15" customHeight="1" x14ac:dyDescent="0.3">
      <c r="BB1081" s="15"/>
      <c r="BC1081" s="15"/>
      <c r="BD1081" s="15"/>
      <c r="BE1081" s="15"/>
      <c r="BF1081" s="15"/>
      <c r="BG1081" s="15"/>
      <c r="BH1081" s="15"/>
      <c r="BI1081" s="15"/>
      <c r="BJ1081" s="15"/>
      <c r="BK1081" s="15"/>
    </row>
    <row r="1082" spans="54:63" ht="15" customHeight="1" x14ac:dyDescent="0.3">
      <c r="BB1082" s="15"/>
      <c r="BC1082" s="15"/>
      <c r="BD1082" s="15"/>
      <c r="BE1082" s="15"/>
      <c r="BF1082" s="15"/>
      <c r="BG1082" s="15"/>
      <c r="BH1082" s="15"/>
      <c r="BI1082" s="15"/>
      <c r="BJ1082" s="15"/>
      <c r="BK1082" s="15"/>
    </row>
    <row r="1083" spans="54:63" ht="15" customHeight="1" x14ac:dyDescent="0.3">
      <c r="BB1083" s="15"/>
      <c r="BC1083" s="15"/>
      <c r="BD1083" s="15"/>
      <c r="BE1083" s="15"/>
      <c r="BF1083" s="15"/>
      <c r="BG1083" s="15"/>
      <c r="BH1083" s="15"/>
      <c r="BI1083" s="15"/>
      <c r="BJ1083" s="15"/>
      <c r="BK1083" s="15"/>
    </row>
    <row r="1084" spans="54:63" ht="15" customHeight="1" x14ac:dyDescent="0.3">
      <c r="BB1084" s="15"/>
      <c r="BC1084" s="15"/>
      <c r="BD1084" s="15"/>
      <c r="BE1084" s="15"/>
      <c r="BF1084" s="15"/>
      <c r="BG1084" s="15"/>
      <c r="BH1084" s="15"/>
      <c r="BI1084" s="15"/>
      <c r="BJ1084" s="15"/>
      <c r="BK1084" s="15"/>
    </row>
    <row r="1085" spans="54:63" ht="15" customHeight="1" x14ac:dyDescent="0.3">
      <c r="BB1085" s="15"/>
      <c r="BC1085" s="15"/>
      <c r="BD1085" s="15"/>
      <c r="BE1085" s="15"/>
      <c r="BF1085" s="15"/>
      <c r="BG1085" s="15"/>
      <c r="BH1085" s="15"/>
      <c r="BI1085" s="15"/>
      <c r="BJ1085" s="15"/>
      <c r="BK1085" s="15"/>
    </row>
    <row r="1086" spans="54:63" ht="15" customHeight="1" x14ac:dyDescent="0.3">
      <c r="BB1086" s="15"/>
      <c r="BC1086" s="15"/>
      <c r="BD1086" s="15"/>
      <c r="BE1086" s="15"/>
      <c r="BF1086" s="15"/>
      <c r="BG1086" s="15"/>
      <c r="BH1086" s="15"/>
      <c r="BI1086" s="15"/>
      <c r="BJ1086" s="15"/>
      <c r="BK1086" s="15"/>
    </row>
    <row r="1087" spans="54:63" ht="15" customHeight="1" x14ac:dyDescent="0.3">
      <c r="BB1087" s="15"/>
      <c r="BC1087" s="15"/>
      <c r="BD1087" s="15"/>
      <c r="BE1087" s="15"/>
      <c r="BF1087" s="15"/>
      <c r="BG1087" s="15"/>
      <c r="BH1087" s="15"/>
      <c r="BI1087" s="15"/>
      <c r="BJ1087" s="15"/>
      <c r="BK1087" s="15"/>
    </row>
    <row r="1088" spans="54:63" ht="15" customHeight="1" x14ac:dyDescent="0.3">
      <c r="BB1088" s="15"/>
      <c r="BC1088" s="15"/>
      <c r="BD1088" s="15"/>
      <c r="BE1088" s="15"/>
      <c r="BF1088" s="15"/>
      <c r="BG1088" s="15"/>
      <c r="BH1088" s="15"/>
      <c r="BI1088" s="15"/>
      <c r="BJ1088" s="15"/>
      <c r="BK1088" s="15"/>
    </row>
    <row r="1089" spans="54:63" ht="15" customHeight="1" x14ac:dyDescent="0.3">
      <c r="BB1089" s="15"/>
      <c r="BC1089" s="15"/>
      <c r="BD1089" s="15"/>
      <c r="BE1089" s="15"/>
      <c r="BF1089" s="15"/>
      <c r="BG1089" s="15"/>
      <c r="BH1089" s="15"/>
      <c r="BI1089" s="15"/>
      <c r="BJ1089" s="15"/>
      <c r="BK1089" s="15"/>
    </row>
    <row r="1090" spans="54:63" ht="15" customHeight="1" x14ac:dyDescent="0.3">
      <c r="BB1090" s="15"/>
      <c r="BC1090" s="15"/>
      <c r="BD1090" s="15"/>
      <c r="BE1090" s="15"/>
      <c r="BF1090" s="15"/>
      <c r="BG1090" s="15"/>
      <c r="BH1090" s="15"/>
      <c r="BI1090" s="15"/>
      <c r="BJ1090" s="15"/>
      <c r="BK1090" s="15"/>
    </row>
    <row r="1091" spans="54:63" ht="15" customHeight="1" x14ac:dyDescent="0.3">
      <c r="BB1091" s="15"/>
      <c r="BC1091" s="15"/>
      <c r="BD1091" s="15"/>
      <c r="BE1091" s="15"/>
      <c r="BF1091" s="15"/>
      <c r="BG1091" s="15"/>
      <c r="BH1091" s="15"/>
      <c r="BI1091" s="15"/>
      <c r="BJ1091" s="15"/>
      <c r="BK1091" s="15"/>
    </row>
    <row r="1092" spans="54:63" ht="15" customHeight="1" x14ac:dyDescent="0.3">
      <c r="BB1092" s="15"/>
      <c r="BC1092" s="15"/>
      <c r="BD1092" s="15"/>
      <c r="BE1092" s="15"/>
      <c r="BF1092" s="15"/>
      <c r="BG1092" s="15"/>
      <c r="BH1092" s="15"/>
      <c r="BI1092" s="15"/>
      <c r="BJ1092" s="15"/>
      <c r="BK1092" s="15"/>
    </row>
    <row r="1093" spans="54:63" ht="15" customHeight="1" x14ac:dyDescent="0.3">
      <c r="BB1093" s="15"/>
      <c r="BC1093" s="15"/>
      <c r="BD1093" s="15"/>
      <c r="BE1093" s="15"/>
      <c r="BF1093" s="15"/>
      <c r="BG1093" s="15"/>
      <c r="BH1093" s="15"/>
      <c r="BI1093" s="15"/>
      <c r="BJ1093" s="15"/>
      <c r="BK1093" s="15"/>
    </row>
    <row r="1094" spans="54:63" ht="15" customHeight="1" x14ac:dyDescent="0.3">
      <c r="BB1094" s="15"/>
      <c r="BC1094" s="15"/>
      <c r="BD1094" s="15"/>
      <c r="BE1094" s="15"/>
      <c r="BF1094" s="15"/>
      <c r="BG1094" s="15"/>
      <c r="BH1094" s="15"/>
      <c r="BI1094" s="15"/>
      <c r="BJ1094" s="15"/>
      <c r="BK1094" s="15"/>
    </row>
    <row r="1095" spans="54:63" ht="15" customHeight="1" x14ac:dyDescent="0.3">
      <c r="BB1095" s="15"/>
      <c r="BC1095" s="15"/>
      <c r="BD1095" s="15"/>
      <c r="BE1095" s="15"/>
      <c r="BF1095" s="15"/>
      <c r="BG1095" s="15"/>
      <c r="BH1095" s="15"/>
      <c r="BI1095" s="15"/>
      <c r="BJ1095" s="15"/>
      <c r="BK1095" s="15"/>
    </row>
    <row r="1096" spans="54:63" ht="15" customHeight="1" x14ac:dyDescent="0.3">
      <c r="BB1096" s="15"/>
      <c r="BC1096" s="15"/>
      <c r="BD1096" s="15"/>
      <c r="BE1096" s="15"/>
      <c r="BF1096" s="15"/>
      <c r="BG1096" s="15"/>
      <c r="BH1096" s="15"/>
      <c r="BI1096" s="15"/>
      <c r="BJ1096" s="15"/>
      <c r="BK1096" s="15"/>
    </row>
    <row r="1097" spans="54:63" ht="15" customHeight="1" x14ac:dyDescent="0.3">
      <c r="BB1097" s="15"/>
      <c r="BC1097" s="15"/>
      <c r="BD1097" s="15"/>
      <c r="BE1097" s="15"/>
      <c r="BF1097" s="15"/>
      <c r="BG1097" s="15"/>
      <c r="BH1097" s="15"/>
      <c r="BI1097" s="15"/>
      <c r="BJ1097" s="15"/>
      <c r="BK1097" s="15"/>
    </row>
    <row r="1098" spans="54:63" ht="15" customHeight="1" x14ac:dyDescent="0.3">
      <c r="BB1098" s="15"/>
      <c r="BC1098" s="15"/>
      <c r="BD1098" s="15"/>
      <c r="BE1098" s="15"/>
      <c r="BF1098" s="15"/>
      <c r="BG1098" s="15"/>
      <c r="BH1098" s="15"/>
      <c r="BI1098" s="15"/>
      <c r="BJ1098" s="15"/>
      <c r="BK1098" s="15"/>
    </row>
    <row r="1099" spans="54:63" ht="15" customHeight="1" x14ac:dyDescent="0.3">
      <c r="BB1099" s="15"/>
      <c r="BC1099" s="15"/>
      <c r="BD1099" s="15"/>
      <c r="BE1099" s="15"/>
      <c r="BF1099" s="15"/>
      <c r="BG1099" s="15"/>
      <c r="BH1099" s="15"/>
      <c r="BI1099" s="15"/>
      <c r="BJ1099" s="15"/>
      <c r="BK1099" s="15"/>
    </row>
    <row r="1100" spans="54:63" ht="15" customHeight="1" x14ac:dyDescent="0.3">
      <c r="BB1100" s="15"/>
      <c r="BC1100" s="15"/>
      <c r="BD1100" s="15"/>
      <c r="BE1100" s="15"/>
      <c r="BF1100" s="15"/>
      <c r="BG1100" s="15"/>
      <c r="BH1100" s="15"/>
      <c r="BI1100" s="15"/>
      <c r="BJ1100" s="15"/>
      <c r="BK1100" s="15"/>
    </row>
    <row r="1101" spans="54:63" ht="15" customHeight="1" x14ac:dyDescent="0.3">
      <c r="BB1101" s="15"/>
      <c r="BC1101" s="15"/>
      <c r="BD1101" s="15"/>
      <c r="BE1101" s="15"/>
      <c r="BF1101" s="15"/>
      <c r="BG1101" s="15"/>
      <c r="BH1101" s="15"/>
      <c r="BI1101" s="15"/>
      <c r="BJ1101" s="15"/>
      <c r="BK1101" s="15"/>
    </row>
    <row r="1102" spans="54:63" ht="15" customHeight="1" x14ac:dyDescent="0.3">
      <c r="BB1102" s="15"/>
      <c r="BC1102" s="15"/>
      <c r="BD1102" s="15"/>
      <c r="BE1102" s="15"/>
      <c r="BF1102" s="15"/>
      <c r="BG1102" s="15"/>
      <c r="BH1102" s="15"/>
      <c r="BI1102" s="15"/>
      <c r="BJ1102" s="15"/>
      <c r="BK1102" s="15"/>
    </row>
    <row r="1103" spans="54:63" ht="15" customHeight="1" x14ac:dyDescent="0.3">
      <c r="BB1103" s="15"/>
      <c r="BC1103" s="15"/>
      <c r="BD1103" s="15"/>
      <c r="BE1103" s="15"/>
      <c r="BF1103" s="15"/>
      <c r="BG1103" s="15"/>
      <c r="BH1103" s="15"/>
      <c r="BI1103" s="15"/>
      <c r="BJ1103" s="15"/>
      <c r="BK1103" s="15"/>
    </row>
    <row r="1104" spans="54:63" ht="15" customHeight="1" x14ac:dyDescent="0.3">
      <c r="BB1104" s="15"/>
      <c r="BC1104" s="15"/>
      <c r="BD1104" s="15"/>
      <c r="BE1104" s="15"/>
      <c r="BF1104" s="15"/>
      <c r="BG1104" s="15"/>
      <c r="BH1104" s="15"/>
      <c r="BI1104" s="15"/>
      <c r="BJ1104" s="15"/>
      <c r="BK1104" s="15"/>
    </row>
    <row r="1105" spans="54:63" ht="15" customHeight="1" x14ac:dyDescent="0.3">
      <c r="BB1105" s="15"/>
      <c r="BC1105" s="15"/>
      <c r="BD1105" s="15"/>
      <c r="BE1105" s="15"/>
      <c r="BF1105" s="15"/>
      <c r="BG1105" s="15"/>
      <c r="BH1105" s="15"/>
      <c r="BI1105" s="15"/>
      <c r="BJ1105" s="15"/>
      <c r="BK1105" s="15"/>
    </row>
    <row r="1106" spans="54:63" ht="15" customHeight="1" x14ac:dyDescent="0.3">
      <c r="BB1106" s="15"/>
      <c r="BC1106" s="15"/>
      <c r="BD1106" s="15"/>
      <c r="BE1106" s="15"/>
      <c r="BF1106" s="15"/>
      <c r="BG1106" s="15"/>
      <c r="BH1106" s="15"/>
      <c r="BI1106" s="15"/>
      <c r="BJ1106" s="15"/>
      <c r="BK1106" s="15"/>
    </row>
    <row r="1107" spans="54:63" ht="15" customHeight="1" x14ac:dyDescent="0.3">
      <c r="BB1107" s="15"/>
      <c r="BC1107" s="15"/>
      <c r="BD1107" s="15"/>
      <c r="BE1107" s="15"/>
      <c r="BF1107" s="15"/>
      <c r="BG1107" s="15"/>
      <c r="BH1107" s="15"/>
      <c r="BI1107" s="15"/>
      <c r="BJ1107" s="15"/>
      <c r="BK1107" s="15"/>
    </row>
    <row r="1108" spans="54:63" ht="15" customHeight="1" x14ac:dyDescent="0.3">
      <c r="BB1108" s="15"/>
      <c r="BC1108" s="15"/>
      <c r="BD1108" s="15"/>
      <c r="BE1108" s="15"/>
      <c r="BF1108" s="15"/>
      <c r="BG1108" s="15"/>
      <c r="BH1108" s="15"/>
      <c r="BI1108" s="15"/>
      <c r="BJ1108" s="15"/>
      <c r="BK1108" s="15"/>
    </row>
    <row r="1109" spans="54:63" ht="15" customHeight="1" x14ac:dyDescent="0.3">
      <c r="BB1109" s="15"/>
      <c r="BC1109" s="15"/>
      <c r="BD1109" s="15"/>
      <c r="BE1109" s="15"/>
      <c r="BF1109" s="15"/>
      <c r="BG1109" s="15"/>
      <c r="BH1109" s="15"/>
      <c r="BI1109" s="15"/>
      <c r="BJ1109" s="15"/>
      <c r="BK1109" s="15"/>
    </row>
    <row r="1110" spans="54:63" ht="15" customHeight="1" x14ac:dyDescent="0.3">
      <c r="BB1110" s="15"/>
      <c r="BC1110" s="15"/>
      <c r="BD1110" s="15"/>
      <c r="BE1110" s="15"/>
      <c r="BF1110" s="15"/>
      <c r="BG1110" s="15"/>
      <c r="BH1110" s="15"/>
      <c r="BI1110" s="15"/>
      <c r="BJ1110" s="15"/>
      <c r="BK1110" s="15"/>
    </row>
    <row r="1111" spans="54:63" ht="15" customHeight="1" x14ac:dyDescent="0.3">
      <c r="BB1111" s="15"/>
      <c r="BC1111" s="15"/>
      <c r="BD1111" s="15"/>
      <c r="BE1111" s="15"/>
      <c r="BF1111" s="15"/>
      <c r="BG1111" s="15"/>
      <c r="BH1111" s="15"/>
      <c r="BI1111" s="15"/>
      <c r="BJ1111" s="15"/>
      <c r="BK1111" s="15"/>
    </row>
    <row r="1112" spans="54:63" ht="15" customHeight="1" x14ac:dyDescent="0.3">
      <c r="BB1112" s="15"/>
      <c r="BC1112" s="15"/>
      <c r="BD1112" s="15"/>
      <c r="BE1112" s="15"/>
      <c r="BF1112" s="15"/>
      <c r="BG1112" s="15"/>
      <c r="BH1112" s="15"/>
      <c r="BI1112" s="15"/>
      <c r="BJ1112" s="15"/>
      <c r="BK1112" s="15"/>
    </row>
    <row r="1113" spans="54:63" ht="15" customHeight="1" x14ac:dyDescent="0.3">
      <c r="BB1113" s="15"/>
      <c r="BC1113" s="15"/>
      <c r="BD1113" s="15"/>
      <c r="BE1113" s="15"/>
      <c r="BF1113" s="15"/>
      <c r="BG1113" s="15"/>
      <c r="BH1113" s="15"/>
      <c r="BI1113" s="15"/>
      <c r="BJ1113" s="15"/>
      <c r="BK1113" s="15"/>
    </row>
    <row r="1114" spans="54:63" ht="15" customHeight="1" x14ac:dyDescent="0.3">
      <c r="BB1114" s="15"/>
      <c r="BC1114" s="15"/>
      <c r="BD1114" s="15"/>
      <c r="BE1114" s="15"/>
      <c r="BF1114" s="15"/>
      <c r="BG1114" s="15"/>
      <c r="BH1114" s="15"/>
      <c r="BI1114" s="15"/>
      <c r="BJ1114" s="15"/>
      <c r="BK1114" s="15"/>
    </row>
    <row r="1115" spans="54:63" ht="15" customHeight="1" x14ac:dyDescent="0.3">
      <c r="BB1115" s="15"/>
      <c r="BC1115" s="15"/>
      <c r="BD1115" s="15"/>
      <c r="BE1115" s="15"/>
      <c r="BF1115" s="15"/>
      <c r="BG1115" s="15"/>
      <c r="BH1115" s="15"/>
      <c r="BI1115" s="15"/>
      <c r="BJ1115" s="15"/>
      <c r="BK1115" s="15"/>
    </row>
    <row r="1116" spans="54:63" ht="15" customHeight="1" x14ac:dyDescent="0.3">
      <c r="BB1116" s="15"/>
      <c r="BC1116" s="15"/>
      <c r="BD1116" s="15"/>
      <c r="BE1116" s="15"/>
      <c r="BF1116" s="15"/>
      <c r="BG1116" s="15"/>
      <c r="BH1116" s="15"/>
      <c r="BI1116" s="15"/>
      <c r="BJ1116" s="15"/>
      <c r="BK1116" s="15"/>
    </row>
    <row r="1117" spans="54:63" ht="15" customHeight="1" x14ac:dyDescent="0.3">
      <c r="BB1117" s="15"/>
      <c r="BC1117" s="15"/>
      <c r="BD1117" s="15"/>
      <c r="BE1117" s="15"/>
      <c r="BF1117" s="15"/>
      <c r="BG1117" s="15"/>
      <c r="BH1117" s="15"/>
      <c r="BI1117" s="15"/>
      <c r="BJ1117" s="15"/>
      <c r="BK1117" s="15"/>
    </row>
    <row r="1118" spans="54:63" ht="15" customHeight="1" x14ac:dyDescent="0.3">
      <c r="BB1118" s="15"/>
      <c r="BC1118" s="15"/>
      <c r="BD1118" s="15"/>
      <c r="BE1118" s="15"/>
      <c r="BF1118" s="15"/>
      <c r="BG1118" s="15"/>
      <c r="BH1118" s="15"/>
      <c r="BI1118" s="15"/>
      <c r="BJ1118" s="15"/>
      <c r="BK1118" s="15"/>
    </row>
    <row r="1119" spans="54:63" ht="15" customHeight="1" x14ac:dyDescent="0.3">
      <c r="BB1119" s="15"/>
      <c r="BC1119" s="15"/>
      <c r="BD1119" s="15"/>
      <c r="BE1119" s="15"/>
      <c r="BF1119" s="15"/>
      <c r="BG1119" s="15"/>
      <c r="BH1119" s="15"/>
      <c r="BI1119" s="15"/>
      <c r="BJ1119" s="15"/>
      <c r="BK1119" s="15"/>
    </row>
    <row r="1120" spans="54:63" ht="15" customHeight="1" x14ac:dyDescent="0.3">
      <c r="BB1120" s="15"/>
      <c r="BC1120" s="15"/>
      <c r="BD1120" s="15"/>
      <c r="BE1120" s="15"/>
      <c r="BF1120" s="15"/>
      <c r="BG1120" s="15"/>
      <c r="BH1120" s="15"/>
      <c r="BI1120" s="15"/>
      <c r="BJ1120" s="15"/>
      <c r="BK1120" s="15"/>
    </row>
    <row r="1121" spans="54:63" ht="15" customHeight="1" x14ac:dyDescent="0.3">
      <c r="BB1121" s="15"/>
      <c r="BC1121" s="15"/>
      <c r="BD1121" s="15"/>
      <c r="BE1121" s="15"/>
      <c r="BF1121" s="15"/>
      <c r="BG1121" s="15"/>
      <c r="BH1121" s="15"/>
      <c r="BI1121" s="15"/>
      <c r="BJ1121" s="15"/>
      <c r="BK1121" s="15"/>
    </row>
    <row r="1122" spans="54:63" ht="15" customHeight="1" x14ac:dyDescent="0.3">
      <c r="BB1122" s="15"/>
      <c r="BC1122" s="15"/>
      <c r="BD1122" s="15"/>
      <c r="BE1122" s="15"/>
      <c r="BF1122" s="15"/>
      <c r="BG1122" s="15"/>
      <c r="BH1122" s="15"/>
      <c r="BI1122" s="15"/>
      <c r="BJ1122" s="15"/>
      <c r="BK1122" s="15"/>
    </row>
    <row r="1123" spans="54:63" ht="15" customHeight="1" x14ac:dyDescent="0.3">
      <c r="BB1123" s="15"/>
      <c r="BC1123" s="15"/>
      <c r="BD1123" s="15"/>
      <c r="BE1123" s="15"/>
      <c r="BF1123" s="15"/>
      <c r="BG1123" s="15"/>
      <c r="BH1123" s="15"/>
      <c r="BI1123" s="15"/>
      <c r="BJ1123" s="15"/>
      <c r="BK1123" s="15"/>
    </row>
    <row r="1124" spans="54:63" ht="15" customHeight="1" x14ac:dyDescent="0.3">
      <c r="BB1124" s="15"/>
      <c r="BC1124" s="15"/>
      <c r="BD1124" s="15"/>
      <c r="BE1124" s="15"/>
      <c r="BF1124" s="15"/>
      <c r="BG1124" s="15"/>
      <c r="BH1124" s="15"/>
      <c r="BI1124" s="15"/>
      <c r="BJ1124" s="15"/>
      <c r="BK1124" s="15"/>
    </row>
    <row r="1125" spans="54:63" ht="15" customHeight="1" x14ac:dyDescent="0.3">
      <c r="BB1125" s="15"/>
      <c r="BC1125" s="15"/>
      <c r="BD1125" s="15"/>
      <c r="BE1125" s="15"/>
      <c r="BF1125" s="15"/>
      <c r="BG1125" s="15"/>
      <c r="BH1125" s="15"/>
      <c r="BI1125" s="15"/>
      <c r="BJ1125" s="15"/>
      <c r="BK1125" s="15"/>
    </row>
    <row r="1126" spans="54:63" ht="15" customHeight="1" x14ac:dyDescent="0.3">
      <c r="BB1126" s="15"/>
      <c r="BC1126" s="15"/>
      <c r="BD1126" s="15"/>
      <c r="BE1126" s="15"/>
      <c r="BF1126" s="15"/>
      <c r="BG1126" s="15"/>
      <c r="BH1126" s="15"/>
      <c r="BI1126" s="15"/>
      <c r="BJ1126" s="15"/>
      <c r="BK1126" s="15"/>
    </row>
    <row r="1127" spans="54:63" ht="15" customHeight="1" x14ac:dyDescent="0.3">
      <c r="BB1127" s="15"/>
      <c r="BC1127" s="15"/>
      <c r="BD1127" s="15"/>
      <c r="BE1127" s="15"/>
      <c r="BF1127" s="15"/>
      <c r="BG1127" s="15"/>
      <c r="BH1127" s="15"/>
      <c r="BI1127" s="15"/>
      <c r="BJ1127" s="15"/>
      <c r="BK1127" s="15"/>
    </row>
    <row r="1128" spans="54:63" ht="15" customHeight="1" x14ac:dyDescent="0.3">
      <c r="BB1128" s="15"/>
      <c r="BC1128" s="15"/>
      <c r="BD1128" s="15"/>
      <c r="BE1128" s="15"/>
      <c r="BF1128" s="15"/>
      <c r="BG1128" s="15"/>
      <c r="BH1128" s="15"/>
      <c r="BI1128" s="15"/>
      <c r="BJ1128" s="15"/>
      <c r="BK1128" s="15"/>
    </row>
    <row r="1129" spans="54:63" ht="15" customHeight="1" x14ac:dyDescent="0.3">
      <c r="BB1129" s="15"/>
      <c r="BC1129" s="15"/>
      <c r="BD1129" s="15"/>
      <c r="BE1129" s="15"/>
      <c r="BF1129" s="15"/>
      <c r="BG1129" s="15"/>
      <c r="BH1129" s="15"/>
      <c r="BI1129" s="15"/>
      <c r="BJ1129" s="15"/>
      <c r="BK1129" s="15"/>
    </row>
    <row r="1130" spans="54:63" ht="15" customHeight="1" x14ac:dyDescent="0.3">
      <c r="BB1130" s="15"/>
      <c r="BC1130" s="15"/>
      <c r="BD1130" s="15"/>
      <c r="BE1130" s="15"/>
      <c r="BF1130" s="15"/>
      <c r="BG1130" s="15"/>
      <c r="BH1130" s="15"/>
      <c r="BI1130" s="15"/>
      <c r="BJ1130" s="15"/>
      <c r="BK1130" s="15"/>
    </row>
    <row r="1131" spans="54:63" ht="15" customHeight="1" x14ac:dyDescent="0.3">
      <c r="BB1131" s="15"/>
      <c r="BC1131" s="15"/>
      <c r="BD1131" s="15"/>
      <c r="BE1131" s="15"/>
      <c r="BF1131" s="15"/>
      <c r="BG1131" s="15"/>
      <c r="BH1131" s="15"/>
      <c r="BI1131" s="15"/>
      <c r="BJ1131" s="15"/>
      <c r="BK1131" s="15"/>
    </row>
    <row r="1132" spans="54:63" ht="15" customHeight="1" x14ac:dyDescent="0.3">
      <c r="BB1132" s="15"/>
      <c r="BC1132" s="15"/>
      <c r="BD1132" s="15"/>
      <c r="BE1132" s="15"/>
      <c r="BF1132" s="15"/>
      <c r="BG1132" s="15"/>
      <c r="BH1132" s="15"/>
      <c r="BI1132" s="15"/>
      <c r="BJ1132" s="15"/>
      <c r="BK1132" s="15"/>
    </row>
    <row r="1133" spans="54:63" ht="15" customHeight="1" x14ac:dyDescent="0.3">
      <c r="BB1133" s="15"/>
      <c r="BC1133" s="15"/>
      <c r="BD1133" s="15"/>
      <c r="BE1133" s="15"/>
      <c r="BF1133" s="15"/>
      <c r="BG1133" s="15"/>
      <c r="BH1133" s="15"/>
      <c r="BI1133" s="15"/>
      <c r="BJ1133" s="15"/>
      <c r="BK1133" s="15"/>
    </row>
    <row r="1134" spans="54:63" ht="15" customHeight="1" x14ac:dyDescent="0.3">
      <c r="BB1134" s="15"/>
      <c r="BC1134" s="15"/>
      <c r="BD1134" s="15"/>
      <c r="BE1134" s="15"/>
      <c r="BF1134" s="15"/>
      <c r="BG1134" s="15"/>
      <c r="BH1134" s="15"/>
      <c r="BI1134" s="15"/>
      <c r="BJ1134" s="15"/>
      <c r="BK1134" s="15"/>
    </row>
    <row r="1135" spans="54:63" ht="15" customHeight="1" x14ac:dyDescent="0.3">
      <c r="BB1135" s="15"/>
      <c r="BC1135" s="15"/>
      <c r="BD1135" s="15"/>
      <c r="BE1135" s="15"/>
      <c r="BF1135" s="15"/>
      <c r="BG1135" s="15"/>
      <c r="BH1135" s="15"/>
      <c r="BI1135" s="15"/>
      <c r="BJ1135" s="15"/>
      <c r="BK1135" s="15"/>
    </row>
    <row r="1136" spans="54:63" ht="15" customHeight="1" x14ac:dyDescent="0.3">
      <c r="BB1136" s="15"/>
      <c r="BC1136" s="15"/>
      <c r="BD1136" s="15"/>
      <c r="BE1136" s="15"/>
      <c r="BF1136" s="15"/>
      <c r="BG1136" s="15"/>
      <c r="BH1136" s="15"/>
      <c r="BI1136" s="15"/>
      <c r="BJ1136" s="15"/>
      <c r="BK1136" s="15"/>
    </row>
    <row r="1137" spans="54:63" ht="15" customHeight="1" x14ac:dyDescent="0.3">
      <c r="BB1137" s="15"/>
      <c r="BC1137" s="15"/>
      <c r="BD1137" s="15"/>
      <c r="BE1137" s="15"/>
      <c r="BF1137" s="15"/>
      <c r="BG1137" s="15"/>
      <c r="BH1137" s="15"/>
      <c r="BI1137" s="15"/>
      <c r="BJ1137" s="15"/>
      <c r="BK1137" s="15"/>
    </row>
    <row r="1138" spans="54:63" ht="15" customHeight="1" x14ac:dyDescent="0.3">
      <c r="BB1138" s="15"/>
      <c r="BC1138" s="15"/>
      <c r="BD1138" s="15"/>
      <c r="BE1138" s="15"/>
      <c r="BF1138" s="15"/>
      <c r="BG1138" s="15"/>
      <c r="BH1138" s="15"/>
      <c r="BI1138" s="15"/>
      <c r="BJ1138" s="15"/>
      <c r="BK1138" s="15"/>
    </row>
    <row r="1139" spans="54:63" ht="15" customHeight="1" x14ac:dyDescent="0.3">
      <c r="BB1139" s="15"/>
      <c r="BC1139" s="15"/>
      <c r="BD1139" s="15"/>
      <c r="BE1139" s="15"/>
      <c r="BF1139" s="15"/>
      <c r="BG1139" s="15"/>
      <c r="BH1139" s="15"/>
      <c r="BI1139" s="15"/>
      <c r="BJ1139" s="15"/>
      <c r="BK1139" s="15"/>
    </row>
    <row r="1140" spans="54:63" ht="15" customHeight="1" x14ac:dyDescent="0.3">
      <c r="BB1140" s="15"/>
      <c r="BC1140" s="15"/>
      <c r="BD1140" s="15"/>
      <c r="BE1140" s="15"/>
      <c r="BF1140" s="15"/>
      <c r="BG1140" s="15"/>
      <c r="BH1140" s="15"/>
      <c r="BI1140" s="15"/>
      <c r="BJ1140" s="15"/>
      <c r="BK1140" s="15"/>
    </row>
    <row r="1141" spans="54:63" ht="15" customHeight="1" x14ac:dyDescent="0.3">
      <c r="BB1141" s="15"/>
      <c r="BC1141" s="15"/>
      <c r="BD1141" s="15"/>
      <c r="BE1141" s="15"/>
      <c r="BF1141" s="15"/>
      <c r="BG1141" s="15"/>
      <c r="BH1141" s="15"/>
      <c r="BI1141" s="15"/>
      <c r="BJ1141" s="15"/>
      <c r="BK1141" s="15"/>
    </row>
    <row r="1142" spans="54:63" ht="15" customHeight="1" x14ac:dyDescent="0.3">
      <c r="BB1142" s="15"/>
      <c r="BC1142" s="15"/>
      <c r="BD1142" s="15"/>
      <c r="BE1142" s="15"/>
      <c r="BF1142" s="15"/>
      <c r="BG1142" s="15"/>
      <c r="BH1142" s="15"/>
      <c r="BI1142" s="15"/>
      <c r="BJ1142" s="15"/>
      <c r="BK1142" s="15"/>
    </row>
    <row r="1143" spans="54:63" ht="15" customHeight="1" x14ac:dyDescent="0.3">
      <c r="BB1143" s="15"/>
      <c r="BC1143" s="15"/>
      <c r="BD1143" s="15"/>
      <c r="BE1143" s="15"/>
      <c r="BF1143" s="15"/>
      <c r="BG1143" s="15"/>
      <c r="BH1143" s="15"/>
      <c r="BI1143" s="15"/>
      <c r="BJ1143" s="15"/>
      <c r="BK1143" s="15"/>
    </row>
    <row r="1144" spans="54:63" ht="15" customHeight="1" x14ac:dyDescent="0.3">
      <c r="BB1144" s="15"/>
      <c r="BC1144" s="15"/>
      <c r="BD1144" s="15"/>
      <c r="BE1144" s="15"/>
      <c r="BF1144" s="15"/>
      <c r="BG1144" s="15"/>
      <c r="BH1144" s="15"/>
      <c r="BI1144" s="15"/>
      <c r="BJ1144" s="15"/>
      <c r="BK1144" s="15"/>
    </row>
    <row r="1145" spans="54:63" ht="15" customHeight="1" x14ac:dyDescent="0.3">
      <c r="BB1145" s="15"/>
      <c r="BC1145" s="15"/>
      <c r="BD1145" s="15"/>
      <c r="BE1145" s="15"/>
      <c r="BF1145" s="15"/>
      <c r="BG1145" s="15"/>
      <c r="BH1145" s="15"/>
      <c r="BI1145" s="15"/>
      <c r="BJ1145" s="15"/>
      <c r="BK1145" s="15"/>
    </row>
    <row r="1146" spans="54:63" ht="15" customHeight="1" x14ac:dyDescent="0.3">
      <c r="BB1146" s="15"/>
      <c r="BC1146" s="15"/>
      <c r="BD1146" s="15"/>
      <c r="BE1146" s="15"/>
      <c r="BF1146" s="15"/>
      <c r="BG1146" s="15"/>
      <c r="BH1146" s="15"/>
      <c r="BI1146" s="15"/>
      <c r="BJ1146" s="15"/>
      <c r="BK1146" s="15"/>
    </row>
    <row r="1147" spans="54:63" ht="15" customHeight="1" x14ac:dyDescent="0.3">
      <c r="BB1147" s="15"/>
      <c r="BC1147" s="15"/>
      <c r="BD1147" s="15"/>
      <c r="BE1147" s="15"/>
      <c r="BF1147" s="15"/>
      <c r="BG1147" s="15"/>
      <c r="BH1147" s="15"/>
      <c r="BI1147" s="15"/>
      <c r="BJ1147" s="15"/>
      <c r="BK1147" s="15"/>
    </row>
    <row r="1148" spans="54:63" ht="15" customHeight="1" x14ac:dyDescent="0.3">
      <c r="BB1148" s="15"/>
      <c r="BC1148" s="15"/>
      <c r="BD1148" s="15"/>
      <c r="BE1148" s="15"/>
      <c r="BF1148" s="15"/>
      <c r="BG1148" s="15"/>
      <c r="BH1148" s="15"/>
      <c r="BI1148" s="15"/>
      <c r="BJ1148" s="15"/>
      <c r="BK1148" s="15"/>
    </row>
    <row r="1149" spans="54:63" ht="15" customHeight="1" x14ac:dyDescent="0.3">
      <c r="BB1149" s="15"/>
      <c r="BC1149" s="15"/>
      <c r="BD1149" s="15"/>
      <c r="BE1149" s="15"/>
      <c r="BF1149" s="15"/>
      <c r="BG1149" s="15"/>
      <c r="BH1149" s="15"/>
      <c r="BI1149" s="15"/>
      <c r="BJ1149" s="15"/>
      <c r="BK1149" s="15"/>
    </row>
    <row r="1150" spans="54:63" ht="15" customHeight="1" x14ac:dyDescent="0.3">
      <c r="BB1150" s="15"/>
      <c r="BC1150" s="15"/>
      <c r="BD1150" s="15"/>
      <c r="BE1150" s="15"/>
      <c r="BF1150" s="15"/>
      <c r="BG1150" s="15"/>
      <c r="BH1150" s="15"/>
      <c r="BI1150" s="15"/>
      <c r="BJ1150" s="15"/>
      <c r="BK1150" s="15"/>
    </row>
    <row r="1151" spans="54:63" ht="15" customHeight="1" x14ac:dyDescent="0.3">
      <c r="BB1151" s="15"/>
      <c r="BC1151" s="15"/>
      <c r="BD1151" s="15"/>
      <c r="BE1151" s="15"/>
      <c r="BF1151" s="15"/>
      <c r="BG1151" s="15"/>
      <c r="BH1151" s="15"/>
      <c r="BI1151" s="15"/>
      <c r="BJ1151" s="15"/>
      <c r="BK1151" s="15"/>
    </row>
    <row r="1152" spans="54:63" ht="15" customHeight="1" x14ac:dyDescent="0.3">
      <c r="BB1152" s="15"/>
      <c r="BC1152" s="15"/>
      <c r="BD1152" s="15"/>
      <c r="BE1152" s="15"/>
      <c r="BF1152" s="15"/>
      <c r="BG1152" s="15"/>
      <c r="BH1152" s="15"/>
      <c r="BI1152" s="15"/>
      <c r="BJ1152" s="15"/>
      <c r="BK1152" s="15"/>
    </row>
    <row r="1153" spans="54:63" ht="15" customHeight="1" x14ac:dyDescent="0.3">
      <c r="BB1153" s="15"/>
      <c r="BC1153" s="15"/>
      <c r="BD1153" s="15"/>
      <c r="BE1153" s="15"/>
      <c r="BF1153" s="15"/>
      <c r="BG1153" s="15"/>
      <c r="BH1153" s="15"/>
      <c r="BI1153" s="15"/>
      <c r="BJ1153" s="15"/>
      <c r="BK1153" s="15"/>
    </row>
    <row r="1154" spans="54:63" ht="15" customHeight="1" x14ac:dyDescent="0.3">
      <c r="BB1154" s="15"/>
      <c r="BC1154" s="15"/>
      <c r="BD1154" s="15"/>
      <c r="BE1154" s="15"/>
      <c r="BF1154" s="15"/>
      <c r="BG1154" s="15"/>
      <c r="BH1154" s="15"/>
      <c r="BI1154" s="15"/>
      <c r="BJ1154" s="15"/>
      <c r="BK1154" s="15"/>
    </row>
    <row r="1155" spans="54:63" ht="15" customHeight="1" x14ac:dyDescent="0.3">
      <c r="BB1155" s="15"/>
      <c r="BC1155" s="15"/>
      <c r="BD1155" s="15"/>
      <c r="BE1155" s="15"/>
      <c r="BF1155" s="15"/>
      <c r="BG1155" s="15"/>
      <c r="BH1155" s="15"/>
      <c r="BI1155" s="15"/>
      <c r="BJ1155" s="15"/>
      <c r="BK1155" s="15"/>
    </row>
    <row r="1156" spans="54:63" ht="15" customHeight="1" x14ac:dyDescent="0.3">
      <c r="BB1156" s="15"/>
      <c r="BC1156" s="15"/>
      <c r="BD1156" s="15"/>
      <c r="BE1156" s="15"/>
      <c r="BF1156" s="15"/>
      <c r="BG1156" s="15"/>
      <c r="BH1156" s="15"/>
      <c r="BI1156" s="15"/>
      <c r="BJ1156" s="15"/>
      <c r="BK1156" s="15"/>
    </row>
    <row r="1157" spans="54:63" ht="15" customHeight="1" x14ac:dyDescent="0.3">
      <c r="BB1157" s="15"/>
      <c r="BC1157" s="15"/>
      <c r="BD1157" s="15"/>
      <c r="BE1157" s="15"/>
      <c r="BF1157" s="15"/>
      <c r="BG1157" s="15"/>
      <c r="BH1157" s="15"/>
      <c r="BI1157" s="15"/>
      <c r="BJ1157" s="15"/>
      <c r="BK1157" s="15"/>
    </row>
    <row r="1158" spans="54:63" ht="15" customHeight="1" x14ac:dyDescent="0.3">
      <c r="BB1158" s="15"/>
      <c r="BC1158" s="15"/>
      <c r="BD1158" s="15"/>
      <c r="BE1158" s="15"/>
      <c r="BF1158" s="15"/>
      <c r="BG1158" s="15"/>
      <c r="BH1158" s="15"/>
      <c r="BI1158" s="15"/>
      <c r="BJ1158" s="15"/>
      <c r="BK1158" s="15"/>
    </row>
    <row r="1159" spans="54:63" ht="15" customHeight="1" x14ac:dyDescent="0.3">
      <c r="BB1159" s="15"/>
      <c r="BC1159" s="15"/>
      <c r="BD1159" s="15"/>
      <c r="BE1159" s="15"/>
      <c r="BF1159" s="15"/>
      <c r="BG1159" s="15"/>
      <c r="BH1159" s="15"/>
      <c r="BI1159" s="15"/>
      <c r="BJ1159" s="15"/>
      <c r="BK1159" s="15"/>
    </row>
    <row r="1160" spans="54:63" ht="15" customHeight="1" x14ac:dyDescent="0.3">
      <c r="BB1160" s="15"/>
      <c r="BC1160" s="15"/>
      <c r="BD1160" s="15"/>
      <c r="BE1160" s="15"/>
      <c r="BF1160" s="15"/>
      <c r="BG1160" s="15"/>
      <c r="BH1160" s="15"/>
      <c r="BI1160" s="15"/>
      <c r="BJ1160" s="15"/>
      <c r="BK1160" s="15"/>
    </row>
    <row r="1161" spans="54:63" ht="15" customHeight="1" x14ac:dyDescent="0.3">
      <c r="BB1161" s="15"/>
      <c r="BC1161" s="15"/>
      <c r="BD1161" s="15"/>
      <c r="BE1161" s="15"/>
      <c r="BF1161" s="15"/>
      <c r="BG1161" s="15"/>
      <c r="BH1161" s="15"/>
      <c r="BI1161" s="15"/>
      <c r="BJ1161" s="15"/>
      <c r="BK1161" s="15"/>
    </row>
    <row r="1162" spans="54:63" ht="15" customHeight="1" x14ac:dyDescent="0.3">
      <c r="BB1162" s="15"/>
      <c r="BC1162" s="15"/>
      <c r="BD1162" s="15"/>
      <c r="BE1162" s="15"/>
      <c r="BF1162" s="15"/>
      <c r="BG1162" s="15"/>
      <c r="BH1162" s="15"/>
      <c r="BI1162" s="15"/>
      <c r="BJ1162" s="15"/>
      <c r="BK1162" s="15"/>
    </row>
    <row r="1163" spans="54:63" ht="15" customHeight="1" x14ac:dyDescent="0.3">
      <c r="BB1163" s="15"/>
      <c r="BC1163" s="15"/>
      <c r="BD1163" s="15"/>
      <c r="BE1163" s="15"/>
      <c r="BF1163" s="15"/>
      <c r="BG1163" s="15"/>
      <c r="BH1163" s="15"/>
      <c r="BI1163" s="15"/>
      <c r="BJ1163" s="15"/>
      <c r="BK1163" s="15"/>
    </row>
    <row r="1164" spans="54:63" ht="15" customHeight="1" x14ac:dyDescent="0.3">
      <c r="BB1164" s="15"/>
      <c r="BC1164" s="15"/>
      <c r="BD1164" s="15"/>
      <c r="BE1164" s="15"/>
      <c r="BF1164" s="15"/>
      <c r="BG1164" s="15"/>
      <c r="BH1164" s="15"/>
      <c r="BI1164" s="15"/>
      <c r="BJ1164" s="15"/>
      <c r="BK1164" s="15"/>
    </row>
    <row r="1165" spans="54:63" ht="15" customHeight="1" x14ac:dyDescent="0.3">
      <c r="BB1165" s="15"/>
      <c r="BC1165" s="15"/>
      <c r="BD1165" s="15"/>
      <c r="BE1165" s="15"/>
      <c r="BF1165" s="15"/>
      <c r="BG1165" s="15"/>
      <c r="BH1165" s="15"/>
      <c r="BI1165" s="15"/>
      <c r="BJ1165" s="15"/>
      <c r="BK1165" s="15"/>
    </row>
    <row r="1166" spans="54:63" ht="15" customHeight="1" x14ac:dyDescent="0.3">
      <c r="BB1166" s="15"/>
      <c r="BC1166" s="15"/>
      <c r="BD1166" s="15"/>
      <c r="BE1166" s="15"/>
      <c r="BF1166" s="15"/>
      <c r="BG1166" s="15"/>
      <c r="BH1166" s="15"/>
      <c r="BI1166" s="15"/>
      <c r="BJ1166" s="15"/>
      <c r="BK1166" s="15"/>
    </row>
    <row r="1167" spans="54:63" ht="15" customHeight="1" x14ac:dyDescent="0.3">
      <c r="BB1167" s="15"/>
      <c r="BC1167" s="15"/>
      <c r="BD1167" s="15"/>
      <c r="BE1167" s="15"/>
      <c r="BF1167" s="15"/>
      <c r="BG1167" s="15"/>
      <c r="BH1167" s="15"/>
      <c r="BI1167" s="15"/>
      <c r="BJ1167" s="15"/>
      <c r="BK1167" s="15"/>
    </row>
    <row r="1168" spans="54:63" ht="15" customHeight="1" x14ac:dyDescent="0.3">
      <c r="BB1168" s="15"/>
      <c r="BC1168" s="15"/>
      <c r="BD1168" s="15"/>
      <c r="BE1168" s="15"/>
      <c r="BF1168" s="15"/>
      <c r="BG1168" s="15"/>
      <c r="BH1168" s="15"/>
      <c r="BI1168" s="15"/>
      <c r="BJ1168" s="15"/>
      <c r="BK1168" s="15"/>
    </row>
    <row r="1169" spans="54:63" ht="15" customHeight="1" x14ac:dyDescent="0.3">
      <c r="BB1169" s="15"/>
      <c r="BC1169" s="15"/>
      <c r="BD1169" s="15"/>
      <c r="BE1169" s="15"/>
      <c r="BF1169" s="15"/>
      <c r="BG1169" s="15"/>
      <c r="BH1169" s="15"/>
      <c r="BI1169" s="15"/>
      <c r="BJ1169" s="15"/>
      <c r="BK1169" s="15"/>
    </row>
    <row r="1170" spans="54:63" ht="15" customHeight="1" x14ac:dyDescent="0.3">
      <c r="BB1170" s="15"/>
      <c r="BC1170" s="15"/>
      <c r="BD1170" s="15"/>
      <c r="BE1170" s="15"/>
      <c r="BF1170" s="15"/>
      <c r="BG1170" s="15"/>
      <c r="BH1170" s="15"/>
      <c r="BI1170" s="15"/>
      <c r="BJ1170" s="15"/>
      <c r="BK1170" s="15"/>
    </row>
    <row r="1171" spans="54:63" ht="15" customHeight="1" x14ac:dyDescent="0.3">
      <c r="BB1171" s="15"/>
      <c r="BC1171" s="15"/>
      <c r="BD1171" s="15"/>
      <c r="BE1171" s="15"/>
      <c r="BF1171" s="15"/>
      <c r="BG1171" s="15"/>
      <c r="BH1171" s="15"/>
      <c r="BI1171" s="15"/>
      <c r="BJ1171" s="15"/>
      <c r="BK1171" s="15"/>
    </row>
    <row r="1172" spans="54:63" ht="15" customHeight="1" x14ac:dyDescent="0.3">
      <c r="BB1172" s="15"/>
      <c r="BC1172" s="15"/>
      <c r="BD1172" s="15"/>
      <c r="BE1172" s="15"/>
      <c r="BF1172" s="15"/>
      <c r="BG1172" s="15"/>
      <c r="BH1172" s="15"/>
      <c r="BI1172" s="15"/>
      <c r="BJ1172" s="15"/>
      <c r="BK1172" s="15"/>
    </row>
    <row r="1173" spans="54:63" ht="15" customHeight="1" x14ac:dyDescent="0.3">
      <c r="BB1173" s="15"/>
      <c r="BC1173" s="15"/>
      <c r="BD1173" s="15"/>
      <c r="BE1173" s="15"/>
      <c r="BF1173" s="15"/>
      <c r="BG1173" s="15"/>
      <c r="BH1173" s="15"/>
      <c r="BI1173" s="15"/>
      <c r="BJ1173" s="15"/>
      <c r="BK1173" s="15"/>
    </row>
    <row r="1174" spans="54:63" ht="15" customHeight="1" x14ac:dyDescent="0.3">
      <c r="BB1174" s="15"/>
      <c r="BC1174" s="15"/>
      <c r="BD1174" s="15"/>
      <c r="BE1174" s="15"/>
      <c r="BF1174" s="15"/>
      <c r="BG1174" s="15"/>
      <c r="BH1174" s="15"/>
      <c r="BI1174" s="15"/>
      <c r="BJ1174" s="15"/>
      <c r="BK1174" s="15"/>
    </row>
    <row r="1175" spans="54:63" ht="15" customHeight="1" x14ac:dyDescent="0.3">
      <c r="BB1175" s="15"/>
      <c r="BC1175" s="15"/>
      <c r="BD1175" s="15"/>
      <c r="BE1175" s="15"/>
      <c r="BF1175" s="15"/>
      <c r="BG1175" s="15"/>
      <c r="BH1175" s="15"/>
      <c r="BI1175" s="15"/>
      <c r="BJ1175" s="15"/>
      <c r="BK1175" s="15"/>
    </row>
    <row r="1176" spans="54:63" ht="15" customHeight="1" x14ac:dyDescent="0.3">
      <c r="BB1176" s="15"/>
      <c r="BC1176" s="15"/>
      <c r="BD1176" s="15"/>
      <c r="BE1176" s="15"/>
      <c r="BF1176" s="15"/>
      <c r="BG1176" s="15"/>
      <c r="BH1176" s="15"/>
      <c r="BI1176" s="15"/>
      <c r="BJ1176" s="15"/>
      <c r="BK1176" s="15"/>
    </row>
    <row r="1177" spans="54:63" ht="15" customHeight="1" x14ac:dyDescent="0.3">
      <c r="BB1177" s="15"/>
      <c r="BC1177" s="15"/>
      <c r="BD1177" s="15"/>
      <c r="BE1177" s="15"/>
      <c r="BF1177" s="15"/>
      <c r="BG1177" s="15"/>
      <c r="BH1177" s="15"/>
      <c r="BI1177" s="15"/>
      <c r="BJ1177" s="15"/>
      <c r="BK1177" s="15"/>
    </row>
    <row r="1178" spans="54:63" ht="15" customHeight="1" x14ac:dyDescent="0.3">
      <c r="BB1178" s="15"/>
      <c r="BC1178" s="15"/>
      <c r="BD1178" s="15"/>
      <c r="BE1178" s="15"/>
      <c r="BF1178" s="15"/>
      <c r="BG1178" s="15"/>
      <c r="BH1178" s="15"/>
      <c r="BI1178" s="15"/>
      <c r="BJ1178" s="15"/>
      <c r="BK1178" s="15"/>
    </row>
    <row r="1179" spans="54:63" ht="15" customHeight="1" x14ac:dyDescent="0.3">
      <c r="BB1179" s="15"/>
      <c r="BC1179" s="15"/>
      <c r="BD1179" s="15"/>
      <c r="BE1179" s="15"/>
      <c r="BF1179" s="15"/>
      <c r="BG1179" s="15"/>
      <c r="BH1179" s="15"/>
      <c r="BI1179" s="15"/>
      <c r="BJ1179" s="15"/>
      <c r="BK1179" s="15"/>
    </row>
    <row r="1180" spans="54:63" ht="15" customHeight="1" x14ac:dyDescent="0.3">
      <c r="BB1180" s="15"/>
      <c r="BC1180" s="15"/>
      <c r="BD1180" s="15"/>
      <c r="BE1180" s="15"/>
      <c r="BF1180" s="15"/>
      <c r="BG1180" s="15"/>
      <c r="BH1180" s="15"/>
      <c r="BI1180" s="15"/>
      <c r="BJ1180" s="15"/>
      <c r="BK1180" s="15"/>
    </row>
    <row r="1181" spans="54:63" ht="15" customHeight="1" x14ac:dyDescent="0.3">
      <c r="BB1181" s="15"/>
      <c r="BC1181" s="15"/>
      <c r="BD1181" s="15"/>
      <c r="BE1181" s="15"/>
      <c r="BF1181" s="15"/>
      <c r="BG1181" s="15"/>
      <c r="BH1181" s="15"/>
      <c r="BI1181" s="15"/>
      <c r="BJ1181" s="15"/>
      <c r="BK1181" s="15"/>
    </row>
    <row r="1182" spans="54:63" ht="15" customHeight="1" x14ac:dyDescent="0.3">
      <c r="BB1182" s="15"/>
      <c r="BC1182" s="15"/>
      <c r="BD1182" s="15"/>
      <c r="BE1182" s="15"/>
      <c r="BF1182" s="15"/>
      <c r="BG1182" s="15"/>
      <c r="BH1182" s="15"/>
      <c r="BI1182" s="15"/>
      <c r="BJ1182" s="15"/>
      <c r="BK1182" s="15"/>
    </row>
    <row r="1183" spans="54:63" ht="15" customHeight="1" x14ac:dyDescent="0.3">
      <c r="BB1183" s="15"/>
      <c r="BC1183" s="15"/>
      <c r="BD1183" s="15"/>
      <c r="BE1183" s="15"/>
      <c r="BF1183" s="15"/>
      <c r="BG1183" s="15"/>
      <c r="BH1183" s="15"/>
      <c r="BI1183" s="15"/>
      <c r="BJ1183" s="15"/>
      <c r="BK1183" s="15"/>
    </row>
    <row r="1184" spans="54:63" ht="15" customHeight="1" x14ac:dyDescent="0.3">
      <c r="BB1184" s="15"/>
      <c r="BC1184" s="15"/>
      <c r="BD1184" s="15"/>
      <c r="BE1184" s="15"/>
      <c r="BF1184" s="15"/>
      <c r="BG1184" s="15"/>
      <c r="BH1184" s="15"/>
      <c r="BI1184" s="15"/>
      <c r="BJ1184" s="15"/>
      <c r="BK1184" s="15"/>
    </row>
    <row r="1185" spans="54:63" ht="15" customHeight="1" x14ac:dyDescent="0.3">
      <c r="BB1185" s="15"/>
      <c r="BC1185" s="15"/>
      <c r="BD1185" s="15"/>
      <c r="BE1185" s="15"/>
      <c r="BF1185" s="15"/>
      <c r="BG1185" s="15"/>
      <c r="BH1185" s="15"/>
      <c r="BI1185" s="15"/>
      <c r="BJ1185" s="15"/>
      <c r="BK1185" s="15"/>
    </row>
    <row r="1186" spans="54:63" ht="15" customHeight="1" x14ac:dyDescent="0.3">
      <c r="BB1186" s="15"/>
      <c r="BC1186" s="15"/>
      <c r="BD1186" s="15"/>
      <c r="BE1186" s="15"/>
      <c r="BF1186" s="15"/>
      <c r="BG1186" s="15"/>
      <c r="BH1186" s="15"/>
      <c r="BI1186" s="15"/>
      <c r="BJ1186" s="15"/>
      <c r="BK1186" s="15"/>
    </row>
    <row r="1187" spans="54:63" ht="15" customHeight="1" x14ac:dyDescent="0.3">
      <c r="BB1187" s="15"/>
      <c r="BC1187" s="15"/>
      <c r="BD1187" s="15"/>
      <c r="BE1187" s="15"/>
      <c r="BF1187" s="15"/>
      <c r="BG1187" s="15"/>
      <c r="BH1187" s="15"/>
      <c r="BI1187" s="15"/>
      <c r="BJ1187" s="15"/>
      <c r="BK1187" s="15"/>
    </row>
    <row r="1188" spans="54:63" ht="15" customHeight="1" x14ac:dyDescent="0.3">
      <c r="BB1188" s="15"/>
      <c r="BC1188" s="15"/>
      <c r="BD1188" s="15"/>
      <c r="BE1188" s="15"/>
      <c r="BF1188" s="15"/>
      <c r="BG1188" s="15"/>
      <c r="BH1188" s="15"/>
      <c r="BI1188" s="15"/>
      <c r="BJ1188" s="15"/>
      <c r="BK1188" s="15"/>
    </row>
    <row r="1189" spans="54:63" ht="15" customHeight="1" x14ac:dyDescent="0.3">
      <c r="BB1189" s="15"/>
      <c r="BC1189" s="15"/>
      <c r="BD1189" s="15"/>
      <c r="BE1189" s="15"/>
      <c r="BF1189" s="15"/>
      <c r="BG1189" s="15"/>
      <c r="BH1189" s="15"/>
      <c r="BI1189" s="15"/>
      <c r="BJ1189" s="15"/>
      <c r="BK1189" s="15"/>
    </row>
    <row r="1190" spans="54:63" ht="15" customHeight="1" x14ac:dyDescent="0.3">
      <c r="BB1190" s="15"/>
      <c r="BC1190" s="15"/>
      <c r="BD1190" s="15"/>
      <c r="BE1190" s="15"/>
      <c r="BF1190" s="15"/>
      <c r="BG1190" s="15"/>
      <c r="BH1190" s="15"/>
      <c r="BI1190" s="15"/>
      <c r="BJ1190" s="15"/>
      <c r="BK1190" s="15"/>
    </row>
    <row r="1191" spans="54:63" ht="15" customHeight="1" x14ac:dyDescent="0.3">
      <c r="BB1191" s="15"/>
      <c r="BC1191" s="15"/>
      <c r="BD1191" s="15"/>
      <c r="BE1191" s="15"/>
      <c r="BF1191" s="15"/>
      <c r="BG1191" s="15"/>
      <c r="BH1191" s="15"/>
      <c r="BI1191" s="15"/>
      <c r="BJ1191" s="15"/>
      <c r="BK1191" s="15"/>
    </row>
    <row r="1192" spans="54:63" ht="15" customHeight="1" x14ac:dyDescent="0.3">
      <c r="BB1192" s="15"/>
      <c r="BC1192" s="15"/>
      <c r="BD1192" s="15"/>
      <c r="BE1192" s="15"/>
      <c r="BF1192" s="15"/>
      <c r="BG1192" s="15"/>
      <c r="BH1192" s="15"/>
      <c r="BI1192" s="15"/>
      <c r="BJ1192" s="15"/>
      <c r="BK1192" s="15"/>
    </row>
    <row r="1193" spans="54:63" ht="15" customHeight="1" x14ac:dyDescent="0.3">
      <c r="BB1193" s="15"/>
      <c r="BC1193" s="15"/>
      <c r="BD1193" s="15"/>
      <c r="BE1193" s="15"/>
      <c r="BF1193" s="15"/>
      <c r="BG1193" s="15"/>
      <c r="BH1193" s="15"/>
      <c r="BI1193" s="15"/>
      <c r="BJ1193" s="15"/>
      <c r="BK1193" s="15"/>
    </row>
    <row r="1194" spans="54:63" ht="15" customHeight="1" x14ac:dyDescent="0.3">
      <c r="BB1194" s="15"/>
      <c r="BC1194" s="15"/>
      <c r="BD1194" s="15"/>
      <c r="BE1194" s="15"/>
      <c r="BF1194" s="15"/>
      <c r="BG1194" s="15"/>
      <c r="BH1194" s="15"/>
      <c r="BI1194" s="15"/>
      <c r="BJ1194" s="15"/>
      <c r="BK1194" s="15"/>
    </row>
    <row r="1195" spans="54:63" ht="15" customHeight="1" x14ac:dyDescent="0.3">
      <c r="BB1195" s="15"/>
      <c r="BC1195" s="15"/>
      <c r="BD1195" s="15"/>
      <c r="BE1195" s="15"/>
      <c r="BF1195" s="15"/>
      <c r="BG1195" s="15"/>
      <c r="BH1195" s="15"/>
      <c r="BI1195" s="15"/>
      <c r="BJ1195" s="15"/>
      <c r="BK1195" s="15"/>
    </row>
    <row r="1196" spans="54:63" ht="15" customHeight="1" x14ac:dyDescent="0.3">
      <c r="BB1196" s="15"/>
      <c r="BC1196" s="15"/>
      <c r="BD1196" s="15"/>
      <c r="BE1196" s="15"/>
      <c r="BF1196" s="15"/>
      <c r="BG1196" s="15"/>
      <c r="BH1196" s="15"/>
      <c r="BI1196" s="15"/>
      <c r="BJ1196" s="15"/>
      <c r="BK1196" s="15"/>
    </row>
    <row r="1197" spans="54:63" ht="15" customHeight="1" x14ac:dyDescent="0.3">
      <c r="BB1197" s="15"/>
      <c r="BC1197" s="15"/>
      <c r="BD1197" s="15"/>
      <c r="BE1197" s="15"/>
      <c r="BF1197" s="15"/>
      <c r="BG1197" s="15"/>
      <c r="BH1197" s="15"/>
      <c r="BI1197" s="15"/>
      <c r="BJ1197" s="15"/>
      <c r="BK1197" s="15"/>
    </row>
    <row r="1198" spans="54:63" ht="15" customHeight="1" x14ac:dyDescent="0.3">
      <c r="BB1198" s="15"/>
      <c r="BC1198" s="15"/>
      <c r="BD1198" s="15"/>
      <c r="BE1198" s="15"/>
      <c r="BF1198" s="15"/>
      <c r="BG1198" s="15"/>
      <c r="BH1198" s="15"/>
      <c r="BI1198" s="15"/>
      <c r="BJ1198" s="15"/>
      <c r="BK1198" s="15"/>
    </row>
    <row r="1199" spans="54:63" ht="15" customHeight="1" x14ac:dyDescent="0.3">
      <c r="BB1199" s="15"/>
      <c r="BC1199" s="15"/>
      <c r="BD1199" s="15"/>
      <c r="BE1199" s="15"/>
      <c r="BF1199" s="15"/>
      <c r="BG1199" s="15"/>
      <c r="BH1199" s="15"/>
      <c r="BI1199" s="15"/>
      <c r="BJ1199" s="15"/>
      <c r="BK1199" s="15"/>
    </row>
    <row r="1200" spans="54:63" ht="15" customHeight="1" x14ac:dyDescent="0.3">
      <c r="BB1200" s="15"/>
      <c r="BC1200" s="15"/>
      <c r="BD1200" s="15"/>
      <c r="BE1200" s="15"/>
      <c r="BF1200" s="15"/>
      <c r="BG1200" s="15"/>
      <c r="BH1200" s="15"/>
      <c r="BI1200" s="15"/>
      <c r="BJ1200" s="15"/>
      <c r="BK1200" s="15"/>
    </row>
    <row r="1201" spans="54:63" ht="15" customHeight="1" x14ac:dyDescent="0.3">
      <c r="BB1201" s="15"/>
      <c r="BC1201" s="15"/>
      <c r="BD1201" s="15"/>
      <c r="BE1201" s="15"/>
      <c r="BF1201" s="15"/>
      <c r="BG1201" s="15"/>
      <c r="BH1201" s="15"/>
      <c r="BI1201" s="15"/>
      <c r="BJ1201" s="15"/>
      <c r="BK1201" s="15"/>
    </row>
    <row r="1202" spans="54:63" ht="15" customHeight="1" x14ac:dyDescent="0.3">
      <c r="BB1202" s="15"/>
      <c r="BC1202" s="15"/>
      <c r="BD1202" s="15"/>
      <c r="BE1202" s="15"/>
      <c r="BF1202" s="15"/>
      <c r="BG1202" s="15"/>
      <c r="BH1202" s="15"/>
      <c r="BI1202" s="15"/>
      <c r="BJ1202" s="15"/>
      <c r="BK1202" s="15"/>
    </row>
    <row r="1203" spans="54:63" ht="15" customHeight="1" x14ac:dyDescent="0.3">
      <c r="BB1203" s="15"/>
      <c r="BC1203" s="15"/>
      <c r="BD1203" s="15"/>
      <c r="BE1203" s="15"/>
      <c r="BF1203" s="15"/>
      <c r="BG1203" s="15"/>
      <c r="BH1203" s="15"/>
      <c r="BI1203" s="15"/>
      <c r="BJ1203" s="15"/>
      <c r="BK1203" s="15"/>
    </row>
    <row r="1204" spans="54:63" ht="15" customHeight="1" x14ac:dyDescent="0.3">
      <c r="BB1204" s="15"/>
      <c r="BC1204" s="15"/>
      <c r="BD1204" s="15"/>
      <c r="BE1204" s="15"/>
      <c r="BF1204" s="15"/>
      <c r="BG1204" s="15"/>
      <c r="BH1204" s="15"/>
      <c r="BI1204" s="15"/>
      <c r="BJ1204" s="15"/>
      <c r="BK1204" s="15"/>
    </row>
    <row r="1205" spans="54:63" ht="15" customHeight="1" x14ac:dyDescent="0.3">
      <c r="BB1205" s="15"/>
      <c r="BC1205" s="15"/>
      <c r="BD1205" s="15"/>
      <c r="BE1205" s="15"/>
      <c r="BF1205" s="15"/>
      <c r="BG1205" s="15"/>
      <c r="BH1205" s="15"/>
      <c r="BI1205" s="15"/>
      <c r="BJ1205" s="15"/>
      <c r="BK1205" s="15"/>
    </row>
    <row r="1206" spans="54:63" ht="15" customHeight="1" x14ac:dyDescent="0.3">
      <c r="BB1206" s="15"/>
      <c r="BC1206" s="15"/>
      <c r="BD1206" s="15"/>
      <c r="BE1206" s="15"/>
      <c r="BF1206" s="15"/>
      <c r="BG1206" s="15"/>
      <c r="BH1206" s="15"/>
      <c r="BI1206" s="15"/>
      <c r="BJ1206" s="15"/>
      <c r="BK1206" s="15"/>
    </row>
    <row r="1207" spans="54:63" ht="15" customHeight="1" x14ac:dyDescent="0.3">
      <c r="BB1207" s="15"/>
      <c r="BC1207" s="15"/>
      <c r="BD1207" s="15"/>
      <c r="BE1207" s="15"/>
      <c r="BF1207" s="15"/>
      <c r="BG1207" s="15"/>
      <c r="BH1207" s="15"/>
      <c r="BI1207" s="15"/>
      <c r="BJ1207" s="15"/>
      <c r="BK1207" s="15"/>
    </row>
    <row r="1208" spans="54:63" ht="15" customHeight="1" x14ac:dyDescent="0.3">
      <c r="BB1208" s="15"/>
      <c r="BC1208" s="15"/>
      <c r="BD1208" s="15"/>
      <c r="BE1208" s="15"/>
      <c r="BF1208" s="15"/>
      <c r="BG1208" s="15"/>
      <c r="BH1208" s="15"/>
      <c r="BI1208" s="15"/>
      <c r="BJ1208" s="15"/>
      <c r="BK1208" s="15"/>
    </row>
    <row r="1209" spans="54:63" ht="15" customHeight="1" x14ac:dyDescent="0.3">
      <c r="BB1209" s="15"/>
      <c r="BC1209" s="15"/>
      <c r="BD1209" s="15"/>
      <c r="BE1209" s="15"/>
      <c r="BF1209" s="15"/>
      <c r="BG1209" s="15"/>
      <c r="BH1209" s="15"/>
      <c r="BI1209" s="15"/>
      <c r="BJ1209" s="15"/>
      <c r="BK1209" s="15"/>
    </row>
    <row r="1210" spans="54:63" ht="15" customHeight="1" x14ac:dyDescent="0.3">
      <c r="BB1210" s="15"/>
      <c r="BC1210" s="15"/>
      <c r="BD1210" s="15"/>
      <c r="BE1210" s="15"/>
      <c r="BF1210" s="15"/>
      <c r="BG1210" s="15"/>
      <c r="BH1210" s="15"/>
      <c r="BI1210" s="15"/>
      <c r="BJ1210" s="15"/>
      <c r="BK1210" s="15"/>
    </row>
    <row r="1211" spans="54:63" ht="15" customHeight="1" x14ac:dyDescent="0.3">
      <c r="BB1211" s="15"/>
      <c r="BC1211" s="15"/>
      <c r="BD1211" s="15"/>
      <c r="BE1211" s="15"/>
      <c r="BF1211" s="15"/>
      <c r="BG1211" s="15"/>
      <c r="BH1211" s="15"/>
      <c r="BI1211" s="15"/>
      <c r="BJ1211" s="15"/>
      <c r="BK1211" s="15"/>
    </row>
    <row r="1212" spans="54:63" ht="15" customHeight="1" x14ac:dyDescent="0.3">
      <c r="BB1212" s="15"/>
      <c r="BC1212" s="15"/>
      <c r="BD1212" s="15"/>
      <c r="BE1212" s="15"/>
      <c r="BF1212" s="15"/>
      <c r="BG1212" s="15"/>
      <c r="BH1212" s="15"/>
      <c r="BI1212" s="15"/>
      <c r="BJ1212" s="15"/>
      <c r="BK1212" s="15"/>
    </row>
    <row r="1213" spans="54:63" ht="15" customHeight="1" x14ac:dyDescent="0.3">
      <c r="BB1213" s="15"/>
      <c r="BC1213" s="15"/>
      <c r="BD1213" s="15"/>
      <c r="BE1213" s="15"/>
      <c r="BF1213" s="15"/>
      <c r="BG1213" s="15"/>
      <c r="BH1213" s="15"/>
      <c r="BI1213" s="15"/>
      <c r="BJ1213" s="15"/>
      <c r="BK1213" s="15"/>
    </row>
    <row r="1214" spans="54:63" ht="15" customHeight="1" x14ac:dyDescent="0.3">
      <c r="BB1214" s="15"/>
      <c r="BC1214" s="15"/>
      <c r="BD1214" s="15"/>
      <c r="BE1214" s="15"/>
      <c r="BF1214" s="15"/>
      <c r="BG1214" s="15"/>
      <c r="BH1214" s="15"/>
      <c r="BI1214" s="15"/>
      <c r="BJ1214" s="15"/>
      <c r="BK1214" s="15"/>
    </row>
    <row r="1215" spans="54:63" ht="15" customHeight="1" x14ac:dyDescent="0.3">
      <c r="BB1215" s="15"/>
      <c r="BC1215" s="15"/>
      <c r="BD1215" s="15"/>
      <c r="BE1215" s="15"/>
      <c r="BF1215" s="15"/>
      <c r="BG1215" s="15"/>
      <c r="BH1215" s="15"/>
      <c r="BI1215" s="15"/>
      <c r="BJ1215" s="15"/>
      <c r="BK1215" s="15"/>
    </row>
    <row r="1216" spans="54:63" ht="15" customHeight="1" x14ac:dyDescent="0.3">
      <c r="BB1216" s="15"/>
      <c r="BC1216" s="15"/>
      <c r="BD1216" s="15"/>
      <c r="BE1216" s="15"/>
      <c r="BF1216" s="15"/>
      <c r="BG1216" s="15"/>
      <c r="BH1216" s="15"/>
      <c r="BI1216" s="15"/>
      <c r="BJ1216" s="15"/>
      <c r="BK1216" s="15"/>
    </row>
    <row r="1217" spans="54:63" ht="15" customHeight="1" x14ac:dyDescent="0.3">
      <c r="BB1217" s="15"/>
      <c r="BC1217" s="15"/>
      <c r="BD1217" s="15"/>
      <c r="BE1217" s="15"/>
      <c r="BF1217" s="15"/>
      <c r="BG1217" s="15"/>
      <c r="BH1217" s="15"/>
      <c r="BI1217" s="15"/>
      <c r="BJ1217" s="15"/>
      <c r="BK1217" s="15"/>
    </row>
    <row r="1218" spans="54:63" ht="15" customHeight="1" x14ac:dyDescent="0.3">
      <c r="BB1218" s="15"/>
      <c r="BC1218" s="15"/>
      <c r="BD1218" s="15"/>
      <c r="BE1218" s="15"/>
      <c r="BF1218" s="15"/>
      <c r="BG1218" s="15"/>
      <c r="BH1218" s="15"/>
      <c r="BI1218" s="15"/>
      <c r="BJ1218" s="15"/>
      <c r="BK1218" s="15"/>
    </row>
    <row r="1219" spans="54:63" ht="15" customHeight="1" x14ac:dyDescent="0.3">
      <c r="BB1219" s="15"/>
      <c r="BC1219" s="15"/>
      <c r="BD1219" s="15"/>
      <c r="BE1219" s="15"/>
      <c r="BF1219" s="15"/>
      <c r="BG1219" s="15"/>
      <c r="BH1219" s="15"/>
      <c r="BI1219" s="15"/>
      <c r="BJ1219" s="15"/>
      <c r="BK1219" s="15"/>
    </row>
    <row r="1220" spans="54:63" ht="15" customHeight="1" x14ac:dyDescent="0.3">
      <c r="BB1220" s="15"/>
      <c r="BC1220" s="15"/>
      <c r="BD1220" s="15"/>
      <c r="BE1220" s="15"/>
      <c r="BF1220" s="15"/>
      <c r="BG1220" s="15"/>
      <c r="BH1220" s="15"/>
      <c r="BI1220" s="15"/>
      <c r="BJ1220" s="15"/>
      <c r="BK1220" s="15"/>
    </row>
    <row r="1221" spans="54:63" ht="15" customHeight="1" x14ac:dyDescent="0.3">
      <c r="BB1221" s="15"/>
      <c r="BC1221" s="15"/>
      <c r="BD1221" s="15"/>
      <c r="BE1221" s="15"/>
      <c r="BF1221" s="15"/>
      <c r="BG1221" s="15"/>
      <c r="BH1221" s="15"/>
      <c r="BI1221" s="15"/>
      <c r="BJ1221" s="15"/>
      <c r="BK1221" s="15"/>
    </row>
    <row r="1222" spans="54:63" ht="15" customHeight="1" x14ac:dyDescent="0.3">
      <c r="BB1222" s="15"/>
      <c r="BC1222" s="15"/>
      <c r="BD1222" s="15"/>
      <c r="BE1222" s="15"/>
      <c r="BF1222" s="15"/>
      <c r="BG1222" s="15"/>
      <c r="BH1222" s="15"/>
      <c r="BI1222" s="15"/>
      <c r="BJ1222" s="15"/>
      <c r="BK1222" s="15"/>
    </row>
    <row r="1223" spans="54:63" ht="15" customHeight="1" x14ac:dyDescent="0.3">
      <c r="BB1223" s="15"/>
      <c r="BC1223" s="15"/>
      <c r="BD1223" s="15"/>
      <c r="BE1223" s="15"/>
      <c r="BF1223" s="15"/>
      <c r="BG1223" s="15"/>
      <c r="BH1223" s="15"/>
      <c r="BI1223" s="15"/>
      <c r="BJ1223" s="15"/>
      <c r="BK1223" s="15"/>
    </row>
    <row r="1224" spans="54:63" ht="15" customHeight="1" x14ac:dyDescent="0.3">
      <c r="BB1224" s="15"/>
      <c r="BC1224" s="15"/>
      <c r="BD1224" s="15"/>
      <c r="BE1224" s="15"/>
      <c r="BF1224" s="15"/>
      <c r="BG1224" s="15"/>
      <c r="BH1224" s="15"/>
      <c r="BI1224" s="15"/>
      <c r="BJ1224" s="15"/>
      <c r="BK1224" s="15"/>
    </row>
    <row r="1225" spans="54:63" ht="15" customHeight="1" x14ac:dyDescent="0.3">
      <c r="BB1225" s="15"/>
      <c r="BC1225" s="15"/>
      <c r="BD1225" s="15"/>
      <c r="BE1225" s="15"/>
      <c r="BF1225" s="15"/>
      <c r="BG1225" s="15"/>
      <c r="BH1225" s="15"/>
      <c r="BI1225" s="15"/>
      <c r="BJ1225" s="15"/>
      <c r="BK1225" s="15"/>
    </row>
    <row r="1226" spans="54:63" ht="15" customHeight="1" x14ac:dyDescent="0.3">
      <c r="BB1226" s="15"/>
      <c r="BC1226" s="15"/>
      <c r="BD1226" s="15"/>
      <c r="BE1226" s="15"/>
      <c r="BF1226" s="15"/>
      <c r="BG1226" s="15"/>
      <c r="BH1226" s="15"/>
      <c r="BI1226" s="15"/>
      <c r="BJ1226" s="15"/>
      <c r="BK1226" s="15"/>
    </row>
    <row r="1227" spans="54:63" ht="15" customHeight="1" x14ac:dyDescent="0.3">
      <c r="BB1227" s="15"/>
      <c r="BC1227" s="15"/>
      <c r="BD1227" s="15"/>
      <c r="BE1227" s="15"/>
      <c r="BF1227" s="15"/>
      <c r="BG1227" s="15"/>
      <c r="BH1227" s="15"/>
      <c r="BI1227" s="15"/>
      <c r="BJ1227" s="15"/>
      <c r="BK1227" s="15"/>
    </row>
    <row r="1228" spans="54:63" ht="15" customHeight="1" x14ac:dyDescent="0.3">
      <c r="BB1228" s="15"/>
      <c r="BC1228" s="15"/>
      <c r="BD1228" s="15"/>
      <c r="BE1228" s="15"/>
      <c r="BF1228" s="15"/>
      <c r="BG1228" s="15"/>
      <c r="BH1228" s="15"/>
      <c r="BI1228" s="15"/>
      <c r="BJ1228" s="15"/>
      <c r="BK1228" s="15"/>
    </row>
    <row r="1229" spans="54:63" ht="15" customHeight="1" x14ac:dyDescent="0.3">
      <c r="BB1229" s="15"/>
      <c r="BC1229" s="15"/>
      <c r="BD1229" s="15"/>
      <c r="BE1229" s="15"/>
      <c r="BF1229" s="15"/>
      <c r="BG1229" s="15"/>
      <c r="BH1229" s="15"/>
      <c r="BI1229" s="15"/>
      <c r="BJ1229" s="15"/>
      <c r="BK1229" s="15"/>
    </row>
    <row r="1230" spans="54:63" ht="15" customHeight="1" x14ac:dyDescent="0.3">
      <c r="BB1230" s="15"/>
      <c r="BC1230" s="15"/>
      <c r="BD1230" s="15"/>
      <c r="BE1230" s="15"/>
      <c r="BF1230" s="15"/>
      <c r="BG1230" s="15"/>
      <c r="BH1230" s="15"/>
      <c r="BI1230" s="15"/>
      <c r="BJ1230" s="15"/>
      <c r="BK1230" s="15"/>
    </row>
    <row r="1231" spans="54:63" ht="15" customHeight="1" x14ac:dyDescent="0.3">
      <c r="BB1231" s="15"/>
      <c r="BC1231" s="15"/>
      <c r="BD1231" s="15"/>
      <c r="BE1231" s="15"/>
      <c r="BF1231" s="15"/>
      <c r="BG1231" s="15"/>
      <c r="BH1231" s="15"/>
      <c r="BI1231" s="15"/>
      <c r="BJ1231" s="15"/>
      <c r="BK1231" s="15"/>
    </row>
    <row r="1232" spans="54:63" ht="15" customHeight="1" x14ac:dyDescent="0.3">
      <c r="BB1232" s="15"/>
      <c r="BC1232" s="15"/>
      <c r="BD1232" s="15"/>
      <c r="BE1232" s="15"/>
      <c r="BF1232" s="15"/>
      <c r="BG1232" s="15"/>
      <c r="BH1232" s="15"/>
      <c r="BI1232" s="15"/>
      <c r="BJ1232" s="15"/>
      <c r="BK1232" s="15"/>
    </row>
    <row r="1233" spans="54:63" ht="15" customHeight="1" x14ac:dyDescent="0.3">
      <c r="BB1233" s="15"/>
      <c r="BC1233" s="15"/>
      <c r="BD1233" s="15"/>
      <c r="BE1233" s="15"/>
      <c r="BF1233" s="15"/>
      <c r="BG1233" s="15"/>
      <c r="BH1233" s="15"/>
      <c r="BI1233" s="15"/>
      <c r="BJ1233" s="15"/>
      <c r="BK1233" s="15"/>
    </row>
    <row r="1234" spans="54:63" ht="15" customHeight="1" x14ac:dyDescent="0.3">
      <c r="BB1234" s="15"/>
      <c r="BC1234" s="15"/>
      <c r="BD1234" s="15"/>
      <c r="BE1234" s="15"/>
      <c r="BF1234" s="15"/>
      <c r="BG1234" s="15"/>
      <c r="BH1234" s="15"/>
      <c r="BI1234" s="15"/>
      <c r="BJ1234" s="15"/>
      <c r="BK1234" s="15"/>
    </row>
    <row r="1235" spans="54:63" ht="15" customHeight="1" x14ac:dyDescent="0.3">
      <c r="BB1235" s="15"/>
      <c r="BC1235" s="15"/>
      <c r="BD1235" s="15"/>
      <c r="BE1235" s="15"/>
      <c r="BF1235" s="15"/>
      <c r="BG1235" s="15"/>
      <c r="BH1235" s="15"/>
      <c r="BI1235" s="15"/>
      <c r="BJ1235" s="15"/>
      <c r="BK1235" s="15"/>
    </row>
    <row r="1236" spans="54:63" ht="15" customHeight="1" x14ac:dyDescent="0.3">
      <c r="BB1236" s="15"/>
      <c r="BC1236" s="15"/>
      <c r="BD1236" s="15"/>
      <c r="BE1236" s="15"/>
      <c r="BF1236" s="15"/>
      <c r="BG1236" s="15"/>
      <c r="BH1236" s="15"/>
      <c r="BI1236" s="15"/>
      <c r="BJ1236" s="15"/>
      <c r="BK1236" s="15"/>
    </row>
    <row r="1237" spans="54:63" ht="15" customHeight="1" x14ac:dyDescent="0.3">
      <c r="BB1237" s="15"/>
      <c r="BC1237" s="15"/>
      <c r="BD1237" s="15"/>
      <c r="BE1237" s="15"/>
      <c r="BF1237" s="15"/>
      <c r="BG1237" s="15"/>
      <c r="BH1237" s="15"/>
      <c r="BI1237" s="15"/>
      <c r="BJ1237" s="15"/>
      <c r="BK1237" s="15"/>
    </row>
    <row r="1238" spans="54:63" ht="15" customHeight="1" x14ac:dyDescent="0.3">
      <c r="BB1238" s="15"/>
      <c r="BC1238" s="15"/>
      <c r="BD1238" s="15"/>
      <c r="BE1238" s="15"/>
      <c r="BF1238" s="15"/>
      <c r="BG1238" s="15"/>
      <c r="BH1238" s="15"/>
      <c r="BI1238" s="15"/>
      <c r="BJ1238" s="15"/>
      <c r="BK1238" s="15"/>
    </row>
    <row r="1239" spans="54:63" ht="15" customHeight="1" x14ac:dyDescent="0.3">
      <c r="BB1239" s="15"/>
      <c r="BC1239" s="15"/>
      <c r="BD1239" s="15"/>
      <c r="BE1239" s="15"/>
      <c r="BF1239" s="15"/>
      <c r="BG1239" s="15"/>
      <c r="BH1239" s="15"/>
      <c r="BI1239" s="15"/>
      <c r="BJ1239" s="15"/>
      <c r="BK1239" s="15"/>
    </row>
    <row r="1240" spans="54:63" ht="15" customHeight="1" x14ac:dyDescent="0.3">
      <c r="BB1240" s="15"/>
      <c r="BC1240" s="15"/>
      <c r="BD1240" s="15"/>
      <c r="BE1240" s="15"/>
      <c r="BF1240" s="15"/>
      <c r="BG1240" s="15"/>
      <c r="BH1240" s="15"/>
      <c r="BI1240" s="15"/>
      <c r="BJ1240" s="15"/>
      <c r="BK1240" s="15"/>
    </row>
    <row r="1241" spans="54:63" ht="15" customHeight="1" x14ac:dyDescent="0.3">
      <c r="BB1241" s="15"/>
      <c r="BC1241" s="15"/>
      <c r="BD1241" s="15"/>
      <c r="BE1241" s="15"/>
      <c r="BF1241" s="15"/>
      <c r="BG1241" s="15"/>
      <c r="BH1241" s="15"/>
      <c r="BI1241" s="15"/>
      <c r="BJ1241" s="15"/>
      <c r="BK1241" s="15"/>
    </row>
    <row r="1242" spans="54:63" ht="15" customHeight="1" x14ac:dyDescent="0.3">
      <c r="BB1242" s="15"/>
      <c r="BC1242" s="15"/>
      <c r="BD1242" s="15"/>
      <c r="BE1242" s="15"/>
      <c r="BF1242" s="15"/>
      <c r="BG1242" s="15"/>
      <c r="BH1242" s="15"/>
      <c r="BI1242" s="15"/>
      <c r="BJ1242" s="15"/>
      <c r="BK1242" s="15"/>
    </row>
    <row r="1243" spans="54:63" ht="15" customHeight="1" x14ac:dyDescent="0.3">
      <c r="BB1243" s="15"/>
      <c r="BC1243" s="15"/>
      <c r="BD1243" s="15"/>
      <c r="BE1243" s="15"/>
      <c r="BF1243" s="15"/>
      <c r="BG1243" s="15"/>
      <c r="BH1243" s="15"/>
      <c r="BI1243" s="15"/>
      <c r="BJ1243" s="15"/>
      <c r="BK1243" s="15"/>
    </row>
    <row r="1244" spans="54:63" ht="15" customHeight="1" x14ac:dyDescent="0.3">
      <c r="BB1244" s="15"/>
      <c r="BC1244" s="15"/>
      <c r="BD1244" s="15"/>
      <c r="BE1244" s="15"/>
      <c r="BF1244" s="15"/>
      <c r="BG1244" s="15"/>
      <c r="BH1244" s="15"/>
      <c r="BI1244" s="15"/>
      <c r="BJ1244" s="15"/>
      <c r="BK1244" s="15"/>
    </row>
    <row r="1245" spans="54:63" ht="15" customHeight="1" x14ac:dyDescent="0.3">
      <c r="BB1245" s="15"/>
      <c r="BC1245" s="15"/>
      <c r="BD1245" s="15"/>
      <c r="BE1245" s="15"/>
      <c r="BF1245" s="15"/>
      <c r="BG1245" s="15"/>
      <c r="BH1245" s="15"/>
      <c r="BI1245" s="15"/>
      <c r="BJ1245" s="15"/>
      <c r="BK1245" s="15"/>
    </row>
    <row r="1246" spans="54:63" ht="15" customHeight="1" x14ac:dyDescent="0.3">
      <c r="BB1246" s="15"/>
      <c r="BC1246" s="15"/>
      <c r="BD1246" s="15"/>
      <c r="BE1246" s="15"/>
      <c r="BF1246" s="15"/>
      <c r="BG1246" s="15"/>
      <c r="BH1246" s="15"/>
      <c r="BI1246" s="15"/>
      <c r="BJ1246" s="15"/>
      <c r="BK1246" s="15"/>
    </row>
    <row r="1247" spans="54:63" ht="15" customHeight="1" x14ac:dyDescent="0.3">
      <c r="BB1247" s="15"/>
      <c r="BC1247" s="15"/>
      <c r="BD1247" s="15"/>
      <c r="BE1247" s="15"/>
      <c r="BF1247" s="15"/>
      <c r="BG1247" s="15"/>
      <c r="BH1247" s="15"/>
      <c r="BI1247" s="15"/>
      <c r="BJ1247" s="15"/>
      <c r="BK1247" s="15"/>
    </row>
    <row r="1248" spans="54:63" ht="15" customHeight="1" x14ac:dyDescent="0.3">
      <c r="BB1248" s="15"/>
      <c r="BC1248" s="15"/>
      <c r="BD1248" s="15"/>
      <c r="BE1248" s="15"/>
      <c r="BF1248" s="15"/>
      <c r="BG1248" s="15"/>
      <c r="BH1248" s="15"/>
      <c r="BI1248" s="15"/>
      <c r="BJ1248" s="15"/>
      <c r="BK1248" s="15"/>
    </row>
    <row r="1249" spans="54:63" ht="15" customHeight="1" x14ac:dyDescent="0.3">
      <c r="BB1249" s="15"/>
      <c r="BC1249" s="15"/>
      <c r="BD1249" s="15"/>
      <c r="BE1249" s="15"/>
      <c r="BF1249" s="15"/>
      <c r="BG1249" s="15"/>
      <c r="BH1249" s="15"/>
      <c r="BI1249" s="15"/>
      <c r="BJ1249" s="15"/>
      <c r="BK1249" s="15"/>
    </row>
    <row r="1250" spans="54:63" ht="15" customHeight="1" x14ac:dyDescent="0.3">
      <c r="BB1250" s="15"/>
      <c r="BC1250" s="15"/>
      <c r="BD1250" s="15"/>
      <c r="BE1250" s="15"/>
      <c r="BF1250" s="15"/>
      <c r="BG1250" s="15"/>
      <c r="BH1250" s="15"/>
      <c r="BI1250" s="15"/>
      <c r="BJ1250" s="15"/>
      <c r="BK1250" s="15"/>
    </row>
    <row r="1251" spans="54:63" ht="15" customHeight="1" x14ac:dyDescent="0.3">
      <c r="BB1251" s="15"/>
      <c r="BC1251" s="15"/>
      <c r="BD1251" s="15"/>
      <c r="BE1251" s="15"/>
      <c r="BF1251" s="15"/>
      <c r="BG1251" s="15"/>
      <c r="BH1251" s="15"/>
      <c r="BI1251" s="15"/>
      <c r="BJ1251" s="15"/>
      <c r="BK1251" s="15"/>
    </row>
    <row r="1252" spans="54:63" ht="15" customHeight="1" x14ac:dyDescent="0.3">
      <c r="BB1252" s="15"/>
      <c r="BC1252" s="15"/>
      <c r="BD1252" s="15"/>
      <c r="BE1252" s="15"/>
      <c r="BF1252" s="15"/>
      <c r="BG1252" s="15"/>
      <c r="BH1252" s="15"/>
      <c r="BI1252" s="15"/>
      <c r="BJ1252" s="15"/>
      <c r="BK1252" s="15"/>
    </row>
    <row r="1253" spans="54:63" ht="15" customHeight="1" x14ac:dyDescent="0.3">
      <c r="BB1253" s="15"/>
      <c r="BC1253" s="15"/>
      <c r="BD1253" s="15"/>
      <c r="BE1253" s="15"/>
      <c r="BF1253" s="15"/>
      <c r="BG1253" s="15"/>
      <c r="BH1253" s="15"/>
      <c r="BI1253" s="15"/>
      <c r="BJ1253" s="15"/>
      <c r="BK1253" s="15"/>
    </row>
    <row r="1254" spans="54:63" ht="15" customHeight="1" x14ac:dyDescent="0.3">
      <c r="BB1254" s="15"/>
      <c r="BC1254" s="15"/>
      <c r="BD1254" s="15"/>
      <c r="BE1254" s="15"/>
      <c r="BF1254" s="15"/>
      <c r="BG1254" s="15"/>
      <c r="BH1254" s="15"/>
      <c r="BI1254" s="15"/>
      <c r="BJ1254" s="15"/>
      <c r="BK1254" s="15"/>
    </row>
    <row r="1255" spans="54:63" ht="15" customHeight="1" x14ac:dyDescent="0.3">
      <c r="BB1255" s="15"/>
      <c r="BC1255" s="15"/>
      <c r="BD1255" s="15"/>
      <c r="BE1255" s="15"/>
      <c r="BF1255" s="15"/>
      <c r="BG1255" s="15"/>
      <c r="BH1255" s="15"/>
      <c r="BI1255" s="15"/>
      <c r="BJ1255" s="15"/>
      <c r="BK1255" s="15"/>
    </row>
    <row r="1256" spans="54:63" ht="15" customHeight="1" x14ac:dyDescent="0.3">
      <c r="BB1256" s="15"/>
      <c r="BC1256" s="15"/>
      <c r="BD1256" s="15"/>
      <c r="BE1256" s="15"/>
      <c r="BF1256" s="15"/>
      <c r="BG1256" s="15"/>
      <c r="BH1256" s="15"/>
      <c r="BI1256" s="15"/>
      <c r="BJ1256" s="15"/>
      <c r="BK1256" s="15"/>
    </row>
    <row r="1257" spans="54:63" ht="15" customHeight="1" x14ac:dyDescent="0.3">
      <c r="BB1257" s="15"/>
      <c r="BC1257" s="15"/>
      <c r="BD1257" s="15"/>
      <c r="BE1257" s="15"/>
      <c r="BF1257" s="15"/>
      <c r="BG1257" s="15"/>
      <c r="BH1257" s="15"/>
      <c r="BI1257" s="15"/>
      <c r="BJ1257" s="15"/>
      <c r="BK1257" s="15"/>
    </row>
    <row r="1258" spans="54:63" ht="15" customHeight="1" x14ac:dyDescent="0.3">
      <c r="BB1258" s="15"/>
      <c r="BC1258" s="15"/>
      <c r="BD1258" s="15"/>
      <c r="BE1258" s="15"/>
      <c r="BF1258" s="15"/>
      <c r="BG1258" s="15"/>
      <c r="BH1258" s="15"/>
      <c r="BI1258" s="15"/>
      <c r="BJ1258" s="15"/>
      <c r="BK1258" s="15"/>
    </row>
    <row r="1259" spans="54:63" ht="15" customHeight="1" x14ac:dyDescent="0.3">
      <c r="BB1259" s="15"/>
      <c r="BC1259" s="15"/>
      <c r="BD1259" s="15"/>
      <c r="BE1259" s="15"/>
      <c r="BF1259" s="15"/>
      <c r="BG1259" s="15"/>
      <c r="BH1259" s="15"/>
      <c r="BI1259" s="15"/>
      <c r="BJ1259" s="15"/>
      <c r="BK1259" s="15"/>
    </row>
    <row r="1260" spans="54:63" ht="15" customHeight="1" x14ac:dyDescent="0.3">
      <c r="BB1260" s="15"/>
      <c r="BC1260" s="15"/>
      <c r="BD1260" s="15"/>
      <c r="BE1260" s="15"/>
      <c r="BF1260" s="15"/>
      <c r="BG1260" s="15"/>
      <c r="BH1260" s="15"/>
      <c r="BI1260" s="15"/>
      <c r="BJ1260" s="15"/>
      <c r="BK1260" s="15"/>
    </row>
    <row r="1261" spans="54:63" ht="15" customHeight="1" x14ac:dyDescent="0.3">
      <c r="BB1261" s="15"/>
      <c r="BC1261" s="15"/>
      <c r="BD1261" s="15"/>
      <c r="BE1261" s="15"/>
      <c r="BF1261" s="15"/>
      <c r="BG1261" s="15"/>
      <c r="BH1261" s="15"/>
      <c r="BI1261" s="15"/>
      <c r="BJ1261" s="15"/>
      <c r="BK1261" s="15"/>
    </row>
    <row r="1262" spans="54:63" ht="15" customHeight="1" x14ac:dyDescent="0.3">
      <c r="BB1262" s="15"/>
      <c r="BC1262" s="15"/>
      <c r="BD1262" s="15"/>
      <c r="BE1262" s="15"/>
      <c r="BF1262" s="15"/>
      <c r="BG1262" s="15"/>
      <c r="BH1262" s="15"/>
      <c r="BI1262" s="15"/>
      <c r="BJ1262" s="15"/>
      <c r="BK1262" s="15"/>
    </row>
    <row r="1263" spans="54:63" ht="15" customHeight="1" x14ac:dyDescent="0.3">
      <c r="BB1263" s="15"/>
      <c r="BC1263" s="15"/>
      <c r="BD1263" s="15"/>
      <c r="BE1263" s="15"/>
      <c r="BF1263" s="15"/>
      <c r="BG1263" s="15"/>
      <c r="BH1263" s="15"/>
      <c r="BI1263" s="15"/>
      <c r="BJ1263" s="15"/>
      <c r="BK1263" s="15"/>
    </row>
    <row r="1264" spans="54:63" ht="15" customHeight="1" x14ac:dyDescent="0.3">
      <c r="BB1264" s="15"/>
      <c r="BC1264" s="15"/>
      <c r="BD1264" s="15"/>
      <c r="BE1264" s="15"/>
      <c r="BF1264" s="15"/>
      <c r="BG1264" s="15"/>
      <c r="BH1264" s="15"/>
      <c r="BI1264" s="15"/>
      <c r="BJ1264" s="15"/>
      <c r="BK1264" s="15"/>
    </row>
    <row r="1265" spans="54:63" ht="15" customHeight="1" x14ac:dyDescent="0.3">
      <c r="BB1265" s="15"/>
      <c r="BC1265" s="15"/>
      <c r="BD1265" s="15"/>
      <c r="BE1265" s="15"/>
      <c r="BF1265" s="15"/>
      <c r="BG1265" s="15"/>
      <c r="BH1265" s="15"/>
      <c r="BI1265" s="15"/>
      <c r="BJ1265" s="15"/>
      <c r="BK1265" s="15"/>
    </row>
    <row r="1266" spans="54:63" ht="15" customHeight="1" x14ac:dyDescent="0.3">
      <c r="BB1266" s="15"/>
      <c r="BC1266" s="15"/>
      <c r="BD1266" s="15"/>
      <c r="BE1266" s="15"/>
      <c r="BF1266" s="15"/>
      <c r="BG1266" s="15"/>
      <c r="BH1266" s="15"/>
      <c r="BI1266" s="15"/>
      <c r="BJ1266" s="15"/>
      <c r="BK1266" s="15"/>
    </row>
    <row r="1267" spans="54:63" ht="15" customHeight="1" x14ac:dyDescent="0.3">
      <c r="BB1267" s="15"/>
      <c r="BC1267" s="15"/>
      <c r="BD1267" s="15"/>
      <c r="BE1267" s="15"/>
      <c r="BF1267" s="15"/>
      <c r="BG1267" s="15"/>
      <c r="BH1267" s="15"/>
      <c r="BI1267" s="15"/>
      <c r="BJ1267" s="15"/>
      <c r="BK1267" s="15"/>
    </row>
    <row r="1268" spans="54:63" ht="15" customHeight="1" x14ac:dyDescent="0.3">
      <c r="BB1268" s="15"/>
      <c r="BC1268" s="15"/>
      <c r="BD1268" s="15"/>
      <c r="BE1268" s="15"/>
      <c r="BF1268" s="15"/>
      <c r="BG1268" s="15"/>
      <c r="BH1268" s="15"/>
      <c r="BI1268" s="15"/>
      <c r="BJ1268" s="15"/>
      <c r="BK1268" s="15"/>
    </row>
    <row r="1269" spans="54:63" ht="15" customHeight="1" x14ac:dyDescent="0.3">
      <c r="BB1269" s="15"/>
      <c r="BC1269" s="15"/>
      <c r="BD1269" s="15"/>
      <c r="BE1269" s="15"/>
      <c r="BF1269" s="15"/>
      <c r="BG1269" s="15"/>
      <c r="BH1269" s="15"/>
      <c r="BI1269" s="15"/>
      <c r="BJ1269" s="15"/>
      <c r="BK1269" s="15"/>
    </row>
    <row r="1270" spans="54:63" ht="15" customHeight="1" x14ac:dyDescent="0.3">
      <c r="BB1270" s="15"/>
      <c r="BC1270" s="15"/>
      <c r="BD1270" s="15"/>
      <c r="BE1270" s="15"/>
      <c r="BF1270" s="15"/>
      <c r="BG1270" s="15"/>
      <c r="BH1270" s="15"/>
      <c r="BI1270" s="15"/>
      <c r="BJ1270" s="15"/>
      <c r="BK1270" s="15"/>
    </row>
    <row r="1271" spans="54:63" ht="15" customHeight="1" x14ac:dyDescent="0.3">
      <c r="BB1271" s="15"/>
      <c r="BC1271" s="15"/>
      <c r="BD1271" s="15"/>
      <c r="BE1271" s="15"/>
      <c r="BF1271" s="15"/>
      <c r="BG1271" s="15"/>
      <c r="BH1271" s="15"/>
      <c r="BI1271" s="15"/>
      <c r="BJ1271" s="15"/>
      <c r="BK1271" s="15"/>
    </row>
    <row r="1272" spans="54:63" ht="15" customHeight="1" x14ac:dyDescent="0.3">
      <c r="BB1272" s="15"/>
      <c r="BC1272" s="15"/>
      <c r="BD1272" s="15"/>
      <c r="BE1272" s="15"/>
      <c r="BF1272" s="15"/>
      <c r="BG1272" s="15"/>
      <c r="BH1272" s="15"/>
      <c r="BI1272" s="15"/>
      <c r="BJ1272" s="15"/>
      <c r="BK1272" s="15"/>
    </row>
    <row r="1273" spans="54:63" ht="15" customHeight="1" x14ac:dyDescent="0.3">
      <c r="BB1273" s="15"/>
      <c r="BC1273" s="15"/>
      <c r="BD1273" s="15"/>
      <c r="BE1273" s="15"/>
      <c r="BF1273" s="15"/>
      <c r="BG1273" s="15"/>
      <c r="BH1273" s="15"/>
      <c r="BI1273" s="15"/>
      <c r="BJ1273" s="15"/>
      <c r="BK1273" s="15"/>
    </row>
    <row r="1274" spans="54:63" ht="15" customHeight="1" x14ac:dyDescent="0.3">
      <c r="BB1274" s="15"/>
      <c r="BC1274" s="15"/>
      <c r="BD1274" s="15"/>
      <c r="BE1274" s="15"/>
      <c r="BF1274" s="15"/>
      <c r="BG1274" s="15"/>
      <c r="BH1274" s="15"/>
      <c r="BI1274" s="15"/>
      <c r="BJ1274" s="15"/>
      <c r="BK1274" s="15"/>
    </row>
    <row r="1275" spans="54:63" ht="15" customHeight="1" x14ac:dyDescent="0.3">
      <c r="BB1275" s="15"/>
      <c r="BC1275" s="15"/>
      <c r="BD1275" s="15"/>
      <c r="BE1275" s="15"/>
      <c r="BF1275" s="15"/>
      <c r="BG1275" s="15"/>
      <c r="BH1275" s="15"/>
      <c r="BI1275" s="15"/>
      <c r="BJ1275" s="15"/>
      <c r="BK1275" s="15"/>
    </row>
    <row r="1276" spans="54:63" ht="15" customHeight="1" x14ac:dyDescent="0.3">
      <c r="BB1276" s="15"/>
      <c r="BC1276" s="15"/>
      <c r="BD1276" s="15"/>
      <c r="BE1276" s="15"/>
      <c r="BF1276" s="15"/>
      <c r="BG1276" s="15"/>
      <c r="BH1276" s="15"/>
      <c r="BI1276" s="15"/>
      <c r="BJ1276" s="15"/>
      <c r="BK1276" s="15"/>
    </row>
    <row r="1277" spans="54:63" ht="15" customHeight="1" x14ac:dyDescent="0.3">
      <c r="BB1277" s="15"/>
      <c r="BC1277" s="15"/>
      <c r="BD1277" s="15"/>
      <c r="BE1277" s="15"/>
      <c r="BF1277" s="15"/>
      <c r="BG1277" s="15"/>
      <c r="BH1277" s="15"/>
      <c r="BI1277" s="15"/>
      <c r="BJ1277" s="15"/>
      <c r="BK1277" s="15"/>
    </row>
    <row r="1278" spans="54:63" ht="15" customHeight="1" x14ac:dyDescent="0.3">
      <c r="BB1278" s="15"/>
      <c r="BC1278" s="15"/>
      <c r="BD1278" s="15"/>
      <c r="BE1278" s="15"/>
      <c r="BF1278" s="15"/>
      <c r="BG1278" s="15"/>
      <c r="BH1278" s="15"/>
      <c r="BI1278" s="15"/>
      <c r="BJ1278" s="15"/>
      <c r="BK1278" s="15"/>
    </row>
    <row r="1279" spans="54:63" ht="15" customHeight="1" x14ac:dyDescent="0.3">
      <c r="BB1279" s="15"/>
      <c r="BC1279" s="15"/>
      <c r="BD1279" s="15"/>
      <c r="BE1279" s="15"/>
      <c r="BF1279" s="15"/>
      <c r="BG1279" s="15"/>
      <c r="BH1279" s="15"/>
      <c r="BI1279" s="15"/>
      <c r="BJ1279" s="15"/>
      <c r="BK1279" s="15"/>
    </row>
    <row r="1280" spans="54:63" ht="15" customHeight="1" x14ac:dyDescent="0.3">
      <c r="BB1280" s="15"/>
      <c r="BC1280" s="15"/>
      <c r="BD1280" s="15"/>
      <c r="BE1280" s="15"/>
      <c r="BF1280" s="15"/>
      <c r="BG1280" s="15"/>
      <c r="BH1280" s="15"/>
      <c r="BI1280" s="15"/>
      <c r="BJ1280" s="15"/>
      <c r="BK1280" s="15"/>
    </row>
    <row r="1281" spans="54:63" ht="15" customHeight="1" x14ac:dyDescent="0.3">
      <c r="BB1281" s="15"/>
      <c r="BC1281" s="15"/>
      <c r="BD1281" s="15"/>
      <c r="BE1281" s="15"/>
      <c r="BF1281" s="15"/>
      <c r="BG1281" s="15"/>
      <c r="BH1281" s="15"/>
      <c r="BI1281" s="15"/>
      <c r="BJ1281" s="15"/>
      <c r="BK1281" s="15"/>
    </row>
    <row r="1282" spans="54:63" ht="15" customHeight="1" x14ac:dyDescent="0.3">
      <c r="BB1282" s="15"/>
      <c r="BC1282" s="15"/>
      <c r="BD1282" s="15"/>
      <c r="BE1282" s="15"/>
      <c r="BF1282" s="15"/>
      <c r="BG1282" s="15"/>
      <c r="BH1282" s="15"/>
      <c r="BI1282" s="15"/>
      <c r="BJ1282" s="15"/>
      <c r="BK1282" s="15"/>
    </row>
    <row r="1283" spans="54:63" ht="15" customHeight="1" x14ac:dyDescent="0.3">
      <c r="BB1283" s="15"/>
      <c r="BC1283" s="15"/>
      <c r="BD1283" s="15"/>
      <c r="BE1283" s="15"/>
      <c r="BF1283" s="15"/>
      <c r="BG1283" s="15"/>
      <c r="BH1283" s="15"/>
      <c r="BI1283" s="15"/>
      <c r="BJ1283" s="15"/>
      <c r="BK1283" s="15"/>
    </row>
    <row r="1284" spans="54:63" ht="15" customHeight="1" x14ac:dyDescent="0.3">
      <c r="BB1284" s="15"/>
      <c r="BC1284" s="15"/>
      <c r="BD1284" s="15"/>
      <c r="BE1284" s="15"/>
      <c r="BF1284" s="15"/>
      <c r="BG1284" s="15"/>
      <c r="BH1284" s="15"/>
      <c r="BI1284" s="15"/>
      <c r="BJ1284" s="15"/>
      <c r="BK1284" s="15"/>
    </row>
    <row r="1285" spans="54:63" ht="15" customHeight="1" x14ac:dyDescent="0.3">
      <c r="BB1285" s="15"/>
      <c r="BC1285" s="15"/>
      <c r="BD1285" s="15"/>
      <c r="BE1285" s="15"/>
      <c r="BF1285" s="15"/>
      <c r="BG1285" s="15"/>
      <c r="BH1285" s="15"/>
      <c r="BI1285" s="15"/>
      <c r="BJ1285" s="15"/>
      <c r="BK1285" s="15"/>
    </row>
    <row r="1286" spans="54:63" ht="15" customHeight="1" x14ac:dyDescent="0.3">
      <c r="BB1286" s="15"/>
      <c r="BC1286" s="15"/>
      <c r="BD1286" s="15"/>
      <c r="BE1286" s="15"/>
      <c r="BF1286" s="15"/>
      <c r="BG1286" s="15"/>
      <c r="BH1286" s="15"/>
      <c r="BI1286" s="15"/>
      <c r="BJ1286" s="15"/>
      <c r="BK1286" s="15"/>
    </row>
    <row r="1287" spans="54:63" ht="15" customHeight="1" x14ac:dyDescent="0.3">
      <c r="BB1287" s="15"/>
      <c r="BC1287" s="15"/>
      <c r="BD1287" s="15"/>
      <c r="BE1287" s="15"/>
      <c r="BF1287" s="15"/>
      <c r="BG1287" s="15"/>
      <c r="BH1287" s="15"/>
      <c r="BI1287" s="15"/>
      <c r="BJ1287" s="15"/>
      <c r="BK1287" s="15"/>
    </row>
    <row r="1288" spans="54:63" ht="15" customHeight="1" x14ac:dyDescent="0.3">
      <c r="BB1288" s="15"/>
      <c r="BC1288" s="15"/>
      <c r="BD1288" s="15"/>
      <c r="BE1288" s="15"/>
      <c r="BF1288" s="15"/>
      <c r="BG1288" s="15"/>
      <c r="BH1288" s="15"/>
      <c r="BI1288" s="15"/>
      <c r="BJ1288" s="15"/>
      <c r="BK1288" s="15"/>
    </row>
    <row r="1289" spans="54:63" ht="15" customHeight="1" x14ac:dyDescent="0.3">
      <c r="BB1289" s="15"/>
      <c r="BC1289" s="15"/>
      <c r="BD1289" s="15"/>
      <c r="BE1289" s="15"/>
      <c r="BF1289" s="15"/>
      <c r="BG1289" s="15"/>
      <c r="BH1289" s="15"/>
      <c r="BI1289" s="15"/>
      <c r="BJ1289" s="15"/>
      <c r="BK1289" s="15"/>
    </row>
    <row r="1290" spans="54:63" ht="15" customHeight="1" x14ac:dyDescent="0.3">
      <c r="BB1290" s="15"/>
      <c r="BC1290" s="15"/>
      <c r="BD1290" s="15"/>
      <c r="BE1290" s="15"/>
      <c r="BF1290" s="15"/>
      <c r="BG1290" s="15"/>
      <c r="BH1290" s="15"/>
      <c r="BI1290" s="15"/>
      <c r="BJ1290" s="15"/>
      <c r="BK1290" s="15"/>
    </row>
    <row r="1291" spans="54:63" ht="15" customHeight="1" x14ac:dyDescent="0.3">
      <c r="BB1291" s="15"/>
      <c r="BC1291" s="15"/>
      <c r="BD1291" s="15"/>
      <c r="BE1291" s="15"/>
      <c r="BF1291" s="15"/>
      <c r="BG1291" s="15"/>
      <c r="BH1291" s="15"/>
      <c r="BI1291" s="15"/>
      <c r="BJ1291" s="15"/>
      <c r="BK1291" s="15"/>
    </row>
    <row r="1292" spans="54:63" ht="15" customHeight="1" x14ac:dyDescent="0.3">
      <c r="BB1292" s="15"/>
      <c r="BC1292" s="15"/>
      <c r="BD1292" s="15"/>
      <c r="BE1292" s="15"/>
      <c r="BF1292" s="15"/>
      <c r="BG1292" s="15"/>
      <c r="BH1292" s="15"/>
      <c r="BI1292" s="15"/>
      <c r="BJ1292" s="15"/>
      <c r="BK1292" s="15"/>
    </row>
    <row r="1293" spans="54:63" ht="15" customHeight="1" x14ac:dyDescent="0.3">
      <c r="BB1293" s="15"/>
      <c r="BC1293" s="15"/>
      <c r="BD1293" s="15"/>
      <c r="BE1293" s="15"/>
      <c r="BF1293" s="15"/>
      <c r="BG1293" s="15"/>
      <c r="BH1293" s="15"/>
      <c r="BI1293" s="15"/>
      <c r="BJ1293" s="15"/>
      <c r="BK1293" s="15"/>
    </row>
    <row r="1294" spans="54:63" ht="15" customHeight="1" x14ac:dyDescent="0.3">
      <c r="BB1294" s="15"/>
      <c r="BC1294" s="15"/>
      <c r="BD1294" s="15"/>
      <c r="BE1294" s="15"/>
      <c r="BF1294" s="15"/>
      <c r="BG1294" s="15"/>
      <c r="BH1294" s="15"/>
      <c r="BI1294" s="15"/>
      <c r="BJ1294" s="15"/>
      <c r="BK1294" s="15"/>
    </row>
    <row r="1295" spans="54:63" ht="15" customHeight="1" x14ac:dyDescent="0.3">
      <c r="BB1295" s="15"/>
      <c r="BC1295" s="15"/>
      <c r="BD1295" s="15"/>
      <c r="BE1295" s="15"/>
      <c r="BF1295" s="15"/>
      <c r="BG1295" s="15"/>
      <c r="BH1295" s="15"/>
      <c r="BI1295" s="15"/>
      <c r="BJ1295" s="15"/>
      <c r="BK1295" s="15"/>
    </row>
    <row r="1296" spans="54:63" ht="15" customHeight="1" x14ac:dyDescent="0.3">
      <c r="BB1296" s="15"/>
      <c r="BC1296" s="15"/>
      <c r="BD1296" s="15"/>
      <c r="BE1296" s="15"/>
      <c r="BF1296" s="15"/>
      <c r="BG1296" s="15"/>
      <c r="BH1296" s="15"/>
      <c r="BI1296" s="15"/>
      <c r="BJ1296" s="15"/>
      <c r="BK1296" s="15"/>
    </row>
    <row r="1297" spans="54:63" ht="15" customHeight="1" x14ac:dyDescent="0.3">
      <c r="BB1297" s="15"/>
      <c r="BC1297" s="15"/>
      <c r="BD1297" s="15"/>
      <c r="BE1297" s="15"/>
      <c r="BF1297" s="15"/>
      <c r="BG1297" s="15"/>
      <c r="BH1297" s="15"/>
      <c r="BI1297" s="15"/>
      <c r="BJ1297" s="15"/>
      <c r="BK1297" s="15"/>
    </row>
    <row r="1298" spans="54:63" ht="15" customHeight="1" x14ac:dyDescent="0.3">
      <c r="BB1298" s="15"/>
      <c r="BC1298" s="15"/>
      <c r="BD1298" s="15"/>
      <c r="BE1298" s="15"/>
      <c r="BF1298" s="15"/>
      <c r="BG1298" s="15"/>
      <c r="BH1298" s="15"/>
      <c r="BI1298" s="15"/>
      <c r="BJ1298" s="15"/>
      <c r="BK1298" s="15"/>
    </row>
    <row r="1299" spans="54:63" ht="15" customHeight="1" x14ac:dyDescent="0.3">
      <c r="BB1299" s="15"/>
      <c r="BC1299" s="15"/>
      <c r="BD1299" s="15"/>
      <c r="BE1299" s="15"/>
      <c r="BF1299" s="15"/>
      <c r="BG1299" s="15"/>
      <c r="BH1299" s="15"/>
      <c r="BI1299" s="15"/>
      <c r="BJ1299" s="15"/>
      <c r="BK1299" s="15"/>
    </row>
    <row r="1300" spans="54:63" ht="15" customHeight="1" x14ac:dyDescent="0.3">
      <c r="BB1300" s="15"/>
      <c r="BC1300" s="15"/>
      <c r="BD1300" s="15"/>
      <c r="BE1300" s="15"/>
      <c r="BF1300" s="15"/>
      <c r="BG1300" s="15"/>
      <c r="BH1300" s="15"/>
      <c r="BI1300" s="15"/>
      <c r="BJ1300" s="15"/>
      <c r="BK1300" s="15"/>
    </row>
    <row r="1301" spans="54:63" ht="15" customHeight="1" x14ac:dyDescent="0.3">
      <c r="BB1301" s="15"/>
      <c r="BC1301" s="15"/>
      <c r="BD1301" s="15"/>
      <c r="BE1301" s="15"/>
      <c r="BF1301" s="15"/>
      <c r="BG1301" s="15"/>
      <c r="BH1301" s="15"/>
      <c r="BI1301" s="15"/>
      <c r="BJ1301" s="15"/>
      <c r="BK1301" s="15"/>
    </row>
    <row r="1302" spans="54:63" ht="15" customHeight="1" x14ac:dyDescent="0.3">
      <c r="BB1302" s="15"/>
      <c r="BC1302" s="15"/>
      <c r="BD1302" s="15"/>
      <c r="BE1302" s="15"/>
      <c r="BF1302" s="15"/>
      <c r="BG1302" s="15"/>
      <c r="BH1302" s="15"/>
      <c r="BI1302" s="15"/>
      <c r="BJ1302" s="15"/>
      <c r="BK1302" s="15"/>
    </row>
    <row r="1303" spans="54:63" ht="15" customHeight="1" x14ac:dyDescent="0.3">
      <c r="BB1303" s="15"/>
      <c r="BC1303" s="15"/>
      <c r="BD1303" s="15"/>
      <c r="BE1303" s="15"/>
      <c r="BF1303" s="15"/>
      <c r="BG1303" s="15"/>
      <c r="BH1303" s="15"/>
      <c r="BI1303" s="15"/>
      <c r="BJ1303" s="15"/>
      <c r="BK1303" s="15"/>
    </row>
    <row r="1304" spans="54:63" ht="15" customHeight="1" x14ac:dyDescent="0.3">
      <c r="BB1304" s="15"/>
      <c r="BC1304" s="15"/>
      <c r="BD1304" s="15"/>
      <c r="BE1304" s="15"/>
      <c r="BF1304" s="15"/>
      <c r="BG1304" s="15"/>
      <c r="BH1304" s="15"/>
      <c r="BI1304" s="15"/>
      <c r="BJ1304" s="15"/>
      <c r="BK1304" s="15"/>
    </row>
    <row r="1305" spans="54:63" ht="15" customHeight="1" x14ac:dyDescent="0.3">
      <c r="BB1305" s="15"/>
      <c r="BC1305" s="15"/>
      <c r="BD1305" s="15"/>
      <c r="BE1305" s="15"/>
      <c r="BF1305" s="15"/>
      <c r="BG1305" s="15"/>
      <c r="BH1305" s="15"/>
      <c r="BI1305" s="15"/>
      <c r="BJ1305" s="15"/>
      <c r="BK1305" s="15"/>
    </row>
    <row r="1306" spans="54:63" ht="15" customHeight="1" x14ac:dyDescent="0.3">
      <c r="BB1306" s="15"/>
      <c r="BC1306" s="15"/>
      <c r="BD1306" s="15"/>
      <c r="BE1306" s="15"/>
      <c r="BF1306" s="15"/>
      <c r="BG1306" s="15"/>
      <c r="BH1306" s="15"/>
      <c r="BI1306" s="15"/>
      <c r="BJ1306" s="15"/>
      <c r="BK1306" s="15"/>
    </row>
    <row r="1307" spans="54:63" ht="15" customHeight="1" x14ac:dyDescent="0.3">
      <c r="BB1307" s="15"/>
      <c r="BC1307" s="15"/>
      <c r="BD1307" s="15"/>
      <c r="BE1307" s="15"/>
      <c r="BF1307" s="15"/>
      <c r="BG1307" s="15"/>
      <c r="BH1307" s="15"/>
      <c r="BI1307" s="15"/>
      <c r="BJ1307" s="15"/>
      <c r="BK1307" s="15"/>
    </row>
    <row r="1308" spans="54:63" ht="15" customHeight="1" x14ac:dyDescent="0.3">
      <c r="BB1308" s="15"/>
      <c r="BC1308" s="15"/>
      <c r="BD1308" s="15"/>
      <c r="BE1308" s="15"/>
      <c r="BF1308" s="15"/>
      <c r="BG1308" s="15"/>
      <c r="BH1308" s="15"/>
      <c r="BI1308" s="15"/>
      <c r="BJ1308" s="15"/>
      <c r="BK1308" s="15"/>
    </row>
    <row r="1309" spans="54:63" ht="15" customHeight="1" x14ac:dyDescent="0.3">
      <c r="BB1309" s="15"/>
      <c r="BC1309" s="15"/>
      <c r="BD1309" s="15"/>
      <c r="BE1309" s="15"/>
      <c r="BF1309" s="15"/>
      <c r="BG1309" s="15"/>
      <c r="BH1309" s="15"/>
      <c r="BI1309" s="15"/>
      <c r="BJ1309" s="15"/>
      <c r="BK1309" s="15"/>
    </row>
    <row r="1310" spans="54:63" ht="15" customHeight="1" x14ac:dyDescent="0.3">
      <c r="BB1310" s="15"/>
      <c r="BC1310" s="15"/>
      <c r="BD1310" s="15"/>
      <c r="BE1310" s="15"/>
      <c r="BF1310" s="15"/>
      <c r="BG1310" s="15"/>
      <c r="BH1310" s="15"/>
      <c r="BI1310" s="15"/>
      <c r="BJ1310" s="15"/>
      <c r="BK1310" s="15"/>
    </row>
    <row r="1311" spans="54:63" ht="15" customHeight="1" x14ac:dyDescent="0.3">
      <c r="BB1311" s="15"/>
      <c r="BC1311" s="15"/>
      <c r="BD1311" s="15"/>
      <c r="BE1311" s="15"/>
      <c r="BF1311" s="15"/>
      <c r="BG1311" s="15"/>
      <c r="BH1311" s="15"/>
      <c r="BI1311" s="15"/>
      <c r="BJ1311" s="15"/>
      <c r="BK1311" s="15"/>
    </row>
    <row r="1312" spans="54:63" ht="15" customHeight="1" x14ac:dyDescent="0.3">
      <c r="BB1312" s="15"/>
      <c r="BC1312" s="15"/>
      <c r="BD1312" s="15"/>
      <c r="BE1312" s="15"/>
      <c r="BF1312" s="15"/>
      <c r="BG1312" s="15"/>
      <c r="BH1312" s="15"/>
      <c r="BI1312" s="15"/>
      <c r="BJ1312" s="15"/>
      <c r="BK1312" s="15"/>
    </row>
    <row r="1313" spans="54:63" ht="15" customHeight="1" x14ac:dyDescent="0.3">
      <c r="BB1313" s="15"/>
      <c r="BC1313" s="15"/>
      <c r="BD1313" s="15"/>
      <c r="BE1313" s="15"/>
      <c r="BF1313" s="15"/>
      <c r="BG1313" s="15"/>
      <c r="BH1313" s="15"/>
      <c r="BI1313" s="15"/>
      <c r="BJ1313" s="15"/>
      <c r="BK1313" s="15"/>
    </row>
    <row r="1314" spans="54:63" ht="15" customHeight="1" x14ac:dyDescent="0.3">
      <c r="BB1314" s="15"/>
      <c r="BC1314" s="15"/>
      <c r="BD1314" s="15"/>
      <c r="BE1314" s="15"/>
      <c r="BF1314" s="15"/>
      <c r="BG1314" s="15"/>
      <c r="BH1314" s="15"/>
      <c r="BI1314" s="15"/>
      <c r="BJ1314" s="15"/>
      <c r="BK1314" s="15"/>
    </row>
    <row r="1315" spans="54:63" ht="15" customHeight="1" x14ac:dyDescent="0.3">
      <c r="BB1315" s="15"/>
      <c r="BC1315" s="15"/>
      <c r="BD1315" s="15"/>
      <c r="BE1315" s="15"/>
      <c r="BF1315" s="15"/>
      <c r="BG1315" s="15"/>
      <c r="BH1315" s="15"/>
      <c r="BI1315" s="15"/>
      <c r="BJ1315" s="15"/>
      <c r="BK1315" s="15"/>
    </row>
    <row r="1316" spans="54:63" ht="15" customHeight="1" x14ac:dyDescent="0.3">
      <c r="BB1316" s="15"/>
      <c r="BC1316" s="15"/>
      <c r="BD1316" s="15"/>
      <c r="BE1316" s="15"/>
      <c r="BF1316" s="15"/>
      <c r="BG1316" s="15"/>
      <c r="BH1316" s="15"/>
      <c r="BI1316" s="15"/>
      <c r="BJ1316" s="15"/>
      <c r="BK1316" s="15"/>
    </row>
    <row r="1317" spans="54:63" ht="15" customHeight="1" x14ac:dyDescent="0.3">
      <c r="BB1317" s="15"/>
      <c r="BC1317" s="15"/>
      <c r="BD1317" s="15"/>
      <c r="BE1317" s="15"/>
      <c r="BF1317" s="15"/>
      <c r="BG1317" s="15"/>
      <c r="BH1317" s="15"/>
      <c r="BI1317" s="15"/>
      <c r="BJ1317" s="15"/>
      <c r="BK1317" s="15"/>
    </row>
    <row r="1318" spans="54:63" ht="15" customHeight="1" x14ac:dyDescent="0.3">
      <c r="BB1318" s="15"/>
      <c r="BC1318" s="15"/>
      <c r="BD1318" s="15"/>
      <c r="BE1318" s="15"/>
      <c r="BF1318" s="15"/>
      <c r="BG1318" s="15"/>
      <c r="BH1318" s="15"/>
      <c r="BI1318" s="15"/>
      <c r="BJ1318" s="15"/>
      <c r="BK1318" s="15"/>
    </row>
    <row r="1319" spans="54:63" ht="15" customHeight="1" x14ac:dyDescent="0.3">
      <c r="BB1319" s="15"/>
      <c r="BC1319" s="15"/>
      <c r="BD1319" s="15"/>
      <c r="BE1319" s="15"/>
      <c r="BF1319" s="15"/>
      <c r="BG1319" s="15"/>
      <c r="BH1319" s="15"/>
      <c r="BI1319" s="15"/>
      <c r="BJ1319" s="15"/>
      <c r="BK1319" s="15"/>
    </row>
    <row r="1320" spans="54:63" ht="15" customHeight="1" x14ac:dyDescent="0.3">
      <c r="BB1320" s="15"/>
      <c r="BC1320" s="15"/>
      <c r="BD1320" s="15"/>
      <c r="BE1320" s="15"/>
      <c r="BF1320" s="15"/>
      <c r="BG1320" s="15"/>
      <c r="BH1320" s="15"/>
      <c r="BI1320" s="15"/>
      <c r="BJ1320" s="15"/>
      <c r="BK1320" s="15"/>
    </row>
    <row r="1321" spans="54:63" ht="15" customHeight="1" x14ac:dyDescent="0.3">
      <c r="BB1321" s="15"/>
      <c r="BC1321" s="15"/>
      <c r="BD1321" s="15"/>
      <c r="BE1321" s="15"/>
      <c r="BF1321" s="15"/>
      <c r="BG1321" s="15"/>
      <c r="BH1321" s="15"/>
      <c r="BI1321" s="15"/>
      <c r="BJ1321" s="15"/>
      <c r="BK1321" s="15"/>
    </row>
    <row r="1322" spans="54:63" ht="15" customHeight="1" x14ac:dyDescent="0.3">
      <c r="BB1322" s="15"/>
      <c r="BC1322" s="15"/>
      <c r="BD1322" s="15"/>
      <c r="BE1322" s="15"/>
      <c r="BF1322" s="15"/>
      <c r="BG1322" s="15"/>
      <c r="BH1322" s="15"/>
      <c r="BI1322" s="15"/>
      <c r="BJ1322" s="15"/>
      <c r="BK1322" s="15"/>
    </row>
    <row r="1323" spans="54:63" ht="15" customHeight="1" x14ac:dyDescent="0.3">
      <c r="BB1323" s="15"/>
      <c r="BC1323" s="15"/>
      <c r="BD1323" s="15"/>
      <c r="BE1323" s="15"/>
      <c r="BF1323" s="15"/>
      <c r="BG1323" s="15"/>
      <c r="BH1323" s="15"/>
      <c r="BI1323" s="15"/>
      <c r="BJ1323" s="15"/>
      <c r="BK1323" s="15"/>
    </row>
    <row r="1324" spans="54:63" ht="15" customHeight="1" x14ac:dyDescent="0.3">
      <c r="BB1324" s="15"/>
      <c r="BC1324" s="15"/>
      <c r="BD1324" s="15"/>
      <c r="BE1324" s="15"/>
      <c r="BF1324" s="15"/>
      <c r="BG1324" s="15"/>
      <c r="BH1324" s="15"/>
      <c r="BI1324" s="15"/>
      <c r="BJ1324" s="15"/>
      <c r="BK1324" s="15"/>
    </row>
    <row r="1325" spans="54:63" ht="15" customHeight="1" x14ac:dyDescent="0.3">
      <c r="BB1325" s="15"/>
      <c r="BC1325" s="15"/>
      <c r="BD1325" s="15"/>
      <c r="BE1325" s="15"/>
      <c r="BF1325" s="15"/>
      <c r="BG1325" s="15"/>
      <c r="BH1325" s="15"/>
      <c r="BI1325" s="15"/>
      <c r="BJ1325" s="15"/>
      <c r="BK1325" s="15"/>
    </row>
    <row r="1326" spans="54:63" ht="15" customHeight="1" x14ac:dyDescent="0.3">
      <c r="BB1326" s="15"/>
      <c r="BC1326" s="15"/>
      <c r="BD1326" s="15"/>
      <c r="BE1326" s="15"/>
      <c r="BF1326" s="15"/>
      <c r="BG1326" s="15"/>
      <c r="BH1326" s="15"/>
      <c r="BI1326" s="15"/>
      <c r="BJ1326" s="15"/>
      <c r="BK1326" s="15"/>
    </row>
    <row r="1327" spans="54:63" ht="15" customHeight="1" x14ac:dyDescent="0.3">
      <c r="BB1327" s="15"/>
      <c r="BC1327" s="15"/>
      <c r="BD1327" s="15"/>
      <c r="BE1327" s="15"/>
      <c r="BF1327" s="15"/>
      <c r="BG1327" s="15"/>
      <c r="BH1327" s="15"/>
      <c r="BI1327" s="15"/>
      <c r="BJ1327" s="15"/>
      <c r="BK1327" s="15"/>
    </row>
    <row r="1328" spans="54:63" ht="15" customHeight="1" x14ac:dyDescent="0.3">
      <c r="BB1328" s="15"/>
      <c r="BC1328" s="15"/>
      <c r="BD1328" s="15"/>
      <c r="BE1328" s="15"/>
      <c r="BF1328" s="15"/>
      <c r="BG1328" s="15"/>
      <c r="BH1328" s="15"/>
      <c r="BI1328" s="15"/>
      <c r="BJ1328" s="15"/>
      <c r="BK1328" s="15"/>
    </row>
    <row r="1329" spans="54:63" ht="15" customHeight="1" x14ac:dyDescent="0.3">
      <c r="BB1329" s="15"/>
      <c r="BC1329" s="15"/>
      <c r="BD1329" s="15"/>
      <c r="BE1329" s="15"/>
      <c r="BF1329" s="15"/>
      <c r="BG1329" s="15"/>
      <c r="BH1329" s="15"/>
      <c r="BI1329" s="15"/>
      <c r="BJ1329" s="15"/>
      <c r="BK1329" s="15"/>
    </row>
    <row r="1330" spans="54:63" ht="15" customHeight="1" x14ac:dyDescent="0.3"/>
    <row r="1331" spans="54:63" ht="15" customHeight="1" x14ac:dyDescent="0.3"/>
    <row r="1332" spans="54:63" ht="15" customHeight="1" x14ac:dyDescent="0.3"/>
    <row r="1333" spans="54:63" ht="15" customHeight="1" x14ac:dyDescent="0.3"/>
    <row r="1334" spans="54:63" ht="15" customHeight="1" x14ac:dyDescent="0.3"/>
    <row r="1335" spans="54:63" ht="15" customHeight="1" x14ac:dyDescent="0.3"/>
    <row r="1336" spans="54:63" ht="15" customHeight="1" x14ac:dyDescent="0.3"/>
    <row r="1337" spans="54:63" ht="15" customHeight="1" x14ac:dyDescent="0.3"/>
    <row r="1338" spans="54:63" ht="15" customHeight="1" x14ac:dyDescent="0.3"/>
    <row r="1339" spans="54:63" ht="15" customHeight="1" x14ac:dyDescent="0.3"/>
    <row r="1340" spans="54:63" ht="15" customHeight="1" x14ac:dyDescent="0.3"/>
    <row r="1341" spans="54:63" ht="15" customHeight="1" x14ac:dyDescent="0.3"/>
    <row r="1342" spans="54:63" ht="15" customHeight="1" x14ac:dyDescent="0.3"/>
    <row r="1343" spans="54:63" ht="15" customHeight="1" x14ac:dyDescent="0.3"/>
    <row r="1344" spans="54:63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  <row r="1492" ht="15" customHeight="1" x14ac:dyDescent="0.3"/>
    <row r="1493" ht="15" customHeight="1" x14ac:dyDescent="0.3"/>
    <row r="1494" ht="15" customHeight="1" x14ac:dyDescent="0.3"/>
    <row r="1495" ht="15" customHeight="1" x14ac:dyDescent="0.3"/>
    <row r="1496" ht="15" customHeight="1" x14ac:dyDescent="0.3"/>
    <row r="1497" ht="15" customHeight="1" x14ac:dyDescent="0.3"/>
    <row r="1498" ht="15" customHeight="1" x14ac:dyDescent="0.3"/>
    <row r="1499" ht="15" customHeight="1" x14ac:dyDescent="0.3"/>
    <row r="1500" ht="15" customHeight="1" x14ac:dyDescent="0.3"/>
    <row r="1501" ht="15" customHeight="1" x14ac:dyDescent="0.3"/>
    <row r="1502" ht="15" customHeight="1" x14ac:dyDescent="0.3"/>
    <row r="1503" ht="15" customHeight="1" x14ac:dyDescent="0.3"/>
    <row r="1504" ht="15" customHeight="1" x14ac:dyDescent="0.3"/>
    <row r="1505" ht="15" customHeight="1" x14ac:dyDescent="0.3"/>
    <row r="1506" ht="15" customHeight="1" x14ac:dyDescent="0.3"/>
    <row r="1507" ht="15" customHeight="1" x14ac:dyDescent="0.3"/>
    <row r="1508" ht="15" customHeight="1" x14ac:dyDescent="0.3"/>
    <row r="1509" ht="15" customHeight="1" x14ac:dyDescent="0.3"/>
    <row r="1510" ht="15" customHeight="1" x14ac:dyDescent="0.3"/>
    <row r="1511" ht="15" customHeight="1" x14ac:dyDescent="0.3"/>
    <row r="1512" ht="15" customHeight="1" x14ac:dyDescent="0.3"/>
    <row r="1513" ht="15" customHeight="1" x14ac:dyDescent="0.3"/>
    <row r="1514" ht="15" customHeight="1" x14ac:dyDescent="0.3"/>
    <row r="1515" ht="15" customHeight="1" x14ac:dyDescent="0.3"/>
    <row r="1516" ht="15" customHeight="1" x14ac:dyDescent="0.3"/>
    <row r="1517" ht="15" customHeight="1" x14ac:dyDescent="0.3"/>
    <row r="1518" ht="15" customHeight="1" x14ac:dyDescent="0.3"/>
    <row r="1519" ht="15" customHeight="1" x14ac:dyDescent="0.3"/>
    <row r="1520" ht="15" customHeight="1" x14ac:dyDescent="0.3"/>
    <row r="1521" ht="15" customHeight="1" x14ac:dyDescent="0.3"/>
    <row r="1522" ht="15" customHeight="1" x14ac:dyDescent="0.3"/>
    <row r="1523" ht="15" customHeight="1" x14ac:dyDescent="0.3"/>
    <row r="1524" ht="15" customHeight="1" x14ac:dyDescent="0.3"/>
    <row r="1525" ht="15" customHeight="1" x14ac:dyDescent="0.3"/>
    <row r="1526" ht="15" customHeight="1" x14ac:dyDescent="0.3"/>
    <row r="1527" ht="15" customHeight="1" x14ac:dyDescent="0.3"/>
    <row r="1528" ht="15" customHeight="1" x14ac:dyDescent="0.3"/>
    <row r="1529" ht="15" customHeight="1" x14ac:dyDescent="0.3"/>
    <row r="1530" ht="15" customHeight="1" x14ac:dyDescent="0.3"/>
    <row r="1531" ht="15" customHeight="1" x14ac:dyDescent="0.3"/>
    <row r="1532" ht="15" customHeight="1" x14ac:dyDescent="0.3"/>
    <row r="1533" ht="15" customHeight="1" x14ac:dyDescent="0.3"/>
    <row r="1534" ht="15" customHeight="1" x14ac:dyDescent="0.3"/>
    <row r="1535" ht="15" customHeight="1" x14ac:dyDescent="0.3"/>
    <row r="1536" ht="15" customHeight="1" x14ac:dyDescent="0.3"/>
    <row r="1537" ht="15" customHeight="1" x14ac:dyDescent="0.3"/>
    <row r="1538" ht="15" customHeight="1" x14ac:dyDescent="0.3"/>
    <row r="1539" ht="15" customHeight="1" x14ac:dyDescent="0.3"/>
    <row r="1540" ht="15" customHeight="1" x14ac:dyDescent="0.3"/>
    <row r="1541" ht="15" customHeight="1" x14ac:dyDescent="0.3"/>
    <row r="1542" ht="15" customHeight="1" x14ac:dyDescent="0.3"/>
    <row r="1543" ht="15" customHeight="1" x14ac:dyDescent="0.3"/>
    <row r="1544" ht="15" customHeight="1" x14ac:dyDescent="0.3"/>
    <row r="1545" ht="15" customHeight="1" x14ac:dyDescent="0.3"/>
    <row r="1546" ht="15" customHeight="1" x14ac:dyDescent="0.3"/>
    <row r="1547" ht="15" customHeight="1" x14ac:dyDescent="0.3"/>
    <row r="1548" ht="15" customHeight="1" x14ac:dyDescent="0.3"/>
    <row r="1549" ht="15" customHeight="1" x14ac:dyDescent="0.3"/>
    <row r="1550" ht="15" customHeight="1" x14ac:dyDescent="0.3"/>
    <row r="1551" ht="15" customHeight="1" x14ac:dyDescent="0.3"/>
    <row r="1552" ht="15" customHeight="1" x14ac:dyDescent="0.3"/>
    <row r="1553" ht="15" customHeight="1" x14ac:dyDescent="0.3"/>
    <row r="1554" ht="15" customHeight="1" x14ac:dyDescent="0.3"/>
    <row r="1555" ht="15" customHeight="1" x14ac:dyDescent="0.3"/>
    <row r="1556" ht="15" customHeight="1" x14ac:dyDescent="0.3"/>
    <row r="1557" ht="15" customHeight="1" x14ac:dyDescent="0.3"/>
    <row r="1558" ht="15" customHeight="1" x14ac:dyDescent="0.3"/>
    <row r="1559" ht="15" customHeight="1" x14ac:dyDescent="0.3"/>
    <row r="1560" ht="15" customHeight="1" x14ac:dyDescent="0.3"/>
    <row r="1561" ht="15" customHeight="1" x14ac:dyDescent="0.3"/>
    <row r="1562" ht="15" customHeight="1" x14ac:dyDescent="0.3"/>
    <row r="1563" ht="15" customHeight="1" x14ac:dyDescent="0.3"/>
    <row r="1564" ht="15" customHeight="1" x14ac:dyDescent="0.3"/>
    <row r="1565" ht="15" customHeight="1" x14ac:dyDescent="0.3"/>
    <row r="1566" ht="15" customHeight="1" x14ac:dyDescent="0.3"/>
    <row r="1567" ht="15" customHeight="1" x14ac:dyDescent="0.3"/>
    <row r="1568" ht="15" customHeight="1" x14ac:dyDescent="0.3"/>
    <row r="1569" ht="15" customHeight="1" x14ac:dyDescent="0.3"/>
    <row r="1570" ht="15" customHeight="1" x14ac:dyDescent="0.3"/>
    <row r="1571" ht="15" customHeight="1" x14ac:dyDescent="0.3"/>
    <row r="1572" ht="15" customHeight="1" x14ac:dyDescent="0.3"/>
    <row r="1573" ht="15" customHeight="1" x14ac:dyDescent="0.3"/>
    <row r="1574" ht="15" customHeight="1" x14ac:dyDescent="0.3"/>
    <row r="1575" ht="15" customHeight="1" x14ac:dyDescent="0.3"/>
    <row r="1576" ht="15" customHeight="1" x14ac:dyDescent="0.3"/>
    <row r="1577" ht="15" customHeight="1" x14ac:dyDescent="0.3"/>
    <row r="1578" ht="15" customHeight="1" x14ac:dyDescent="0.3"/>
    <row r="1579" ht="15" customHeight="1" x14ac:dyDescent="0.3"/>
    <row r="1580" ht="15" customHeight="1" x14ac:dyDescent="0.3"/>
    <row r="1581" ht="15" customHeight="1" x14ac:dyDescent="0.3"/>
    <row r="1582" ht="15" customHeight="1" x14ac:dyDescent="0.3"/>
    <row r="1583" ht="15" customHeight="1" x14ac:dyDescent="0.3"/>
    <row r="1584" ht="15" customHeight="1" x14ac:dyDescent="0.3"/>
    <row r="1585" ht="15" customHeight="1" x14ac:dyDescent="0.3"/>
    <row r="1586" ht="15" customHeight="1" x14ac:dyDescent="0.3"/>
    <row r="1587" ht="15" customHeight="1" x14ac:dyDescent="0.3"/>
    <row r="1588" ht="15" customHeight="1" x14ac:dyDescent="0.3"/>
    <row r="1589" ht="15" customHeight="1" x14ac:dyDescent="0.3"/>
    <row r="1590" ht="15" customHeight="1" x14ac:dyDescent="0.3"/>
    <row r="1591" ht="15" customHeight="1" x14ac:dyDescent="0.3"/>
    <row r="1592" ht="15" customHeight="1" x14ac:dyDescent="0.3"/>
    <row r="1593" ht="15" customHeight="1" x14ac:dyDescent="0.3"/>
    <row r="1594" ht="15" customHeight="1" x14ac:dyDescent="0.3"/>
    <row r="1595" ht="15" customHeight="1" x14ac:dyDescent="0.3"/>
    <row r="1596" ht="15" customHeight="1" x14ac:dyDescent="0.3"/>
    <row r="1597" ht="15" customHeight="1" x14ac:dyDescent="0.3"/>
    <row r="1598" ht="15" customHeight="1" x14ac:dyDescent="0.3"/>
    <row r="1599" ht="15" customHeight="1" x14ac:dyDescent="0.3"/>
    <row r="1600" ht="15" customHeight="1" x14ac:dyDescent="0.3"/>
    <row r="1601" ht="15" customHeight="1" x14ac:dyDescent="0.3"/>
    <row r="1602" ht="15" customHeight="1" x14ac:dyDescent="0.3"/>
    <row r="1603" ht="15" customHeight="1" x14ac:dyDescent="0.3"/>
    <row r="1604" ht="15" customHeight="1" x14ac:dyDescent="0.3"/>
    <row r="1605" ht="15" customHeight="1" x14ac:dyDescent="0.3"/>
    <row r="1606" ht="15" customHeight="1" x14ac:dyDescent="0.3"/>
    <row r="1607" ht="15" customHeight="1" x14ac:dyDescent="0.3"/>
    <row r="1608" ht="15" customHeight="1" x14ac:dyDescent="0.3"/>
    <row r="1609" ht="15" customHeight="1" x14ac:dyDescent="0.3"/>
    <row r="1610" ht="15" customHeight="1" x14ac:dyDescent="0.3"/>
    <row r="1611" ht="15" customHeight="1" x14ac:dyDescent="0.3"/>
    <row r="1612" ht="15" customHeight="1" x14ac:dyDescent="0.3"/>
    <row r="1613" ht="15" customHeight="1" x14ac:dyDescent="0.3"/>
    <row r="1614" ht="15" customHeight="1" x14ac:dyDescent="0.3"/>
    <row r="1615" ht="15" customHeight="1" x14ac:dyDescent="0.3"/>
    <row r="1616" ht="15" customHeight="1" x14ac:dyDescent="0.3"/>
    <row r="1617" ht="15" customHeight="1" x14ac:dyDescent="0.3"/>
    <row r="1618" ht="15" customHeight="1" x14ac:dyDescent="0.3"/>
    <row r="1619" ht="15" customHeight="1" x14ac:dyDescent="0.3"/>
    <row r="1620" ht="15" customHeight="1" x14ac:dyDescent="0.3"/>
    <row r="1621" ht="15" customHeight="1" x14ac:dyDescent="0.3"/>
    <row r="1622" ht="15" customHeight="1" x14ac:dyDescent="0.3"/>
    <row r="1623" ht="15" customHeight="1" x14ac:dyDescent="0.3"/>
    <row r="1624" ht="15" customHeight="1" x14ac:dyDescent="0.3"/>
    <row r="1625" ht="15" customHeight="1" x14ac:dyDescent="0.3"/>
    <row r="1626" ht="15" customHeight="1" x14ac:dyDescent="0.3"/>
    <row r="1627" ht="15" customHeight="1" x14ac:dyDescent="0.3"/>
    <row r="1628" ht="15" customHeight="1" x14ac:dyDescent="0.3"/>
    <row r="1629" ht="15" customHeight="1" x14ac:dyDescent="0.3"/>
    <row r="1630" ht="15" customHeight="1" x14ac:dyDescent="0.3"/>
    <row r="1631" ht="15" customHeight="1" x14ac:dyDescent="0.3"/>
    <row r="1632" ht="15" customHeight="1" x14ac:dyDescent="0.3"/>
    <row r="1633" ht="15" customHeight="1" x14ac:dyDescent="0.3"/>
    <row r="1634" ht="15" customHeight="1" x14ac:dyDescent="0.3"/>
    <row r="1635" ht="15" customHeight="1" x14ac:dyDescent="0.3"/>
    <row r="1636" ht="15" customHeight="1" x14ac:dyDescent="0.3"/>
    <row r="1637" ht="15" customHeight="1" x14ac:dyDescent="0.3"/>
    <row r="1638" ht="15" customHeight="1" x14ac:dyDescent="0.3"/>
    <row r="1639" ht="15" customHeight="1" x14ac:dyDescent="0.3"/>
    <row r="1640" ht="15" customHeight="1" x14ac:dyDescent="0.3"/>
    <row r="1641" ht="15" customHeight="1" x14ac:dyDescent="0.3"/>
    <row r="1642" ht="15" customHeight="1" x14ac:dyDescent="0.3"/>
    <row r="1643" ht="15" customHeight="1" x14ac:dyDescent="0.3"/>
    <row r="1644" ht="15" customHeight="1" x14ac:dyDescent="0.3"/>
    <row r="1645" ht="15" customHeight="1" x14ac:dyDescent="0.3"/>
    <row r="1646" ht="15" customHeight="1" x14ac:dyDescent="0.3"/>
    <row r="1647" ht="15" customHeight="1" x14ac:dyDescent="0.3"/>
    <row r="1648" ht="15" customHeight="1" x14ac:dyDescent="0.3"/>
    <row r="1649" ht="15" customHeight="1" x14ac:dyDescent="0.3"/>
    <row r="1650" ht="15" customHeight="1" x14ac:dyDescent="0.3"/>
    <row r="1651" ht="15" customHeight="1" x14ac:dyDescent="0.3"/>
    <row r="1652" ht="15" customHeight="1" x14ac:dyDescent="0.3"/>
    <row r="1653" ht="15" customHeight="1" x14ac:dyDescent="0.3"/>
    <row r="1654" ht="15" customHeight="1" x14ac:dyDescent="0.3"/>
    <row r="1655" ht="15" customHeight="1" x14ac:dyDescent="0.3"/>
    <row r="1656" ht="15" customHeight="1" x14ac:dyDescent="0.3"/>
    <row r="1657" ht="15" customHeight="1" x14ac:dyDescent="0.3"/>
    <row r="1658" ht="15" customHeight="1" x14ac:dyDescent="0.3"/>
    <row r="1659" ht="15" customHeight="1" x14ac:dyDescent="0.3"/>
    <row r="1660" ht="15" customHeight="1" x14ac:dyDescent="0.3"/>
    <row r="1661" ht="15" customHeight="1" x14ac:dyDescent="0.3"/>
    <row r="1662" ht="15" customHeight="1" x14ac:dyDescent="0.3"/>
    <row r="1663" ht="15" customHeight="1" x14ac:dyDescent="0.3"/>
    <row r="1664" ht="15" customHeight="1" x14ac:dyDescent="0.3"/>
    <row r="1665" ht="15" customHeight="1" x14ac:dyDescent="0.3"/>
    <row r="1666" ht="15" customHeight="1" x14ac:dyDescent="0.3"/>
    <row r="1667" ht="15" customHeight="1" x14ac:dyDescent="0.3"/>
    <row r="1668" ht="15" customHeight="1" x14ac:dyDescent="0.3"/>
    <row r="1669" ht="15" customHeight="1" x14ac:dyDescent="0.3"/>
    <row r="1670" ht="15" customHeight="1" x14ac:dyDescent="0.3"/>
    <row r="1671" ht="15" customHeight="1" x14ac:dyDescent="0.3"/>
    <row r="1672" ht="15" customHeight="1" x14ac:dyDescent="0.3"/>
    <row r="1673" ht="15" customHeight="1" x14ac:dyDescent="0.3"/>
    <row r="1674" ht="15" customHeight="1" x14ac:dyDescent="0.3"/>
    <row r="1675" ht="15" customHeight="1" x14ac:dyDescent="0.3"/>
    <row r="1676" ht="15" customHeight="1" x14ac:dyDescent="0.3"/>
    <row r="1677" ht="15" customHeight="1" x14ac:dyDescent="0.3"/>
    <row r="1678" ht="15" customHeight="1" x14ac:dyDescent="0.3"/>
    <row r="1679" ht="15" customHeight="1" x14ac:dyDescent="0.3"/>
    <row r="1680" ht="15" customHeight="1" x14ac:dyDescent="0.3"/>
    <row r="1681" ht="15" customHeight="1" x14ac:dyDescent="0.3"/>
    <row r="1682" ht="15" customHeight="1" x14ac:dyDescent="0.3"/>
    <row r="1683" ht="15" customHeight="1" x14ac:dyDescent="0.3"/>
    <row r="1684" ht="15" customHeight="1" x14ac:dyDescent="0.3"/>
    <row r="1685" ht="15" customHeight="1" x14ac:dyDescent="0.3"/>
    <row r="1686" ht="15" customHeight="1" x14ac:dyDescent="0.3"/>
    <row r="1687" ht="15" customHeight="1" x14ac:dyDescent="0.3"/>
    <row r="1688" ht="15" customHeight="1" x14ac:dyDescent="0.3"/>
    <row r="1689" ht="15" customHeight="1" x14ac:dyDescent="0.3"/>
    <row r="1690" ht="15" customHeight="1" x14ac:dyDescent="0.3"/>
    <row r="1691" ht="15" customHeight="1" x14ac:dyDescent="0.3"/>
    <row r="1692" ht="15" customHeight="1" x14ac:dyDescent="0.3"/>
    <row r="1693" ht="15" customHeight="1" x14ac:dyDescent="0.3"/>
    <row r="1694" ht="15" customHeight="1" x14ac:dyDescent="0.3"/>
    <row r="1695" ht="15" customHeight="1" x14ac:dyDescent="0.3"/>
    <row r="1696" ht="15" customHeight="1" x14ac:dyDescent="0.3"/>
    <row r="1697" ht="15" customHeight="1" x14ac:dyDescent="0.3"/>
    <row r="1698" ht="15" customHeight="1" x14ac:dyDescent="0.3"/>
    <row r="1699" ht="15" customHeight="1" x14ac:dyDescent="0.3"/>
    <row r="1700" ht="15" customHeight="1" x14ac:dyDescent="0.3"/>
    <row r="1701" ht="15" customHeight="1" x14ac:dyDescent="0.3"/>
    <row r="1702" ht="15" customHeight="1" x14ac:dyDescent="0.3"/>
    <row r="1703" ht="15" customHeight="1" x14ac:dyDescent="0.3"/>
    <row r="1704" ht="15" customHeight="1" x14ac:dyDescent="0.3"/>
    <row r="1705" ht="15" customHeight="1" x14ac:dyDescent="0.3"/>
    <row r="1706" ht="15" customHeight="1" x14ac:dyDescent="0.3"/>
    <row r="1707" ht="15" customHeight="1" x14ac:dyDescent="0.3"/>
    <row r="1708" ht="15" customHeight="1" x14ac:dyDescent="0.3"/>
    <row r="1709" ht="15" customHeight="1" x14ac:dyDescent="0.3"/>
    <row r="1710" ht="15" customHeight="1" x14ac:dyDescent="0.3"/>
    <row r="1711" ht="15" customHeight="1" x14ac:dyDescent="0.3"/>
    <row r="1712" ht="15" customHeight="1" x14ac:dyDescent="0.3"/>
    <row r="1713" ht="15" customHeight="1" x14ac:dyDescent="0.3"/>
    <row r="1714" ht="15" customHeight="1" x14ac:dyDescent="0.3"/>
    <row r="1715" ht="15" customHeight="1" x14ac:dyDescent="0.3"/>
    <row r="1716" ht="15" customHeight="1" x14ac:dyDescent="0.3"/>
    <row r="1717" ht="15" customHeight="1" x14ac:dyDescent="0.3"/>
    <row r="1718" ht="15" customHeight="1" x14ac:dyDescent="0.3"/>
    <row r="1719" ht="15" customHeight="1" x14ac:dyDescent="0.3"/>
    <row r="1720" ht="15" customHeight="1" x14ac:dyDescent="0.3"/>
    <row r="1721" ht="15" customHeight="1" x14ac:dyDescent="0.3"/>
    <row r="1722" ht="15" customHeight="1" x14ac:dyDescent="0.3"/>
    <row r="1723" ht="15" customHeight="1" x14ac:dyDescent="0.3"/>
    <row r="1724" ht="15" customHeight="1" x14ac:dyDescent="0.3"/>
    <row r="1725" ht="15" customHeight="1" x14ac:dyDescent="0.3"/>
    <row r="1726" ht="15" customHeight="1" x14ac:dyDescent="0.3"/>
    <row r="1727" ht="15" customHeight="1" x14ac:dyDescent="0.3"/>
    <row r="1728" ht="15" customHeight="1" x14ac:dyDescent="0.3"/>
    <row r="1729" ht="15" customHeight="1" x14ac:dyDescent="0.3"/>
    <row r="1730" ht="15" customHeight="1" x14ac:dyDescent="0.3"/>
    <row r="1731" ht="15" customHeight="1" x14ac:dyDescent="0.3"/>
    <row r="1732" ht="15" customHeight="1" x14ac:dyDescent="0.3"/>
    <row r="1733" ht="15" customHeight="1" x14ac:dyDescent="0.3"/>
    <row r="1734" ht="15" customHeight="1" x14ac:dyDescent="0.3"/>
    <row r="1735" ht="15" customHeight="1" x14ac:dyDescent="0.3"/>
    <row r="1736" ht="15" customHeight="1" x14ac:dyDescent="0.3"/>
    <row r="1737" ht="15" customHeight="1" x14ac:dyDescent="0.3"/>
    <row r="1738" ht="15" customHeight="1" x14ac:dyDescent="0.3"/>
    <row r="1739" ht="15" customHeight="1" x14ac:dyDescent="0.3"/>
    <row r="1740" ht="15" customHeight="1" x14ac:dyDescent="0.3"/>
    <row r="1741" ht="15" customHeight="1" x14ac:dyDescent="0.3"/>
    <row r="1742" ht="15" customHeight="1" x14ac:dyDescent="0.3"/>
    <row r="1743" ht="15" customHeight="1" x14ac:dyDescent="0.3"/>
    <row r="1744" ht="15" customHeight="1" x14ac:dyDescent="0.3"/>
    <row r="1745" ht="15" customHeight="1" x14ac:dyDescent="0.3"/>
    <row r="1746" ht="15" customHeight="1" x14ac:dyDescent="0.3"/>
    <row r="1747" ht="15" customHeight="1" x14ac:dyDescent="0.3"/>
    <row r="1748" ht="15" customHeight="1" x14ac:dyDescent="0.3"/>
    <row r="1749" ht="15" customHeight="1" x14ac:dyDescent="0.3"/>
    <row r="1750" ht="15" customHeight="1" x14ac:dyDescent="0.3"/>
    <row r="1751" ht="15" customHeight="1" x14ac:dyDescent="0.3"/>
    <row r="1752" ht="15" customHeight="1" x14ac:dyDescent="0.3"/>
    <row r="1753" ht="15" customHeight="1" x14ac:dyDescent="0.3"/>
    <row r="1754" ht="15" customHeight="1" x14ac:dyDescent="0.3"/>
    <row r="1755" ht="15" customHeight="1" x14ac:dyDescent="0.3"/>
    <row r="1756" ht="15" customHeight="1" x14ac:dyDescent="0.3"/>
    <row r="1757" ht="15" customHeight="1" x14ac:dyDescent="0.3"/>
    <row r="1758" ht="15" customHeight="1" x14ac:dyDescent="0.3"/>
    <row r="1759" ht="15" customHeight="1" x14ac:dyDescent="0.3"/>
    <row r="1760" ht="15" customHeight="1" x14ac:dyDescent="0.3"/>
    <row r="1761" ht="15" customHeight="1" x14ac:dyDescent="0.3"/>
    <row r="1762" ht="15" customHeight="1" x14ac:dyDescent="0.3"/>
    <row r="1763" ht="15" customHeight="1" x14ac:dyDescent="0.3"/>
    <row r="1764" ht="15" customHeight="1" x14ac:dyDescent="0.3"/>
    <row r="1765" ht="15" customHeight="1" x14ac:dyDescent="0.3"/>
    <row r="1766" ht="15" customHeight="1" x14ac:dyDescent="0.3"/>
    <row r="1767" ht="15" customHeight="1" x14ac:dyDescent="0.3"/>
    <row r="1768" ht="15" customHeight="1" x14ac:dyDescent="0.3"/>
    <row r="1769" ht="15" customHeight="1" x14ac:dyDescent="0.3"/>
    <row r="1770" ht="15" customHeight="1" x14ac:dyDescent="0.3"/>
    <row r="1771" ht="15" customHeight="1" x14ac:dyDescent="0.3"/>
    <row r="1772" ht="15" customHeight="1" x14ac:dyDescent="0.3"/>
    <row r="1773" ht="15" customHeight="1" x14ac:dyDescent="0.3"/>
    <row r="1774" ht="15" customHeight="1" x14ac:dyDescent="0.3"/>
    <row r="1775" ht="15" customHeight="1" x14ac:dyDescent="0.3"/>
    <row r="1776" ht="15" customHeight="1" x14ac:dyDescent="0.3"/>
    <row r="1777" ht="15" customHeight="1" x14ac:dyDescent="0.3"/>
    <row r="1778" ht="15" customHeight="1" x14ac:dyDescent="0.3"/>
    <row r="1779" ht="15" customHeight="1" x14ac:dyDescent="0.3"/>
    <row r="1780" ht="15" customHeight="1" x14ac:dyDescent="0.3"/>
    <row r="1781" ht="15" customHeight="1" x14ac:dyDescent="0.3"/>
    <row r="1782" ht="15" customHeight="1" x14ac:dyDescent="0.3"/>
    <row r="1783" ht="15" customHeight="1" x14ac:dyDescent="0.3"/>
    <row r="1784" ht="15" customHeight="1" x14ac:dyDescent="0.3"/>
    <row r="1785" ht="15" customHeight="1" x14ac:dyDescent="0.3"/>
    <row r="1786" ht="15" customHeight="1" x14ac:dyDescent="0.3"/>
    <row r="1787" ht="15" customHeight="1" x14ac:dyDescent="0.3"/>
    <row r="1788" ht="15" customHeight="1" x14ac:dyDescent="0.3"/>
    <row r="1789" ht="15" customHeight="1" x14ac:dyDescent="0.3"/>
    <row r="1790" ht="15" customHeight="1" x14ac:dyDescent="0.3"/>
    <row r="1791" ht="15" customHeight="1" x14ac:dyDescent="0.3"/>
    <row r="1792" ht="15" customHeight="1" x14ac:dyDescent="0.3"/>
    <row r="1793" ht="15" customHeight="1" x14ac:dyDescent="0.3"/>
    <row r="1794" ht="15" customHeight="1" x14ac:dyDescent="0.3"/>
    <row r="1795" ht="15" customHeight="1" x14ac:dyDescent="0.3"/>
    <row r="1796" ht="15" customHeight="1" x14ac:dyDescent="0.3"/>
    <row r="1797" ht="15" customHeight="1" x14ac:dyDescent="0.3"/>
    <row r="1798" ht="15" customHeight="1" x14ac:dyDescent="0.3"/>
    <row r="1799" ht="15" customHeight="1" x14ac:dyDescent="0.3"/>
    <row r="1800" ht="15" customHeight="1" x14ac:dyDescent="0.3"/>
    <row r="1801" ht="15" customHeight="1" x14ac:dyDescent="0.3"/>
    <row r="1802" ht="15" customHeight="1" x14ac:dyDescent="0.3"/>
    <row r="1803" ht="15" customHeight="1" x14ac:dyDescent="0.3"/>
    <row r="1804" ht="15" customHeight="1" x14ac:dyDescent="0.3"/>
    <row r="1805" ht="15" customHeight="1" x14ac:dyDescent="0.3"/>
    <row r="1806" ht="15" customHeight="1" x14ac:dyDescent="0.3"/>
    <row r="1807" ht="15" customHeight="1" x14ac:dyDescent="0.3"/>
    <row r="1808" ht="15" customHeight="1" x14ac:dyDescent="0.3"/>
    <row r="1809" ht="15" customHeight="1" x14ac:dyDescent="0.3"/>
    <row r="1810" ht="15" customHeight="1" x14ac:dyDescent="0.3"/>
    <row r="1811" ht="15" customHeight="1" x14ac:dyDescent="0.3"/>
    <row r="1812" ht="15" customHeight="1" x14ac:dyDescent="0.3"/>
    <row r="1813" ht="15" customHeight="1" x14ac:dyDescent="0.3"/>
    <row r="1814" ht="15" customHeight="1" x14ac:dyDescent="0.3"/>
    <row r="1815" ht="15" customHeight="1" x14ac:dyDescent="0.3"/>
    <row r="1816" ht="15" customHeight="1" x14ac:dyDescent="0.3"/>
    <row r="1817" ht="15" customHeight="1" x14ac:dyDescent="0.3"/>
    <row r="1818" ht="15" customHeight="1" x14ac:dyDescent="0.3"/>
    <row r="1819" ht="15" customHeight="1" x14ac:dyDescent="0.3"/>
    <row r="1820" ht="15" customHeight="1" x14ac:dyDescent="0.3"/>
    <row r="1821" ht="15" customHeight="1" x14ac:dyDescent="0.3"/>
    <row r="1822" ht="15" customHeight="1" x14ac:dyDescent="0.3"/>
    <row r="1823" ht="15" customHeight="1" x14ac:dyDescent="0.3"/>
    <row r="1824" ht="15" customHeight="1" x14ac:dyDescent="0.3"/>
    <row r="1825" ht="15" customHeight="1" x14ac:dyDescent="0.3"/>
    <row r="1826" ht="15" customHeight="1" x14ac:dyDescent="0.3"/>
    <row r="1827" ht="15" customHeight="1" x14ac:dyDescent="0.3"/>
    <row r="1828" ht="15" customHeight="1" x14ac:dyDescent="0.3"/>
    <row r="1829" ht="15" customHeight="1" x14ac:dyDescent="0.3"/>
    <row r="1830" ht="15" customHeight="1" x14ac:dyDescent="0.3"/>
    <row r="1831" ht="15" customHeight="1" x14ac:dyDescent="0.3"/>
    <row r="1832" ht="15" customHeight="1" x14ac:dyDescent="0.3"/>
    <row r="1833" ht="15" customHeight="1" x14ac:dyDescent="0.3"/>
    <row r="1834" ht="15" customHeight="1" x14ac:dyDescent="0.3"/>
    <row r="1835" ht="15" customHeight="1" x14ac:dyDescent="0.3"/>
    <row r="1836" ht="15" customHeight="1" x14ac:dyDescent="0.3"/>
    <row r="1837" ht="15" customHeight="1" x14ac:dyDescent="0.3"/>
    <row r="1838" ht="15" customHeight="1" x14ac:dyDescent="0.3"/>
    <row r="1839" ht="15" customHeight="1" x14ac:dyDescent="0.3"/>
    <row r="1840" ht="15" customHeight="1" x14ac:dyDescent="0.3"/>
    <row r="1841" ht="15" customHeight="1" x14ac:dyDescent="0.3"/>
    <row r="1842" ht="15" customHeight="1" x14ac:dyDescent="0.3"/>
    <row r="1843" ht="15" customHeight="1" x14ac:dyDescent="0.3"/>
    <row r="1844" ht="15" customHeight="1" x14ac:dyDescent="0.3"/>
    <row r="1845" ht="15" customHeight="1" x14ac:dyDescent="0.3"/>
    <row r="1846" ht="15" customHeight="1" x14ac:dyDescent="0.3"/>
    <row r="1847" ht="15" customHeight="1" x14ac:dyDescent="0.3"/>
    <row r="1848" ht="15" customHeight="1" x14ac:dyDescent="0.3"/>
    <row r="1849" ht="15" customHeight="1" x14ac:dyDescent="0.3"/>
    <row r="1850" ht="15" customHeight="1" x14ac:dyDescent="0.3"/>
    <row r="1851" ht="15" customHeight="1" x14ac:dyDescent="0.3"/>
    <row r="1852" ht="15" customHeight="1" x14ac:dyDescent="0.3"/>
    <row r="1853" ht="15" customHeight="1" x14ac:dyDescent="0.3"/>
    <row r="1854" ht="15" customHeight="1" x14ac:dyDescent="0.3"/>
    <row r="1855" ht="15" customHeight="1" x14ac:dyDescent="0.3"/>
    <row r="1856" ht="15" customHeight="1" x14ac:dyDescent="0.3"/>
    <row r="1857" ht="15" customHeight="1" x14ac:dyDescent="0.3"/>
    <row r="1858" ht="15" customHeight="1" x14ac:dyDescent="0.3"/>
    <row r="1859" ht="15" customHeight="1" x14ac:dyDescent="0.3"/>
    <row r="1860" ht="15" customHeight="1" x14ac:dyDescent="0.3"/>
    <row r="1861" ht="15" customHeight="1" x14ac:dyDescent="0.3"/>
    <row r="1862" ht="15" customHeight="1" x14ac:dyDescent="0.3"/>
    <row r="1863" ht="15" customHeight="1" x14ac:dyDescent="0.3"/>
    <row r="1864" ht="15" customHeight="1" x14ac:dyDescent="0.3"/>
    <row r="1865" ht="15" customHeight="1" x14ac:dyDescent="0.3"/>
    <row r="1866" ht="15" customHeight="1" x14ac:dyDescent="0.3"/>
    <row r="1867" ht="15" customHeight="1" x14ac:dyDescent="0.3"/>
    <row r="1868" ht="15" customHeight="1" x14ac:dyDescent="0.3"/>
    <row r="1869" ht="15" customHeight="1" x14ac:dyDescent="0.3"/>
    <row r="1870" ht="15" customHeight="1" x14ac:dyDescent="0.3"/>
    <row r="1871" ht="15" customHeight="1" x14ac:dyDescent="0.3"/>
    <row r="1872" ht="15" customHeight="1" x14ac:dyDescent="0.3"/>
    <row r="1873" ht="15" customHeight="1" x14ac:dyDescent="0.3"/>
    <row r="1874" ht="15" customHeight="1" x14ac:dyDescent="0.3"/>
    <row r="1875" ht="15" customHeight="1" x14ac:dyDescent="0.3"/>
    <row r="1876" ht="15" customHeight="1" x14ac:dyDescent="0.3"/>
    <row r="1877" ht="15" customHeight="1" x14ac:dyDescent="0.3"/>
    <row r="1878" ht="15" customHeight="1" x14ac:dyDescent="0.3"/>
    <row r="1879" ht="15" customHeight="1" x14ac:dyDescent="0.3"/>
    <row r="1880" ht="15" customHeight="1" x14ac:dyDescent="0.3"/>
    <row r="1881" ht="15" customHeight="1" x14ac:dyDescent="0.3"/>
    <row r="1882" ht="15" customHeight="1" x14ac:dyDescent="0.3"/>
    <row r="1883" ht="15" customHeight="1" x14ac:dyDescent="0.3"/>
    <row r="1884" ht="15" customHeight="1" x14ac:dyDescent="0.3"/>
    <row r="1885" ht="15" customHeight="1" x14ac:dyDescent="0.3"/>
    <row r="1886" ht="15" customHeight="1" x14ac:dyDescent="0.3"/>
    <row r="1887" ht="15" customHeight="1" x14ac:dyDescent="0.3"/>
    <row r="1888" ht="15" customHeight="1" x14ac:dyDescent="0.3"/>
    <row r="1889" ht="15" customHeight="1" x14ac:dyDescent="0.3"/>
    <row r="1890" ht="15" customHeight="1" x14ac:dyDescent="0.3"/>
    <row r="1891" ht="15" customHeight="1" x14ac:dyDescent="0.3"/>
    <row r="1892" ht="15" customHeight="1" x14ac:dyDescent="0.3"/>
    <row r="1893" ht="15" customHeight="1" x14ac:dyDescent="0.3"/>
    <row r="1894" ht="15" customHeight="1" x14ac:dyDescent="0.3"/>
    <row r="1895" ht="15" customHeight="1" x14ac:dyDescent="0.3"/>
    <row r="1896" ht="15" customHeight="1" x14ac:dyDescent="0.3"/>
    <row r="1897" ht="15" customHeight="1" x14ac:dyDescent="0.3"/>
    <row r="1898" ht="15" customHeight="1" x14ac:dyDescent="0.3"/>
    <row r="1899" ht="15" customHeight="1" x14ac:dyDescent="0.3"/>
    <row r="1900" ht="15" customHeight="1" x14ac:dyDescent="0.3"/>
    <row r="1901" ht="15" customHeight="1" x14ac:dyDescent="0.3"/>
    <row r="1902" ht="15" customHeight="1" x14ac:dyDescent="0.3"/>
    <row r="1903" ht="15" customHeight="1" x14ac:dyDescent="0.3"/>
    <row r="1904" ht="15" customHeight="1" x14ac:dyDescent="0.3"/>
    <row r="1905" ht="15" customHeight="1" x14ac:dyDescent="0.3"/>
    <row r="1906" ht="15" customHeight="1" x14ac:dyDescent="0.3"/>
    <row r="1907" ht="15" customHeight="1" x14ac:dyDescent="0.3"/>
    <row r="1908" ht="15" customHeight="1" x14ac:dyDescent="0.3"/>
    <row r="1909" ht="15" customHeight="1" x14ac:dyDescent="0.3"/>
    <row r="1910" ht="15" customHeight="1" x14ac:dyDescent="0.3"/>
    <row r="1911" ht="15" customHeight="1" x14ac:dyDescent="0.3"/>
    <row r="1912" ht="15" customHeight="1" x14ac:dyDescent="0.3"/>
    <row r="1913" ht="15" customHeight="1" x14ac:dyDescent="0.3"/>
    <row r="1914" ht="15" customHeight="1" x14ac:dyDescent="0.3"/>
    <row r="1915" ht="15" customHeight="1" x14ac:dyDescent="0.3"/>
    <row r="1916" ht="15" customHeight="1" x14ac:dyDescent="0.3"/>
    <row r="1917" ht="15" customHeight="1" x14ac:dyDescent="0.3"/>
    <row r="1918" ht="15" customHeight="1" x14ac:dyDescent="0.3"/>
    <row r="1919" ht="15" customHeight="1" x14ac:dyDescent="0.3"/>
    <row r="1920" ht="15" customHeight="1" x14ac:dyDescent="0.3"/>
    <row r="1921" ht="15" customHeight="1" x14ac:dyDescent="0.3"/>
    <row r="1922" ht="15" customHeight="1" x14ac:dyDescent="0.3"/>
    <row r="1923" ht="15" customHeight="1" x14ac:dyDescent="0.3"/>
    <row r="1924" ht="15" customHeight="1" x14ac:dyDescent="0.3"/>
    <row r="1925" ht="15" customHeight="1" x14ac:dyDescent="0.3"/>
    <row r="1926" ht="15" customHeight="1" x14ac:dyDescent="0.3"/>
    <row r="1927" ht="15" customHeight="1" x14ac:dyDescent="0.3"/>
    <row r="1928" ht="15" customHeight="1" x14ac:dyDescent="0.3"/>
    <row r="1929" ht="15" customHeight="1" x14ac:dyDescent="0.3"/>
    <row r="1930" ht="15" customHeight="1" x14ac:dyDescent="0.3"/>
    <row r="1931" ht="15" customHeight="1" x14ac:dyDescent="0.3"/>
    <row r="1932" ht="15" customHeight="1" x14ac:dyDescent="0.3"/>
    <row r="1933" ht="15" customHeight="1" x14ac:dyDescent="0.3"/>
    <row r="1934" ht="15" customHeight="1" x14ac:dyDescent="0.3"/>
    <row r="1935" ht="15" customHeight="1" x14ac:dyDescent="0.3"/>
    <row r="1936" ht="15" customHeight="1" x14ac:dyDescent="0.3"/>
    <row r="1937" ht="15" customHeight="1" x14ac:dyDescent="0.3"/>
    <row r="1938" ht="15" customHeight="1" x14ac:dyDescent="0.3"/>
    <row r="1939" ht="15" customHeight="1" x14ac:dyDescent="0.3"/>
    <row r="1940" ht="15" customHeight="1" x14ac:dyDescent="0.3"/>
    <row r="1941" ht="15" customHeight="1" x14ac:dyDescent="0.3"/>
    <row r="1942" ht="15" customHeight="1" x14ac:dyDescent="0.3"/>
    <row r="1943" ht="15" customHeight="1" x14ac:dyDescent="0.3"/>
    <row r="1944" ht="15" customHeight="1" x14ac:dyDescent="0.3"/>
    <row r="1945" ht="15" customHeight="1" x14ac:dyDescent="0.3"/>
    <row r="1946" ht="15" customHeight="1" x14ac:dyDescent="0.3"/>
    <row r="1947" ht="15" customHeight="1" x14ac:dyDescent="0.3"/>
    <row r="1948" ht="15" customHeight="1" x14ac:dyDescent="0.3"/>
    <row r="1949" ht="15" customHeight="1" x14ac:dyDescent="0.3"/>
    <row r="1950" ht="15" customHeight="1" x14ac:dyDescent="0.3"/>
    <row r="1951" ht="15" customHeight="1" x14ac:dyDescent="0.3"/>
    <row r="1952" ht="15" customHeight="1" x14ac:dyDescent="0.3"/>
    <row r="1953" ht="15" customHeight="1" x14ac:dyDescent="0.3"/>
    <row r="1954" ht="15" customHeight="1" x14ac:dyDescent="0.3"/>
    <row r="1955" ht="15" customHeight="1" x14ac:dyDescent="0.3"/>
    <row r="1956" ht="15" customHeight="1" x14ac:dyDescent="0.3"/>
    <row r="1957" ht="15" customHeight="1" x14ac:dyDescent="0.3"/>
    <row r="1958" ht="15" customHeight="1" x14ac:dyDescent="0.3"/>
    <row r="1959" ht="15" customHeight="1" x14ac:dyDescent="0.3"/>
    <row r="1960" ht="15" customHeight="1" x14ac:dyDescent="0.3"/>
    <row r="1961" ht="15" customHeight="1" x14ac:dyDescent="0.3"/>
    <row r="1962" ht="15" customHeight="1" x14ac:dyDescent="0.3"/>
    <row r="1963" ht="15" customHeight="1" x14ac:dyDescent="0.3"/>
    <row r="1964" ht="15" customHeight="1" x14ac:dyDescent="0.3"/>
    <row r="1965" ht="15" customHeight="1" x14ac:dyDescent="0.3"/>
    <row r="1966" ht="15" customHeight="1" x14ac:dyDescent="0.3"/>
    <row r="1967" ht="15" customHeight="1" x14ac:dyDescent="0.3"/>
    <row r="1968" ht="15" customHeight="1" x14ac:dyDescent="0.3"/>
    <row r="1969" ht="15" customHeight="1" x14ac:dyDescent="0.3"/>
    <row r="1970" ht="15" customHeight="1" x14ac:dyDescent="0.3"/>
    <row r="1971" ht="15" customHeight="1" x14ac:dyDescent="0.3"/>
    <row r="1972" ht="15" customHeight="1" x14ac:dyDescent="0.3"/>
    <row r="1973" ht="15" customHeight="1" x14ac:dyDescent="0.3"/>
    <row r="1974" ht="15" customHeight="1" x14ac:dyDescent="0.3"/>
    <row r="1975" ht="15" customHeight="1" x14ac:dyDescent="0.3"/>
    <row r="1976" ht="15" customHeight="1" x14ac:dyDescent="0.3"/>
    <row r="1977" ht="15" customHeight="1" x14ac:dyDescent="0.3"/>
    <row r="1978" ht="15" customHeight="1" x14ac:dyDescent="0.3"/>
    <row r="1979" ht="15" customHeight="1" x14ac:dyDescent="0.3"/>
    <row r="1980" ht="15" customHeight="1" x14ac:dyDescent="0.3"/>
    <row r="1981" ht="15" customHeight="1" x14ac:dyDescent="0.3"/>
    <row r="1982" ht="15" customHeight="1" x14ac:dyDescent="0.3"/>
    <row r="1983" ht="15" customHeight="1" x14ac:dyDescent="0.3"/>
    <row r="1984" ht="15" customHeight="1" x14ac:dyDescent="0.3"/>
    <row r="1985" ht="15" customHeight="1" x14ac:dyDescent="0.3"/>
    <row r="1986" ht="15" customHeight="1" x14ac:dyDescent="0.3"/>
    <row r="1987" ht="15" customHeight="1" x14ac:dyDescent="0.3"/>
    <row r="1988" ht="15" customHeight="1" x14ac:dyDescent="0.3"/>
    <row r="1989" ht="15" customHeight="1" x14ac:dyDescent="0.3"/>
    <row r="1990" ht="15" customHeight="1" x14ac:dyDescent="0.3"/>
    <row r="1991" ht="15" customHeight="1" x14ac:dyDescent="0.3"/>
    <row r="1992" ht="15" customHeight="1" x14ac:dyDescent="0.3"/>
    <row r="1993" ht="15" customHeight="1" x14ac:dyDescent="0.3"/>
    <row r="1994" ht="15" customHeight="1" x14ac:dyDescent="0.3"/>
    <row r="1995" ht="15" customHeight="1" x14ac:dyDescent="0.3"/>
    <row r="1996" ht="15" customHeight="1" x14ac:dyDescent="0.3"/>
    <row r="1997" ht="15" customHeight="1" x14ac:dyDescent="0.3"/>
    <row r="1998" ht="15" customHeight="1" x14ac:dyDescent="0.3"/>
    <row r="1999" ht="15" customHeight="1" x14ac:dyDescent="0.3"/>
    <row r="2000" ht="15" customHeight="1" x14ac:dyDescent="0.3"/>
    <row r="2001" ht="15" customHeight="1" x14ac:dyDescent="0.3"/>
    <row r="2002" ht="15" customHeight="1" x14ac:dyDescent="0.3"/>
    <row r="2003" ht="15" customHeight="1" x14ac:dyDescent="0.3"/>
    <row r="2004" ht="15" customHeight="1" x14ac:dyDescent="0.3"/>
    <row r="2005" ht="15" customHeight="1" x14ac:dyDescent="0.3"/>
    <row r="2006" ht="15" customHeight="1" x14ac:dyDescent="0.3"/>
    <row r="2007" ht="15" customHeight="1" x14ac:dyDescent="0.3"/>
    <row r="2008" ht="15" customHeight="1" x14ac:dyDescent="0.3"/>
    <row r="2009" ht="15" customHeight="1" x14ac:dyDescent="0.3"/>
    <row r="2010" ht="15" customHeight="1" x14ac:dyDescent="0.3"/>
    <row r="2011" ht="15" customHeight="1" x14ac:dyDescent="0.3"/>
    <row r="2012" ht="15" customHeight="1" x14ac:dyDescent="0.3"/>
    <row r="2013" ht="15" customHeight="1" x14ac:dyDescent="0.3"/>
    <row r="2014" ht="15" customHeight="1" x14ac:dyDescent="0.3"/>
    <row r="2015" ht="15" customHeight="1" x14ac:dyDescent="0.3"/>
    <row r="2016" ht="15" customHeight="1" x14ac:dyDescent="0.3"/>
    <row r="2017" ht="15" customHeight="1" x14ac:dyDescent="0.3"/>
    <row r="2018" ht="15" customHeight="1" x14ac:dyDescent="0.3"/>
    <row r="2019" ht="15" customHeight="1" x14ac:dyDescent="0.3"/>
    <row r="2020" ht="15" customHeight="1" x14ac:dyDescent="0.3"/>
    <row r="2021" ht="15" customHeight="1" x14ac:dyDescent="0.3"/>
    <row r="2022" ht="15" customHeight="1" x14ac:dyDescent="0.3"/>
    <row r="2023" ht="15" customHeight="1" x14ac:dyDescent="0.3"/>
    <row r="2024" ht="15" customHeight="1" x14ac:dyDescent="0.3"/>
    <row r="2025" ht="15" customHeight="1" x14ac:dyDescent="0.3"/>
    <row r="2026" ht="15" customHeight="1" x14ac:dyDescent="0.3"/>
    <row r="2027" ht="15" customHeight="1" x14ac:dyDescent="0.3"/>
    <row r="2028" ht="15" customHeight="1" x14ac:dyDescent="0.3"/>
    <row r="2029" ht="15" customHeight="1" x14ac:dyDescent="0.3"/>
    <row r="2030" ht="15" customHeight="1" x14ac:dyDescent="0.3"/>
    <row r="2031" ht="15" customHeight="1" x14ac:dyDescent="0.3"/>
    <row r="2032" ht="15" customHeight="1" x14ac:dyDescent="0.3"/>
    <row r="2033" ht="15" customHeight="1" x14ac:dyDescent="0.3"/>
    <row r="2034" ht="15" customHeight="1" x14ac:dyDescent="0.3"/>
    <row r="2035" ht="15" customHeight="1" x14ac:dyDescent="0.3"/>
    <row r="2036" ht="15" customHeight="1" x14ac:dyDescent="0.3"/>
    <row r="2037" ht="15" customHeight="1" x14ac:dyDescent="0.3"/>
    <row r="2038" ht="15" customHeight="1" x14ac:dyDescent="0.3"/>
    <row r="2039" ht="15" customHeight="1" x14ac:dyDescent="0.3"/>
    <row r="2040" ht="15" customHeight="1" x14ac:dyDescent="0.3"/>
    <row r="2041" ht="15" customHeight="1" x14ac:dyDescent="0.3"/>
    <row r="2042" ht="15" customHeight="1" x14ac:dyDescent="0.3"/>
    <row r="2043" ht="15" customHeight="1" x14ac:dyDescent="0.3"/>
    <row r="2044" ht="15" customHeight="1" x14ac:dyDescent="0.3"/>
    <row r="2045" ht="15" customHeight="1" x14ac:dyDescent="0.3"/>
    <row r="2046" ht="15" customHeight="1" x14ac:dyDescent="0.3"/>
    <row r="2047" ht="15" customHeight="1" x14ac:dyDescent="0.3"/>
    <row r="2048" ht="15" customHeight="1" x14ac:dyDescent="0.3"/>
    <row r="2049" ht="15" customHeight="1" x14ac:dyDescent="0.3"/>
    <row r="2050" ht="15" customHeight="1" x14ac:dyDescent="0.3"/>
    <row r="2051" ht="15" customHeight="1" x14ac:dyDescent="0.3"/>
    <row r="2052" ht="15" customHeight="1" x14ac:dyDescent="0.3"/>
    <row r="2053" ht="15" customHeight="1" x14ac:dyDescent="0.3"/>
    <row r="2054" ht="15" customHeight="1" x14ac:dyDescent="0.3"/>
    <row r="2055" ht="15" customHeight="1" x14ac:dyDescent="0.3"/>
    <row r="2056" ht="15" customHeight="1" x14ac:dyDescent="0.3"/>
    <row r="2057" ht="15" customHeight="1" x14ac:dyDescent="0.3"/>
    <row r="2058" ht="15" customHeight="1" x14ac:dyDescent="0.3"/>
    <row r="2059" ht="15" customHeight="1" x14ac:dyDescent="0.3"/>
    <row r="2060" ht="15" customHeight="1" x14ac:dyDescent="0.3"/>
    <row r="2061" ht="15" customHeight="1" x14ac:dyDescent="0.3"/>
    <row r="2062" ht="15" customHeight="1" x14ac:dyDescent="0.3"/>
    <row r="2063" ht="15" customHeight="1" x14ac:dyDescent="0.3"/>
    <row r="2064" ht="15" customHeight="1" x14ac:dyDescent="0.3"/>
    <row r="2065" ht="15" customHeight="1" x14ac:dyDescent="0.3"/>
    <row r="2066" ht="15" customHeight="1" x14ac:dyDescent="0.3"/>
    <row r="2067" ht="15" customHeight="1" x14ac:dyDescent="0.3"/>
    <row r="2068" ht="15" customHeight="1" x14ac:dyDescent="0.3"/>
    <row r="2069" ht="15" customHeight="1" x14ac:dyDescent="0.3"/>
    <row r="2070" ht="15" customHeight="1" x14ac:dyDescent="0.3"/>
    <row r="2071" ht="15" customHeight="1" x14ac:dyDescent="0.3"/>
    <row r="2072" ht="15" customHeight="1" x14ac:dyDescent="0.3"/>
    <row r="2073" ht="15" customHeight="1" x14ac:dyDescent="0.3"/>
    <row r="2074" ht="15" customHeight="1" x14ac:dyDescent="0.3"/>
    <row r="2075" ht="15" customHeight="1" x14ac:dyDescent="0.3"/>
    <row r="2076" ht="15" customHeight="1" x14ac:dyDescent="0.3"/>
    <row r="2077" ht="15" customHeight="1" x14ac:dyDescent="0.3"/>
    <row r="2078" ht="15" customHeight="1" x14ac:dyDescent="0.3"/>
    <row r="2079" ht="15" customHeight="1" x14ac:dyDescent="0.3"/>
    <row r="2080" ht="15" customHeight="1" x14ac:dyDescent="0.3"/>
    <row r="2081" ht="15" customHeight="1" x14ac:dyDescent="0.3"/>
    <row r="2082" ht="15" customHeight="1" x14ac:dyDescent="0.3"/>
    <row r="2083" ht="15" customHeight="1" x14ac:dyDescent="0.3"/>
    <row r="2084" ht="15" customHeight="1" x14ac:dyDescent="0.3"/>
    <row r="2085" ht="15" customHeight="1" x14ac:dyDescent="0.3"/>
    <row r="2086" ht="15" customHeight="1" x14ac:dyDescent="0.3"/>
    <row r="2087" ht="15" customHeight="1" x14ac:dyDescent="0.3"/>
    <row r="2088" ht="15" customHeight="1" x14ac:dyDescent="0.3"/>
    <row r="2089" ht="15" customHeight="1" x14ac:dyDescent="0.3"/>
    <row r="2090" ht="15" customHeight="1" x14ac:dyDescent="0.3"/>
    <row r="2091" ht="15" customHeight="1" x14ac:dyDescent="0.3"/>
    <row r="2092" ht="15" customHeight="1" x14ac:dyDescent="0.3"/>
    <row r="2093" ht="15" customHeight="1" x14ac:dyDescent="0.3"/>
    <row r="2094" ht="15" customHeight="1" x14ac:dyDescent="0.3"/>
    <row r="2095" ht="15" customHeight="1" x14ac:dyDescent="0.3"/>
    <row r="2096" ht="15" customHeight="1" x14ac:dyDescent="0.3"/>
    <row r="2097" ht="15" customHeight="1" x14ac:dyDescent="0.3"/>
    <row r="2098" ht="15" customHeight="1" x14ac:dyDescent="0.3"/>
    <row r="2099" ht="15" customHeight="1" x14ac:dyDescent="0.3"/>
    <row r="2100" ht="15" customHeight="1" x14ac:dyDescent="0.3"/>
    <row r="2101" ht="15" customHeight="1" x14ac:dyDescent="0.3"/>
    <row r="2102" ht="15" customHeight="1" x14ac:dyDescent="0.3"/>
    <row r="2103" ht="15" customHeight="1" x14ac:dyDescent="0.3"/>
    <row r="2104" ht="15" customHeight="1" x14ac:dyDescent="0.3"/>
    <row r="2105" ht="15" customHeight="1" x14ac:dyDescent="0.3"/>
    <row r="2106" ht="15" customHeight="1" x14ac:dyDescent="0.3"/>
    <row r="2107" ht="15" customHeight="1" x14ac:dyDescent="0.3"/>
    <row r="2108" ht="15" customHeight="1" x14ac:dyDescent="0.3"/>
    <row r="2109" ht="15" customHeight="1" x14ac:dyDescent="0.3"/>
    <row r="2110" ht="15" customHeight="1" x14ac:dyDescent="0.3"/>
    <row r="2111" ht="15" customHeight="1" x14ac:dyDescent="0.3"/>
    <row r="2112" ht="15" customHeight="1" x14ac:dyDescent="0.3"/>
    <row r="2113" ht="15" customHeight="1" x14ac:dyDescent="0.3"/>
    <row r="2114" ht="15" customHeight="1" x14ac:dyDescent="0.3"/>
    <row r="2115" ht="15" customHeight="1" x14ac:dyDescent="0.3"/>
    <row r="2116" ht="15" customHeight="1" x14ac:dyDescent="0.3"/>
    <row r="2117" ht="15" customHeight="1" x14ac:dyDescent="0.3"/>
    <row r="2118" ht="15" customHeight="1" x14ac:dyDescent="0.3"/>
    <row r="2119" ht="15" customHeight="1" x14ac:dyDescent="0.3"/>
    <row r="2120" ht="15" customHeight="1" x14ac:dyDescent="0.3"/>
    <row r="2121" ht="15" customHeight="1" x14ac:dyDescent="0.3"/>
    <row r="2122" ht="15" customHeight="1" x14ac:dyDescent="0.3"/>
    <row r="2123" ht="15" customHeight="1" x14ac:dyDescent="0.3"/>
    <row r="2124" ht="15" customHeight="1" x14ac:dyDescent="0.3"/>
    <row r="2125" ht="15" customHeight="1" x14ac:dyDescent="0.3"/>
    <row r="2126" ht="15" customHeight="1" x14ac:dyDescent="0.3"/>
    <row r="2127" ht="15" customHeight="1" x14ac:dyDescent="0.3"/>
    <row r="2128" ht="15" customHeight="1" x14ac:dyDescent="0.3"/>
    <row r="2129" ht="15" customHeight="1" x14ac:dyDescent="0.3"/>
    <row r="2130" ht="15" customHeight="1" x14ac:dyDescent="0.3"/>
    <row r="2131" ht="15" customHeight="1" x14ac:dyDescent="0.3"/>
    <row r="2132" ht="15" customHeight="1" x14ac:dyDescent="0.3"/>
    <row r="2133" ht="15" customHeight="1" x14ac:dyDescent="0.3"/>
    <row r="2134" ht="15" customHeight="1" x14ac:dyDescent="0.3"/>
    <row r="2135" ht="15" customHeight="1" x14ac:dyDescent="0.3"/>
    <row r="2136" ht="15" customHeight="1" x14ac:dyDescent="0.3"/>
    <row r="2137" ht="15" customHeight="1" x14ac:dyDescent="0.3"/>
    <row r="2138" ht="15" customHeight="1" x14ac:dyDescent="0.3"/>
    <row r="2139" ht="15" customHeight="1" x14ac:dyDescent="0.3"/>
    <row r="2140" ht="15" customHeight="1" x14ac:dyDescent="0.3"/>
    <row r="2141" ht="15" customHeight="1" x14ac:dyDescent="0.3"/>
    <row r="2142" ht="15" customHeight="1" x14ac:dyDescent="0.3"/>
    <row r="2143" ht="15" customHeight="1" x14ac:dyDescent="0.3"/>
    <row r="2144" ht="15" customHeight="1" x14ac:dyDescent="0.3"/>
    <row r="2145" ht="15" customHeight="1" x14ac:dyDescent="0.3"/>
    <row r="2146" ht="15" customHeight="1" x14ac:dyDescent="0.3"/>
    <row r="2147" ht="15" customHeight="1" x14ac:dyDescent="0.3"/>
    <row r="2148" ht="15" customHeight="1" x14ac:dyDescent="0.3"/>
    <row r="2149" ht="15" customHeight="1" x14ac:dyDescent="0.3"/>
    <row r="2150" ht="15" customHeight="1" x14ac:dyDescent="0.3"/>
    <row r="2151" ht="15" customHeight="1" x14ac:dyDescent="0.3"/>
    <row r="2152" ht="15" customHeight="1" x14ac:dyDescent="0.3"/>
    <row r="2153" ht="15" customHeight="1" x14ac:dyDescent="0.3"/>
    <row r="2154" ht="15" customHeight="1" x14ac:dyDescent="0.3"/>
    <row r="2155" ht="15" customHeight="1" x14ac:dyDescent="0.3"/>
    <row r="2156" ht="15" customHeight="1" x14ac:dyDescent="0.3"/>
    <row r="2157" ht="15" customHeight="1" x14ac:dyDescent="0.3"/>
    <row r="2158" ht="15" customHeight="1" x14ac:dyDescent="0.3"/>
    <row r="2159" ht="15" customHeight="1" x14ac:dyDescent="0.3"/>
    <row r="2160" ht="15" customHeight="1" x14ac:dyDescent="0.3"/>
    <row r="2161" ht="15" customHeight="1" x14ac:dyDescent="0.3"/>
    <row r="2162" ht="15" customHeight="1" x14ac:dyDescent="0.3"/>
    <row r="2163" ht="15" customHeight="1" x14ac:dyDescent="0.3"/>
    <row r="2164" ht="15" customHeight="1" x14ac:dyDescent="0.3"/>
    <row r="2165" ht="15" customHeight="1" x14ac:dyDescent="0.3"/>
    <row r="2166" ht="15" customHeight="1" x14ac:dyDescent="0.3"/>
    <row r="2167" ht="15" customHeight="1" x14ac:dyDescent="0.3"/>
    <row r="2168" ht="15" customHeight="1" x14ac:dyDescent="0.3"/>
    <row r="2169" ht="15" customHeight="1" x14ac:dyDescent="0.3"/>
    <row r="2170" ht="15" customHeight="1" x14ac:dyDescent="0.3"/>
    <row r="2171" ht="15" customHeight="1" x14ac:dyDescent="0.3"/>
    <row r="2172" ht="15" customHeight="1" x14ac:dyDescent="0.3"/>
    <row r="2173" ht="15" customHeight="1" x14ac:dyDescent="0.3"/>
    <row r="2174" ht="15" customHeight="1" x14ac:dyDescent="0.3"/>
    <row r="2175" ht="15" customHeight="1" x14ac:dyDescent="0.3"/>
    <row r="2176" ht="15" customHeight="1" x14ac:dyDescent="0.3"/>
    <row r="2177" ht="15" customHeight="1" x14ac:dyDescent="0.3"/>
    <row r="2178" ht="15" customHeight="1" x14ac:dyDescent="0.3"/>
    <row r="2179" ht="15" customHeight="1" x14ac:dyDescent="0.3"/>
    <row r="2180" ht="15" customHeight="1" x14ac:dyDescent="0.3"/>
    <row r="2181" ht="15" customHeight="1" x14ac:dyDescent="0.3"/>
    <row r="2182" ht="15" customHeight="1" x14ac:dyDescent="0.3"/>
    <row r="2183" ht="15" customHeight="1" x14ac:dyDescent="0.3"/>
    <row r="2184" ht="15" customHeight="1" x14ac:dyDescent="0.3"/>
    <row r="2185" ht="15" customHeight="1" x14ac:dyDescent="0.3"/>
    <row r="2186" ht="15" customHeight="1" x14ac:dyDescent="0.3"/>
    <row r="2187" ht="15" customHeight="1" x14ac:dyDescent="0.3"/>
    <row r="2188" ht="15" customHeight="1" x14ac:dyDescent="0.3"/>
    <row r="2189" ht="15" customHeight="1" x14ac:dyDescent="0.3"/>
    <row r="2190" ht="15" customHeight="1" x14ac:dyDescent="0.3"/>
    <row r="2191" ht="15" customHeight="1" x14ac:dyDescent="0.3"/>
    <row r="2192" ht="15" customHeight="1" x14ac:dyDescent="0.3"/>
    <row r="2193" ht="15" customHeight="1" x14ac:dyDescent="0.3"/>
    <row r="2194" ht="15" customHeight="1" x14ac:dyDescent="0.3"/>
    <row r="2195" ht="15" customHeight="1" x14ac:dyDescent="0.3"/>
    <row r="2196" ht="15" customHeight="1" x14ac:dyDescent="0.3"/>
    <row r="2197" ht="15" customHeight="1" x14ac:dyDescent="0.3"/>
    <row r="2198" ht="15" customHeight="1" x14ac:dyDescent="0.3"/>
    <row r="2199" ht="15" customHeight="1" x14ac:dyDescent="0.3"/>
    <row r="2200" ht="15" customHeight="1" x14ac:dyDescent="0.3"/>
    <row r="2201" ht="15" customHeight="1" x14ac:dyDescent="0.3"/>
    <row r="2202" ht="15" customHeight="1" x14ac:dyDescent="0.3"/>
    <row r="2203" ht="15" customHeight="1" x14ac:dyDescent="0.3"/>
    <row r="2204" ht="15" customHeight="1" x14ac:dyDescent="0.3"/>
    <row r="2205" ht="15" customHeight="1" x14ac:dyDescent="0.3"/>
    <row r="2206" ht="15" customHeight="1" x14ac:dyDescent="0.3"/>
    <row r="2207" ht="15" customHeight="1" x14ac:dyDescent="0.3"/>
    <row r="2208" ht="15" customHeight="1" x14ac:dyDescent="0.3"/>
    <row r="2209" ht="15" customHeight="1" x14ac:dyDescent="0.3"/>
    <row r="2210" ht="15" customHeight="1" x14ac:dyDescent="0.3"/>
    <row r="2211" ht="15" customHeight="1" x14ac:dyDescent="0.3"/>
    <row r="2212" ht="15" customHeight="1" x14ac:dyDescent="0.3"/>
    <row r="2213" ht="15" customHeight="1" x14ac:dyDescent="0.3"/>
    <row r="2214" ht="15" customHeight="1" x14ac:dyDescent="0.3"/>
    <row r="2215" ht="15" customHeight="1" x14ac:dyDescent="0.3"/>
    <row r="2216" ht="15" customHeight="1" x14ac:dyDescent="0.3"/>
    <row r="2217" ht="15" customHeight="1" x14ac:dyDescent="0.3"/>
    <row r="2218" ht="15" customHeight="1" x14ac:dyDescent="0.3"/>
    <row r="2219" ht="15" customHeight="1" x14ac:dyDescent="0.3"/>
    <row r="2220" ht="15" customHeight="1" x14ac:dyDescent="0.3"/>
    <row r="2221" ht="15" customHeight="1" x14ac:dyDescent="0.3"/>
    <row r="2222" ht="15" customHeight="1" x14ac:dyDescent="0.3"/>
    <row r="2223" ht="15" customHeight="1" x14ac:dyDescent="0.3"/>
    <row r="2224" ht="15" customHeight="1" x14ac:dyDescent="0.3"/>
    <row r="2225" ht="15" customHeight="1" x14ac:dyDescent="0.3"/>
    <row r="2226" ht="15" customHeight="1" x14ac:dyDescent="0.3"/>
    <row r="2227" ht="15" customHeight="1" x14ac:dyDescent="0.3"/>
    <row r="2228" ht="15" customHeight="1" x14ac:dyDescent="0.3"/>
    <row r="2229" ht="15" customHeight="1" x14ac:dyDescent="0.3"/>
    <row r="2230" ht="15" customHeight="1" x14ac:dyDescent="0.3"/>
    <row r="2231" ht="15" customHeight="1" x14ac:dyDescent="0.3"/>
    <row r="2232" ht="15" customHeight="1" x14ac:dyDescent="0.3"/>
    <row r="2233" ht="15" customHeight="1" x14ac:dyDescent="0.3"/>
    <row r="2234" ht="15" customHeight="1" x14ac:dyDescent="0.3"/>
    <row r="2235" ht="15" customHeight="1" x14ac:dyDescent="0.3"/>
    <row r="2236" ht="15" customHeight="1" x14ac:dyDescent="0.3"/>
    <row r="2237" ht="15" customHeight="1" x14ac:dyDescent="0.3"/>
    <row r="2238" ht="15" customHeight="1" x14ac:dyDescent="0.3"/>
    <row r="2239" ht="15" customHeight="1" x14ac:dyDescent="0.3"/>
    <row r="2240" ht="15" customHeight="1" x14ac:dyDescent="0.3"/>
    <row r="2241" ht="15" customHeight="1" x14ac:dyDescent="0.3"/>
    <row r="2242" ht="15" customHeight="1" x14ac:dyDescent="0.3"/>
    <row r="2243" ht="15" customHeight="1" x14ac:dyDescent="0.3"/>
    <row r="2244" ht="15" customHeight="1" x14ac:dyDescent="0.3"/>
    <row r="2245" ht="15" customHeight="1" x14ac:dyDescent="0.3"/>
    <row r="2246" ht="15" customHeight="1" x14ac:dyDescent="0.3"/>
    <row r="2247" ht="15" customHeight="1" x14ac:dyDescent="0.3"/>
    <row r="2248" ht="15" customHeight="1" x14ac:dyDescent="0.3"/>
    <row r="2249" ht="15" customHeight="1" x14ac:dyDescent="0.3"/>
    <row r="2250" ht="15" customHeight="1" x14ac:dyDescent="0.3"/>
    <row r="2251" ht="15" customHeight="1" x14ac:dyDescent="0.3"/>
    <row r="2252" ht="15" customHeight="1" x14ac:dyDescent="0.3"/>
    <row r="2253" ht="15" customHeight="1" x14ac:dyDescent="0.3"/>
    <row r="2254" ht="15" customHeight="1" x14ac:dyDescent="0.3"/>
    <row r="2255" ht="15" customHeight="1" x14ac:dyDescent="0.3"/>
    <row r="2256" ht="15" customHeight="1" x14ac:dyDescent="0.3"/>
    <row r="2257" ht="15" customHeight="1" x14ac:dyDescent="0.3"/>
    <row r="2258" ht="15" customHeight="1" x14ac:dyDescent="0.3"/>
    <row r="2259" ht="15" customHeight="1" x14ac:dyDescent="0.3"/>
    <row r="2260" ht="15" customHeight="1" x14ac:dyDescent="0.3"/>
    <row r="2261" ht="15" customHeight="1" x14ac:dyDescent="0.3"/>
    <row r="2262" ht="15" customHeight="1" x14ac:dyDescent="0.3"/>
    <row r="2263" ht="15" customHeight="1" x14ac:dyDescent="0.3"/>
    <row r="2264" ht="15" customHeight="1" x14ac:dyDescent="0.3"/>
    <row r="2265" ht="15" customHeight="1" x14ac:dyDescent="0.3"/>
    <row r="2266" ht="15" customHeight="1" x14ac:dyDescent="0.3"/>
    <row r="2267" ht="15" customHeight="1" x14ac:dyDescent="0.3"/>
    <row r="2268" ht="15" customHeight="1" x14ac:dyDescent="0.3"/>
    <row r="2269" ht="15" customHeight="1" x14ac:dyDescent="0.3"/>
    <row r="2270" ht="15" customHeight="1" x14ac:dyDescent="0.3"/>
    <row r="2271" ht="15" customHeight="1" x14ac:dyDescent="0.3"/>
    <row r="2272" ht="15" customHeight="1" x14ac:dyDescent="0.3"/>
    <row r="2273" ht="15" customHeight="1" x14ac:dyDescent="0.3"/>
    <row r="2274" ht="15" customHeight="1" x14ac:dyDescent="0.3"/>
    <row r="2275" ht="15" customHeight="1" x14ac:dyDescent="0.3"/>
    <row r="2276" ht="15" customHeight="1" x14ac:dyDescent="0.3"/>
    <row r="2277" ht="15" customHeight="1" x14ac:dyDescent="0.3"/>
    <row r="2278" ht="15" customHeight="1" x14ac:dyDescent="0.3"/>
    <row r="2279" ht="15" customHeight="1" x14ac:dyDescent="0.3"/>
    <row r="2280" ht="15" customHeight="1" x14ac:dyDescent="0.3"/>
    <row r="2281" ht="15" customHeight="1" x14ac:dyDescent="0.3"/>
    <row r="2282" ht="15" customHeight="1" x14ac:dyDescent="0.3"/>
    <row r="2283" ht="15" customHeight="1" x14ac:dyDescent="0.3"/>
    <row r="2284" ht="15" customHeight="1" x14ac:dyDescent="0.3"/>
    <row r="2285" ht="15" customHeight="1" x14ac:dyDescent="0.3"/>
    <row r="2286" ht="15" customHeight="1" x14ac:dyDescent="0.3"/>
    <row r="2287" ht="15" customHeight="1" x14ac:dyDescent="0.3"/>
    <row r="2288" ht="15" customHeight="1" x14ac:dyDescent="0.3"/>
    <row r="2289" ht="15" customHeight="1" x14ac:dyDescent="0.3"/>
    <row r="2290" ht="15" customHeight="1" x14ac:dyDescent="0.3"/>
    <row r="2291" ht="15" customHeight="1" x14ac:dyDescent="0.3"/>
    <row r="2292" ht="15" customHeight="1" x14ac:dyDescent="0.3"/>
    <row r="2293" ht="15" customHeight="1" x14ac:dyDescent="0.3"/>
    <row r="2294" ht="15" customHeight="1" x14ac:dyDescent="0.3"/>
    <row r="2295" ht="15" customHeight="1" x14ac:dyDescent="0.3"/>
    <row r="2296" ht="15" customHeight="1" x14ac:dyDescent="0.3"/>
    <row r="2297" ht="15" customHeight="1" x14ac:dyDescent="0.3"/>
    <row r="2298" ht="15" customHeight="1" x14ac:dyDescent="0.3"/>
    <row r="2299" ht="15" customHeight="1" x14ac:dyDescent="0.3"/>
    <row r="2300" ht="15" customHeight="1" x14ac:dyDescent="0.3"/>
    <row r="2301" ht="15" customHeight="1" x14ac:dyDescent="0.3"/>
    <row r="2302" ht="15" customHeight="1" x14ac:dyDescent="0.3"/>
    <row r="2303" ht="15" customHeight="1" x14ac:dyDescent="0.3"/>
    <row r="2304" ht="15" customHeight="1" x14ac:dyDescent="0.3"/>
    <row r="2305" ht="15" customHeight="1" x14ac:dyDescent="0.3"/>
    <row r="2306" ht="15" customHeight="1" x14ac:dyDescent="0.3"/>
    <row r="2307" ht="15" customHeight="1" x14ac:dyDescent="0.3"/>
    <row r="2308" ht="15" customHeight="1" x14ac:dyDescent="0.3"/>
    <row r="2309" ht="15" customHeight="1" x14ac:dyDescent="0.3"/>
    <row r="2310" ht="15" customHeight="1" x14ac:dyDescent="0.3"/>
    <row r="2311" ht="15" customHeight="1" x14ac:dyDescent="0.3"/>
    <row r="2312" ht="15" customHeight="1" x14ac:dyDescent="0.3"/>
    <row r="2313" ht="15" customHeight="1" x14ac:dyDescent="0.3"/>
    <row r="2314" ht="15" customHeight="1" x14ac:dyDescent="0.3"/>
    <row r="2315" ht="15" customHeight="1" x14ac:dyDescent="0.3"/>
    <row r="2316" ht="15" customHeight="1" x14ac:dyDescent="0.3"/>
    <row r="2317" ht="15" customHeight="1" x14ac:dyDescent="0.3"/>
    <row r="2318" ht="15" customHeight="1" x14ac:dyDescent="0.3"/>
    <row r="2319" ht="15" customHeight="1" x14ac:dyDescent="0.3"/>
    <row r="2320" ht="15" customHeight="1" x14ac:dyDescent="0.3"/>
    <row r="2321" ht="15" customHeight="1" x14ac:dyDescent="0.3"/>
    <row r="2322" ht="15" customHeight="1" x14ac:dyDescent="0.3"/>
    <row r="2323" ht="15" customHeight="1" x14ac:dyDescent="0.3"/>
    <row r="2324" ht="15" customHeight="1" x14ac:dyDescent="0.3"/>
    <row r="2325" ht="15" customHeight="1" x14ac:dyDescent="0.3"/>
    <row r="2326" ht="15" customHeight="1" x14ac:dyDescent="0.3"/>
    <row r="2327" ht="15" customHeight="1" x14ac:dyDescent="0.3"/>
    <row r="2328" ht="15" customHeight="1" x14ac:dyDescent="0.3"/>
    <row r="2329" ht="15" customHeight="1" x14ac:dyDescent="0.3"/>
    <row r="2330" ht="15" customHeight="1" x14ac:dyDescent="0.3"/>
    <row r="2331" ht="15" customHeight="1" x14ac:dyDescent="0.3"/>
    <row r="2332" ht="15" customHeight="1" x14ac:dyDescent="0.3"/>
    <row r="2333" ht="15" customHeight="1" x14ac:dyDescent="0.3"/>
    <row r="2334" ht="15" customHeight="1" x14ac:dyDescent="0.3"/>
    <row r="2335" ht="15" customHeight="1" x14ac:dyDescent="0.3"/>
    <row r="2336" ht="15" customHeight="1" x14ac:dyDescent="0.3"/>
    <row r="2337" ht="15" customHeight="1" x14ac:dyDescent="0.3"/>
    <row r="2338" ht="15" customHeight="1" x14ac:dyDescent="0.3"/>
    <row r="2339" ht="15" customHeight="1" x14ac:dyDescent="0.3"/>
    <row r="2340" ht="15" customHeight="1" x14ac:dyDescent="0.3"/>
    <row r="2341" ht="15" customHeight="1" x14ac:dyDescent="0.3"/>
    <row r="2342" ht="15" customHeight="1" x14ac:dyDescent="0.3"/>
    <row r="2343" ht="15" customHeight="1" x14ac:dyDescent="0.3"/>
    <row r="2344" ht="15" customHeight="1" x14ac:dyDescent="0.3"/>
    <row r="2345" ht="15" customHeight="1" x14ac:dyDescent="0.3"/>
    <row r="2346" ht="15" customHeight="1" x14ac:dyDescent="0.3"/>
    <row r="2347" ht="15" customHeight="1" x14ac:dyDescent="0.3"/>
    <row r="2348" ht="15" customHeight="1" x14ac:dyDescent="0.3"/>
    <row r="2349" ht="15" customHeight="1" x14ac:dyDescent="0.3"/>
    <row r="2350" ht="15" customHeight="1" x14ac:dyDescent="0.3"/>
    <row r="2351" ht="15" customHeight="1" x14ac:dyDescent="0.3"/>
    <row r="2352" ht="15" customHeight="1" x14ac:dyDescent="0.3"/>
    <row r="2353" ht="15" customHeight="1" x14ac:dyDescent="0.3"/>
    <row r="2354" ht="15" customHeight="1" x14ac:dyDescent="0.3"/>
    <row r="2355" ht="15" customHeight="1" x14ac:dyDescent="0.3"/>
    <row r="2356" ht="15" customHeight="1" x14ac:dyDescent="0.3"/>
    <row r="2357" ht="15" customHeight="1" x14ac:dyDescent="0.3"/>
    <row r="2358" ht="15" customHeight="1" x14ac:dyDescent="0.3"/>
    <row r="2359" ht="15" customHeight="1" x14ac:dyDescent="0.3"/>
    <row r="2360" ht="15" customHeight="1" x14ac:dyDescent="0.3"/>
    <row r="2361" ht="15" customHeight="1" x14ac:dyDescent="0.3"/>
    <row r="2362" ht="15" customHeight="1" x14ac:dyDescent="0.3"/>
    <row r="2363" ht="15" customHeight="1" x14ac:dyDescent="0.3"/>
    <row r="2364" ht="15" customHeight="1" x14ac:dyDescent="0.3"/>
    <row r="2365" ht="15" customHeight="1" x14ac:dyDescent="0.3"/>
    <row r="2366" ht="15" customHeight="1" x14ac:dyDescent="0.3"/>
    <row r="2367" ht="15" customHeight="1" x14ac:dyDescent="0.3"/>
    <row r="2368" ht="15" customHeight="1" x14ac:dyDescent="0.3"/>
    <row r="2369" ht="15" customHeight="1" x14ac:dyDescent="0.3"/>
    <row r="2370" ht="15" customHeight="1" x14ac:dyDescent="0.3"/>
    <row r="2371" ht="15" customHeight="1" x14ac:dyDescent="0.3"/>
    <row r="2372" ht="15" customHeight="1" x14ac:dyDescent="0.3"/>
    <row r="2373" ht="15" customHeight="1" x14ac:dyDescent="0.3"/>
    <row r="2374" ht="15" customHeight="1" x14ac:dyDescent="0.3"/>
    <row r="2375" ht="15" customHeight="1" x14ac:dyDescent="0.3"/>
    <row r="2376" ht="15" customHeight="1" x14ac:dyDescent="0.3"/>
    <row r="2377" ht="15" customHeight="1" x14ac:dyDescent="0.3"/>
    <row r="2378" ht="15" customHeight="1" x14ac:dyDescent="0.3"/>
    <row r="2379" ht="15" customHeight="1" x14ac:dyDescent="0.3"/>
    <row r="2380" ht="15" customHeight="1" x14ac:dyDescent="0.3"/>
    <row r="2381" ht="15" customHeight="1" x14ac:dyDescent="0.3"/>
    <row r="2382" ht="15" customHeight="1" x14ac:dyDescent="0.3"/>
    <row r="2383" ht="15" customHeight="1" x14ac:dyDescent="0.3"/>
    <row r="2384" ht="15" customHeight="1" x14ac:dyDescent="0.3"/>
    <row r="2385" ht="15" customHeight="1" x14ac:dyDescent="0.3"/>
    <row r="2386" ht="15" customHeight="1" x14ac:dyDescent="0.3"/>
    <row r="2387" ht="15" customHeight="1" x14ac:dyDescent="0.3"/>
    <row r="2388" ht="15" customHeight="1" x14ac:dyDescent="0.3"/>
    <row r="2389" ht="15" customHeight="1" x14ac:dyDescent="0.3"/>
    <row r="2390" ht="15" customHeight="1" x14ac:dyDescent="0.3"/>
    <row r="2391" ht="15" customHeight="1" x14ac:dyDescent="0.3"/>
    <row r="2392" ht="15" customHeight="1" x14ac:dyDescent="0.3"/>
    <row r="2393" ht="15" customHeight="1" x14ac:dyDescent="0.3"/>
    <row r="2394" ht="15" customHeight="1" x14ac:dyDescent="0.3"/>
    <row r="2395" ht="15" customHeight="1" x14ac:dyDescent="0.3"/>
    <row r="2396" ht="15" customHeight="1" x14ac:dyDescent="0.3"/>
    <row r="2397" ht="15" customHeight="1" x14ac:dyDescent="0.3"/>
    <row r="2398" ht="15" customHeight="1" x14ac:dyDescent="0.3"/>
    <row r="2399" ht="15" customHeight="1" x14ac:dyDescent="0.3"/>
    <row r="2400" ht="15" customHeight="1" x14ac:dyDescent="0.3"/>
    <row r="2401" ht="15" customHeight="1" x14ac:dyDescent="0.3"/>
    <row r="2402" ht="15" customHeight="1" x14ac:dyDescent="0.3"/>
    <row r="2403" ht="15" customHeight="1" x14ac:dyDescent="0.3"/>
    <row r="2404" ht="15" customHeight="1" x14ac:dyDescent="0.3"/>
    <row r="2405" ht="15" customHeight="1" x14ac:dyDescent="0.3"/>
    <row r="2406" ht="15" customHeight="1" x14ac:dyDescent="0.3"/>
    <row r="2407" ht="15" customHeight="1" x14ac:dyDescent="0.3"/>
    <row r="2408" ht="15" customHeight="1" x14ac:dyDescent="0.3"/>
    <row r="2409" ht="15" customHeight="1" x14ac:dyDescent="0.3"/>
    <row r="2410" ht="15" customHeight="1" x14ac:dyDescent="0.3"/>
    <row r="2411" ht="15" customHeight="1" x14ac:dyDescent="0.3"/>
    <row r="2412" ht="15" customHeight="1" x14ac:dyDescent="0.3"/>
    <row r="2413" ht="15" customHeight="1" x14ac:dyDescent="0.3"/>
    <row r="2414" ht="15" customHeight="1" x14ac:dyDescent="0.3"/>
    <row r="2415" ht="15" customHeight="1" x14ac:dyDescent="0.3"/>
    <row r="2416" ht="15" customHeight="1" x14ac:dyDescent="0.3"/>
    <row r="2417" ht="15" customHeight="1" x14ac:dyDescent="0.3"/>
    <row r="2418" ht="15" customHeight="1" x14ac:dyDescent="0.3"/>
    <row r="2419" ht="15" customHeight="1" x14ac:dyDescent="0.3"/>
    <row r="2420" ht="15" customHeight="1" x14ac:dyDescent="0.3"/>
    <row r="2421" ht="15" customHeight="1" x14ac:dyDescent="0.3"/>
    <row r="2422" ht="15" customHeight="1" x14ac:dyDescent="0.3"/>
    <row r="2423" ht="15" customHeight="1" x14ac:dyDescent="0.3"/>
    <row r="2424" ht="15" customHeight="1" x14ac:dyDescent="0.3"/>
    <row r="2425" ht="15" customHeight="1" x14ac:dyDescent="0.3"/>
    <row r="2426" ht="15" customHeight="1" x14ac:dyDescent="0.3"/>
    <row r="2427" ht="15" customHeight="1" x14ac:dyDescent="0.3"/>
    <row r="2428" ht="15" customHeight="1" x14ac:dyDescent="0.3"/>
    <row r="2429" ht="15" customHeight="1" x14ac:dyDescent="0.3"/>
    <row r="2430" ht="15" customHeight="1" x14ac:dyDescent="0.3"/>
    <row r="2431" ht="15" customHeight="1" x14ac:dyDescent="0.3"/>
    <row r="2432" ht="15" customHeight="1" x14ac:dyDescent="0.3"/>
    <row r="2433" ht="15" customHeight="1" x14ac:dyDescent="0.3"/>
    <row r="2434" ht="15" customHeight="1" x14ac:dyDescent="0.3"/>
    <row r="2435" ht="15" customHeight="1" x14ac:dyDescent="0.3"/>
    <row r="2436" ht="15" customHeight="1" x14ac:dyDescent="0.3"/>
    <row r="2437" ht="15" customHeight="1" x14ac:dyDescent="0.3"/>
    <row r="2438" ht="15" customHeight="1" x14ac:dyDescent="0.3"/>
    <row r="2439" ht="15" customHeight="1" x14ac:dyDescent="0.3"/>
    <row r="2440" ht="15" customHeight="1" x14ac:dyDescent="0.3"/>
    <row r="2441" ht="15" customHeight="1" x14ac:dyDescent="0.3"/>
    <row r="2442" ht="15" customHeight="1" x14ac:dyDescent="0.3"/>
    <row r="2443" ht="15" customHeight="1" x14ac:dyDescent="0.3"/>
    <row r="2444" ht="15" customHeight="1" x14ac:dyDescent="0.3"/>
    <row r="2445" ht="15" customHeight="1" x14ac:dyDescent="0.3"/>
    <row r="2446" ht="15" customHeight="1" x14ac:dyDescent="0.3"/>
    <row r="2447" ht="15" customHeight="1" x14ac:dyDescent="0.3"/>
    <row r="2448" ht="15" customHeight="1" x14ac:dyDescent="0.3"/>
    <row r="2449" ht="15" customHeight="1" x14ac:dyDescent="0.3"/>
    <row r="2450" ht="15" customHeight="1" x14ac:dyDescent="0.3"/>
    <row r="2451" ht="15" customHeight="1" x14ac:dyDescent="0.3"/>
    <row r="2452" ht="15" customHeight="1" x14ac:dyDescent="0.3"/>
    <row r="2453" ht="15" customHeight="1" x14ac:dyDescent="0.3"/>
    <row r="2454" ht="15" customHeight="1" x14ac:dyDescent="0.3"/>
    <row r="2455" ht="15" customHeight="1" x14ac:dyDescent="0.3"/>
    <row r="2456" ht="15" customHeight="1" x14ac:dyDescent="0.3"/>
    <row r="2457" ht="15" customHeight="1" x14ac:dyDescent="0.3"/>
    <row r="2458" ht="15" customHeight="1" x14ac:dyDescent="0.3"/>
    <row r="2459" ht="15" customHeight="1" x14ac:dyDescent="0.3"/>
    <row r="2460" ht="15" customHeight="1" x14ac:dyDescent="0.3"/>
    <row r="2461" ht="15" customHeight="1" x14ac:dyDescent="0.3"/>
    <row r="2462" ht="15" customHeight="1" x14ac:dyDescent="0.3"/>
    <row r="2463" ht="15" customHeight="1" x14ac:dyDescent="0.3"/>
    <row r="2464" ht="15" customHeight="1" x14ac:dyDescent="0.3"/>
    <row r="2465" ht="15" customHeight="1" x14ac:dyDescent="0.3"/>
    <row r="2466" ht="15" customHeight="1" x14ac:dyDescent="0.3"/>
    <row r="2467" ht="15" customHeight="1" x14ac:dyDescent="0.3"/>
    <row r="2468" ht="15" customHeight="1" x14ac:dyDescent="0.3"/>
    <row r="2469" ht="15" customHeight="1" x14ac:dyDescent="0.3"/>
    <row r="2470" ht="15" customHeight="1" x14ac:dyDescent="0.3"/>
    <row r="2471" ht="15" customHeight="1" x14ac:dyDescent="0.3"/>
    <row r="2472" ht="15" customHeight="1" x14ac:dyDescent="0.3"/>
    <row r="2473" ht="15" customHeight="1" x14ac:dyDescent="0.3"/>
    <row r="2474" ht="15" customHeight="1" x14ac:dyDescent="0.3"/>
    <row r="2475" ht="15" customHeight="1" x14ac:dyDescent="0.3"/>
    <row r="2476" ht="15" customHeight="1" x14ac:dyDescent="0.3"/>
    <row r="2477" ht="15" customHeight="1" x14ac:dyDescent="0.3"/>
    <row r="2478" ht="15" customHeight="1" x14ac:dyDescent="0.3"/>
    <row r="2479" ht="15" customHeight="1" x14ac:dyDescent="0.3"/>
    <row r="2480" ht="15" customHeight="1" x14ac:dyDescent="0.3"/>
    <row r="2481" ht="15" customHeight="1" x14ac:dyDescent="0.3"/>
    <row r="2482" ht="15" customHeight="1" x14ac:dyDescent="0.3"/>
    <row r="2483" ht="15" customHeight="1" x14ac:dyDescent="0.3"/>
    <row r="2484" ht="15" customHeight="1" x14ac:dyDescent="0.3"/>
    <row r="2485" ht="15" customHeight="1" x14ac:dyDescent="0.3"/>
    <row r="2486" ht="15" customHeight="1" x14ac:dyDescent="0.3"/>
    <row r="2487" ht="15" customHeight="1" x14ac:dyDescent="0.3"/>
    <row r="2488" ht="15" customHeight="1" x14ac:dyDescent="0.3"/>
    <row r="2489" ht="15" customHeight="1" x14ac:dyDescent="0.3"/>
    <row r="2490" ht="15" customHeight="1" x14ac:dyDescent="0.3"/>
    <row r="2491" ht="15" customHeight="1" x14ac:dyDescent="0.3"/>
    <row r="2492" ht="15" customHeight="1" x14ac:dyDescent="0.3"/>
    <row r="2493" ht="15" customHeight="1" x14ac:dyDescent="0.3"/>
    <row r="2494" ht="15" customHeight="1" x14ac:dyDescent="0.3"/>
    <row r="2495" ht="15" customHeight="1" x14ac:dyDescent="0.3"/>
    <row r="2496" ht="15" customHeight="1" x14ac:dyDescent="0.3"/>
    <row r="2497" ht="15" customHeight="1" x14ac:dyDescent="0.3"/>
    <row r="2498" ht="15" customHeight="1" x14ac:dyDescent="0.3"/>
    <row r="2499" ht="15" customHeight="1" x14ac:dyDescent="0.3"/>
    <row r="2500" ht="15" customHeight="1" x14ac:dyDescent="0.3"/>
    <row r="2501" ht="15" customHeight="1" x14ac:dyDescent="0.3"/>
    <row r="2502" ht="15" customHeight="1" x14ac:dyDescent="0.3"/>
    <row r="2503" ht="15" customHeight="1" x14ac:dyDescent="0.3"/>
    <row r="2504" ht="15" customHeight="1" x14ac:dyDescent="0.3"/>
    <row r="2505" ht="15" customHeight="1" x14ac:dyDescent="0.3"/>
    <row r="2506" ht="15" customHeight="1" x14ac:dyDescent="0.3"/>
    <row r="2507" ht="15" customHeight="1" x14ac:dyDescent="0.3"/>
    <row r="2508" ht="15" customHeight="1" x14ac:dyDescent="0.3"/>
    <row r="2509" ht="15" customHeight="1" x14ac:dyDescent="0.3"/>
    <row r="2510" ht="15" customHeight="1" x14ac:dyDescent="0.3"/>
    <row r="2511" ht="15" customHeight="1" x14ac:dyDescent="0.3"/>
    <row r="2512" ht="15" customHeight="1" x14ac:dyDescent="0.3"/>
    <row r="2513" ht="15" customHeight="1" x14ac:dyDescent="0.3"/>
    <row r="2514" ht="15" customHeight="1" x14ac:dyDescent="0.3"/>
    <row r="2515" ht="15" customHeight="1" x14ac:dyDescent="0.3"/>
    <row r="2516" ht="15" customHeight="1" x14ac:dyDescent="0.3"/>
    <row r="2517" ht="15" customHeight="1" x14ac:dyDescent="0.3"/>
    <row r="2518" ht="15" customHeight="1" x14ac:dyDescent="0.3"/>
    <row r="2519" ht="15" customHeight="1" x14ac:dyDescent="0.3"/>
    <row r="2520" ht="15" customHeight="1" x14ac:dyDescent="0.3"/>
    <row r="2521" ht="15" customHeight="1" x14ac:dyDescent="0.3"/>
    <row r="2522" ht="15" customHeight="1" x14ac:dyDescent="0.3"/>
    <row r="2523" ht="15" customHeight="1" x14ac:dyDescent="0.3"/>
    <row r="2524" ht="15" customHeight="1" x14ac:dyDescent="0.3"/>
    <row r="2525" ht="15" customHeight="1" x14ac:dyDescent="0.3"/>
    <row r="2526" ht="15" customHeight="1" x14ac:dyDescent="0.3"/>
    <row r="2527" ht="15" customHeight="1" x14ac:dyDescent="0.3"/>
    <row r="2528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  <row r="2536" ht="15" customHeight="1" x14ac:dyDescent="0.3"/>
    <row r="2537" ht="15" customHeight="1" x14ac:dyDescent="0.3"/>
    <row r="2538" ht="15" customHeight="1" x14ac:dyDescent="0.3"/>
    <row r="2539" ht="15" customHeight="1" x14ac:dyDescent="0.3"/>
    <row r="2540" ht="15" customHeight="1" x14ac:dyDescent="0.3"/>
    <row r="2541" ht="15" customHeight="1" x14ac:dyDescent="0.3"/>
    <row r="2542" ht="15" customHeight="1" x14ac:dyDescent="0.3"/>
    <row r="2543" ht="15" customHeight="1" x14ac:dyDescent="0.3"/>
    <row r="2544" ht="15" customHeight="1" x14ac:dyDescent="0.3"/>
    <row r="2545" ht="15" customHeight="1" x14ac:dyDescent="0.3"/>
    <row r="2546" ht="15" customHeight="1" x14ac:dyDescent="0.3"/>
    <row r="2547" ht="15" customHeight="1" x14ac:dyDescent="0.3"/>
    <row r="2548" ht="15" customHeight="1" x14ac:dyDescent="0.3"/>
    <row r="2549" ht="15" customHeight="1" x14ac:dyDescent="0.3"/>
    <row r="2550" ht="15" customHeight="1" x14ac:dyDescent="0.3"/>
    <row r="2551" ht="15" customHeight="1" x14ac:dyDescent="0.3"/>
    <row r="2552" ht="15" customHeight="1" x14ac:dyDescent="0.3"/>
    <row r="2553" ht="15" customHeight="1" x14ac:dyDescent="0.3"/>
    <row r="2554" ht="15" customHeight="1" x14ac:dyDescent="0.3"/>
    <row r="2555" ht="15" customHeight="1" x14ac:dyDescent="0.3"/>
    <row r="2556" ht="15" customHeight="1" x14ac:dyDescent="0.3"/>
    <row r="2557" ht="15" customHeight="1" x14ac:dyDescent="0.3"/>
    <row r="2558" ht="15" customHeight="1" x14ac:dyDescent="0.3"/>
    <row r="2559" ht="15" customHeight="1" x14ac:dyDescent="0.3"/>
    <row r="2560" ht="15" customHeight="1" x14ac:dyDescent="0.3"/>
    <row r="2561" ht="15" customHeight="1" x14ac:dyDescent="0.3"/>
    <row r="2562" ht="15" customHeight="1" x14ac:dyDescent="0.3"/>
    <row r="2563" ht="15" customHeight="1" x14ac:dyDescent="0.3"/>
    <row r="2564" ht="15" customHeight="1" x14ac:dyDescent="0.3"/>
    <row r="2565" ht="15" customHeight="1" x14ac:dyDescent="0.3"/>
    <row r="2566" ht="15" customHeight="1" x14ac:dyDescent="0.3"/>
    <row r="2567" ht="15" customHeight="1" x14ac:dyDescent="0.3"/>
    <row r="2568" ht="15" customHeight="1" x14ac:dyDescent="0.3"/>
    <row r="2569" ht="15" customHeight="1" x14ac:dyDescent="0.3"/>
    <row r="2570" ht="15" customHeight="1" x14ac:dyDescent="0.3"/>
    <row r="2571" ht="15" customHeight="1" x14ac:dyDescent="0.3"/>
    <row r="2572" ht="15" customHeight="1" x14ac:dyDescent="0.3"/>
    <row r="2573" ht="15" customHeight="1" x14ac:dyDescent="0.3"/>
    <row r="2574" ht="15" customHeight="1" x14ac:dyDescent="0.3"/>
    <row r="2575" ht="15" customHeight="1" x14ac:dyDescent="0.3"/>
    <row r="2576" ht="15" customHeight="1" x14ac:dyDescent="0.3"/>
    <row r="2577" ht="15" customHeight="1" x14ac:dyDescent="0.3"/>
    <row r="2578" ht="15" customHeight="1" x14ac:dyDescent="0.3"/>
    <row r="2579" ht="15" customHeight="1" x14ac:dyDescent="0.3"/>
    <row r="2580" ht="15" customHeight="1" x14ac:dyDescent="0.3"/>
    <row r="2581" ht="15" customHeight="1" x14ac:dyDescent="0.3"/>
    <row r="2582" ht="15" customHeight="1" x14ac:dyDescent="0.3"/>
    <row r="2583" ht="15" customHeight="1" x14ac:dyDescent="0.3"/>
    <row r="2584" ht="15" customHeight="1" x14ac:dyDescent="0.3"/>
    <row r="2585" ht="15" customHeight="1" x14ac:dyDescent="0.3"/>
    <row r="2586" ht="15" customHeight="1" x14ac:dyDescent="0.3"/>
    <row r="2587" ht="15" customHeight="1" x14ac:dyDescent="0.3"/>
    <row r="2588" ht="15" customHeight="1" x14ac:dyDescent="0.3"/>
    <row r="2589" ht="15" customHeight="1" x14ac:dyDescent="0.3"/>
    <row r="2590" ht="15" customHeight="1" x14ac:dyDescent="0.3"/>
    <row r="2591" ht="15" customHeight="1" x14ac:dyDescent="0.3"/>
    <row r="2592" ht="15" customHeight="1" x14ac:dyDescent="0.3"/>
    <row r="2593" ht="15" customHeight="1" x14ac:dyDescent="0.3"/>
    <row r="2594" ht="15" customHeight="1" x14ac:dyDescent="0.3"/>
    <row r="2595" ht="15" customHeight="1" x14ac:dyDescent="0.3"/>
    <row r="2596" ht="15" customHeight="1" x14ac:dyDescent="0.3"/>
    <row r="2597" ht="15" customHeight="1" x14ac:dyDescent="0.3"/>
    <row r="2598" ht="15" customHeight="1" x14ac:dyDescent="0.3"/>
    <row r="2599" ht="15" customHeight="1" x14ac:dyDescent="0.3"/>
    <row r="2600" ht="15" customHeight="1" x14ac:dyDescent="0.3"/>
    <row r="2601" ht="15" customHeight="1" x14ac:dyDescent="0.3"/>
    <row r="2602" ht="15" customHeight="1" x14ac:dyDescent="0.3"/>
    <row r="2603" ht="15" customHeight="1" x14ac:dyDescent="0.3"/>
    <row r="2604" ht="15" customHeight="1" x14ac:dyDescent="0.3"/>
    <row r="2605" ht="15" customHeight="1" x14ac:dyDescent="0.3"/>
    <row r="2606" ht="15" customHeight="1" x14ac:dyDescent="0.3"/>
    <row r="2607" ht="15" customHeight="1" x14ac:dyDescent="0.3"/>
    <row r="2608" ht="15" customHeight="1" x14ac:dyDescent="0.3"/>
    <row r="2609" ht="15" customHeight="1" x14ac:dyDescent="0.3"/>
    <row r="2610" ht="15" customHeight="1" x14ac:dyDescent="0.3"/>
    <row r="2611" ht="15" customHeight="1" x14ac:dyDescent="0.3"/>
    <row r="2612" ht="15" customHeight="1" x14ac:dyDescent="0.3"/>
    <row r="2613" ht="15" customHeight="1" x14ac:dyDescent="0.3"/>
    <row r="2614" ht="15" customHeight="1" x14ac:dyDescent="0.3"/>
    <row r="2615" ht="15" customHeight="1" x14ac:dyDescent="0.3"/>
    <row r="2616" ht="15" customHeight="1" x14ac:dyDescent="0.3"/>
    <row r="2617" ht="15" customHeight="1" x14ac:dyDescent="0.3"/>
    <row r="2618" ht="15" customHeight="1" x14ac:dyDescent="0.3"/>
    <row r="2619" ht="15" customHeight="1" x14ac:dyDescent="0.3"/>
    <row r="2620" ht="15" customHeight="1" x14ac:dyDescent="0.3"/>
    <row r="2621" ht="15" customHeight="1" x14ac:dyDescent="0.3"/>
    <row r="2622" ht="15" customHeight="1" x14ac:dyDescent="0.3"/>
    <row r="2623" ht="15" customHeight="1" x14ac:dyDescent="0.3"/>
    <row r="2624" ht="15" customHeight="1" x14ac:dyDescent="0.3"/>
    <row r="2625" ht="15" customHeight="1" x14ac:dyDescent="0.3"/>
    <row r="2626" ht="15" customHeight="1" x14ac:dyDescent="0.3"/>
    <row r="2627" ht="15" customHeight="1" x14ac:dyDescent="0.3"/>
    <row r="2628" ht="15" customHeight="1" x14ac:dyDescent="0.3"/>
    <row r="2629" ht="15" customHeight="1" x14ac:dyDescent="0.3"/>
    <row r="2630" ht="15" customHeight="1" x14ac:dyDescent="0.3"/>
    <row r="2631" ht="15" customHeight="1" x14ac:dyDescent="0.3"/>
    <row r="2632" ht="15" customHeight="1" x14ac:dyDescent="0.3"/>
    <row r="2633" ht="15" customHeight="1" x14ac:dyDescent="0.3"/>
    <row r="2634" ht="15" customHeight="1" x14ac:dyDescent="0.3"/>
    <row r="2635" ht="15" customHeight="1" x14ac:dyDescent="0.3"/>
    <row r="2636" ht="15" customHeight="1" x14ac:dyDescent="0.3"/>
    <row r="2637" ht="15" customHeight="1" x14ac:dyDescent="0.3"/>
    <row r="2638" ht="15" customHeight="1" x14ac:dyDescent="0.3"/>
    <row r="2639" ht="15" customHeight="1" x14ac:dyDescent="0.3"/>
    <row r="2640" ht="15" customHeight="1" x14ac:dyDescent="0.3"/>
    <row r="2641" ht="15" customHeight="1" x14ac:dyDescent="0.3"/>
    <row r="2642" ht="15" customHeight="1" x14ac:dyDescent="0.3"/>
    <row r="2643" ht="15" customHeight="1" x14ac:dyDescent="0.3"/>
    <row r="2644" ht="15" customHeight="1" x14ac:dyDescent="0.3"/>
    <row r="2645" ht="15" customHeight="1" x14ac:dyDescent="0.3"/>
    <row r="2646" ht="15" customHeight="1" x14ac:dyDescent="0.3"/>
    <row r="2647" ht="15" customHeight="1" x14ac:dyDescent="0.3"/>
    <row r="2648" ht="15" customHeight="1" x14ac:dyDescent="0.3"/>
    <row r="2649" ht="15" customHeight="1" x14ac:dyDescent="0.3"/>
    <row r="2650" ht="15" customHeight="1" x14ac:dyDescent="0.3"/>
    <row r="2651" ht="15" customHeight="1" x14ac:dyDescent="0.3"/>
    <row r="2652" ht="15" customHeight="1" x14ac:dyDescent="0.3"/>
    <row r="2653" ht="15" customHeight="1" x14ac:dyDescent="0.3"/>
    <row r="2654" ht="15" customHeight="1" x14ac:dyDescent="0.3"/>
    <row r="2655" ht="15" customHeight="1" x14ac:dyDescent="0.3"/>
    <row r="2656" ht="15" customHeight="1" x14ac:dyDescent="0.3"/>
    <row r="2657" ht="15" customHeight="1" x14ac:dyDescent="0.3"/>
    <row r="2658" ht="15" customHeight="1" x14ac:dyDescent="0.3"/>
    <row r="2659" ht="15" customHeight="1" x14ac:dyDescent="0.3"/>
    <row r="2660" ht="15" customHeight="1" x14ac:dyDescent="0.3"/>
    <row r="2661" ht="15" customHeight="1" x14ac:dyDescent="0.3"/>
    <row r="2662" ht="15" customHeight="1" x14ac:dyDescent="0.3"/>
    <row r="2663" ht="15" customHeight="1" x14ac:dyDescent="0.3"/>
    <row r="2664" ht="15" customHeight="1" x14ac:dyDescent="0.3"/>
    <row r="2665" ht="15" customHeight="1" x14ac:dyDescent="0.3"/>
    <row r="2666" ht="15" customHeight="1" x14ac:dyDescent="0.3"/>
    <row r="2667" ht="15" customHeight="1" x14ac:dyDescent="0.3"/>
    <row r="2668" ht="15" customHeight="1" x14ac:dyDescent="0.3"/>
    <row r="2669" ht="15" customHeight="1" x14ac:dyDescent="0.3"/>
    <row r="2670" ht="15" customHeight="1" x14ac:dyDescent="0.3"/>
    <row r="2671" ht="15" customHeight="1" x14ac:dyDescent="0.3"/>
    <row r="2672" ht="15" customHeight="1" x14ac:dyDescent="0.3"/>
    <row r="2673" ht="15" customHeight="1" x14ac:dyDescent="0.3"/>
    <row r="2674" ht="15" customHeight="1" x14ac:dyDescent="0.3"/>
    <row r="2675" ht="15" customHeight="1" x14ac:dyDescent="0.3"/>
    <row r="2676" ht="15" customHeight="1" x14ac:dyDescent="0.3"/>
    <row r="2677" ht="15" customHeight="1" x14ac:dyDescent="0.3"/>
    <row r="2678" ht="15" customHeight="1" x14ac:dyDescent="0.3"/>
    <row r="2679" ht="15" customHeight="1" x14ac:dyDescent="0.3"/>
    <row r="2680" ht="15" customHeight="1" x14ac:dyDescent="0.3"/>
    <row r="2681" ht="15" customHeight="1" x14ac:dyDescent="0.3"/>
    <row r="2682" ht="15" customHeight="1" x14ac:dyDescent="0.3"/>
    <row r="2683" ht="15" customHeight="1" x14ac:dyDescent="0.3"/>
    <row r="2684" ht="15" customHeight="1" x14ac:dyDescent="0.3"/>
    <row r="2685" ht="15" customHeight="1" x14ac:dyDescent="0.3"/>
    <row r="2686" ht="15" customHeight="1" x14ac:dyDescent="0.3"/>
    <row r="2687" ht="15" customHeight="1" x14ac:dyDescent="0.3"/>
    <row r="2688" ht="15" customHeight="1" x14ac:dyDescent="0.3"/>
    <row r="2689" ht="15" customHeight="1" x14ac:dyDescent="0.3"/>
    <row r="2690" ht="15" customHeight="1" x14ac:dyDescent="0.3"/>
    <row r="2691" ht="15" customHeight="1" x14ac:dyDescent="0.3"/>
    <row r="2692" ht="15" customHeight="1" x14ac:dyDescent="0.3"/>
    <row r="2693" ht="15" customHeight="1" x14ac:dyDescent="0.3"/>
    <row r="2694" ht="15" customHeight="1" x14ac:dyDescent="0.3"/>
    <row r="2695" ht="15" customHeight="1" x14ac:dyDescent="0.3"/>
    <row r="2696" ht="15" customHeight="1" x14ac:dyDescent="0.3"/>
    <row r="2697" ht="15" customHeight="1" x14ac:dyDescent="0.3"/>
    <row r="2698" ht="15" customHeight="1" x14ac:dyDescent="0.3"/>
    <row r="2699" ht="15" customHeight="1" x14ac:dyDescent="0.3"/>
    <row r="2700" ht="15" customHeight="1" x14ac:dyDescent="0.3"/>
    <row r="2701" ht="15" customHeight="1" x14ac:dyDescent="0.3"/>
    <row r="2702" ht="15" customHeight="1" x14ac:dyDescent="0.3"/>
    <row r="2703" ht="15" customHeight="1" x14ac:dyDescent="0.3"/>
    <row r="2704" ht="15" customHeight="1" x14ac:dyDescent="0.3"/>
    <row r="2705" ht="15" customHeight="1" x14ac:dyDescent="0.3"/>
    <row r="2706" ht="15" customHeight="1" x14ac:dyDescent="0.3"/>
    <row r="2707" ht="15" customHeight="1" x14ac:dyDescent="0.3"/>
    <row r="2708" ht="15" customHeight="1" x14ac:dyDescent="0.3"/>
    <row r="2709" ht="15" customHeight="1" x14ac:dyDescent="0.3"/>
    <row r="2710" ht="15" customHeight="1" x14ac:dyDescent="0.3"/>
    <row r="2711" ht="15" customHeight="1" x14ac:dyDescent="0.3"/>
    <row r="2712" ht="15" customHeight="1" x14ac:dyDescent="0.3"/>
    <row r="2713" ht="15" customHeight="1" x14ac:dyDescent="0.3"/>
    <row r="2714" ht="15" customHeight="1" x14ac:dyDescent="0.3"/>
    <row r="2715" ht="15" customHeight="1" x14ac:dyDescent="0.3"/>
    <row r="2716" ht="15" customHeight="1" x14ac:dyDescent="0.3"/>
    <row r="2717" ht="15" customHeight="1" x14ac:dyDescent="0.3"/>
    <row r="2718" ht="15" customHeight="1" x14ac:dyDescent="0.3"/>
    <row r="2719" ht="15" customHeight="1" x14ac:dyDescent="0.3"/>
    <row r="2720" ht="15" customHeight="1" x14ac:dyDescent="0.3"/>
    <row r="2721" ht="15" customHeight="1" x14ac:dyDescent="0.3"/>
    <row r="2722" ht="15" customHeight="1" x14ac:dyDescent="0.3"/>
    <row r="2723" ht="15" customHeight="1" x14ac:dyDescent="0.3"/>
    <row r="2724" ht="15" customHeight="1" x14ac:dyDescent="0.3"/>
    <row r="2725" ht="15" customHeight="1" x14ac:dyDescent="0.3"/>
    <row r="2726" ht="15" customHeight="1" x14ac:dyDescent="0.3"/>
    <row r="2727" ht="15" customHeight="1" x14ac:dyDescent="0.3"/>
    <row r="2728" ht="15" customHeight="1" x14ac:dyDescent="0.3"/>
    <row r="2729" ht="15" customHeight="1" x14ac:dyDescent="0.3"/>
    <row r="2730" ht="15" customHeight="1" x14ac:dyDescent="0.3"/>
    <row r="2731" ht="15" customHeight="1" x14ac:dyDescent="0.3"/>
    <row r="2732" ht="15" customHeight="1" x14ac:dyDescent="0.3"/>
    <row r="2733" ht="15" customHeight="1" x14ac:dyDescent="0.3"/>
    <row r="2734" ht="15" customHeight="1" x14ac:dyDescent="0.3"/>
    <row r="2735" ht="15" customHeight="1" x14ac:dyDescent="0.3"/>
    <row r="2736" ht="15" customHeight="1" x14ac:dyDescent="0.3"/>
    <row r="2737" ht="15" customHeight="1" x14ac:dyDescent="0.3"/>
    <row r="2738" ht="15" customHeight="1" x14ac:dyDescent="0.3"/>
    <row r="2739" ht="15" customHeight="1" x14ac:dyDescent="0.3"/>
    <row r="2740" ht="15" customHeight="1" x14ac:dyDescent="0.3"/>
    <row r="2741" ht="15" customHeight="1" x14ac:dyDescent="0.3"/>
    <row r="2742" ht="15" customHeight="1" x14ac:dyDescent="0.3"/>
    <row r="2743" ht="15" customHeight="1" x14ac:dyDescent="0.3"/>
    <row r="2744" ht="15" customHeight="1" x14ac:dyDescent="0.3"/>
    <row r="2745" ht="15" customHeight="1" x14ac:dyDescent="0.3"/>
    <row r="2746" ht="15" customHeight="1" x14ac:dyDescent="0.3"/>
    <row r="2747" ht="15" customHeight="1" x14ac:dyDescent="0.3"/>
    <row r="2748" ht="15" customHeight="1" x14ac:dyDescent="0.3"/>
    <row r="2749" ht="15" customHeight="1" x14ac:dyDescent="0.3"/>
    <row r="2750" ht="15" customHeight="1" x14ac:dyDescent="0.3"/>
    <row r="2751" ht="15" customHeight="1" x14ac:dyDescent="0.3"/>
    <row r="2752" ht="15" customHeight="1" x14ac:dyDescent="0.3"/>
    <row r="2753" ht="15" customHeight="1" x14ac:dyDescent="0.3"/>
    <row r="2754" ht="15" customHeight="1" x14ac:dyDescent="0.3"/>
    <row r="2755" ht="15" customHeight="1" x14ac:dyDescent="0.3"/>
    <row r="2756" ht="15" customHeight="1" x14ac:dyDescent="0.3"/>
    <row r="2757" ht="15" customHeight="1" x14ac:dyDescent="0.3"/>
    <row r="2758" ht="15" customHeight="1" x14ac:dyDescent="0.3"/>
    <row r="2759" ht="15" customHeight="1" x14ac:dyDescent="0.3"/>
    <row r="2760" ht="15" customHeight="1" x14ac:dyDescent="0.3"/>
    <row r="2761" ht="15" customHeight="1" x14ac:dyDescent="0.3"/>
    <row r="2762" ht="15" customHeight="1" x14ac:dyDescent="0.3"/>
    <row r="2763" ht="15" customHeight="1" x14ac:dyDescent="0.3"/>
    <row r="2764" ht="15" customHeight="1" x14ac:dyDescent="0.3"/>
    <row r="2765" ht="15" customHeight="1" x14ac:dyDescent="0.3"/>
    <row r="2766" ht="15" customHeight="1" x14ac:dyDescent="0.3"/>
    <row r="2767" ht="15" customHeight="1" x14ac:dyDescent="0.3"/>
    <row r="2768" ht="15" customHeight="1" x14ac:dyDescent="0.3"/>
    <row r="2769" ht="15" customHeight="1" x14ac:dyDescent="0.3"/>
    <row r="2770" ht="15" customHeight="1" x14ac:dyDescent="0.3"/>
    <row r="2771" ht="15" customHeight="1" x14ac:dyDescent="0.3"/>
    <row r="2772" ht="15" customHeight="1" x14ac:dyDescent="0.3"/>
    <row r="2773" ht="15" customHeight="1" x14ac:dyDescent="0.3"/>
    <row r="2774" ht="15" customHeight="1" x14ac:dyDescent="0.3"/>
    <row r="2775" ht="15" customHeight="1" x14ac:dyDescent="0.3"/>
    <row r="2776" ht="15" customHeight="1" x14ac:dyDescent="0.3"/>
    <row r="2777" ht="15" customHeight="1" x14ac:dyDescent="0.3"/>
    <row r="2778" ht="15" customHeight="1" x14ac:dyDescent="0.3"/>
    <row r="2779" ht="15" customHeight="1" x14ac:dyDescent="0.3"/>
    <row r="2780" ht="15" customHeight="1" x14ac:dyDescent="0.3"/>
    <row r="2781" ht="15" customHeight="1" x14ac:dyDescent="0.3"/>
    <row r="2782" ht="15" customHeight="1" x14ac:dyDescent="0.3"/>
    <row r="2783" ht="15" customHeight="1" x14ac:dyDescent="0.3"/>
    <row r="2784" ht="15" customHeight="1" x14ac:dyDescent="0.3"/>
    <row r="2785" ht="15" customHeight="1" x14ac:dyDescent="0.3"/>
    <row r="2786" ht="15" customHeight="1" x14ac:dyDescent="0.3"/>
    <row r="2787" ht="15" customHeight="1" x14ac:dyDescent="0.3"/>
    <row r="2788" ht="15" customHeight="1" x14ac:dyDescent="0.3"/>
    <row r="2789" ht="15" customHeight="1" x14ac:dyDescent="0.3"/>
    <row r="2790" ht="15" customHeight="1" x14ac:dyDescent="0.3"/>
    <row r="2791" ht="15" customHeight="1" x14ac:dyDescent="0.3"/>
    <row r="2792" ht="15" customHeight="1" x14ac:dyDescent="0.3"/>
    <row r="2793" ht="15" customHeight="1" x14ac:dyDescent="0.3"/>
    <row r="2794" ht="15" customHeight="1" x14ac:dyDescent="0.3"/>
    <row r="2795" ht="15" customHeight="1" x14ac:dyDescent="0.3"/>
    <row r="2796" ht="15" customHeight="1" x14ac:dyDescent="0.3"/>
    <row r="2797" ht="15" customHeight="1" x14ac:dyDescent="0.3"/>
    <row r="2798" ht="15" customHeight="1" x14ac:dyDescent="0.3"/>
    <row r="2799" ht="15" customHeight="1" x14ac:dyDescent="0.3"/>
    <row r="2800" ht="15" customHeight="1" x14ac:dyDescent="0.3"/>
    <row r="2801" ht="15" customHeight="1" x14ac:dyDescent="0.3"/>
    <row r="2802" ht="15" customHeight="1" x14ac:dyDescent="0.3"/>
    <row r="2803" ht="15" customHeight="1" x14ac:dyDescent="0.3"/>
    <row r="2804" ht="15" customHeight="1" x14ac:dyDescent="0.3"/>
    <row r="2805" ht="15" customHeight="1" x14ac:dyDescent="0.3"/>
    <row r="2806" ht="15" customHeight="1" x14ac:dyDescent="0.3"/>
    <row r="2807" ht="15" customHeight="1" x14ac:dyDescent="0.3"/>
    <row r="2808" ht="15" customHeight="1" x14ac:dyDescent="0.3"/>
    <row r="2809" ht="15" customHeight="1" x14ac:dyDescent="0.3"/>
    <row r="2810" ht="15" customHeight="1" x14ac:dyDescent="0.3"/>
    <row r="2811" ht="15" customHeight="1" x14ac:dyDescent="0.3"/>
    <row r="2812" ht="15" customHeight="1" x14ac:dyDescent="0.3"/>
    <row r="2813" ht="15" customHeight="1" x14ac:dyDescent="0.3"/>
    <row r="2814" ht="15" customHeight="1" x14ac:dyDescent="0.3"/>
    <row r="2815" ht="15" customHeight="1" x14ac:dyDescent="0.3"/>
    <row r="2816" ht="15" customHeight="1" x14ac:dyDescent="0.3"/>
    <row r="2817" ht="15" customHeight="1" x14ac:dyDescent="0.3"/>
    <row r="2818" ht="15" customHeight="1" x14ac:dyDescent="0.3"/>
    <row r="2819" ht="15" customHeight="1" x14ac:dyDescent="0.3"/>
    <row r="2820" ht="15" customHeight="1" x14ac:dyDescent="0.3"/>
    <row r="2821" ht="15" customHeight="1" x14ac:dyDescent="0.3"/>
    <row r="2822" ht="15" customHeight="1" x14ac:dyDescent="0.3"/>
    <row r="2823" ht="15" customHeight="1" x14ac:dyDescent="0.3"/>
    <row r="2824" ht="15" customHeight="1" x14ac:dyDescent="0.3"/>
    <row r="2825" ht="15" customHeight="1" x14ac:dyDescent="0.3"/>
    <row r="2826" ht="15" customHeight="1" x14ac:dyDescent="0.3"/>
    <row r="2827" ht="15" customHeight="1" x14ac:dyDescent="0.3"/>
    <row r="2828" ht="15" customHeight="1" x14ac:dyDescent="0.3"/>
    <row r="2829" ht="15" customHeight="1" x14ac:dyDescent="0.3"/>
    <row r="2830" ht="15" customHeight="1" x14ac:dyDescent="0.3"/>
    <row r="2831" ht="15" customHeight="1" x14ac:dyDescent="0.3"/>
    <row r="2832" ht="15" customHeight="1" x14ac:dyDescent="0.3"/>
    <row r="2833" ht="15" customHeight="1" x14ac:dyDescent="0.3"/>
    <row r="2834" ht="15" customHeight="1" x14ac:dyDescent="0.3"/>
    <row r="2835" ht="15" customHeight="1" x14ac:dyDescent="0.3"/>
    <row r="2836" ht="15" customHeight="1" x14ac:dyDescent="0.3"/>
    <row r="2837" ht="15" customHeight="1" x14ac:dyDescent="0.3"/>
    <row r="2838" ht="15" customHeight="1" x14ac:dyDescent="0.3"/>
    <row r="2839" ht="15" customHeight="1" x14ac:dyDescent="0.3"/>
    <row r="2840" ht="15" customHeight="1" x14ac:dyDescent="0.3"/>
    <row r="2841" ht="15" customHeight="1" x14ac:dyDescent="0.3"/>
    <row r="2842" ht="15" customHeight="1" x14ac:dyDescent="0.3"/>
    <row r="2843" ht="15" customHeight="1" x14ac:dyDescent="0.3"/>
    <row r="2844" ht="15" customHeight="1" x14ac:dyDescent="0.3"/>
    <row r="2845" ht="15" customHeight="1" x14ac:dyDescent="0.3"/>
    <row r="2846" ht="15" customHeight="1" x14ac:dyDescent="0.3"/>
    <row r="2847" ht="15" customHeight="1" x14ac:dyDescent="0.3"/>
    <row r="2848" ht="15" customHeight="1" x14ac:dyDescent="0.3"/>
    <row r="2849" ht="15" customHeight="1" x14ac:dyDescent="0.3"/>
    <row r="2850" ht="15" customHeight="1" x14ac:dyDescent="0.3"/>
    <row r="2851" ht="15" customHeight="1" x14ac:dyDescent="0.3"/>
    <row r="2852" ht="15" customHeight="1" x14ac:dyDescent="0.3"/>
    <row r="2853" ht="15" customHeight="1" x14ac:dyDescent="0.3"/>
    <row r="2854" ht="15" customHeight="1" x14ac:dyDescent="0.3"/>
    <row r="2855" ht="15" customHeight="1" x14ac:dyDescent="0.3"/>
    <row r="2856" ht="15" customHeight="1" x14ac:dyDescent="0.3"/>
    <row r="2857" ht="15" customHeight="1" x14ac:dyDescent="0.3"/>
    <row r="2858" ht="15" customHeight="1" x14ac:dyDescent="0.3"/>
    <row r="2859" ht="15" customHeight="1" x14ac:dyDescent="0.3"/>
    <row r="2860" ht="15" customHeight="1" x14ac:dyDescent="0.3"/>
    <row r="2861" ht="15" customHeight="1" x14ac:dyDescent="0.3"/>
    <row r="2862" ht="15" customHeight="1" x14ac:dyDescent="0.3"/>
    <row r="2863" ht="15" customHeight="1" x14ac:dyDescent="0.3"/>
    <row r="2864" ht="15" customHeight="1" x14ac:dyDescent="0.3"/>
    <row r="2865" ht="15" customHeight="1" x14ac:dyDescent="0.3"/>
    <row r="2866" ht="15" customHeight="1" x14ac:dyDescent="0.3"/>
    <row r="2867" ht="15" customHeight="1" x14ac:dyDescent="0.3"/>
    <row r="2868" ht="15" customHeight="1" x14ac:dyDescent="0.3"/>
    <row r="2869" ht="15" customHeight="1" x14ac:dyDescent="0.3"/>
    <row r="2870" ht="15" customHeight="1" x14ac:dyDescent="0.3"/>
    <row r="2871" ht="15" customHeight="1" x14ac:dyDescent="0.3"/>
    <row r="2872" ht="15" customHeight="1" x14ac:dyDescent="0.3"/>
    <row r="2873" ht="15" customHeight="1" x14ac:dyDescent="0.3"/>
    <row r="2874" ht="15" customHeight="1" x14ac:dyDescent="0.3"/>
    <row r="2875" ht="15" customHeight="1" x14ac:dyDescent="0.3"/>
    <row r="2876" ht="15" customHeight="1" x14ac:dyDescent="0.3"/>
    <row r="2877" ht="15" customHeight="1" x14ac:dyDescent="0.3"/>
    <row r="2878" ht="15" customHeight="1" x14ac:dyDescent="0.3"/>
    <row r="2879" ht="15" customHeight="1" x14ac:dyDescent="0.3"/>
    <row r="2880" ht="15" customHeight="1" x14ac:dyDescent="0.3"/>
    <row r="2881" ht="15" customHeight="1" x14ac:dyDescent="0.3"/>
    <row r="2882" ht="15" customHeight="1" x14ac:dyDescent="0.3"/>
    <row r="2883" ht="15" customHeight="1" x14ac:dyDescent="0.3"/>
    <row r="2884" ht="15" customHeight="1" x14ac:dyDescent="0.3"/>
    <row r="2885" ht="15" customHeight="1" x14ac:dyDescent="0.3"/>
    <row r="2886" ht="15" customHeight="1" x14ac:dyDescent="0.3"/>
    <row r="2887" ht="15" customHeight="1" x14ac:dyDescent="0.3"/>
    <row r="2888" ht="15" customHeight="1" x14ac:dyDescent="0.3"/>
    <row r="2889" ht="15" customHeight="1" x14ac:dyDescent="0.3"/>
    <row r="2890" ht="15" customHeight="1" x14ac:dyDescent="0.3"/>
    <row r="2891" ht="15" customHeight="1" x14ac:dyDescent="0.3"/>
    <row r="2892" ht="15" customHeight="1" x14ac:dyDescent="0.3"/>
    <row r="2893" ht="15" customHeight="1" x14ac:dyDescent="0.3"/>
    <row r="2894" ht="15" customHeight="1" x14ac:dyDescent="0.3"/>
    <row r="2895" ht="15" customHeight="1" x14ac:dyDescent="0.3"/>
    <row r="2896" ht="15" customHeight="1" x14ac:dyDescent="0.3"/>
    <row r="2897" ht="15" customHeight="1" x14ac:dyDescent="0.3"/>
    <row r="2898" ht="15" customHeight="1" x14ac:dyDescent="0.3"/>
    <row r="2899" ht="15" customHeight="1" x14ac:dyDescent="0.3"/>
    <row r="2900" ht="15" customHeight="1" x14ac:dyDescent="0.3"/>
    <row r="2901" ht="15" customHeight="1" x14ac:dyDescent="0.3"/>
    <row r="2902" ht="15" customHeight="1" x14ac:dyDescent="0.3"/>
    <row r="2903" ht="15" customHeight="1" x14ac:dyDescent="0.3"/>
    <row r="2904" ht="15" customHeight="1" x14ac:dyDescent="0.3"/>
    <row r="2905" ht="15" customHeight="1" x14ac:dyDescent="0.3"/>
    <row r="2906" ht="15" customHeight="1" x14ac:dyDescent="0.3"/>
    <row r="2907" ht="15" customHeight="1" x14ac:dyDescent="0.3"/>
    <row r="2908" ht="15" customHeight="1" x14ac:dyDescent="0.3"/>
    <row r="2909" ht="15" customHeight="1" x14ac:dyDescent="0.3"/>
    <row r="2910" ht="15" customHeight="1" x14ac:dyDescent="0.3"/>
    <row r="2911" ht="15" customHeight="1" x14ac:dyDescent="0.3"/>
    <row r="2912" ht="15" customHeight="1" x14ac:dyDescent="0.3"/>
    <row r="2913" ht="15" customHeight="1" x14ac:dyDescent="0.3"/>
    <row r="2914" ht="15" customHeight="1" x14ac:dyDescent="0.3"/>
    <row r="2915" ht="15" customHeight="1" x14ac:dyDescent="0.3"/>
    <row r="2916" ht="15" customHeight="1" x14ac:dyDescent="0.3"/>
    <row r="2917" ht="15" customHeight="1" x14ac:dyDescent="0.3"/>
    <row r="2918" ht="15" customHeight="1" x14ac:dyDescent="0.3"/>
    <row r="2919" ht="15" customHeight="1" x14ac:dyDescent="0.3"/>
    <row r="2920" ht="15" customHeight="1" x14ac:dyDescent="0.3"/>
    <row r="2921" ht="15" customHeight="1" x14ac:dyDescent="0.3"/>
    <row r="2922" ht="15" customHeight="1" x14ac:dyDescent="0.3"/>
    <row r="2923" ht="15" customHeight="1" x14ac:dyDescent="0.3"/>
    <row r="2924" ht="15" customHeight="1" x14ac:dyDescent="0.3"/>
    <row r="2925" ht="15" customHeight="1" x14ac:dyDescent="0.3"/>
    <row r="2926" ht="15" customHeight="1" x14ac:dyDescent="0.3"/>
    <row r="2927" ht="15" customHeight="1" x14ac:dyDescent="0.3"/>
    <row r="2928" ht="15" customHeight="1" x14ac:dyDescent="0.3"/>
    <row r="2929" ht="15" customHeight="1" x14ac:dyDescent="0.3"/>
    <row r="2930" ht="15" customHeight="1" x14ac:dyDescent="0.3"/>
    <row r="2931" ht="15" customHeight="1" x14ac:dyDescent="0.3"/>
    <row r="2932" ht="15" customHeight="1" x14ac:dyDescent="0.3"/>
    <row r="2933" ht="15" customHeight="1" x14ac:dyDescent="0.3"/>
    <row r="2934" ht="15" customHeight="1" x14ac:dyDescent="0.3"/>
    <row r="2935" ht="15" customHeight="1" x14ac:dyDescent="0.3"/>
    <row r="2936" ht="15" customHeight="1" x14ac:dyDescent="0.3"/>
    <row r="2937" ht="15" customHeight="1" x14ac:dyDescent="0.3"/>
    <row r="2938" ht="15" customHeight="1" x14ac:dyDescent="0.3"/>
    <row r="2939" ht="15" customHeight="1" x14ac:dyDescent="0.3"/>
    <row r="2940" ht="15" customHeight="1" x14ac:dyDescent="0.3"/>
    <row r="2941" ht="15" customHeight="1" x14ac:dyDescent="0.3"/>
    <row r="2942" ht="15" customHeight="1" x14ac:dyDescent="0.3"/>
    <row r="2943" ht="15" customHeight="1" x14ac:dyDescent="0.3"/>
    <row r="2944" ht="15" customHeight="1" x14ac:dyDescent="0.3"/>
    <row r="2945" ht="15" customHeight="1" x14ac:dyDescent="0.3"/>
    <row r="2946" ht="15" customHeight="1" x14ac:dyDescent="0.3"/>
    <row r="2947" ht="15" customHeight="1" x14ac:dyDescent="0.3"/>
    <row r="2948" ht="15" customHeight="1" x14ac:dyDescent="0.3"/>
    <row r="2949" ht="15" customHeight="1" x14ac:dyDescent="0.3"/>
    <row r="2950" ht="15" customHeight="1" x14ac:dyDescent="0.3"/>
    <row r="2951" ht="15" customHeight="1" x14ac:dyDescent="0.3"/>
    <row r="2952" ht="15" customHeight="1" x14ac:dyDescent="0.3"/>
    <row r="2953" ht="15" customHeight="1" x14ac:dyDescent="0.3"/>
    <row r="2954" ht="15" customHeight="1" x14ac:dyDescent="0.3"/>
    <row r="2955" ht="15" customHeight="1" x14ac:dyDescent="0.3"/>
    <row r="2956" ht="15" customHeight="1" x14ac:dyDescent="0.3"/>
    <row r="2957" ht="15" customHeight="1" x14ac:dyDescent="0.3"/>
    <row r="2958" ht="15" customHeight="1" x14ac:dyDescent="0.3"/>
    <row r="2959" ht="15" customHeight="1" x14ac:dyDescent="0.3"/>
    <row r="2960" ht="15" customHeight="1" x14ac:dyDescent="0.3"/>
    <row r="2961" ht="15" customHeight="1" x14ac:dyDescent="0.3"/>
    <row r="2962" ht="15" customHeight="1" x14ac:dyDescent="0.3"/>
    <row r="2963" ht="15" customHeight="1" x14ac:dyDescent="0.3"/>
    <row r="2964" ht="15" customHeight="1" x14ac:dyDescent="0.3"/>
    <row r="2965" ht="15" customHeight="1" x14ac:dyDescent="0.3"/>
    <row r="2966" ht="15" customHeight="1" x14ac:dyDescent="0.3"/>
    <row r="2967" ht="15" customHeight="1" x14ac:dyDescent="0.3"/>
    <row r="2968" ht="15" customHeight="1" x14ac:dyDescent="0.3"/>
    <row r="2969" ht="15" customHeight="1" x14ac:dyDescent="0.3"/>
    <row r="2970" ht="15" customHeight="1" x14ac:dyDescent="0.3"/>
    <row r="2971" ht="15" customHeight="1" x14ac:dyDescent="0.3"/>
    <row r="2972" ht="15" customHeight="1" x14ac:dyDescent="0.3"/>
    <row r="2973" ht="15" customHeight="1" x14ac:dyDescent="0.3"/>
    <row r="2974" ht="15" customHeight="1" x14ac:dyDescent="0.3"/>
    <row r="2975" ht="15" customHeight="1" x14ac:dyDescent="0.3"/>
    <row r="2976" ht="15" customHeight="1" x14ac:dyDescent="0.3"/>
    <row r="2977" ht="15" customHeight="1" x14ac:dyDescent="0.3"/>
    <row r="2978" ht="15" customHeight="1" x14ac:dyDescent="0.3"/>
    <row r="2979" ht="15" customHeight="1" x14ac:dyDescent="0.3"/>
    <row r="2980" ht="15" customHeight="1" x14ac:dyDescent="0.3"/>
    <row r="2981" ht="15" customHeight="1" x14ac:dyDescent="0.3"/>
    <row r="2982" ht="15" customHeight="1" x14ac:dyDescent="0.3"/>
    <row r="2983" ht="15" customHeight="1" x14ac:dyDescent="0.3"/>
    <row r="2984" ht="15" customHeight="1" x14ac:dyDescent="0.3"/>
    <row r="2985" ht="15" customHeight="1" x14ac:dyDescent="0.3"/>
    <row r="2986" ht="15" customHeight="1" x14ac:dyDescent="0.3"/>
    <row r="2987" ht="15" customHeight="1" x14ac:dyDescent="0.3"/>
    <row r="2988" ht="15" customHeight="1" x14ac:dyDescent="0.3"/>
    <row r="2989" ht="15" customHeight="1" x14ac:dyDescent="0.3"/>
    <row r="2990" ht="15" customHeight="1" x14ac:dyDescent="0.3"/>
    <row r="2991" ht="15" customHeight="1" x14ac:dyDescent="0.3"/>
    <row r="2992" ht="15" customHeight="1" x14ac:dyDescent="0.3"/>
    <row r="2993" ht="15" customHeight="1" x14ac:dyDescent="0.3"/>
    <row r="2994" ht="15" customHeight="1" x14ac:dyDescent="0.3"/>
    <row r="2995" ht="15" customHeight="1" x14ac:dyDescent="0.3"/>
  </sheetData>
  <mergeCells count="16">
    <mergeCell ref="BI3:BN4"/>
    <mergeCell ref="F4:AT4"/>
    <mergeCell ref="BB2:BH2"/>
    <mergeCell ref="X5:AA5"/>
    <mergeCell ref="AB5:AJ5"/>
    <mergeCell ref="AK5:AN5"/>
    <mergeCell ref="AO5:AU5"/>
    <mergeCell ref="O5:W5"/>
    <mergeCell ref="AV5:AY5"/>
    <mergeCell ref="AZ4:AZ7"/>
    <mergeCell ref="AX4:AY4"/>
    <mergeCell ref="A4:A7"/>
    <mergeCell ref="B5:E5"/>
    <mergeCell ref="F5:J5"/>
    <mergeCell ref="K5:N5"/>
    <mergeCell ref="V2:AM2"/>
  </mergeCells>
  <dataValidations disablePrompts="1" count="1">
    <dataValidation type="list" allowBlank="1" showInputMessage="1" showErrorMessage="1" sqref="A65213" xr:uid="{2F6CB2D3-75AE-4B49-AE10-349D51041EE8}">
      <formula1>Program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82380-B90F-4960-84EC-BBC86972C5BA}">
  <sheetPr codeName="Sheet9">
    <tabColor rgb="FFFF0000"/>
  </sheetPr>
  <dimension ref="A1:AT2995"/>
  <sheetViews>
    <sheetView topLeftCell="A4" workbookViewId="0">
      <selection activeCell="Q28" sqref="Q28"/>
    </sheetView>
  </sheetViews>
  <sheetFormatPr defaultColWidth="9.109375" defaultRowHeight="14.4" x14ac:dyDescent="0.3"/>
  <cols>
    <col min="1" max="1" width="19.6640625" style="2" customWidth="1"/>
    <col min="2" max="31" width="4.6640625" style="2" customWidth="1"/>
    <col min="32" max="32" width="14.88671875" style="2" customWidth="1"/>
    <col min="33" max="33" width="9.109375" style="2"/>
    <col min="36" max="37" width="4.6640625" customWidth="1"/>
    <col min="45" max="16384" width="9.109375" style="2"/>
  </cols>
  <sheetData>
    <row r="1" spans="1:46" ht="21" customHeight="1" x14ac:dyDescent="0.3">
      <c r="F1" s="1"/>
      <c r="G1" s="1"/>
      <c r="AF1" s="1"/>
    </row>
    <row r="2" spans="1:46" ht="16.2" customHeight="1" thickBot="1" x14ac:dyDescent="0.35">
      <c r="A2" s="358"/>
      <c r="B2" s="209"/>
      <c r="C2" s="209"/>
      <c r="D2" s="209"/>
      <c r="E2" s="209"/>
      <c r="F2" s="581" t="s">
        <v>97</v>
      </c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21"/>
      <c r="AA2" s="209"/>
      <c r="AB2" s="209"/>
      <c r="AC2" s="209"/>
      <c r="AD2" s="209"/>
      <c r="AE2" s="209"/>
      <c r="AF2" s="358"/>
      <c r="AH2" s="15"/>
      <c r="AI2" s="574" t="s">
        <v>666</v>
      </c>
      <c r="AJ2" s="574"/>
      <c r="AK2" s="574"/>
      <c r="AL2" s="574"/>
      <c r="AM2" s="574"/>
      <c r="AN2" s="574"/>
      <c r="AO2" s="15"/>
      <c r="AP2" s="15"/>
      <c r="AQ2" s="15"/>
      <c r="AR2" s="15"/>
    </row>
    <row r="3" spans="1:46" s="3" customFormat="1" ht="13.5" customHeight="1" thickTop="1" thickBot="1" x14ac:dyDescent="0.35"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H3" s="15"/>
      <c r="AO3" s="597" t="s">
        <v>830</v>
      </c>
      <c r="AP3" s="598"/>
      <c r="AQ3" s="598"/>
      <c r="AR3" s="598"/>
      <c r="AS3" s="598"/>
      <c r="AT3" s="599"/>
    </row>
    <row r="4" spans="1:46" s="5" customFormat="1" ht="15" customHeight="1" thickTop="1" thickBot="1" x14ac:dyDescent="0.35">
      <c r="A4" s="594" t="s">
        <v>668</v>
      </c>
      <c r="B4" s="244"/>
      <c r="C4" s="245"/>
      <c r="D4" s="246"/>
      <c r="E4" s="665" t="s">
        <v>831</v>
      </c>
      <c r="F4" s="614"/>
      <c r="G4" s="614"/>
      <c r="H4" s="614"/>
      <c r="I4" s="614"/>
      <c r="J4" s="614"/>
      <c r="K4" s="614"/>
      <c r="L4" s="614"/>
      <c r="M4" s="614"/>
      <c r="N4" s="614"/>
      <c r="O4" s="614"/>
      <c r="P4" s="614"/>
      <c r="Q4" s="614"/>
      <c r="R4" s="614"/>
      <c r="S4" s="614"/>
      <c r="T4" s="614"/>
      <c r="U4" s="614"/>
      <c r="V4" s="614"/>
      <c r="W4" s="614"/>
      <c r="X4" s="614"/>
      <c r="Y4" s="614"/>
      <c r="Z4" s="614"/>
      <c r="AA4" s="614"/>
      <c r="AB4" s="614"/>
      <c r="AC4" s="397" t="s">
        <v>670</v>
      </c>
      <c r="AD4" s="248" t="s">
        <v>670</v>
      </c>
      <c r="AE4" s="398" t="s">
        <v>670</v>
      </c>
      <c r="AF4" s="660" t="s">
        <v>671</v>
      </c>
      <c r="AH4" s="15"/>
      <c r="AO4" s="600"/>
      <c r="AP4" s="601"/>
      <c r="AQ4" s="601"/>
      <c r="AR4" s="601"/>
      <c r="AS4" s="601"/>
      <c r="AT4" s="602"/>
    </row>
    <row r="5" spans="1:46" s="5" customFormat="1" ht="54.6" customHeight="1" thickBot="1" x14ac:dyDescent="0.35">
      <c r="A5" s="595"/>
      <c r="B5" s="666" t="s">
        <v>832</v>
      </c>
      <c r="C5" s="667"/>
      <c r="D5" s="667"/>
      <c r="E5" s="668"/>
      <c r="F5" s="661" t="s">
        <v>833</v>
      </c>
      <c r="G5" s="662"/>
      <c r="H5" s="662"/>
      <c r="I5" s="669"/>
      <c r="J5" s="661" t="s">
        <v>834</v>
      </c>
      <c r="K5" s="662"/>
      <c r="L5" s="662"/>
      <c r="M5" s="662"/>
      <c r="N5" s="669"/>
      <c r="O5" s="661" t="s">
        <v>835</v>
      </c>
      <c r="P5" s="662"/>
      <c r="Q5" s="662"/>
      <c r="R5" s="662"/>
      <c r="S5" s="669"/>
      <c r="T5" s="661" t="s">
        <v>662</v>
      </c>
      <c r="U5" s="662"/>
      <c r="V5" s="662"/>
      <c r="W5" s="669"/>
      <c r="X5" s="661" t="s">
        <v>663</v>
      </c>
      <c r="Y5" s="662"/>
      <c r="Z5" s="662"/>
      <c r="AA5" s="663"/>
      <c r="AB5" s="664" t="s">
        <v>664</v>
      </c>
      <c r="AC5" s="662"/>
      <c r="AD5" s="662"/>
      <c r="AE5" s="663"/>
      <c r="AF5" s="592"/>
      <c r="AH5" s="15"/>
      <c r="AJ5" s="241"/>
      <c r="AK5" s="241"/>
      <c r="AO5" s="15"/>
      <c r="AP5" s="15"/>
      <c r="AQ5" s="15"/>
      <c r="AR5" s="15"/>
    </row>
    <row r="6" spans="1:46" s="1" customFormat="1" ht="133.94999999999999" customHeight="1" x14ac:dyDescent="0.3">
      <c r="A6" s="595"/>
      <c r="B6" s="91" t="s">
        <v>0</v>
      </c>
      <c r="C6" s="91" t="s">
        <v>104</v>
      </c>
      <c r="D6" s="91" t="s">
        <v>114</v>
      </c>
      <c r="E6" s="198" t="s">
        <v>836</v>
      </c>
      <c r="F6" s="249" t="s">
        <v>0</v>
      </c>
      <c r="G6" s="91" t="s">
        <v>104</v>
      </c>
      <c r="H6" s="91" t="s">
        <v>114</v>
      </c>
      <c r="I6" s="203" t="s">
        <v>837</v>
      </c>
      <c r="J6" s="202" t="s">
        <v>108</v>
      </c>
      <c r="K6" s="196" t="s">
        <v>147</v>
      </c>
      <c r="L6" s="196" t="s">
        <v>203</v>
      </c>
      <c r="M6" s="204" t="s">
        <v>114</v>
      </c>
      <c r="N6" s="205" t="s">
        <v>838</v>
      </c>
      <c r="O6" s="197" t="s">
        <v>0</v>
      </c>
      <c r="P6" s="91" t="s">
        <v>104</v>
      </c>
      <c r="Q6" s="91" t="s">
        <v>191</v>
      </c>
      <c r="R6" s="91" t="s">
        <v>114</v>
      </c>
      <c r="S6" s="205" t="s">
        <v>839</v>
      </c>
      <c r="T6" s="195" t="s">
        <v>0</v>
      </c>
      <c r="U6" s="91" t="s">
        <v>104</v>
      </c>
      <c r="V6" s="91" t="s">
        <v>114</v>
      </c>
      <c r="W6" s="203" t="s">
        <v>840</v>
      </c>
      <c r="X6" s="195" t="s">
        <v>0</v>
      </c>
      <c r="Y6" s="91" t="s">
        <v>104</v>
      </c>
      <c r="Z6" s="91" t="s">
        <v>114</v>
      </c>
      <c r="AA6" s="203" t="s">
        <v>841</v>
      </c>
      <c r="AB6" s="195" t="s">
        <v>0</v>
      </c>
      <c r="AC6" s="91" t="s">
        <v>104</v>
      </c>
      <c r="AD6" s="91" t="s">
        <v>114</v>
      </c>
      <c r="AE6" s="203" t="s">
        <v>842</v>
      </c>
      <c r="AF6" s="592"/>
      <c r="AH6" s="15"/>
      <c r="AI6" s="15"/>
      <c r="AJ6" s="300"/>
      <c r="AK6" s="300"/>
      <c r="AL6" s="15"/>
      <c r="AM6" s="15"/>
      <c r="AN6" s="16"/>
      <c r="AO6" s="15"/>
      <c r="AP6" s="15"/>
      <c r="AQ6" s="15"/>
      <c r="AR6" s="15"/>
    </row>
    <row r="7" spans="1:46" s="1" customFormat="1" ht="16.95" customHeight="1" x14ac:dyDescent="0.3">
      <c r="A7" s="596"/>
      <c r="B7" s="144" t="s">
        <v>687</v>
      </c>
      <c r="C7" s="96" t="s">
        <v>687</v>
      </c>
      <c r="D7" s="143" t="s">
        <v>687</v>
      </c>
      <c r="E7" s="146" t="s">
        <v>687</v>
      </c>
      <c r="F7" s="144" t="s">
        <v>687</v>
      </c>
      <c r="G7" s="96" t="s">
        <v>687</v>
      </c>
      <c r="H7" s="143" t="s">
        <v>687</v>
      </c>
      <c r="I7" s="161" t="s">
        <v>687</v>
      </c>
      <c r="J7" s="151" t="s">
        <v>687</v>
      </c>
      <c r="K7" s="96" t="s">
        <v>687</v>
      </c>
      <c r="L7" s="143" t="s">
        <v>687</v>
      </c>
      <c r="M7" s="143" t="s">
        <v>687</v>
      </c>
      <c r="N7" s="146" t="s">
        <v>687</v>
      </c>
      <c r="O7" s="151" t="s">
        <v>687</v>
      </c>
      <c r="P7" s="151" t="s">
        <v>687</v>
      </c>
      <c r="Q7" s="151" t="s">
        <v>687</v>
      </c>
      <c r="R7" s="143" t="s">
        <v>687</v>
      </c>
      <c r="S7" s="146" t="s">
        <v>687</v>
      </c>
      <c r="T7" s="151" t="s">
        <v>687</v>
      </c>
      <c r="U7" s="96" t="s">
        <v>687</v>
      </c>
      <c r="V7" s="96" t="s">
        <v>687</v>
      </c>
      <c r="W7" s="161" t="s">
        <v>687</v>
      </c>
      <c r="X7" s="151" t="s">
        <v>687</v>
      </c>
      <c r="Y7" s="96" t="s">
        <v>687</v>
      </c>
      <c r="Z7" s="96" t="s">
        <v>687</v>
      </c>
      <c r="AA7" s="161" t="s">
        <v>687</v>
      </c>
      <c r="AB7" s="151" t="s">
        <v>687</v>
      </c>
      <c r="AC7" s="96" t="s">
        <v>687</v>
      </c>
      <c r="AD7" s="96" t="s">
        <v>687</v>
      </c>
      <c r="AE7" s="161" t="s">
        <v>687</v>
      </c>
      <c r="AF7" s="638"/>
      <c r="AH7" s="15"/>
      <c r="AI7" s="15"/>
      <c r="AJ7" s="15"/>
      <c r="AK7" s="15"/>
      <c r="AL7" s="15"/>
      <c r="AM7" s="15"/>
      <c r="AN7" s="16"/>
      <c r="AO7" s="15"/>
      <c r="AP7" s="15"/>
      <c r="AQ7" s="15"/>
      <c r="AR7" s="15"/>
    </row>
    <row r="8" spans="1:46" ht="15" customHeight="1" x14ac:dyDescent="0.35">
      <c r="A8" s="569">
        <v>45748</v>
      </c>
      <c r="B8" s="150">
        <f>SUMPRODUCT(('Throughout Midwifery Care'!$D$7:$D$770=B$6)*('Throughout Midwifery Care'!$C$7:$C$770&gt;=Lists!$AE2)*('Throughout Midwifery Care'!$C$7:$C$770&lt;=Lists!$AF2))</f>
        <v>0</v>
      </c>
      <c r="C8" s="162">
        <f>SUMPRODUCT(('Throughout Midwifery Care'!$D$7:$D$770=C$6)*('Throughout Midwifery Care'!$C$7:$C$770&gt;=Lists!$AE2)*('Throughout Midwifery Care'!$C$7:$C$770&lt;=Lists!$AF2))</f>
        <v>0</v>
      </c>
      <c r="D8" s="163">
        <f>SUMPRODUCT(('Throughout Midwifery Care'!$D$7:$D$770=D$6)*('Throughout Midwifery Care'!$C$7:$C$770&gt;=Lists!$AE2)*('Throughout Midwifery Care'!$C$7:$C$770&lt;=Lists!$AF2))</f>
        <v>0</v>
      </c>
      <c r="E8" s="199">
        <f t="shared" ref="E8:E19" si="0">SUM(B8:D8)</f>
        <v>0</v>
      </c>
      <c r="F8" s="158">
        <f>SUMPRODUCT(('Throughout Midwifery Care'!$E$7:$E$770=F$6)*('Throughout Midwifery Care'!$C$7:$C$770&gt;=Lists!$AE2)*('Throughout Midwifery Care'!$C$7:$C$770&lt;=Lists!$AF2))</f>
        <v>0</v>
      </c>
      <c r="G8" s="162">
        <f>SUMPRODUCT(('Throughout Midwifery Care'!$E$7:$E$770=G$6)*('Throughout Midwifery Care'!$C$7:$C$770&gt;=Lists!$AE2)*('Throughout Midwifery Care'!$C$7:$C$770&lt;=Lists!$AF2))</f>
        <v>0</v>
      </c>
      <c r="H8" s="163">
        <f>SUMPRODUCT(('Throughout Midwifery Care'!$E$7:$E$770=H$6)*('Throughout Midwifery Care'!$C$7:$C$770&gt;=Lists!$AE2)*('Throughout Midwifery Care'!$C$7:$C$770&lt;=Lists!$AF2))</f>
        <v>0</v>
      </c>
      <c r="I8" s="199">
        <f t="shared" ref="I8:I19" si="1">SUM(F8:H8)</f>
        <v>0</v>
      </c>
      <c r="J8" s="158">
        <f>SUMPRODUCT(('Throughout Midwifery Care'!$F$7:$F$770=J$6)*('Throughout Midwifery Care'!$C$7:$C$770&gt;=Lists!$AE2)*('Throughout Midwifery Care'!$C$7:$C$770&lt;=Lists!$AF2))</f>
        <v>0</v>
      </c>
      <c r="K8" s="162">
        <f>SUMPRODUCT(('Throughout Midwifery Care'!$F$7:$F$770=K$6)*('Throughout Midwifery Care'!$C$7:$C$770&gt;=Lists!$AE2)*('Throughout Midwifery Care'!$C$7:$C$770&lt;=Lists!$AF2))</f>
        <v>0</v>
      </c>
      <c r="L8" s="162">
        <f>SUMPRODUCT(('Throughout Midwifery Care'!$F$7:$F$770=L$6)*('Throughout Midwifery Care'!$C$7:$C$770&gt;=Lists!$AE2)*('Throughout Midwifery Care'!$C$7:$C$770&lt;=Lists!$AF2))</f>
        <v>0</v>
      </c>
      <c r="M8" s="163">
        <f>SUMPRODUCT(('Throughout Midwifery Care'!$F$7:$F$770=M$6)*('Throughout Midwifery Care'!$C$7:$C$770&gt;=Lists!$AE2)*('Throughout Midwifery Care'!$C$7:$C$770&lt;=Lists!$AF2))</f>
        <v>0</v>
      </c>
      <c r="N8" s="206">
        <f>SUM(J8:M8)</f>
        <v>0</v>
      </c>
      <c r="O8" s="158">
        <f>SUMPRODUCT(('Throughout Midwifery Care'!$G$7:$G$770=O$6)*('Throughout Midwifery Care'!$C$7:$C$770&gt;=Lists!$AE2)*('Throughout Midwifery Care'!$C$7:$C$770&lt;=Lists!$AF2))</f>
        <v>0</v>
      </c>
      <c r="P8" s="162">
        <f>SUMPRODUCT(('Throughout Midwifery Care'!$G$7:$G$770=P$6)*('Throughout Midwifery Care'!$C$7:$C$770&gt;=Lists!$AE2)*('Throughout Midwifery Care'!$C$7:$C$770&lt;=Lists!$AF2))</f>
        <v>0</v>
      </c>
      <c r="Q8" s="162">
        <f>SUMPRODUCT(('Throughout Midwifery Care'!$G$7:$G$770=Q$6)*('Throughout Midwifery Care'!$C$7:$C$770&gt;=Lists!$AE2)*('Throughout Midwifery Care'!$C$7:$C$770&lt;=Lists!$AF2))</f>
        <v>0</v>
      </c>
      <c r="R8" s="163">
        <f>SUMPRODUCT(('Throughout Midwifery Care'!$G$7:$G$770=R$6)*('Throughout Midwifery Care'!$C$7:$C$770&gt;=Lists!$AE2)*('Throughout Midwifery Care'!$C$7:$C$770&lt;=Lists!$AF2))</f>
        <v>0</v>
      </c>
      <c r="S8" s="159">
        <f>SUM(O8:R8)</f>
        <v>0</v>
      </c>
      <c r="T8" s="158">
        <f>SUMPRODUCT(('Throughout Midwifery Care'!$H$7:$H$770=T$6)*('Throughout Midwifery Care'!$C$7:$C$770&gt;=Lists!$AE2)*('Throughout Midwifery Care'!$C$7:$C$770&lt;=Lists!$AF2))</f>
        <v>0</v>
      </c>
      <c r="U8" s="162">
        <f>SUMPRODUCT(('Throughout Midwifery Care'!$H$7:$H$770=U$6)*('Throughout Midwifery Care'!$C$7:$C$770&gt;=Lists!$AE2)*('Throughout Midwifery Care'!$C$7:$C$770&lt;=Lists!$AF2))</f>
        <v>0</v>
      </c>
      <c r="V8" s="163">
        <f>SUMPRODUCT(('Throughout Midwifery Care'!$H$7:$H$770=V$6)*('Throughout Midwifery Care'!$C$7:$C$770&gt;=Lists!$AE2)*('Throughout Midwifery Care'!$C$7:$C$770&lt;=Lists!$AF2))</f>
        <v>0</v>
      </c>
      <c r="W8" s="159">
        <f>SUM(T8:V8)</f>
        <v>0</v>
      </c>
      <c r="X8" s="158">
        <f>SUMPRODUCT(('Throughout Midwifery Care'!$I$7:$I$770=X$6)*('Throughout Midwifery Care'!$C$7:$C$770&gt;=Lists!$AE2)*('Throughout Midwifery Care'!$C$7:$C$770&lt;=Lists!$AF2))</f>
        <v>0</v>
      </c>
      <c r="Y8" s="162">
        <f>SUMPRODUCT(('Throughout Midwifery Care'!$I$7:$I$770=Y$6)*('Throughout Midwifery Care'!$C$7:$C$770&gt;=Lists!$AE2)*('Throughout Midwifery Care'!$C$7:$C$770&lt;=Lists!$AF2))</f>
        <v>0</v>
      </c>
      <c r="Z8" s="163">
        <f>SUMPRODUCT(('Throughout Midwifery Care'!$I$7:$I$770=Z$6)*('Throughout Midwifery Care'!$C$7:$C$770&gt;=Lists!$AE2)*('Throughout Midwifery Care'!$C$7:$C$770&lt;=Lists!$AF2))</f>
        <v>0</v>
      </c>
      <c r="AA8" s="159">
        <f>SUM(X8:Z8)</f>
        <v>0</v>
      </c>
      <c r="AB8" s="158">
        <f>SUMPRODUCT(('Throughout Midwifery Care'!$J$7:$J$770=AB$6)*('Throughout Midwifery Care'!$C$7:$C$770&gt;=Lists!$AE2)*('Throughout Midwifery Care'!$C$7:$C$770&lt;=Lists!$AF2))</f>
        <v>0</v>
      </c>
      <c r="AC8" s="162">
        <f>SUMPRODUCT(('Throughout Midwifery Care'!$J$7:$J$770=AC$6)*('Throughout Midwifery Care'!$C$7:$C$770&gt;=Lists!$AE2)*('Throughout Midwifery Care'!$C$7:$C$770&lt;=Lists!$AF2))</f>
        <v>0</v>
      </c>
      <c r="AD8" s="163">
        <f>SUMPRODUCT(('Throughout Midwifery Care'!$J$7:$J$770=AD$6)*('Throughout Midwifery Care'!$C$7:$C$770&gt;=Lists!$AE2)*('Throughout Midwifery Care'!$C$7:$C$770&lt;=Lists!$AF2))</f>
        <v>0</v>
      </c>
      <c r="AE8" s="159">
        <f>SUM(AB8:AD8)</f>
        <v>0</v>
      </c>
      <c r="AF8" s="183">
        <f t="shared" ref="AF8:AF19" si="2">SUM(E8,I8,N8,S8,W8,AA8,AE8)</f>
        <v>0</v>
      </c>
      <c r="AH8" s="15"/>
      <c r="AI8" s="15"/>
      <c r="AJ8" s="15"/>
      <c r="AK8" s="15"/>
      <c r="AL8" s="15"/>
      <c r="AM8" s="15"/>
      <c r="AN8" s="16"/>
      <c r="AO8" s="15"/>
      <c r="AP8" s="15"/>
      <c r="AQ8" s="15"/>
      <c r="AR8" s="15"/>
    </row>
    <row r="9" spans="1:46" ht="15" customHeight="1" x14ac:dyDescent="0.35">
      <c r="A9" s="570">
        <v>45778</v>
      </c>
      <c r="B9" s="175">
        <f>SUMPRODUCT(('Throughout Midwifery Care'!$D$7:$D$770=B$6)*('Throughout Midwifery Care'!$C$7:$C$770&gt;=Lists!$AE3)*('Throughout Midwifery Care'!$C$7:$C$770&lt;=Lists!$AF3))</f>
        <v>0</v>
      </c>
      <c r="C9" s="165">
        <f>SUMPRODUCT(('Throughout Midwifery Care'!$D$7:$D$770=C$6)*('Throughout Midwifery Care'!$C$7:$C$770&gt;=Lists!$AE3)*('Throughout Midwifery Care'!$C$7:$C$770&lt;=Lists!$AF3))</f>
        <v>0</v>
      </c>
      <c r="D9" s="166">
        <f>SUMPRODUCT(('Throughout Midwifery Care'!$D$7:$D$770=D$6)*('Throughout Midwifery Care'!$C$7:$C$770&gt;=Lists!$AE3)*('Throughout Midwifery Care'!$C$7:$C$770&lt;=Lists!$AF3))</f>
        <v>0</v>
      </c>
      <c r="E9" s="200">
        <f t="shared" si="0"/>
        <v>0</v>
      </c>
      <c r="F9" s="164">
        <f>SUMPRODUCT(('Throughout Midwifery Care'!$E$7:$E$770=F$6)*('Throughout Midwifery Care'!$C$7:$C$770&gt;=Lists!$AE3)*('Throughout Midwifery Care'!$C$7:$C$770&lt;=Lists!$AF3))</f>
        <v>0</v>
      </c>
      <c r="G9" s="165">
        <f>SUMPRODUCT(('Throughout Midwifery Care'!$E$7:$E$770=G$6)*('Throughout Midwifery Care'!$C$7:$C$770&gt;=Lists!$AE3)*('Throughout Midwifery Care'!$C$7:$C$770&lt;=Lists!$AF3))</f>
        <v>0</v>
      </c>
      <c r="H9" s="166">
        <f>SUMPRODUCT(('Throughout Midwifery Care'!$E$7:$E$770=H$6)*('Throughout Midwifery Care'!$C$7:$C$770&gt;=Lists!$AE3)*('Throughout Midwifery Care'!$C$7:$C$770&lt;=Lists!$AF3))</f>
        <v>0</v>
      </c>
      <c r="I9" s="200">
        <f t="shared" si="1"/>
        <v>0</v>
      </c>
      <c r="J9" s="164">
        <f>SUMPRODUCT(('Throughout Midwifery Care'!$F$7:$F$770=J$6)*('Throughout Midwifery Care'!$C$7:$C$770&gt;=Lists!$AE3)*('Throughout Midwifery Care'!$C$7:$C$770&lt;=Lists!$AF3))</f>
        <v>0</v>
      </c>
      <c r="K9" s="165">
        <f>SUMPRODUCT(('Throughout Midwifery Care'!$F$7:$F$770=K$6)*('Throughout Midwifery Care'!$C$7:$C$770&gt;=Lists!$AE3)*('Throughout Midwifery Care'!$C$7:$C$770&lt;=Lists!$AF3))</f>
        <v>0</v>
      </c>
      <c r="L9" s="165">
        <f>SUMPRODUCT(('Throughout Midwifery Care'!$F$7:$F$770=L$6)*('Throughout Midwifery Care'!$C$7:$C$770&gt;=Lists!$AE3)*('Throughout Midwifery Care'!$C$7:$C$770&lt;=Lists!$AF3))</f>
        <v>0</v>
      </c>
      <c r="M9" s="166">
        <f>SUMPRODUCT(('Throughout Midwifery Care'!$F$7:$F$770=M$6)*('Throughout Midwifery Care'!$C$7:$C$770&gt;=Lists!$AE3)*('Throughout Midwifery Care'!$C$7:$C$770&lt;=Lists!$AF3))</f>
        <v>0</v>
      </c>
      <c r="N9" s="207">
        <f t="shared" ref="N9:N19" si="3">SUM(J9:M9)</f>
        <v>0</v>
      </c>
      <c r="O9" s="164">
        <f>SUMPRODUCT(('Throughout Midwifery Care'!$G$7:$G$770=O$6)*('Throughout Midwifery Care'!$C$7:$C$770&gt;=Lists!$AE3)*('Throughout Midwifery Care'!$C$7:$C$770&lt;=Lists!$AF3))</f>
        <v>0</v>
      </c>
      <c r="P9" s="165">
        <f>SUMPRODUCT(('Throughout Midwifery Care'!$G$7:$G$770=P$6)*('Throughout Midwifery Care'!$C$7:$C$770&gt;=Lists!$AE3)*('Throughout Midwifery Care'!$C$7:$C$770&lt;=Lists!$AF3))</f>
        <v>0</v>
      </c>
      <c r="Q9" s="165">
        <f>SUMPRODUCT(('Throughout Midwifery Care'!$G$7:$G$770=Q$6)*('Throughout Midwifery Care'!$C$7:$C$770&gt;=Lists!$AE3)*('Throughout Midwifery Care'!$C$7:$C$770&lt;=Lists!$AF3))</f>
        <v>0</v>
      </c>
      <c r="R9" s="166">
        <f>SUMPRODUCT(('Throughout Midwifery Care'!$G$7:$G$770=R$6)*('Throughout Midwifery Care'!$C$7:$C$770&gt;=Lists!$AE3)*('Throughout Midwifery Care'!$C$7:$C$770&lt;=Lists!$AF3))</f>
        <v>0</v>
      </c>
      <c r="S9" s="178">
        <f t="shared" ref="S9:S19" si="4">SUM(O9:R9)</f>
        <v>0</v>
      </c>
      <c r="T9" s="164">
        <f>SUMPRODUCT(('Throughout Midwifery Care'!$H$7:$H$770=T$6)*('Throughout Midwifery Care'!$C$7:$C$770&gt;=Lists!$AE3)*('Throughout Midwifery Care'!$C$7:$C$770&lt;=Lists!$AF3))</f>
        <v>0</v>
      </c>
      <c r="U9" s="165">
        <f>SUMPRODUCT(('Throughout Midwifery Care'!$H$7:$H$770=U$6)*('Throughout Midwifery Care'!$C$7:$C$770&gt;=Lists!$AE3)*('Throughout Midwifery Care'!$C$7:$C$770&lt;=Lists!$AF3))</f>
        <v>0</v>
      </c>
      <c r="V9" s="166">
        <f>SUMPRODUCT(('Throughout Midwifery Care'!$H$7:$H$770=V$6)*('Throughout Midwifery Care'!$C$7:$C$770&gt;=Lists!$AE3)*('Throughout Midwifery Care'!$C$7:$C$770&lt;=Lists!$AF3))</f>
        <v>0</v>
      </c>
      <c r="W9" s="178">
        <f t="shared" ref="W9:W19" si="5">SUM(T9:V9)</f>
        <v>0</v>
      </c>
      <c r="X9" s="164">
        <f>SUMPRODUCT(('Throughout Midwifery Care'!$I$7:$I$770=X$6)*('Throughout Midwifery Care'!$C$7:$C$770&gt;=Lists!$AE3)*('Throughout Midwifery Care'!$C$7:$C$770&lt;=Lists!$AF3))</f>
        <v>0</v>
      </c>
      <c r="Y9" s="165">
        <f>SUMPRODUCT(('Throughout Midwifery Care'!$I$7:$I$770=Y$6)*('Throughout Midwifery Care'!$C$7:$C$770&gt;=Lists!$AE3)*('Throughout Midwifery Care'!$C$7:$C$770&lt;=Lists!$AF3))</f>
        <v>0</v>
      </c>
      <c r="Z9" s="166">
        <f>SUMPRODUCT(('Throughout Midwifery Care'!$I$7:$I$770=Z$6)*('Throughout Midwifery Care'!$C$7:$C$770&gt;=Lists!$AE3)*('Throughout Midwifery Care'!$C$7:$C$770&lt;=Lists!$AF3))</f>
        <v>0</v>
      </c>
      <c r="AA9" s="178">
        <f t="shared" ref="AA9:AA19" si="6">SUM(X9:Z9)</f>
        <v>0</v>
      </c>
      <c r="AB9" s="164">
        <f>SUMPRODUCT(('Throughout Midwifery Care'!$J$7:$J$770=AB$6)*('Throughout Midwifery Care'!$C$7:$C$770&gt;=Lists!$AE3)*('Throughout Midwifery Care'!$C$7:$C$770&lt;=Lists!$AF3))</f>
        <v>0</v>
      </c>
      <c r="AC9" s="165">
        <f>SUMPRODUCT(('Throughout Midwifery Care'!$J$7:$J$770=AC$6)*('Throughout Midwifery Care'!$C$7:$C$770&gt;=Lists!$AE3)*('Throughout Midwifery Care'!$C$7:$C$770&lt;=Lists!$AF3))</f>
        <v>0</v>
      </c>
      <c r="AD9" s="166">
        <f>SUMPRODUCT(('Throughout Midwifery Care'!$J$7:$J$770=AD$6)*('Throughout Midwifery Care'!$C$7:$C$770&gt;=Lists!$AE3)*('Throughout Midwifery Care'!$C$7:$C$770&lt;=Lists!$AF3))</f>
        <v>0</v>
      </c>
      <c r="AE9" s="178">
        <f t="shared" ref="AE9:AE19" si="7">SUM(AB9:AD9)</f>
        <v>0</v>
      </c>
      <c r="AF9" s="183">
        <f t="shared" si="2"/>
        <v>0</v>
      </c>
      <c r="AH9" s="15"/>
      <c r="AI9" s="15"/>
      <c r="AJ9" s="15"/>
      <c r="AK9" s="15"/>
      <c r="AL9" s="15"/>
      <c r="AM9" s="15"/>
      <c r="AN9" s="16"/>
      <c r="AO9" s="15"/>
      <c r="AP9" s="15"/>
      <c r="AQ9" s="15"/>
      <c r="AR9" s="15"/>
    </row>
    <row r="10" spans="1:46" ht="15" customHeight="1" x14ac:dyDescent="0.35">
      <c r="A10" s="570">
        <v>45809</v>
      </c>
      <c r="B10" s="175">
        <f>SUMPRODUCT(('Throughout Midwifery Care'!$D$7:$D$770=B$6)*('Throughout Midwifery Care'!$C$7:$C$770&gt;=Lists!$AE4)*('Throughout Midwifery Care'!$C$7:$C$770&lt;=Lists!$AF4))</f>
        <v>0</v>
      </c>
      <c r="C10" s="165">
        <f>SUMPRODUCT(('Throughout Midwifery Care'!$D$7:$D$770=C$6)*('Throughout Midwifery Care'!$C$7:$C$770&gt;=Lists!$AE4)*('Throughout Midwifery Care'!$C$7:$C$770&lt;=Lists!$AF4))</f>
        <v>0</v>
      </c>
      <c r="D10" s="166">
        <f>SUMPRODUCT(('Throughout Midwifery Care'!$D$7:$D$770=D$6)*('Throughout Midwifery Care'!$C$7:$C$770&gt;=Lists!$AE4)*('Throughout Midwifery Care'!$C$7:$C$770&lt;=Lists!$AF4))</f>
        <v>0</v>
      </c>
      <c r="E10" s="200">
        <f t="shared" si="0"/>
        <v>0</v>
      </c>
      <c r="F10" s="164">
        <f>SUMPRODUCT(('Throughout Midwifery Care'!$E$7:$E$770=F$6)*('Throughout Midwifery Care'!$C$7:$C$770&gt;=Lists!$AE4)*('Throughout Midwifery Care'!$C$7:$C$770&lt;=Lists!$AF4))</f>
        <v>0</v>
      </c>
      <c r="G10" s="165">
        <f>SUMPRODUCT(('Throughout Midwifery Care'!$E$7:$E$770=G$6)*('Throughout Midwifery Care'!$C$7:$C$770&gt;=Lists!$AE4)*('Throughout Midwifery Care'!$C$7:$C$770&lt;=Lists!$AF4))</f>
        <v>0</v>
      </c>
      <c r="H10" s="166">
        <f>SUMPRODUCT(('Throughout Midwifery Care'!$E$7:$E$770=H$6)*('Throughout Midwifery Care'!$C$7:$C$770&gt;=Lists!$AE4)*('Throughout Midwifery Care'!$C$7:$C$770&lt;=Lists!$AF4))</f>
        <v>0</v>
      </c>
      <c r="I10" s="200">
        <f t="shared" si="1"/>
        <v>0</v>
      </c>
      <c r="J10" s="164">
        <f>SUMPRODUCT(('Throughout Midwifery Care'!$F$7:$F$770=J$6)*('Throughout Midwifery Care'!$C$7:$C$770&gt;=Lists!$AE4)*('Throughout Midwifery Care'!$C$7:$C$770&lt;=Lists!$AF4))</f>
        <v>0</v>
      </c>
      <c r="K10" s="165">
        <f>SUMPRODUCT(('Throughout Midwifery Care'!$F$7:$F$770=K$6)*('Throughout Midwifery Care'!$C$7:$C$770&gt;=Lists!$AE4)*('Throughout Midwifery Care'!$C$7:$C$770&lt;=Lists!$AF4))</f>
        <v>0</v>
      </c>
      <c r="L10" s="165">
        <f>SUMPRODUCT(('Throughout Midwifery Care'!$F$7:$F$770=L$6)*('Throughout Midwifery Care'!$C$7:$C$770&gt;=Lists!$AE4)*('Throughout Midwifery Care'!$C$7:$C$770&lt;=Lists!$AF4))</f>
        <v>0</v>
      </c>
      <c r="M10" s="166">
        <f>SUMPRODUCT(('Throughout Midwifery Care'!$F$7:$F$770=M$6)*('Throughout Midwifery Care'!$C$7:$C$770&gt;=Lists!$AE4)*('Throughout Midwifery Care'!$C$7:$C$770&lt;=Lists!$AF4))</f>
        <v>0</v>
      </c>
      <c r="N10" s="207">
        <f t="shared" si="3"/>
        <v>0</v>
      </c>
      <c r="O10" s="164">
        <f>SUMPRODUCT(('Throughout Midwifery Care'!$G$7:$G$770=O$6)*('Throughout Midwifery Care'!$C$7:$C$770&gt;=Lists!$AE4)*('Throughout Midwifery Care'!$C$7:$C$770&lt;=Lists!$AF4))</f>
        <v>0</v>
      </c>
      <c r="P10" s="165">
        <f>SUMPRODUCT(('Throughout Midwifery Care'!$G$7:$G$770=P$6)*('Throughout Midwifery Care'!$C$7:$C$770&gt;=Lists!$AE4)*('Throughout Midwifery Care'!$C$7:$C$770&lt;=Lists!$AF4))</f>
        <v>0</v>
      </c>
      <c r="Q10" s="165">
        <f>SUMPRODUCT(('Throughout Midwifery Care'!$G$7:$G$770=Q$6)*('Throughout Midwifery Care'!$C$7:$C$770&gt;=Lists!$AE4)*('Throughout Midwifery Care'!$C$7:$C$770&lt;=Lists!$AF4))</f>
        <v>0</v>
      </c>
      <c r="R10" s="166">
        <f>SUMPRODUCT(('Throughout Midwifery Care'!$G$7:$G$770=R$6)*('Throughout Midwifery Care'!$C$7:$C$770&gt;=Lists!$AE4)*('Throughout Midwifery Care'!$C$7:$C$770&lt;=Lists!$AF4))</f>
        <v>0</v>
      </c>
      <c r="S10" s="178">
        <f t="shared" si="4"/>
        <v>0</v>
      </c>
      <c r="T10" s="164">
        <f>SUMPRODUCT(('Throughout Midwifery Care'!$H$7:$H$770=T$6)*('Throughout Midwifery Care'!$C$7:$C$770&gt;=Lists!$AE4)*('Throughout Midwifery Care'!$C$7:$C$770&lt;=Lists!$AF4))</f>
        <v>0</v>
      </c>
      <c r="U10" s="165">
        <f>SUMPRODUCT(('Throughout Midwifery Care'!$H$7:$H$770=U$6)*('Throughout Midwifery Care'!$C$7:$C$770&gt;=Lists!$AE4)*('Throughout Midwifery Care'!$C$7:$C$770&lt;=Lists!$AF4))</f>
        <v>0</v>
      </c>
      <c r="V10" s="166">
        <f>SUMPRODUCT(('Throughout Midwifery Care'!$H$7:$H$770=V$6)*('Throughout Midwifery Care'!$C$7:$C$770&gt;=Lists!$AE4)*('Throughout Midwifery Care'!$C$7:$C$770&lt;=Lists!$AF4))</f>
        <v>0</v>
      </c>
      <c r="W10" s="178">
        <f t="shared" si="5"/>
        <v>0</v>
      </c>
      <c r="X10" s="164">
        <f>SUMPRODUCT(('Throughout Midwifery Care'!$I$7:$I$770=X$6)*('Throughout Midwifery Care'!$C$7:$C$770&gt;=Lists!$AE4)*('Throughout Midwifery Care'!$C$7:$C$770&lt;=Lists!$AF4))</f>
        <v>0</v>
      </c>
      <c r="Y10" s="165">
        <f>SUMPRODUCT(('Throughout Midwifery Care'!$I$7:$I$770=Y$6)*('Throughout Midwifery Care'!$C$7:$C$770&gt;=Lists!$AE4)*('Throughout Midwifery Care'!$C$7:$C$770&lt;=Lists!$AF4))</f>
        <v>0</v>
      </c>
      <c r="Z10" s="166">
        <f>SUMPRODUCT(('Throughout Midwifery Care'!$I$7:$I$770=Z$6)*('Throughout Midwifery Care'!$C$7:$C$770&gt;=Lists!$AE4)*('Throughout Midwifery Care'!$C$7:$C$770&lt;=Lists!$AF4))</f>
        <v>0</v>
      </c>
      <c r="AA10" s="178">
        <f t="shared" si="6"/>
        <v>0</v>
      </c>
      <c r="AB10" s="164">
        <f>SUMPRODUCT(('Throughout Midwifery Care'!$J$7:$J$770=AB$6)*('Throughout Midwifery Care'!$C$7:$C$770&gt;=Lists!$AE4)*('Throughout Midwifery Care'!$C$7:$C$770&lt;=Lists!$AF4))</f>
        <v>0</v>
      </c>
      <c r="AC10" s="165">
        <f>SUMPRODUCT(('Throughout Midwifery Care'!$J$7:$J$770=AC$6)*('Throughout Midwifery Care'!$C$7:$C$770&gt;=Lists!$AE4)*('Throughout Midwifery Care'!$C$7:$C$770&lt;=Lists!$AF4))</f>
        <v>0</v>
      </c>
      <c r="AD10" s="166">
        <f>SUMPRODUCT(('Throughout Midwifery Care'!$J$7:$J$770=AD$6)*('Throughout Midwifery Care'!$C$7:$C$770&gt;=Lists!$AE4)*('Throughout Midwifery Care'!$C$7:$C$770&lt;=Lists!$AF4))</f>
        <v>0</v>
      </c>
      <c r="AE10" s="178">
        <f t="shared" si="7"/>
        <v>0</v>
      </c>
      <c r="AF10" s="183">
        <f t="shared" si="2"/>
        <v>0</v>
      </c>
      <c r="AH10" s="15"/>
      <c r="AI10" s="15"/>
      <c r="AJ10" s="15"/>
      <c r="AK10" s="15"/>
      <c r="AL10" s="15"/>
      <c r="AM10" s="15"/>
      <c r="AN10" s="16"/>
      <c r="AO10" s="15"/>
      <c r="AP10" s="15"/>
      <c r="AQ10" s="15"/>
      <c r="AR10" s="15"/>
    </row>
    <row r="11" spans="1:46" ht="15" customHeight="1" x14ac:dyDescent="0.35">
      <c r="A11" s="570">
        <v>45839</v>
      </c>
      <c r="B11" s="175">
        <f>SUMPRODUCT(('Throughout Midwifery Care'!$D$7:$D$770=B$6)*('Throughout Midwifery Care'!$C$7:$C$770&gt;=Lists!$AE5)*('Throughout Midwifery Care'!$C$7:$C$770&lt;=Lists!$AF5))</f>
        <v>0</v>
      </c>
      <c r="C11" s="165">
        <f>SUMPRODUCT(('Throughout Midwifery Care'!$D$7:$D$770=C$6)*('Throughout Midwifery Care'!$C$7:$C$770&gt;=Lists!$AE5)*('Throughout Midwifery Care'!$C$7:$C$770&lt;=Lists!$AF5))</f>
        <v>0</v>
      </c>
      <c r="D11" s="166">
        <f>SUMPRODUCT(('Throughout Midwifery Care'!$D$7:$D$770=D$6)*('Throughout Midwifery Care'!$C$7:$C$770&gt;=Lists!$AE5)*('Throughout Midwifery Care'!$C$7:$C$770&lt;=Lists!$AF5))</f>
        <v>0</v>
      </c>
      <c r="E11" s="200">
        <f t="shared" si="0"/>
        <v>0</v>
      </c>
      <c r="F11" s="164">
        <f>SUMPRODUCT(('Throughout Midwifery Care'!$E$7:$E$770=F$6)*('Throughout Midwifery Care'!$C$7:$C$770&gt;=Lists!$AE5)*('Throughout Midwifery Care'!$C$7:$C$770&lt;=Lists!$AF5))</f>
        <v>0</v>
      </c>
      <c r="G11" s="165">
        <f>SUMPRODUCT(('Throughout Midwifery Care'!$E$7:$E$770=G$6)*('Throughout Midwifery Care'!$C$7:$C$770&gt;=Lists!$AE5)*('Throughout Midwifery Care'!$C$7:$C$770&lt;=Lists!$AF5))</f>
        <v>0</v>
      </c>
      <c r="H11" s="166">
        <f>SUMPRODUCT(('Throughout Midwifery Care'!$E$7:$E$770=H$6)*('Throughout Midwifery Care'!$C$7:$C$770&gt;=Lists!$AE5)*('Throughout Midwifery Care'!$C$7:$C$770&lt;=Lists!$AF5))</f>
        <v>0</v>
      </c>
      <c r="I11" s="200">
        <f t="shared" si="1"/>
        <v>0</v>
      </c>
      <c r="J11" s="164">
        <f>SUMPRODUCT(('Throughout Midwifery Care'!$F$7:$F$770=J$6)*('Throughout Midwifery Care'!$C$7:$C$770&gt;=Lists!$AE5)*('Throughout Midwifery Care'!$C$7:$C$770&lt;=Lists!$AF5))</f>
        <v>0</v>
      </c>
      <c r="K11" s="165">
        <f>SUMPRODUCT(('Throughout Midwifery Care'!$F$7:$F$770=K$6)*('Throughout Midwifery Care'!$C$7:$C$770&gt;=Lists!$AE5)*('Throughout Midwifery Care'!$C$7:$C$770&lt;=Lists!$AF5))</f>
        <v>0</v>
      </c>
      <c r="L11" s="165">
        <f>SUMPRODUCT(('Throughout Midwifery Care'!$F$7:$F$770=L$6)*('Throughout Midwifery Care'!$C$7:$C$770&gt;=Lists!$AE5)*('Throughout Midwifery Care'!$C$7:$C$770&lt;=Lists!$AF5))</f>
        <v>0</v>
      </c>
      <c r="M11" s="166">
        <f>SUMPRODUCT(('Throughout Midwifery Care'!$F$7:$F$770=M$6)*('Throughout Midwifery Care'!$C$7:$C$770&gt;=Lists!$AE5)*('Throughout Midwifery Care'!$C$7:$C$770&lt;=Lists!$AF5))</f>
        <v>0</v>
      </c>
      <c r="N11" s="207">
        <f t="shared" si="3"/>
        <v>0</v>
      </c>
      <c r="O11" s="164">
        <f>SUMPRODUCT(('Throughout Midwifery Care'!$G$7:$G$770=O$6)*('Throughout Midwifery Care'!$C$7:$C$770&gt;=Lists!$AE5)*('Throughout Midwifery Care'!$C$7:$C$770&lt;=Lists!$AF5))</f>
        <v>0</v>
      </c>
      <c r="P11" s="165">
        <f>SUMPRODUCT(('Throughout Midwifery Care'!$G$7:$G$770=P$6)*('Throughout Midwifery Care'!$C$7:$C$770&gt;=Lists!$AE5)*('Throughout Midwifery Care'!$C$7:$C$770&lt;=Lists!$AF5))</f>
        <v>0</v>
      </c>
      <c r="Q11" s="165">
        <f>SUMPRODUCT(('Throughout Midwifery Care'!$G$7:$G$770=Q$6)*('Throughout Midwifery Care'!$C$7:$C$770&gt;=Lists!$AE5)*('Throughout Midwifery Care'!$C$7:$C$770&lt;=Lists!$AF5))</f>
        <v>0</v>
      </c>
      <c r="R11" s="166">
        <f>SUMPRODUCT(('Throughout Midwifery Care'!$G$7:$G$770=R$6)*('Throughout Midwifery Care'!$C$7:$C$770&gt;=Lists!$AE5)*('Throughout Midwifery Care'!$C$7:$C$770&lt;=Lists!$AF5))</f>
        <v>0</v>
      </c>
      <c r="S11" s="178">
        <f t="shared" si="4"/>
        <v>0</v>
      </c>
      <c r="T11" s="164">
        <f>SUMPRODUCT(('Throughout Midwifery Care'!$H$7:$H$770=T$6)*('Throughout Midwifery Care'!$C$7:$C$770&gt;=Lists!$AE5)*('Throughout Midwifery Care'!$C$7:$C$770&lt;=Lists!$AF5))</f>
        <v>0</v>
      </c>
      <c r="U11" s="165">
        <f>SUMPRODUCT(('Throughout Midwifery Care'!$H$7:$H$770=U$6)*('Throughout Midwifery Care'!$C$7:$C$770&gt;=Lists!$AE5)*('Throughout Midwifery Care'!$C$7:$C$770&lt;=Lists!$AF5))</f>
        <v>0</v>
      </c>
      <c r="V11" s="166">
        <f>SUMPRODUCT(('Throughout Midwifery Care'!$H$7:$H$770=V$6)*('Throughout Midwifery Care'!$C$7:$C$770&gt;=Lists!$AE5)*('Throughout Midwifery Care'!$C$7:$C$770&lt;=Lists!$AF5))</f>
        <v>0</v>
      </c>
      <c r="W11" s="178">
        <f t="shared" si="5"/>
        <v>0</v>
      </c>
      <c r="X11" s="164">
        <f>SUMPRODUCT(('Throughout Midwifery Care'!$I$7:$I$770=X$6)*('Throughout Midwifery Care'!$C$7:$C$770&gt;=Lists!$AE5)*('Throughout Midwifery Care'!$C$7:$C$770&lt;=Lists!$AF5))</f>
        <v>0</v>
      </c>
      <c r="Y11" s="165">
        <f>SUMPRODUCT(('Throughout Midwifery Care'!$I$7:$I$770=Y$6)*('Throughout Midwifery Care'!$C$7:$C$770&gt;=Lists!$AE5)*('Throughout Midwifery Care'!$C$7:$C$770&lt;=Lists!$AF5))</f>
        <v>0</v>
      </c>
      <c r="Z11" s="166">
        <f>SUMPRODUCT(('Throughout Midwifery Care'!$I$7:$I$770=Z$6)*('Throughout Midwifery Care'!$C$7:$C$770&gt;=Lists!$AE5)*('Throughout Midwifery Care'!$C$7:$C$770&lt;=Lists!$AF5))</f>
        <v>0</v>
      </c>
      <c r="AA11" s="178">
        <f t="shared" si="6"/>
        <v>0</v>
      </c>
      <c r="AB11" s="164">
        <f>SUMPRODUCT(('Throughout Midwifery Care'!$J$7:$J$770=AB$6)*('Throughout Midwifery Care'!$C$7:$C$770&gt;=Lists!$AE5)*('Throughout Midwifery Care'!$C$7:$C$770&lt;=Lists!$AF5))</f>
        <v>0</v>
      </c>
      <c r="AC11" s="165">
        <f>SUMPRODUCT(('Throughout Midwifery Care'!$J$7:$J$770=AC$6)*('Throughout Midwifery Care'!$C$7:$C$770&gt;=Lists!$AE5)*('Throughout Midwifery Care'!$C$7:$C$770&lt;=Lists!$AF5))</f>
        <v>0</v>
      </c>
      <c r="AD11" s="166">
        <f>SUMPRODUCT(('Throughout Midwifery Care'!$J$7:$J$770=AD$6)*('Throughout Midwifery Care'!$C$7:$C$770&gt;=Lists!$AE5)*('Throughout Midwifery Care'!$C$7:$C$770&lt;=Lists!$AF5))</f>
        <v>0</v>
      </c>
      <c r="AE11" s="178">
        <f t="shared" si="7"/>
        <v>0</v>
      </c>
      <c r="AF11" s="183">
        <f t="shared" si="2"/>
        <v>0</v>
      </c>
      <c r="AH11" s="15"/>
      <c r="AI11" s="15"/>
      <c r="AJ11" s="15"/>
      <c r="AK11" s="15"/>
      <c r="AL11" s="15"/>
      <c r="AM11" s="15"/>
      <c r="AN11" s="16"/>
      <c r="AO11" s="15"/>
      <c r="AP11" s="15"/>
      <c r="AQ11" s="15"/>
      <c r="AR11" s="15"/>
    </row>
    <row r="12" spans="1:46" ht="15" customHeight="1" x14ac:dyDescent="0.35">
      <c r="A12" s="570">
        <v>45870</v>
      </c>
      <c r="B12" s="175">
        <f>SUMPRODUCT(('Throughout Midwifery Care'!$D$7:$D$770=B$6)*('Throughout Midwifery Care'!$C$7:$C$770&gt;=Lists!$AE6)*('Throughout Midwifery Care'!$C$7:$C$770&lt;=Lists!$AF6))</f>
        <v>0</v>
      </c>
      <c r="C12" s="165">
        <f>SUMPRODUCT(('Throughout Midwifery Care'!$D$7:$D$770=C$6)*('Throughout Midwifery Care'!$C$7:$C$770&gt;=Lists!$AE6)*('Throughout Midwifery Care'!$C$7:$C$770&lt;=Lists!$AF6))</f>
        <v>0</v>
      </c>
      <c r="D12" s="166">
        <f>SUMPRODUCT(('Throughout Midwifery Care'!$D$7:$D$770=D$6)*('Throughout Midwifery Care'!$C$7:$C$770&gt;=Lists!$AE6)*('Throughout Midwifery Care'!$C$7:$C$770&lt;=Lists!$AF6))</f>
        <v>0</v>
      </c>
      <c r="E12" s="200">
        <f t="shared" si="0"/>
        <v>0</v>
      </c>
      <c r="F12" s="164">
        <f>SUMPRODUCT(('Throughout Midwifery Care'!$E$7:$E$770=F$6)*('Throughout Midwifery Care'!$C$7:$C$770&gt;=Lists!$AE6)*('Throughout Midwifery Care'!$C$7:$C$770&lt;=Lists!$AF6))</f>
        <v>0</v>
      </c>
      <c r="G12" s="165">
        <f>SUMPRODUCT(('Throughout Midwifery Care'!$E$7:$E$770=G$6)*('Throughout Midwifery Care'!$C$7:$C$770&gt;=Lists!$AE6)*('Throughout Midwifery Care'!$C$7:$C$770&lt;=Lists!$AF6))</f>
        <v>0</v>
      </c>
      <c r="H12" s="166">
        <f>SUMPRODUCT(('Throughout Midwifery Care'!$E$7:$E$770=H$6)*('Throughout Midwifery Care'!$C$7:$C$770&gt;=Lists!$AE6)*('Throughout Midwifery Care'!$C$7:$C$770&lt;=Lists!$AF6))</f>
        <v>0</v>
      </c>
      <c r="I12" s="200">
        <f t="shared" si="1"/>
        <v>0</v>
      </c>
      <c r="J12" s="164">
        <f>SUMPRODUCT(('Throughout Midwifery Care'!$F$7:$F$770=J$6)*('Throughout Midwifery Care'!$C$7:$C$770&gt;=Lists!$AE6)*('Throughout Midwifery Care'!$C$7:$C$770&lt;=Lists!$AF6))</f>
        <v>0</v>
      </c>
      <c r="K12" s="165">
        <f>SUMPRODUCT(('Throughout Midwifery Care'!$F$7:$F$770=K$6)*('Throughout Midwifery Care'!$C$7:$C$770&gt;=Lists!$AE6)*('Throughout Midwifery Care'!$C$7:$C$770&lt;=Lists!$AF6))</f>
        <v>0</v>
      </c>
      <c r="L12" s="165">
        <f>SUMPRODUCT(('Throughout Midwifery Care'!$F$7:$F$770=L$6)*('Throughout Midwifery Care'!$C$7:$C$770&gt;=Lists!$AE6)*('Throughout Midwifery Care'!$C$7:$C$770&lt;=Lists!$AF6))</f>
        <v>0</v>
      </c>
      <c r="M12" s="166">
        <f>SUMPRODUCT(('Throughout Midwifery Care'!$F$7:$F$770=M$6)*('Throughout Midwifery Care'!$C$7:$C$770&gt;=Lists!$AE6)*('Throughout Midwifery Care'!$C$7:$C$770&lt;=Lists!$AF6))</f>
        <v>0</v>
      </c>
      <c r="N12" s="207">
        <f t="shared" si="3"/>
        <v>0</v>
      </c>
      <c r="O12" s="164">
        <f>SUMPRODUCT(('Throughout Midwifery Care'!$G$7:$G$770=O$6)*('Throughout Midwifery Care'!$C$7:$C$770&gt;=Lists!$AE6)*('Throughout Midwifery Care'!$C$7:$C$770&lt;=Lists!$AF6))</f>
        <v>0</v>
      </c>
      <c r="P12" s="165">
        <f>SUMPRODUCT(('Throughout Midwifery Care'!$G$7:$G$770=P$6)*('Throughout Midwifery Care'!$C$7:$C$770&gt;=Lists!$AE6)*('Throughout Midwifery Care'!$C$7:$C$770&lt;=Lists!$AF6))</f>
        <v>0</v>
      </c>
      <c r="Q12" s="165">
        <f>SUMPRODUCT(('Throughout Midwifery Care'!$G$7:$G$770=Q$6)*('Throughout Midwifery Care'!$C$7:$C$770&gt;=Lists!$AE6)*('Throughout Midwifery Care'!$C$7:$C$770&lt;=Lists!$AF6))</f>
        <v>0</v>
      </c>
      <c r="R12" s="166">
        <f>SUMPRODUCT(('Throughout Midwifery Care'!$G$7:$G$770=R$6)*('Throughout Midwifery Care'!$C$7:$C$770&gt;=Lists!$AE6)*('Throughout Midwifery Care'!$C$7:$C$770&lt;=Lists!$AF6))</f>
        <v>0</v>
      </c>
      <c r="S12" s="178">
        <f t="shared" si="4"/>
        <v>0</v>
      </c>
      <c r="T12" s="164">
        <f>SUMPRODUCT(('Throughout Midwifery Care'!$H$7:$H$770=T$6)*('Throughout Midwifery Care'!$C$7:$C$770&gt;=Lists!$AE6)*('Throughout Midwifery Care'!$C$7:$C$770&lt;=Lists!$AF6))</f>
        <v>0</v>
      </c>
      <c r="U12" s="165">
        <f>SUMPRODUCT(('Throughout Midwifery Care'!$H$7:$H$770=U$6)*('Throughout Midwifery Care'!$C$7:$C$770&gt;=Lists!$AE6)*('Throughout Midwifery Care'!$C$7:$C$770&lt;=Lists!$AF6))</f>
        <v>0</v>
      </c>
      <c r="V12" s="166">
        <f>SUMPRODUCT(('Throughout Midwifery Care'!$H$7:$H$770=V$6)*('Throughout Midwifery Care'!$C$7:$C$770&gt;=Lists!$AE6)*('Throughout Midwifery Care'!$C$7:$C$770&lt;=Lists!$AF6))</f>
        <v>0</v>
      </c>
      <c r="W12" s="178">
        <f t="shared" si="5"/>
        <v>0</v>
      </c>
      <c r="X12" s="164">
        <f>SUMPRODUCT(('Throughout Midwifery Care'!$I$7:$I$770=X$6)*('Throughout Midwifery Care'!$C$7:$C$770&gt;=Lists!$AE6)*('Throughout Midwifery Care'!$C$7:$C$770&lt;=Lists!$AF6))</f>
        <v>0</v>
      </c>
      <c r="Y12" s="165">
        <f>SUMPRODUCT(('Throughout Midwifery Care'!$I$7:$I$770=Y$6)*('Throughout Midwifery Care'!$C$7:$C$770&gt;=Lists!$AE6)*('Throughout Midwifery Care'!$C$7:$C$770&lt;=Lists!$AF6))</f>
        <v>0</v>
      </c>
      <c r="Z12" s="166">
        <f>SUMPRODUCT(('Throughout Midwifery Care'!$I$7:$I$770=Z$6)*('Throughout Midwifery Care'!$C$7:$C$770&gt;=Lists!$AE6)*('Throughout Midwifery Care'!$C$7:$C$770&lt;=Lists!$AF6))</f>
        <v>0</v>
      </c>
      <c r="AA12" s="178">
        <f t="shared" si="6"/>
        <v>0</v>
      </c>
      <c r="AB12" s="164">
        <f>SUMPRODUCT(('Throughout Midwifery Care'!$J$7:$J$770=AB$6)*('Throughout Midwifery Care'!$C$7:$C$770&gt;=Lists!$AE6)*('Throughout Midwifery Care'!$C$7:$C$770&lt;=Lists!$AF6))</f>
        <v>0</v>
      </c>
      <c r="AC12" s="165">
        <f>SUMPRODUCT(('Throughout Midwifery Care'!$J$7:$J$770=AC$6)*('Throughout Midwifery Care'!$C$7:$C$770&gt;=Lists!$AE6)*('Throughout Midwifery Care'!$C$7:$C$770&lt;=Lists!$AF6))</f>
        <v>0</v>
      </c>
      <c r="AD12" s="166">
        <f>SUMPRODUCT(('Throughout Midwifery Care'!$J$7:$J$770=AD$6)*('Throughout Midwifery Care'!$C$7:$C$770&gt;=Lists!$AE6)*('Throughout Midwifery Care'!$C$7:$C$770&lt;=Lists!$AF6))</f>
        <v>0</v>
      </c>
      <c r="AE12" s="178">
        <f t="shared" si="7"/>
        <v>0</v>
      </c>
      <c r="AF12" s="183">
        <f t="shared" si="2"/>
        <v>0</v>
      </c>
      <c r="AH12" s="15"/>
      <c r="AI12" s="15"/>
      <c r="AJ12" s="15"/>
      <c r="AK12" s="15"/>
      <c r="AL12" s="15"/>
      <c r="AM12" s="15"/>
      <c r="AN12" s="16"/>
      <c r="AO12" s="15"/>
      <c r="AP12" s="15"/>
      <c r="AQ12" s="15"/>
      <c r="AR12" s="15"/>
    </row>
    <row r="13" spans="1:46" ht="15" customHeight="1" x14ac:dyDescent="0.35">
      <c r="A13" s="570">
        <v>45901</v>
      </c>
      <c r="B13" s="175">
        <f>SUMPRODUCT(('Throughout Midwifery Care'!$D$7:$D$770=B$6)*('Throughout Midwifery Care'!$C$7:$C$770&gt;=Lists!$AE7)*('Throughout Midwifery Care'!$C$7:$C$770&lt;=Lists!$AF7))</f>
        <v>0</v>
      </c>
      <c r="C13" s="165">
        <f>SUMPRODUCT(('Throughout Midwifery Care'!$D$7:$D$770=C$6)*('Throughout Midwifery Care'!$C$7:$C$770&gt;=Lists!$AE7)*('Throughout Midwifery Care'!$C$7:$C$770&lt;=Lists!$AF7))</f>
        <v>0</v>
      </c>
      <c r="D13" s="166">
        <f>SUMPRODUCT(('Throughout Midwifery Care'!$D$7:$D$770=D$6)*('Throughout Midwifery Care'!$C$7:$C$770&gt;=Lists!$AE7)*('Throughout Midwifery Care'!$C$7:$C$770&lt;=Lists!$AF7))</f>
        <v>0</v>
      </c>
      <c r="E13" s="200">
        <f t="shared" si="0"/>
        <v>0</v>
      </c>
      <c r="F13" s="164">
        <f>SUMPRODUCT(('Throughout Midwifery Care'!$E$7:$E$770=F$6)*('Throughout Midwifery Care'!$C$7:$C$770&gt;=Lists!$AE7)*('Throughout Midwifery Care'!$C$7:$C$770&lt;=Lists!$AF7))</f>
        <v>0</v>
      </c>
      <c r="G13" s="165">
        <f>SUMPRODUCT(('Throughout Midwifery Care'!$E$7:$E$770=G$6)*('Throughout Midwifery Care'!$C$7:$C$770&gt;=Lists!$AE7)*('Throughout Midwifery Care'!$C$7:$C$770&lt;=Lists!$AF7))</f>
        <v>0</v>
      </c>
      <c r="H13" s="166">
        <f>SUMPRODUCT(('Throughout Midwifery Care'!$E$7:$E$770=H$6)*('Throughout Midwifery Care'!$C$7:$C$770&gt;=Lists!$AE7)*('Throughout Midwifery Care'!$C$7:$C$770&lt;=Lists!$AF7))</f>
        <v>0</v>
      </c>
      <c r="I13" s="200">
        <f t="shared" si="1"/>
        <v>0</v>
      </c>
      <c r="J13" s="164">
        <f>SUMPRODUCT(('Throughout Midwifery Care'!$F$7:$F$770=J$6)*('Throughout Midwifery Care'!$C$7:$C$770&gt;=Lists!$AE7)*('Throughout Midwifery Care'!$C$7:$C$770&lt;=Lists!$AF7))</f>
        <v>0</v>
      </c>
      <c r="K13" s="165">
        <f>SUMPRODUCT(('Throughout Midwifery Care'!$F$7:$F$770=K$6)*('Throughout Midwifery Care'!$C$7:$C$770&gt;=Lists!$AE7)*('Throughout Midwifery Care'!$C$7:$C$770&lt;=Lists!$AF7))</f>
        <v>0</v>
      </c>
      <c r="L13" s="165">
        <f>SUMPRODUCT(('Throughout Midwifery Care'!$F$7:$F$770=L$6)*('Throughout Midwifery Care'!$C$7:$C$770&gt;=Lists!$AE7)*('Throughout Midwifery Care'!$C$7:$C$770&lt;=Lists!$AF7))</f>
        <v>0</v>
      </c>
      <c r="M13" s="166">
        <f>SUMPRODUCT(('Throughout Midwifery Care'!$F$7:$F$770=M$6)*('Throughout Midwifery Care'!$C$7:$C$770&gt;=Lists!$AE7)*('Throughout Midwifery Care'!$C$7:$C$770&lt;=Lists!$AF7))</f>
        <v>0</v>
      </c>
      <c r="N13" s="207">
        <f t="shared" si="3"/>
        <v>0</v>
      </c>
      <c r="O13" s="164">
        <f>SUMPRODUCT(('Throughout Midwifery Care'!$G$7:$G$770=O$6)*('Throughout Midwifery Care'!$C$7:$C$770&gt;=Lists!$AE7)*('Throughout Midwifery Care'!$C$7:$C$770&lt;=Lists!$AF7))</f>
        <v>0</v>
      </c>
      <c r="P13" s="165">
        <f>SUMPRODUCT(('Throughout Midwifery Care'!$G$7:$G$770=P$6)*('Throughout Midwifery Care'!$C$7:$C$770&gt;=Lists!$AE7)*('Throughout Midwifery Care'!$C$7:$C$770&lt;=Lists!$AF7))</f>
        <v>0</v>
      </c>
      <c r="Q13" s="165">
        <f>SUMPRODUCT(('Throughout Midwifery Care'!$G$7:$G$770=Q$6)*('Throughout Midwifery Care'!$C$7:$C$770&gt;=Lists!$AE7)*('Throughout Midwifery Care'!$C$7:$C$770&lt;=Lists!$AF7))</f>
        <v>0</v>
      </c>
      <c r="R13" s="166">
        <f>SUMPRODUCT(('Throughout Midwifery Care'!$G$7:$G$770=R$6)*('Throughout Midwifery Care'!$C$7:$C$770&gt;=Lists!$AE7)*('Throughout Midwifery Care'!$C$7:$C$770&lt;=Lists!$AF7))</f>
        <v>0</v>
      </c>
      <c r="S13" s="178">
        <f t="shared" si="4"/>
        <v>0</v>
      </c>
      <c r="T13" s="164">
        <f>SUMPRODUCT(('Throughout Midwifery Care'!$H$7:$H$770=T$6)*('Throughout Midwifery Care'!$C$7:$C$770&gt;=Lists!$AE7)*('Throughout Midwifery Care'!$C$7:$C$770&lt;=Lists!$AF7))</f>
        <v>0</v>
      </c>
      <c r="U13" s="165">
        <f>SUMPRODUCT(('Throughout Midwifery Care'!$H$7:$H$770=U$6)*('Throughout Midwifery Care'!$C$7:$C$770&gt;=Lists!$AE7)*('Throughout Midwifery Care'!$C$7:$C$770&lt;=Lists!$AF7))</f>
        <v>0</v>
      </c>
      <c r="V13" s="166">
        <f>SUMPRODUCT(('Throughout Midwifery Care'!$H$7:$H$770=V$6)*('Throughout Midwifery Care'!$C$7:$C$770&gt;=Lists!$AE7)*('Throughout Midwifery Care'!$C$7:$C$770&lt;=Lists!$AF7))</f>
        <v>0</v>
      </c>
      <c r="W13" s="178">
        <f t="shared" si="5"/>
        <v>0</v>
      </c>
      <c r="X13" s="164">
        <f>SUMPRODUCT(('Throughout Midwifery Care'!$I$7:$I$770=X$6)*('Throughout Midwifery Care'!$C$7:$C$770&gt;=Lists!$AE7)*('Throughout Midwifery Care'!$C$7:$C$770&lt;=Lists!$AF7))</f>
        <v>0</v>
      </c>
      <c r="Y13" s="165">
        <f>SUMPRODUCT(('Throughout Midwifery Care'!$I$7:$I$770=Y$6)*('Throughout Midwifery Care'!$C$7:$C$770&gt;=Lists!$AE7)*('Throughout Midwifery Care'!$C$7:$C$770&lt;=Lists!$AF7))</f>
        <v>0</v>
      </c>
      <c r="Z13" s="166">
        <f>SUMPRODUCT(('Throughout Midwifery Care'!$I$7:$I$770=Z$6)*('Throughout Midwifery Care'!$C$7:$C$770&gt;=Lists!$AE7)*('Throughout Midwifery Care'!$C$7:$C$770&lt;=Lists!$AF7))</f>
        <v>0</v>
      </c>
      <c r="AA13" s="178">
        <f t="shared" si="6"/>
        <v>0</v>
      </c>
      <c r="AB13" s="164">
        <f>SUMPRODUCT(('Throughout Midwifery Care'!$J$7:$J$770=AB$6)*('Throughout Midwifery Care'!$C$7:$C$770&gt;=Lists!$AE7)*('Throughout Midwifery Care'!$C$7:$C$770&lt;=Lists!$AF7))</f>
        <v>0</v>
      </c>
      <c r="AC13" s="165">
        <f>SUMPRODUCT(('Throughout Midwifery Care'!$J$7:$J$770=AC$6)*('Throughout Midwifery Care'!$C$7:$C$770&gt;=Lists!$AE7)*('Throughout Midwifery Care'!$C$7:$C$770&lt;=Lists!$AF7))</f>
        <v>0</v>
      </c>
      <c r="AD13" s="166">
        <f>SUMPRODUCT(('Throughout Midwifery Care'!$J$7:$J$770=AD$6)*('Throughout Midwifery Care'!$C$7:$C$770&gt;=Lists!$AE7)*('Throughout Midwifery Care'!$C$7:$C$770&lt;=Lists!$AF7))</f>
        <v>0</v>
      </c>
      <c r="AE13" s="178">
        <f t="shared" si="7"/>
        <v>0</v>
      </c>
      <c r="AF13" s="183">
        <f t="shared" si="2"/>
        <v>0</v>
      </c>
      <c r="AH13" s="15"/>
      <c r="AI13" s="15"/>
      <c r="AJ13" s="15"/>
      <c r="AK13" s="15"/>
      <c r="AL13" s="15"/>
      <c r="AM13" s="15"/>
      <c r="AN13" s="16"/>
      <c r="AO13" s="15"/>
      <c r="AP13" s="15"/>
      <c r="AQ13" s="15"/>
      <c r="AR13" s="15"/>
    </row>
    <row r="14" spans="1:46" ht="15" customHeight="1" x14ac:dyDescent="0.35">
      <c r="A14" s="570">
        <v>45931</v>
      </c>
      <c r="B14" s="175">
        <f>SUMPRODUCT(('Throughout Midwifery Care'!$D$7:$D$770=B$6)*('Throughout Midwifery Care'!$C$7:$C$770&gt;=Lists!$AE8)*('Throughout Midwifery Care'!$C$7:$C$770&lt;=Lists!$AF8))</f>
        <v>0</v>
      </c>
      <c r="C14" s="165">
        <f>SUMPRODUCT(('Throughout Midwifery Care'!$D$7:$D$770=C$6)*('Throughout Midwifery Care'!$C$7:$C$770&gt;=Lists!$AE8)*('Throughout Midwifery Care'!$C$7:$C$770&lt;=Lists!$AF8))</f>
        <v>0</v>
      </c>
      <c r="D14" s="166">
        <f>SUMPRODUCT(('Throughout Midwifery Care'!$D$7:$D$770=D$6)*('Throughout Midwifery Care'!$C$7:$C$770&gt;=Lists!$AE8)*('Throughout Midwifery Care'!$C$7:$C$770&lt;=Lists!$AF8))</f>
        <v>0</v>
      </c>
      <c r="E14" s="200">
        <f t="shared" si="0"/>
        <v>0</v>
      </c>
      <c r="F14" s="164">
        <f>SUMPRODUCT(('Throughout Midwifery Care'!$E$7:$E$770=F$6)*('Throughout Midwifery Care'!$C$7:$C$770&gt;=Lists!$AE8)*('Throughout Midwifery Care'!$C$7:$C$770&lt;=Lists!$AF8))</f>
        <v>0</v>
      </c>
      <c r="G14" s="165">
        <f>SUMPRODUCT(('Throughout Midwifery Care'!$E$7:$E$770=G$6)*('Throughout Midwifery Care'!$C$7:$C$770&gt;=Lists!$AE8)*('Throughout Midwifery Care'!$C$7:$C$770&lt;=Lists!$AF8))</f>
        <v>0</v>
      </c>
      <c r="H14" s="166">
        <f>SUMPRODUCT(('Throughout Midwifery Care'!$E$7:$E$770=H$6)*('Throughout Midwifery Care'!$C$7:$C$770&gt;=Lists!$AE8)*('Throughout Midwifery Care'!$C$7:$C$770&lt;=Lists!$AF8))</f>
        <v>0</v>
      </c>
      <c r="I14" s="200">
        <f t="shared" si="1"/>
        <v>0</v>
      </c>
      <c r="J14" s="164">
        <f>SUMPRODUCT(('Throughout Midwifery Care'!$F$7:$F$770=J$6)*('Throughout Midwifery Care'!$C$7:$C$770&gt;=Lists!$AE8)*('Throughout Midwifery Care'!$C$7:$C$770&lt;=Lists!$AF8))</f>
        <v>0</v>
      </c>
      <c r="K14" s="165">
        <f>SUMPRODUCT(('Throughout Midwifery Care'!$F$7:$F$770=K$6)*('Throughout Midwifery Care'!$C$7:$C$770&gt;=Lists!$AE8)*('Throughout Midwifery Care'!$C$7:$C$770&lt;=Lists!$AF8))</f>
        <v>0</v>
      </c>
      <c r="L14" s="165">
        <f>SUMPRODUCT(('Throughout Midwifery Care'!$F$7:$F$770=L$6)*('Throughout Midwifery Care'!$C$7:$C$770&gt;=Lists!$AE8)*('Throughout Midwifery Care'!$C$7:$C$770&lt;=Lists!$AF8))</f>
        <v>0</v>
      </c>
      <c r="M14" s="166">
        <f>SUMPRODUCT(('Throughout Midwifery Care'!$F$7:$F$770=M$6)*('Throughout Midwifery Care'!$C$7:$C$770&gt;=Lists!$AE8)*('Throughout Midwifery Care'!$C$7:$C$770&lt;=Lists!$AF8))</f>
        <v>0</v>
      </c>
      <c r="N14" s="207">
        <f t="shared" si="3"/>
        <v>0</v>
      </c>
      <c r="O14" s="164">
        <f>SUMPRODUCT(('Throughout Midwifery Care'!$G$7:$G$770=O$6)*('Throughout Midwifery Care'!$C$7:$C$770&gt;=Lists!$AE8)*('Throughout Midwifery Care'!$C$7:$C$770&lt;=Lists!$AF8))</f>
        <v>0</v>
      </c>
      <c r="P14" s="165">
        <f>SUMPRODUCT(('Throughout Midwifery Care'!$G$7:$G$770=P$6)*('Throughout Midwifery Care'!$C$7:$C$770&gt;=Lists!$AE8)*('Throughout Midwifery Care'!$C$7:$C$770&lt;=Lists!$AF8))</f>
        <v>0</v>
      </c>
      <c r="Q14" s="165">
        <f>SUMPRODUCT(('Throughout Midwifery Care'!$G$7:$G$770=Q$6)*('Throughout Midwifery Care'!$C$7:$C$770&gt;=Lists!$AE8)*('Throughout Midwifery Care'!$C$7:$C$770&lt;=Lists!$AF8))</f>
        <v>0</v>
      </c>
      <c r="R14" s="166">
        <f>SUMPRODUCT(('Throughout Midwifery Care'!$G$7:$G$770=R$6)*('Throughout Midwifery Care'!$C$7:$C$770&gt;=Lists!$AE8)*('Throughout Midwifery Care'!$C$7:$C$770&lt;=Lists!$AF8))</f>
        <v>0</v>
      </c>
      <c r="S14" s="178">
        <f t="shared" si="4"/>
        <v>0</v>
      </c>
      <c r="T14" s="164">
        <f>SUMPRODUCT(('Throughout Midwifery Care'!$H$7:$H$770=T$6)*('Throughout Midwifery Care'!$C$7:$C$770&gt;=Lists!$AE8)*('Throughout Midwifery Care'!$C$7:$C$770&lt;=Lists!$AF8))</f>
        <v>0</v>
      </c>
      <c r="U14" s="165">
        <f>SUMPRODUCT(('Throughout Midwifery Care'!$H$7:$H$770=U$6)*('Throughout Midwifery Care'!$C$7:$C$770&gt;=Lists!$AE8)*('Throughout Midwifery Care'!$C$7:$C$770&lt;=Lists!$AF8))</f>
        <v>0</v>
      </c>
      <c r="V14" s="166">
        <f>SUMPRODUCT(('Throughout Midwifery Care'!$H$7:$H$770=V$6)*('Throughout Midwifery Care'!$C$7:$C$770&gt;=Lists!$AE8)*('Throughout Midwifery Care'!$C$7:$C$770&lt;=Lists!$AF8))</f>
        <v>0</v>
      </c>
      <c r="W14" s="178">
        <f t="shared" si="5"/>
        <v>0</v>
      </c>
      <c r="X14" s="164">
        <f>SUMPRODUCT(('Throughout Midwifery Care'!$I$7:$I$770=X$6)*('Throughout Midwifery Care'!$C$7:$C$770&gt;=Lists!$AE8)*('Throughout Midwifery Care'!$C$7:$C$770&lt;=Lists!$AF8))</f>
        <v>0</v>
      </c>
      <c r="Y14" s="165">
        <f>SUMPRODUCT(('Throughout Midwifery Care'!$I$7:$I$770=Y$6)*('Throughout Midwifery Care'!$C$7:$C$770&gt;=Lists!$AE8)*('Throughout Midwifery Care'!$C$7:$C$770&lt;=Lists!$AF8))</f>
        <v>0</v>
      </c>
      <c r="Z14" s="166">
        <f>SUMPRODUCT(('Throughout Midwifery Care'!$I$7:$I$770=Z$6)*('Throughout Midwifery Care'!$C$7:$C$770&gt;=Lists!$AE8)*('Throughout Midwifery Care'!$C$7:$C$770&lt;=Lists!$AF8))</f>
        <v>0</v>
      </c>
      <c r="AA14" s="178">
        <f t="shared" si="6"/>
        <v>0</v>
      </c>
      <c r="AB14" s="164">
        <f>SUMPRODUCT(('Throughout Midwifery Care'!$J$7:$J$770=AB$6)*('Throughout Midwifery Care'!$C$7:$C$770&gt;=Lists!$AE8)*('Throughout Midwifery Care'!$C$7:$C$770&lt;=Lists!$AF8))</f>
        <v>0</v>
      </c>
      <c r="AC14" s="165">
        <f>SUMPRODUCT(('Throughout Midwifery Care'!$J$7:$J$770=AC$6)*('Throughout Midwifery Care'!$C$7:$C$770&gt;=Lists!$AE8)*('Throughout Midwifery Care'!$C$7:$C$770&lt;=Lists!$AF8))</f>
        <v>0</v>
      </c>
      <c r="AD14" s="166">
        <f>SUMPRODUCT(('Throughout Midwifery Care'!$J$7:$J$770=AD$6)*('Throughout Midwifery Care'!$C$7:$C$770&gt;=Lists!$AE8)*('Throughout Midwifery Care'!$C$7:$C$770&lt;=Lists!$AF8))</f>
        <v>0</v>
      </c>
      <c r="AE14" s="178">
        <f t="shared" si="7"/>
        <v>0</v>
      </c>
      <c r="AF14" s="183">
        <f t="shared" si="2"/>
        <v>0</v>
      </c>
      <c r="AH14" s="15"/>
      <c r="AI14" s="15"/>
      <c r="AJ14" s="15"/>
      <c r="AK14" s="15"/>
      <c r="AL14" s="15"/>
      <c r="AM14" s="15"/>
      <c r="AN14" s="16"/>
      <c r="AO14" s="15"/>
      <c r="AP14" s="15"/>
      <c r="AQ14" s="15"/>
      <c r="AR14" s="15"/>
    </row>
    <row r="15" spans="1:46" ht="15" customHeight="1" x14ac:dyDescent="0.35">
      <c r="A15" s="570">
        <v>45962</v>
      </c>
      <c r="B15" s="175">
        <f>SUMPRODUCT(('Throughout Midwifery Care'!$D$7:$D$770=B$6)*('Throughout Midwifery Care'!$C$7:$C$770&gt;=Lists!$AE9)*('Throughout Midwifery Care'!$C$7:$C$770&lt;=Lists!$AF9))</f>
        <v>0</v>
      </c>
      <c r="C15" s="165">
        <f>SUMPRODUCT(('Throughout Midwifery Care'!$D$7:$D$770=C$6)*('Throughout Midwifery Care'!$C$7:$C$770&gt;=Lists!$AE9)*('Throughout Midwifery Care'!$C$7:$C$770&lt;=Lists!$AF9))</f>
        <v>0</v>
      </c>
      <c r="D15" s="166">
        <f>SUMPRODUCT(('Throughout Midwifery Care'!$D$7:$D$770=D$6)*('Throughout Midwifery Care'!$C$7:$C$770&gt;=Lists!$AE9)*('Throughout Midwifery Care'!$C$7:$C$770&lt;=Lists!$AF9))</f>
        <v>0</v>
      </c>
      <c r="E15" s="200">
        <f t="shared" si="0"/>
        <v>0</v>
      </c>
      <c r="F15" s="164">
        <f>SUMPRODUCT(('Throughout Midwifery Care'!$E$7:$E$770=F$6)*('Throughout Midwifery Care'!$C$7:$C$770&gt;=Lists!$AE9)*('Throughout Midwifery Care'!$C$7:$C$770&lt;=Lists!$AF9))</f>
        <v>0</v>
      </c>
      <c r="G15" s="165">
        <f>SUMPRODUCT(('Throughout Midwifery Care'!$E$7:$E$770=G$6)*('Throughout Midwifery Care'!$C$7:$C$770&gt;=Lists!$AE9)*('Throughout Midwifery Care'!$C$7:$C$770&lt;=Lists!$AF9))</f>
        <v>0</v>
      </c>
      <c r="H15" s="166">
        <f>SUMPRODUCT(('Throughout Midwifery Care'!$E$7:$E$770=H$6)*('Throughout Midwifery Care'!$C$7:$C$770&gt;=Lists!$AE9)*('Throughout Midwifery Care'!$C$7:$C$770&lt;=Lists!$AF9))</f>
        <v>0</v>
      </c>
      <c r="I15" s="200">
        <f t="shared" si="1"/>
        <v>0</v>
      </c>
      <c r="J15" s="164">
        <f>SUMPRODUCT(('Throughout Midwifery Care'!$F$7:$F$770=J$6)*('Throughout Midwifery Care'!$C$7:$C$770&gt;=Lists!$AE9)*('Throughout Midwifery Care'!$C$7:$C$770&lt;=Lists!$AF9))</f>
        <v>0</v>
      </c>
      <c r="K15" s="165">
        <f>SUMPRODUCT(('Throughout Midwifery Care'!$F$7:$F$770=K$6)*('Throughout Midwifery Care'!$C$7:$C$770&gt;=Lists!$AE9)*('Throughout Midwifery Care'!$C$7:$C$770&lt;=Lists!$AF9))</f>
        <v>0</v>
      </c>
      <c r="L15" s="165">
        <f>SUMPRODUCT(('Throughout Midwifery Care'!$F$7:$F$770=L$6)*('Throughout Midwifery Care'!$C$7:$C$770&gt;=Lists!$AE9)*('Throughout Midwifery Care'!$C$7:$C$770&lt;=Lists!$AF9))</f>
        <v>0</v>
      </c>
      <c r="M15" s="166">
        <f>SUMPRODUCT(('Throughout Midwifery Care'!$F$7:$F$770=M$6)*('Throughout Midwifery Care'!$C$7:$C$770&gt;=Lists!$AE9)*('Throughout Midwifery Care'!$C$7:$C$770&lt;=Lists!$AF9))</f>
        <v>0</v>
      </c>
      <c r="N15" s="207">
        <f t="shared" si="3"/>
        <v>0</v>
      </c>
      <c r="O15" s="164">
        <f>SUMPRODUCT(('Throughout Midwifery Care'!$G$7:$G$770=O$6)*('Throughout Midwifery Care'!$C$7:$C$770&gt;=Lists!$AE9)*('Throughout Midwifery Care'!$C$7:$C$770&lt;=Lists!$AF9))</f>
        <v>0</v>
      </c>
      <c r="P15" s="165">
        <f>SUMPRODUCT(('Throughout Midwifery Care'!$G$7:$G$770=P$6)*('Throughout Midwifery Care'!$C$7:$C$770&gt;=Lists!$AE9)*('Throughout Midwifery Care'!$C$7:$C$770&lt;=Lists!$AF9))</f>
        <v>0</v>
      </c>
      <c r="Q15" s="165">
        <f>SUMPRODUCT(('Throughout Midwifery Care'!$G$7:$G$770=Q$6)*('Throughout Midwifery Care'!$C$7:$C$770&gt;=Lists!$AE9)*('Throughout Midwifery Care'!$C$7:$C$770&lt;=Lists!$AF9))</f>
        <v>0</v>
      </c>
      <c r="R15" s="166">
        <f>SUMPRODUCT(('Throughout Midwifery Care'!$G$7:$G$770=R$6)*('Throughout Midwifery Care'!$C$7:$C$770&gt;=Lists!$AE9)*('Throughout Midwifery Care'!$C$7:$C$770&lt;=Lists!$AF9))</f>
        <v>0</v>
      </c>
      <c r="S15" s="178">
        <f t="shared" si="4"/>
        <v>0</v>
      </c>
      <c r="T15" s="164">
        <f>SUMPRODUCT(('Throughout Midwifery Care'!$H$7:$H$770=T$6)*('Throughout Midwifery Care'!$C$7:$C$770&gt;=Lists!$AE9)*('Throughout Midwifery Care'!$C$7:$C$770&lt;=Lists!$AF9))</f>
        <v>0</v>
      </c>
      <c r="U15" s="165">
        <f>SUMPRODUCT(('Throughout Midwifery Care'!$H$7:$H$770=U$6)*('Throughout Midwifery Care'!$C$7:$C$770&gt;=Lists!$AE9)*('Throughout Midwifery Care'!$C$7:$C$770&lt;=Lists!$AF9))</f>
        <v>0</v>
      </c>
      <c r="V15" s="166">
        <f>SUMPRODUCT(('Throughout Midwifery Care'!$H$7:$H$770=V$6)*('Throughout Midwifery Care'!$C$7:$C$770&gt;=Lists!$AE9)*('Throughout Midwifery Care'!$C$7:$C$770&lt;=Lists!$AF9))</f>
        <v>0</v>
      </c>
      <c r="W15" s="178">
        <f t="shared" si="5"/>
        <v>0</v>
      </c>
      <c r="X15" s="164">
        <f>SUMPRODUCT(('Throughout Midwifery Care'!$I$7:$I$770=X$6)*('Throughout Midwifery Care'!$C$7:$C$770&gt;=Lists!$AE9)*('Throughout Midwifery Care'!$C$7:$C$770&lt;=Lists!$AF9))</f>
        <v>0</v>
      </c>
      <c r="Y15" s="165">
        <f>SUMPRODUCT(('Throughout Midwifery Care'!$I$7:$I$770=Y$6)*('Throughout Midwifery Care'!$C$7:$C$770&gt;=Lists!$AE9)*('Throughout Midwifery Care'!$C$7:$C$770&lt;=Lists!$AF9))</f>
        <v>0</v>
      </c>
      <c r="Z15" s="166">
        <f>SUMPRODUCT(('Throughout Midwifery Care'!$I$7:$I$770=Z$6)*('Throughout Midwifery Care'!$C$7:$C$770&gt;=Lists!$AE9)*('Throughout Midwifery Care'!$C$7:$C$770&lt;=Lists!$AF9))</f>
        <v>0</v>
      </c>
      <c r="AA15" s="178">
        <f t="shared" si="6"/>
        <v>0</v>
      </c>
      <c r="AB15" s="164">
        <f>SUMPRODUCT(('Throughout Midwifery Care'!$J$7:$J$770=AB$6)*('Throughout Midwifery Care'!$C$7:$C$770&gt;=Lists!$AE9)*('Throughout Midwifery Care'!$C$7:$C$770&lt;=Lists!$AF9))</f>
        <v>0</v>
      </c>
      <c r="AC15" s="165">
        <f>SUMPRODUCT(('Throughout Midwifery Care'!$J$7:$J$770=AC$6)*('Throughout Midwifery Care'!$C$7:$C$770&gt;=Lists!$AE9)*('Throughout Midwifery Care'!$C$7:$C$770&lt;=Lists!$AF9))</f>
        <v>0</v>
      </c>
      <c r="AD15" s="166">
        <f>SUMPRODUCT(('Throughout Midwifery Care'!$J$7:$J$770=AD$6)*('Throughout Midwifery Care'!$C$7:$C$770&gt;=Lists!$AE9)*('Throughout Midwifery Care'!$C$7:$C$770&lt;=Lists!$AF9))</f>
        <v>0</v>
      </c>
      <c r="AE15" s="178">
        <f t="shared" si="7"/>
        <v>0</v>
      </c>
      <c r="AF15" s="183">
        <f t="shared" si="2"/>
        <v>0</v>
      </c>
      <c r="AH15" s="15"/>
      <c r="AI15" s="15"/>
      <c r="AJ15" s="15"/>
      <c r="AK15" s="15"/>
      <c r="AL15" s="15"/>
      <c r="AM15" s="15"/>
      <c r="AN15" s="16"/>
      <c r="AO15" s="15"/>
      <c r="AP15" s="15"/>
      <c r="AQ15" s="15"/>
      <c r="AR15" s="15"/>
    </row>
    <row r="16" spans="1:46" ht="15" customHeight="1" x14ac:dyDescent="0.35">
      <c r="A16" s="570">
        <v>45992</v>
      </c>
      <c r="B16" s="175">
        <f>SUMPRODUCT(('Throughout Midwifery Care'!$D$7:$D$770=B$6)*('Throughout Midwifery Care'!$C$7:$C$770&gt;=Lists!$AE10)*('Throughout Midwifery Care'!$C$7:$C$770&lt;=Lists!$AF10))</f>
        <v>0</v>
      </c>
      <c r="C16" s="165">
        <f>SUMPRODUCT(('Throughout Midwifery Care'!$D$7:$D$770=C$6)*('Throughout Midwifery Care'!$C$7:$C$770&gt;=Lists!$AE10)*('Throughout Midwifery Care'!$C$7:$C$770&lt;=Lists!$AF10))</f>
        <v>0</v>
      </c>
      <c r="D16" s="166">
        <f>SUMPRODUCT(('Throughout Midwifery Care'!$D$7:$D$770=D$6)*('Throughout Midwifery Care'!$C$7:$C$770&gt;=Lists!$AE10)*('Throughout Midwifery Care'!$C$7:$C$770&lt;=Lists!$AF10))</f>
        <v>0</v>
      </c>
      <c r="E16" s="200">
        <f t="shared" si="0"/>
        <v>0</v>
      </c>
      <c r="F16" s="164">
        <f>SUMPRODUCT(('Throughout Midwifery Care'!$E$7:$E$770=F$6)*('Throughout Midwifery Care'!$C$7:$C$770&gt;=Lists!$AE10)*('Throughout Midwifery Care'!$C$7:$C$770&lt;=Lists!$AF10))</f>
        <v>0</v>
      </c>
      <c r="G16" s="165">
        <f>SUMPRODUCT(('Throughout Midwifery Care'!$E$7:$E$770=G$6)*('Throughout Midwifery Care'!$C$7:$C$770&gt;=Lists!$AE10)*('Throughout Midwifery Care'!$C$7:$C$770&lt;=Lists!$AF10))</f>
        <v>0</v>
      </c>
      <c r="H16" s="166">
        <f>SUMPRODUCT(('Throughout Midwifery Care'!$E$7:$E$770=H$6)*('Throughout Midwifery Care'!$C$7:$C$770&gt;=Lists!$AE10)*('Throughout Midwifery Care'!$C$7:$C$770&lt;=Lists!$AF10))</f>
        <v>0</v>
      </c>
      <c r="I16" s="200">
        <f t="shared" si="1"/>
        <v>0</v>
      </c>
      <c r="J16" s="164">
        <f>SUMPRODUCT(('Throughout Midwifery Care'!$F$7:$F$770=J$6)*('Throughout Midwifery Care'!$C$7:$C$770&gt;=Lists!$AE10)*('Throughout Midwifery Care'!$C$7:$C$770&lt;=Lists!$AF10))</f>
        <v>0</v>
      </c>
      <c r="K16" s="165">
        <f>SUMPRODUCT(('Throughout Midwifery Care'!$F$7:$F$770=K$6)*('Throughout Midwifery Care'!$C$7:$C$770&gt;=Lists!$AE10)*('Throughout Midwifery Care'!$C$7:$C$770&lt;=Lists!$AF10))</f>
        <v>0</v>
      </c>
      <c r="L16" s="165">
        <f>SUMPRODUCT(('Throughout Midwifery Care'!$F$7:$F$770=L$6)*('Throughout Midwifery Care'!$C$7:$C$770&gt;=Lists!$AE10)*('Throughout Midwifery Care'!$C$7:$C$770&lt;=Lists!$AF10))</f>
        <v>0</v>
      </c>
      <c r="M16" s="166">
        <f>SUMPRODUCT(('Throughout Midwifery Care'!$F$7:$F$770=M$6)*('Throughout Midwifery Care'!$C$7:$C$770&gt;=Lists!$AE10)*('Throughout Midwifery Care'!$C$7:$C$770&lt;=Lists!$AF10))</f>
        <v>0</v>
      </c>
      <c r="N16" s="207">
        <f t="shared" si="3"/>
        <v>0</v>
      </c>
      <c r="O16" s="164">
        <f>SUMPRODUCT(('Throughout Midwifery Care'!$G$7:$G$770=O$6)*('Throughout Midwifery Care'!$C$7:$C$770&gt;=Lists!$AE10)*('Throughout Midwifery Care'!$C$7:$C$770&lt;=Lists!$AF10))</f>
        <v>0</v>
      </c>
      <c r="P16" s="165">
        <f>SUMPRODUCT(('Throughout Midwifery Care'!$G$7:$G$770=P$6)*('Throughout Midwifery Care'!$C$7:$C$770&gt;=Lists!$AE10)*('Throughout Midwifery Care'!$C$7:$C$770&lt;=Lists!$AF10))</f>
        <v>0</v>
      </c>
      <c r="Q16" s="165">
        <f>SUMPRODUCT(('Throughout Midwifery Care'!$G$7:$G$770=Q$6)*('Throughout Midwifery Care'!$C$7:$C$770&gt;=Lists!$AE10)*('Throughout Midwifery Care'!$C$7:$C$770&lt;=Lists!$AF10))</f>
        <v>0</v>
      </c>
      <c r="R16" s="166">
        <f>SUMPRODUCT(('Throughout Midwifery Care'!$G$7:$G$770=R$6)*('Throughout Midwifery Care'!$C$7:$C$770&gt;=Lists!$AE10)*('Throughout Midwifery Care'!$C$7:$C$770&lt;=Lists!$AF10))</f>
        <v>0</v>
      </c>
      <c r="S16" s="178">
        <f t="shared" si="4"/>
        <v>0</v>
      </c>
      <c r="T16" s="164">
        <f>SUMPRODUCT(('Throughout Midwifery Care'!$H$7:$H$770=T$6)*('Throughout Midwifery Care'!$C$7:$C$770&gt;=Lists!$AE10)*('Throughout Midwifery Care'!$C$7:$C$770&lt;=Lists!$AF10))</f>
        <v>0</v>
      </c>
      <c r="U16" s="165">
        <f>SUMPRODUCT(('Throughout Midwifery Care'!$H$7:$H$770=U$6)*('Throughout Midwifery Care'!$C$7:$C$770&gt;=Lists!$AE10)*('Throughout Midwifery Care'!$C$7:$C$770&lt;=Lists!$AF10))</f>
        <v>0</v>
      </c>
      <c r="V16" s="166">
        <f>SUMPRODUCT(('Throughout Midwifery Care'!$H$7:$H$770=V$6)*('Throughout Midwifery Care'!$C$7:$C$770&gt;=Lists!$AE10)*('Throughout Midwifery Care'!$C$7:$C$770&lt;=Lists!$AF10))</f>
        <v>0</v>
      </c>
      <c r="W16" s="178">
        <f t="shared" si="5"/>
        <v>0</v>
      </c>
      <c r="X16" s="164">
        <f>SUMPRODUCT(('Throughout Midwifery Care'!$I$7:$I$770=X$6)*('Throughout Midwifery Care'!$C$7:$C$770&gt;=Lists!$AE10)*('Throughout Midwifery Care'!$C$7:$C$770&lt;=Lists!$AF10))</f>
        <v>0</v>
      </c>
      <c r="Y16" s="165">
        <f>SUMPRODUCT(('Throughout Midwifery Care'!$I$7:$I$770=Y$6)*('Throughout Midwifery Care'!$C$7:$C$770&gt;=Lists!$AE10)*('Throughout Midwifery Care'!$C$7:$C$770&lt;=Lists!$AF10))</f>
        <v>0</v>
      </c>
      <c r="Z16" s="166">
        <f>SUMPRODUCT(('Throughout Midwifery Care'!$I$7:$I$770=Z$6)*('Throughout Midwifery Care'!$C$7:$C$770&gt;=Lists!$AE10)*('Throughout Midwifery Care'!$C$7:$C$770&lt;=Lists!$AF10))</f>
        <v>0</v>
      </c>
      <c r="AA16" s="178">
        <f t="shared" si="6"/>
        <v>0</v>
      </c>
      <c r="AB16" s="164">
        <f>SUMPRODUCT(('Throughout Midwifery Care'!$J$7:$J$770=AB$6)*('Throughout Midwifery Care'!$C$7:$C$770&gt;=Lists!$AE10)*('Throughout Midwifery Care'!$C$7:$C$770&lt;=Lists!$AF10))</f>
        <v>0</v>
      </c>
      <c r="AC16" s="165">
        <f>SUMPRODUCT(('Throughout Midwifery Care'!$J$7:$J$770=AC$6)*('Throughout Midwifery Care'!$C$7:$C$770&gt;=Lists!$AE10)*('Throughout Midwifery Care'!$C$7:$C$770&lt;=Lists!$AF10))</f>
        <v>0</v>
      </c>
      <c r="AD16" s="166">
        <f>SUMPRODUCT(('Throughout Midwifery Care'!$J$7:$J$770=AD$6)*('Throughout Midwifery Care'!$C$7:$C$770&gt;=Lists!$AE10)*('Throughout Midwifery Care'!$C$7:$C$770&lt;=Lists!$AF10))</f>
        <v>0</v>
      </c>
      <c r="AE16" s="178">
        <f t="shared" si="7"/>
        <v>0</v>
      </c>
      <c r="AF16" s="183">
        <f t="shared" si="2"/>
        <v>0</v>
      </c>
      <c r="AH16" s="15"/>
      <c r="AI16" s="15"/>
      <c r="AJ16" s="15"/>
      <c r="AK16" s="15"/>
      <c r="AL16" s="15"/>
      <c r="AM16" s="15"/>
      <c r="AN16" s="16"/>
      <c r="AO16" s="15"/>
      <c r="AP16" s="15"/>
      <c r="AQ16" s="15"/>
      <c r="AR16" s="15"/>
    </row>
    <row r="17" spans="1:44" ht="15" customHeight="1" x14ac:dyDescent="0.35">
      <c r="A17" s="570">
        <v>46023</v>
      </c>
      <c r="B17" s="175">
        <f>SUMPRODUCT(('Throughout Midwifery Care'!$D$7:$D$770=B$6)*('Throughout Midwifery Care'!$C$7:$C$770&gt;=Lists!$AE11)*('Throughout Midwifery Care'!$C$7:$C$770&lt;=Lists!$AF11))</f>
        <v>0</v>
      </c>
      <c r="C17" s="165">
        <f>SUMPRODUCT(('Throughout Midwifery Care'!$D$7:$D$770=C$6)*('Throughout Midwifery Care'!$C$7:$C$770&gt;=Lists!$AE11)*('Throughout Midwifery Care'!$C$7:$C$770&lt;=Lists!$AF11))</f>
        <v>0</v>
      </c>
      <c r="D17" s="166">
        <f>SUMPRODUCT(('Throughout Midwifery Care'!$D$7:$D$770=D$6)*('Throughout Midwifery Care'!$C$7:$C$770&gt;=Lists!$AE11)*('Throughout Midwifery Care'!$C$7:$C$770&lt;=Lists!$AF11))</f>
        <v>0</v>
      </c>
      <c r="E17" s="200">
        <f t="shared" si="0"/>
        <v>0</v>
      </c>
      <c r="F17" s="164">
        <f>SUMPRODUCT(('Throughout Midwifery Care'!$E$7:$E$770=F$6)*('Throughout Midwifery Care'!$C$7:$C$770&gt;=Lists!$AE11)*('Throughout Midwifery Care'!$C$7:$C$770&lt;=Lists!$AF11))</f>
        <v>0</v>
      </c>
      <c r="G17" s="165">
        <f>SUMPRODUCT(('Throughout Midwifery Care'!$E$7:$E$770=G$6)*('Throughout Midwifery Care'!$C$7:$C$770&gt;=Lists!$AE11)*('Throughout Midwifery Care'!$C$7:$C$770&lt;=Lists!$AF11))</f>
        <v>0</v>
      </c>
      <c r="H17" s="166">
        <f>SUMPRODUCT(('Throughout Midwifery Care'!$E$7:$E$770=H$6)*('Throughout Midwifery Care'!$C$7:$C$770&gt;=Lists!$AE11)*('Throughout Midwifery Care'!$C$7:$C$770&lt;=Lists!$AF11))</f>
        <v>0</v>
      </c>
      <c r="I17" s="200">
        <f t="shared" si="1"/>
        <v>0</v>
      </c>
      <c r="J17" s="164">
        <f>SUMPRODUCT(('Throughout Midwifery Care'!$F$7:$F$770=J$6)*('Throughout Midwifery Care'!$C$7:$C$770&gt;=Lists!$AE11)*('Throughout Midwifery Care'!$C$7:$C$770&lt;=Lists!$AF11))</f>
        <v>0</v>
      </c>
      <c r="K17" s="165">
        <f>SUMPRODUCT(('Throughout Midwifery Care'!$F$7:$F$770=K$6)*('Throughout Midwifery Care'!$C$7:$C$770&gt;=Lists!$AE11)*('Throughout Midwifery Care'!$C$7:$C$770&lt;=Lists!$AF11))</f>
        <v>0</v>
      </c>
      <c r="L17" s="165">
        <f>SUMPRODUCT(('Throughout Midwifery Care'!$F$7:$F$770=L$6)*('Throughout Midwifery Care'!$C$7:$C$770&gt;=Lists!$AE11)*('Throughout Midwifery Care'!$C$7:$C$770&lt;=Lists!$AF11))</f>
        <v>0</v>
      </c>
      <c r="M17" s="166">
        <f>SUMPRODUCT(('Throughout Midwifery Care'!$F$7:$F$770=M$6)*('Throughout Midwifery Care'!$C$7:$C$770&gt;=Lists!$AE11)*('Throughout Midwifery Care'!$C$7:$C$770&lt;=Lists!$AF11))</f>
        <v>0</v>
      </c>
      <c r="N17" s="207">
        <f t="shared" si="3"/>
        <v>0</v>
      </c>
      <c r="O17" s="164">
        <f>SUMPRODUCT(('Throughout Midwifery Care'!$G$7:$G$770=O$6)*('Throughout Midwifery Care'!$C$7:$C$770&gt;=Lists!$AE11)*('Throughout Midwifery Care'!$C$7:$C$770&lt;=Lists!$AF11))</f>
        <v>0</v>
      </c>
      <c r="P17" s="165">
        <f>SUMPRODUCT(('Throughout Midwifery Care'!$G$7:$G$770=P$6)*('Throughout Midwifery Care'!$C$7:$C$770&gt;=Lists!$AE11)*('Throughout Midwifery Care'!$C$7:$C$770&lt;=Lists!$AF11))</f>
        <v>0</v>
      </c>
      <c r="Q17" s="165">
        <f>SUMPRODUCT(('Throughout Midwifery Care'!$G$7:$G$770=Q$6)*('Throughout Midwifery Care'!$C$7:$C$770&gt;=Lists!$AE11)*('Throughout Midwifery Care'!$C$7:$C$770&lt;=Lists!$AF11))</f>
        <v>0</v>
      </c>
      <c r="R17" s="166">
        <f>SUMPRODUCT(('Throughout Midwifery Care'!$G$7:$G$770=R$6)*('Throughout Midwifery Care'!$C$7:$C$770&gt;=Lists!$AE11)*('Throughout Midwifery Care'!$C$7:$C$770&lt;=Lists!$AF11))</f>
        <v>0</v>
      </c>
      <c r="S17" s="178">
        <f t="shared" si="4"/>
        <v>0</v>
      </c>
      <c r="T17" s="164">
        <f>SUMPRODUCT(('Throughout Midwifery Care'!$H$7:$H$770=T$6)*('Throughout Midwifery Care'!$C$7:$C$770&gt;=Lists!$AE11)*('Throughout Midwifery Care'!$C$7:$C$770&lt;=Lists!$AF11))</f>
        <v>0</v>
      </c>
      <c r="U17" s="165">
        <f>SUMPRODUCT(('Throughout Midwifery Care'!$H$7:$H$770=U$6)*('Throughout Midwifery Care'!$C$7:$C$770&gt;=Lists!$AE11)*('Throughout Midwifery Care'!$C$7:$C$770&lt;=Lists!$AF11))</f>
        <v>0</v>
      </c>
      <c r="V17" s="166">
        <f>SUMPRODUCT(('Throughout Midwifery Care'!$H$7:$H$770=V$6)*('Throughout Midwifery Care'!$C$7:$C$770&gt;=Lists!$AE11)*('Throughout Midwifery Care'!$C$7:$C$770&lt;=Lists!$AF11))</f>
        <v>0</v>
      </c>
      <c r="W17" s="178">
        <f t="shared" si="5"/>
        <v>0</v>
      </c>
      <c r="X17" s="164">
        <f>SUMPRODUCT(('Throughout Midwifery Care'!$I$7:$I$770=X$6)*('Throughout Midwifery Care'!$C$7:$C$770&gt;=Lists!$AE11)*('Throughout Midwifery Care'!$C$7:$C$770&lt;=Lists!$AF11))</f>
        <v>0</v>
      </c>
      <c r="Y17" s="165">
        <f>SUMPRODUCT(('Throughout Midwifery Care'!$I$7:$I$770=Y$6)*('Throughout Midwifery Care'!$C$7:$C$770&gt;=Lists!$AE11)*('Throughout Midwifery Care'!$C$7:$C$770&lt;=Lists!$AF11))</f>
        <v>0</v>
      </c>
      <c r="Z17" s="166">
        <f>SUMPRODUCT(('Throughout Midwifery Care'!$I$7:$I$770=Z$6)*('Throughout Midwifery Care'!$C$7:$C$770&gt;=Lists!$AE11)*('Throughout Midwifery Care'!$C$7:$C$770&lt;=Lists!$AF11))</f>
        <v>0</v>
      </c>
      <c r="AA17" s="178">
        <f t="shared" si="6"/>
        <v>0</v>
      </c>
      <c r="AB17" s="164">
        <f>SUMPRODUCT(('Throughout Midwifery Care'!$J$7:$J$770=AB$6)*('Throughout Midwifery Care'!$C$7:$C$770&gt;=Lists!$AE11)*('Throughout Midwifery Care'!$C$7:$C$770&lt;=Lists!$AF11))</f>
        <v>0</v>
      </c>
      <c r="AC17" s="165">
        <f>SUMPRODUCT(('Throughout Midwifery Care'!$J$7:$J$770=AC$6)*('Throughout Midwifery Care'!$C$7:$C$770&gt;=Lists!$AE11)*('Throughout Midwifery Care'!$C$7:$C$770&lt;=Lists!$AF11))</f>
        <v>0</v>
      </c>
      <c r="AD17" s="166">
        <f>SUMPRODUCT(('Throughout Midwifery Care'!$J$7:$J$770=AD$6)*('Throughout Midwifery Care'!$C$7:$C$770&gt;=Lists!$AE11)*('Throughout Midwifery Care'!$C$7:$C$770&lt;=Lists!$AF11))</f>
        <v>0</v>
      </c>
      <c r="AE17" s="178">
        <f t="shared" si="7"/>
        <v>0</v>
      </c>
      <c r="AF17" s="183">
        <f t="shared" si="2"/>
        <v>0</v>
      </c>
      <c r="AH17" s="15"/>
      <c r="AI17" s="15"/>
      <c r="AJ17" s="15"/>
      <c r="AK17" s="15"/>
      <c r="AL17" s="15"/>
      <c r="AM17" s="15"/>
      <c r="AN17" s="16"/>
      <c r="AO17" s="15"/>
      <c r="AP17" s="15"/>
      <c r="AQ17" s="15"/>
      <c r="AR17" s="15"/>
    </row>
    <row r="18" spans="1:44" ht="15" customHeight="1" x14ac:dyDescent="0.35">
      <c r="A18" s="570">
        <v>46054</v>
      </c>
      <c r="B18" s="175">
        <f>SUMPRODUCT(('Throughout Midwifery Care'!$D$7:$D$770=B$6)*('Throughout Midwifery Care'!$C$7:$C$770&gt;=Lists!$AE12)*('Throughout Midwifery Care'!$C$7:$C$770&lt;=Lists!$AF12))</f>
        <v>0</v>
      </c>
      <c r="C18" s="165">
        <f>SUMPRODUCT(('Throughout Midwifery Care'!$D$7:$D$770=C$6)*('Throughout Midwifery Care'!$C$7:$C$770&gt;=Lists!$AE12)*('Throughout Midwifery Care'!$C$7:$C$770&lt;=Lists!$AF12))</f>
        <v>0</v>
      </c>
      <c r="D18" s="166">
        <f>SUMPRODUCT(('Throughout Midwifery Care'!$D$7:$D$770=D$6)*('Throughout Midwifery Care'!$C$7:$C$770&gt;=Lists!$AE12)*('Throughout Midwifery Care'!$C$7:$C$770&lt;=Lists!$AF12))</f>
        <v>0</v>
      </c>
      <c r="E18" s="200">
        <f t="shared" si="0"/>
        <v>0</v>
      </c>
      <c r="F18" s="164">
        <f>SUMPRODUCT(('Throughout Midwifery Care'!$E$7:$E$770=F$6)*('Throughout Midwifery Care'!$C$7:$C$770&gt;=Lists!$AE12)*('Throughout Midwifery Care'!$C$7:$C$770&lt;=Lists!$AF12))</f>
        <v>0</v>
      </c>
      <c r="G18" s="165">
        <f>SUMPRODUCT(('Throughout Midwifery Care'!$E$7:$E$770=G$6)*('Throughout Midwifery Care'!$C$7:$C$770&gt;=Lists!$AE12)*('Throughout Midwifery Care'!$C$7:$C$770&lt;=Lists!$AF12))</f>
        <v>0</v>
      </c>
      <c r="H18" s="166">
        <f>SUMPRODUCT(('Throughout Midwifery Care'!$E$7:$E$770=H$6)*('Throughout Midwifery Care'!$C$7:$C$770&gt;=Lists!$AE12)*('Throughout Midwifery Care'!$C$7:$C$770&lt;=Lists!$AF12))</f>
        <v>0</v>
      </c>
      <c r="I18" s="200">
        <f t="shared" si="1"/>
        <v>0</v>
      </c>
      <c r="J18" s="164">
        <f>SUMPRODUCT(('Throughout Midwifery Care'!$F$7:$F$770=J$6)*('Throughout Midwifery Care'!$C$7:$C$770&gt;=Lists!$AE12)*('Throughout Midwifery Care'!$C$7:$C$770&lt;=Lists!$AF12))</f>
        <v>0</v>
      </c>
      <c r="K18" s="165">
        <f>SUMPRODUCT(('Throughout Midwifery Care'!$F$7:$F$770=K$6)*('Throughout Midwifery Care'!$C$7:$C$770&gt;=Lists!$AE12)*('Throughout Midwifery Care'!$C$7:$C$770&lt;=Lists!$AF12))</f>
        <v>0</v>
      </c>
      <c r="L18" s="165">
        <f>SUMPRODUCT(('Throughout Midwifery Care'!$F$7:$F$770=L$6)*('Throughout Midwifery Care'!$C$7:$C$770&gt;=Lists!$AE12)*('Throughout Midwifery Care'!$C$7:$C$770&lt;=Lists!$AF12))</f>
        <v>0</v>
      </c>
      <c r="M18" s="166">
        <f>SUMPRODUCT(('Throughout Midwifery Care'!$F$7:$F$770=M$6)*('Throughout Midwifery Care'!$C$7:$C$770&gt;=Lists!$AE12)*('Throughout Midwifery Care'!$C$7:$C$770&lt;=Lists!$AF12))</f>
        <v>0</v>
      </c>
      <c r="N18" s="207">
        <f t="shared" si="3"/>
        <v>0</v>
      </c>
      <c r="O18" s="164">
        <f>SUMPRODUCT(('Throughout Midwifery Care'!$G$7:$G$770=O$6)*('Throughout Midwifery Care'!$C$7:$C$770&gt;=Lists!$AE12)*('Throughout Midwifery Care'!$C$7:$C$770&lt;=Lists!$AF12))</f>
        <v>0</v>
      </c>
      <c r="P18" s="165">
        <f>SUMPRODUCT(('Throughout Midwifery Care'!$G$7:$G$770=P$6)*('Throughout Midwifery Care'!$C$7:$C$770&gt;=Lists!$AE12)*('Throughout Midwifery Care'!$C$7:$C$770&lt;=Lists!$AF12))</f>
        <v>0</v>
      </c>
      <c r="Q18" s="165">
        <f>SUMPRODUCT(('Throughout Midwifery Care'!$G$7:$G$770=Q$6)*('Throughout Midwifery Care'!$C$7:$C$770&gt;=Lists!$AE12)*('Throughout Midwifery Care'!$C$7:$C$770&lt;=Lists!$AF12))</f>
        <v>0</v>
      </c>
      <c r="R18" s="166">
        <f>SUMPRODUCT(('Throughout Midwifery Care'!$G$7:$G$770=R$6)*('Throughout Midwifery Care'!$C$7:$C$770&gt;=Lists!$AE12)*('Throughout Midwifery Care'!$C$7:$C$770&lt;=Lists!$AF12))</f>
        <v>0</v>
      </c>
      <c r="S18" s="178">
        <f t="shared" si="4"/>
        <v>0</v>
      </c>
      <c r="T18" s="164">
        <f>SUMPRODUCT(('Throughout Midwifery Care'!$H$7:$H$770=T$6)*('Throughout Midwifery Care'!$C$7:$C$770&gt;=Lists!$AE12)*('Throughout Midwifery Care'!$C$7:$C$770&lt;=Lists!$AF12))</f>
        <v>0</v>
      </c>
      <c r="U18" s="165">
        <f>SUMPRODUCT(('Throughout Midwifery Care'!$H$7:$H$770=U$6)*('Throughout Midwifery Care'!$C$7:$C$770&gt;=Lists!$AE12)*('Throughout Midwifery Care'!$C$7:$C$770&lt;=Lists!$AF12))</f>
        <v>0</v>
      </c>
      <c r="V18" s="166">
        <f>SUMPRODUCT(('Throughout Midwifery Care'!$H$7:$H$770=V$6)*('Throughout Midwifery Care'!$C$7:$C$770&gt;=Lists!$AE12)*('Throughout Midwifery Care'!$C$7:$C$770&lt;=Lists!$AF12))</f>
        <v>0</v>
      </c>
      <c r="W18" s="178">
        <f t="shared" si="5"/>
        <v>0</v>
      </c>
      <c r="X18" s="164">
        <f>SUMPRODUCT(('Throughout Midwifery Care'!$I$7:$I$770=X$6)*('Throughout Midwifery Care'!$C$7:$C$770&gt;=Lists!$AE12)*('Throughout Midwifery Care'!$C$7:$C$770&lt;=Lists!$AF12))</f>
        <v>0</v>
      </c>
      <c r="Y18" s="165">
        <f>SUMPRODUCT(('Throughout Midwifery Care'!$I$7:$I$770=Y$6)*('Throughout Midwifery Care'!$C$7:$C$770&gt;=Lists!$AE12)*('Throughout Midwifery Care'!$C$7:$C$770&lt;=Lists!$AF12))</f>
        <v>0</v>
      </c>
      <c r="Z18" s="166">
        <f>SUMPRODUCT(('Throughout Midwifery Care'!$I$7:$I$770=Z$6)*('Throughout Midwifery Care'!$C$7:$C$770&gt;=Lists!$AE12)*('Throughout Midwifery Care'!$C$7:$C$770&lt;=Lists!$AF12))</f>
        <v>0</v>
      </c>
      <c r="AA18" s="178">
        <f t="shared" si="6"/>
        <v>0</v>
      </c>
      <c r="AB18" s="164">
        <f>SUMPRODUCT(('Throughout Midwifery Care'!$J$7:$J$770=AB$6)*('Throughout Midwifery Care'!$C$7:$C$770&gt;=Lists!$AE12)*('Throughout Midwifery Care'!$C$7:$C$770&lt;=Lists!$AF12))</f>
        <v>0</v>
      </c>
      <c r="AC18" s="165">
        <f>SUMPRODUCT(('Throughout Midwifery Care'!$J$7:$J$770=AC$6)*('Throughout Midwifery Care'!$C$7:$C$770&gt;=Lists!$AE12)*('Throughout Midwifery Care'!$C$7:$C$770&lt;=Lists!$AF12))</f>
        <v>0</v>
      </c>
      <c r="AD18" s="166">
        <f>SUMPRODUCT(('Throughout Midwifery Care'!$J$7:$J$770=AD$6)*('Throughout Midwifery Care'!$C$7:$C$770&gt;=Lists!$AE12)*('Throughout Midwifery Care'!$C$7:$C$770&lt;=Lists!$AF12))</f>
        <v>0</v>
      </c>
      <c r="AE18" s="178">
        <f t="shared" si="7"/>
        <v>0</v>
      </c>
      <c r="AF18" s="183">
        <f t="shared" si="2"/>
        <v>0</v>
      </c>
      <c r="AH18" s="15"/>
      <c r="AI18" s="15"/>
      <c r="AJ18" s="15"/>
      <c r="AK18" s="15"/>
      <c r="AL18" s="15"/>
      <c r="AM18" s="15"/>
      <c r="AN18" s="16"/>
      <c r="AO18" s="15"/>
      <c r="AP18" s="15"/>
      <c r="AQ18" s="15"/>
      <c r="AR18" s="15"/>
    </row>
    <row r="19" spans="1:44" ht="15" customHeight="1" thickBot="1" x14ac:dyDescent="0.4">
      <c r="A19" s="571">
        <v>46082</v>
      </c>
      <c r="B19" s="176">
        <f>SUMPRODUCT(('Throughout Midwifery Care'!$D$7:$D$770=B$6)*('Throughout Midwifery Care'!$C$7:$C$770&gt;=Lists!$AE13)*('Throughout Midwifery Care'!$C$7:$C$770&lt;=Lists!$AF13))</f>
        <v>0</v>
      </c>
      <c r="C19" s="168">
        <f>SUMPRODUCT(('Throughout Midwifery Care'!$D$7:$D$770=C$6)*('Throughout Midwifery Care'!$C$7:$C$770&gt;=Lists!$AE13)*('Throughout Midwifery Care'!$C$7:$C$770&lt;=Lists!$AF13))</f>
        <v>0</v>
      </c>
      <c r="D19" s="169">
        <f>SUMPRODUCT(('Throughout Midwifery Care'!$D$7:$D$770=D$6)*('Throughout Midwifery Care'!$C$7:$C$770&gt;=Lists!$AE13)*('Throughout Midwifery Care'!$C$7:$C$770&lt;=Lists!$AF13))</f>
        <v>0</v>
      </c>
      <c r="E19" s="201">
        <f t="shared" si="0"/>
        <v>0</v>
      </c>
      <c r="F19" s="167">
        <f>SUMPRODUCT(('Throughout Midwifery Care'!$E$7:$E$770=F$6)*('Throughout Midwifery Care'!$C$7:$C$770&gt;=Lists!$AE13)*('Throughout Midwifery Care'!$C$7:$C$770&lt;=Lists!$AF13))</f>
        <v>0</v>
      </c>
      <c r="G19" s="168">
        <f>SUMPRODUCT(('Throughout Midwifery Care'!$E$7:$E$770=G$6)*('Throughout Midwifery Care'!$C$7:$C$770&gt;=Lists!$AE13)*('Throughout Midwifery Care'!$C$7:$C$770&lt;=Lists!$AF13))</f>
        <v>0</v>
      </c>
      <c r="H19" s="169">
        <f>SUMPRODUCT(('Throughout Midwifery Care'!$E$7:$E$770=H$6)*('Throughout Midwifery Care'!$C$7:$C$770&gt;=Lists!$AE13)*('Throughout Midwifery Care'!$C$7:$C$770&lt;=Lists!$AF13))</f>
        <v>0</v>
      </c>
      <c r="I19" s="201">
        <f t="shared" si="1"/>
        <v>0</v>
      </c>
      <c r="J19" s="167">
        <f>SUMPRODUCT(('Throughout Midwifery Care'!$F$7:$F$770=J$6)*('Throughout Midwifery Care'!$C$7:$C$770&gt;=Lists!$AE13)*('Throughout Midwifery Care'!$C$7:$C$770&lt;=Lists!$AF13))</f>
        <v>0</v>
      </c>
      <c r="K19" s="168">
        <f>SUMPRODUCT(('Throughout Midwifery Care'!$F$7:$F$770=K$6)*('Throughout Midwifery Care'!$C$7:$C$770&gt;=Lists!$AE13)*('Throughout Midwifery Care'!$C$7:$C$770&lt;=Lists!$AF13))</f>
        <v>0</v>
      </c>
      <c r="L19" s="168">
        <f>SUMPRODUCT(('Throughout Midwifery Care'!$F$7:$F$770=L$6)*('Throughout Midwifery Care'!$C$7:$C$770&gt;=Lists!$AE13)*('Throughout Midwifery Care'!$C$7:$C$770&lt;=Lists!$AF13))</f>
        <v>0</v>
      </c>
      <c r="M19" s="169">
        <f>SUMPRODUCT(('Throughout Midwifery Care'!$F$7:$F$770=M$6)*('Throughout Midwifery Care'!$C$7:$C$770&gt;=Lists!$AE13)*('Throughout Midwifery Care'!$C$7:$C$770&lt;=Lists!$AF13))</f>
        <v>0</v>
      </c>
      <c r="N19" s="208">
        <f t="shared" si="3"/>
        <v>0</v>
      </c>
      <c r="O19" s="167">
        <f>SUMPRODUCT(('Throughout Midwifery Care'!$G$7:$G$770=O$6)*('Throughout Midwifery Care'!$C$7:$C$770&gt;=Lists!$AE13)*('Throughout Midwifery Care'!$C$7:$C$770&lt;=Lists!$AF13))</f>
        <v>0</v>
      </c>
      <c r="P19" s="168">
        <f>SUMPRODUCT(('Throughout Midwifery Care'!$G$7:$G$770=P$6)*('Throughout Midwifery Care'!$C$7:$C$770&gt;=Lists!$AE13)*('Throughout Midwifery Care'!$C$7:$C$770&lt;=Lists!$AF13))</f>
        <v>0</v>
      </c>
      <c r="Q19" s="168">
        <f>SUMPRODUCT(('Throughout Midwifery Care'!$G$7:$G$770=Q$6)*('Throughout Midwifery Care'!$C$7:$C$770&gt;=Lists!$AE13)*('Throughout Midwifery Care'!$C$7:$C$770&lt;=Lists!$AF13))</f>
        <v>0</v>
      </c>
      <c r="R19" s="169">
        <f>SUMPRODUCT(('Throughout Midwifery Care'!$G$7:$G$770=R$6)*('Throughout Midwifery Care'!$C$7:$C$770&gt;=Lists!$AE13)*('Throughout Midwifery Care'!$C$7:$C$770&lt;=Lists!$AF13))</f>
        <v>0</v>
      </c>
      <c r="S19" s="182">
        <f t="shared" si="4"/>
        <v>0</v>
      </c>
      <c r="T19" s="167">
        <f>SUMPRODUCT(('Throughout Midwifery Care'!$H$7:$H$770=T$6)*('Throughout Midwifery Care'!$C$7:$C$770&gt;=Lists!$AE13)*('Throughout Midwifery Care'!$C$7:$C$770&lt;=Lists!$AF13))</f>
        <v>0</v>
      </c>
      <c r="U19" s="168">
        <f>SUMPRODUCT(('Throughout Midwifery Care'!$H$7:$H$770=U$6)*('Throughout Midwifery Care'!$C$7:$C$770&gt;=Lists!$AE13)*('Throughout Midwifery Care'!$C$7:$C$770&lt;=Lists!$AF13))</f>
        <v>0</v>
      </c>
      <c r="V19" s="169">
        <f>SUMPRODUCT(('Throughout Midwifery Care'!$H$7:$H$770=V$6)*('Throughout Midwifery Care'!$C$7:$C$770&gt;=Lists!$AE13)*('Throughout Midwifery Care'!$C$7:$C$770&lt;=Lists!$AF13))</f>
        <v>0</v>
      </c>
      <c r="W19" s="182">
        <f t="shared" si="5"/>
        <v>0</v>
      </c>
      <c r="X19" s="167">
        <f>SUMPRODUCT(('Throughout Midwifery Care'!$I$7:$I$770=X$6)*('Throughout Midwifery Care'!$C$7:$C$770&gt;=Lists!$AE13)*('Throughout Midwifery Care'!$C$7:$C$770&lt;=Lists!$AF13))</f>
        <v>0</v>
      </c>
      <c r="Y19" s="168">
        <f>SUMPRODUCT(('Throughout Midwifery Care'!$I$7:$I$770=Y$6)*('Throughout Midwifery Care'!$C$7:$C$770&gt;=Lists!$AE13)*('Throughout Midwifery Care'!$C$7:$C$770&lt;=Lists!$AF13))</f>
        <v>0</v>
      </c>
      <c r="Z19" s="169">
        <f>SUMPRODUCT(('Throughout Midwifery Care'!$I$7:$I$770=Z$6)*('Throughout Midwifery Care'!$C$7:$C$770&gt;=Lists!$AE13)*('Throughout Midwifery Care'!$C$7:$C$770&lt;=Lists!$AF13))</f>
        <v>0</v>
      </c>
      <c r="AA19" s="182">
        <f t="shared" si="6"/>
        <v>0</v>
      </c>
      <c r="AB19" s="167">
        <f>SUMPRODUCT(('Throughout Midwifery Care'!$J$7:$J$770=AB$6)*('Throughout Midwifery Care'!$C$7:$C$770&gt;=Lists!$AE13)*('Throughout Midwifery Care'!$C$7:$C$770&lt;=Lists!$AF13))</f>
        <v>0</v>
      </c>
      <c r="AC19" s="168">
        <f>SUMPRODUCT(('Throughout Midwifery Care'!$J$7:$J$770=AC$6)*('Throughout Midwifery Care'!$C$7:$C$770&gt;=Lists!$AE13)*('Throughout Midwifery Care'!$C$7:$C$770&lt;=Lists!$AF13))</f>
        <v>0</v>
      </c>
      <c r="AD19" s="169">
        <f>SUMPRODUCT(('Throughout Midwifery Care'!$J$7:$J$770=AD$6)*('Throughout Midwifery Care'!$C$7:$C$770&gt;=Lists!$AE13)*('Throughout Midwifery Care'!$C$7:$C$770&lt;=Lists!$AF13))</f>
        <v>0</v>
      </c>
      <c r="AE19" s="182">
        <f t="shared" si="7"/>
        <v>0</v>
      </c>
      <c r="AF19" s="183">
        <f t="shared" si="2"/>
        <v>0</v>
      </c>
      <c r="AH19" s="15"/>
      <c r="AI19" s="15"/>
      <c r="AJ19" s="15"/>
      <c r="AK19" s="15"/>
      <c r="AL19" s="15"/>
      <c r="AM19" s="15"/>
      <c r="AN19" s="16"/>
      <c r="AO19" s="15"/>
      <c r="AP19" s="15"/>
      <c r="AQ19" s="15"/>
      <c r="AR19" s="15"/>
    </row>
    <row r="20" spans="1:44" ht="15" customHeight="1" thickTop="1" thickBot="1" x14ac:dyDescent="0.4">
      <c r="A20" s="194" t="s">
        <v>688</v>
      </c>
      <c r="B20" s="148">
        <f t="shared" ref="B20:E20" si="8">SUM(B8:B19)</f>
        <v>0</v>
      </c>
      <c r="C20" s="148">
        <f t="shared" si="8"/>
        <v>0</v>
      </c>
      <c r="D20" s="149">
        <f t="shared" si="8"/>
        <v>0</v>
      </c>
      <c r="E20" s="147">
        <f t="shared" si="8"/>
        <v>0</v>
      </c>
      <c r="F20" s="220">
        <f t="shared" ref="F20:H20" si="9">SUM(F8:F19)</f>
        <v>0</v>
      </c>
      <c r="G20" s="148">
        <f t="shared" si="9"/>
        <v>0</v>
      </c>
      <c r="H20" s="149">
        <f t="shared" si="9"/>
        <v>0</v>
      </c>
      <c r="I20" s="147">
        <f t="shared" ref="I20:W20" si="10">SUM(I8:I19)</f>
        <v>0</v>
      </c>
      <c r="J20" s="220">
        <f t="shared" si="10"/>
        <v>0</v>
      </c>
      <c r="K20" s="221">
        <f t="shared" si="10"/>
        <v>0</v>
      </c>
      <c r="L20" s="221">
        <f t="shared" si="10"/>
        <v>0</v>
      </c>
      <c r="M20" s="222">
        <f t="shared" si="10"/>
        <v>0</v>
      </c>
      <c r="N20" s="147">
        <f t="shared" si="10"/>
        <v>0</v>
      </c>
      <c r="O20" s="148">
        <f t="shared" si="10"/>
        <v>0</v>
      </c>
      <c r="P20" s="148">
        <f t="shared" si="10"/>
        <v>0</v>
      </c>
      <c r="Q20" s="148">
        <f t="shared" si="10"/>
        <v>0</v>
      </c>
      <c r="R20" s="149">
        <f t="shared" si="10"/>
        <v>0</v>
      </c>
      <c r="S20" s="147">
        <f t="shared" si="10"/>
        <v>0</v>
      </c>
      <c r="T20" s="220">
        <f t="shared" si="10"/>
        <v>0</v>
      </c>
      <c r="U20" s="221">
        <f t="shared" si="10"/>
        <v>0</v>
      </c>
      <c r="V20" s="222">
        <f t="shared" si="10"/>
        <v>0</v>
      </c>
      <c r="W20" s="147">
        <f t="shared" si="10"/>
        <v>0</v>
      </c>
      <c r="X20" s="220">
        <f t="shared" ref="X20:AA20" si="11">SUM(X8:X19)</f>
        <v>0</v>
      </c>
      <c r="Y20" s="221">
        <f t="shared" si="11"/>
        <v>0</v>
      </c>
      <c r="Z20" s="222">
        <f t="shared" si="11"/>
        <v>0</v>
      </c>
      <c r="AA20" s="147">
        <f t="shared" si="11"/>
        <v>0</v>
      </c>
      <c r="AB20" s="220">
        <f t="shared" ref="AB20:AE20" si="12">SUM(AB8:AB19)</f>
        <v>0</v>
      </c>
      <c r="AC20" s="221">
        <f t="shared" si="12"/>
        <v>0</v>
      </c>
      <c r="AD20" s="222">
        <f t="shared" si="12"/>
        <v>0</v>
      </c>
      <c r="AE20" s="147">
        <f t="shared" si="12"/>
        <v>0</v>
      </c>
      <c r="AF20" s="565">
        <f t="shared" ref="AF20" si="13">SUM(AF8:AF19)</f>
        <v>0</v>
      </c>
      <c r="AG20" s="26"/>
      <c r="AH20" s="27"/>
      <c r="AI20" s="15"/>
      <c r="AJ20" s="15"/>
      <c r="AK20" s="15"/>
      <c r="AL20" s="15"/>
      <c r="AM20" s="15"/>
      <c r="AN20" s="16"/>
      <c r="AO20" s="15"/>
      <c r="AP20" s="15"/>
      <c r="AQ20" s="15"/>
      <c r="AR20" s="15"/>
    </row>
    <row r="21" spans="1:44" ht="15" customHeight="1" x14ac:dyDescent="0.3">
      <c r="A21" s="190"/>
      <c r="AH21" s="15"/>
      <c r="AI21" s="15"/>
      <c r="AJ21" s="15"/>
      <c r="AK21" s="15"/>
      <c r="AL21" s="15"/>
      <c r="AM21" s="15"/>
      <c r="AN21" s="16"/>
      <c r="AO21" s="15"/>
      <c r="AP21" s="15"/>
      <c r="AQ21" s="15"/>
      <c r="AR21" s="15"/>
    </row>
    <row r="22" spans="1:44" ht="15" customHeight="1" x14ac:dyDescent="0.3">
      <c r="A22" s="32"/>
      <c r="B22" s="32"/>
      <c r="C22" s="32"/>
      <c r="D22" s="32"/>
      <c r="E22" s="32"/>
      <c r="AH22" s="15"/>
      <c r="AI22" s="15"/>
      <c r="AJ22" s="15"/>
      <c r="AK22" s="15"/>
      <c r="AL22" s="15"/>
      <c r="AM22" s="15"/>
      <c r="AN22" s="16"/>
      <c r="AO22" s="15"/>
      <c r="AP22" s="15"/>
      <c r="AQ22" s="15"/>
      <c r="AR22" s="15"/>
    </row>
    <row r="23" spans="1:44" ht="15" customHeight="1" x14ac:dyDescent="0.3">
      <c r="A23" s="32"/>
      <c r="B23" s="32"/>
      <c r="C23" s="32"/>
      <c r="D23" s="32"/>
      <c r="E23" s="32"/>
      <c r="AH23" s="15"/>
      <c r="AI23" s="15"/>
      <c r="AJ23" s="15"/>
      <c r="AK23" s="15"/>
      <c r="AL23" s="15"/>
      <c r="AM23" s="15"/>
      <c r="AN23" s="16"/>
      <c r="AO23" s="15"/>
      <c r="AP23" s="15"/>
      <c r="AQ23" s="15"/>
      <c r="AR23" s="15"/>
    </row>
    <row r="24" spans="1:44" ht="15" customHeight="1" x14ac:dyDescent="0.3">
      <c r="A24" s="32"/>
      <c r="B24" s="32"/>
      <c r="C24" s="32"/>
      <c r="D24" s="32"/>
      <c r="E24" s="32"/>
      <c r="AH24" s="15"/>
      <c r="AI24" s="15"/>
      <c r="AJ24" s="15"/>
      <c r="AK24" s="15"/>
      <c r="AL24" s="15"/>
      <c r="AM24" s="15"/>
      <c r="AN24" s="16"/>
      <c r="AO24" s="15"/>
      <c r="AP24" s="15"/>
      <c r="AQ24" s="15"/>
      <c r="AR24" s="15"/>
    </row>
    <row r="25" spans="1:44" ht="15" customHeight="1" x14ac:dyDescent="0.3">
      <c r="A25" s="32"/>
      <c r="B25" s="32"/>
      <c r="C25" s="32"/>
      <c r="D25" s="32"/>
      <c r="E25" s="32"/>
      <c r="AH25" s="15"/>
      <c r="AI25" s="15"/>
      <c r="AJ25" s="15"/>
      <c r="AK25" s="15"/>
      <c r="AL25" s="15"/>
      <c r="AM25" s="15"/>
      <c r="AN25" s="16"/>
      <c r="AO25" s="15"/>
      <c r="AP25" s="15"/>
      <c r="AQ25" s="15"/>
      <c r="AR25" s="15"/>
    </row>
    <row r="26" spans="1:44" ht="15" customHeight="1" x14ac:dyDescent="0.3">
      <c r="AH26" s="15"/>
      <c r="AI26" s="15"/>
      <c r="AJ26" s="15"/>
      <c r="AK26" s="15"/>
      <c r="AL26" s="15"/>
      <c r="AM26" s="15"/>
      <c r="AN26" s="16"/>
      <c r="AO26" s="15"/>
      <c r="AP26" s="15"/>
      <c r="AQ26" s="15"/>
      <c r="AR26" s="15"/>
    </row>
    <row r="27" spans="1:44" ht="15" customHeight="1" x14ac:dyDescent="0.3">
      <c r="AH27" s="15"/>
      <c r="AI27" s="15"/>
      <c r="AJ27" s="15"/>
      <c r="AK27" s="15"/>
      <c r="AL27" s="15"/>
      <c r="AM27" s="15"/>
      <c r="AN27" s="16"/>
      <c r="AO27" s="15"/>
      <c r="AP27" s="15"/>
      <c r="AQ27" s="15"/>
      <c r="AR27" s="15"/>
    </row>
    <row r="28" spans="1:44" ht="15" customHeight="1" x14ac:dyDescent="0.3">
      <c r="AH28" s="15"/>
      <c r="AI28" s="15"/>
      <c r="AJ28" s="15"/>
      <c r="AK28" s="15"/>
      <c r="AL28" s="15"/>
      <c r="AM28" s="15"/>
      <c r="AN28" s="16"/>
      <c r="AO28" s="15"/>
      <c r="AP28" s="15"/>
      <c r="AQ28" s="15"/>
      <c r="AR28" s="15"/>
    </row>
    <row r="29" spans="1:44" ht="15" customHeight="1" x14ac:dyDescent="0.3">
      <c r="AH29" s="15"/>
      <c r="AI29" s="15"/>
      <c r="AJ29" s="15"/>
      <c r="AK29" s="15"/>
      <c r="AL29" s="15"/>
      <c r="AM29" s="15"/>
      <c r="AN29" s="16"/>
      <c r="AO29" s="15"/>
      <c r="AP29" s="15"/>
      <c r="AQ29" s="15"/>
      <c r="AR29" s="15"/>
    </row>
    <row r="30" spans="1:44" ht="15" customHeight="1" x14ac:dyDescent="0.3">
      <c r="AH30" s="15"/>
      <c r="AI30" s="15"/>
      <c r="AJ30" s="15"/>
      <c r="AK30" s="15"/>
      <c r="AL30" s="15"/>
      <c r="AM30" s="15"/>
      <c r="AN30" s="16"/>
      <c r="AO30" s="15"/>
      <c r="AP30" s="15"/>
      <c r="AQ30" s="15"/>
      <c r="AR30" s="15"/>
    </row>
    <row r="31" spans="1:44" ht="15" customHeight="1" x14ac:dyDescent="0.3">
      <c r="AH31" s="15"/>
      <c r="AI31" s="15"/>
      <c r="AJ31" s="15"/>
      <c r="AK31" s="15"/>
      <c r="AL31" s="15"/>
      <c r="AM31" s="15"/>
      <c r="AN31" s="16"/>
      <c r="AO31" s="15"/>
      <c r="AP31" s="15"/>
      <c r="AQ31" s="15"/>
      <c r="AR31" s="15"/>
    </row>
    <row r="32" spans="1:44" ht="15" customHeight="1" x14ac:dyDescent="0.3">
      <c r="AH32" s="15"/>
      <c r="AI32" s="15"/>
      <c r="AJ32" s="15"/>
      <c r="AK32" s="15"/>
      <c r="AL32" s="15"/>
      <c r="AM32" s="15"/>
      <c r="AN32" s="16"/>
      <c r="AO32" s="15"/>
      <c r="AP32" s="15"/>
      <c r="AQ32" s="15"/>
      <c r="AR32" s="15"/>
    </row>
    <row r="33" spans="34:44" ht="15" customHeight="1" x14ac:dyDescent="0.3">
      <c r="AH33" s="15"/>
      <c r="AI33" s="15"/>
      <c r="AJ33" s="15"/>
      <c r="AK33" s="15"/>
      <c r="AL33" s="15"/>
      <c r="AM33" s="15"/>
      <c r="AN33" s="16"/>
      <c r="AO33" s="15"/>
      <c r="AP33" s="15"/>
      <c r="AQ33" s="15"/>
      <c r="AR33" s="15"/>
    </row>
    <row r="34" spans="34:44" ht="15" customHeight="1" x14ac:dyDescent="0.3">
      <c r="AH34" s="15"/>
      <c r="AI34" s="15"/>
      <c r="AJ34" s="15"/>
      <c r="AK34" s="15"/>
      <c r="AL34" s="15"/>
      <c r="AM34" s="15"/>
      <c r="AN34" s="16"/>
      <c r="AO34" s="15"/>
      <c r="AP34" s="15"/>
      <c r="AQ34" s="15"/>
      <c r="AR34" s="15"/>
    </row>
    <row r="35" spans="34:44" ht="15" customHeight="1" x14ac:dyDescent="0.3">
      <c r="AH35" s="15"/>
      <c r="AI35" s="15"/>
      <c r="AJ35" s="15"/>
      <c r="AK35" s="15"/>
      <c r="AL35" s="15"/>
      <c r="AM35" s="15"/>
      <c r="AN35" s="16"/>
      <c r="AO35" s="15"/>
      <c r="AP35" s="15"/>
      <c r="AQ35" s="15"/>
      <c r="AR35" s="15"/>
    </row>
    <row r="36" spans="34:44" ht="15" customHeight="1" x14ac:dyDescent="0.3">
      <c r="AH36" s="15"/>
      <c r="AI36" s="15"/>
      <c r="AJ36" s="15"/>
      <c r="AK36" s="15"/>
      <c r="AL36" s="15"/>
      <c r="AM36" s="15"/>
      <c r="AN36" s="16"/>
      <c r="AO36" s="15"/>
      <c r="AP36" s="15"/>
      <c r="AQ36" s="15"/>
      <c r="AR36" s="15"/>
    </row>
    <row r="37" spans="34:44" ht="15" customHeight="1" x14ac:dyDescent="0.3">
      <c r="AH37" s="15"/>
      <c r="AI37" s="15"/>
      <c r="AJ37" s="15"/>
      <c r="AK37" s="15"/>
      <c r="AL37" s="15"/>
      <c r="AM37" s="15"/>
      <c r="AN37" s="16"/>
      <c r="AO37" s="15"/>
      <c r="AP37" s="15"/>
      <c r="AQ37" s="15"/>
      <c r="AR37" s="15"/>
    </row>
    <row r="38" spans="34:44" ht="15" customHeight="1" x14ac:dyDescent="0.3">
      <c r="AH38" s="15"/>
      <c r="AI38" s="15"/>
      <c r="AJ38" s="15"/>
      <c r="AK38" s="15"/>
      <c r="AL38" s="15"/>
      <c r="AM38" s="15"/>
      <c r="AN38" s="16"/>
      <c r="AO38" s="15"/>
      <c r="AP38" s="15"/>
      <c r="AQ38" s="15"/>
      <c r="AR38" s="15"/>
    </row>
    <row r="39" spans="34:44" ht="15" customHeight="1" x14ac:dyDescent="0.3">
      <c r="AH39" s="15"/>
      <c r="AI39" s="15"/>
      <c r="AJ39" s="15"/>
      <c r="AK39" s="15"/>
      <c r="AL39" s="15"/>
      <c r="AM39" s="15"/>
      <c r="AN39" s="16"/>
      <c r="AO39" s="15"/>
      <c r="AP39" s="15"/>
      <c r="AQ39" s="15"/>
      <c r="AR39" s="15"/>
    </row>
    <row r="40" spans="34:44" ht="15" customHeight="1" x14ac:dyDescent="0.3">
      <c r="AH40" s="15"/>
      <c r="AI40" s="15"/>
      <c r="AJ40" s="15"/>
      <c r="AK40" s="15"/>
      <c r="AL40" s="15"/>
      <c r="AM40" s="15"/>
      <c r="AN40" s="16"/>
      <c r="AO40" s="15"/>
      <c r="AP40" s="15"/>
      <c r="AQ40" s="15"/>
      <c r="AR40" s="15"/>
    </row>
    <row r="41" spans="34:44" ht="15" customHeight="1" x14ac:dyDescent="0.3">
      <c r="AH41" s="15"/>
      <c r="AI41" s="15"/>
      <c r="AJ41" s="15"/>
      <c r="AK41" s="15"/>
      <c r="AL41" s="15"/>
      <c r="AM41" s="15"/>
      <c r="AN41" s="16"/>
      <c r="AO41" s="15"/>
      <c r="AP41" s="15"/>
      <c r="AQ41" s="15"/>
      <c r="AR41" s="15"/>
    </row>
    <row r="42" spans="34:44" ht="15" customHeight="1" x14ac:dyDescent="0.3">
      <c r="AH42" s="15"/>
      <c r="AI42" s="15"/>
      <c r="AJ42" s="15"/>
      <c r="AK42" s="15"/>
      <c r="AL42" s="15"/>
      <c r="AM42" s="15"/>
      <c r="AN42" s="16"/>
      <c r="AO42" s="15"/>
      <c r="AP42" s="15"/>
      <c r="AQ42" s="15"/>
      <c r="AR42" s="15"/>
    </row>
    <row r="43" spans="34:44" ht="15" customHeight="1" x14ac:dyDescent="0.3">
      <c r="AH43" s="15"/>
      <c r="AI43" s="15"/>
      <c r="AJ43" s="15"/>
      <c r="AK43" s="15"/>
      <c r="AL43" s="15"/>
      <c r="AM43" s="15"/>
      <c r="AN43" s="16"/>
      <c r="AO43" s="15"/>
      <c r="AP43" s="15"/>
      <c r="AQ43" s="15"/>
      <c r="AR43" s="15"/>
    </row>
    <row r="44" spans="34:44" ht="15" customHeight="1" x14ac:dyDescent="0.3">
      <c r="AH44" s="15"/>
      <c r="AI44" s="15"/>
      <c r="AJ44" s="15"/>
      <c r="AK44" s="15"/>
      <c r="AL44" s="15"/>
      <c r="AM44" s="15"/>
      <c r="AN44" s="16"/>
      <c r="AO44" s="15"/>
      <c r="AP44" s="15"/>
      <c r="AQ44" s="15"/>
      <c r="AR44" s="15"/>
    </row>
    <row r="45" spans="34:44" ht="15" customHeight="1" x14ac:dyDescent="0.3">
      <c r="AH45" s="15"/>
      <c r="AI45" s="15"/>
      <c r="AJ45" s="15"/>
      <c r="AK45" s="15"/>
      <c r="AL45" s="15"/>
      <c r="AM45" s="15"/>
      <c r="AN45" s="16"/>
      <c r="AO45" s="15"/>
      <c r="AP45" s="15"/>
      <c r="AQ45" s="15"/>
      <c r="AR45" s="15"/>
    </row>
    <row r="46" spans="34:44" ht="15" customHeight="1" x14ac:dyDescent="0.3">
      <c r="AH46" s="15"/>
      <c r="AI46" s="15"/>
      <c r="AJ46" s="15"/>
      <c r="AK46" s="15"/>
      <c r="AL46" s="15"/>
      <c r="AM46" s="15"/>
      <c r="AN46" s="16"/>
      <c r="AO46" s="15"/>
      <c r="AP46" s="15"/>
      <c r="AQ46" s="15"/>
      <c r="AR46" s="15"/>
    </row>
    <row r="47" spans="34:44" ht="15" customHeight="1" x14ac:dyDescent="0.3">
      <c r="AH47" s="15"/>
      <c r="AI47" s="15"/>
      <c r="AJ47" s="15"/>
      <c r="AK47" s="15"/>
      <c r="AL47" s="15"/>
      <c r="AM47" s="15"/>
      <c r="AN47" s="16"/>
      <c r="AO47" s="15"/>
      <c r="AP47" s="15"/>
      <c r="AQ47" s="15"/>
      <c r="AR47" s="15"/>
    </row>
    <row r="48" spans="34:44" ht="15" customHeight="1" x14ac:dyDescent="0.3">
      <c r="AH48" s="15"/>
      <c r="AI48" s="15"/>
      <c r="AJ48" s="15"/>
      <c r="AK48" s="15"/>
      <c r="AL48" s="15"/>
      <c r="AM48" s="15"/>
      <c r="AN48" s="16"/>
      <c r="AO48" s="15"/>
      <c r="AP48" s="15"/>
      <c r="AQ48" s="15"/>
      <c r="AR48" s="15"/>
    </row>
    <row r="49" spans="34:44" ht="15" customHeight="1" x14ac:dyDescent="0.3">
      <c r="AH49" s="15"/>
      <c r="AI49" s="15"/>
      <c r="AJ49" s="15"/>
      <c r="AK49" s="15"/>
      <c r="AL49" s="15"/>
      <c r="AM49" s="15"/>
      <c r="AN49" s="16"/>
      <c r="AO49" s="15"/>
      <c r="AP49" s="15"/>
      <c r="AQ49" s="15"/>
      <c r="AR49" s="15"/>
    </row>
    <row r="50" spans="34:44" ht="15" customHeight="1" x14ac:dyDescent="0.3">
      <c r="AH50" s="15"/>
      <c r="AI50" s="15"/>
      <c r="AJ50" s="15"/>
      <c r="AK50" s="15"/>
      <c r="AL50" s="15"/>
      <c r="AM50" s="15"/>
      <c r="AN50" s="16"/>
      <c r="AO50" s="15"/>
      <c r="AP50" s="15"/>
      <c r="AQ50" s="15"/>
      <c r="AR50" s="15"/>
    </row>
    <row r="51" spans="34:44" ht="15" customHeight="1" x14ac:dyDescent="0.3">
      <c r="AH51" s="15"/>
      <c r="AI51" s="15"/>
      <c r="AJ51" s="15"/>
      <c r="AK51" s="15"/>
      <c r="AL51" s="15"/>
      <c r="AM51" s="15"/>
      <c r="AN51" s="16"/>
      <c r="AO51" s="15"/>
      <c r="AP51" s="15"/>
      <c r="AQ51" s="15"/>
      <c r="AR51" s="15"/>
    </row>
    <row r="52" spans="34:44" ht="15" customHeight="1" x14ac:dyDescent="0.3">
      <c r="AH52" s="15"/>
      <c r="AI52" s="15"/>
      <c r="AJ52" s="15"/>
      <c r="AK52" s="15"/>
      <c r="AL52" s="15"/>
      <c r="AM52" s="15"/>
      <c r="AN52" s="16"/>
      <c r="AO52" s="15"/>
      <c r="AP52" s="15"/>
      <c r="AQ52" s="15"/>
      <c r="AR52" s="15"/>
    </row>
    <row r="53" spans="34:44" ht="15" customHeight="1" x14ac:dyDescent="0.3">
      <c r="AH53" s="15"/>
      <c r="AI53" s="15"/>
      <c r="AJ53" s="15"/>
      <c r="AK53" s="15"/>
      <c r="AL53" s="15"/>
      <c r="AM53" s="15"/>
      <c r="AN53" s="16"/>
      <c r="AO53" s="15"/>
      <c r="AP53" s="15"/>
      <c r="AQ53" s="15"/>
      <c r="AR53" s="15"/>
    </row>
    <row r="54" spans="34:44" ht="15" customHeight="1" x14ac:dyDescent="0.3">
      <c r="AH54" s="15"/>
      <c r="AI54" s="15"/>
      <c r="AJ54" s="15"/>
      <c r="AK54" s="15"/>
      <c r="AL54" s="15"/>
      <c r="AM54" s="15"/>
      <c r="AN54" s="16"/>
      <c r="AO54" s="15"/>
      <c r="AP54" s="15"/>
      <c r="AQ54" s="15"/>
      <c r="AR54" s="15"/>
    </row>
    <row r="55" spans="34:44" ht="15" customHeight="1" x14ac:dyDescent="0.3">
      <c r="AH55" s="15"/>
      <c r="AI55" s="15"/>
      <c r="AJ55" s="15"/>
      <c r="AK55" s="15"/>
      <c r="AL55" s="15"/>
      <c r="AM55" s="15"/>
      <c r="AN55" s="16"/>
      <c r="AO55" s="15"/>
      <c r="AP55" s="15"/>
      <c r="AQ55" s="15"/>
      <c r="AR55" s="15"/>
    </row>
    <row r="56" spans="34:44" ht="15" customHeight="1" x14ac:dyDescent="0.3">
      <c r="AH56" s="15"/>
      <c r="AI56" s="15"/>
      <c r="AJ56" s="15"/>
      <c r="AK56" s="15"/>
      <c r="AL56" s="15"/>
      <c r="AM56" s="15"/>
      <c r="AN56" s="16"/>
      <c r="AO56" s="15"/>
      <c r="AP56" s="15"/>
      <c r="AQ56" s="15"/>
      <c r="AR56" s="15"/>
    </row>
    <row r="57" spans="34:44" ht="15" customHeight="1" x14ac:dyDescent="0.3">
      <c r="AH57" s="15"/>
      <c r="AI57" s="15"/>
      <c r="AJ57" s="15"/>
      <c r="AK57" s="15"/>
      <c r="AL57" s="15"/>
      <c r="AM57" s="15"/>
      <c r="AN57" s="16"/>
      <c r="AO57" s="15"/>
      <c r="AP57" s="15"/>
      <c r="AQ57" s="15"/>
      <c r="AR57" s="15"/>
    </row>
    <row r="58" spans="34:44" ht="15" customHeight="1" x14ac:dyDescent="0.3">
      <c r="AH58" s="15"/>
      <c r="AI58" s="15"/>
      <c r="AJ58" s="15"/>
      <c r="AK58" s="15"/>
      <c r="AL58" s="15"/>
      <c r="AM58" s="15"/>
      <c r="AN58" s="16"/>
      <c r="AO58" s="15"/>
      <c r="AP58" s="15"/>
      <c r="AQ58" s="15"/>
      <c r="AR58" s="15"/>
    </row>
    <row r="59" spans="34:44" ht="15" customHeight="1" x14ac:dyDescent="0.3">
      <c r="AH59" s="15"/>
      <c r="AI59" s="15"/>
      <c r="AJ59" s="15"/>
      <c r="AK59" s="15"/>
      <c r="AL59" s="15"/>
      <c r="AM59" s="15"/>
      <c r="AN59" s="16"/>
      <c r="AO59" s="15"/>
      <c r="AP59" s="15"/>
      <c r="AQ59" s="15"/>
      <c r="AR59" s="15"/>
    </row>
    <row r="60" spans="34:44" ht="15" customHeight="1" x14ac:dyDescent="0.3">
      <c r="AH60" s="15"/>
      <c r="AI60" s="15"/>
      <c r="AJ60" s="15"/>
      <c r="AK60" s="15"/>
      <c r="AL60" s="15"/>
      <c r="AM60" s="15"/>
      <c r="AN60" s="16"/>
      <c r="AO60" s="15"/>
      <c r="AP60" s="15"/>
      <c r="AQ60" s="15"/>
      <c r="AR60" s="15"/>
    </row>
    <row r="61" spans="34:44" ht="15" customHeight="1" x14ac:dyDescent="0.3">
      <c r="AH61" s="15"/>
      <c r="AI61" s="15"/>
      <c r="AJ61" s="15"/>
      <c r="AK61" s="15"/>
      <c r="AL61" s="15"/>
      <c r="AM61" s="15"/>
      <c r="AN61" s="16"/>
      <c r="AO61" s="15"/>
      <c r="AP61" s="15"/>
      <c r="AQ61" s="15"/>
      <c r="AR61" s="15"/>
    </row>
    <row r="62" spans="34:44" ht="15" customHeight="1" x14ac:dyDescent="0.3">
      <c r="AH62" s="15"/>
      <c r="AI62" s="15"/>
      <c r="AJ62" s="15"/>
      <c r="AK62" s="15"/>
      <c r="AL62" s="15"/>
      <c r="AM62" s="15"/>
      <c r="AN62" s="16"/>
      <c r="AO62" s="15"/>
      <c r="AP62" s="15"/>
      <c r="AQ62" s="15"/>
      <c r="AR62" s="15"/>
    </row>
    <row r="63" spans="34:44" ht="15" customHeight="1" x14ac:dyDescent="0.3">
      <c r="AH63" s="15"/>
      <c r="AI63" s="15"/>
      <c r="AJ63" s="15"/>
      <c r="AK63" s="15"/>
      <c r="AL63" s="15"/>
      <c r="AM63" s="15"/>
      <c r="AN63" s="16"/>
      <c r="AO63" s="15"/>
      <c r="AP63" s="15"/>
      <c r="AQ63" s="15"/>
      <c r="AR63" s="15"/>
    </row>
    <row r="64" spans="34:44" ht="15" customHeight="1" x14ac:dyDescent="0.3">
      <c r="AH64" s="15"/>
      <c r="AI64" s="15"/>
      <c r="AJ64" s="15"/>
      <c r="AK64" s="15"/>
      <c r="AL64" s="15"/>
      <c r="AM64" s="15"/>
      <c r="AN64" s="16"/>
      <c r="AO64" s="15"/>
      <c r="AP64" s="15"/>
      <c r="AQ64" s="15"/>
      <c r="AR64" s="15"/>
    </row>
    <row r="65" spans="34:44" ht="15" customHeight="1" x14ac:dyDescent="0.3">
      <c r="AH65" s="15"/>
      <c r="AI65" s="15"/>
      <c r="AJ65" s="15"/>
      <c r="AK65" s="15"/>
      <c r="AL65" s="15"/>
      <c r="AM65" s="15"/>
      <c r="AN65" s="16"/>
      <c r="AO65" s="15"/>
      <c r="AP65" s="15"/>
      <c r="AQ65" s="15"/>
      <c r="AR65" s="15"/>
    </row>
    <row r="66" spans="34:44" ht="15" customHeight="1" x14ac:dyDescent="0.3">
      <c r="AH66" s="15"/>
      <c r="AI66" s="15"/>
      <c r="AJ66" s="15"/>
      <c r="AK66" s="15"/>
      <c r="AL66" s="15"/>
      <c r="AM66" s="15"/>
      <c r="AN66" s="16"/>
      <c r="AO66" s="15"/>
      <c r="AP66" s="15"/>
      <c r="AQ66" s="15"/>
      <c r="AR66" s="15"/>
    </row>
    <row r="67" spans="34:44" ht="15" customHeight="1" x14ac:dyDescent="0.3">
      <c r="AH67" s="15"/>
      <c r="AI67" s="15"/>
      <c r="AJ67" s="15"/>
      <c r="AK67" s="15"/>
      <c r="AL67" s="15"/>
      <c r="AM67" s="15"/>
      <c r="AN67" s="16"/>
      <c r="AO67" s="15"/>
      <c r="AP67" s="15"/>
      <c r="AQ67" s="15"/>
      <c r="AR67" s="15"/>
    </row>
    <row r="68" spans="34:44" ht="15" customHeight="1" x14ac:dyDescent="0.3">
      <c r="AH68" s="15"/>
      <c r="AI68" s="15"/>
      <c r="AJ68" s="15"/>
      <c r="AK68" s="15"/>
      <c r="AL68" s="15"/>
      <c r="AM68" s="15"/>
      <c r="AN68" s="16"/>
      <c r="AO68" s="15"/>
      <c r="AP68" s="15"/>
      <c r="AQ68" s="15"/>
      <c r="AR68" s="15"/>
    </row>
    <row r="69" spans="34:44" ht="15" customHeight="1" x14ac:dyDescent="0.3">
      <c r="AH69" s="15"/>
      <c r="AI69" s="15"/>
      <c r="AJ69" s="15"/>
      <c r="AK69" s="15"/>
      <c r="AL69" s="15"/>
      <c r="AM69" s="15"/>
      <c r="AN69" s="16"/>
      <c r="AO69" s="15"/>
      <c r="AP69" s="15"/>
      <c r="AQ69" s="15"/>
      <c r="AR69" s="15"/>
    </row>
    <row r="70" spans="34:44" ht="15" customHeight="1" x14ac:dyDescent="0.3">
      <c r="AH70" s="15"/>
      <c r="AI70" s="15"/>
      <c r="AJ70" s="15"/>
      <c r="AK70" s="15"/>
      <c r="AL70" s="15"/>
      <c r="AM70" s="15"/>
      <c r="AN70" s="16"/>
      <c r="AO70" s="15"/>
      <c r="AP70" s="15"/>
      <c r="AQ70" s="15"/>
      <c r="AR70" s="15"/>
    </row>
    <row r="71" spans="34:44" ht="15" customHeight="1" x14ac:dyDescent="0.3">
      <c r="AH71" s="15"/>
      <c r="AI71" s="15"/>
      <c r="AJ71" s="15"/>
      <c r="AK71" s="15"/>
      <c r="AL71" s="15"/>
      <c r="AM71" s="15"/>
      <c r="AN71" s="16"/>
      <c r="AO71" s="15"/>
      <c r="AP71" s="15"/>
      <c r="AQ71" s="15"/>
      <c r="AR71" s="15"/>
    </row>
    <row r="72" spans="34:44" ht="15" customHeight="1" x14ac:dyDescent="0.3">
      <c r="AH72" s="15"/>
      <c r="AI72" s="15"/>
      <c r="AJ72" s="15"/>
      <c r="AK72" s="15"/>
      <c r="AL72" s="15"/>
      <c r="AM72" s="15"/>
      <c r="AN72" s="16"/>
      <c r="AO72" s="15"/>
      <c r="AP72" s="15"/>
      <c r="AQ72" s="15"/>
      <c r="AR72" s="15"/>
    </row>
    <row r="73" spans="34:44" ht="15" customHeight="1" x14ac:dyDescent="0.3">
      <c r="AH73" s="15"/>
      <c r="AI73" s="15"/>
      <c r="AJ73" s="15"/>
      <c r="AK73" s="15"/>
      <c r="AL73" s="15"/>
      <c r="AM73" s="15"/>
      <c r="AN73" s="16"/>
      <c r="AO73" s="15"/>
      <c r="AP73" s="15"/>
      <c r="AQ73" s="15"/>
      <c r="AR73" s="15"/>
    </row>
    <row r="74" spans="34:44" ht="15" customHeight="1" x14ac:dyDescent="0.3">
      <c r="AH74" s="15"/>
      <c r="AI74" s="15"/>
      <c r="AJ74" s="15"/>
      <c r="AK74" s="15"/>
      <c r="AL74" s="15"/>
      <c r="AM74" s="15"/>
      <c r="AN74" s="16"/>
      <c r="AO74" s="15"/>
      <c r="AP74" s="15"/>
      <c r="AQ74" s="15"/>
      <c r="AR74" s="15"/>
    </row>
    <row r="75" spans="34:44" ht="15" customHeight="1" x14ac:dyDescent="0.3">
      <c r="AH75" s="15"/>
      <c r="AI75" s="15"/>
      <c r="AJ75" s="15"/>
      <c r="AK75" s="15"/>
      <c r="AL75" s="15"/>
      <c r="AM75" s="15"/>
      <c r="AN75" s="16"/>
      <c r="AO75" s="15"/>
      <c r="AP75" s="15"/>
      <c r="AQ75" s="15"/>
      <c r="AR75" s="15"/>
    </row>
    <row r="76" spans="34:44" ht="15" customHeight="1" x14ac:dyDescent="0.3">
      <c r="AH76" s="15"/>
      <c r="AI76" s="15"/>
      <c r="AJ76" s="15"/>
      <c r="AK76" s="15"/>
      <c r="AL76" s="15"/>
      <c r="AM76" s="15"/>
      <c r="AN76" s="16"/>
      <c r="AO76" s="15"/>
      <c r="AP76" s="15"/>
      <c r="AQ76" s="15"/>
      <c r="AR76" s="15"/>
    </row>
    <row r="77" spans="34:44" ht="15" customHeight="1" x14ac:dyDescent="0.3">
      <c r="AH77" s="15"/>
      <c r="AI77" s="15"/>
      <c r="AJ77" s="15"/>
      <c r="AK77" s="15"/>
      <c r="AL77" s="15"/>
      <c r="AM77" s="15"/>
      <c r="AN77" s="16"/>
      <c r="AO77" s="15"/>
      <c r="AP77" s="15"/>
      <c r="AQ77" s="15"/>
      <c r="AR77" s="15"/>
    </row>
    <row r="78" spans="34:44" ht="15" customHeight="1" x14ac:dyDescent="0.3">
      <c r="AH78" s="15"/>
      <c r="AI78" s="15"/>
      <c r="AJ78" s="15"/>
      <c r="AK78" s="15"/>
      <c r="AL78" s="15"/>
      <c r="AM78" s="15"/>
      <c r="AN78" s="16"/>
      <c r="AO78" s="15"/>
      <c r="AP78" s="15"/>
      <c r="AQ78" s="15"/>
      <c r="AR78" s="15"/>
    </row>
    <row r="79" spans="34:44" ht="15" customHeight="1" x14ac:dyDescent="0.3">
      <c r="AH79" s="15"/>
      <c r="AI79" s="15"/>
      <c r="AJ79" s="15"/>
      <c r="AK79" s="15"/>
      <c r="AL79" s="15"/>
      <c r="AM79" s="15"/>
      <c r="AN79" s="16"/>
      <c r="AO79" s="15"/>
      <c r="AP79" s="15"/>
      <c r="AQ79" s="15"/>
      <c r="AR79" s="15"/>
    </row>
    <row r="80" spans="34:44" ht="15" customHeight="1" x14ac:dyDescent="0.3">
      <c r="AH80" s="15"/>
      <c r="AI80" s="15"/>
      <c r="AJ80" s="15"/>
      <c r="AK80" s="15"/>
      <c r="AL80" s="15"/>
      <c r="AM80" s="15"/>
      <c r="AN80" s="16"/>
      <c r="AO80" s="15"/>
      <c r="AP80" s="15"/>
      <c r="AQ80" s="15"/>
      <c r="AR80" s="15"/>
    </row>
    <row r="81" spans="34:44" ht="15" customHeight="1" x14ac:dyDescent="0.3">
      <c r="AH81" s="15"/>
      <c r="AI81" s="15"/>
      <c r="AJ81" s="15"/>
      <c r="AK81" s="15"/>
      <c r="AL81" s="15"/>
      <c r="AM81" s="15"/>
      <c r="AN81" s="16"/>
      <c r="AO81" s="15"/>
      <c r="AP81" s="15"/>
      <c r="AQ81" s="15"/>
      <c r="AR81" s="15"/>
    </row>
    <row r="82" spans="34:44" ht="15" customHeight="1" x14ac:dyDescent="0.3">
      <c r="AH82" s="15"/>
      <c r="AI82" s="15"/>
      <c r="AJ82" s="15"/>
      <c r="AK82" s="15"/>
      <c r="AL82" s="15"/>
      <c r="AM82" s="15"/>
      <c r="AN82" s="16"/>
      <c r="AO82" s="15"/>
      <c r="AP82" s="15"/>
      <c r="AQ82" s="15"/>
      <c r="AR82" s="15"/>
    </row>
    <row r="83" spans="34:44" ht="15" customHeight="1" x14ac:dyDescent="0.3">
      <c r="AH83" s="15"/>
      <c r="AI83" s="15"/>
      <c r="AJ83" s="15"/>
      <c r="AK83" s="15"/>
      <c r="AL83" s="15"/>
      <c r="AM83" s="15"/>
      <c r="AN83" s="16"/>
      <c r="AO83" s="15"/>
      <c r="AP83" s="15"/>
      <c r="AQ83" s="15"/>
      <c r="AR83" s="15"/>
    </row>
    <row r="84" spans="34:44" ht="15" customHeight="1" x14ac:dyDescent="0.3">
      <c r="AH84" s="15"/>
      <c r="AI84" s="15"/>
      <c r="AJ84" s="15"/>
      <c r="AK84" s="15"/>
      <c r="AL84" s="15"/>
      <c r="AM84" s="15"/>
      <c r="AN84" s="16"/>
      <c r="AO84" s="15"/>
      <c r="AP84" s="15"/>
      <c r="AQ84" s="15"/>
      <c r="AR84" s="15"/>
    </row>
    <row r="85" spans="34:44" ht="15" customHeight="1" x14ac:dyDescent="0.3">
      <c r="AH85" s="15"/>
      <c r="AI85" s="15"/>
      <c r="AJ85" s="15"/>
      <c r="AK85" s="15"/>
      <c r="AL85" s="15"/>
      <c r="AM85" s="15"/>
      <c r="AN85" s="16"/>
      <c r="AO85" s="15"/>
      <c r="AP85" s="15"/>
      <c r="AQ85" s="15"/>
      <c r="AR85" s="15"/>
    </row>
    <row r="86" spans="34:44" ht="15" customHeight="1" x14ac:dyDescent="0.3">
      <c r="AH86" s="15"/>
      <c r="AI86" s="15"/>
      <c r="AJ86" s="15"/>
      <c r="AK86" s="15"/>
      <c r="AL86" s="15"/>
      <c r="AM86" s="15"/>
      <c r="AN86" s="16"/>
      <c r="AO86" s="15"/>
      <c r="AP86" s="15"/>
      <c r="AQ86" s="15"/>
      <c r="AR86" s="15"/>
    </row>
    <row r="87" spans="34:44" ht="15" customHeight="1" x14ac:dyDescent="0.3">
      <c r="AH87" s="15"/>
      <c r="AI87" s="15"/>
      <c r="AJ87" s="15"/>
      <c r="AK87" s="15"/>
      <c r="AL87" s="15"/>
      <c r="AM87" s="15"/>
      <c r="AN87" s="16"/>
      <c r="AO87" s="15"/>
      <c r="AP87" s="15"/>
      <c r="AQ87" s="15"/>
      <c r="AR87" s="15"/>
    </row>
    <row r="88" spans="34:44" ht="15" customHeight="1" x14ac:dyDescent="0.3">
      <c r="AH88" s="15"/>
      <c r="AI88" s="15"/>
      <c r="AJ88" s="15"/>
      <c r="AK88" s="15"/>
      <c r="AL88" s="15"/>
      <c r="AM88" s="15"/>
      <c r="AN88" s="16"/>
      <c r="AO88" s="15"/>
      <c r="AP88" s="15"/>
      <c r="AQ88" s="15"/>
      <c r="AR88" s="15"/>
    </row>
    <row r="89" spans="34:44" ht="15" customHeight="1" x14ac:dyDescent="0.3">
      <c r="AH89" s="15"/>
      <c r="AI89" s="15"/>
      <c r="AJ89" s="15"/>
      <c r="AK89" s="15"/>
      <c r="AL89" s="15"/>
      <c r="AM89" s="15"/>
      <c r="AN89" s="16"/>
      <c r="AO89" s="15"/>
      <c r="AP89" s="15"/>
      <c r="AQ89" s="15"/>
      <c r="AR89" s="15"/>
    </row>
    <row r="90" spans="34:44" ht="15" customHeight="1" x14ac:dyDescent="0.3">
      <c r="AH90" s="15"/>
      <c r="AI90" s="15"/>
      <c r="AJ90" s="15"/>
      <c r="AK90" s="15"/>
      <c r="AL90" s="15"/>
      <c r="AM90" s="15"/>
      <c r="AN90" s="16"/>
      <c r="AO90" s="15"/>
      <c r="AP90" s="15"/>
      <c r="AQ90" s="15"/>
      <c r="AR90" s="15"/>
    </row>
    <row r="91" spans="34:44" ht="15" customHeight="1" x14ac:dyDescent="0.3">
      <c r="AH91" s="15"/>
      <c r="AI91" s="15"/>
      <c r="AJ91" s="15"/>
      <c r="AK91" s="15"/>
      <c r="AL91" s="15"/>
      <c r="AM91" s="15"/>
      <c r="AN91" s="16"/>
      <c r="AO91" s="15"/>
      <c r="AP91" s="15"/>
      <c r="AQ91" s="15"/>
      <c r="AR91" s="15"/>
    </row>
    <row r="92" spans="34:44" ht="15" customHeight="1" x14ac:dyDescent="0.3">
      <c r="AH92" s="15"/>
      <c r="AI92" s="15"/>
      <c r="AJ92" s="15"/>
      <c r="AK92" s="15"/>
      <c r="AL92" s="15"/>
      <c r="AM92" s="15"/>
      <c r="AN92" s="16"/>
      <c r="AO92" s="15"/>
      <c r="AP92" s="15"/>
      <c r="AQ92" s="15"/>
      <c r="AR92" s="15"/>
    </row>
    <row r="93" spans="34:44" ht="15" customHeight="1" x14ac:dyDescent="0.3">
      <c r="AH93" s="15"/>
      <c r="AI93" s="15"/>
      <c r="AJ93" s="15"/>
      <c r="AK93" s="15"/>
      <c r="AL93" s="15"/>
      <c r="AM93" s="15"/>
      <c r="AN93" s="16"/>
      <c r="AO93" s="15"/>
      <c r="AP93" s="15"/>
      <c r="AQ93" s="15"/>
      <c r="AR93" s="15"/>
    </row>
    <row r="94" spans="34:44" ht="15" customHeight="1" x14ac:dyDescent="0.3">
      <c r="AH94" s="15"/>
      <c r="AI94" s="15"/>
      <c r="AJ94" s="15"/>
      <c r="AK94" s="15"/>
      <c r="AL94" s="15"/>
      <c r="AM94" s="15"/>
      <c r="AN94" s="16"/>
      <c r="AO94" s="15"/>
      <c r="AP94" s="15"/>
      <c r="AQ94" s="15"/>
      <c r="AR94" s="15"/>
    </row>
    <row r="95" spans="34:44" ht="15" customHeight="1" x14ac:dyDescent="0.3">
      <c r="AH95" s="15"/>
      <c r="AI95" s="15"/>
      <c r="AJ95" s="15"/>
      <c r="AK95" s="15"/>
      <c r="AL95" s="15"/>
      <c r="AM95" s="15"/>
      <c r="AN95" s="16"/>
      <c r="AO95" s="15"/>
      <c r="AP95" s="15"/>
      <c r="AQ95" s="15"/>
      <c r="AR95" s="15"/>
    </row>
    <row r="96" spans="34:44" ht="15" customHeight="1" x14ac:dyDescent="0.3">
      <c r="AH96" s="15"/>
      <c r="AI96" s="15"/>
      <c r="AJ96" s="15"/>
      <c r="AK96" s="15"/>
      <c r="AL96" s="15"/>
      <c r="AM96" s="15"/>
      <c r="AN96" s="16"/>
      <c r="AO96" s="15"/>
      <c r="AP96" s="15"/>
      <c r="AQ96" s="15"/>
      <c r="AR96" s="15"/>
    </row>
    <row r="97" spans="34:44" ht="15" customHeight="1" x14ac:dyDescent="0.3">
      <c r="AH97" s="15"/>
      <c r="AI97" s="15"/>
      <c r="AJ97" s="15"/>
      <c r="AK97" s="15"/>
      <c r="AL97" s="15"/>
      <c r="AM97" s="15"/>
      <c r="AN97" s="16"/>
      <c r="AO97" s="15"/>
      <c r="AP97" s="15"/>
      <c r="AQ97" s="15"/>
      <c r="AR97" s="15"/>
    </row>
    <row r="98" spans="34:44" ht="15" customHeight="1" x14ac:dyDescent="0.3">
      <c r="AH98" s="15"/>
      <c r="AI98" s="15"/>
      <c r="AJ98" s="15"/>
      <c r="AK98" s="15"/>
      <c r="AL98" s="15"/>
      <c r="AM98" s="15"/>
      <c r="AN98" s="16"/>
      <c r="AO98" s="15"/>
      <c r="AP98" s="15"/>
      <c r="AQ98" s="15"/>
      <c r="AR98" s="15"/>
    </row>
    <row r="99" spans="34:44" ht="15" customHeight="1" x14ac:dyDescent="0.3">
      <c r="AH99" s="15"/>
      <c r="AI99" s="15"/>
      <c r="AJ99" s="15"/>
      <c r="AK99" s="15"/>
      <c r="AL99" s="15"/>
      <c r="AM99" s="15"/>
      <c r="AN99" s="16"/>
      <c r="AO99" s="15"/>
      <c r="AP99" s="15"/>
      <c r="AQ99" s="15"/>
      <c r="AR99" s="15"/>
    </row>
    <row r="100" spans="34:44" ht="15" customHeight="1" x14ac:dyDescent="0.3">
      <c r="AH100" s="15"/>
      <c r="AI100" s="15"/>
      <c r="AJ100" s="15"/>
      <c r="AK100" s="15"/>
      <c r="AL100" s="15"/>
      <c r="AM100" s="15"/>
      <c r="AN100" s="16"/>
      <c r="AO100" s="15"/>
      <c r="AP100" s="15"/>
      <c r="AQ100" s="15"/>
      <c r="AR100" s="15"/>
    </row>
    <row r="101" spans="34:44" ht="15" customHeight="1" x14ac:dyDescent="0.3">
      <c r="AH101" s="15"/>
      <c r="AI101" s="15"/>
      <c r="AJ101" s="15"/>
      <c r="AK101" s="15"/>
      <c r="AL101" s="15"/>
      <c r="AM101" s="15"/>
      <c r="AN101" s="16"/>
      <c r="AO101" s="15"/>
      <c r="AP101" s="15"/>
      <c r="AQ101" s="15"/>
      <c r="AR101" s="15"/>
    </row>
    <row r="102" spans="34:44" ht="15" customHeight="1" x14ac:dyDescent="0.3">
      <c r="AH102" s="15"/>
      <c r="AI102" s="15"/>
      <c r="AJ102" s="15"/>
      <c r="AK102" s="15"/>
      <c r="AL102" s="15"/>
      <c r="AM102" s="15"/>
      <c r="AN102" s="16"/>
      <c r="AO102" s="15"/>
      <c r="AP102" s="15"/>
      <c r="AQ102" s="15"/>
      <c r="AR102" s="15"/>
    </row>
    <row r="103" spans="34:44" ht="15" customHeight="1" x14ac:dyDescent="0.3">
      <c r="AH103" s="15"/>
      <c r="AI103" s="15"/>
      <c r="AJ103" s="15"/>
      <c r="AK103" s="15"/>
      <c r="AL103" s="15"/>
      <c r="AM103" s="15"/>
      <c r="AN103" s="16"/>
      <c r="AO103" s="15"/>
      <c r="AP103" s="15"/>
      <c r="AQ103" s="15"/>
      <c r="AR103" s="15"/>
    </row>
    <row r="104" spans="34:44" ht="15" customHeight="1" x14ac:dyDescent="0.3">
      <c r="AH104" s="15"/>
      <c r="AI104" s="15"/>
      <c r="AJ104" s="15"/>
      <c r="AK104" s="15"/>
      <c r="AL104" s="15"/>
      <c r="AM104" s="15"/>
      <c r="AN104" s="16"/>
      <c r="AO104" s="15"/>
      <c r="AP104" s="15"/>
      <c r="AQ104" s="15"/>
      <c r="AR104" s="15"/>
    </row>
    <row r="105" spans="34:44" ht="15" customHeight="1" x14ac:dyDescent="0.3">
      <c r="AH105" s="15"/>
      <c r="AI105" s="15"/>
      <c r="AJ105" s="15"/>
      <c r="AK105" s="15"/>
      <c r="AL105" s="15"/>
      <c r="AM105" s="15"/>
      <c r="AN105" s="16"/>
      <c r="AO105" s="15"/>
      <c r="AP105" s="15"/>
      <c r="AQ105" s="15"/>
      <c r="AR105" s="15"/>
    </row>
    <row r="106" spans="34:44" ht="15" customHeight="1" x14ac:dyDescent="0.3">
      <c r="AH106" s="15"/>
      <c r="AI106" s="15"/>
      <c r="AJ106" s="15"/>
      <c r="AK106" s="15"/>
      <c r="AL106" s="15"/>
      <c r="AM106" s="15"/>
      <c r="AN106" s="16"/>
      <c r="AO106" s="15"/>
      <c r="AP106" s="15"/>
      <c r="AQ106" s="15"/>
      <c r="AR106" s="15"/>
    </row>
    <row r="107" spans="34:44" ht="15" customHeight="1" x14ac:dyDescent="0.3">
      <c r="AH107" s="15"/>
      <c r="AI107" s="15"/>
      <c r="AJ107" s="15"/>
      <c r="AK107" s="15"/>
      <c r="AL107" s="15"/>
      <c r="AM107" s="15"/>
      <c r="AN107" s="16"/>
      <c r="AO107" s="15"/>
      <c r="AP107" s="15"/>
      <c r="AQ107" s="15"/>
      <c r="AR107" s="15"/>
    </row>
    <row r="108" spans="34:44" ht="15" customHeight="1" x14ac:dyDescent="0.3">
      <c r="AH108" s="15"/>
      <c r="AI108" s="15"/>
      <c r="AJ108" s="15"/>
      <c r="AK108" s="15"/>
      <c r="AL108" s="15"/>
      <c r="AM108" s="15"/>
      <c r="AN108" s="16"/>
      <c r="AO108" s="15"/>
      <c r="AP108" s="15"/>
      <c r="AQ108" s="15"/>
      <c r="AR108" s="15"/>
    </row>
    <row r="109" spans="34:44" ht="15" customHeight="1" x14ac:dyDescent="0.3">
      <c r="AH109" s="15"/>
      <c r="AI109" s="15"/>
      <c r="AJ109" s="15"/>
      <c r="AK109" s="15"/>
      <c r="AL109" s="15"/>
      <c r="AM109" s="15"/>
      <c r="AN109" s="16"/>
      <c r="AO109" s="15"/>
      <c r="AP109" s="15"/>
      <c r="AQ109" s="15"/>
      <c r="AR109" s="15"/>
    </row>
    <row r="110" spans="34:44" ht="15" customHeight="1" x14ac:dyDescent="0.3">
      <c r="AH110" s="15"/>
      <c r="AI110" s="15"/>
      <c r="AJ110" s="15"/>
      <c r="AK110" s="15"/>
      <c r="AL110" s="15"/>
      <c r="AM110" s="15"/>
      <c r="AN110" s="16"/>
      <c r="AO110" s="15"/>
      <c r="AP110" s="15"/>
      <c r="AQ110" s="15"/>
      <c r="AR110" s="15"/>
    </row>
    <row r="111" spans="34:44" ht="15" customHeight="1" x14ac:dyDescent="0.3">
      <c r="AH111" s="15"/>
      <c r="AI111" s="15"/>
      <c r="AJ111" s="15"/>
      <c r="AK111" s="15"/>
      <c r="AL111" s="15"/>
      <c r="AM111" s="15"/>
      <c r="AN111" s="16"/>
      <c r="AO111" s="15"/>
      <c r="AP111" s="15"/>
      <c r="AQ111" s="15"/>
      <c r="AR111" s="15"/>
    </row>
    <row r="112" spans="34:44" ht="15" customHeight="1" x14ac:dyDescent="0.3">
      <c r="AH112" s="15"/>
      <c r="AI112" s="15"/>
      <c r="AJ112" s="15"/>
      <c r="AK112" s="15"/>
      <c r="AL112" s="15"/>
      <c r="AM112" s="15"/>
      <c r="AN112" s="16"/>
      <c r="AO112" s="15"/>
      <c r="AP112" s="15"/>
      <c r="AQ112" s="15"/>
      <c r="AR112" s="15"/>
    </row>
    <row r="113" spans="34:44" ht="15" customHeight="1" x14ac:dyDescent="0.3">
      <c r="AH113" s="15"/>
      <c r="AI113" s="15"/>
      <c r="AJ113" s="15"/>
      <c r="AK113" s="15"/>
      <c r="AL113" s="15"/>
      <c r="AM113" s="15"/>
      <c r="AN113" s="16"/>
      <c r="AO113" s="15"/>
      <c r="AP113" s="15"/>
      <c r="AQ113" s="15"/>
      <c r="AR113" s="15"/>
    </row>
    <row r="114" spans="34:44" ht="15" customHeight="1" x14ac:dyDescent="0.3">
      <c r="AH114" s="15"/>
      <c r="AI114" s="15"/>
      <c r="AJ114" s="15"/>
      <c r="AK114" s="15"/>
      <c r="AL114" s="15"/>
      <c r="AM114" s="15"/>
      <c r="AN114" s="16"/>
      <c r="AO114" s="15"/>
      <c r="AP114" s="15"/>
      <c r="AQ114" s="15"/>
      <c r="AR114" s="15"/>
    </row>
    <row r="115" spans="34:44" ht="15" customHeight="1" x14ac:dyDescent="0.3">
      <c r="AH115" s="15"/>
      <c r="AI115" s="15"/>
      <c r="AJ115" s="15"/>
      <c r="AK115" s="15"/>
      <c r="AL115" s="15"/>
      <c r="AM115" s="15"/>
      <c r="AN115" s="16"/>
      <c r="AO115" s="15"/>
      <c r="AP115" s="15"/>
      <c r="AQ115" s="15"/>
      <c r="AR115" s="15"/>
    </row>
    <row r="116" spans="34:44" ht="15" customHeight="1" x14ac:dyDescent="0.3">
      <c r="AH116" s="15"/>
      <c r="AI116" s="15"/>
      <c r="AJ116" s="15"/>
      <c r="AK116" s="15"/>
      <c r="AL116" s="15"/>
      <c r="AM116" s="15"/>
      <c r="AN116" s="16"/>
      <c r="AO116" s="15"/>
      <c r="AP116" s="15"/>
      <c r="AQ116" s="15"/>
      <c r="AR116" s="15"/>
    </row>
    <row r="117" spans="34:44" ht="15" customHeight="1" x14ac:dyDescent="0.3">
      <c r="AH117" s="15"/>
      <c r="AI117" s="15"/>
      <c r="AJ117" s="15"/>
      <c r="AK117" s="15"/>
      <c r="AL117" s="15"/>
      <c r="AM117" s="15"/>
      <c r="AN117" s="16"/>
      <c r="AO117" s="15"/>
      <c r="AP117" s="15"/>
      <c r="AQ117" s="15"/>
      <c r="AR117" s="15"/>
    </row>
    <row r="118" spans="34:44" ht="15" customHeight="1" x14ac:dyDescent="0.3">
      <c r="AH118" s="15"/>
      <c r="AI118" s="15"/>
      <c r="AJ118" s="15"/>
      <c r="AK118" s="15"/>
      <c r="AL118" s="15"/>
      <c r="AM118" s="15"/>
      <c r="AN118" s="16"/>
      <c r="AO118" s="15"/>
      <c r="AP118" s="15"/>
      <c r="AQ118" s="15"/>
      <c r="AR118" s="15"/>
    </row>
    <row r="119" spans="34:44" ht="15" customHeight="1" x14ac:dyDescent="0.3">
      <c r="AH119" s="15"/>
      <c r="AI119" s="15"/>
      <c r="AJ119" s="15"/>
      <c r="AK119" s="15"/>
      <c r="AL119" s="15"/>
      <c r="AM119" s="15"/>
      <c r="AN119" s="16"/>
      <c r="AO119" s="15"/>
      <c r="AP119" s="15"/>
      <c r="AQ119" s="15"/>
      <c r="AR119" s="15"/>
    </row>
    <row r="120" spans="34:44" ht="15" customHeight="1" x14ac:dyDescent="0.3">
      <c r="AH120" s="15"/>
      <c r="AI120" s="15"/>
      <c r="AJ120" s="15"/>
      <c r="AK120" s="15"/>
      <c r="AL120" s="15"/>
      <c r="AM120" s="15"/>
      <c r="AN120" s="16"/>
      <c r="AO120" s="15"/>
      <c r="AP120" s="15"/>
      <c r="AQ120" s="15"/>
      <c r="AR120" s="15"/>
    </row>
    <row r="121" spans="34:44" ht="15" customHeight="1" x14ac:dyDescent="0.3">
      <c r="AH121" s="15"/>
      <c r="AI121" s="15"/>
      <c r="AJ121" s="15"/>
      <c r="AK121" s="15"/>
      <c r="AL121" s="15"/>
      <c r="AM121" s="15"/>
      <c r="AN121" s="16"/>
      <c r="AO121" s="15"/>
      <c r="AP121" s="15"/>
      <c r="AQ121" s="15"/>
      <c r="AR121" s="15"/>
    </row>
    <row r="122" spans="34:44" ht="15" customHeight="1" x14ac:dyDescent="0.3">
      <c r="AH122" s="15"/>
      <c r="AI122" s="15"/>
      <c r="AJ122" s="15"/>
      <c r="AK122" s="15"/>
      <c r="AL122" s="15"/>
      <c r="AM122" s="15"/>
      <c r="AN122" s="16"/>
      <c r="AO122" s="15"/>
      <c r="AP122" s="15"/>
      <c r="AQ122" s="15"/>
      <c r="AR122" s="15"/>
    </row>
    <row r="123" spans="34:44" ht="15" customHeight="1" x14ac:dyDescent="0.3">
      <c r="AH123" s="15"/>
      <c r="AI123" s="15"/>
      <c r="AJ123" s="15"/>
      <c r="AK123" s="15"/>
      <c r="AL123" s="15"/>
      <c r="AM123" s="15"/>
      <c r="AN123" s="16"/>
      <c r="AO123" s="15"/>
      <c r="AP123" s="15"/>
      <c r="AQ123" s="15"/>
      <c r="AR123" s="15"/>
    </row>
    <row r="124" spans="34:44" ht="15" customHeight="1" x14ac:dyDescent="0.3">
      <c r="AH124" s="15"/>
      <c r="AI124" s="15"/>
      <c r="AJ124" s="15"/>
      <c r="AK124" s="15"/>
      <c r="AL124" s="15"/>
      <c r="AM124" s="15"/>
      <c r="AN124" s="16"/>
      <c r="AO124" s="15"/>
      <c r="AP124" s="15"/>
      <c r="AQ124" s="15"/>
      <c r="AR124" s="15"/>
    </row>
    <row r="125" spans="34:44" ht="15" customHeight="1" x14ac:dyDescent="0.3">
      <c r="AH125" s="15"/>
      <c r="AI125" s="15"/>
      <c r="AJ125" s="15"/>
      <c r="AK125" s="15"/>
      <c r="AL125" s="15"/>
      <c r="AM125" s="15"/>
      <c r="AN125" s="16"/>
      <c r="AO125" s="15"/>
      <c r="AP125" s="15"/>
      <c r="AQ125" s="15"/>
      <c r="AR125" s="15"/>
    </row>
    <row r="126" spans="34:44" ht="15" customHeight="1" x14ac:dyDescent="0.3">
      <c r="AH126" s="15"/>
      <c r="AI126" s="15"/>
      <c r="AJ126" s="15"/>
      <c r="AK126" s="15"/>
      <c r="AL126" s="15"/>
      <c r="AM126" s="15"/>
      <c r="AN126" s="16"/>
      <c r="AO126" s="15"/>
      <c r="AP126" s="15"/>
      <c r="AQ126" s="15"/>
      <c r="AR126" s="15"/>
    </row>
    <row r="127" spans="34:44" ht="15" customHeight="1" x14ac:dyDescent="0.3">
      <c r="AH127" s="15"/>
      <c r="AI127" s="15"/>
      <c r="AJ127" s="15"/>
      <c r="AK127" s="15"/>
      <c r="AL127" s="15"/>
      <c r="AM127" s="15"/>
      <c r="AN127" s="16"/>
      <c r="AO127" s="15"/>
      <c r="AP127" s="15"/>
      <c r="AQ127" s="15"/>
      <c r="AR127" s="15"/>
    </row>
    <row r="128" spans="34:44" ht="15" customHeight="1" x14ac:dyDescent="0.3">
      <c r="AH128" s="15"/>
      <c r="AI128" s="15"/>
      <c r="AJ128" s="15"/>
      <c r="AK128" s="15"/>
      <c r="AL128" s="15"/>
      <c r="AM128" s="15"/>
      <c r="AN128" s="16"/>
      <c r="AO128" s="15"/>
      <c r="AP128" s="15"/>
      <c r="AQ128" s="15"/>
      <c r="AR128" s="15"/>
    </row>
    <row r="129" spans="34:44" ht="15" customHeight="1" x14ac:dyDescent="0.3">
      <c r="AH129" s="15"/>
      <c r="AI129" s="15"/>
      <c r="AJ129" s="15"/>
      <c r="AK129" s="15"/>
      <c r="AL129" s="15"/>
      <c r="AM129" s="15"/>
      <c r="AN129" s="16"/>
      <c r="AO129" s="15"/>
      <c r="AP129" s="15"/>
      <c r="AQ129" s="15"/>
      <c r="AR129" s="15"/>
    </row>
    <row r="130" spans="34:44" ht="15" customHeight="1" x14ac:dyDescent="0.3">
      <c r="AH130" s="15"/>
      <c r="AI130" s="15"/>
      <c r="AJ130" s="15"/>
      <c r="AK130" s="15"/>
      <c r="AL130" s="15"/>
      <c r="AM130" s="15"/>
      <c r="AN130" s="16"/>
      <c r="AO130" s="15"/>
      <c r="AP130" s="15"/>
      <c r="AQ130" s="15"/>
      <c r="AR130" s="15"/>
    </row>
    <row r="131" spans="34:44" ht="15" customHeight="1" x14ac:dyDescent="0.3">
      <c r="AH131" s="15"/>
      <c r="AI131" s="15"/>
      <c r="AJ131" s="15"/>
      <c r="AK131" s="15"/>
      <c r="AL131" s="15"/>
      <c r="AM131" s="15"/>
      <c r="AN131" s="16"/>
      <c r="AO131" s="15"/>
      <c r="AP131" s="15"/>
      <c r="AQ131" s="15"/>
      <c r="AR131" s="15"/>
    </row>
    <row r="132" spans="34:44" ht="15" customHeight="1" x14ac:dyDescent="0.3">
      <c r="AH132" s="15"/>
      <c r="AI132" s="15"/>
      <c r="AJ132" s="15"/>
      <c r="AK132" s="15"/>
      <c r="AL132" s="15"/>
      <c r="AM132" s="15"/>
      <c r="AN132" s="16"/>
      <c r="AO132" s="15"/>
      <c r="AP132" s="15"/>
      <c r="AQ132" s="15"/>
      <c r="AR132" s="15"/>
    </row>
    <row r="133" spans="34:44" ht="15" customHeight="1" x14ac:dyDescent="0.3">
      <c r="AH133" s="15"/>
      <c r="AI133" s="15"/>
      <c r="AJ133" s="15"/>
      <c r="AK133" s="15"/>
      <c r="AL133" s="15"/>
      <c r="AM133" s="15"/>
      <c r="AN133" s="16"/>
      <c r="AO133" s="15"/>
      <c r="AP133" s="15"/>
      <c r="AQ133" s="15"/>
      <c r="AR133" s="15"/>
    </row>
    <row r="134" spans="34:44" ht="15" customHeight="1" x14ac:dyDescent="0.3">
      <c r="AH134" s="15"/>
      <c r="AI134" s="15"/>
      <c r="AJ134" s="15"/>
      <c r="AK134" s="15"/>
      <c r="AL134" s="15"/>
      <c r="AM134" s="15"/>
      <c r="AN134" s="16"/>
      <c r="AO134" s="15"/>
      <c r="AP134" s="15"/>
      <c r="AQ134" s="15"/>
      <c r="AR134" s="15"/>
    </row>
    <row r="135" spans="34:44" ht="15" customHeight="1" x14ac:dyDescent="0.3">
      <c r="AH135" s="15"/>
      <c r="AI135" s="15"/>
      <c r="AJ135" s="15"/>
      <c r="AK135" s="15"/>
      <c r="AL135" s="15"/>
      <c r="AM135" s="15"/>
      <c r="AN135" s="16"/>
      <c r="AO135" s="15"/>
      <c r="AP135" s="15"/>
      <c r="AQ135" s="15"/>
      <c r="AR135" s="15"/>
    </row>
    <row r="136" spans="34:44" ht="15" customHeight="1" x14ac:dyDescent="0.3">
      <c r="AH136" s="15"/>
      <c r="AI136" s="15"/>
      <c r="AJ136" s="15"/>
      <c r="AK136" s="15"/>
      <c r="AL136" s="15"/>
      <c r="AM136" s="15"/>
      <c r="AN136" s="16"/>
      <c r="AO136" s="15"/>
      <c r="AP136" s="15"/>
      <c r="AQ136" s="15"/>
      <c r="AR136" s="15"/>
    </row>
    <row r="137" spans="34:44" ht="15" customHeight="1" x14ac:dyDescent="0.3">
      <c r="AH137" s="15"/>
      <c r="AI137" s="15"/>
      <c r="AJ137" s="15"/>
      <c r="AK137" s="15"/>
      <c r="AL137" s="15"/>
      <c r="AM137" s="15"/>
      <c r="AN137" s="16"/>
      <c r="AO137" s="15"/>
      <c r="AP137" s="15"/>
      <c r="AQ137" s="15"/>
      <c r="AR137" s="15"/>
    </row>
    <row r="138" spans="34:44" ht="15" customHeight="1" x14ac:dyDescent="0.3">
      <c r="AH138" s="15"/>
      <c r="AI138" s="15"/>
      <c r="AJ138" s="15"/>
      <c r="AK138" s="15"/>
      <c r="AL138" s="15"/>
      <c r="AM138" s="15"/>
      <c r="AN138" s="16"/>
      <c r="AO138" s="15"/>
      <c r="AP138" s="15"/>
      <c r="AQ138" s="15"/>
      <c r="AR138" s="15"/>
    </row>
    <row r="139" spans="34:44" ht="15" customHeight="1" x14ac:dyDescent="0.3">
      <c r="AH139" s="15"/>
      <c r="AI139" s="15"/>
      <c r="AJ139" s="15"/>
      <c r="AK139" s="15"/>
      <c r="AL139" s="15"/>
      <c r="AM139" s="15"/>
      <c r="AN139" s="16"/>
      <c r="AO139" s="15"/>
      <c r="AP139" s="15"/>
      <c r="AQ139" s="15"/>
      <c r="AR139" s="15"/>
    </row>
    <row r="140" spans="34:44" ht="15" customHeight="1" x14ac:dyDescent="0.3">
      <c r="AH140" s="15"/>
      <c r="AI140" s="15"/>
      <c r="AJ140" s="15"/>
      <c r="AK140" s="15"/>
      <c r="AL140" s="15"/>
      <c r="AM140" s="15"/>
      <c r="AN140" s="16"/>
      <c r="AO140" s="15"/>
      <c r="AP140" s="15"/>
      <c r="AQ140" s="15"/>
      <c r="AR140" s="15"/>
    </row>
    <row r="141" spans="34:44" ht="15" customHeight="1" x14ac:dyDescent="0.3">
      <c r="AH141" s="15"/>
      <c r="AI141" s="15"/>
      <c r="AJ141" s="15"/>
      <c r="AK141" s="15"/>
      <c r="AL141" s="15"/>
      <c r="AM141" s="15"/>
      <c r="AN141" s="16"/>
      <c r="AO141" s="15"/>
      <c r="AP141" s="15"/>
      <c r="AQ141" s="15"/>
      <c r="AR141" s="15"/>
    </row>
    <row r="142" spans="34:44" ht="15" customHeight="1" x14ac:dyDescent="0.3">
      <c r="AH142" s="15"/>
      <c r="AI142" s="15"/>
      <c r="AJ142" s="15"/>
      <c r="AK142" s="15"/>
      <c r="AL142" s="15"/>
      <c r="AM142" s="15"/>
      <c r="AN142" s="16"/>
      <c r="AO142" s="15"/>
      <c r="AP142" s="15"/>
      <c r="AQ142" s="15"/>
      <c r="AR142" s="15"/>
    </row>
    <row r="143" spans="34:44" ht="15" customHeight="1" x14ac:dyDescent="0.3">
      <c r="AH143" s="15"/>
      <c r="AI143" s="15"/>
      <c r="AJ143" s="15"/>
      <c r="AK143" s="15"/>
      <c r="AL143" s="15"/>
      <c r="AM143" s="15"/>
      <c r="AN143" s="16"/>
      <c r="AO143" s="15"/>
      <c r="AP143" s="15"/>
      <c r="AQ143" s="15"/>
      <c r="AR143" s="15"/>
    </row>
    <row r="144" spans="34:44" ht="15" customHeight="1" x14ac:dyDescent="0.3">
      <c r="AH144" s="15"/>
      <c r="AI144" s="15"/>
      <c r="AJ144" s="15"/>
      <c r="AK144" s="15"/>
      <c r="AL144" s="15"/>
      <c r="AM144" s="15"/>
      <c r="AN144" s="16"/>
      <c r="AO144" s="15"/>
      <c r="AP144" s="15"/>
      <c r="AQ144" s="15"/>
      <c r="AR144" s="15"/>
    </row>
    <row r="145" spans="34:44" ht="15" customHeight="1" x14ac:dyDescent="0.3">
      <c r="AH145" s="15"/>
      <c r="AI145" s="15"/>
      <c r="AJ145" s="15"/>
      <c r="AK145" s="15"/>
      <c r="AL145" s="15"/>
      <c r="AM145" s="15"/>
      <c r="AN145" s="16"/>
      <c r="AO145" s="15"/>
      <c r="AP145" s="15"/>
      <c r="AQ145" s="15"/>
      <c r="AR145" s="15"/>
    </row>
    <row r="146" spans="34:44" ht="15" customHeight="1" x14ac:dyDescent="0.3">
      <c r="AH146" s="15"/>
      <c r="AI146" s="15"/>
      <c r="AJ146" s="15"/>
      <c r="AK146" s="15"/>
      <c r="AL146" s="15"/>
      <c r="AM146" s="15"/>
      <c r="AN146" s="16"/>
      <c r="AO146" s="15"/>
      <c r="AP146" s="15"/>
      <c r="AQ146" s="15"/>
      <c r="AR146" s="15"/>
    </row>
    <row r="147" spans="34:44" ht="15" customHeight="1" x14ac:dyDescent="0.3">
      <c r="AH147" s="15"/>
      <c r="AI147" s="15"/>
      <c r="AJ147" s="15"/>
      <c r="AK147" s="15"/>
      <c r="AL147" s="15"/>
      <c r="AM147" s="15"/>
      <c r="AN147" s="16"/>
      <c r="AO147" s="15"/>
      <c r="AP147" s="15"/>
      <c r="AQ147" s="15"/>
      <c r="AR147" s="15"/>
    </row>
    <row r="148" spans="34:44" ht="15" customHeight="1" x14ac:dyDescent="0.3">
      <c r="AH148" s="15"/>
      <c r="AI148" s="15"/>
      <c r="AJ148" s="15"/>
      <c r="AK148" s="15"/>
      <c r="AL148" s="15"/>
      <c r="AM148" s="15"/>
      <c r="AN148" s="16"/>
      <c r="AO148" s="15"/>
      <c r="AP148" s="15"/>
      <c r="AQ148" s="15"/>
      <c r="AR148" s="15"/>
    </row>
    <row r="149" spans="34:44" ht="15" customHeight="1" x14ac:dyDescent="0.3">
      <c r="AH149" s="15"/>
      <c r="AI149" s="15"/>
      <c r="AJ149" s="15"/>
      <c r="AK149" s="15"/>
      <c r="AL149" s="15"/>
      <c r="AM149" s="15"/>
      <c r="AN149" s="16"/>
      <c r="AO149" s="15"/>
      <c r="AP149" s="15"/>
      <c r="AQ149" s="15"/>
      <c r="AR149" s="15"/>
    </row>
    <row r="150" spans="34:44" ht="15" customHeight="1" x14ac:dyDescent="0.3">
      <c r="AH150" s="15"/>
      <c r="AI150" s="15"/>
      <c r="AJ150" s="15"/>
      <c r="AK150" s="15"/>
      <c r="AL150" s="15"/>
      <c r="AM150" s="15"/>
      <c r="AN150" s="16"/>
      <c r="AO150" s="15"/>
      <c r="AP150" s="15"/>
      <c r="AQ150" s="15"/>
      <c r="AR150" s="15"/>
    </row>
    <row r="151" spans="34:44" ht="15" customHeight="1" x14ac:dyDescent="0.3">
      <c r="AH151" s="15"/>
      <c r="AI151" s="15"/>
      <c r="AJ151" s="15"/>
      <c r="AK151" s="15"/>
      <c r="AL151" s="15"/>
      <c r="AM151" s="15"/>
      <c r="AN151" s="16"/>
      <c r="AO151" s="15"/>
      <c r="AP151" s="15"/>
      <c r="AQ151" s="15"/>
      <c r="AR151" s="15"/>
    </row>
    <row r="152" spans="34:44" ht="15" customHeight="1" x14ac:dyDescent="0.3">
      <c r="AH152" s="15"/>
      <c r="AI152" s="15"/>
      <c r="AJ152" s="15"/>
      <c r="AK152" s="15"/>
      <c r="AL152" s="15"/>
      <c r="AM152" s="15"/>
      <c r="AN152" s="16"/>
      <c r="AO152" s="15"/>
      <c r="AP152" s="15"/>
      <c r="AQ152" s="15"/>
      <c r="AR152" s="15"/>
    </row>
    <row r="153" spans="34:44" ht="15" customHeight="1" x14ac:dyDescent="0.3">
      <c r="AH153" s="15"/>
      <c r="AI153" s="15"/>
      <c r="AJ153" s="15"/>
      <c r="AK153" s="15"/>
      <c r="AL153" s="15"/>
      <c r="AM153" s="15"/>
      <c r="AN153" s="16"/>
      <c r="AO153" s="15"/>
      <c r="AP153" s="15"/>
      <c r="AQ153" s="15"/>
      <c r="AR153" s="15"/>
    </row>
    <row r="154" spans="34:44" ht="15" customHeight="1" x14ac:dyDescent="0.3">
      <c r="AH154" s="15"/>
      <c r="AI154" s="15"/>
      <c r="AJ154" s="15"/>
      <c r="AK154" s="15"/>
      <c r="AL154" s="15"/>
      <c r="AM154" s="15"/>
      <c r="AN154" s="16"/>
      <c r="AO154" s="15"/>
      <c r="AP154" s="15"/>
      <c r="AQ154" s="15"/>
      <c r="AR154" s="15"/>
    </row>
    <row r="155" spans="34:44" ht="15" customHeight="1" x14ac:dyDescent="0.3">
      <c r="AH155" s="15"/>
      <c r="AI155" s="15"/>
      <c r="AJ155" s="15"/>
      <c r="AK155" s="15"/>
      <c r="AL155" s="15"/>
      <c r="AM155" s="15"/>
      <c r="AN155" s="16"/>
      <c r="AO155" s="15"/>
      <c r="AP155" s="15"/>
      <c r="AQ155" s="15"/>
      <c r="AR155" s="15"/>
    </row>
    <row r="156" spans="34:44" ht="15" customHeight="1" x14ac:dyDescent="0.3">
      <c r="AH156" s="15"/>
      <c r="AI156" s="15"/>
      <c r="AJ156" s="15"/>
      <c r="AK156" s="15"/>
      <c r="AL156" s="15"/>
      <c r="AM156" s="15"/>
      <c r="AN156" s="16"/>
      <c r="AO156" s="15"/>
      <c r="AP156" s="15"/>
      <c r="AQ156" s="15"/>
      <c r="AR156" s="15"/>
    </row>
    <row r="157" spans="34:44" ht="15" customHeight="1" x14ac:dyDescent="0.3">
      <c r="AH157" s="15"/>
      <c r="AI157" s="15"/>
      <c r="AJ157" s="15"/>
      <c r="AK157" s="15"/>
      <c r="AL157" s="15"/>
      <c r="AM157" s="15"/>
      <c r="AN157" s="16"/>
      <c r="AO157" s="15"/>
      <c r="AP157" s="15"/>
      <c r="AQ157" s="15"/>
      <c r="AR157" s="15"/>
    </row>
    <row r="158" spans="34:44" ht="15" customHeight="1" x14ac:dyDescent="0.3">
      <c r="AH158" s="15"/>
      <c r="AI158" s="15"/>
      <c r="AJ158" s="15"/>
      <c r="AK158" s="15"/>
      <c r="AL158" s="15"/>
      <c r="AM158" s="15"/>
      <c r="AN158" s="16"/>
      <c r="AO158" s="15"/>
      <c r="AP158" s="15"/>
      <c r="AQ158" s="15"/>
      <c r="AR158" s="15"/>
    </row>
    <row r="159" spans="34:44" ht="15" customHeight="1" x14ac:dyDescent="0.3">
      <c r="AH159" s="15"/>
      <c r="AI159" s="15"/>
      <c r="AJ159" s="15"/>
      <c r="AK159" s="15"/>
      <c r="AL159" s="15"/>
      <c r="AM159" s="15"/>
      <c r="AN159" s="16"/>
      <c r="AO159" s="15"/>
      <c r="AP159" s="15"/>
      <c r="AQ159" s="15"/>
      <c r="AR159" s="15"/>
    </row>
    <row r="160" spans="34:44" ht="15" customHeight="1" x14ac:dyDescent="0.3">
      <c r="AH160" s="15"/>
      <c r="AI160" s="15"/>
      <c r="AJ160" s="15"/>
      <c r="AK160" s="15"/>
      <c r="AL160" s="15"/>
      <c r="AM160" s="15"/>
      <c r="AN160" s="16"/>
      <c r="AO160" s="15"/>
      <c r="AP160" s="15"/>
      <c r="AQ160" s="15"/>
      <c r="AR160" s="15"/>
    </row>
    <row r="161" spans="34:44" ht="15" customHeight="1" x14ac:dyDescent="0.3">
      <c r="AH161" s="15"/>
      <c r="AI161" s="15"/>
      <c r="AJ161" s="15"/>
      <c r="AK161" s="15"/>
      <c r="AL161" s="15"/>
      <c r="AM161" s="15"/>
      <c r="AN161" s="16"/>
      <c r="AO161" s="15"/>
      <c r="AP161" s="15"/>
      <c r="AQ161" s="15"/>
      <c r="AR161" s="15"/>
    </row>
    <row r="162" spans="34:44" ht="15" customHeight="1" x14ac:dyDescent="0.3">
      <c r="AH162" s="15"/>
      <c r="AI162" s="15"/>
      <c r="AJ162" s="15"/>
      <c r="AK162" s="15"/>
      <c r="AL162" s="15"/>
      <c r="AM162" s="15"/>
      <c r="AN162" s="16"/>
      <c r="AO162" s="15"/>
      <c r="AP162" s="15"/>
      <c r="AQ162" s="15"/>
      <c r="AR162" s="15"/>
    </row>
    <row r="163" spans="34:44" ht="15" customHeight="1" x14ac:dyDescent="0.3">
      <c r="AH163" s="15"/>
      <c r="AI163" s="15"/>
      <c r="AJ163" s="15"/>
      <c r="AK163" s="15"/>
      <c r="AL163" s="15"/>
      <c r="AM163" s="15"/>
      <c r="AN163" s="16"/>
      <c r="AO163" s="15"/>
      <c r="AP163" s="15"/>
      <c r="AQ163" s="15"/>
      <c r="AR163" s="15"/>
    </row>
    <row r="164" spans="34:44" ht="15" customHeight="1" x14ac:dyDescent="0.3">
      <c r="AH164" s="15"/>
      <c r="AI164" s="15"/>
      <c r="AJ164" s="15"/>
      <c r="AK164" s="15"/>
      <c r="AL164" s="15"/>
      <c r="AM164" s="15"/>
      <c r="AN164" s="16"/>
      <c r="AO164" s="15"/>
      <c r="AP164" s="15"/>
      <c r="AQ164" s="15"/>
      <c r="AR164" s="15"/>
    </row>
    <row r="165" spans="34:44" ht="15" customHeight="1" x14ac:dyDescent="0.3">
      <c r="AH165" s="15"/>
      <c r="AI165" s="15"/>
      <c r="AJ165" s="15"/>
      <c r="AK165" s="15"/>
      <c r="AL165" s="15"/>
      <c r="AM165" s="15"/>
      <c r="AN165" s="16"/>
      <c r="AO165" s="15"/>
      <c r="AP165" s="15"/>
      <c r="AQ165" s="15"/>
      <c r="AR165" s="15"/>
    </row>
    <row r="166" spans="34:44" ht="15" customHeight="1" x14ac:dyDescent="0.3">
      <c r="AH166" s="15"/>
      <c r="AI166" s="15"/>
      <c r="AJ166" s="15"/>
      <c r="AK166" s="15"/>
      <c r="AL166" s="15"/>
      <c r="AM166" s="15"/>
      <c r="AN166" s="16"/>
      <c r="AO166" s="15"/>
      <c r="AP166" s="15"/>
      <c r="AQ166" s="15"/>
      <c r="AR166" s="15"/>
    </row>
    <row r="167" spans="34:44" ht="15" customHeight="1" x14ac:dyDescent="0.3">
      <c r="AH167" s="15"/>
      <c r="AI167" s="15"/>
      <c r="AJ167" s="15"/>
      <c r="AK167" s="15"/>
      <c r="AL167" s="15"/>
      <c r="AM167" s="15"/>
      <c r="AN167" s="16"/>
      <c r="AO167" s="15"/>
      <c r="AP167" s="15"/>
      <c r="AQ167" s="15"/>
      <c r="AR167" s="15"/>
    </row>
    <row r="168" spans="34:44" ht="15" customHeight="1" x14ac:dyDescent="0.3">
      <c r="AH168" s="15"/>
      <c r="AI168" s="15"/>
      <c r="AJ168" s="15"/>
      <c r="AK168" s="15"/>
      <c r="AL168" s="15"/>
      <c r="AM168" s="15"/>
      <c r="AN168" s="16"/>
      <c r="AO168" s="15"/>
      <c r="AP168" s="15"/>
      <c r="AQ168" s="15"/>
      <c r="AR168" s="15"/>
    </row>
    <row r="169" spans="34:44" ht="15" customHeight="1" x14ac:dyDescent="0.3">
      <c r="AH169" s="15"/>
      <c r="AI169" s="15"/>
      <c r="AJ169" s="15"/>
      <c r="AK169" s="15"/>
      <c r="AL169" s="15"/>
      <c r="AM169" s="15"/>
      <c r="AN169" s="16"/>
      <c r="AO169" s="15"/>
      <c r="AP169" s="15"/>
      <c r="AQ169" s="15"/>
      <c r="AR169" s="15"/>
    </row>
    <row r="170" spans="34:44" ht="15" customHeight="1" x14ac:dyDescent="0.3">
      <c r="AH170" s="15"/>
      <c r="AI170" s="15"/>
      <c r="AJ170" s="15"/>
      <c r="AK170" s="15"/>
      <c r="AL170" s="15"/>
      <c r="AM170" s="15"/>
      <c r="AN170" s="16"/>
      <c r="AO170" s="15"/>
      <c r="AP170" s="15"/>
      <c r="AQ170" s="15"/>
      <c r="AR170" s="15"/>
    </row>
    <row r="171" spans="34:44" ht="15" customHeight="1" x14ac:dyDescent="0.3">
      <c r="AH171" s="15"/>
      <c r="AI171" s="15"/>
      <c r="AJ171" s="15"/>
      <c r="AK171" s="15"/>
      <c r="AL171" s="15"/>
      <c r="AM171" s="15"/>
      <c r="AN171" s="16"/>
      <c r="AO171" s="15"/>
      <c r="AP171" s="15"/>
      <c r="AQ171" s="15"/>
      <c r="AR171" s="15"/>
    </row>
    <row r="172" spans="34:44" ht="15" customHeight="1" x14ac:dyDescent="0.3">
      <c r="AH172" s="15"/>
      <c r="AI172" s="15"/>
      <c r="AJ172" s="15"/>
      <c r="AK172" s="15"/>
      <c r="AL172" s="15"/>
      <c r="AM172" s="15"/>
      <c r="AN172" s="16"/>
      <c r="AO172" s="15"/>
      <c r="AP172" s="15"/>
      <c r="AQ172" s="15"/>
      <c r="AR172" s="15"/>
    </row>
    <row r="173" spans="34:44" ht="15" customHeight="1" x14ac:dyDescent="0.3">
      <c r="AH173" s="15"/>
      <c r="AI173" s="15"/>
      <c r="AJ173" s="15"/>
      <c r="AK173" s="15"/>
      <c r="AL173" s="15"/>
      <c r="AM173" s="15"/>
      <c r="AN173" s="16"/>
      <c r="AO173" s="15"/>
      <c r="AP173" s="15"/>
      <c r="AQ173" s="15"/>
      <c r="AR173" s="15"/>
    </row>
    <row r="174" spans="34:44" ht="15" customHeight="1" x14ac:dyDescent="0.3">
      <c r="AH174" s="15"/>
      <c r="AI174" s="15"/>
      <c r="AJ174" s="15"/>
      <c r="AK174" s="15"/>
      <c r="AL174" s="15"/>
      <c r="AM174" s="15"/>
      <c r="AN174" s="16"/>
      <c r="AO174" s="15"/>
      <c r="AP174" s="15"/>
      <c r="AQ174" s="15"/>
      <c r="AR174" s="15"/>
    </row>
    <row r="175" spans="34:44" ht="15" customHeight="1" x14ac:dyDescent="0.3">
      <c r="AH175" s="15"/>
      <c r="AI175" s="15"/>
      <c r="AJ175" s="15"/>
      <c r="AK175" s="15"/>
      <c r="AL175" s="15"/>
      <c r="AM175" s="15"/>
      <c r="AN175" s="16"/>
      <c r="AO175" s="15"/>
      <c r="AP175" s="15"/>
      <c r="AQ175" s="15"/>
      <c r="AR175" s="15"/>
    </row>
    <row r="176" spans="34:44" ht="15" customHeight="1" x14ac:dyDescent="0.3">
      <c r="AH176" s="15"/>
      <c r="AI176" s="15"/>
      <c r="AJ176" s="15"/>
      <c r="AK176" s="15"/>
      <c r="AL176" s="15"/>
      <c r="AM176" s="15"/>
      <c r="AN176" s="16"/>
      <c r="AO176" s="15"/>
      <c r="AP176" s="15"/>
      <c r="AQ176" s="15"/>
      <c r="AR176" s="15"/>
    </row>
    <row r="177" spans="34:44" ht="15" customHeight="1" x14ac:dyDescent="0.3">
      <c r="AH177" s="15"/>
      <c r="AI177" s="15"/>
      <c r="AJ177" s="15"/>
      <c r="AK177" s="15"/>
      <c r="AL177" s="15"/>
      <c r="AM177" s="15"/>
      <c r="AN177" s="16"/>
      <c r="AO177" s="15"/>
      <c r="AP177" s="15"/>
      <c r="AQ177" s="15"/>
      <c r="AR177" s="15"/>
    </row>
    <row r="178" spans="34:44" ht="15" customHeight="1" x14ac:dyDescent="0.3">
      <c r="AH178" s="15"/>
      <c r="AI178" s="15"/>
      <c r="AJ178" s="15"/>
      <c r="AK178" s="15"/>
      <c r="AL178" s="15"/>
      <c r="AM178" s="15"/>
      <c r="AN178" s="16"/>
      <c r="AO178" s="15"/>
      <c r="AP178" s="15"/>
      <c r="AQ178" s="15"/>
      <c r="AR178" s="15"/>
    </row>
    <row r="179" spans="34:44" ht="15" customHeight="1" x14ac:dyDescent="0.3">
      <c r="AH179" s="15"/>
      <c r="AI179" s="15"/>
      <c r="AJ179" s="15"/>
      <c r="AK179" s="15"/>
      <c r="AL179" s="15"/>
      <c r="AM179" s="15"/>
      <c r="AN179" s="16"/>
      <c r="AO179" s="15"/>
      <c r="AP179" s="15"/>
      <c r="AQ179" s="15"/>
      <c r="AR179" s="15"/>
    </row>
    <row r="180" spans="34:44" ht="15" customHeight="1" x14ac:dyDescent="0.3">
      <c r="AH180" s="15"/>
      <c r="AI180" s="15"/>
      <c r="AJ180" s="15"/>
      <c r="AK180" s="15"/>
      <c r="AL180" s="15"/>
      <c r="AM180" s="15"/>
      <c r="AN180" s="16"/>
      <c r="AO180" s="15"/>
      <c r="AP180" s="15"/>
      <c r="AQ180" s="15"/>
      <c r="AR180" s="15"/>
    </row>
    <row r="181" spans="34:44" ht="15" customHeight="1" x14ac:dyDescent="0.3">
      <c r="AH181" s="15"/>
      <c r="AI181" s="15"/>
      <c r="AJ181" s="15"/>
      <c r="AK181" s="15"/>
      <c r="AL181" s="15"/>
      <c r="AM181" s="15"/>
      <c r="AN181" s="16"/>
      <c r="AO181" s="15"/>
      <c r="AP181" s="15"/>
      <c r="AQ181" s="15"/>
      <c r="AR181" s="15"/>
    </row>
    <row r="182" spans="34:44" ht="15" customHeight="1" x14ac:dyDescent="0.3">
      <c r="AH182" s="15"/>
      <c r="AI182" s="15"/>
      <c r="AJ182" s="15"/>
      <c r="AK182" s="15"/>
      <c r="AL182" s="15"/>
      <c r="AM182" s="15"/>
      <c r="AN182" s="16"/>
      <c r="AO182" s="15"/>
      <c r="AP182" s="15"/>
      <c r="AQ182" s="15"/>
      <c r="AR182" s="15"/>
    </row>
    <row r="183" spans="34:44" ht="15" customHeight="1" x14ac:dyDescent="0.3">
      <c r="AH183" s="15"/>
      <c r="AI183" s="15"/>
      <c r="AJ183" s="15"/>
      <c r="AK183" s="15"/>
      <c r="AL183" s="15"/>
      <c r="AM183" s="15"/>
      <c r="AN183" s="16"/>
      <c r="AO183" s="15"/>
      <c r="AP183" s="15"/>
      <c r="AQ183" s="15"/>
      <c r="AR183" s="15"/>
    </row>
    <row r="184" spans="34:44" ht="15" customHeight="1" x14ac:dyDescent="0.3">
      <c r="AH184" s="15"/>
      <c r="AI184" s="15"/>
      <c r="AJ184" s="15"/>
      <c r="AK184" s="15"/>
      <c r="AL184" s="15"/>
      <c r="AM184" s="15"/>
      <c r="AN184" s="16"/>
      <c r="AO184" s="15"/>
      <c r="AP184" s="15"/>
      <c r="AQ184" s="15"/>
      <c r="AR184" s="15"/>
    </row>
    <row r="185" spans="34:44" ht="15" customHeight="1" x14ac:dyDescent="0.3">
      <c r="AH185" s="15"/>
      <c r="AI185" s="15"/>
      <c r="AJ185" s="15"/>
      <c r="AK185" s="15"/>
      <c r="AL185" s="15"/>
      <c r="AM185" s="15"/>
      <c r="AN185" s="16"/>
      <c r="AO185" s="15"/>
      <c r="AP185" s="15"/>
      <c r="AQ185" s="15"/>
      <c r="AR185" s="15"/>
    </row>
    <row r="186" spans="34:44" ht="15" customHeight="1" x14ac:dyDescent="0.3">
      <c r="AH186" s="15"/>
      <c r="AI186" s="15"/>
      <c r="AJ186" s="15"/>
      <c r="AK186" s="15"/>
      <c r="AL186" s="15"/>
      <c r="AM186" s="15"/>
      <c r="AN186" s="16"/>
      <c r="AO186" s="15"/>
      <c r="AP186" s="15"/>
      <c r="AQ186" s="15"/>
      <c r="AR186" s="15"/>
    </row>
    <row r="187" spans="34:44" ht="15" customHeight="1" x14ac:dyDescent="0.3">
      <c r="AH187" s="15"/>
      <c r="AI187" s="15"/>
      <c r="AJ187" s="15"/>
      <c r="AK187" s="15"/>
      <c r="AL187" s="15"/>
      <c r="AM187" s="15"/>
      <c r="AN187" s="16"/>
      <c r="AO187" s="15"/>
      <c r="AP187" s="15"/>
      <c r="AQ187" s="15"/>
      <c r="AR187" s="15"/>
    </row>
    <row r="188" spans="34:44" ht="15" customHeight="1" x14ac:dyDescent="0.3">
      <c r="AH188" s="15"/>
      <c r="AI188" s="15"/>
      <c r="AJ188" s="15"/>
      <c r="AK188" s="15"/>
      <c r="AL188" s="15"/>
      <c r="AM188" s="15"/>
      <c r="AN188" s="16"/>
      <c r="AO188" s="15"/>
      <c r="AP188" s="15"/>
      <c r="AQ188" s="15"/>
      <c r="AR188" s="15"/>
    </row>
    <row r="189" spans="34:44" ht="15" customHeight="1" x14ac:dyDescent="0.3">
      <c r="AH189" s="15"/>
      <c r="AI189" s="15"/>
      <c r="AJ189" s="15"/>
      <c r="AK189" s="15"/>
      <c r="AL189" s="15"/>
      <c r="AM189" s="15"/>
      <c r="AN189" s="16"/>
      <c r="AO189" s="15"/>
      <c r="AP189" s="15"/>
      <c r="AQ189" s="15"/>
      <c r="AR189" s="15"/>
    </row>
    <row r="190" spans="34:44" ht="15" customHeight="1" x14ac:dyDescent="0.3">
      <c r="AH190" s="15"/>
      <c r="AI190" s="15"/>
      <c r="AJ190" s="15"/>
      <c r="AK190" s="15"/>
      <c r="AL190" s="15"/>
      <c r="AM190" s="15"/>
      <c r="AN190" s="16"/>
      <c r="AO190" s="15"/>
      <c r="AP190" s="15"/>
      <c r="AQ190" s="15"/>
      <c r="AR190" s="15"/>
    </row>
    <row r="191" spans="34:44" ht="15" customHeight="1" x14ac:dyDescent="0.3">
      <c r="AH191" s="15"/>
      <c r="AI191" s="15"/>
      <c r="AJ191" s="15"/>
      <c r="AK191" s="15"/>
      <c r="AL191" s="15"/>
      <c r="AM191" s="15"/>
      <c r="AN191" s="16"/>
      <c r="AO191" s="15"/>
      <c r="AP191" s="15"/>
      <c r="AQ191" s="15"/>
      <c r="AR191" s="15"/>
    </row>
    <row r="192" spans="34:44" ht="15" customHeight="1" x14ac:dyDescent="0.3">
      <c r="AH192" s="15"/>
      <c r="AI192" s="15"/>
      <c r="AJ192" s="15"/>
      <c r="AK192" s="15"/>
      <c r="AL192" s="15"/>
      <c r="AM192" s="15"/>
      <c r="AN192" s="16"/>
      <c r="AO192" s="15"/>
      <c r="AP192" s="15"/>
      <c r="AQ192" s="15"/>
      <c r="AR192" s="15"/>
    </row>
    <row r="193" spans="34:44" ht="15" customHeight="1" x14ac:dyDescent="0.3">
      <c r="AH193" s="15"/>
      <c r="AI193" s="15"/>
      <c r="AJ193" s="15"/>
      <c r="AK193" s="15"/>
      <c r="AL193" s="15"/>
      <c r="AM193" s="15"/>
      <c r="AN193" s="16"/>
      <c r="AO193" s="15"/>
      <c r="AP193" s="15"/>
      <c r="AQ193" s="15"/>
      <c r="AR193" s="15"/>
    </row>
    <row r="194" spans="34:44" ht="15" customHeight="1" x14ac:dyDescent="0.3">
      <c r="AH194" s="15"/>
      <c r="AI194" s="15"/>
      <c r="AJ194" s="15"/>
      <c r="AK194" s="15"/>
      <c r="AL194" s="15"/>
      <c r="AM194" s="15"/>
      <c r="AN194" s="16"/>
      <c r="AO194" s="15"/>
      <c r="AP194" s="15"/>
      <c r="AQ194" s="15"/>
      <c r="AR194" s="15"/>
    </row>
    <row r="195" spans="34:44" ht="15" customHeight="1" x14ac:dyDescent="0.3">
      <c r="AH195" s="15"/>
      <c r="AI195" s="15"/>
      <c r="AJ195" s="15"/>
      <c r="AK195" s="15"/>
      <c r="AL195" s="15"/>
      <c r="AM195" s="15"/>
      <c r="AN195" s="16"/>
      <c r="AO195" s="15"/>
      <c r="AP195" s="15"/>
      <c r="AQ195" s="15"/>
      <c r="AR195" s="15"/>
    </row>
    <row r="196" spans="34:44" ht="15" customHeight="1" x14ac:dyDescent="0.3"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</row>
    <row r="197" spans="34:44" ht="15" customHeight="1" x14ac:dyDescent="0.3"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</row>
    <row r="198" spans="34:44" ht="15" customHeight="1" x14ac:dyDescent="0.3"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</row>
    <row r="199" spans="34:44" ht="15" customHeight="1" x14ac:dyDescent="0.3"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</row>
    <row r="200" spans="34:44" ht="15" customHeight="1" x14ac:dyDescent="0.3"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</row>
    <row r="201" spans="34:44" ht="15" customHeight="1" x14ac:dyDescent="0.3"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</row>
    <row r="202" spans="34:44" ht="15" customHeight="1" x14ac:dyDescent="0.3"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</row>
    <row r="203" spans="34:44" ht="15" customHeight="1" x14ac:dyDescent="0.3"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</row>
    <row r="204" spans="34:44" ht="15" customHeight="1" x14ac:dyDescent="0.3"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</row>
    <row r="205" spans="34:44" ht="15" customHeight="1" x14ac:dyDescent="0.3"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</row>
    <row r="206" spans="34:44" ht="15" customHeight="1" x14ac:dyDescent="0.3"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</row>
    <row r="207" spans="34:44" ht="15" customHeight="1" x14ac:dyDescent="0.3"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</row>
    <row r="208" spans="34:44" ht="15" customHeight="1" x14ac:dyDescent="0.3"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</row>
    <row r="209" spans="34:44" ht="15" customHeight="1" x14ac:dyDescent="0.3"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</row>
    <row r="210" spans="34:44" ht="15" customHeight="1" x14ac:dyDescent="0.3"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</row>
    <row r="211" spans="34:44" ht="15" customHeight="1" x14ac:dyDescent="0.3"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</row>
    <row r="212" spans="34:44" ht="15" customHeight="1" x14ac:dyDescent="0.3"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</row>
    <row r="213" spans="34:44" ht="15" customHeight="1" x14ac:dyDescent="0.3"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</row>
    <row r="214" spans="34:44" ht="15" customHeight="1" x14ac:dyDescent="0.3"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</row>
    <row r="215" spans="34:44" ht="15" customHeight="1" x14ac:dyDescent="0.3"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</row>
    <row r="216" spans="34:44" ht="15" customHeight="1" x14ac:dyDescent="0.3"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</row>
    <row r="217" spans="34:44" ht="15" customHeight="1" x14ac:dyDescent="0.3"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</row>
    <row r="218" spans="34:44" ht="15" customHeight="1" x14ac:dyDescent="0.3"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</row>
    <row r="219" spans="34:44" ht="15" customHeight="1" x14ac:dyDescent="0.3"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</row>
    <row r="220" spans="34:44" ht="15" customHeight="1" x14ac:dyDescent="0.3"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</row>
    <row r="221" spans="34:44" ht="15" customHeight="1" x14ac:dyDescent="0.3"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</row>
    <row r="222" spans="34:44" ht="15" customHeight="1" x14ac:dyDescent="0.3"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</row>
    <row r="223" spans="34:44" ht="15" customHeight="1" x14ac:dyDescent="0.3"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</row>
    <row r="224" spans="34:44" ht="15" customHeight="1" x14ac:dyDescent="0.3"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</row>
    <row r="225" spans="34:44" ht="15" customHeight="1" x14ac:dyDescent="0.3"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</row>
    <row r="226" spans="34:44" ht="15" customHeight="1" x14ac:dyDescent="0.3"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</row>
    <row r="227" spans="34:44" ht="15" customHeight="1" x14ac:dyDescent="0.3"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</row>
    <row r="228" spans="34:44" ht="15" customHeight="1" x14ac:dyDescent="0.3"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</row>
    <row r="229" spans="34:44" ht="15" customHeight="1" x14ac:dyDescent="0.3"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</row>
    <row r="230" spans="34:44" ht="15" customHeight="1" x14ac:dyDescent="0.3"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</row>
    <row r="231" spans="34:44" ht="15" customHeight="1" x14ac:dyDescent="0.3"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</row>
    <row r="232" spans="34:44" ht="15" customHeight="1" x14ac:dyDescent="0.3"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</row>
    <row r="233" spans="34:44" ht="15" customHeight="1" x14ac:dyDescent="0.3"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</row>
    <row r="234" spans="34:44" ht="15" customHeight="1" x14ac:dyDescent="0.3"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</row>
    <row r="235" spans="34:44" ht="15" customHeight="1" x14ac:dyDescent="0.3"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</row>
    <row r="236" spans="34:44" ht="15" customHeight="1" x14ac:dyDescent="0.3"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</row>
    <row r="237" spans="34:44" ht="15" customHeight="1" x14ac:dyDescent="0.3"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</row>
    <row r="238" spans="34:44" ht="15" customHeight="1" x14ac:dyDescent="0.3"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</row>
    <row r="239" spans="34:44" ht="15" customHeight="1" x14ac:dyDescent="0.3"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</row>
    <row r="240" spans="34:44" ht="15" customHeight="1" x14ac:dyDescent="0.3"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</row>
    <row r="241" spans="34:44" ht="15" customHeight="1" x14ac:dyDescent="0.3"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</row>
    <row r="242" spans="34:44" ht="15" customHeight="1" x14ac:dyDescent="0.3"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</row>
    <row r="243" spans="34:44" ht="15" customHeight="1" x14ac:dyDescent="0.3"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</row>
    <row r="244" spans="34:44" ht="15" customHeight="1" x14ac:dyDescent="0.3"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</row>
    <row r="245" spans="34:44" ht="15" customHeight="1" x14ac:dyDescent="0.3"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</row>
    <row r="246" spans="34:44" ht="15" customHeight="1" x14ac:dyDescent="0.3"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</row>
    <row r="247" spans="34:44" ht="15" customHeight="1" x14ac:dyDescent="0.3"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</row>
    <row r="248" spans="34:44" ht="15" customHeight="1" x14ac:dyDescent="0.3"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</row>
    <row r="249" spans="34:44" ht="15" customHeight="1" x14ac:dyDescent="0.3"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</row>
    <row r="250" spans="34:44" ht="15" customHeight="1" x14ac:dyDescent="0.3"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</row>
    <row r="251" spans="34:44" ht="15" customHeight="1" x14ac:dyDescent="0.3"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</row>
    <row r="252" spans="34:44" ht="15" customHeight="1" x14ac:dyDescent="0.3"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</row>
    <row r="253" spans="34:44" ht="15" customHeight="1" x14ac:dyDescent="0.3"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</row>
    <row r="254" spans="34:44" ht="15" customHeight="1" x14ac:dyDescent="0.3"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</row>
    <row r="255" spans="34:44" ht="15" customHeight="1" x14ac:dyDescent="0.3"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</row>
    <row r="256" spans="34:44" ht="15" customHeight="1" x14ac:dyDescent="0.3"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</row>
    <row r="257" spans="34:44" ht="15" customHeight="1" x14ac:dyDescent="0.3"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</row>
    <row r="258" spans="34:44" ht="15" customHeight="1" x14ac:dyDescent="0.3"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</row>
    <row r="259" spans="34:44" ht="15" customHeight="1" x14ac:dyDescent="0.3"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</row>
    <row r="260" spans="34:44" ht="15" customHeight="1" x14ac:dyDescent="0.3"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</row>
    <row r="261" spans="34:44" ht="15" customHeight="1" x14ac:dyDescent="0.3"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</row>
    <row r="262" spans="34:44" ht="15" customHeight="1" x14ac:dyDescent="0.3"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</row>
    <row r="263" spans="34:44" ht="15" customHeight="1" x14ac:dyDescent="0.3"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</row>
    <row r="264" spans="34:44" ht="15" customHeight="1" x14ac:dyDescent="0.3"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</row>
    <row r="265" spans="34:44" ht="15" customHeight="1" x14ac:dyDescent="0.3"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</row>
    <row r="266" spans="34:44" ht="15" customHeight="1" x14ac:dyDescent="0.3"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</row>
    <row r="267" spans="34:44" ht="15" customHeight="1" x14ac:dyDescent="0.3"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</row>
    <row r="268" spans="34:44" ht="15" customHeight="1" x14ac:dyDescent="0.3"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</row>
    <row r="269" spans="34:44" ht="15" customHeight="1" x14ac:dyDescent="0.3"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</row>
    <row r="270" spans="34:44" ht="15" customHeight="1" x14ac:dyDescent="0.3"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</row>
    <row r="271" spans="34:44" ht="15" customHeight="1" x14ac:dyDescent="0.3"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</row>
    <row r="272" spans="34:44" ht="15" customHeight="1" x14ac:dyDescent="0.3"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</row>
    <row r="273" spans="34:44" ht="15" customHeight="1" x14ac:dyDescent="0.3"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</row>
    <row r="274" spans="34:44" ht="15" customHeight="1" x14ac:dyDescent="0.3"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</row>
    <row r="275" spans="34:44" ht="15" customHeight="1" x14ac:dyDescent="0.3"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</row>
    <row r="276" spans="34:44" ht="15" customHeight="1" x14ac:dyDescent="0.3"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</row>
    <row r="277" spans="34:44" ht="15" customHeight="1" x14ac:dyDescent="0.3"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</row>
    <row r="278" spans="34:44" ht="15" customHeight="1" x14ac:dyDescent="0.3"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</row>
    <row r="279" spans="34:44" ht="15" customHeight="1" x14ac:dyDescent="0.3"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</row>
    <row r="280" spans="34:44" ht="15" customHeight="1" x14ac:dyDescent="0.3"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</row>
    <row r="281" spans="34:44" ht="15" customHeight="1" x14ac:dyDescent="0.3"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</row>
    <row r="282" spans="34:44" ht="15" customHeight="1" x14ac:dyDescent="0.3"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</row>
    <row r="283" spans="34:44" ht="15" customHeight="1" x14ac:dyDescent="0.3"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</row>
    <row r="284" spans="34:44" ht="15" customHeight="1" x14ac:dyDescent="0.3"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</row>
    <row r="285" spans="34:44" ht="15" customHeight="1" x14ac:dyDescent="0.3"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</row>
    <row r="286" spans="34:44" ht="15" customHeight="1" x14ac:dyDescent="0.3"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</row>
    <row r="287" spans="34:44" ht="15" customHeight="1" x14ac:dyDescent="0.3"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</row>
    <row r="288" spans="34:44" ht="15" customHeight="1" x14ac:dyDescent="0.3"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</row>
    <row r="289" spans="34:44" ht="15" customHeight="1" x14ac:dyDescent="0.3"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</row>
    <row r="290" spans="34:44" ht="15" customHeight="1" x14ac:dyDescent="0.3"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</row>
    <row r="291" spans="34:44" ht="15" customHeight="1" x14ac:dyDescent="0.3"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</row>
    <row r="292" spans="34:44" ht="15" customHeight="1" x14ac:dyDescent="0.3"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</row>
    <row r="293" spans="34:44" ht="15" customHeight="1" x14ac:dyDescent="0.3"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</row>
    <row r="294" spans="34:44" ht="15" customHeight="1" x14ac:dyDescent="0.3"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</row>
    <row r="295" spans="34:44" ht="15" customHeight="1" x14ac:dyDescent="0.3"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</row>
    <row r="296" spans="34:44" ht="15" customHeight="1" x14ac:dyDescent="0.3"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</row>
    <row r="297" spans="34:44" ht="15" customHeight="1" x14ac:dyDescent="0.3"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</row>
    <row r="298" spans="34:44" ht="15" customHeight="1" x14ac:dyDescent="0.3"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</row>
    <row r="299" spans="34:44" ht="15" customHeight="1" x14ac:dyDescent="0.3"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</row>
    <row r="300" spans="34:44" ht="15" customHeight="1" x14ac:dyDescent="0.3"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</row>
    <row r="301" spans="34:44" ht="15" customHeight="1" x14ac:dyDescent="0.3"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</row>
    <row r="302" spans="34:44" ht="15" customHeight="1" x14ac:dyDescent="0.3"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</row>
    <row r="303" spans="34:44" ht="15" customHeight="1" x14ac:dyDescent="0.3"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</row>
    <row r="304" spans="34:44" ht="15" customHeight="1" x14ac:dyDescent="0.3"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</row>
    <row r="305" spans="34:44" ht="15" customHeight="1" x14ac:dyDescent="0.3"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</row>
    <row r="306" spans="34:44" ht="15" customHeight="1" x14ac:dyDescent="0.3"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</row>
    <row r="307" spans="34:44" ht="15" customHeight="1" x14ac:dyDescent="0.3"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</row>
    <row r="308" spans="34:44" ht="15" customHeight="1" x14ac:dyDescent="0.3"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</row>
    <row r="309" spans="34:44" ht="15" customHeight="1" x14ac:dyDescent="0.3"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</row>
    <row r="310" spans="34:44" ht="15" customHeight="1" x14ac:dyDescent="0.3"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</row>
    <row r="311" spans="34:44" ht="15" customHeight="1" x14ac:dyDescent="0.3"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</row>
    <row r="312" spans="34:44" ht="15" customHeight="1" x14ac:dyDescent="0.3"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</row>
    <row r="313" spans="34:44" ht="15" customHeight="1" x14ac:dyDescent="0.3"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</row>
    <row r="314" spans="34:44" ht="15" customHeight="1" x14ac:dyDescent="0.3"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</row>
    <row r="315" spans="34:44" ht="15" customHeight="1" x14ac:dyDescent="0.3"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</row>
    <row r="316" spans="34:44" ht="15" customHeight="1" x14ac:dyDescent="0.3"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</row>
    <row r="317" spans="34:44" ht="15" customHeight="1" x14ac:dyDescent="0.3"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</row>
    <row r="318" spans="34:44" ht="15" customHeight="1" x14ac:dyDescent="0.3"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</row>
    <row r="319" spans="34:44" ht="15" customHeight="1" x14ac:dyDescent="0.3"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</row>
    <row r="320" spans="34:44" ht="15" customHeight="1" x14ac:dyDescent="0.3"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</row>
    <row r="321" spans="34:44" ht="15" customHeight="1" x14ac:dyDescent="0.3"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</row>
    <row r="322" spans="34:44" ht="15" customHeight="1" x14ac:dyDescent="0.3"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</row>
    <row r="323" spans="34:44" ht="15" customHeight="1" x14ac:dyDescent="0.3"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</row>
    <row r="324" spans="34:44" ht="15" customHeight="1" x14ac:dyDescent="0.3"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</row>
    <row r="325" spans="34:44" ht="15" customHeight="1" x14ac:dyDescent="0.3"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</row>
    <row r="326" spans="34:44" ht="15" customHeight="1" x14ac:dyDescent="0.3"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</row>
    <row r="327" spans="34:44" ht="15" customHeight="1" x14ac:dyDescent="0.3"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</row>
    <row r="328" spans="34:44" ht="15" customHeight="1" x14ac:dyDescent="0.3"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</row>
    <row r="329" spans="34:44" ht="15" customHeight="1" x14ac:dyDescent="0.3"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</row>
    <row r="330" spans="34:44" ht="15" customHeight="1" x14ac:dyDescent="0.3"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</row>
    <row r="331" spans="34:44" ht="15" customHeight="1" x14ac:dyDescent="0.3"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</row>
    <row r="332" spans="34:44" ht="15" customHeight="1" x14ac:dyDescent="0.3"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</row>
    <row r="333" spans="34:44" ht="15" customHeight="1" x14ac:dyDescent="0.3"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</row>
    <row r="334" spans="34:44" ht="15" customHeight="1" x14ac:dyDescent="0.3"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</row>
    <row r="335" spans="34:44" ht="15" customHeight="1" x14ac:dyDescent="0.3"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</row>
    <row r="336" spans="34:44" ht="15" customHeight="1" x14ac:dyDescent="0.3"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</row>
    <row r="337" spans="34:44" ht="15" customHeight="1" x14ac:dyDescent="0.3"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</row>
    <row r="338" spans="34:44" ht="15" customHeight="1" x14ac:dyDescent="0.3"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</row>
    <row r="339" spans="34:44" ht="15" customHeight="1" x14ac:dyDescent="0.3"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</row>
    <row r="340" spans="34:44" ht="15" customHeight="1" x14ac:dyDescent="0.3"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</row>
    <row r="341" spans="34:44" ht="15" customHeight="1" x14ac:dyDescent="0.3"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</row>
    <row r="342" spans="34:44" ht="15" customHeight="1" x14ac:dyDescent="0.3"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</row>
    <row r="343" spans="34:44" ht="15" customHeight="1" x14ac:dyDescent="0.3"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</row>
    <row r="344" spans="34:44" ht="15" customHeight="1" x14ac:dyDescent="0.3"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</row>
    <row r="345" spans="34:44" ht="15" customHeight="1" x14ac:dyDescent="0.3"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</row>
    <row r="346" spans="34:44" ht="15" customHeight="1" x14ac:dyDescent="0.3"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</row>
    <row r="347" spans="34:44" ht="15" customHeight="1" x14ac:dyDescent="0.3"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</row>
    <row r="348" spans="34:44" ht="15" customHeight="1" x14ac:dyDescent="0.3"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</row>
    <row r="349" spans="34:44" ht="15" customHeight="1" x14ac:dyDescent="0.3"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</row>
    <row r="350" spans="34:44" ht="15" customHeight="1" x14ac:dyDescent="0.3"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</row>
    <row r="351" spans="34:44" ht="15" customHeight="1" x14ac:dyDescent="0.3"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</row>
    <row r="352" spans="34:44" ht="15" customHeight="1" x14ac:dyDescent="0.3"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</row>
    <row r="353" spans="34:44" ht="15" customHeight="1" x14ac:dyDescent="0.3"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</row>
    <row r="354" spans="34:44" ht="15" customHeight="1" x14ac:dyDescent="0.3"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</row>
    <row r="355" spans="34:44" ht="15" customHeight="1" x14ac:dyDescent="0.3"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</row>
    <row r="356" spans="34:44" ht="15" customHeight="1" x14ac:dyDescent="0.3"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</row>
    <row r="357" spans="34:44" ht="15" customHeight="1" x14ac:dyDescent="0.3"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</row>
    <row r="358" spans="34:44" ht="15" customHeight="1" x14ac:dyDescent="0.3"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</row>
    <row r="359" spans="34:44" ht="15" customHeight="1" x14ac:dyDescent="0.3"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</row>
    <row r="360" spans="34:44" ht="15" customHeight="1" x14ac:dyDescent="0.3"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</row>
    <row r="361" spans="34:44" ht="15" customHeight="1" x14ac:dyDescent="0.3"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</row>
    <row r="362" spans="34:44" ht="15" customHeight="1" x14ac:dyDescent="0.3"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</row>
    <row r="363" spans="34:44" ht="15" customHeight="1" x14ac:dyDescent="0.3"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</row>
    <row r="364" spans="34:44" ht="15" customHeight="1" x14ac:dyDescent="0.3"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</row>
    <row r="365" spans="34:44" ht="15" customHeight="1" x14ac:dyDescent="0.3"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</row>
    <row r="366" spans="34:44" ht="15" customHeight="1" x14ac:dyDescent="0.3"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</row>
    <row r="367" spans="34:44" ht="15" customHeight="1" x14ac:dyDescent="0.3"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</row>
    <row r="368" spans="34:44" ht="15" customHeight="1" x14ac:dyDescent="0.3"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</row>
    <row r="369" spans="34:44" ht="15" customHeight="1" x14ac:dyDescent="0.3"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</row>
    <row r="370" spans="34:44" ht="15" customHeight="1" x14ac:dyDescent="0.3"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</row>
    <row r="371" spans="34:44" ht="15" customHeight="1" x14ac:dyDescent="0.3"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</row>
    <row r="372" spans="34:44" ht="15" customHeight="1" x14ac:dyDescent="0.3"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</row>
    <row r="373" spans="34:44" ht="15" customHeight="1" x14ac:dyDescent="0.3"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</row>
    <row r="374" spans="34:44" ht="15" customHeight="1" x14ac:dyDescent="0.3"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</row>
    <row r="375" spans="34:44" ht="15" customHeight="1" x14ac:dyDescent="0.3"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</row>
    <row r="376" spans="34:44" ht="15" customHeight="1" x14ac:dyDescent="0.3"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</row>
    <row r="377" spans="34:44" ht="15" customHeight="1" x14ac:dyDescent="0.3"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</row>
    <row r="378" spans="34:44" ht="15" customHeight="1" x14ac:dyDescent="0.3"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</row>
    <row r="379" spans="34:44" ht="15" customHeight="1" x14ac:dyDescent="0.3"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</row>
    <row r="380" spans="34:44" ht="15" customHeight="1" x14ac:dyDescent="0.3"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</row>
    <row r="381" spans="34:44" ht="15" customHeight="1" x14ac:dyDescent="0.3"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</row>
    <row r="382" spans="34:44" ht="15" customHeight="1" x14ac:dyDescent="0.3"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</row>
    <row r="383" spans="34:44" ht="15" customHeight="1" x14ac:dyDescent="0.3"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</row>
    <row r="384" spans="34:44" ht="15" customHeight="1" x14ac:dyDescent="0.3"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</row>
    <row r="385" spans="34:44" ht="15" customHeight="1" x14ac:dyDescent="0.3"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</row>
    <row r="386" spans="34:44" ht="15" customHeight="1" x14ac:dyDescent="0.3"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</row>
    <row r="387" spans="34:44" ht="15" customHeight="1" x14ac:dyDescent="0.3"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</row>
    <row r="388" spans="34:44" ht="15" customHeight="1" x14ac:dyDescent="0.3"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</row>
    <row r="389" spans="34:44" ht="15" customHeight="1" x14ac:dyDescent="0.3"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</row>
    <row r="390" spans="34:44" ht="15" customHeight="1" x14ac:dyDescent="0.3"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</row>
    <row r="391" spans="34:44" ht="15" customHeight="1" x14ac:dyDescent="0.3"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</row>
    <row r="392" spans="34:44" ht="15" customHeight="1" x14ac:dyDescent="0.3"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</row>
    <row r="393" spans="34:44" ht="15" customHeight="1" x14ac:dyDescent="0.3"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</row>
    <row r="394" spans="34:44" ht="15" customHeight="1" x14ac:dyDescent="0.3"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</row>
    <row r="395" spans="34:44" ht="15" customHeight="1" x14ac:dyDescent="0.3"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</row>
    <row r="396" spans="34:44" ht="15" customHeight="1" x14ac:dyDescent="0.3"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</row>
    <row r="397" spans="34:44" ht="15" customHeight="1" x14ac:dyDescent="0.3"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</row>
    <row r="398" spans="34:44" ht="15" customHeight="1" x14ac:dyDescent="0.3"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</row>
    <row r="399" spans="34:44" ht="15" customHeight="1" x14ac:dyDescent="0.3"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</row>
    <row r="400" spans="34:44" ht="15" customHeight="1" x14ac:dyDescent="0.3"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</row>
    <row r="401" spans="34:44" ht="15" customHeight="1" x14ac:dyDescent="0.3"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</row>
    <row r="402" spans="34:44" ht="15" customHeight="1" x14ac:dyDescent="0.3"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</row>
    <row r="403" spans="34:44" ht="15" customHeight="1" x14ac:dyDescent="0.3"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</row>
    <row r="404" spans="34:44" ht="15" customHeight="1" x14ac:dyDescent="0.3"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</row>
    <row r="405" spans="34:44" ht="15" customHeight="1" x14ac:dyDescent="0.3"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</row>
    <row r="406" spans="34:44" ht="15" customHeight="1" x14ac:dyDescent="0.3"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</row>
    <row r="407" spans="34:44" ht="15" customHeight="1" x14ac:dyDescent="0.3"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</row>
    <row r="408" spans="34:44" ht="15" customHeight="1" x14ac:dyDescent="0.3"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</row>
    <row r="409" spans="34:44" ht="15" customHeight="1" x14ac:dyDescent="0.3"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</row>
    <row r="410" spans="34:44" ht="15" customHeight="1" x14ac:dyDescent="0.3"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</row>
    <row r="411" spans="34:44" ht="15" customHeight="1" x14ac:dyDescent="0.3"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</row>
    <row r="412" spans="34:44" ht="15" customHeight="1" x14ac:dyDescent="0.3"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</row>
    <row r="413" spans="34:44" ht="15" customHeight="1" x14ac:dyDescent="0.3"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</row>
    <row r="414" spans="34:44" ht="15" customHeight="1" x14ac:dyDescent="0.3"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</row>
    <row r="415" spans="34:44" ht="15" customHeight="1" x14ac:dyDescent="0.3"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</row>
    <row r="416" spans="34:44" ht="15" customHeight="1" x14ac:dyDescent="0.3"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</row>
    <row r="417" spans="34:44" ht="15" customHeight="1" x14ac:dyDescent="0.3"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</row>
    <row r="418" spans="34:44" ht="15" customHeight="1" x14ac:dyDescent="0.3"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</row>
    <row r="419" spans="34:44" ht="15" customHeight="1" x14ac:dyDescent="0.3"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</row>
    <row r="420" spans="34:44" ht="15" customHeight="1" x14ac:dyDescent="0.3"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</row>
    <row r="421" spans="34:44" ht="15" customHeight="1" x14ac:dyDescent="0.3"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</row>
    <row r="422" spans="34:44" ht="15" customHeight="1" x14ac:dyDescent="0.3"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</row>
    <row r="423" spans="34:44" ht="15" customHeight="1" x14ac:dyDescent="0.3"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</row>
    <row r="424" spans="34:44" ht="15" customHeight="1" x14ac:dyDescent="0.3"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</row>
    <row r="425" spans="34:44" ht="15" customHeight="1" x14ac:dyDescent="0.3"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</row>
    <row r="426" spans="34:44" ht="15" customHeight="1" x14ac:dyDescent="0.3"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</row>
    <row r="427" spans="34:44" ht="15" customHeight="1" x14ac:dyDescent="0.3"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</row>
    <row r="428" spans="34:44" ht="15" customHeight="1" x14ac:dyDescent="0.3"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</row>
    <row r="429" spans="34:44" ht="15" customHeight="1" x14ac:dyDescent="0.3"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</row>
    <row r="430" spans="34:44" ht="15" customHeight="1" x14ac:dyDescent="0.3"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</row>
    <row r="431" spans="34:44" ht="15" customHeight="1" x14ac:dyDescent="0.3"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</row>
    <row r="432" spans="34:44" ht="15" customHeight="1" x14ac:dyDescent="0.3"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</row>
    <row r="433" spans="34:44" ht="15" customHeight="1" x14ac:dyDescent="0.3"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</row>
    <row r="434" spans="34:44" ht="15" customHeight="1" x14ac:dyDescent="0.3"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</row>
    <row r="435" spans="34:44" ht="15" customHeight="1" x14ac:dyDescent="0.3"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</row>
    <row r="436" spans="34:44" ht="15" customHeight="1" x14ac:dyDescent="0.3"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</row>
    <row r="437" spans="34:44" ht="15" customHeight="1" x14ac:dyDescent="0.3"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</row>
    <row r="438" spans="34:44" ht="15" customHeight="1" x14ac:dyDescent="0.3"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</row>
    <row r="439" spans="34:44" ht="15" customHeight="1" x14ac:dyDescent="0.3"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</row>
    <row r="440" spans="34:44" ht="15" customHeight="1" x14ac:dyDescent="0.3"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</row>
    <row r="441" spans="34:44" ht="15" customHeight="1" x14ac:dyDescent="0.3"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</row>
    <row r="442" spans="34:44" ht="15" customHeight="1" x14ac:dyDescent="0.3"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</row>
    <row r="443" spans="34:44" ht="15" customHeight="1" x14ac:dyDescent="0.3"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</row>
    <row r="444" spans="34:44" ht="15" customHeight="1" x14ac:dyDescent="0.3"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</row>
    <row r="445" spans="34:44" ht="15" customHeight="1" x14ac:dyDescent="0.3"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</row>
    <row r="446" spans="34:44" ht="15" customHeight="1" x14ac:dyDescent="0.3"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</row>
    <row r="447" spans="34:44" ht="15" customHeight="1" x14ac:dyDescent="0.3"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</row>
    <row r="448" spans="34:44" ht="15" customHeight="1" x14ac:dyDescent="0.3"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</row>
    <row r="449" spans="34:44" ht="15" customHeight="1" x14ac:dyDescent="0.3"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</row>
    <row r="450" spans="34:44" ht="15" customHeight="1" x14ac:dyDescent="0.3"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</row>
    <row r="451" spans="34:44" ht="15" customHeight="1" x14ac:dyDescent="0.3"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</row>
    <row r="452" spans="34:44" ht="15" customHeight="1" x14ac:dyDescent="0.3"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</row>
    <row r="453" spans="34:44" ht="15" customHeight="1" x14ac:dyDescent="0.3"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</row>
    <row r="454" spans="34:44" ht="15" customHeight="1" x14ac:dyDescent="0.3"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</row>
    <row r="455" spans="34:44" ht="15" customHeight="1" x14ac:dyDescent="0.3"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</row>
    <row r="456" spans="34:44" ht="15" customHeight="1" x14ac:dyDescent="0.3"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</row>
    <row r="457" spans="34:44" ht="15" customHeight="1" x14ac:dyDescent="0.3"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</row>
    <row r="458" spans="34:44" ht="15" customHeight="1" x14ac:dyDescent="0.3"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</row>
    <row r="459" spans="34:44" ht="15" customHeight="1" x14ac:dyDescent="0.3"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</row>
    <row r="460" spans="34:44" ht="15" customHeight="1" x14ac:dyDescent="0.3"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</row>
    <row r="461" spans="34:44" ht="15" customHeight="1" x14ac:dyDescent="0.3"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</row>
    <row r="462" spans="34:44" ht="15" customHeight="1" x14ac:dyDescent="0.3"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</row>
    <row r="463" spans="34:44" ht="15" customHeight="1" x14ac:dyDescent="0.3"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</row>
    <row r="464" spans="34:44" ht="15" customHeight="1" x14ac:dyDescent="0.3"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</row>
    <row r="465" spans="34:44" ht="15" customHeight="1" x14ac:dyDescent="0.3"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</row>
    <row r="466" spans="34:44" ht="15" customHeight="1" x14ac:dyDescent="0.3"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</row>
    <row r="467" spans="34:44" ht="15" customHeight="1" x14ac:dyDescent="0.3"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</row>
    <row r="468" spans="34:44" ht="15" customHeight="1" x14ac:dyDescent="0.3"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</row>
    <row r="469" spans="34:44" ht="15" customHeight="1" x14ac:dyDescent="0.3"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</row>
    <row r="470" spans="34:44" ht="15" customHeight="1" x14ac:dyDescent="0.3"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</row>
    <row r="471" spans="34:44" ht="15" customHeight="1" x14ac:dyDescent="0.3"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</row>
    <row r="472" spans="34:44" ht="15" customHeight="1" x14ac:dyDescent="0.3"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</row>
    <row r="473" spans="34:44" ht="15" customHeight="1" x14ac:dyDescent="0.3"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</row>
    <row r="474" spans="34:44" ht="15" customHeight="1" x14ac:dyDescent="0.3"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</row>
    <row r="475" spans="34:44" ht="15" customHeight="1" x14ac:dyDescent="0.3"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</row>
    <row r="476" spans="34:44" ht="15" customHeight="1" x14ac:dyDescent="0.3"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</row>
    <row r="477" spans="34:44" ht="15" customHeight="1" x14ac:dyDescent="0.3"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</row>
    <row r="478" spans="34:44" ht="15" customHeight="1" x14ac:dyDescent="0.3"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</row>
    <row r="479" spans="34:44" ht="15" customHeight="1" x14ac:dyDescent="0.3"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</row>
    <row r="480" spans="34:44" ht="15" customHeight="1" x14ac:dyDescent="0.3"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</row>
    <row r="481" spans="34:44" ht="15" customHeight="1" x14ac:dyDescent="0.3"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</row>
    <row r="482" spans="34:44" ht="15" customHeight="1" x14ac:dyDescent="0.3"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</row>
    <row r="483" spans="34:44" ht="15" customHeight="1" x14ac:dyDescent="0.3"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</row>
    <row r="484" spans="34:44" ht="15" customHeight="1" x14ac:dyDescent="0.3"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</row>
    <row r="485" spans="34:44" ht="15" customHeight="1" x14ac:dyDescent="0.3"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</row>
    <row r="486" spans="34:44" ht="15" customHeight="1" x14ac:dyDescent="0.3"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</row>
    <row r="487" spans="34:44" ht="15" customHeight="1" x14ac:dyDescent="0.3"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</row>
    <row r="488" spans="34:44" ht="15" customHeight="1" x14ac:dyDescent="0.3"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</row>
    <row r="489" spans="34:44" ht="15" customHeight="1" x14ac:dyDescent="0.3"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</row>
    <row r="490" spans="34:44" ht="15" customHeight="1" x14ac:dyDescent="0.3"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</row>
    <row r="491" spans="34:44" ht="15" customHeight="1" x14ac:dyDescent="0.3"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</row>
    <row r="492" spans="34:44" ht="15" customHeight="1" x14ac:dyDescent="0.3"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</row>
    <row r="493" spans="34:44" ht="15" customHeight="1" x14ac:dyDescent="0.3"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</row>
    <row r="494" spans="34:44" ht="15" customHeight="1" x14ac:dyDescent="0.3"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</row>
    <row r="495" spans="34:44" ht="15" customHeight="1" x14ac:dyDescent="0.3"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</row>
    <row r="496" spans="34:44" ht="15" customHeight="1" x14ac:dyDescent="0.3"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</row>
    <row r="497" spans="34:44" ht="15" customHeight="1" x14ac:dyDescent="0.3"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</row>
    <row r="498" spans="34:44" ht="15" customHeight="1" x14ac:dyDescent="0.3"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</row>
    <row r="499" spans="34:44" ht="15" customHeight="1" x14ac:dyDescent="0.3"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</row>
    <row r="500" spans="34:44" ht="15" customHeight="1" x14ac:dyDescent="0.3"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</row>
    <row r="501" spans="34:44" ht="15" customHeight="1" x14ac:dyDescent="0.3"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</row>
    <row r="502" spans="34:44" ht="15" customHeight="1" x14ac:dyDescent="0.3"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</row>
    <row r="503" spans="34:44" ht="15" customHeight="1" x14ac:dyDescent="0.3"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</row>
    <row r="504" spans="34:44" ht="15" customHeight="1" x14ac:dyDescent="0.3"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</row>
    <row r="505" spans="34:44" ht="15" customHeight="1" x14ac:dyDescent="0.3"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</row>
    <row r="506" spans="34:44" ht="15" customHeight="1" x14ac:dyDescent="0.3"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</row>
    <row r="507" spans="34:44" ht="15" customHeight="1" x14ac:dyDescent="0.3"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</row>
    <row r="508" spans="34:44" ht="15" customHeight="1" x14ac:dyDescent="0.3"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</row>
    <row r="509" spans="34:44" ht="15" customHeight="1" x14ac:dyDescent="0.3"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</row>
    <row r="510" spans="34:44" ht="15" customHeight="1" x14ac:dyDescent="0.3"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</row>
    <row r="511" spans="34:44" ht="15" customHeight="1" x14ac:dyDescent="0.3"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</row>
    <row r="512" spans="34:44" ht="15" customHeight="1" x14ac:dyDescent="0.3"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</row>
    <row r="513" spans="34:44" ht="15" customHeight="1" x14ac:dyDescent="0.3"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</row>
    <row r="514" spans="34:44" ht="15" customHeight="1" x14ac:dyDescent="0.3"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</row>
    <row r="515" spans="34:44" ht="15" customHeight="1" x14ac:dyDescent="0.3"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</row>
    <row r="516" spans="34:44" ht="15" customHeight="1" x14ac:dyDescent="0.3"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</row>
    <row r="517" spans="34:44" ht="15" customHeight="1" x14ac:dyDescent="0.3"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</row>
    <row r="518" spans="34:44" ht="15" customHeight="1" x14ac:dyDescent="0.3"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</row>
    <row r="519" spans="34:44" ht="15" customHeight="1" x14ac:dyDescent="0.3"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</row>
    <row r="520" spans="34:44" ht="15" customHeight="1" x14ac:dyDescent="0.3"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</row>
    <row r="521" spans="34:44" ht="15" customHeight="1" x14ac:dyDescent="0.3"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</row>
    <row r="522" spans="34:44" ht="15" customHeight="1" x14ac:dyDescent="0.3"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</row>
    <row r="523" spans="34:44" ht="15" customHeight="1" x14ac:dyDescent="0.3"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</row>
    <row r="524" spans="34:44" ht="15" customHeight="1" x14ac:dyDescent="0.3"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</row>
    <row r="525" spans="34:44" ht="15" customHeight="1" x14ac:dyDescent="0.3"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</row>
    <row r="526" spans="34:44" ht="15" customHeight="1" x14ac:dyDescent="0.3"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</row>
    <row r="527" spans="34:44" ht="15" customHeight="1" x14ac:dyDescent="0.3"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</row>
    <row r="528" spans="34:44" ht="15" customHeight="1" x14ac:dyDescent="0.3"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</row>
    <row r="529" spans="34:44" ht="15" customHeight="1" x14ac:dyDescent="0.3"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</row>
    <row r="530" spans="34:44" ht="15" customHeight="1" x14ac:dyDescent="0.3"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</row>
    <row r="531" spans="34:44" ht="15" customHeight="1" x14ac:dyDescent="0.3"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</row>
    <row r="532" spans="34:44" ht="15" customHeight="1" x14ac:dyDescent="0.3"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</row>
    <row r="533" spans="34:44" ht="15" customHeight="1" x14ac:dyDescent="0.3"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</row>
    <row r="534" spans="34:44" ht="15" customHeight="1" x14ac:dyDescent="0.3"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</row>
    <row r="535" spans="34:44" ht="15" customHeight="1" x14ac:dyDescent="0.3"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</row>
    <row r="536" spans="34:44" ht="15" customHeight="1" x14ac:dyDescent="0.3"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</row>
    <row r="537" spans="34:44" ht="15" customHeight="1" x14ac:dyDescent="0.3"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</row>
    <row r="538" spans="34:44" ht="15" customHeight="1" x14ac:dyDescent="0.3"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</row>
    <row r="539" spans="34:44" ht="15" customHeight="1" x14ac:dyDescent="0.3"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</row>
    <row r="540" spans="34:44" ht="15" customHeight="1" x14ac:dyDescent="0.3"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</row>
    <row r="541" spans="34:44" ht="15" customHeight="1" x14ac:dyDescent="0.3"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</row>
    <row r="542" spans="34:44" ht="15" customHeight="1" x14ac:dyDescent="0.3"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</row>
    <row r="543" spans="34:44" ht="15" customHeight="1" x14ac:dyDescent="0.3"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</row>
    <row r="544" spans="34:44" ht="15" customHeight="1" x14ac:dyDescent="0.3"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</row>
    <row r="545" spans="34:44" ht="15" customHeight="1" x14ac:dyDescent="0.3"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</row>
    <row r="546" spans="34:44" ht="15" customHeight="1" x14ac:dyDescent="0.3"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</row>
    <row r="547" spans="34:44" ht="15" customHeight="1" x14ac:dyDescent="0.3"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</row>
    <row r="548" spans="34:44" ht="15" customHeight="1" x14ac:dyDescent="0.3"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</row>
    <row r="549" spans="34:44" ht="15" customHeight="1" x14ac:dyDescent="0.3"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</row>
    <row r="550" spans="34:44" ht="15" customHeight="1" x14ac:dyDescent="0.3"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</row>
    <row r="551" spans="34:44" ht="15" customHeight="1" x14ac:dyDescent="0.3"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</row>
    <row r="552" spans="34:44" ht="15" customHeight="1" x14ac:dyDescent="0.3"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</row>
    <row r="553" spans="34:44" ht="15" customHeight="1" x14ac:dyDescent="0.3"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</row>
    <row r="554" spans="34:44" ht="15" customHeight="1" x14ac:dyDescent="0.3"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</row>
    <row r="555" spans="34:44" ht="15" customHeight="1" x14ac:dyDescent="0.3"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</row>
    <row r="556" spans="34:44" ht="15" customHeight="1" x14ac:dyDescent="0.3"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</row>
    <row r="557" spans="34:44" ht="15" customHeight="1" x14ac:dyDescent="0.3"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</row>
    <row r="558" spans="34:44" ht="15" customHeight="1" x14ac:dyDescent="0.3"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</row>
    <row r="559" spans="34:44" ht="15" customHeight="1" x14ac:dyDescent="0.3"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</row>
    <row r="560" spans="34:44" ht="15" customHeight="1" x14ac:dyDescent="0.3"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</row>
    <row r="561" spans="34:44" ht="15" customHeight="1" x14ac:dyDescent="0.3"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</row>
    <row r="562" spans="34:44" ht="15" customHeight="1" x14ac:dyDescent="0.3"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</row>
    <row r="563" spans="34:44" ht="15" customHeight="1" x14ac:dyDescent="0.3"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</row>
    <row r="564" spans="34:44" ht="15" customHeight="1" x14ac:dyDescent="0.3"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</row>
    <row r="565" spans="34:44" ht="15" customHeight="1" x14ac:dyDescent="0.3"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</row>
    <row r="566" spans="34:44" ht="15" customHeight="1" x14ac:dyDescent="0.3"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</row>
    <row r="567" spans="34:44" ht="15" customHeight="1" x14ac:dyDescent="0.3"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</row>
    <row r="568" spans="34:44" ht="15" customHeight="1" x14ac:dyDescent="0.3"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</row>
    <row r="569" spans="34:44" ht="15" customHeight="1" x14ac:dyDescent="0.3"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</row>
    <row r="570" spans="34:44" ht="15" customHeight="1" x14ac:dyDescent="0.3"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</row>
    <row r="571" spans="34:44" ht="15" customHeight="1" x14ac:dyDescent="0.3"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</row>
    <row r="572" spans="34:44" ht="15" customHeight="1" x14ac:dyDescent="0.3"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</row>
    <row r="573" spans="34:44" ht="15" customHeight="1" x14ac:dyDescent="0.3"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</row>
    <row r="574" spans="34:44" ht="15" customHeight="1" x14ac:dyDescent="0.3"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</row>
    <row r="575" spans="34:44" ht="15" customHeight="1" x14ac:dyDescent="0.3"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</row>
    <row r="576" spans="34:44" ht="15" customHeight="1" x14ac:dyDescent="0.3"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</row>
    <row r="577" spans="34:44" ht="15" customHeight="1" x14ac:dyDescent="0.3"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</row>
    <row r="578" spans="34:44" ht="15" customHeight="1" x14ac:dyDescent="0.3"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</row>
    <row r="579" spans="34:44" ht="15" customHeight="1" x14ac:dyDescent="0.3"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</row>
    <row r="580" spans="34:44" ht="15" customHeight="1" x14ac:dyDescent="0.3"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</row>
    <row r="581" spans="34:44" ht="15" customHeight="1" x14ac:dyDescent="0.3"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</row>
    <row r="582" spans="34:44" ht="15" customHeight="1" x14ac:dyDescent="0.3"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</row>
    <row r="583" spans="34:44" ht="15" customHeight="1" x14ac:dyDescent="0.3"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</row>
    <row r="584" spans="34:44" ht="15" customHeight="1" x14ac:dyDescent="0.3"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</row>
    <row r="585" spans="34:44" ht="15" customHeight="1" x14ac:dyDescent="0.3"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</row>
    <row r="586" spans="34:44" ht="15" customHeight="1" x14ac:dyDescent="0.3"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</row>
    <row r="587" spans="34:44" ht="15" customHeight="1" x14ac:dyDescent="0.3"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</row>
    <row r="588" spans="34:44" ht="15" customHeight="1" x14ac:dyDescent="0.3"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</row>
    <row r="589" spans="34:44" ht="15" customHeight="1" x14ac:dyDescent="0.3"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</row>
    <row r="590" spans="34:44" ht="15" customHeight="1" x14ac:dyDescent="0.3"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</row>
    <row r="591" spans="34:44" ht="15" customHeight="1" x14ac:dyDescent="0.3"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</row>
    <row r="592" spans="34:44" ht="15" customHeight="1" x14ac:dyDescent="0.3"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</row>
    <row r="593" spans="34:44" ht="15" customHeight="1" x14ac:dyDescent="0.3"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</row>
    <row r="594" spans="34:44" ht="15" customHeight="1" x14ac:dyDescent="0.3"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</row>
    <row r="595" spans="34:44" ht="15" customHeight="1" x14ac:dyDescent="0.3"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</row>
    <row r="596" spans="34:44" ht="15" customHeight="1" x14ac:dyDescent="0.3"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</row>
    <row r="597" spans="34:44" ht="15" customHeight="1" x14ac:dyDescent="0.3"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</row>
    <row r="598" spans="34:44" ht="15" customHeight="1" x14ac:dyDescent="0.3"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</row>
    <row r="599" spans="34:44" ht="15" customHeight="1" x14ac:dyDescent="0.3"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</row>
    <row r="600" spans="34:44" ht="15" customHeight="1" x14ac:dyDescent="0.3"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</row>
    <row r="601" spans="34:44" ht="15" customHeight="1" x14ac:dyDescent="0.3"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</row>
    <row r="602" spans="34:44" ht="15" customHeight="1" x14ac:dyDescent="0.3"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</row>
    <row r="603" spans="34:44" ht="15" customHeight="1" x14ac:dyDescent="0.3"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</row>
    <row r="604" spans="34:44" ht="15" customHeight="1" x14ac:dyDescent="0.3"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</row>
    <row r="605" spans="34:44" ht="15" customHeight="1" x14ac:dyDescent="0.3"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</row>
    <row r="606" spans="34:44" ht="15" customHeight="1" x14ac:dyDescent="0.3"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</row>
    <row r="607" spans="34:44" ht="15" customHeight="1" x14ac:dyDescent="0.3"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</row>
    <row r="608" spans="34:44" ht="15" customHeight="1" x14ac:dyDescent="0.3"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</row>
    <row r="609" spans="34:44" ht="15" customHeight="1" x14ac:dyDescent="0.3"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</row>
    <row r="610" spans="34:44" ht="15" customHeight="1" x14ac:dyDescent="0.3"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</row>
    <row r="611" spans="34:44" ht="15" customHeight="1" x14ac:dyDescent="0.3"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</row>
    <row r="612" spans="34:44" ht="15" customHeight="1" x14ac:dyDescent="0.3"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</row>
    <row r="613" spans="34:44" ht="15" customHeight="1" x14ac:dyDescent="0.3"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</row>
    <row r="614" spans="34:44" ht="15" customHeight="1" x14ac:dyDescent="0.3"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</row>
    <row r="615" spans="34:44" ht="15" customHeight="1" x14ac:dyDescent="0.3"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</row>
    <row r="616" spans="34:44" ht="15" customHeight="1" x14ac:dyDescent="0.3"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</row>
    <row r="617" spans="34:44" ht="15" customHeight="1" x14ac:dyDescent="0.3"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</row>
    <row r="618" spans="34:44" ht="15" customHeight="1" x14ac:dyDescent="0.3"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</row>
    <row r="619" spans="34:44" ht="15" customHeight="1" x14ac:dyDescent="0.3"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</row>
    <row r="620" spans="34:44" ht="15" customHeight="1" x14ac:dyDescent="0.3"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</row>
    <row r="621" spans="34:44" ht="15" customHeight="1" x14ac:dyDescent="0.3"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</row>
    <row r="622" spans="34:44" ht="15" customHeight="1" x14ac:dyDescent="0.3"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</row>
    <row r="623" spans="34:44" ht="15" customHeight="1" x14ac:dyDescent="0.3"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</row>
    <row r="624" spans="34:44" ht="15" customHeight="1" x14ac:dyDescent="0.3"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</row>
    <row r="625" spans="34:44" ht="15" customHeight="1" x14ac:dyDescent="0.3"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</row>
    <row r="626" spans="34:44" ht="15" customHeight="1" x14ac:dyDescent="0.3"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</row>
    <row r="627" spans="34:44" ht="15" customHeight="1" x14ac:dyDescent="0.3"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</row>
    <row r="628" spans="34:44" ht="15" customHeight="1" x14ac:dyDescent="0.3"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</row>
    <row r="629" spans="34:44" ht="15" customHeight="1" x14ac:dyDescent="0.3"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</row>
    <row r="630" spans="34:44" ht="15" customHeight="1" x14ac:dyDescent="0.3"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</row>
    <row r="631" spans="34:44" ht="15" customHeight="1" x14ac:dyDescent="0.3"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</row>
    <row r="632" spans="34:44" ht="15" customHeight="1" x14ac:dyDescent="0.3"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</row>
    <row r="633" spans="34:44" ht="15" customHeight="1" x14ac:dyDescent="0.3"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</row>
    <row r="634" spans="34:44" ht="15" customHeight="1" x14ac:dyDescent="0.3"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</row>
    <row r="635" spans="34:44" ht="15" customHeight="1" x14ac:dyDescent="0.3"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</row>
    <row r="636" spans="34:44" ht="15" customHeight="1" x14ac:dyDescent="0.3"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</row>
    <row r="637" spans="34:44" ht="15" customHeight="1" x14ac:dyDescent="0.3"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</row>
    <row r="638" spans="34:44" ht="15" customHeight="1" x14ac:dyDescent="0.3"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</row>
    <row r="639" spans="34:44" ht="15" customHeight="1" x14ac:dyDescent="0.3"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</row>
    <row r="640" spans="34:44" ht="15" customHeight="1" x14ac:dyDescent="0.3"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</row>
    <row r="641" spans="34:44" ht="15" customHeight="1" x14ac:dyDescent="0.3"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</row>
    <row r="642" spans="34:44" ht="15" customHeight="1" x14ac:dyDescent="0.3"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</row>
    <row r="643" spans="34:44" ht="15" customHeight="1" x14ac:dyDescent="0.3"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</row>
    <row r="644" spans="34:44" ht="15" customHeight="1" x14ac:dyDescent="0.3"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</row>
    <row r="645" spans="34:44" ht="15" customHeight="1" x14ac:dyDescent="0.3"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</row>
    <row r="646" spans="34:44" ht="15" customHeight="1" x14ac:dyDescent="0.3"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</row>
    <row r="647" spans="34:44" ht="15" customHeight="1" x14ac:dyDescent="0.3"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</row>
    <row r="648" spans="34:44" ht="15" customHeight="1" x14ac:dyDescent="0.3"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</row>
    <row r="649" spans="34:44" ht="15" customHeight="1" x14ac:dyDescent="0.3"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</row>
    <row r="650" spans="34:44" ht="15" customHeight="1" x14ac:dyDescent="0.3"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</row>
    <row r="651" spans="34:44" ht="15" customHeight="1" x14ac:dyDescent="0.3"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</row>
    <row r="652" spans="34:44" ht="15" customHeight="1" x14ac:dyDescent="0.3"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</row>
    <row r="653" spans="34:44" ht="15" customHeight="1" x14ac:dyDescent="0.3"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</row>
    <row r="654" spans="34:44" ht="15" customHeight="1" x14ac:dyDescent="0.3"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</row>
    <row r="655" spans="34:44" ht="15" customHeight="1" x14ac:dyDescent="0.3"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</row>
    <row r="656" spans="34:44" ht="15" customHeight="1" x14ac:dyDescent="0.3"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</row>
    <row r="657" spans="34:44" ht="15" customHeight="1" x14ac:dyDescent="0.3"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</row>
    <row r="658" spans="34:44" ht="15" customHeight="1" x14ac:dyDescent="0.3"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</row>
    <row r="659" spans="34:44" ht="15" customHeight="1" x14ac:dyDescent="0.3"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</row>
    <row r="660" spans="34:44" ht="15" customHeight="1" x14ac:dyDescent="0.3"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</row>
    <row r="661" spans="34:44" ht="15" customHeight="1" x14ac:dyDescent="0.3"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</row>
    <row r="662" spans="34:44" ht="15" customHeight="1" x14ac:dyDescent="0.3"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</row>
    <row r="663" spans="34:44" ht="15" customHeight="1" x14ac:dyDescent="0.3"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</row>
    <row r="664" spans="34:44" ht="15" customHeight="1" x14ac:dyDescent="0.3"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</row>
    <row r="665" spans="34:44" ht="15" customHeight="1" x14ac:dyDescent="0.3"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</row>
    <row r="666" spans="34:44" ht="15" customHeight="1" x14ac:dyDescent="0.3"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</row>
    <row r="667" spans="34:44" ht="15" customHeight="1" x14ac:dyDescent="0.3"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</row>
    <row r="668" spans="34:44" ht="15" customHeight="1" x14ac:dyDescent="0.3"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</row>
    <row r="669" spans="34:44" ht="15" customHeight="1" x14ac:dyDescent="0.3"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</row>
    <row r="670" spans="34:44" ht="15" customHeight="1" x14ac:dyDescent="0.3"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</row>
    <row r="671" spans="34:44" ht="15" customHeight="1" x14ac:dyDescent="0.3"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</row>
    <row r="672" spans="34:44" ht="15" customHeight="1" x14ac:dyDescent="0.3"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</row>
    <row r="673" spans="34:44" ht="15" customHeight="1" x14ac:dyDescent="0.3"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</row>
    <row r="674" spans="34:44" ht="15" customHeight="1" x14ac:dyDescent="0.3"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</row>
    <row r="675" spans="34:44" ht="15" customHeight="1" x14ac:dyDescent="0.3"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</row>
    <row r="676" spans="34:44" ht="15" customHeight="1" x14ac:dyDescent="0.3"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</row>
    <row r="677" spans="34:44" ht="15" customHeight="1" x14ac:dyDescent="0.3"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</row>
    <row r="678" spans="34:44" ht="15" customHeight="1" x14ac:dyDescent="0.3"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</row>
    <row r="679" spans="34:44" ht="15" customHeight="1" x14ac:dyDescent="0.3"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</row>
    <row r="680" spans="34:44" ht="15" customHeight="1" x14ac:dyDescent="0.3"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</row>
    <row r="681" spans="34:44" ht="15" customHeight="1" x14ac:dyDescent="0.3"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</row>
    <row r="682" spans="34:44" ht="15" customHeight="1" x14ac:dyDescent="0.3"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</row>
    <row r="683" spans="34:44" ht="15" customHeight="1" x14ac:dyDescent="0.3"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</row>
    <row r="684" spans="34:44" ht="15" customHeight="1" x14ac:dyDescent="0.3"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</row>
    <row r="685" spans="34:44" ht="15" customHeight="1" x14ac:dyDescent="0.3"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</row>
    <row r="686" spans="34:44" ht="15" customHeight="1" x14ac:dyDescent="0.3"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</row>
    <row r="687" spans="34:44" ht="15" customHeight="1" x14ac:dyDescent="0.3"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</row>
    <row r="688" spans="34:44" ht="15" customHeight="1" x14ac:dyDescent="0.3"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</row>
    <row r="689" spans="34:44" ht="15" customHeight="1" x14ac:dyDescent="0.3"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</row>
    <row r="690" spans="34:44" ht="15" customHeight="1" x14ac:dyDescent="0.3"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</row>
    <row r="691" spans="34:44" ht="15" customHeight="1" x14ac:dyDescent="0.3"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</row>
    <row r="692" spans="34:44" ht="15" customHeight="1" x14ac:dyDescent="0.3"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</row>
    <row r="693" spans="34:44" ht="15" customHeight="1" x14ac:dyDescent="0.3"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</row>
    <row r="694" spans="34:44" ht="15" customHeight="1" x14ac:dyDescent="0.3"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</row>
    <row r="695" spans="34:44" ht="15" customHeight="1" x14ac:dyDescent="0.3"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</row>
    <row r="696" spans="34:44" ht="15" customHeight="1" x14ac:dyDescent="0.3"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</row>
    <row r="697" spans="34:44" ht="15" customHeight="1" x14ac:dyDescent="0.3"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</row>
    <row r="698" spans="34:44" ht="15" customHeight="1" x14ac:dyDescent="0.3"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</row>
    <row r="699" spans="34:44" ht="15" customHeight="1" x14ac:dyDescent="0.3"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</row>
    <row r="700" spans="34:44" ht="15" customHeight="1" x14ac:dyDescent="0.3"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</row>
    <row r="701" spans="34:44" ht="15" customHeight="1" x14ac:dyDescent="0.3"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</row>
    <row r="702" spans="34:44" ht="15" customHeight="1" x14ac:dyDescent="0.3"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</row>
    <row r="703" spans="34:44" ht="15" customHeight="1" x14ac:dyDescent="0.3"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</row>
    <row r="704" spans="34:44" ht="15" customHeight="1" x14ac:dyDescent="0.3"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</row>
    <row r="705" spans="34:44" ht="15" customHeight="1" x14ac:dyDescent="0.3"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</row>
    <row r="706" spans="34:44" ht="15" customHeight="1" x14ac:dyDescent="0.3"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</row>
    <row r="707" spans="34:44" ht="15" customHeight="1" x14ac:dyDescent="0.3"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</row>
    <row r="708" spans="34:44" ht="15" customHeight="1" x14ac:dyDescent="0.3"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</row>
    <row r="709" spans="34:44" ht="15" customHeight="1" x14ac:dyDescent="0.3"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</row>
    <row r="710" spans="34:44" ht="15" customHeight="1" x14ac:dyDescent="0.3"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</row>
    <row r="711" spans="34:44" ht="15" customHeight="1" x14ac:dyDescent="0.3"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</row>
    <row r="712" spans="34:44" ht="15" customHeight="1" x14ac:dyDescent="0.3"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</row>
    <row r="713" spans="34:44" ht="15" customHeight="1" x14ac:dyDescent="0.3"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</row>
    <row r="714" spans="34:44" ht="15" customHeight="1" x14ac:dyDescent="0.3"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</row>
    <row r="715" spans="34:44" ht="15" customHeight="1" x14ac:dyDescent="0.3"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</row>
    <row r="716" spans="34:44" ht="15" customHeight="1" x14ac:dyDescent="0.3"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</row>
    <row r="717" spans="34:44" ht="15" customHeight="1" x14ac:dyDescent="0.3"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</row>
    <row r="718" spans="34:44" ht="15" customHeight="1" x14ac:dyDescent="0.3"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</row>
    <row r="719" spans="34:44" ht="15" customHeight="1" x14ac:dyDescent="0.3"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</row>
    <row r="720" spans="34:44" ht="15" customHeight="1" x14ac:dyDescent="0.3"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</row>
    <row r="721" spans="34:44" ht="15" customHeight="1" x14ac:dyDescent="0.3"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</row>
    <row r="722" spans="34:44" ht="15" customHeight="1" x14ac:dyDescent="0.3"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</row>
    <row r="723" spans="34:44" ht="15" customHeight="1" x14ac:dyDescent="0.3"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</row>
    <row r="724" spans="34:44" ht="15" customHeight="1" x14ac:dyDescent="0.3"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</row>
    <row r="725" spans="34:44" ht="15" customHeight="1" x14ac:dyDescent="0.3"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</row>
    <row r="726" spans="34:44" ht="15" customHeight="1" x14ac:dyDescent="0.3"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</row>
    <row r="727" spans="34:44" ht="15" customHeight="1" x14ac:dyDescent="0.3"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</row>
    <row r="728" spans="34:44" ht="15" customHeight="1" x14ac:dyDescent="0.3"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</row>
    <row r="729" spans="34:44" ht="15" customHeight="1" x14ac:dyDescent="0.3"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</row>
    <row r="730" spans="34:44" ht="15" customHeight="1" x14ac:dyDescent="0.3"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</row>
    <row r="731" spans="34:44" ht="15" customHeight="1" x14ac:dyDescent="0.3"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</row>
    <row r="732" spans="34:44" ht="15" customHeight="1" x14ac:dyDescent="0.3"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</row>
    <row r="733" spans="34:44" ht="15" customHeight="1" x14ac:dyDescent="0.3"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</row>
    <row r="734" spans="34:44" ht="15" customHeight="1" x14ac:dyDescent="0.3"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</row>
    <row r="735" spans="34:44" ht="15" customHeight="1" x14ac:dyDescent="0.3"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</row>
    <row r="736" spans="34:44" ht="15" customHeight="1" x14ac:dyDescent="0.3"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</row>
    <row r="737" spans="34:44" ht="15" customHeight="1" x14ac:dyDescent="0.3"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</row>
    <row r="738" spans="34:44" ht="15" customHeight="1" x14ac:dyDescent="0.3"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</row>
    <row r="739" spans="34:44" ht="15" customHeight="1" x14ac:dyDescent="0.3"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</row>
    <row r="740" spans="34:44" ht="15" customHeight="1" x14ac:dyDescent="0.3"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</row>
    <row r="741" spans="34:44" ht="15" customHeight="1" x14ac:dyDescent="0.3"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</row>
    <row r="742" spans="34:44" ht="15" customHeight="1" x14ac:dyDescent="0.3"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</row>
    <row r="743" spans="34:44" ht="15" customHeight="1" x14ac:dyDescent="0.3"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</row>
    <row r="744" spans="34:44" ht="15" customHeight="1" x14ac:dyDescent="0.3"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</row>
    <row r="745" spans="34:44" ht="15" customHeight="1" x14ac:dyDescent="0.3"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</row>
    <row r="746" spans="34:44" ht="15" customHeight="1" x14ac:dyDescent="0.3"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</row>
    <row r="747" spans="34:44" ht="15" customHeight="1" x14ac:dyDescent="0.3"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</row>
    <row r="748" spans="34:44" ht="15" customHeight="1" x14ac:dyDescent="0.3"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</row>
    <row r="749" spans="34:44" ht="15" customHeight="1" x14ac:dyDescent="0.3"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</row>
    <row r="750" spans="34:44" ht="15" customHeight="1" x14ac:dyDescent="0.3"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</row>
    <row r="751" spans="34:44" ht="15" customHeight="1" x14ac:dyDescent="0.3"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</row>
    <row r="752" spans="34:44" ht="15" customHeight="1" x14ac:dyDescent="0.3"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</row>
    <row r="753" spans="34:44" ht="15" customHeight="1" x14ac:dyDescent="0.3"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</row>
    <row r="754" spans="34:44" ht="15" customHeight="1" x14ac:dyDescent="0.3"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</row>
    <row r="755" spans="34:44" ht="15" customHeight="1" x14ac:dyDescent="0.3"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</row>
    <row r="756" spans="34:44" ht="15" customHeight="1" x14ac:dyDescent="0.3"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</row>
    <row r="757" spans="34:44" ht="15" customHeight="1" x14ac:dyDescent="0.3"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</row>
    <row r="758" spans="34:44" ht="15" customHeight="1" x14ac:dyDescent="0.3"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</row>
    <row r="759" spans="34:44" ht="15" customHeight="1" x14ac:dyDescent="0.3"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</row>
    <row r="760" spans="34:44" ht="15" customHeight="1" x14ac:dyDescent="0.3"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</row>
    <row r="761" spans="34:44" ht="15" customHeight="1" x14ac:dyDescent="0.3"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</row>
    <row r="762" spans="34:44" ht="15" customHeight="1" x14ac:dyDescent="0.3"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</row>
    <row r="763" spans="34:44" ht="15" customHeight="1" x14ac:dyDescent="0.3"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</row>
    <row r="764" spans="34:44" ht="15" customHeight="1" x14ac:dyDescent="0.3"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</row>
    <row r="765" spans="34:44" ht="15" customHeight="1" x14ac:dyDescent="0.3"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</row>
    <row r="766" spans="34:44" ht="15" customHeight="1" x14ac:dyDescent="0.3"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</row>
    <row r="767" spans="34:44" ht="15" customHeight="1" x14ac:dyDescent="0.3"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</row>
    <row r="768" spans="34:44" ht="15" customHeight="1" x14ac:dyDescent="0.3"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</row>
    <row r="769" spans="34:44" ht="15" customHeight="1" x14ac:dyDescent="0.3"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</row>
    <row r="770" spans="34:44" ht="15" customHeight="1" x14ac:dyDescent="0.3"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</row>
    <row r="771" spans="34:44" ht="15" customHeight="1" x14ac:dyDescent="0.3"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</row>
    <row r="772" spans="34:44" ht="15" customHeight="1" x14ac:dyDescent="0.3"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</row>
    <row r="773" spans="34:44" ht="15" customHeight="1" x14ac:dyDescent="0.3"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</row>
    <row r="774" spans="34:44" ht="15" customHeight="1" x14ac:dyDescent="0.3"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</row>
    <row r="775" spans="34:44" ht="15" customHeight="1" x14ac:dyDescent="0.3"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</row>
    <row r="776" spans="34:44" ht="15" customHeight="1" x14ac:dyDescent="0.3"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</row>
    <row r="777" spans="34:44" ht="15" customHeight="1" x14ac:dyDescent="0.3"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</row>
    <row r="778" spans="34:44" ht="15" customHeight="1" x14ac:dyDescent="0.3"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</row>
    <row r="779" spans="34:44" ht="15" customHeight="1" x14ac:dyDescent="0.3"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</row>
    <row r="780" spans="34:44" ht="15" customHeight="1" x14ac:dyDescent="0.3"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</row>
    <row r="781" spans="34:44" ht="15" customHeight="1" x14ac:dyDescent="0.3"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</row>
    <row r="782" spans="34:44" ht="15" customHeight="1" x14ac:dyDescent="0.3"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</row>
    <row r="783" spans="34:44" ht="15" customHeight="1" x14ac:dyDescent="0.3"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</row>
    <row r="784" spans="34:44" ht="15" customHeight="1" x14ac:dyDescent="0.3"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</row>
    <row r="785" spans="34:44" ht="15" customHeight="1" x14ac:dyDescent="0.3"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</row>
    <row r="786" spans="34:44" ht="15" customHeight="1" x14ac:dyDescent="0.3"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</row>
    <row r="787" spans="34:44" ht="15" customHeight="1" x14ac:dyDescent="0.3"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</row>
    <row r="788" spans="34:44" ht="15" customHeight="1" x14ac:dyDescent="0.3"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</row>
    <row r="789" spans="34:44" ht="15" customHeight="1" x14ac:dyDescent="0.3"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</row>
    <row r="790" spans="34:44" ht="15" customHeight="1" x14ac:dyDescent="0.3"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</row>
    <row r="791" spans="34:44" ht="15" customHeight="1" x14ac:dyDescent="0.3"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</row>
    <row r="792" spans="34:44" ht="15" customHeight="1" x14ac:dyDescent="0.3"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</row>
    <row r="793" spans="34:44" ht="15" customHeight="1" x14ac:dyDescent="0.3"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</row>
    <row r="794" spans="34:44" ht="15" customHeight="1" x14ac:dyDescent="0.3"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</row>
    <row r="795" spans="34:44" ht="15" customHeight="1" x14ac:dyDescent="0.3"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</row>
    <row r="796" spans="34:44" ht="15" customHeight="1" x14ac:dyDescent="0.3"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</row>
    <row r="797" spans="34:44" ht="15" customHeight="1" x14ac:dyDescent="0.3"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</row>
    <row r="798" spans="34:44" ht="15" customHeight="1" x14ac:dyDescent="0.3"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</row>
    <row r="799" spans="34:44" ht="15" customHeight="1" x14ac:dyDescent="0.3"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</row>
    <row r="800" spans="34:44" ht="15" customHeight="1" x14ac:dyDescent="0.3"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</row>
    <row r="801" spans="34:44" ht="15" customHeight="1" x14ac:dyDescent="0.3"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</row>
    <row r="802" spans="34:44" ht="15" customHeight="1" x14ac:dyDescent="0.3"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</row>
    <row r="803" spans="34:44" ht="15" customHeight="1" x14ac:dyDescent="0.3"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</row>
    <row r="804" spans="34:44" ht="15" customHeight="1" x14ac:dyDescent="0.3"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</row>
    <row r="805" spans="34:44" ht="15" customHeight="1" x14ac:dyDescent="0.3"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</row>
    <row r="806" spans="34:44" ht="15" customHeight="1" x14ac:dyDescent="0.3"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</row>
    <row r="807" spans="34:44" ht="15" customHeight="1" x14ac:dyDescent="0.3"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</row>
    <row r="808" spans="34:44" ht="15" customHeight="1" x14ac:dyDescent="0.3"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</row>
    <row r="809" spans="34:44" ht="15" customHeight="1" x14ac:dyDescent="0.3"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</row>
    <row r="810" spans="34:44" ht="15" customHeight="1" x14ac:dyDescent="0.3"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</row>
    <row r="811" spans="34:44" ht="15" customHeight="1" x14ac:dyDescent="0.3"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</row>
    <row r="812" spans="34:44" ht="15" customHeight="1" x14ac:dyDescent="0.3"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</row>
    <row r="813" spans="34:44" ht="15" customHeight="1" x14ac:dyDescent="0.3"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</row>
    <row r="814" spans="34:44" ht="15" customHeight="1" x14ac:dyDescent="0.3"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</row>
    <row r="815" spans="34:44" ht="15" customHeight="1" x14ac:dyDescent="0.3"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</row>
    <row r="816" spans="34:44" ht="15" customHeight="1" x14ac:dyDescent="0.3"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</row>
    <row r="817" spans="34:44" ht="15" customHeight="1" x14ac:dyDescent="0.3"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</row>
    <row r="818" spans="34:44" ht="15" customHeight="1" x14ac:dyDescent="0.3"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</row>
    <row r="819" spans="34:44" ht="15" customHeight="1" x14ac:dyDescent="0.3"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</row>
    <row r="820" spans="34:44" ht="15" customHeight="1" x14ac:dyDescent="0.3"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</row>
    <row r="821" spans="34:44" ht="15" customHeight="1" x14ac:dyDescent="0.3"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</row>
    <row r="822" spans="34:44" ht="15" customHeight="1" x14ac:dyDescent="0.3"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</row>
    <row r="823" spans="34:44" ht="15" customHeight="1" x14ac:dyDescent="0.3"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</row>
    <row r="824" spans="34:44" ht="15" customHeight="1" x14ac:dyDescent="0.3"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</row>
    <row r="825" spans="34:44" ht="15" customHeight="1" x14ac:dyDescent="0.3"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</row>
    <row r="826" spans="34:44" ht="15" customHeight="1" x14ac:dyDescent="0.3"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</row>
    <row r="827" spans="34:44" ht="15" customHeight="1" x14ac:dyDescent="0.3"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</row>
    <row r="828" spans="34:44" ht="15" customHeight="1" x14ac:dyDescent="0.3"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</row>
    <row r="829" spans="34:44" ht="15" customHeight="1" x14ac:dyDescent="0.3"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</row>
    <row r="830" spans="34:44" ht="15" customHeight="1" x14ac:dyDescent="0.3"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</row>
    <row r="831" spans="34:44" ht="15" customHeight="1" x14ac:dyDescent="0.3"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</row>
    <row r="832" spans="34:44" ht="15" customHeight="1" x14ac:dyDescent="0.3"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</row>
    <row r="833" spans="34:44" ht="15" customHeight="1" x14ac:dyDescent="0.3"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</row>
    <row r="834" spans="34:44" ht="15" customHeight="1" x14ac:dyDescent="0.3"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</row>
    <row r="835" spans="34:44" ht="15" customHeight="1" x14ac:dyDescent="0.3"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</row>
    <row r="836" spans="34:44" ht="15" customHeight="1" x14ac:dyDescent="0.3"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</row>
    <row r="837" spans="34:44" ht="15" customHeight="1" x14ac:dyDescent="0.3"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</row>
    <row r="838" spans="34:44" ht="15" customHeight="1" x14ac:dyDescent="0.3"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</row>
    <row r="839" spans="34:44" ht="15" customHeight="1" x14ac:dyDescent="0.3"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</row>
    <row r="840" spans="34:44" ht="15" customHeight="1" x14ac:dyDescent="0.3"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</row>
    <row r="841" spans="34:44" ht="15" customHeight="1" x14ac:dyDescent="0.3"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</row>
    <row r="842" spans="34:44" ht="15" customHeight="1" x14ac:dyDescent="0.3"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</row>
    <row r="843" spans="34:44" ht="15" customHeight="1" x14ac:dyDescent="0.3"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</row>
    <row r="844" spans="34:44" ht="15" customHeight="1" x14ac:dyDescent="0.3"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</row>
    <row r="845" spans="34:44" ht="15" customHeight="1" x14ac:dyDescent="0.3"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</row>
    <row r="846" spans="34:44" ht="15" customHeight="1" x14ac:dyDescent="0.3"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</row>
    <row r="847" spans="34:44" ht="15" customHeight="1" x14ac:dyDescent="0.3"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</row>
    <row r="848" spans="34:44" ht="15" customHeight="1" x14ac:dyDescent="0.3"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</row>
    <row r="849" spans="34:44" ht="15" customHeight="1" x14ac:dyDescent="0.3"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</row>
    <row r="850" spans="34:44" ht="15" customHeight="1" x14ac:dyDescent="0.3"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</row>
    <row r="851" spans="34:44" ht="15" customHeight="1" x14ac:dyDescent="0.3"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</row>
    <row r="852" spans="34:44" ht="15" customHeight="1" x14ac:dyDescent="0.3"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</row>
    <row r="853" spans="34:44" ht="15" customHeight="1" x14ac:dyDescent="0.3"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</row>
    <row r="854" spans="34:44" ht="15" customHeight="1" x14ac:dyDescent="0.3"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</row>
    <row r="855" spans="34:44" ht="15" customHeight="1" x14ac:dyDescent="0.3"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</row>
    <row r="856" spans="34:44" ht="15" customHeight="1" x14ac:dyDescent="0.3"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</row>
    <row r="857" spans="34:44" ht="15" customHeight="1" x14ac:dyDescent="0.3"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</row>
    <row r="858" spans="34:44" ht="15" customHeight="1" x14ac:dyDescent="0.3"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</row>
    <row r="859" spans="34:44" ht="15" customHeight="1" x14ac:dyDescent="0.3"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</row>
    <row r="860" spans="34:44" ht="15" customHeight="1" x14ac:dyDescent="0.3"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</row>
    <row r="861" spans="34:44" ht="15" customHeight="1" x14ac:dyDescent="0.3"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</row>
    <row r="862" spans="34:44" ht="15" customHeight="1" x14ac:dyDescent="0.3"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</row>
    <row r="863" spans="34:44" ht="15" customHeight="1" x14ac:dyDescent="0.3"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</row>
    <row r="864" spans="34:44" ht="15" customHeight="1" x14ac:dyDescent="0.3"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</row>
    <row r="865" spans="34:44" ht="15" customHeight="1" x14ac:dyDescent="0.3"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</row>
    <row r="866" spans="34:44" ht="15" customHeight="1" x14ac:dyDescent="0.3"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</row>
    <row r="867" spans="34:44" ht="15" customHeight="1" x14ac:dyDescent="0.3"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</row>
    <row r="868" spans="34:44" ht="15" customHeight="1" x14ac:dyDescent="0.3"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</row>
    <row r="869" spans="34:44" ht="15" customHeight="1" x14ac:dyDescent="0.3"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</row>
    <row r="870" spans="34:44" ht="15" customHeight="1" x14ac:dyDescent="0.3"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</row>
    <row r="871" spans="34:44" ht="15" customHeight="1" x14ac:dyDescent="0.3"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</row>
    <row r="872" spans="34:44" ht="15" customHeight="1" x14ac:dyDescent="0.3"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</row>
    <row r="873" spans="34:44" ht="15" customHeight="1" x14ac:dyDescent="0.3"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</row>
    <row r="874" spans="34:44" ht="15" customHeight="1" x14ac:dyDescent="0.3"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</row>
    <row r="875" spans="34:44" ht="15" customHeight="1" x14ac:dyDescent="0.3"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</row>
    <row r="876" spans="34:44" ht="15" customHeight="1" x14ac:dyDescent="0.3"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</row>
    <row r="877" spans="34:44" ht="15" customHeight="1" x14ac:dyDescent="0.3"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</row>
    <row r="878" spans="34:44" ht="15" customHeight="1" x14ac:dyDescent="0.3"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</row>
    <row r="879" spans="34:44" ht="15" customHeight="1" x14ac:dyDescent="0.3"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</row>
    <row r="880" spans="34:44" ht="15" customHeight="1" x14ac:dyDescent="0.3"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</row>
    <row r="881" spans="34:44" ht="15" customHeight="1" x14ac:dyDescent="0.3"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</row>
    <row r="882" spans="34:44" ht="15" customHeight="1" x14ac:dyDescent="0.3"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</row>
    <row r="883" spans="34:44" ht="15" customHeight="1" x14ac:dyDescent="0.3"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</row>
    <row r="884" spans="34:44" ht="15" customHeight="1" x14ac:dyDescent="0.3"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</row>
    <row r="885" spans="34:44" ht="15" customHeight="1" x14ac:dyDescent="0.3"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</row>
    <row r="886" spans="34:44" ht="15" customHeight="1" x14ac:dyDescent="0.3"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</row>
    <row r="887" spans="34:44" ht="15" customHeight="1" x14ac:dyDescent="0.3"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</row>
    <row r="888" spans="34:44" ht="15" customHeight="1" x14ac:dyDescent="0.3"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</row>
    <row r="889" spans="34:44" ht="15" customHeight="1" x14ac:dyDescent="0.3"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</row>
    <row r="890" spans="34:44" ht="15" customHeight="1" x14ac:dyDescent="0.3"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</row>
    <row r="891" spans="34:44" ht="15" customHeight="1" x14ac:dyDescent="0.3"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</row>
    <row r="892" spans="34:44" ht="15" customHeight="1" x14ac:dyDescent="0.3"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</row>
    <row r="893" spans="34:44" ht="15" customHeight="1" x14ac:dyDescent="0.3"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</row>
    <row r="894" spans="34:44" ht="15" customHeight="1" x14ac:dyDescent="0.3"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</row>
    <row r="895" spans="34:44" ht="15" customHeight="1" x14ac:dyDescent="0.3"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</row>
    <row r="896" spans="34:44" ht="15" customHeight="1" x14ac:dyDescent="0.3"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</row>
    <row r="897" spans="34:44" ht="15" customHeight="1" x14ac:dyDescent="0.3"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</row>
    <row r="898" spans="34:44" ht="15" customHeight="1" x14ac:dyDescent="0.3"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</row>
    <row r="899" spans="34:44" ht="15" customHeight="1" x14ac:dyDescent="0.3"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</row>
    <row r="900" spans="34:44" ht="15" customHeight="1" x14ac:dyDescent="0.3"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</row>
    <row r="901" spans="34:44" ht="15" customHeight="1" x14ac:dyDescent="0.3"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</row>
    <row r="902" spans="34:44" ht="15" customHeight="1" x14ac:dyDescent="0.3"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</row>
    <row r="903" spans="34:44" ht="15" customHeight="1" x14ac:dyDescent="0.3"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</row>
    <row r="904" spans="34:44" ht="15" customHeight="1" x14ac:dyDescent="0.3"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</row>
    <row r="905" spans="34:44" ht="15" customHeight="1" x14ac:dyDescent="0.3"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</row>
    <row r="906" spans="34:44" ht="15" customHeight="1" x14ac:dyDescent="0.3"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</row>
    <row r="907" spans="34:44" ht="15" customHeight="1" x14ac:dyDescent="0.3"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</row>
    <row r="908" spans="34:44" ht="15" customHeight="1" x14ac:dyDescent="0.3"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</row>
    <row r="909" spans="34:44" ht="15" customHeight="1" x14ac:dyDescent="0.3"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</row>
    <row r="910" spans="34:44" ht="15" customHeight="1" x14ac:dyDescent="0.3"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</row>
    <row r="911" spans="34:44" ht="15" customHeight="1" x14ac:dyDescent="0.3"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</row>
    <row r="912" spans="34:44" ht="15" customHeight="1" x14ac:dyDescent="0.3"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</row>
    <row r="913" spans="34:44" ht="15" customHeight="1" x14ac:dyDescent="0.3"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</row>
    <row r="914" spans="34:44" ht="15" customHeight="1" x14ac:dyDescent="0.3"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</row>
    <row r="915" spans="34:44" ht="15" customHeight="1" x14ac:dyDescent="0.3"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</row>
    <row r="916" spans="34:44" ht="15" customHeight="1" x14ac:dyDescent="0.3"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</row>
    <row r="917" spans="34:44" ht="15" customHeight="1" x14ac:dyDescent="0.3"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</row>
    <row r="918" spans="34:44" ht="15" customHeight="1" x14ac:dyDescent="0.3"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</row>
    <row r="919" spans="34:44" ht="15" customHeight="1" x14ac:dyDescent="0.3"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</row>
    <row r="920" spans="34:44" ht="15" customHeight="1" x14ac:dyDescent="0.3"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</row>
    <row r="921" spans="34:44" ht="15" customHeight="1" x14ac:dyDescent="0.3"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</row>
    <row r="922" spans="34:44" ht="15" customHeight="1" x14ac:dyDescent="0.3"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</row>
    <row r="923" spans="34:44" ht="15" customHeight="1" x14ac:dyDescent="0.3"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</row>
    <row r="924" spans="34:44" ht="15" customHeight="1" x14ac:dyDescent="0.3"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</row>
    <row r="925" spans="34:44" ht="15" customHeight="1" x14ac:dyDescent="0.3"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</row>
    <row r="926" spans="34:44" ht="15" customHeight="1" x14ac:dyDescent="0.3"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</row>
    <row r="927" spans="34:44" ht="15" customHeight="1" x14ac:dyDescent="0.3"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</row>
    <row r="928" spans="34:44" ht="15" customHeight="1" x14ac:dyDescent="0.3"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</row>
    <row r="929" spans="34:44" ht="15" customHeight="1" x14ac:dyDescent="0.3"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</row>
    <row r="930" spans="34:44" ht="15" customHeight="1" x14ac:dyDescent="0.3"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</row>
    <row r="931" spans="34:44" ht="15" customHeight="1" x14ac:dyDescent="0.3"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</row>
    <row r="932" spans="34:44" ht="15" customHeight="1" x14ac:dyDescent="0.3"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</row>
    <row r="933" spans="34:44" ht="15" customHeight="1" x14ac:dyDescent="0.3"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</row>
    <row r="934" spans="34:44" ht="15" customHeight="1" x14ac:dyDescent="0.3"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</row>
    <row r="935" spans="34:44" ht="15" customHeight="1" x14ac:dyDescent="0.3"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</row>
    <row r="936" spans="34:44" ht="15" customHeight="1" x14ac:dyDescent="0.3"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</row>
    <row r="937" spans="34:44" ht="15" customHeight="1" x14ac:dyDescent="0.3"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</row>
    <row r="938" spans="34:44" ht="15" customHeight="1" x14ac:dyDescent="0.3"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</row>
    <row r="939" spans="34:44" ht="15" customHeight="1" x14ac:dyDescent="0.3"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</row>
    <row r="940" spans="34:44" ht="15" customHeight="1" x14ac:dyDescent="0.3"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</row>
    <row r="941" spans="34:44" ht="15" customHeight="1" x14ac:dyDescent="0.3"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</row>
    <row r="942" spans="34:44" ht="15" customHeight="1" x14ac:dyDescent="0.3"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</row>
    <row r="943" spans="34:44" ht="15" customHeight="1" x14ac:dyDescent="0.3"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</row>
    <row r="944" spans="34:44" ht="15" customHeight="1" x14ac:dyDescent="0.3"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</row>
    <row r="945" spans="34:44" ht="15" customHeight="1" x14ac:dyDescent="0.3"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</row>
    <row r="946" spans="34:44" ht="15" customHeight="1" x14ac:dyDescent="0.3"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</row>
    <row r="947" spans="34:44" ht="15" customHeight="1" x14ac:dyDescent="0.3"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</row>
    <row r="948" spans="34:44" ht="15" customHeight="1" x14ac:dyDescent="0.3"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</row>
    <row r="949" spans="34:44" ht="15" customHeight="1" x14ac:dyDescent="0.3"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</row>
    <row r="950" spans="34:44" ht="15" customHeight="1" x14ac:dyDescent="0.3"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</row>
    <row r="951" spans="34:44" ht="15" customHeight="1" x14ac:dyDescent="0.3"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</row>
    <row r="952" spans="34:44" ht="15" customHeight="1" x14ac:dyDescent="0.3"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</row>
    <row r="953" spans="34:44" ht="15" customHeight="1" x14ac:dyDescent="0.3"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</row>
    <row r="954" spans="34:44" ht="15" customHeight="1" x14ac:dyDescent="0.3"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</row>
    <row r="955" spans="34:44" ht="15" customHeight="1" x14ac:dyDescent="0.3"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</row>
    <row r="956" spans="34:44" ht="15" customHeight="1" x14ac:dyDescent="0.3"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</row>
    <row r="957" spans="34:44" ht="15" customHeight="1" x14ac:dyDescent="0.3"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</row>
    <row r="958" spans="34:44" ht="15" customHeight="1" x14ac:dyDescent="0.3"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</row>
    <row r="959" spans="34:44" ht="15" customHeight="1" x14ac:dyDescent="0.3"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</row>
    <row r="960" spans="34:44" ht="15" customHeight="1" x14ac:dyDescent="0.3"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</row>
    <row r="961" spans="34:44" ht="15" customHeight="1" x14ac:dyDescent="0.3"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</row>
    <row r="962" spans="34:44" ht="15" customHeight="1" x14ac:dyDescent="0.3"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</row>
    <row r="963" spans="34:44" ht="15" customHeight="1" x14ac:dyDescent="0.3"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</row>
    <row r="964" spans="34:44" ht="15" customHeight="1" x14ac:dyDescent="0.3"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</row>
    <row r="965" spans="34:44" ht="15" customHeight="1" x14ac:dyDescent="0.3"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</row>
    <row r="966" spans="34:44" ht="15" customHeight="1" x14ac:dyDescent="0.3"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</row>
    <row r="967" spans="34:44" ht="15" customHeight="1" x14ac:dyDescent="0.3"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</row>
    <row r="968" spans="34:44" ht="15" customHeight="1" x14ac:dyDescent="0.3"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</row>
    <row r="969" spans="34:44" ht="15" customHeight="1" x14ac:dyDescent="0.3"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</row>
    <row r="970" spans="34:44" ht="15" customHeight="1" x14ac:dyDescent="0.3"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</row>
    <row r="971" spans="34:44" ht="15" customHeight="1" x14ac:dyDescent="0.3"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</row>
    <row r="972" spans="34:44" ht="15" customHeight="1" x14ac:dyDescent="0.3"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</row>
    <row r="973" spans="34:44" ht="15" customHeight="1" x14ac:dyDescent="0.3"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</row>
    <row r="974" spans="34:44" ht="15" customHeight="1" x14ac:dyDescent="0.3"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</row>
    <row r="975" spans="34:44" ht="15" customHeight="1" x14ac:dyDescent="0.3"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</row>
    <row r="976" spans="34:44" ht="15" customHeight="1" x14ac:dyDescent="0.3"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</row>
    <row r="977" spans="34:44" ht="15" customHeight="1" x14ac:dyDescent="0.3"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</row>
    <row r="978" spans="34:44" ht="15" customHeight="1" x14ac:dyDescent="0.3"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</row>
    <row r="979" spans="34:44" ht="15" customHeight="1" x14ac:dyDescent="0.3"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</row>
    <row r="980" spans="34:44" ht="15" customHeight="1" x14ac:dyDescent="0.3"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</row>
    <row r="981" spans="34:44" ht="15" customHeight="1" x14ac:dyDescent="0.3"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</row>
    <row r="982" spans="34:44" ht="15" customHeight="1" x14ac:dyDescent="0.3"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</row>
    <row r="983" spans="34:44" ht="15" customHeight="1" x14ac:dyDescent="0.3"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</row>
    <row r="984" spans="34:44" ht="15" customHeight="1" x14ac:dyDescent="0.3"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</row>
    <row r="985" spans="34:44" ht="15" customHeight="1" x14ac:dyDescent="0.3"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</row>
    <row r="986" spans="34:44" ht="15" customHeight="1" x14ac:dyDescent="0.3"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</row>
    <row r="987" spans="34:44" ht="15" customHeight="1" x14ac:dyDescent="0.3"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</row>
    <row r="988" spans="34:44" ht="15" customHeight="1" x14ac:dyDescent="0.3"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</row>
    <row r="989" spans="34:44" ht="15" customHeight="1" x14ac:dyDescent="0.3"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</row>
    <row r="990" spans="34:44" ht="15" customHeight="1" x14ac:dyDescent="0.3"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</row>
    <row r="991" spans="34:44" ht="15" customHeight="1" x14ac:dyDescent="0.3"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</row>
    <row r="992" spans="34:44" ht="15" customHeight="1" x14ac:dyDescent="0.3"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</row>
    <row r="993" spans="34:44" ht="15" customHeight="1" x14ac:dyDescent="0.3"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</row>
    <row r="994" spans="34:44" ht="15" customHeight="1" x14ac:dyDescent="0.3"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</row>
    <row r="995" spans="34:44" ht="15" customHeight="1" x14ac:dyDescent="0.3"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</row>
    <row r="996" spans="34:44" ht="15" customHeight="1" x14ac:dyDescent="0.3"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</row>
    <row r="997" spans="34:44" ht="15" customHeight="1" x14ac:dyDescent="0.3"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</row>
    <row r="998" spans="34:44" ht="15" customHeight="1" x14ac:dyDescent="0.3"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</row>
    <row r="999" spans="34:44" ht="15" customHeight="1" x14ac:dyDescent="0.3"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</row>
    <row r="1000" spans="34:44" ht="15" customHeight="1" x14ac:dyDescent="0.3"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</row>
    <row r="1001" spans="34:44" ht="15" customHeight="1" x14ac:dyDescent="0.3"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</row>
    <row r="1002" spans="34:44" ht="15" customHeight="1" x14ac:dyDescent="0.3"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</row>
    <row r="1003" spans="34:44" ht="15" customHeight="1" x14ac:dyDescent="0.3"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</row>
    <row r="1004" spans="34:44" ht="15" customHeight="1" x14ac:dyDescent="0.3"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</row>
    <row r="1005" spans="34:44" ht="15" customHeight="1" x14ac:dyDescent="0.3"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</row>
    <row r="1006" spans="34:44" ht="15" customHeight="1" x14ac:dyDescent="0.3"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</row>
    <row r="1007" spans="34:44" ht="15" customHeight="1" x14ac:dyDescent="0.3"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</row>
    <row r="1008" spans="34:44" ht="15" customHeight="1" x14ac:dyDescent="0.3"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</row>
    <row r="1009" spans="34:44" ht="15" customHeight="1" x14ac:dyDescent="0.3"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</row>
    <row r="1010" spans="34:44" ht="15" customHeight="1" x14ac:dyDescent="0.3"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</row>
    <row r="1011" spans="34:44" ht="15" customHeight="1" x14ac:dyDescent="0.3"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</row>
    <row r="1012" spans="34:44" ht="15" customHeight="1" x14ac:dyDescent="0.3"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</row>
    <row r="1013" spans="34:44" ht="15" customHeight="1" x14ac:dyDescent="0.3"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</row>
    <row r="1014" spans="34:44" ht="15" customHeight="1" x14ac:dyDescent="0.3"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</row>
    <row r="1015" spans="34:44" ht="15" customHeight="1" x14ac:dyDescent="0.3"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</row>
    <row r="1016" spans="34:44" ht="15" customHeight="1" x14ac:dyDescent="0.3"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</row>
    <row r="1017" spans="34:44" ht="15" customHeight="1" x14ac:dyDescent="0.3"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</row>
    <row r="1018" spans="34:44" ht="15" customHeight="1" x14ac:dyDescent="0.3"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</row>
    <row r="1019" spans="34:44" ht="15" customHeight="1" x14ac:dyDescent="0.3"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</row>
    <row r="1020" spans="34:44" ht="15" customHeight="1" x14ac:dyDescent="0.3"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</row>
    <row r="1021" spans="34:44" ht="15" customHeight="1" x14ac:dyDescent="0.3"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</row>
    <row r="1022" spans="34:44" ht="15" customHeight="1" x14ac:dyDescent="0.3"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</row>
    <row r="1023" spans="34:44" ht="15" customHeight="1" x14ac:dyDescent="0.3"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</row>
    <row r="1024" spans="34:44" ht="15" customHeight="1" x14ac:dyDescent="0.3"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</row>
    <row r="1025" spans="34:44" ht="15" customHeight="1" x14ac:dyDescent="0.3"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</row>
    <row r="1026" spans="34:44" ht="15" customHeight="1" x14ac:dyDescent="0.3"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</row>
    <row r="1027" spans="34:44" ht="15" customHeight="1" x14ac:dyDescent="0.3"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</row>
    <row r="1028" spans="34:44" ht="15" customHeight="1" x14ac:dyDescent="0.3"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</row>
    <row r="1029" spans="34:44" ht="15" customHeight="1" x14ac:dyDescent="0.3"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</row>
    <row r="1030" spans="34:44" ht="15" customHeight="1" x14ac:dyDescent="0.3"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</row>
    <row r="1031" spans="34:44" ht="15" customHeight="1" x14ac:dyDescent="0.3"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</row>
    <row r="1032" spans="34:44" ht="15" customHeight="1" x14ac:dyDescent="0.3"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</row>
    <row r="1033" spans="34:44" ht="15" customHeight="1" x14ac:dyDescent="0.3"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</row>
    <row r="1034" spans="34:44" ht="15" customHeight="1" x14ac:dyDescent="0.3"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</row>
    <row r="1035" spans="34:44" ht="15" customHeight="1" x14ac:dyDescent="0.3"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</row>
    <row r="1036" spans="34:44" ht="15" customHeight="1" x14ac:dyDescent="0.3"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</row>
    <row r="1037" spans="34:44" ht="15" customHeight="1" x14ac:dyDescent="0.3"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</row>
    <row r="1038" spans="34:44" ht="15" customHeight="1" x14ac:dyDescent="0.3"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</row>
    <row r="1039" spans="34:44" ht="15" customHeight="1" x14ac:dyDescent="0.3"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</row>
    <row r="1040" spans="34:44" ht="15" customHeight="1" x14ac:dyDescent="0.3"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</row>
    <row r="1041" spans="34:44" ht="15" customHeight="1" x14ac:dyDescent="0.3"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</row>
    <row r="1042" spans="34:44" ht="15" customHeight="1" x14ac:dyDescent="0.3"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</row>
    <row r="1043" spans="34:44" ht="15" customHeight="1" x14ac:dyDescent="0.3"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</row>
    <row r="1044" spans="34:44" ht="15" customHeight="1" x14ac:dyDescent="0.3"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</row>
    <row r="1045" spans="34:44" ht="15" customHeight="1" x14ac:dyDescent="0.3"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</row>
    <row r="1046" spans="34:44" ht="15" customHeight="1" x14ac:dyDescent="0.3"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</row>
    <row r="1047" spans="34:44" ht="15" customHeight="1" x14ac:dyDescent="0.3"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</row>
    <row r="1048" spans="34:44" ht="15" customHeight="1" x14ac:dyDescent="0.3"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</row>
    <row r="1049" spans="34:44" ht="15" customHeight="1" x14ac:dyDescent="0.3"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</row>
    <row r="1050" spans="34:44" ht="15" customHeight="1" x14ac:dyDescent="0.3"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</row>
    <row r="1051" spans="34:44" ht="15" customHeight="1" x14ac:dyDescent="0.3"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</row>
    <row r="1052" spans="34:44" ht="15" customHeight="1" x14ac:dyDescent="0.3"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</row>
    <row r="1053" spans="34:44" ht="15" customHeight="1" x14ac:dyDescent="0.3"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</row>
    <row r="1054" spans="34:44" ht="15" customHeight="1" x14ac:dyDescent="0.3"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</row>
    <row r="1055" spans="34:44" ht="15" customHeight="1" x14ac:dyDescent="0.3"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</row>
    <row r="1056" spans="34:44" ht="15" customHeight="1" x14ac:dyDescent="0.3"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</row>
    <row r="1057" spans="34:44" ht="15" customHeight="1" x14ac:dyDescent="0.3"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</row>
    <row r="1058" spans="34:44" ht="15" customHeight="1" x14ac:dyDescent="0.3"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</row>
    <row r="1059" spans="34:44" ht="15" customHeight="1" x14ac:dyDescent="0.3"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</row>
    <row r="1060" spans="34:44" ht="15" customHeight="1" x14ac:dyDescent="0.3"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</row>
    <row r="1061" spans="34:44" ht="15" customHeight="1" x14ac:dyDescent="0.3"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</row>
    <row r="1062" spans="34:44" ht="15" customHeight="1" x14ac:dyDescent="0.3"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</row>
    <row r="1063" spans="34:44" ht="15" customHeight="1" x14ac:dyDescent="0.3"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</row>
    <row r="1064" spans="34:44" ht="15" customHeight="1" x14ac:dyDescent="0.3"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</row>
    <row r="1065" spans="34:44" ht="15" customHeight="1" x14ac:dyDescent="0.3"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</row>
    <row r="1066" spans="34:44" ht="15" customHeight="1" x14ac:dyDescent="0.3"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</row>
    <row r="1067" spans="34:44" ht="15" customHeight="1" x14ac:dyDescent="0.3"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</row>
    <row r="1068" spans="34:44" ht="15" customHeight="1" x14ac:dyDescent="0.3"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</row>
    <row r="1069" spans="34:44" ht="15" customHeight="1" x14ac:dyDescent="0.3"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</row>
    <row r="1070" spans="34:44" ht="15" customHeight="1" x14ac:dyDescent="0.3"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</row>
    <row r="1071" spans="34:44" ht="15" customHeight="1" x14ac:dyDescent="0.3"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</row>
    <row r="1072" spans="34:44" ht="15" customHeight="1" x14ac:dyDescent="0.3"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</row>
    <row r="1073" spans="34:44" ht="15" customHeight="1" x14ac:dyDescent="0.3"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</row>
    <row r="1074" spans="34:44" ht="15" customHeight="1" x14ac:dyDescent="0.3"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</row>
    <row r="1075" spans="34:44" ht="15" customHeight="1" x14ac:dyDescent="0.3"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</row>
    <row r="1076" spans="34:44" ht="15" customHeight="1" x14ac:dyDescent="0.3"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</row>
    <row r="1077" spans="34:44" ht="15" customHeight="1" x14ac:dyDescent="0.3"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</row>
    <row r="1078" spans="34:44" ht="15" customHeight="1" x14ac:dyDescent="0.3"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</row>
    <row r="1079" spans="34:44" ht="15" customHeight="1" x14ac:dyDescent="0.3"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</row>
    <row r="1080" spans="34:44" ht="15" customHeight="1" x14ac:dyDescent="0.3"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</row>
    <row r="1081" spans="34:44" ht="15" customHeight="1" x14ac:dyDescent="0.3"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</row>
    <row r="1082" spans="34:44" ht="15" customHeight="1" x14ac:dyDescent="0.3"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</row>
    <row r="1083" spans="34:44" ht="15" customHeight="1" x14ac:dyDescent="0.3"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</row>
    <row r="1084" spans="34:44" ht="15" customHeight="1" x14ac:dyDescent="0.3"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</row>
    <row r="1085" spans="34:44" ht="15" customHeight="1" x14ac:dyDescent="0.3"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</row>
    <row r="1086" spans="34:44" ht="15" customHeight="1" x14ac:dyDescent="0.3"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</row>
    <row r="1087" spans="34:44" ht="15" customHeight="1" x14ac:dyDescent="0.3"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</row>
    <row r="1088" spans="34:44" ht="15" customHeight="1" x14ac:dyDescent="0.3"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</row>
    <row r="1089" spans="34:44" ht="15" customHeight="1" x14ac:dyDescent="0.3"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</row>
    <row r="1090" spans="34:44" ht="15" customHeight="1" x14ac:dyDescent="0.3"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</row>
    <row r="1091" spans="34:44" ht="15" customHeight="1" x14ac:dyDescent="0.3"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</row>
    <row r="1092" spans="34:44" ht="15" customHeight="1" x14ac:dyDescent="0.3"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</row>
    <row r="1093" spans="34:44" ht="15" customHeight="1" x14ac:dyDescent="0.3"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</row>
    <row r="1094" spans="34:44" ht="15" customHeight="1" x14ac:dyDescent="0.3"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</row>
    <row r="1095" spans="34:44" ht="15" customHeight="1" x14ac:dyDescent="0.3"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</row>
    <row r="1096" spans="34:44" ht="15" customHeight="1" x14ac:dyDescent="0.3"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</row>
    <row r="1097" spans="34:44" ht="15" customHeight="1" x14ac:dyDescent="0.3"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</row>
    <row r="1098" spans="34:44" ht="15" customHeight="1" x14ac:dyDescent="0.3"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</row>
    <row r="1099" spans="34:44" ht="15" customHeight="1" x14ac:dyDescent="0.3"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</row>
    <row r="1100" spans="34:44" ht="15" customHeight="1" x14ac:dyDescent="0.3"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</row>
    <row r="1101" spans="34:44" ht="15" customHeight="1" x14ac:dyDescent="0.3"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</row>
    <row r="1102" spans="34:44" ht="15" customHeight="1" x14ac:dyDescent="0.3"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</row>
    <row r="1103" spans="34:44" ht="15" customHeight="1" x14ac:dyDescent="0.3"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</row>
    <row r="1104" spans="34:44" ht="15" customHeight="1" x14ac:dyDescent="0.3"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</row>
    <row r="1105" spans="34:44" ht="15" customHeight="1" x14ac:dyDescent="0.3"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</row>
    <row r="1106" spans="34:44" ht="15" customHeight="1" x14ac:dyDescent="0.3"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</row>
    <row r="1107" spans="34:44" ht="15" customHeight="1" x14ac:dyDescent="0.3"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</row>
    <row r="1108" spans="34:44" ht="15" customHeight="1" x14ac:dyDescent="0.3"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</row>
    <row r="1109" spans="34:44" ht="15" customHeight="1" x14ac:dyDescent="0.3"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</row>
    <row r="1110" spans="34:44" ht="15" customHeight="1" x14ac:dyDescent="0.3"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</row>
    <row r="1111" spans="34:44" ht="15" customHeight="1" x14ac:dyDescent="0.3"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</row>
    <row r="1112" spans="34:44" ht="15" customHeight="1" x14ac:dyDescent="0.3"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</row>
    <row r="1113" spans="34:44" ht="15" customHeight="1" x14ac:dyDescent="0.3"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</row>
    <row r="1114" spans="34:44" ht="15" customHeight="1" x14ac:dyDescent="0.3"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</row>
    <row r="1115" spans="34:44" ht="15" customHeight="1" x14ac:dyDescent="0.3"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</row>
    <row r="1116" spans="34:44" ht="15" customHeight="1" x14ac:dyDescent="0.3"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</row>
    <row r="1117" spans="34:44" ht="15" customHeight="1" x14ac:dyDescent="0.3"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</row>
    <row r="1118" spans="34:44" ht="15" customHeight="1" x14ac:dyDescent="0.3"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</row>
    <row r="1119" spans="34:44" ht="15" customHeight="1" x14ac:dyDescent="0.3"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</row>
    <row r="1120" spans="34:44" ht="15" customHeight="1" x14ac:dyDescent="0.3"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</row>
    <row r="1121" spans="34:44" ht="15" customHeight="1" x14ac:dyDescent="0.3"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</row>
    <row r="1122" spans="34:44" ht="15" customHeight="1" x14ac:dyDescent="0.3"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</row>
    <row r="1123" spans="34:44" ht="15" customHeight="1" x14ac:dyDescent="0.3"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</row>
    <row r="1124" spans="34:44" ht="15" customHeight="1" x14ac:dyDescent="0.3"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</row>
    <row r="1125" spans="34:44" ht="15" customHeight="1" x14ac:dyDescent="0.3"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</row>
    <row r="1126" spans="34:44" ht="15" customHeight="1" x14ac:dyDescent="0.3"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</row>
    <row r="1127" spans="34:44" ht="15" customHeight="1" x14ac:dyDescent="0.3"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</row>
    <row r="1128" spans="34:44" ht="15" customHeight="1" x14ac:dyDescent="0.3"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</row>
    <row r="1129" spans="34:44" ht="15" customHeight="1" x14ac:dyDescent="0.3"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</row>
    <row r="1130" spans="34:44" ht="15" customHeight="1" x14ac:dyDescent="0.3"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</row>
    <row r="1131" spans="34:44" ht="15" customHeight="1" x14ac:dyDescent="0.3"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</row>
    <row r="1132" spans="34:44" ht="15" customHeight="1" x14ac:dyDescent="0.3"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</row>
    <row r="1133" spans="34:44" ht="15" customHeight="1" x14ac:dyDescent="0.3"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</row>
    <row r="1134" spans="34:44" ht="15" customHeight="1" x14ac:dyDescent="0.3"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</row>
    <row r="1135" spans="34:44" ht="15" customHeight="1" x14ac:dyDescent="0.3"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</row>
    <row r="1136" spans="34:44" ht="15" customHeight="1" x14ac:dyDescent="0.3"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</row>
    <row r="1137" spans="34:44" ht="15" customHeight="1" x14ac:dyDescent="0.3"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</row>
    <row r="1138" spans="34:44" ht="15" customHeight="1" x14ac:dyDescent="0.3"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</row>
    <row r="1139" spans="34:44" ht="15" customHeight="1" x14ac:dyDescent="0.3"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</row>
    <row r="1140" spans="34:44" ht="15" customHeight="1" x14ac:dyDescent="0.3"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</row>
    <row r="1141" spans="34:44" ht="15" customHeight="1" x14ac:dyDescent="0.3"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</row>
    <row r="1142" spans="34:44" ht="15" customHeight="1" x14ac:dyDescent="0.3"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</row>
    <row r="1143" spans="34:44" ht="15" customHeight="1" x14ac:dyDescent="0.3"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</row>
    <row r="1144" spans="34:44" ht="15" customHeight="1" x14ac:dyDescent="0.3"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</row>
    <row r="1145" spans="34:44" ht="15" customHeight="1" x14ac:dyDescent="0.3"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</row>
    <row r="1146" spans="34:44" ht="15" customHeight="1" x14ac:dyDescent="0.3"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</row>
    <row r="1147" spans="34:44" ht="15" customHeight="1" x14ac:dyDescent="0.3"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</row>
    <row r="1148" spans="34:44" ht="15" customHeight="1" x14ac:dyDescent="0.3"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</row>
    <row r="1149" spans="34:44" ht="15" customHeight="1" x14ac:dyDescent="0.3"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</row>
    <row r="1150" spans="34:44" ht="15" customHeight="1" x14ac:dyDescent="0.3"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</row>
    <row r="1151" spans="34:44" ht="15" customHeight="1" x14ac:dyDescent="0.3"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</row>
    <row r="1152" spans="34:44" ht="15" customHeight="1" x14ac:dyDescent="0.3"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</row>
    <row r="1153" spans="34:44" ht="15" customHeight="1" x14ac:dyDescent="0.3"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</row>
    <row r="1154" spans="34:44" ht="15" customHeight="1" x14ac:dyDescent="0.3"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</row>
    <row r="1155" spans="34:44" ht="15" customHeight="1" x14ac:dyDescent="0.3"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</row>
    <row r="1156" spans="34:44" ht="15" customHeight="1" x14ac:dyDescent="0.3"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</row>
    <row r="1157" spans="34:44" ht="15" customHeight="1" x14ac:dyDescent="0.3"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</row>
    <row r="1158" spans="34:44" ht="15" customHeight="1" x14ac:dyDescent="0.3"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</row>
    <row r="1159" spans="34:44" ht="15" customHeight="1" x14ac:dyDescent="0.3"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</row>
    <row r="1160" spans="34:44" ht="15" customHeight="1" x14ac:dyDescent="0.3"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</row>
    <row r="1161" spans="34:44" ht="15" customHeight="1" x14ac:dyDescent="0.3"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</row>
    <row r="1162" spans="34:44" ht="15" customHeight="1" x14ac:dyDescent="0.3"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</row>
    <row r="1163" spans="34:44" ht="15" customHeight="1" x14ac:dyDescent="0.3"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</row>
    <row r="1164" spans="34:44" ht="15" customHeight="1" x14ac:dyDescent="0.3"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</row>
    <row r="1165" spans="34:44" ht="15" customHeight="1" x14ac:dyDescent="0.3"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</row>
    <row r="1166" spans="34:44" ht="15" customHeight="1" x14ac:dyDescent="0.3"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</row>
    <row r="1167" spans="34:44" ht="15" customHeight="1" x14ac:dyDescent="0.3"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</row>
    <row r="1168" spans="34:44" ht="15" customHeight="1" x14ac:dyDescent="0.3"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</row>
    <row r="1169" spans="34:44" ht="15" customHeight="1" x14ac:dyDescent="0.3"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</row>
    <row r="1170" spans="34:44" ht="15" customHeight="1" x14ac:dyDescent="0.3"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</row>
    <row r="1171" spans="34:44" ht="15" customHeight="1" x14ac:dyDescent="0.3"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</row>
    <row r="1172" spans="34:44" ht="15" customHeight="1" x14ac:dyDescent="0.3"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</row>
    <row r="1173" spans="34:44" ht="15" customHeight="1" x14ac:dyDescent="0.3"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</row>
    <row r="1174" spans="34:44" ht="15" customHeight="1" x14ac:dyDescent="0.3"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</row>
    <row r="1175" spans="34:44" ht="15" customHeight="1" x14ac:dyDescent="0.3"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</row>
    <row r="1176" spans="34:44" ht="15" customHeight="1" x14ac:dyDescent="0.3"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</row>
    <row r="1177" spans="34:44" ht="15" customHeight="1" x14ac:dyDescent="0.3"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</row>
    <row r="1178" spans="34:44" ht="15" customHeight="1" x14ac:dyDescent="0.3"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</row>
    <row r="1179" spans="34:44" ht="15" customHeight="1" x14ac:dyDescent="0.3"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</row>
    <row r="1180" spans="34:44" ht="15" customHeight="1" x14ac:dyDescent="0.3"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</row>
    <row r="1181" spans="34:44" ht="15" customHeight="1" x14ac:dyDescent="0.3"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</row>
    <row r="1182" spans="34:44" ht="15" customHeight="1" x14ac:dyDescent="0.3"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</row>
    <row r="1183" spans="34:44" ht="15" customHeight="1" x14ac:dyDescent="0.3"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</row>
    <row r="1184" spans="34:44" ht="15" customHeight="1" x14ac:dyDescent="0.3"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</row>
    <row r="1185" spans="34:44" ht="15" customHeight="1" x14ac:dyDescent="0.3"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</row>
    <row r="1186" spans="34:44" ht="15" customHeight="1" x14ac:dyDescent="0.3"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</row>
    <row r="1187" spans="34:44" ht="15" customHeight="1" x14ac:dyDescent="0.3"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</row>
    <row r="1188" spans="34:44" ht="15" customHeight="1" x14ac:dyDescent="0.3"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</row>
    <row r="1189" spans="34:44" ht="15" customHeight="1" x14ac:dyDescent="0.3"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</row>
    <row r="1190" spans="34:44" ht="15" customHeight="1" x14ac:dyDescent="0.3"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</row>
    <row r="1191" spans="34:44" ht="15" customHeight="1" x14ac:dyDescent="0.3"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</row>
    <row r="1192" spans="34:44" ht="15" customHeight="1" x14ac:dyDescent="0.3"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</row>
    <row r="1193" spans="34:44" ht="15" customHeight="1" x14ac:dyDescent="0.3"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</row>
    <row r="1194" spans="34:44" ht="15" customHeight="1" x14ac:dyDescent="0.3"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</row>
    <row r="1195" spans="34:44" ht="15" customHeight="1" x14ac:dyDescent="0.3"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</row>
    <row r="1196" spans="34:44" ht="15" customHeight="1" x14ac:dyDescent="0.3"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</row>
    <row r="1197" spans="34:44" ht="15" customHeight="1" x14ac:dyDescent="0.3"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</row>
    <row r="1198" spans="34:44" ht="15" customHeight="1" x14ac:dyDescent="0.3"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</row>
    <row r="1199" spans="34:44" ht="15" customHeight="1" x14ac:dyDescent="0.3"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</row>
    <row r="1200" spans="34:44" ht="15" customHeight="1" x14ac:dyDescent="0.3"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</row>
    <row r="1201" spans="34:44" ht="15" customHeight="1" x14ac:dyDescent="0.3"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</row>
    <row r="1202" spans="34:44" ht="15" customHeight="1" x14ac:dyDescent="0.3"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</row>
    <row r="1203" spans="34:44" ht="15" customHeight="1" x14ac:dyDescent="0.3"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</row>
    <row r="1204" spans="34:44" ht="15" customHeight="1" x14ac:dyDescent="0.3"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</row>
    <row r="1205" spans="34:44" ht="15" customHeight="1" x14ac:dyDescent="0.3"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</row>
    <row r="1206" spans="34:44" ht="15" customHeight="1" x14ac:dyDescent="0.3"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</row>
    <row r="1207" spans="34:44" ht="15" customHeight="1" x14ac:dyDescent="0.3"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</row>
    <row r="1208" spans="34:44" ht="15" customHeight="1" x14ac:dyDescent="0.3"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</row>
    <row r="1209" spans="34:44" ht="15" customHeight="1" x14ac:dyDescent="0.3"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</row>
    <row r="1210" spans="34:44" ht="15" customHeight="1" x14ac:dyDescent="0.3"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</row>
    <row r="1211" spans="34:44" ht="15" customHeight="1" x14ac:dyDescent="0.3"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</row>
    <row r="1212" spans="34:44" ht="15" customHeight="1" x14ac:dyDescent="0.3"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</row>
    <row r="1213" spans="34:44" ht="15" customHeight="1" x14ac:dyDescent="0.3"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</row>
    <row r="1214" spans="34:44" ht="15" customHeight="1" x14ac:dyDescent="0.3"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</row>
    <row r="1215" spans="34:44" ht="15" customHeight="1" x14ac:dyDescent="0.3"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</row>
    <row r="1216" spans="34:44" ht="15" customHeight="1" x14ac:dyDescent="0.3"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</row>
    <row r="1217" spans="34:44" ht="15" customHeight="1" x14ac:dyDescent="0.3"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</row>
    <row r="1218" spans="34:44" ht="15" customHeight="1" x14ac:dyDescent="0.3"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</row>
    <row r="1219" spans="34:44" ht="15" customHeight="1" x14ac:dyDescent="0.3"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</row>
    <row r="1220" spans="34:44" ht="15" customHeight="1" x14ac:dyDescent="0.3"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</row>
    <row r="1221" spans="34:44" ht="15" customHeight="1" x14ac:dyDescent="0.3"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</row>
    <row r="1222" spans="34:44" ht="15" customHeight="1" x14ac:dyDescent="0.3"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</row>
    <row r="1223" spans="34:44" ht="15" customHeight="1" x14ac:dyDescent="0.3"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</row>
    <row r="1224" spans="34:44" ht="15" customHeight="1" x14ac:dyDescent="0.3"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</row>
    <row r="1225" spans="34:44" ht="15" customHeight="1" x14ac:dyDescent="0.3"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</row>
    <row r="1226" spans="34:44" ht="15" customHeight="1" x14ac:dyDescent="0.3"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</row>
    <row r="1227" spans="34:44" ht="15" customHeight="1" x14ac:dyDescent="0.3"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</row>
    <row r="1228" spans="34:44" ht="15" customHeight="1" x14ac:dyDescent="0.3"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</row>
    <row r="1229" spans="34:44" ht="15" customHeight="1" x14ac:dyDescent="0.3"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</row>
    <row r="1230" spans="34:44" ht="15" customHeight="1" x14ac:dyDescent="0.3"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</row>
    <row r="1231" spans="34:44" ht="15" customHeight="1" x14ac:dyDescent="0.3"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</row>
    <row r="1232" spans="34:44" ht="15" customHeight="1" x14ac:dyDescent="0.3"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</row>
    <row r="1233" spans="34:44" ht="15" customHeight="1" x14ac:dyDescent="0.3"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</row>
    <row r="1234" spans="34:44" ht="15" customHeight="1" x14ac:dyDescent="0.3"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</row>
    <row r="1235" spans="34:44" ht="15" customHeight="1" x14ac:dyDescent="0.3"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</row>
    <row r="1236" spans="34:44" ht="15" customHeight="1" x14ac:dyDescent="0.3"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</row>
    <row r="1237" spans="34:44" ht="15" customHeight="1" x14ac:dyDescent="0.3"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</row>
    <row r="1238" spans="34:44" ht="15" customHeight="1" x14ac:dyDescent="0.3"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</row>
    <row r="1239" spans="34:44" ht="15" customHeight="1" x14ac:dyDescent="0.3"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</row>
    <row r="1240" spans="34:44" ht="15" customHeight="1" x14ac:dyDescent="0.3"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</row>
    <row r="1241" spans="34:44" ht="15" customHeight="1" x14ac:dyDescent="0.3"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</row>
    <row r="1242" spans="34:44" ht="15" customHeight="1" x14ac:dyDescent="0.3"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</row>
    <row r="1243" spans="34:44" ht="15" customHeight="1" x14ac:dyDescent="0.3"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</row>
    <row r="1244" spans="34:44" ht="15" customHeight="1" x14ac:dyDescent="0.3"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</row>
    <row r="1245" spans="34:44" ht="15" customHeight="1" x14ac:dyDescent="0.3"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</row>
    <row r="1246" spans="34:44" ht="15" customHeight="1" x14ac:dyDescent="0.3"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</row>
    <row r="1247" spans="34:44" ht="15" customHeight="1" x14ac:dyDescent="0.3"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</row>
    <row r="1248" spans="34:44" ht="15" customHeight="1" x14ac:dyDescent="0.3"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</row>
    <row r="1249" spans="34:44" ht="15" customHeight="1" x14ac:dyDescent="0.3"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</row>
    <row r="1250" spans="34:44" ht="15" customHeight="1" x14ac:dyDescent="0.3"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</row>
    <row r="1251" spans="34:44" ht="15" customHeight="1" x14ac:dyDescent="0.3"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</row>
    <row r="1252" spans="34:44" ht="15" customHeight="1" x14ac:dyDescent="0.3"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</row>
    <row r="1253" spans="34:44" ht="15" customHeight="1" x14ac:dyDescent="0.3"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</row>
    <row r="1254" spans="34:44" ht="15" customHeight="1" x14ac:dyDescent="0.3"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</row>
    <row r="1255" spans="34:44" ht="15" customHeight="1" x14ac:dyDescent="0.3"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</row>
    <row r="1256" spans="34:44" ht="15" customHeight="1" x14ac:dyDescent="0.3"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</row>
    <row r="1257" spans="34:44" ht="15" customHeight="1" x14ac:dyDescent="0.3"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</row>
    <row r="1258" spans="34:44" ht="15" customHeight="1" x14ac:dyDescent="0.3"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</row>
    <row r="1259" spans="34:44" ht="15" customHeight="1" x14ac:dyDescent="0.3"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</row>
    <row r="1260" spans="34:44" ht="15" customHeight="1" x14ac:dyDescent="0.3"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</row>
    <row r="1261" spans="34:44" ht="15" customHeight="1" x14ac:dyDescent="0.3"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</row>
    <row r="1262" spans="34:44" ht="15" customHeight="1" x14ac:dyDescent="0.3"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</row>
    <row r="1263" spans="34:44" ht="15" customHeight="1" x14ac:dyDescent="0.3"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</row>
    <row r="1264" spans="34:44" ht="15" customHeight="1" x14ac:dyDescent="0.3"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</row>
    <row r="1265" spans="34:44" ht="15" customHeight="1" x14ac:dyDescent="0.3"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</row>
    <row r="1266" spans="34:44" ht="15" customHeight="1" x14ac:dyDescent="0.3"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</row>
    <row r="1267" spans="34:44" ht="15" customHeight="1" x14ac:dyDescent="0.3"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</row>
    <row r="1268" spans="34:44" ht="15" customHeight="1" x14ac:dyDescent="0.3"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</row>
    <row r="1269" spans="34:44" ht="15" customHeight="1" x14ac:dyDescent="0.3"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</row>
    <row r="1270" spans="34:44" ht="15" customHeight="1" x14ac:dyDescent="0.3"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</row>
    <row r="1271" spans="34:44" ht="15" customHeight="1" x14ac:dyDescent="0.3"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</row>
    <row r="1272" spans="34:44" ht="15" customHeight="1" x14ac:dyDescent="0.3"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</row>
    <row r="1273" spans="34:44" ht="15" customHeight="1" x14ac:dyDescent="0.3"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</row>
    <row r="1274" spans="34:44" ht="15" customHeight="1" x14ac:dyDescent="0.3"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</row>
    <row r="1275" spans="34:44" ht="15" customHeight="1" x14ac:dyDescent="0.3"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</row>
    <row r="1276" spans="34:44" ht="15" customHeight="1" x14ac:dyDescent="0.3"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</row>
    <row r="1277" spans="34:44" ht="15" customHeight="1" x14ac:dyDescent="0.3"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</row>
    <row r="1278" spans="34:44" ht="15" customHeight="1" x14ac:dyDescent="0.3"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</row>
    <row r="1279" spans="34:44" ht="15" customHeight="1" x14ac:dyDescent="0.3"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</row>
    <row r="1280" spans="34:44" ht="15" customHeight="1" x14ac:dyDescent="0.3"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</row>
    <row r="1281" spans="34:44" ht="15" customHeight="1" x14ac:dyDescent="0.3"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</row>
    <row r="1282" spans="34:44" ht="15" customHeight="1" x14ac:dyDescent="0.3"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</row>
    <row r="1283" spans="34:44" ht="15" customHeight="1" x14ac:dyDescent="0.3"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</row>
    <row r="1284" spans="34:44" ht="15" customHeight="1" x14ac:dyDescent="0.3"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</row>
    <row r="1285" spans="34:44" ht="15" customHeight="1" x14ac:dyDescent="0.3"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</row>
    <row r="1286" spans="34:44" ht="15" customHeight="1" x14ac:dyDescent="0.3"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</row>
    <row r="1287" spans="34:44" ht="15" customHeight="1" x14ac:dyDescent="0.3"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</row>
    <row r="1288" spans="34:44" ht="15" customHeight="1" x14ac:dyDescent="0.3"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</row>
    <row r="1289" spans="34:44" ht="15" customHeight="1" x14ac:dyDescent="0.3"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</row>
    <row r="1290" spans="34:44" ht="15" customHeight="1" x14ac:dyDescent="0.3"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</row>
    <row r="1291" spans="34:44" ht="15" customHeight="1" x14ac:dyDescent="0.3"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</row>
    <row r="1292" spans="34:44" ht="15" customHeight="1" x14ac:dyDescent="0.3"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</row>
    <row r="1293" spans="34:44" ht="15" customHeight="1" x14ac:dyDescent="0.3"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</row>
    <row r="1294" spans="34:44" ht="15" customHeight="1" x14ac:dyDescent="0.3"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</row>
    <row r="1295" spans="34:44" ht="15" customHeight="1" x14ac:dyDescent="0.3"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</row>
    <row r="1296" spans="34:44" ht="15" customHeight="1" x14ac:dyDescent="0.3"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</row>
    <row r="1297" spans="34:44" ht="15" customHeight="1" x14ac:dyDescent="0.3"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</row>
    <row r="1298" spans="34:44" ht="15" customHeight="1" x14ac:dyDescent="0.3"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</row>
    <row r="1299" spans="34:44" ht="15" customHeight="1" x14ac:dyDescent="0.3"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</row>
    <row r="1300" spans="34:44" ht="15" customHeight="1" x14ac:dyDescent="0.3"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</row>
    <row r="1301" spans="34:44" ht="15" customHeight="1" x14ac:dyDescent="0.3"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</row>
    <row r="1302" spans="34:44" ht="15" customHeight="1" x14ac:dyDescent="0.3"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</row>
    <row r="1303" spans="34:44" ht="15" customHeight="1" x14ac:dyDescent="0.3"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</row>
    <row r="1304" spans="34:44" ht="15" customHeight="1" x14ac:dyDescent="0.3"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</row>
    <row r="1305" spans="34:44" ht="15" customHeight="1" x14ac:dyDescent="0.3"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</row>
    <row r="1306" spans="34:44" ht="15" customHeight="1" x14ac:dyDescent="0.3"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</row>
    <row r="1307" spans="34:44" ht="15" customHeight="1" x14ac:dyDescent="0.3"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</row>
    <row r="1308" spans="34:44" ht="15" customHeight="1" x14ac:dyDescent="0.3"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</row>
    <row r="1309" spans="34:44" ht="15" customHeight="1" x14ac:dyDescent="0.3"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</row>
    <row r="1310" spans="34:44" ht="15" customHeight="1" x14ac:dyDescent="0.3"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</row>
    <row r="1311" spans="34:44" ht="15" customHeight="1" x14ac:dyDescent="0.3"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</row>
    <row r="1312" spans="34:44" ht="15" customHeight="1" x14ac:dyDescent="0.3"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</row>
    <row r="1313" spans="34:44" ht="15" customHeight="1" x14ac:dyDescent="0.3"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</row>
    <row r="1314" spans="34:44" ht="15" customHeight="1" x14ac:dyDescent="0.3"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</row>
    <row r="1315" spans="34:44" ht="15" customHeight="1" x14ac:dyDescent="0.3"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</row>
    <row r="1316" spans="34:44" ht="15" customHeight="1" x14ac:dyDescent="0.3"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</row>
    <row r="1317" spans="34:44" ht="15" customHeight="1" x14ac:dyDescent="0.3"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</row>
    <row r="1318" spans="34:44" ht="15" customHeight="1" x14ac:dyDescent="0.3"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</row>
    <row r="1319" spans="34:44" ht="15" customHeight="1" x14ac:dyDescent="0.3"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</row>
    <row r="1320" spans="34:44" ht="15" customHeight="1" x14ac:dyDescent="0.3"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</row>
    <row r="1321" spans="34:44" ht="15" customHeight="1" x14ac:dyDescent="0.3"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</row>
    <row r="1322" spans="34:44" ht="15" customHeight="1" x14ac:dyDescent="0.3"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</row>
    <row r="1323" spans="34:44" ht="15" customHeight="1" x14ac:dyDescent="0.3"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</row>
    <row r="1324" spans="34:44" ht="15" customHeight="1" x14ac:dyDescent="0.3"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</row>
    <row r="1325" spans="34:44" ht="15" customHeight="1" x14ac:dyDescent="0.3"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</row>
    <row r="1326" spans="34:44" ht="15" customHeight="1" x14ac:dyDescent="0.3"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</row>
    <row r="1327" spans="34:44" ht="15" customHeight="1" x14ac:dyDescent="0.3"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</row>
    <row r="1328" spans="34:44" ht="15" customHeight="1" x14ac:dyDescent="0.3"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</row>
    <row r="1329" spans="34:44" ht="15" customHeight="1" x14ac:dyDescent="0.3"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</row>
    <row r="1330" spans="34:44" ht="15" customHeight="1" x14ac:dyDescent="0.3"/>
    <row r="1331" spans="34:44" ht="15" customHeight="1" x14ac:dyDescent="0.3"/>
    <row r="1332" spans="34:44" ht="15" customHeight="1" x14ac:dyDescent="0.3"/>
    <row r="1333" spans="34:44" ht="15" customHeight="1" x14ac:dyDescent="0.3"/>
    <row r="1334" spans="34:44" ht="15" customHeight="1" x14ac:dyDescent="0.3"/>
    <row r="1335" spans="34:44" ht="15" customHeight="1" x14ac:dyDescent="0.3"/>
    <row r="1336" spans="34:44" ht="15" customHeight="1" x14ac:dyDescent="0.3"/>
    <row r="1337" spans="34:44" ht="15" customHeight="1" x14ac:dyDescent="0.3"/>
    <row r="1338" spans="34:44" ht="15" customHeight="1" x14ac:dyDescent="0.3"/>
    <row r="1339" spans="34:44" ht="15" customHeight="1" x14ac:dyDescent="0.3"/>
    <row r="1340" spans="34:44" ht="15" customHeight="1" x14ac:dyDescent="0.3"/>
    <row r="1341" spans="34:44" ht="15" customHeight="1" x14ac:dyDescent="0.3"/>
    <row r="1342" spans="34:44" ht="15" customHeight="1" x14ac:dyDescent="0.3"/>
    <row r="1343" spans="34:44" ht="15" customHeight="1" x14ac:dyDescent="0.3"/>
    <row r="1344" spans="34:44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  <row r="1492" ht="15" customHeight="1" x14ac:dyDescent="0.3"/>
    <row r="1493" ht="15" customHeight="1" x14ac:dyDescent="0.3"/>
    <row r="1494" ht="15" customHeight="1" x14ac:dyDescent="0.3"/>
    <row r="1495" ht="15" customHeight="1" x14ac:dyDescent="0.3"/>
    <row r="1496" ht="15" customHeight="1" x14ac:dyDescent="0.3"/>
    <row r="1497" ht="15" customHeight="1" x14ac:dyDescent="0.3"/>
    <row r="1498" ht="15" customHeight="1" x14ac:dyDescent="0.3"/>
    <row r="1499" ht="15" customHeight="1" x14ac:dyDescent="0.3"/>
    <row r="1500" ht="15" customHeight="1" x14ac:dyDescent="0.3"/>
    <row r="1501" ht="15" customHeight="1" x14ac:dyDescent="0.3"/>
    <row r="1502" ht="15" customHeight="1" x14ac:dyDescent="0.3"/>
    <row r="1503" ht="15" customHeight="1" x14ac:dyDescent="0.3"/>
    <row r="1504" ht="15" customHeight="1" x14ac:dyDescent="0.3"/>
    <row r="1505" ht="15" customHeight="1" x14ac:dyDescent="0.3"/>
    <row r="1506" ht="15" customHeight="1" x14ac:dyDescent="0.3"/>
    <row r="1507" ht="15" customHeight="1" x14ac:dyDescent="0.3"/>
    <row r="1508" ht="15" customHeight="1" x14ac:dyDescent="0.3"/>
    <row r="1509" ht="15" customHeight="1" x14ac:dyDescent="0.3"/>
    <row r="1510" ht="15" customHeight="1" x14ac:dyDescent="0.3"/>
    <row r="1511" ht="15" customHeight="1" x14ac:dyDescent="0.3"/>
    <row r="1512" ht="15" customHeight="1" x14ac:dyDescent="0.3"/>
    <row r="1513" ht="15" customHeight="1" x14ac:dyDescent="0.3"/>
    <row r="1514" ht="15" customHeight="1" x14ac:dyDescent="0.3"/>
    <row r="1515" ht="15" customHeight="1" x14ac:dyDescent="0.3"/>
    <row r="1516" ht="15" customHeight="1" x14ac:dyDescent="0.3"/>
    <row r="1517" ht="15" customHeight="1" x14ac:dyDescent="0.3"/>
    <row r="1518" ht="15" customHeight="1" x14ac:dyDescent="0.3"/>
    <row r="1519" ht="15" customHeight="1" x14ac:dyDescent="0.3"/>
    <row r="1520" ht="15" customHeight="1" x14ac:dyDescent="0.3"/>
    <row r="1521" ht="15" customHeight="1" x14ac:dyDescent="0.3"/>
    <row r="1522" ht="15" customHeight="1" x14ac:dyDescent="0.3"/>
    <row r="1523" ht="15" customHeight="1" x14ac:dyDescent="0.3"/>
    <row r="1524" ht="15" customHeight="1" x14ac:dyDescent="0.3"/>
    <row r="1525" ht="15" customHeight="1" x14ac:dyDescent="0.3"/>
    <row r="1526" ht="15" customHeight="1" x14ac:dyDescent="0.3"/>
    <row r="1527" ht="15" customHeight="1" x14ac:dyDescent="0.3"/>
    <row r="1528" ht="15" customHeight="1" x14ac:dyDescent="0.3"/>
    <row r="1529" ht="15" customHeight="1" x14ac:dyDescent="0.3"/>
    <row r="1530" ht="15" customHeight="1" x14ac:dyDescent="0.3"/>
    <row r="1531" ht="15" customHeight="1" x14ac:dyDescent="0.3"/>
    <row r="1532" ht="15" customHeight="1" x14ac:dyDescent="0.3"/>
    <row r="1533" ht="15" customHeight="1" x14ac:dyDescent="0.3"/>
    <row r="1534" ht="15" customHeight="1" x14ac:dyDescent="0.3"/>
    <row r="1535" ht="15" customHeight="1" x14ac:dyDescent="0.3"/>
    <row r="1536" ht="15" customHeight="1" x14ac:dyDescent="0.3"/>
    <row r="1537" ht="15" customHeight="1" x14ac:dyDescent="0.3"/>
    <row r="1538" ht="15" customHeight="1" x14ac:dyDescent="0.3"/>
    <row r="1539" ht="15" customHeight="1" x14ac:dyDescent="0.3"/>
    <row r="1540" ht="15" customHeight="1" x14ac:dyDescent="0.3"/>
    <row r="1541" ht="15" customHeight="1" x14ac:dyDescent="0.3"/>
    <row r="1542" ht="15" customHeight="1" x14ac:dyDescent="0.3"/>
    <row r="1543" ht="15" customHeight="1" x14ac:dyDescent="0.3"/>
    <row r="1544" ht="15" customHeight="1" x14ac:dyDescent="0.3"/>
    <row r="1545" ht="15" customHeight="1" x14ac:dyDescent="0.3"/>
    <row r="1546" ht="15" customHeight="1" x14ac:dyDescent="0.3"/>
    <row r="1547" ht="15" customHeight="1" x14ac:dyDescent="0.3"/>
    <row r="1548" ht="15" customHeight="1" x14ac:dyDescent="0.3"/>
    <row r="1549" ht="15" customHeight="1" x14ac:dyDescent="0.3"/>
    <row r="1550" ht="15" customHeight="1" x14ac:dyDescent="0.3"/>
    <row r="1551" ht="15" customHeight="1" x14ac:dyDescent="0.3"/>
    <row r="1552" ht="15" customHeight="1" x14ac:dyDescent="0.3"/>
    <row r="1553" ht="15" customHeight="1" x14ac:dyDescent="0.3"/>
    <row r="1554" ht="15" customHeight="1" x14ac:dyDescent="0.3"/>
    <row r="1555" ht="15" customHeight="1" x14ac:dyDescent="0.3"/>
    <row r="1556" ht="15" customHeight="1" x14ac:dyDescent="0.3"/>
    <row r="1557" ht="15" customHeight="1" x14ac:dyDescent="0.3"/>
    <row r="1558" ht="15" customHeight="1" x14ac:dyDescent="0.3"/>
    <row r="1559" ht="15" customHeight="1" x14ac:dyDescent="0.3"/>
    <row r="1560" ht="15" customHeight="1" x14ac:dyDescent="0.3"/>
    <row r="1561" ht="15" customHeight="1" x14ac:dyDescent="0.3"/>
    <row r="1562" ht="15" customHeight="1" x14ac:dyDescent="0.3"/>
    <row r="1563" ht="15" customHeight="1" x14ac:dyDescent="0.3"/>
    <row r="1564" ht="15" customHeight="1" x14ac:dyDescent="0.3"/>
    <row r="1565" ht="15" customHeight="1" x14ac:dyDescent="0.3"/>
    <row r="1566" ht="15" customHeight="1" x14ac:dyDescent="0.3"/>
    <row r="1567" ht="15" customHeight="1" x14ac:dyDescent="0.3"/>
    <row r="1568" ht="15" customHeight="1" x14ac:dyDescent="0.3"/>
    <row r="1569" ht="15" customHeight="1" x14ac:dyDescent="0.3"/>
    <row r="1570" ht="15" customHeight="1" x14ac:dyDescent="0.3"/>
    <row r="1571" ht="15" customHeight="1" x14ac:dyDescent="0.3"/>
    <row r="1572" ht="15" customHeight="1" x14ac:dyDescent="0.3"/>
    <row r="1573" ht="15" customHeight="1" x14ac:dyDescent="0.3"/>
    <row r="1574" ht="15" customHeight="1" x14ac:dyDescent="0.3"/>
    <row r="1575" ht="15" customHeight="1" x14ac:dyDescent="0.3"/>
    <row r="1576" ht="15" customHeight="1" x14ac:dyDescent="0.3"/>
    <row r="1577" ht="15" customHeight="1" x14ac:dyDescent="0.3"/>
    <row r="1578" ht="15" customHeight="1" x14ac:dyDescent="0.3"/>
    <row r="1579" ht="15" customHeight="1" x14ac:dyDescent="0.3"/>
    <row r="1580" ht="15" customHeight="1" x14ac:dyDescent="0.3"/>
    <row r="1581" ht="15" customHeight="1" x14ac:dyDescent="0.3"/>
    <row r="1582" ht="15" customHeight="1" x14ac:dyDescent="0.3"/>
    <row r="1583" ht="15" customHeight="1" x14ac:dyDescent="0.3"/>
    <row r="1584" ht="15" customHeight="1" x14ac:dyDescent="0.3"/>
    <row r="1585" ht="15" customHeight="1" x14ac:dyDescent="0.3"/>
    <row r="1586" ht="15" customHeight="1" x14ac:dyDescent="0.3"/>
    <row r="1587" ht="15" customHeight="1" x14ac:dyDescent="0.3"/>
    <row r="1588" ht="15" customHeight="1" x14ac:dyDescent="0.3"/>
    <row r="1589" ht="15" customHeight="1" x14ac:dyDescent="0.3"/>
    <row r="1590" ht="15" customHeight="1" x14ac:dyDescent="0.3"/>
    <row r="1591" ht="15" customHeight="1" x14ac:dyDescent="0.3"/>
    <row r="1592" ht="15" customHeight="1" x14ac:dyDescent="0.3"/>
    <row r="1593" ht="15" customHeight="1" x14ac:dyDescent="0.3"/>
    <row r="1594" ht="15" customHeight="1" x14ac:dyDescent="0.3"/>
    <row r="1595" ht="15" customHeight="1" x14ac:dyDescent="0.3"/>
    <row r="1596" ht="15" customHeight="1" x14ac:dyDescent="0.3"/>
    <row r="1597" ht="15" customHeight="1" x14ac:dyDescent="0.3"/>
    <row r="1598" ht="15" customHeight="1" x14ac:dyDescent="0.3"/>
    <row r="1599" ht="15" customHeight="1" x14ac:dyDescent="0.3"/>
    <row r="1600" ht="15" customHeight="1" x14ac:dyDescent="0.3"/>
    <row r="1601" ht="15" customHeight="1" x14ac:dyDescent="0.3"/>
    <row r="1602" ht="15" customHeight="1" x14ac:dyDescent="0.3"/>
    <row r="1603" ht="15" customHeight="1" x14ac:dyDescent="0.3"/>
    <row r="1604" ht="15" customHeight="1" x14ac:dyDescent="0.3"/>
    <row r="1605" ht="15" customHeight="1" x14ac:dyDescent="0.3"/>
    <row r="1606" ht="15" customHeight="1" x14ac:dyDescent="0.3"/>
    <row r="1607" ht="15" customHeight="1" x14ac:dyDescent="0.3"/>
    <row r="1608" ht="15" customHeight="1" x14ac:dyDescent="0.3"/>
    <row r="1609" ht="15" customHeight="1" x14ac:dyDescent="0.3"/>
    <row r="1610" ht="15" customHeight="1" x14ac:dyDescent="0.3"/>
    <row r="1611" ht="15" customHeight="1" x14ac:dyDescent="0.3"/>
    <row r="1612" ht="15" customHeight="1" x14ac:dyDescent="0.3"/>
    <row r="1613" ht="15" customHeight="1" x14ac:dyDescent="0.3"/>
    <row r="1614" ht="15" customHeight="1" x14ac:dyDescent="0.3"/>
    <row r="1615" ht="15" customHeight="1" x14ac:dyDescent="0.3"/>
    <row r="1616" ht="15" customHeight="1" x14ac:dyDescent="0.3"/>
    <row r="1617" ht="15" customHeight="1" x14ac:dyDescent="0.3"/>
    <row r="1618" ht="15" customHeight="1" x14ac:dyDescent="0.3"/>
    <row r="1619" ht="15" customHeight="1" x14ac:dyDescent="0.3"/>
    <row r="1620" ht="15" customHeight="1" x14ac:dyDescent="0.3"/>
    <row r="1621" ht="15" customHeight="1" x14ac:dyDescent="0.3"/>
    <row r="1622" ht="15" customHeight="1" x14ac:dyDescent="0.3"/>
    <row r="1623" ht="15" customHeight="1" x14ac:dyDescent="0.3"/>
    <row r="1624" ht="15" customHeight="1" x14ac:dyDescent="0.3"/>
    <row r="1625" ht="15" customHeight="1" x14ac:dyDescent="0.3"/>
    <row r="1626" ht="15" customHeight="1" x14ac:dyDescent="0.3"/>
    <row r="1627" ht="15" customHeight="1" x14ac:dyDescent="0.3"/>
    <row r="1628" ht="15" customHeight="1" x14ac:dyDescent="0.3"/>
    <row r="1629" ht="15" customHeight="1" x14ac:dyDescent="0.3"/>
    <row r="1630" ht="15" customHeight="1" x14ac:dyDescent="0.3"/>
    <row r="1631" ht="15" customHeight="1" x14ac:dyDescent="0.3"/>
    <row r="1632" ht="15" customHeight="1" x14ac:dyDescent="0.3"/>
    <row r="1633" ht="15" customHeight="1" x14ac:dyDescent="0.3"/>
    <row r="1634" ht="15" customHeight="1" x14ac:dyDescent="0.3"/>
    <row r="1635" ht="15" customHeight="1" x14ac:dyDescent="0.3"/>
    <row r="1636" ht="15" customHeight="1" x14ac:dyDescent="0.3"/>
    <row r="1637" ht="15" customHeight="1" x14ac:dyDescent="0.3"/>
    <row r="1638" ht="15" customHeight="1" x14ac:dyDescent="0.3"/>
    <row r="1639" ht="15" customHeight="1" x14ac:dyDescent="0.3"/>
    <row r="1640" ht="15" customHeight="1" x14ac:dyDescent="0.3"/>
    <row r="1641" ht="15" customHeight="1" x14ac:dyDescent="0.3"/>
    <row r="1642" ht="15" customHeight="1" x14ac:dyDescent="0.3"/>
    <row r="1643" ht="15" customHeight="1" x14ac:dyDescent="0.3"/>
    <row r="1644" ht="15" customHeight="1" x14ac:dyDescent="0.3"/>
    <row r="1645" ht="15" customHeight="1" x14ac:dyDescent="0.3"/>
    <row r="1646" ht="15" customHeight="1" x14ac:dyDescent="0.3"/>
    <row r="1647" ht="15" customHeight="1" x14ac:dyDescent="0.3"/>
    <row r="1648" ht="15" customHeight="1" x14ac:dyDescent="0.3"/>
    <row r="1649" ht="15" customHeight="1" x14ac:dyDescent="0.3"/>
    <row r="1650" ht="15" customHeight="1" x14ac:dyDescent="0.3"/>
    <row r="1651" ht="15" customHeight="1" x14ac:dyDescent="0.3"/>
    <row r="1652" ht="15" customHeight="1" x14ac:dyDescent="0.3"/>
    <row r="1653" ht="15" customHeight="1" x14ac:dyDescent="0.3"/>
    <row r="1654" ht="15" customHeight="1" x14ac:dyDescent="0.3"/>
    <row r="1655" ht="15" customHeight="1" x14ac:dyDescent="0.3"/>
    <row r="1656" ht="15" customHeight="1" x14ac:dyDescent="0.3"/>
    <row r="1657" ht="15" customHeight="1" x14ac:dyDescent="0.3"/>
    <row r="1658" ht="15" customHeight="1" x14ac:dyDescent="0.3"/>
    <row r="1659" ht="15" customHeight="1" x14ac:dyDescent="0.3"/>
    <row r="1660" ht="15" customHeight="1" x14ac:dyDescent="0.3"/>
    <row r="1661" ht="15" customHeight="1" x14ac:dyDescent="0.3"/>
    <row r="1662" ht="15" customHeight="1" x14ac:dyDescent="0.3"/>
    <row r="1663" ht="15" customHeight="1" x14ac:dyDescent="0.3"/>
    <row r="1664" ht="15" customHeight="1" x14ac:dyDescent="0.3"/>
    <row r="1665" ht="15" customHeight="1" x14ac:dyDescent="0.3"/>
    <row r="1666" ht="15" customHeight="1" x14ac:dyDescent="0.3"/>
    <row r="1667" ht="15" customHeight="1" x14ac:dyDescent="0.3"/>
    <row r="1668" ht="15" customHeight="1" x14ac:dyDescent="0.3"/>
    <row r="1669" ht="15" customHeight="1" x14ac:dyDescent="0.3"/>
    <row r="1670" ht="15" customHeight="1" x14ac:dyDescent="0.3"/>
    <row r="1671" ht="15" customHeight="1" x14ac:dyDescent="0.3"/>
    <row r="1672" ht="15" customHeight="1" x14ac:dyDescent="0.3"/>
    <row r="1673" ht="15" customHeight="1" x14ac:dyDescent="0.3"/>
    <row r="1674" ht="15" customHeight="1" x14ac:dyDescent="0.3"/>
    <row r="1675" ht="15" customHeight="1" x14ac:dyDescent="0.3"/>
    <row r="1676" ht="15" customHeight="1" x14ac:dyDescent="0.3"/>
    <row r="1677" ht="15" customHeight="1" x14ac:dyDescent="0.3"/>
    <row r="1678" ht="15" customHeight="1" x14ac:dyDescent="0.3"/>
    <row r="1679" ht="15" customHeight="1" x14ac:dyDescent="0.3"/>
    <row r="1680" ht="15" customHeight="1" x14ac:dyDescent="0.3"/>
    <row r="1681" ht="15" customHeight="1" x14ac:dyDescent="0.3"/>
    <row r="1682" ht="15" customHeight="1" x14ac:dyDescent="0.3"/>
    <row r="1683" ht="15" customHeight="1" x14ac:dyDescent="0.3"/>
    <row r="1684" ht="15" customHeight="1" x14ac:dyDescent="0.3"/>
    <row r="1685" ht="15" customHeight="1" x14ac:dyDescent="0.3"/>
    <row r="1686" ht="15" customHeight="1" x14ac:dyDescent="0.3"/>
    <row r="1687" ht="15" customHeight="1" x14ac:dyDescent="0.3"/>
    <row r="1688" ht="15" customHeight="1" x14ac:dyDescent="0.3"/>
    <row r="1689" ht="15" customHeight="1" x14ac:dyDescent="0.3"/>
    <row r="1690" ht="15" customHeight="1" x14ac:dyDescent="0.3"/>
    <row r="1691" ht="15" customHeight="1" x14ac:dyDescent="0.3"/>
    <row r="1692" ht="15" customHeight="1" x14ac:dyDescent="0.3"/>
    <row r="1693" ht="15" customHeight="1" x14ac:dyDescent="0.3"/>
    <row r="1694" ht="15" customHeight="1" x14ac:dyDescent="0.3"/>
    <row r="1695" ht="15" customHeight="1" x14ac:dyDescent="0.3"/>
    <row r="1696" ht="15" customHeight="1" x14ac:dyDescent="0.3"/>
    <row r="1697" ht="15" customHeight="1" x14ac:dyDescent="0.3"/>
    <row r="1698" ht="15" customHeight="1" x14ac:dyDescent="0.3"/>
    <row r="1699" ht="15" customHeight="1" x14ac:dyDescent="0.3"/>
    <row r="1700" ht="15" customHeight="1" x14ac:dyDescent="0.3"/>
    <row r="1701" ht="15" customHeight="1" x14ac:dyDescent="0.3"/>
    <row r="1702" ht="15" customHeight="1" x14ac:dyDescent="0.3"/>
    <row r="1703" ht="15" customHeight="1" x14ac:dyDescent="0.3"/>
    <row r="1704" ht="15" customHeight="1" x14ac:dyDescent="0.3"/>
    <row r="1705" ht="15" customHeight="1" x14ac:dyDescent="0.3"/>
    <row r="1706" ht="15" customHeight="1" x14ac:dyDescent="0.3"/>
    <row r="1707" ht="15" customHeight="1" x14ac:dyDescent="0.3"/>
    <row r="1708" ht="15" customHeight="1" x14ac:dyDescent="0.3"/>
    <row r="1709" ht="15" customHeight="1" x14ac:dyDescent="0.3"/>
    <row r="1710" ht="15" customHeight="1" x14ac:dyDescent="0.3"/>
    <row r="1711" ht="15" customHeight="1" x14ac:dyDescent="0.3"/>
    <row r="1712" ht="15" customHeight="1" x14ac:dyDescent="0.3"/>
    <row r="1713" ht="15" customHeight="1" x14ac:dyDescent="0.3"/>
    <row r="1714" ht="15" customHeight="1" x14ac:dyDescent="0.3"/>
    <row r="1715" ht="15" customHeight="1" x14ac:dyDescent="0.3"/>
    <row r="1716" ht="15" customHeight="1" x14ac:dyDescent="0.3"/>
    <row r="1717" ht="15" customHeight="1" x14ac:dyDescent="0.3"/>
    <row r="1718" ht="15" customHeight="1" x14ac:dyDescent="0.3"/>
    <row r="1719" ht="15" customHeight="1" x14ac:dyDescent="0.3"/>
    <row r="1720" ht="15" customHeight="1" x14ac:dyDescent="0.3"/>
    <row r="1721" ht="15" customHeight="1" x14ac:dyDescent="0.3"/>
    <row r="1722" ht="15" customHeight="1" x14ac:dyDescent="0.3"/>
    <row r="1723" ht="15" customHeight="1" x14ac:dyDescent="0.3"/>
    <row r="1724" ht="15" customHeight="1" x14ac:dyDescent="0.3"/>
    <row r="1725" ht="15" customHeight="1" x14ac:dyDescent="0.3"/>
    <row r="1726" ht="15" customHeight="1" x14ac:dyDescent="0.3"/>
    <row r="1727" ht="15" customHeight="1" x14ac:dyDescent="0.3"/>
    <row r="1728" ht="15" customHeight="1" x14ac:dyDescent="0.3"/>
    <row r="1729" ht="15" customHeight="1" x14ac:dyDescent="0.3"/>
    <row r="1730" ht="15" customHeight="1" x14ac:dyDescent="0.3"/>
    <row r="1731" ht="15" customHeight="1" x14ac:dyDescent="0.3"/>
    <row r="1732" ht="15" customHeight="1" x14ac:dyDescent="0.3"/>
    <row r="1733" ht="15" customHeight="1" x14ac:dyDescent="0.3"/>
    <row r="1734" ht="15" customHeight="1" x14ac:dyDescent="0.3"/>
    <row r="1735" ht="15" customHeight="1" x14ac:dyDescent="0.3"/>
    <row r="1736" ht="15" customHeight="1" x14ac:dyDescent="0.3"/>
    <row r="1737" ht="15" customHeight="1" x14ac:dyDescent="0.3"/>
    <row r="1738" ht="15" customHeight="1" x14ac:dyDescent="0.3"/>
    <row r="1739" ht="15" customHeight="1" x14ac:dyDescent="0.3"/>
    <row r="1740" ht="15" customHeight="1" x14ac:dyDescent="0.3"/>
    <row r="1741" ht="15" customHeight="1" x14ac:dyDescent="0.3"/>
    <row r="1742" ht="15" customHeight="1" x14ac:dyDescent="0.3"/>
    <row r="1743" ht="15" customHeight="1" x14ac:dyDescent="0.3"/>
    <row r="1744" ht="15" customHeight="1" x14ac:dyDescent="0.3"/>
    <row r="1745" ht="15" customHeight="1" x14ac:dyDescent="0.3"/>
    <row r="1746" ht="15" customHeight="1" x14ac:dyDescent="0.3"/>
    <row r="1747" ht="15" customHeight="1" x14ac:dyDescent="0.3"/>
    <row r="1748" ht="15" customHeight="1" x14ac:dyDescent="0.3"/>
    <row r="1749" ht="15" customHeight="1" x14ac:dyDescent="0.3"/>
    <row r="1750" ht="15" customHeight="1" x14ac:dyDescent="0.3"/>
    <row r="1751" ht="15" customHeight="1" x14ac:dyDescent="0.3"/>
    <row r="1752" ht="15" customHeight="1" x14ac:dyDescent="0.3"/>
    <row r="1753" ht="15" customHeight="1" x14ac:dyDescent="0.3"/>
    <row r="1754" ht="15" customHeight="1" x14ac:dyDescent="0.3"/>
    <row r="1755" ht="15" customHeight="1" x14ac:dyDescent="0.3"/>
    <row r="1756" ht="15" customHeight="1" x14ac:dyDescent="0.3"/>
    <row r="1757" ht="15" customHeight="1" x14ac:dyDescent="0.3"/>
    <row r="1758" ht="15" customHeight="1" x14ac:dyDescent="0.3"/>
    <row r="1759" ht="15" customHeight="1" x14ac:dyDescent="0.3"/>
    <row r="1760" ht="15" customHeight="1" x14ac:dyDescent="0.3"/>
    <row r="1761" ht="15" customHeight="1" x14ac:dyDescent="0.3"/>
    <row r="1762" ht="15" customHeight="1" x14ac:dyDescent="0.3"/>
    <row r="1763" ht="15" customHeight="1" x14ac:dyDescent="0.3"/>
    <row r="1764" ht="15" customHeight="1" x14ac:dyDescent="0.3"/>
    <row r="1765" ht="15" customHeight="1" x14ac:dyDescent="0.3"/>
    <row r="1766" ht="15" customHeight="1" x14ac:dyDescent="0.3"/>
    <row r="1767" ht="15" customHeight="1" x14ac:dyDescent="0.3"/>
    <row r="1768" ht="15" customHeight="1" x14ac:dyDescent="0.3"/>
    <row r="1769" ht="15" customHeight="1" x14ac:dyDescent="0.3"/>
    <row r="1770" ht="15" customHeight="1" x14ac:dyDescent="0.3"/>
    <row r="1771" ht="15" customHeight="1" x14ac:dyDescent="0.3"/>
    <row r="1772" ht="15" customHeight="1" x14ac:dyDescent="0.3"/>
    <row r="1773" ht="15" customHeight="1" x14ac:dyDescent="0.3"/>
    <row r="1774" ht="15" customHeight="1" x14ac:dyDescent="0.3"/>
    <row r="1775" ht="15" customHeight="1" x14ac:dyDescent="0.3"/>
    <row r="1776" ht="15" customHeight="1" x14ac:dyDescent="0.3"/>
    <row r="1777" ht="15" customHeight="1" x14ac:dyDescent="0.3"/>
    <row r="1778" ht="15" customHeight="1" x14ac:dyDescent="0.3"/>
    <row r="1779" ht="15" customHeight="1" x14ac:dyDescent="0.3"/>
    <row r="1780" ht="15" customHeight="1" x14ac:dyDescent="0.3"/>
    <row r="1781" ht="15" customHeight="1" x14ac:dyDescent="0.3"/>
    <row r="1782" ht="15" customHeight="1" x14ac:dyDescent="0.3"/>
    <row r="1783" ht="15" customHeight="1" x14ac:dyDescent="0.3"/>
    <row r="1784" ht="15" customHeight="1" x14ac:dyDescent="0.3"/>
    <row r="1785" ht="15" customHeight="1" x14ac:dyDescent="0.3"/>
    <row r="1786" ht="15" customHeight="1" x14ac:dyDescent="0.3"/>
    <row r="1787" ht="15" customHeight="1" x14ac:dyDescent="0.3"/>
    <row r="1788" ht="15" customHeight="1" x14ac:dyDescent="0.3"/>
    <row r="1789" ht="15" customHeight="1" x14ac:dyDescent="0.3"/>
    <row r="1790" ht="15" customHeight="1" x14ac:dyDescent="0.3"/>
    <row r="1791" ht="15" customHeight="1" x14ac:dyDescent="0.3"/>
    <row r="1792" ht="15" customHeight="1" x14ac:dyDescent="0.3"/>
    <row r="1793" ht="15" customHeight="1" x14ac:dyDescent="0.3"/>
    <row r="1794" ht="15" customHeight="1" x14ac:dyDescent="0.3"/>
    <row r="1795" ht="15" customHeight="1" x14ac:dyDescent="0.3"/>
    <row r="1796" ht="15" customHeight="1" x14ac:dyDescent="0.3"/>
    <row r="1797" ht="15" customHeight="1" x14ac:dyDescent="0.3"/>
    <row r="1798" ht="15" customHeight="1" x14ac:dyDescent="0.3"/>
    <row r="1799" ht="15" customHeight="1" x14ac:dyDescent="0.3"/>
    <row r="1800" ht="15" customHeight="1" x14ac:dyDescent="0.3"/>
    <row r="1801" ht="15" customHeight="1" x14ac:dyDescent="0.3"/>
    <row r="1802" ht="15" customHeight="1" x14ac:dyDescent="0.3"/>
    <row r="1803" ht="15" customHeight="1" x14ac:dyDescent="0.3"/>
    <row r="1804" ht="15" customHeight="1" x14ac:dyDescent="0.3"/>
    <row r="1805" ht="15" customHeight="1" x14ac:dyDescent="0.3"/>
    <row r="1806" ht="15" customHeight="1" x14ac:dyDescent="0.3"/>
    <row r="1807" ht="15" customHeight="1" x14ac:dyDescent="0.3"/>
    <row r="1808" ht="15" customHeight="1" x14ac:dyDescent="0.3"/>
    <row r="1809" ht="15" customHeight="1" x14ac:dyDescent="0.3"/>
    <row r="1810" ht="15" customHeight="1" x14ac:dyDescent="0.3"/>
    <row r="1811" ht="15" customHeight="1" x14ac:dyDescent="0.3"/>
    <row r="1812" ht="15" customHeight="1" x14ac:dyDescent="0.3"/>
    <row r="1813" ht="15" customHeight="1" x14ac:dyDescent="0.3"/>
    <row r="1814" ht="15" customHeight="1" x14ac:dyDescent="0.3"/>
    <row r="1815" ht="15" customHeight="1" x14ac:dyDescent="0.3"/>
    <row r="1816" ht="15" customHeight="1" x14ac:dyDescent="0.3"/>
    <row r="1817" ht="15" customHeight="1" x14ac:dyDescent="0.3"/>
    <row r="1818" ht="15" customHeight="1" x14ac:dyDescent="0.3"/>
    <row r="1819" ht="15" customHeight="1" x14ac:dyDescent="0.3"/>
    <row r="1820" ht="15" customHeight="1" x14ac:dyDescent="0.3"/>
    <row r="1821" ht="15" customHeight="1" x14ac:dyDescent="0.3"/>
    <row r="1822" ht="15" customHeight="1" x14ac:dyDescent="0.3"/>
    <row r="1823" ht="15" customHeight="1" x14ac:dyDescent="0.3"/>
    <row r="1824" ht="15" customHeight="1" x14ac:dyDescent="0.3"/>
    <row r="1825" ht="15" customHeight="1" x14ac:dyDescent="0.3"/>
    <row r="1826" ht="15" customHeight="1" x14ac:dyDescent="0.3"/>
    <row r="1827" ht="15" customHeight="1" x14ac:dyDescent="0.3"/>
    <row r="1828" ht="15" customHeight="1" x14ac:dyDescent="0.3"/>
    <row r="1829" ht="15" customHeight="1" x14ac:dyDescent="0.3"/>
    <row r="1830" ht="15" customHeight="1" x14ac:dyDescent="0.3"/>
    <row r="1831" ht="15" customHeight="1" x14ac:dyDescent="0.3"/>
    <row r="1832" ht="15" customHeight="1" x14ac:dyDescent="0.3"/>
    <row r="1833" ht="15" customHeight="1" x14ac:dyDescent="0.3"/>
    <row r="1834" ht="15" customHeight="1" x14ac:dyDescent="0.3"/>
    <row r="1835" ht="15" customHeight="1" x14ac:dyDescent="0.3"/>
    <row r="1836" ht="15" customHeight="1" x14ac:dyDescent="0.3"/>
    <row r="1837" ht="15" customHeight="1" x14ac:dyDescent="0.3"/>
    <row r="1838" ht="15" customHeight="1" x14ac:dyDescent="0.3"/>
    <row r="1839" ht="15" customHeight="1" x14ac:dyDescent="0.3"/>
    <row r="1840" ht="15" customHeight="1" x14ac:dyDescent="0.3"/>
    <row r="1841" ht="15" customHeight="1" x14ac:dyDescent="0.3"/>
    <row r="1842" ht="15" customHeight="1" x14ac:dyDescent="0.3"/>
    <row r="1843" ht="15" customHeight="1" x14ac:dyDescent="0.3"/>
    <row r="1844" ht="15" customHeight="1" x14ac:dyDescent="0.3"/>
    <row r="1845" ht="15" customHeight="1" x14ac:dyDescent="0.3"/>
    <row r="1846" ht="15" customHeight="1" x14ac:dyDescent="0.3"/>
    <row r="1847" ht="15" customHeight="1" x14ac:dyDescent="0.3"/>
    <row r="1848" ht="15" customHeight="1" x14ac:dyDescent="0.3"/>
    <row r="1849" ht="15" customHeight="1" x14ac:dyDescent="0.3"/>
    <row r="1850" ht="15" customHeight="1" x14ac:dyDescent="0.3"/>
    <row r="1851" ht="15" customHeight="1" x14ac:dyDescent="0.3"/>
    <row r="1852" ht="15" customHeight="1" x14ac:dyDescent="0.3"/>
    <row r="1853" ht="15" customHeight="1" x14ac:dyDescent="0.3"/>
    <row r="1854" ht="15" customHeight="1" x14ac:dyDescent="0.3"/>
    <row r="1855" ht="15" customHeight="1" x14ac:dyDescent="0.3"/>
    <row r="1856" ht="15" customHeight="1" x14ac:dyDescent="0.3"/>
    <row r="1857" ht="15" customHeight="1" x14ac:dyDescent="0.3"/>
    <row r="1858" ht="15" customHeight="1" x14ac:dyDescent="0.3"/>
    <row r="1859" ht="15" customHeight="1" x14ac:dyDescent="0.3"/>
    <row r="1860" ht="15" customHeight="1" x14ac:dyDescent="0.3"/>
    <row r="1861" ht="15" customHeight="1" x14ac:dyDescent="0.3"/>
    <row r="1862" ht="15" customHeight="1" x14ac:dyDescent="0.3"/>
    <row r="1863" ht="15" customHeight="1" x14ac:dyDescent="0.3"/>
    <row r="1864" ht="15" customHeight="1" x14ac:dyDescent="0.3"/>
    <row r="1865" ht="15" customHeight="1" x14ac:dyDescent="0.3"/>
    <row r="1866" ht="15" customHeight="1" x14ac:dyDescent="0.3"/>
    <row r="1867" ht="15" customHeight="1" x14ac:dyDescent="0.3"/>
    <row r="1868" ht="15" customHeight="1" x14ac:dyDescent="0.3"/>
    <row r="1869" ht="15" customHeight="1" x14ac:dyDescent="0.3"/>
    <row r="1870" ht="15" customHeight="1" x14ac:dyDescent="0.3"/>
    <row r="1871" ht="15" customHeight="1" x14ac:dyDescent="0.3"/>
    <row r="1872" ht="15" customHeight="1" x14ac:dyDescent="0.3"/>
    <row r="1873" ht="15" customHeight="1" x14ac:dyDescent="0.3"/>
    <row r="1874" ht="15" customHeight="1" x14ac:dyDescent="0.3"/>
    <row r="1875" ht="15" customHeight="1" x14ac:dyDescent="0.3"/>
    <row r="1876" ht="15" customHeight="1" x14ac:dyDescent="0.3"/>
    <row r="1877" ht="15" customHeight="1" x14ac:dyDescent="0.3"/>
    <row r="1878" ht="15" customHeight="1" x14ac:dyDescent="0.3"/>
    <row r="1879" ht="15" customHeight="1" x14ac:dyDescent="0.3"/>
    <row r="1880" ht="15" customHeight="1" x14ac:dyDescent="0.3"/>
    <row r="1881" ht="15" customHeight="1" x14ac:dyDescent="0.3"/>
    <row r="1882" ht="15" customHeight="1" x14ac:dyDescent="0.3"/>
    <row r="1883" ht="15" customHeight="1" x14ac:dyDescent="0.3"/>
    <row r="1884" ht="15" customHeight="1" x14ac:dyDescent="0.3"/>
    <row r="1885" ht="15" customHeight="1" x14ac:dyDescent="0.3"/>
    <row r="1886" ht="15" customHeight="1" x14ac:dyDescent="0.3"/>
    <row r="1887" ht="15" customHeight="1" x14ac:dyDescent="0.3"/>
    <row r="1888" ht="15" customHeight="1" x14ac:dyDescent="0.3"/>
    <row r="1889" ht="15" customHeight="1" x14ac:dyDescent="0.3"/>
    <row r="1890" ht="15" customHeight="1" x14ac:dyDescent="0.3"/>
    <row r="1891" ht="15" customHeight="1" x14ac:dyDescent="0.3"/>
    <row r="1892" ht="15" customHeight="1" x14ac:dyDescent="0.3"/>
    <row r="1893" ht="15" customHeight="1" x14ac:dyDescent="0.3"/>
    <row r="1894" ht="15" customHeight="1" x14ac:dyDescent="0.3"/>
    <row r="1895" ht="15" customHeight="1" x14ac:dyDescent="0.3"/>
    <row r="1896" ht="15" customHeight="1" x14ac:dyDescent="0.3"/>
    <row r="1897" ht="15" customHeight="1" x14ac:dyDescent="0.3"/>
    <row r="1898" ht="15" customHeight="1" x14ac:dyDescent="0.3"/>
    <row r="1899" ht="15" customHeight="1" x14ac:dyDescent="0.3"/>
    <row r="1900" ht="15" customHeight="1" x14ac:dyDescent="0.3"/>
    <row r="1901" ht="15" customHeight="1" x14ac:dyDescent="0.3"/>
    <row r="1902" ht="15" customHeight="1" x14ac:dyDescent="0.3"/>
    <row r="1903" ht="15" customHeight="1" x14ac:dyDescent="0.3"/>
    <row r="1904" ht="15" customHeight="1" x14ac:dyDescent="0.3"/>
    <row r="1905" ht="15" customHeight="1" x14ac:dyDescent="0.3"/>
    <row r="1906" ht="15" customHeight="1" x14ac:dyDescent="0.3"/>
    <row r="1907" ht="15" customHeight="1" x14ac:dyDescent="0.3"/>
    <row r="1908" ht="15" customHeight="1" x14ac:dyDescent="0.3"/>
    <row r="1909" ht="15" customHeight="1" x14ac:dyDescent="0.3"/>
    <row r="1910" ht="15" customHeight="1" x14ac:dyDescent="0.3"/>
    <row r="1911" ht="15" customHeight="1" x14ac:dyDescent="0.3"/>
    <row r="1912" ht="15" customHeight="1" x14ac:dyDescent="0.3"/>
    <row r="1913" ht="15" customHeight="1" x14ac:dyDescent="0.3"/>
    <row r="1914" ht="15" customHeight="1" x14ac:dyDescent="0.3"/>
    <row r="1915" ht="15" customHeight="1" x14ac:dyDescent="0.3"/>
    <row r="1916" ht="15" customHeight="1" x14ac:dyDescent="0.3"/>
    <row r="1917" ht="15" customHeight="1" x14ac:dyDescent="0.3"/>
    <row r="1918" ht="15" customHeight="1" x14ac:dyDescent="0.3"/>
    <row r="1919" ht="15" customHeight="1" x14ac:dyDescent="0.3"/>
    <row r="1920" ht="15" customHeight="1" x14ac:dyDescent="0.3"/>
    <row r="1921" ht="15" customHeight="1" x14ac:dyDescent="0.3"/>
    <row r="1922" ht="15" customHeight="1" x14ac:dyDescent="0.3"/>
    <row r="1923" ht="15" customHeight="1" x14ac:dyDescent="0.3"/>
    <row r="1924" ht="15" customHeight="1" x14ac:dyDescent="0.3"/>
    <row r="1925" ht="15" customHeight="1" x14ac:dyDescent="0.3"/>
    <row r="1926" ht="15" customHeight="1" x14ac:dyDescent="0.3"/>
    <row r="1927" ht="15" customHeight="1" x14ac:dyDescent="0.3"/>
    <row r="1928" ht="15" customHeight="1" x14ac:dyDescent="0.3"/>
    <row r="1929" ht="15" customHeight="1" x14ac:dyDescent="0.3"/>
    <row r="1930" ht="15" customHeight="1" x14ac:dyDescent="0.3"/>
    <row r="1931" ht="15" customHeight="1" x14ac:dyDescent="0.3"/>
    <row r="1932" ht="15" customHeight="1" x14ac:dyDescent="0.3"/>
    <row r="1933" ht="15" customHeight="1" x14ac:dyDescent="0.3"/>
    <row r="1934" ht="15" customHeight="1" x14ac:dyDescent="0.3"/>
    <row r="1935" ht="15" customHeight="1" x14ac:dyDescent="0.3"/>
    <row r="1936" ht="15" customHeight="1" x14ac:dyDescent="0.3"/>
    <row r="1937" ht="15" customHeight="1" x14ac:dyDescent="0.3"/>
    <row r="1938" ht="15" customHeight="1" x14ac:dyDescent="0.3"/>
    <row r="1939" ht="15" customHeight="1" x14ac:dyDescent="0.3"/>
    <row r="1940" ht="15" customHeight="1" x14ac:dyDescent="0.3"/>
    <row r="1941" ht="15" customHeight="1" x14ac:dyDescent="0.3"/>
    <row r="1942" ht="15" customHeight="1" x14ac:dyDescent="0.3"/>
    <row r="1943" ht="15" customHeight="1" x14ac:dyDescent="0.3"/>
    <row r="1944" ht="15" customHeight="1" x14ac:dyDescent="0.3"/>
    <row r="1945" ht="15" customHeight="1" x14ac:dyDescent="0.3"/>
    <row r="1946" ht="15" customHeight="1" x14ac:dyDescent="0.3"/>
    <row r="1947" ht="15" customHeight="1" x14ac:dyDescent="0.3"/>
    <row r="1948" ht="15" customHeight="1" x14ac:dyDescent="0.3"/>
    <row r="1949" ht="15" customHeight="1" x14ac:dyDescent="0.3"/>
    <row r="1950" ht="15" customHeight="1" x14ac:dyDescent="0.3"/>
    <row r="1951" ht="15" customHeight="1" x14ac:dyDescent="0.3"/>
    <row r="1952" ht="15" customHeight="1" x14ac:dyDescent="0.3"/>
    <row r="1953" ht="15" customHeight="1" x14ac:dyDescent="0.3"/>
    <row r="1954" ht="15" customHeight="1" x14ac:dyDescent="0.3"/>
    <row r="1955" ht="15" customHeight="1" x14ac:dyDescent="0.3"/>
    <row r="1956" ht="15" customHeight="1" x14ac:dyDescent="0.3"/>
    <row r="1957" ht="15" customHeight="1" x14ac:dyDescent="0.3"/>
    <row r="1958" ht="15" customHeight="1" x14ac:dyDescent="0.3"/>
    <row r="1959" ht="15" customHeight="1" x14ac:dyDescent="0.3"/>
    <row r="1960" ht="15" customHeight="1" x14ac:dyDescent="0.3"/>
    <row r="1961" ht="15" customHeight="1" x14ac:dyDescent="0.3"/>
    <row r="1962" ht="15" customHeight="1" x14ac:dyDescent="0.3"/>
    <row r="1963" ht="15" customHeight="1" x14ac:dyDescent="0.3"/>
    <row r="1964" ht="15" customHeight="1" x14ac:dyDescent="0.3"/>
    <row r="1965" ht="15" customHeight="1" x14ac:dyDescent="0.3"/>
    <row r="1966" ht="15" customHeight="1" x14ac:dyDescent="0.3"/>
    <row r="1967" ht="15" customHeight="1" x14ac:dyDescent="0.3"/>
    <row r="1968" ht="15" customHeight="1" x14ac:dyDescent="0.3"/>
    <row r="1969" ht="15" customHeight="1" x14ac:dyDescent="0.3"/>
    <row r="1970" ht="15" customHeight="1" x14ac:dyDescent="0.3"/>
    <row r="1971" ht="15" customHeight="1" x14ac:dyDescent="0.3"/>
    <row r="1972" ht="15" customHeight="1" x14ac:dyDescent="0.3"/>
    <row r="1973" ht="15" customHeight="1" x14ac:dyDescent="0.3"/>
    <row r="1974" ht="15" customHeight="1" x14ac:dyDescent="0.3"/>
    <row r="1975" ht="15" customHeight="1" x14ac:dyDescent="0.3"/>
    <row r="1976" ht="15" customHeight="1" x14ac:dyDescent="0.3"/>
    <row r="1977" ht="15" customHeight="1" x14ac:dyDescent="0.3"/>
    <row r="1978" ht="15" customHeight="1" x14ac:dyDescent="0.3"/>
    <row r="1979" ht="15" customHeight="1" x14ac:dyDescent="0.3"/>
    <row r="1980" ht="15" customHeight="1" x14ac:dyDescent="0.3"/>
    <row r="1981" ht="15" customHeight="1" x14ac:dyDescent="0.3"/>
    <row r="1982" ht="15" customHeight="1" x14ac:dyDescent="0.3"/>
    <row r="1983" ht="15" customHeight="1" x14ac:dyDescent="0.3"/>
    <row r="1984" ht="15" customHeight="1" x14ac:dyDescent="0.3"/>
    <row r="1985" ht="15" customHeight="1" x14ac:dyDescent="0.3"/>
    <row r="1986" ht="15" customHeight="1" x14ac:dyDescent="0.3"/>
    <row r="1987" ht="15" customHeight="1" x14ac:dyDescent="0.3"/>
    <row r="1988" ht="15" customHeight="1" x14ac:dyDescent="0.3"/>
    <row r="1989" ht="15" customHeight="1" x14ac:dyDescent="0.3"/>
    <row r="1990" ht="15" customHeight="1" x14ac:dyDescent="0.3"/>
    <row r="1991" ht="15" customHeight="1" x14ac:dyDescent="0.3"/>
    <row r="1992" ht="15" customHeight="1" x14ac:dyDescent="0.3"/>
    <row r="1993" ht="15" customHeight="1" x14ac:dyDescent="0.3"/>
    <row r="1994" ht="15" customHeight="1" x14ac:dyDescent="0.3"/>
    <row r="1995" ht="15" customHeight="1" x14ac:dyDescent="0.3"/>
    <row r="1996" ht="15" customHeight="1" x14ac:dyDescent="0.3"/>
    <row r="1997" ht="15" customHeight="1" x14ac:dyDescent="0.3"/>
    <row r="1998" ht="15" customHeight="1" x14ac:dyDescent="0.3"/>
    <row r="1999" ht="15" customHeight="1" x14ac:dyDescent="0.3"/>
    <row r="2000" ht="15" customHeight="1" x14ac:dyDescent="0.3"/>
    <row r="2001" ht="15" customHeight="1" x14ac:dyDescent="0.3"/>
    <row r="2002" ht="15" customHeight="1" x14ac:dyDescent="0.3"/>
    <row r="2003" ht="15" customHeight="1" x14ac:dyDescent="0.3"/>
    <row r="2004" ht="15" customHeight="1" x14ac:dyDescent="0.3"/>
    <row r="2005" ht="15" customHeight="1" x14ac:dyDescent="0.3"/>
    <row r="2006" ht="15" customHeight="1" x14ac:dyDescent="0.3"/>
    <row r="2007" ht="15" customHeight="1" x14ac:dyDescent="0.3"/>
    <row r="2008" ht="15" customHeight="1" x14ac:dyDescent="0.3"/>
    <row r="2009" ht="15" customHeight="1" x14ac:dyDescent="0.3"/>
    <row r="2010" ht="15" customHeight="1" x14ac:dyDescent="0.3"/>
    <row r="2011" ht="15" customHeight="1" x14ac:dyDescent="0.3"/>
    <row r="2012" ht="15" customHeight="1" x14ac:dyDescent="0.3"/>
    <row r="2013" ht="15" customHeight="1" x14ac:dyDescent="0.3"/>
    <row r="2014" ht="15" customHeight="1" x14ac:dyDescent="0.3"/>
    <row r="2015" ht="15" customHeight="1" x14ac:dyDescent="0.3"/>
    <row r="2016" ht="15" customHeight="1" x14ac:dyDescent="0.3"/>
    <row r="2017" ht="15" customHeight="1" x14ac:dyDescent="0.3"/>
    <row r="2018" ht="15" customHeight="1" x14ac:dyDescent="0.3"/>
    <row r="2019" ht="15" customHeight="1" x14ac:dyDescent="0.3"/>
    <row r="2020" ht="15" customHeight="1" x14ac:dyDescent="0.3"/>
    <row r="2021" ht="15" customHeight="1" x14ac:dyDescent="0.3"/>
    <row r="2022" ht="15" customHeight="1" x14ac:dyDescent="0.3"/>
    <row r="2023" ht="15" customHeight="1" x14ac:dyDescent="0.3"/>
    <row r="2024" ht="15" customHeight="1" x14ac:dyDescent="0.3"/>
    <row r="2025" ht="15" customHeight="1" x14ac:dyDescent="0.3"/>
    <row r="2026" ht="15" customHeight="1" x14ac:dyDescent="0.3"/>
    <row r="2027" ht="15" customHeight="1" x14ac:dyDescent="0.3"/>
    <row r="2028" ht="15" customHeight="1" x14ac:dyDescent="0.3"/>
    <row r="2029" ht="15" customHeight="1" x14ac:dyDescent="0.3"/>
    <row r="2030" ht="15" customHeight="1" x14ac:dyDescent="0.3"/>
    <row r="2031" ht="15" customHeight="1" x14ac:dyDescent="0.3"/>
    <row r="2032" ht="15" customHeight="1" x14ac:dyDescent="0.3"/>
    <row r="2033" ht="15" customHeight="1" x14ac:dyDescent="0.3"/>
    <row r="2034" ht="15" customHeight="1" x14ac:dyDescent="0.3"/>
    <row r="2035" ht="15" customHeight="1" x14ac:dyDescent="0.3"/>
    <row r="2036" ht="15" customHeight="1" x14ac:dyDescent="0.3"/>
    <row r="2037" ht="15" customHeight="1" x14ac:dyDescent="0.3"/>
    <row r="2038" ht="15" customHeight="1" x14ac:dyDescent="0.3"/>
    <row r="2039" ht="15" customHeight="1" x14ac:dyDescent="0.3"/>
    <row r="2040" ht="15" customHeight="1" x14ac:dyDescent="0.3"/>
    <row r="2041" ht="15" customHeight="1" x14ac:dyDescent="0.3"/>
    <row r="2042" ht="15" customHeight="1" x14ac:dyDescent="0.3"/>
    <row r="2043" ht="15" customHeight="1" x14ac:dyDescent="0.3"/>
    <row r="2044" ht="15" customHeight="1" x14ac:dyDescent="0.3"/>
    <row r="2045" ht="15" customHeight="1" x14ac:dyDescent="0.3"/>
    <row r="2046" ht="15" customHeight="1" x14ac:dyDescent="0.3"/>
    <row r="2047" ht="15" customHeight="1" x14ac:dyDescent="0.3"/>
    <row r="2048" ht="15" customHeight="1" x14ac:dyDescent="0.3"/>
    <row r="2049" ht="15" customHeight="1" x14ac:dyDescent="0.3"/>
    <row r="2050" ht="15" customHeight="1" x14ac:dyDescent="0.3"/>
    <row r="2051" ht="15" customHeight="1" x14ac:dyDescent="0.3"/>
    <row r="2052" ht="15" customHeight="1" x14ac:dyDescent="0.3"/>
    <row r="2053" ht="15" customHeight="1" x14ac:dyDescent="0.3"/>
    <row r="2054" ht="15" customHeight="1" x14ac:dyDescent="0.3"/>
    <row r="2055" ht="15" customHeight="1" x14ac:dyDescent="0.3"/>
    <row r="2056" ht="15" customHeight="1" x14ac:dyDescent="0.3"/>
    <row r="2057" ht="15" customHeight="1" x14ac:dyDescent="0.3"/>
    <row r="2058" ht="15" customHeight="1" x14ac:dyDescent="0.3"/>
    <row r="2059" ht="15" customHeight="1" x14ac:dyDescent="0.3"/>
    <row r="2060" ht="15" customHeight="1" x14ac:dyDescent="0.3"/>
    <row r="2061" ht="15" customHeight="1" x14ac:dyDescent="0.3"/>
    <row r="2062" ht="15" customHeight="1" x14ac:dyDescent="0.3"/>
    <row r="2063" ht="15" customHeight="1" x14ac:dyDescent="0.3"/>
    <row r="2064" ht="15" customHeight="1" x14ac:dyDescent="0.3"/>
    <row r="2065" ht="15" customHeight="1" x14ac:dyDescent="0.3"/>
    <row r="2066" ht="15" customHeight="1" x14ac:dyDescent="0.3"/>
    <row r="2067" ht="15" customHeight="1" x14ac:dyDescent="0.3"/>
    <row r="2068" ht="15" customHeight="1" x14ac:dyDescent="0.3"/>
    <row r="2069" ht="15" customHeight="1" x14ac:dyDescent="0.3"/>
    <row r="2070" ht="15" customHeight="1" x14ac:dyDescent="0.3"/>
    <row r="2071" ht="15" customHeight="1" x14ac:dyDescent="0.3"/>
    <row r="2072" ht="15" customHeight="1" x14ac:dyDescent="0.3"/>
    <row r="2073" ht="15" customHeight="1" x14ac:dyDescent="0.3"/>
    <row r="2074" ht="15" customHeight="1" x14ac:dyDescent="0.3"/>
    <row r="2075" ht="15" customHeight="1" x14ac:dyDescent="0.3"/>
    <row r="2076" ht="15" customHeight="1" x14ac:dyDescent="0.3"/>
    <row r="2077" ht="15" customHeight="1" x14ac:dyDescent="0.3"/>
    <row r="2078" ht="15" customHeight="1" x14ac:dyDescent="0.3"/>
    <row r="2079" ht="15" customHeight="1" x14ac:dyDescent="0.3"/>
    <row r="2080" ht="15" customHeight="1" x14ac:dyDescent="0.3"/>
    <row r="2081" ht="15" customHeight="1" x14ac:dyDescent="0.3"/>
    <row r="2082" ht="15" customHeight="1" x14ac:dyDescent="0.3"/>
    <row r="2083" ht="15" customHeight="1" x14ac:dyDescent="0.3"/>
    <row r="2084" ht="15" customHeight="1" x14ac:dyDescent="0.3"/>
    <row r="2085" ht="15" customHeight="1" x14ac:dyDescent="0.3"/>
    <row r="2086" ht="15" customHeight="1" x14ac:dyDescent="0.3"/>
    <row r="2087" ht="15" customHeight="1" x14ac:dyDescent="0.3"/>
    <row r="2088" ht="15" customHeight="1" x14ac:dyDescent="0.3"/>
    <row r="2089" ht="15" customHeight="1" x14ac:dyDescent="0.3"/>
    <row r="2090" ht="15" customHeight="1" x14ac:dyDescent="0.3"/>
    <row r="2091" ht="15" customHeight="1" x14ac:dyDescent="0.3"/>
    <row r="2092" ht="15" customHeight="1" x14ac:dyDescent="0.3"/>
    <row r="2093" ht="15" customHeight="1" x14ac:dyDescent="0.3"/>
    <row r="2094" ht="15" customHeight="1" x14ac:dyDescent="0.3"/>
    <row r="2095" ht="15" customHeight="1" x14ac:dyDescent="0.3"/>
    <row r="2096" ht="15" customHeight="1" x14ac:dyDescent="0.3"/>
    <row r="2097" ht="15" customHeight="1" x14ac:dyDescent="0.3"/>
    <row r="2098" ht="15" customHeight="1" x14ac:dyDescent="0.3"/>
    <row r="2099" ht="15" customHeight="1" x14ac:dyDescent="0.3"/>
    <row r="2100" ht="15" customHeight="1" x14ac:dyDescent="0.3"/>
    <row r="2101" ht="15" customHeight="1" x14ac:dyDescent="0.3"/>
    <row r="2102" ht="15" customHeight="1" x14ac:dyDescent="0.3"/>
    <row r="2103" ht="15" customHeight="1" x14ac:dyDescent="0.3"/>
    <row r="2104" ht="15" customHeight="1" x14ac:dyDescent="0.3"/>
    <row r="2105" ht="15" customHeight="1" x14ac:dyDescent="0.3"/>
    <row r="2106" ht="15" customHeight="1" x14ac:dyDescent="0.3"/>
    <row r="2107" ht="15" customHeight="1" x14ac:dyDescent="0.3"/>
    <row r="2108" ht="15" customHeight="1" x14ac:dyDescent="0.3"/>
    <row r="2109" ht="15" customHeight="1" x14ac:dyDescent="0.3"/>
    <row r="2110" ht="15" customHeight="1" x14ac:dyDescent="0.3"/>
    <row r="2111" ht="15" customHeight="1" x14ac:dyDescent="0.3"/>
    <row r="2112" ht="15" customHeight="1" x14ac:dyDescent="0.3"/>
    <row r="2113" ht="15" customHeight="1" x14ac:dyDescent="0.3"/>
    <row r="2114" ht="15" customHeight="1" x14ac:dyDescent="0.3"/>
    <row r="2115" ht="15" customHeight="1" x14ac:dyDescent="0.3"/>
    <row r="2116" ht="15" customHeight="1" x14ac:dyDescent="0.3"/>
    <row r="2117" ht="15" customHeight="1" x14ac:dyDescent="0.3"/>
    <row r="2118" ht="15" customHeight="1" x14ac:dyDescent="0.3"/>
    <row r="2119" ht="15" customHeight="1" x14ac:dyDescent="0.3"/>
    <row r="2120" ht="15" customHeight="1" x14ac:dyDescent="0.3"/>
    <row r="2121" ht="15" customHeight="1" x14ac:dyDescent="0.3"/>
    <row r="2122" ht="15" customHeight="1" x14ac:dyDescent="0.3"/>
    <row r="2123" ht="15" customHeight="1" x14ac:dyDescent="0.3"/>
    <row r="2124" ht="15" customHeight="1" x14ac:dyDescent="0.3"/>
    <row r="2125" ht="15" customHeight="1" x14ac:dyDescent="0.3"/>
    <row r="2126" ht="15" customHeight="1" x14ac:dyDescent="0.3"/>
    <row r="2127" ht="15" customHeight="1" x14ac:dyDescent="0.3"/>
    <row r="2128" ht="15" customHeight="1" x14ac:dyDescent="0.3"/>
    <row r="2129" ht="15" customHeight="1" x14ac:dyDescent="0.3"/>
    <row r="2130" ht="15" customHeight="1" x14ac:dyDescent="0.3"/>
    <row r="2131" ht="15" customHeight="1" x14ac:dyDescent="0.3"/>
    <row r="2132" ht="15" customHeight="1" x14ac:dyDescent="0.3"/>
    <row r="2133" ht="15" customHeight="1" x14ac:dyDescent="0.3"/>
    <row r="2134" ht="15" customHeight="1" x14ac:dyDescent="0.3"/>
    <row r="2135" ht="15" customHeight="1" x14ac:dyDescent="0.3"/>
    <row r="2136" ht="15" customHeight="1" x14ac:dyDescent="0.3"/>
    <row r="2137" ht="15" customHeight="1" x14ac:dyDescent="0.3"/>
    <row r="2138" ht="15" customHeight="1" x14ac:dyDescent="0.3"/>
    <row r="2139" ht="15" customHeight="1" x14ac:dyDescent="0.3"/>
    <row r="2140" ht="15" customHeight="1" x14ac:dyDescent="0.3"/>
    <row r="2141" ht="15" customHeight="1" x14ac:dyDescent="0.3"/>
    <row r="2142" ht="15" customHeight="1" x14ac:dyDescent="0.3"/>
    <row r="2143" ht="15" customHeight="1" x14ac:dyDescent="0.3"/>
    <row r="2144" ht="15" customHeight="1" x14ac:dyDescent="0.3"/>
    <row r="2145" ht="15" customHeight="1" x14ac:dyDescent="0.3"/>
    <row r="2146" ht="15" customHeight="1" x14ac:dyDescent="0.3"/>
    <row r="2147" ht="15" customHeight="1" x14ac:dyDescent="0.3"/>
    <row r="2148" ht="15" customHeight="1" x14ac:dyDescent="0.3"/>
    <row r="2149" ht="15" customHeight="1" x14ac:dyDescent="0.3"/>
    <row r="2150" ht="15" customHeight="1" x14ac:dyDescent="0.3"/>
    <row r="2151" ht="15" customHeight="1" x14ac:dyDescent="0.3"/>
    <row r="2152" ht="15" customHeight="1" x14ac:dyDescent="0.3"/>
    <row r="2153" ht="15" customHeight="1" x14ac:dyDescent="0.3"/>
    <row r="2154" ht="15" customHeight="1" x14ac:dyDescent="0.3"/>
    <row r="2155" ht="15" customHeight="1" x14ac:dyDescent="0.3"/>
    <row r="2156" ht="15" customHeight="1" x14ac:dyDescent="0.3"/>
    <row r="2157" ht="15" customHeight="1" x14ac:dyDescent="0.3"/>
    <row r="2158" ht="15" customHeight="1" x14ac:dyDescent="0.3"/>
    <row r="2159" ht="15" customHeight="1" x14ac:dyDescent="0.3"/>
    <row r="2160" ht="15" customHeight="1" x14ac:dyDescent="0.3"/>
    <row r="2161" ht="15" customHeight="1" x14ac:dyDescent="0.3"/>
    <row r="2162" ht="15" customHeight="1" x14ac:dyDescent="0.3"/>
    <row r="2163" ht="15" customHeight="1" x14ac:dyDescent="0.3"/>
    <row r="2164" ht="15" customHeight="1" x14ac:dyDescent="0.3"/>
    <row r="2165" ht="15" customHeight="1" x14ac:dyDescent="0.3"/>
    <row r="2166" ht="15" customHeight="1" x14ac:dyDescent="0.3"/>
    <row r="2167" ht="15" customHeight="1" x14ac:dyDescent="0.3"/>
    <row r="2168" ht="15" customHeight="1" x14ac:dyDescent="0.3"/>
    <row r="2169" ht="15" customHeight="1" x14ac:dyDescent="0.3"/>
    <row r="2170" ht="15" customHeight="1" x14ac:dyDescent="0.3"/>
    <row r="2171" ht="15" customHeight="1" x14ac:dyDescent="0.3"/>
    <row r="2172" ht="15" customHeight="1" x14ac:dyDescent="0.3"/>
    <row r="2173" ht="15" customHeight="1" x14ac:dyDescent="0.3"/>
    <row r="2174" ht="15" customHeight="1" x14ac:dyDescent="0.3"/>
    <row r="2175" ht="15" customHeight="1" x14ac:dyDescent="0.3"/>
    <row r="2176" ht="15" customHeight="1" x14ac:dyDescent="0.3"/>
    <row r="2177" ht="15" customHeight="1" x14ac:dyDescent="0.3"/>
    <row r="2178" ht="15" customHeight="1" x14ac:dyDescent="0.3"/>
    <row r="2179" ht="15" customHeight="1" x14ac:dyDescent="0.3"/>
    <row r="2180" ht="15" customHeight="1" x14ac:dyDescent="0.3"/>
    <row r="2181" ht="15" customHeight="1" x14ac:dyDescent="0.3"/>
    <row r="2182" ht="15" customHeight="1" x14ac:dyDescent="0.3"/>
    <row r="2183" ht="15" customHeight="1" x14ac:dyDescent="0.3"/>
    <row r="2184" ht="15" customHeight="1" x14ac:dyDescent="0.3"/>
    <row r="2185" ht="15" customHeight="1" x14ac:dyDescent="0.3"/>
    <row r="2186" ht="15" customHeight="1" x14ac:dyDescent="0.3"/>
    <row r="2187" ht="15" customHeight="1" x14ac:dyDescent="0.3"/>
    <row r="2188" ht="15" customHeight="1" x14ac:dyDescent="0.3"/>
    <row r="2189" ht="15" customHeight="1" x14ac:dyDescent="0.3"/>
    <row r="2190" ht="15" customHeight="1" x14ac:dyDescent="0.3"/>
    <row r="2191" ht="15" customHeight="1" x14ac:dyDescent="0.3"/>
    <row r="2192" ht="15" customHeight="1" x14ac:dyDescent="0.3"/>
    <row r="2193" ht="15" customHeight="1" x14ac:dyDescent="0.3"/>
    <row r="2194" ht="15" customHeight="1" x14ac:dyDescent="0.3"/>
    <row r="2195" ht="15" customHeight="1" x14ac:dyDescent="0.3"/>
    <row r="2196" ht="15" customHeight="1" x14ac:dyDescent="0.3"/>
    <row r="2197" ht="15" customHeight="1" x14ac:dyDescent="0.3"/>
    <row r="2198" ht="15" customHeight="1" x14ac:dyDescent="0.3"/>
    <row r="2199" ht="15" customHeight="1" x14ac:dyDescent="0.3"/>
    <row r="2200" ht="15" customHeight="1" x14ac:dyDescent="0.3"/>
    <row r="2201" ht="15" customHeight="1" x14ac:dyDescent="0.3"/>
    <row r="2202" ht="15" customHeight="1" x14ac:dyDescent="0.3"/>
    <row r="2203" ht="15" customHeight="1" x14ac:dyDescent="0.3"/>
    <row r="2204" ht="15" customHeight="1" x14ac:dyDescent="0.3"/>
    <row r="2205" ht="15" customHeight="1" x14ac:dyDescent="0.3"/>
    <row r="2206" ht="15" customHeight="1" x14ac:dyDescent="0.3"/>
    <row r="2207" ht="15" customHeight="1" x14ac:dyDescent="0.3"/>
    <row r="2208" ht="15" customHeight="1" x14ac:dyDescent="0.3"/>
    <row r="2209" ht="15" customHeight="1" x14ac:dyDescent="0.3"/>
    <row r="2210" ht="15" customHeight="1" x14ac:dyDescent="0.3"/>
    <row r="2211" ht="15" customHeight="1" x14ac:dyDescent="0.3"/>
    <row r="2212" ht="15" customHeight="1" x14ac:dyDescent="0.3"/>
    <row r="2213" ht="15" customHeight="1" x14ac:dyDescent="0.3"/>
    <row r="2214" ht="15" customHeight="1" x14ac:dyDescent="0.3"/>
    <row r="2215" ht="15" customHeight="1" x14ac:dyDescent="0.3"/>
    <row r="2216" ht="15" customHeight="1" x14ac:dyDescent="0.3"/>
    <row r="2217" ht="15" customHeight="1" x14ac:dyDescent="0.3"/>
    <row r="2218" ht="15" customHeight="1" x14ac:dyDescent="0.3"/>
    <row r="2219" ht="15" customHeight="1" x14ac:dyDescent="0.3"/>
    <row r="2220" ht="15" customHeight="1" x14ac:dyDescent="0.3"/>
    <row r="2221" ht="15" customHeight="1" x14ac:dyDescent="0.3"/>
    <row r="2222" ht="15" customHeight="1" x14ac:dyDescent="0.3"/>
    <row r="2223" ht="15" customHeight="1" x14ac:dyDescent="0.3"/>
    <row r="2224" ht="15" customHeight="1" x14ac:dyDescent="0.3"/>
    <row r="2225" ht="15" customHeight="1" x14ac:dyDescent="0.3"/>
    <row r="2226" ht="15" customHeight="1" x14ac:dyDescent="0.3"/>
    <row r="2227" ht="15" customHeight="1" x14ac:dyDescent="0.3"/>
    <row r="2228" ht="15" customHeight="1" x14ac:dyDescent="0.3"/>
    <row r="2229" ht="15" customHeight="1" x14ac:dyDescent="0.3"/>
    <row r="2230" ht="15" customHeight="1" x14ac:dyDescent="0.3"/>
    <row r="2231" ht="15" customHeight="1" x14ac:dyDescent="0.3"/>
    <row r="2232" ht="15" customHeight="1" x14ac:dyDescent="0.3"/>
    <row r="2233" ht="15" customHeight="1" x14ac:dyDescent="0.3"/>
    <row r="2234" ht="15" customHeight="1" x14ac:dyDescent="0.3"/>
    <row r="2235" ht="15" customHeight="1" x14ac:dyDescent="0.3"/>
    <row r="2236" ht="15" customHeight="1" x14ac:dyDescent="0.3"/>
    <row r="2237" ht="15" customHeight="1" x14ac:dyDescent="0.3"/>
    <row r="2238" ht="15" customHeight="1" x14ac:dyDescent="0.3"/>
    <row r="2239" ht="15" customHeight="1" x14ac:dyDescent="0.3"/>
    <row r="2240" ht="15" customHeight="1" x14ac:dyDescent="0.3"/>
    <row r="2241" ht="15" customHeight="1" x14ac:dyDescent="0.3"/>
    <row r="2242" ht="15" customHeight="1" x14ac:dyDescent="0.3"/>
    <row r="2243" ht="15" customHeight="1" x14ac:dyDescent="0.3"/>
    <row r="2244" ht="15" customHeight="1" x14ac:dyDescent="0.3"/>
    <row r="2245" ht="15" customHeight="1" x14ac:dyDescent="0.3"/>
    <row r="2246" ht="15" customHeight="1" x14ac:dyDescent="0.3"/>
    <row r="2247" ht="15" customHeight="1" x14ac:dyDescent="0.3"/>
    <row r="2248" ht="15" customHeight="1" x14ac:dyDescent="0.3"/>
    <row r="2249" ht="15" customHeight="1" x14ac:dyDescent="0.3"/>
    <row r="2250" ht="15" customHeight="1" x14ac:dyDescent="0.3"/>
    <row r="2251" ht="15" customHeight="1" x14ac:dyDescent="0.3"/>
    <row r="2252" ht="15" customHeight="1" x14ac:dyDescent="0.3"/>
    <row r="2253" ht="15" customHeight="1" x14ac:dyDescent="0.3"/>
    <row r="2254" ht="15" customHeight="1" x14ac:dyDescent="0.3"/>
    <row r="2255" ht="15" customHeight="1" x14ac:dyDescent="0.3"/>
    <row r="2256" ht="15" customHeight="1" x14ac:dyDescent="0.3"/>
    <row r="2257" ht="15" customHeight="1" x14ac:dyDescent="0.3"/>
    <row r="2258" ht="15" customHeight="1" x14ac:dyDescent="0.3"/>
    <row r="2259" ht="15" customHeight="1" x14ac:dyDescent="0.3"/>
    <row r="2260" ht="15" customHeight="1" x14ac:dyDescent="0.3"/>
    <row r="2261" ht="15" customHeight="1" x14ac:dyDescent="0.3"/>
    <row r="2262" ht="15" customHeight="1" x14ac:dyDescent="0.3"/>
    <row r="2263" ht="15" customHeight="1" x14ac:dyDescent="0.3"/>
    <row r="2264" ht="15" customHeight="1" x14ac:dyDescent="0.3"/>
    <row r="2265" ht="15" customHeight="1" x14ac:dyDescent="0.3"/>
    <row r="2266" ht="15" customHeight="1" x14ac:dyDescent="0.3"/>
    <row r="2267" ht="15" customHeight="1" x14ac:dyDescent="0.3"/>
    <row r="2268" ht="15" customHeight="1" x14ac:dyDescent="0.3"/>
    <row r="2269" ht="15" customHeight="1" x14ac:dyDescent="0.3"/>
    <row r="2270" ht="15" customHeight="1" x14ac:dyDescent="0.3"/>
    <row r="2271" ht="15" customHeight="1" x14ac:dyDescent="0.3"/>
    <row r="2272" ht="15" customHeight="1" x14ac:dyDescent="0.3"/>
    <row r="2273" ht="15" customHeight="1" x14ac:dyDescent="0.3"/>
    <row r="2274" ht="15" customHeight="1" x14ac:dyDescent="0.3"/>
    <row r="2275" ht="15" customHeight="1" x14ac:dyDescent="0.3"/>
    <row r="2276" ht="15" customHeight="1" x14ac:dyDescent="0.3"/>
    <row r="2277" ht="15" customHeight="1" x14ac:dyDescent="0.3"/>
    <row r="2278" ht="15" customHeight="1" x14ac:dyDescent="0.3"/>
    <row r="2279" ht="15" customHeight="1" x14ac:dyDescent="0.3"/>
    <row r="2280" ht="15" customHeight="1" x14ac:dyDescent="0.3"/>
    <row r="2281" ht="15" customHeight="1" x14ac:dyDescent="0.3"/>
    <row r="2282" ht="15" customHeight="1" x14ac:dyDescent="0.3"/>
    <row r="2283" ht="15" customHeight="1" x14ac:dyDescent="0.3"/>
    <row r="2284" ht="15" customHeight="1" x14ac:dyDescent="0.3"/>
    <row r="2285" ht="15" customHeight="1" x14ac:dyDescent="0.3"/>
    <row r="2286" ht="15" customHeight="1" x14ac:dyDescent="0.3"/>
    <row r="2287" ht="15" customHeight="1" x14ac:dyDescent="0.3"/>
    <row r="2288" ht="15" customHeight="1" x14ac:dyDescent="0.3"/>
    <row r="2289" ht="15" customHeight="1" x14ac:dyDescent="0.3"/>
    <row r="2290" ht="15" customHeight="1" x14ac:dyDescent="0.3"/>
    <row r="2291" ht="15" customHeight="1" x14ac:dyDescent="0.3"/>
    <row r="2292" ht="15" customHeight="1" x14ac:dyDescent="0.3"/>
    <row r="2293" ht="15" customHeight="1" x14ac:dyDescent="0.3"/>
    <row r="2294" ht="15" customHeight="1" x14ac:dyDescent="0.3"/>
    <row r="2295" ht="15" customHeight="1" x14ac:dyDescent="0.3"/>
    <row r="2296" ht="15" customHeight="1" x14ac:dyDescent="0.3"/>
    <row r="2297" ht="15" customHeight="1" x14ac:dyDescent="0.3"/>
    <row r="2298" ht="15" customHeight="1" x14ac:dyDescent="0.3"/>
    <row r="2299" ht="15" customHeight="1" x14ac:dyDescent="0.3"/>
    <row r="2300" ht="15" customHeight="1" x14ac:dyDescent="0.3"/>
    <row r="2301" ht="15" customHeight="1" x14ac:dyDescent="0.3"/>
    <row r="2302" ht="15" customHeight="1" x14ac:dyDescent="0.3"/>
    <row r="2303" ht="15" customHeight="1" x14ac:dyDescent="0.3"/>
    <row r="2304" ht="15" customHeight="1" x14ac:dyDescent="0.3"/>
    <row r="2305" ht="15" customHeight="1" x14ac:dyDescent="0.3"/>
    <row r="2306" ht="15" customHeight="1" x14ac:dyDescent="0.3"/>
    <row r="2307" ht="15" customHeight="1" x14ac:dyDescent="0.3"/>
    <row r="2308" ht="15" customHeight="1" x14ac:dyDescent="0.3"/>
    <row r="2309" ht="15" customHeight="1" x14ac:dyDescent="0.3"/>
    <row r="2310" ht="15" customHeight="1" x14ac:dyDescent="0.3"/>
    <row r="2311" ht="15" customHeight="1" x14ac:dyDescent="0.3"/>
    <row r="2312" ht="15" customHeight="1" x14ac:dyDescent="0.3"/>
    <row r="2313" ht="15" customHeight="1" x14ac:dyDescent="0.3"/>
    <row r="2314" ht="15" customHeight="1" x14ac:dyDescent="0.3"/>
    <row r="2315" ht="15" customHeight="1" x14ac:dyDescent="0.3"/>
    <row r="2316" ht="15" customHeight="1" x14ac:dyDescent="0.3"/>
    <row r="2317" ht="15" customHeight="1" x14ac:dyDescent="0.3"/>
    <row r="2318" ht="15" customHeight="1" x14ac:dyDescent="0.3"/>
    <row r="2319" ht="15" customHeight="1" x14ac:dyDescent="0.3"/>
    <row r="2320" ht="15" customHeight="1" x14ac:dyDescent="0.3"/>
    <row r="2321" ht="15" customHeight="1" x14ac:dyDescent="0.3"/>
    <row r="2322" ht="15" customHeight="1" x14ac:dyDescent="0.3"/>
    <row r="2323" ht="15" customHeight="1" x14ac:dyDescent="0.3"/>
    <row r="2324" ht="15" customHeight="1" x14ac:dyDescent="0.3"/>
    <row r="2325" ht="15" customHeight="1" x14ac:dyDescent="0.3"/>
    <row r="2326" ht="15" customHeight="1" x14ac:dyDescent="0.3"/>
    <row r="2327" ht="15" customHeight="1" x14ac:dyDescent="0.3"/>
    <row r="2328" ht="15" customHeight="1" x14ac:dyDescent="0.3"/>
    <row r="2329" ht="15" customHeight="1" x14ac:dyDescent="0.3"/>
    <row r="2330" ht="15" customHeight="1" x14ac:dyDescent="0.3"/>
    <row r="2331" ht="15" customHeight="1" x14ac:dyDescent="0.3"/>
    <row r="2332" ht="15" customHeight="1" x14ac:dyDescent="0.3"/>
    <row r="2333" ht="15" customHeight="1" x14ac:dyDescent="0.3"/>
    <row r="2334" ht="15" customHeight="1" x14ac:dyDescent="0.3"/>
    <row r="2335" ht="15" customHeight="1" x14ac:dyDescent="0.3"/>
    <row r="2336" ht="15" customHeight="1" x14ac:dyDescent="0.3"/>
    <row r="2337" ht="15" customHeight="1" x14ac:dyDescent="0.3"/>
    <row r="2338" ht="15" customHeight="1" x14ac:dyDescent="0.3"/>
    <row r="2339" ht="15" customHeight="1" x14ac:dyDescent="0.3"/>
    <row r="2340" ht="15" customHeight="1" x14ac:dyDescent="0.3"/>
    <row r="2341" ht="15" customHeight="1" x14ac:dyDescent="0.3"/>
    <row r="2342" ht="15" customHeight="1" x14ac:dyDescent="0.3"/>
    <row r="2343" ht="15" customHeight="1" x14ac:dyDescent="0.3"/>
    <row r="2344" ht="15" customHeight="1" x14ac:dyDescent="0.3"/>
    <row r="2345" ht="15" customHeight="1" x14ac:dyDescent="0.3"/>
    <row r="2346" ht="15" customHeight="1" x14ac:dyDescent="0.3"/>
    <row r="2347" ht="15" customHeight="1" x14ac:dyDescent="0.3"/>
    <row r="2348" ht="15" customHeight="1" x14ac:dyDescent="0.3"/>
    <row r="2349" ht="15" customHeight="1" x14ac:dyDescent="0.3"/>
    <row r="2350" ht="15" customHeight="1" x14ac:dyDescent="0.3"/>
    <row r="2351" ht="15" customHeight="1" x14ac:dyDescent="0.3"/>
    <row r="2352" ht="15" customHeight="1" x14ac:dyDescent="0.3"/>
    <row r="2353" ht="15" customHeight="1" x14ac:dyDescent="0.3"/>
    <row r="2354" ht="15" customHeight="1" x14ac:dyDescent="0.3"/>
    <row r="2355" ht="15" customHeight="1" x14ac:dyDescent="0.3"/>
    <row r="2356" ht="15" customHeight="1" x14ac:dyDescent="0.3"/>
    <row r="2357" ht="15" customHeight="1" x14ac:dyDescent="0.3"/>
    <row r="2358" ht="15" customHeight="1" x14ac:dyDescent="0.3"/>
    <row r="2359" ht="15" customHeight="1" x14ac:dyDescent="0.3"/>
    <row r="2360" ht="15" customHeight="1" x14ac:dyDescent="0.3"/>
    <row r="2361" ht="15" customHeight="1" x14ac:dyDescent="0.3"/>
    <row r="2362" ht="15" customHeight="1" x14ac:dyDescent="0.3"/>
    <row r="2363" ht="15" customHeight="1" x14ac:dyDescent="0.3"/>
    <row r="2364" ht="15" customHeight="1" x14ac:dyDescent="0.3"/>
    <row r="2365" ht="15" customHeight="1" x14ac:dyDescent="0.3"/>
    <row r="2366" ht="15" customHeight="1" x14ac:dyDescent="0.3"/>
    <row r="2367" ht="15" customHeight="1" x14ac:dyDescent="0.3"/>
    <row r="2368" ht="15" customHeight="1" x14ac:dyDescent="0.3"/>
    <row r="2369" ht="15" customHeight="1" x14ac:dyDescent="0.3"/>
    <row r="2370" ht="15" customHeight="1" x14ac:dyDescent="0.3"/>
    <row r="2371" ht="15" customHeight="1" x14ac:dyDescent="0.3"/>
    <row r="2372" ht="15" customHeight="1" x14ac:dyDescent="0.3"/>
    <row r="2373" ht="15" customHeight="1" x14ac:dyDescent="0.3"/>
    <row r="2374" ht="15" customHeight="1" x14ac:dyDescent="0.3"/>
    <row r="2375" ht="15" customHeight="1" x14ac:dyDescent="0.3"/>
    <row r="2376" ht="15" customHeight="1" x14ac:dyDescent="0.3"/>
    <row r="2377" ht="15" customHeight="1" x14ac:dyDescent="0.3"/>
    <row r="2378" ht="15" customHeight="1" x14ac:dyDescent="0.3"/>
    <row r="2379" ht="15" customHeight="1" x14ac:dyDescent="0.3"/>
    <row r="2380" ht="15" customHeight="1" x14ac:dyDescent="0.3"/>
    <row r="2381" ht="15" customHeight="1" x14ac:dyDescent="0.3"/>
    <row r="2382" ht="15" customHeight="1" x14ac:dyDescent="0.3"/>
    <row r="2383" ht="15" customHeight="1" x14ac:dyDescent="0.3"/>
    <row r="2384" ht="15" customHeight="1" x14ac:dyDescent="0.3"/>
    <row r="2385" ht="15" customHeight="1" x14ac:dyDescent="0.3"/>
    <row r="2386" ht="15" customHeight="1" x14ac:dyDescent="0.3"/>
    <row r="2387" ht="15" customHeight="1" x14ac:dyDescent="0.3"/>
    <row r="2388" ht="15" customHeight="1" x14ac:dyDescent="0.3"/>
    <row r="2389" ht="15" customHeight="1" x14ac:dyDescent="0.3"/>
    <row r="2390" ht="15" customHeight="1" x14ac:dyDescent="0.3"/>
    <row r="2391" ht="15" customHeight="1" x14ac:dyDescent="0.3"/>
    <row r="2392" ht="15" customHeight="1" x14ac:dyDescent="0.3"/>
    <row r="2393" ht="15" customHeight="1" x14ac:dyDescent="0.3"/>
    <row r="2394" ht="15" customHeight="1" x14ac:dyDescent="0.3"/>
    <row r="2395" ht="15" customHeight="1" x14ac:dyDescent="0.3"/>
    <row r="2396" ht="15" customHeight="1" x14ac:dyDescent="0.3"/>
    <row r="2397" ht="15" customHeight="1" x14ac:dyDescent="0.3"/>
    <row r="2398" ht="15" customHeight="1" x14ac:dyDescent="0.3"/>
    <row r="2399" ht="15" customHeight="1" x14ac:dyDescent="0.3"/>
    <row r="2400" ht="15" customHeight="1" x14ac:dyDescent="0.3"/>
    <row r="2401" ht="15" customHeight="1" x14ac:dyDescent="0.3"/>
    <row r="2402" ht="15" customHeight="1" x14ac:dyDescent="0.3"/>
    <row r="2403" ht="15" customHeight="1" x14ac:dyDescent="0.3"/>
    <row r="2404" ht="15" customHeight="1" x14ac:dyDescent="0.3"/>
    <row r="2405" ht="15" customHeight="1" x14ac:dyDescent="0.3"/>
    <row r="2406" ht="15" customHeight="1" x14ac:dyDescent="0.3"/>
    <row r="2407" ht="15" customHeight="1" x14ac:dyDescent="0.3"/>
    <row r="2408" ht="15" customHeight="1" x14ac:dyDescent="0.3"/>
    <row r="2409" ht="15" customHeight="1" x14ac:dyDescent="0.3"/>
    <row r="2410" ht="15" customHeight="1" x14ac:dyDescent="0.3"/>
    <row r="2411" ht="15" customHeight="1" x14ac:dyDescent="0.3"/>
    <row r="2412" ht="15" customHeight="1" x14ac:dyDescent="0.3"/>
    <row r="2413" ht="15" customHeight="1" x14ac:dyDescent="0.3"/>
    <row r="2414" ht="15" customHeight="1" x14ac:dyDescent="0.3"/>
    <row r="2415" ht="15" customHeight="1" x14ac:dyDescent="0.3"/>
    <row r="2416" ht="15" customHeight="1" x14ac:dyDescent="0.3"/>
    <row r="2417" ht="15" customHeight="1" x14ac:dyDescent="0.3"/>
    <row r="2418" ht="15" customHeight="1" x14ac:dyDescent="0.3"/>
    <row r="2419" ht="15" customHeight="1" x14ac:dyDescent="0.3"/>
    <row r="2420" ht="15" customHeight="1" x14ac:dyDescent="0.3"/>
    <row r="2421" ht="15" customHeight="1" x14ac:dyDescent="0.3"/>
    <row r="2422" ht="15" customHeight="1" x14ac:dyDescent="0.3"/>
    <row r="2423" ht="15" customHeight="1" x14ac:dyDescent="0.3"/>
    <row r="2424" ht="15" customHeight="1" x14ac:dyDescent="0.3"/>
    <row r="2425" ht="15" customHeight="1" x14ac:dyDescent="0.3"/>
    <row r="2426" ht="15" customHeight="1" x14ac:dyDescent="0.3"/>
    <row r="2427" ht="15" customHeight="1" x14ac:dyDescent="0.3"/>
    <row r="2428" ht="15" customHeight="1" x14ac:dyDescent="0.3"/>
    <row r="2429" ht="15" customHeight="1" x14ac:dyDescent="0.3"/>
    <row r="2430" ht="15" customHeight="1" x14ac:dyDescent="0.3"/>
    <row r="2431" ht="15" customHeight="1" x14ac:dyDescent="0.3"/>
    <row r="2432" ht="15" customHeight="1" x14ac:dyDescent="0.3"/>
    <row r="2433" ht="15" customHeight="1" x14ac:dyDescent="0.3"/>
    <row r="2434" ht="15" customHeight="1" x14ac:dyDescent="0.3"/>
    <row r="2435" ht="15" customHeight="1" x14ac:dyDescent="0.3"/>
    <row r="2436" ht="15" customHeight="1" x14ac:dyDescent="0.3"/>
    <row r="2437" ht="15" customHeight="1" x14ac:dyDescent="0.3"/>
    <row r="2438" ht="15" customHeight="1" x14ac:dyDescent="0.3"/>
    <row r="2439" ht="15" customHeight="1" x14ac:dyDescent="0.3"/>
    <row r="2440" ht="15" customHeight="1" x14ac:dyDescent="0.3"/>
    <row r="2441" ht="15" customHeight="1" x14ac:dyDescent="0.3"/>
    <row r="2442" ht="15" customHeight="1" x14ac:dyDescent="0.3"/>
    <row r="2443" ht="15" customHeight="1" x14ac:dyDescent="0.3"/>
    <row r="2444" ht="15" customHeight="1" x14ac:dyDescent="0.3"/>
    <row r="2445" ht="15" customHeight="1" x14ac:dyDescent="0.3"/>
    <row r="2446" ht="15" customHeight="1" x14ac:dyDescent="0.3"/>
    <row r="2447" ht="15" customHeight="1" x14ac:dyDescent="0.3"/>
    <row r="2448" ht="15" customHeight="1" x14ac:dyDescent="0.3"/>
    <row r="2449" ht="15" customHeight="1" x14ac:dyDescent="0.3"/>
    <row r="2450" ht="15" customHeight="1" x14ac:dyDescent="0.3"/>
    <row r="2451" ht="15" customHeight="1" x14ac:dyDescent="0.3"/>
    <row r="2452" ht="15" customHeight="1" x14ac:dyDescent="0.3"/>
    <row r="2453" ht="15" customHeight="1" x14ac:dyDescent="0.3"/>
    <row r="2454" ht="15" customHeight="1" x14ac:dyDescent="0.3"/>
    <row r="2455" ht="15" customHeight="1" x14ac:dyDescent="0.3"/>
    <row r="2456" ht="15" customHeight="1" x14ac:dyDescent="0.3"/>
    <row r="2457" ht="15" customHeight="1" x14ac:dyDescent="0.3"/>
    <row r="2458" ht="15" customHeight="1" x14ac:dyDescent="0.3"/>
    <row r="2459" ht="15" customHeight="1" x14ac:dyDescent="0.3"/>
    <row r="2460" ht="15" customHeight="1" x14ac:dyDescent="0.3"/>
    <row r="2461" ht="15" customHeight="1" x14ac:dyDescent="0.3"/>
    <row r="2462" ht="15" customHeight="1" x14ac:dyDescent="0.3"/>
    <row r="2463" ht="15" customHeight="1" x14ac:dyDescent="0.3"/>
    <row r="2464" ht="15" customHeight="1" x14ac:dyDescent="0.3"/>
    <row r="2465" ht="15" customHeight="1" x14ac:dyDescent="0.3"/>
    <row r="2466" ht="15" customHeight="1" x14ac:dyDescent="0.3"/>
    <row r="2467" ht="15" customHeight="1" x14ac:dyDescent="0.3"/>
    <row r="2468" ht="15" customHeight="1" x14ac:dyDescent="0.3"/>
    <row r="2469" ht="15" customHeight="1" x14ac:dyDescent="0.3"/>
    <row r="2470" ht="15" customHeight="1" x14ac:dyDescent="0.3"/>
    <row r="2471" ht="15" customHeight="1" x14ac:dyDescent="0.3"/>
    <row r="2472" ht="15" customHeight="1" x14ac:dyDescent="0.3"/>
    <row r="2473" ht="15" customHeight="1" x14ac:dyDescent="0.3"/>
    <row r="2474" ht="15" customHeight="1" x14ac:dyDescent="0.3"/>
    <row r="2475" ht="15" customHeight="1" x14ac:dyDescent="0.3"/>
    <row r="2476" ht="15" customHeight="1" x14ac:dyDescent="0.3"/>
    <row r="2477" ht="15" customHeight="1" x14ac:dyDescent="0.3"/>
    <row r="2478" ht="15" customHeight="1" x14ac:dyDescent="0.3"/>
    <row r="2479" ht="15" customHeight="1" x14ac:dyDescent="0.3"/>
    <row r="2480" ht="15" customHeight="1" x14ac:dyDescent="0.3"/>
    <row r="2481" ht="15" customHeight="1" x14ac:dyDescent="0.3"/>
    <row r="2482" ht="15" customHeight="1" x14ac:dyDescent="0.3"/>
    <row r="2483" ht="15" customHeight="1" x14ac:dyDescent="0.3"/>
    <row r="2484" ht="15" customHeight="1" x14ac:dyDescent="0.3"/>
    <row r="2485" ht="15" customHeight="1" x14ac:dyDescent="0.3"/>
    <row r="2486" ht="15" customHeight="1" x14ac:dyDescent="0.3"/>
    <row r="2487" ht="15" customHeight="1" x14ac:dyDescent="0.3"/>
    <row r="2488" ht="15" customHeight="1" x14ac:dyDescent="0.3"/>
    <row r="2489" ht="15" customHeight="1" x14ac:dyDescent="0.3"/>
    <row r="2490" ht="15" customHeight="1" x14ac:dyDescent="0.3"/>
    <row r="2491" ht="15" customHeight="1" x14ac:dyDescent="0.3"/>
    <row r="2492" ht="15" customHeight="1" x14ac:dyDescent="0.3"/>
    <row r="2493" ht="15" customHeight="1" x14ac:dyDescent="0.3"/>
    <row r="2494" ht="15" customHeight="1" x14ac:dyDescent="0.3"/>
    <row r="2495" ht="15" customHeight="1" x14ac:dyDescent="0.3"/>
    <row r="2496" ht="15" customHeight="1" x14ac:dyDescent="0.3"/>
    <row r="2497" ht="15" customHeight="1" x14ac:dyDescent="0.3"/>
    <row r="2498" ht="15" customHeight="1" x14ac:dyDescent="0.3"/>
    <row r="2499" ht="15" customHeight="1" x14ac:dyDescent="0.3"/>
    <row r="2500" ht="15" customHeight="1" x14ac:dyDescent="0.3"/>
    <row r="2501" ht="15" customHeight="1" x14ac:dyDescent="0.3"/>
    <row r="2502" ht="15" customHeight="1" x14ac:dyDescent="0.3"/>
    <row r="2503" ht="15" customHeight="1" x14ac:dyDescent="0.3"/>
    <row r="2504" ht="15" customHeight="1" x14ac:dyDescent="0.3"/>
    <row r="2505" ht="15" customHeight="1" x14ac:dyDescent="0.3"/>
    <row r="2506" ht="15" customHeight="1" x14ac:dyDescent="0.3"/>
    <row r="2507" ht="15" customHeight="1" x14ac:dyDescent="0.3"/>
    <row r="2508" ht="15" customHeight="1" x14ac:dyDescent="0.3"/>
    <row r="2509" ht="15" customHeight="1" x14ac:dyDescent="0.3"/>
    <row r="2510" ht="15" customHeight="1" x14ac:dyDescent="0.3"/>
    <row r="2511" ht="15" customHeight="1" x14ac:dyDescent="0.3"/>
    <row r="2512" ht="15" customHeight="1" x14ac:dyDescent="0.3"/>
    <row r="2513" ht="15" customHeight="1" x14ac:dyDescent="0.3"/>
    <row r="2514" ht="15" customHeight="1" x14ac:dyDescent="0.3"/>
    <row r="2515" ht="15" customHeight="1" x14ac:dyDescent="0.3"/>
    <row r="2516" ht="15" customHeight="1" x14ac:dyDescent="0.3"/>
    <row r="2517" ht="15" customHeight="1" x14ac:dyDescent="0.3"/>
    <row r="2518" ht="15" customHeight="1" x14ac:dyDescent="0.3"/>
    <row r="2519" ht="15" customHeight="1" x14ac:dyDescent="0.3"/>
    <row r="2520" ht="15" customHeight="1" x14ac:dyDescent="0.3"/>
    <row r="2521" ht="15" customHeight="1" x14ac:dyDescent="0.3"/>
    <row r="2522" ht="15" customHeight="1" x14ac:dyDescent="0.3"/>
    <row r="2523" ht="15" customHeight="1" x14ac:dyDescent="0.3"/>
    <row r="2524" ht="15" customHeight="1" x14ac:dyDescent="0.3"/>
    <row r="2525" ht="15" customHeight="1" x14ac:dyDescent="0.3"/>
    <row r="2526" ht="15" customHeight="1" x14ac:dyDescent="0.3"/>
    <row r="2527" ht="15" customHeight="1" x14ac:dyDescent="0.3"/>
    <row r="2528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  <row r="2536" ht="15" customHeight="1" x14ac:dyDescent="0.3"/>
    <row r="2537" ht="15" customHeight="1" x14ac:dyDescent="0.3"/>
    <row r="2538" ht="15" customHeight="1" x14ac:dyDescent="0.3"/>
    <row r="2539" ht="15" customHeight="1" x14ac:dyDescent="0.3"/>
    <row r="2540" ht="15" customHeight="1" x14ac:dyDescent="0.3"/>
    <row r="2541" ht="15" customHeight="1" x14ac:dyDescent="0.3"/>
    <row r="2542" ht="15" customHeight="1" x14ac:dyDescent="0.3"/>
    <row r="2543" ht="15" customHeight="1" x14ac:dyDescent="0.3"/>
    <row r="2544" ht="15" customHeight="1" x14ac:dyDescent="0.3"/>
    <row r="2545" ht="15" customHeight="1" x14ac:dyDescent="0.3"/>
    <row r="2546" ht="15" customHeight="1" x14ac:dyDescent="0.3"/>
    <row r="2547" ht="15" customHeight="1" x14ac:dyDescent="0.3"/>
    <row r="2548" ht="15" customHeight="1" x14ac:dyDescent="0.3"/>
    <row r="2549" ht="15" customHeight="1" x14ac:dyDescent="0.3"/>
    <row r="2550" ht="15" customHeight="1" x14ac:dyDescent="0.3"/>
    <row r="2551" ht="15" customHeight="1" x14ac:dyDescent="0.3"/>
    <row r="2552" ht="15" customHeight="1" x14ac:dyDescent="0.3"/>
    <row r="2553" ht="15" customHeight="1" x14ac:dyDescent="0.3"/>
    <row r="2554" ht="15" customHeight="1" x14ac:dyDescent="0.3"/>
    <row r="2555" ht="15" customHeight="1" x14ac:dyDescent="0.3"/>
    <row r="2556" ht="15" customHeight="1" x14ac:dyDescent="0.3"/>
    <row r="2557" ht="15" customHeight="1" x14ac:dyDescent="0.3"/>
    <row r="2558" ht="15" customHeight="1" x14ac:dyDescent="0.3"/>
    <row r="2559" ht="15" customHeight="1" x14ac:dyDescent="0.3"/>
    <row r="2560" ht="15" customHeight="1" x14ac:dyDescent="0.3"/>
    <row r="2561" ht="15" customHeight="1" x14ac:dyDescent="0.3"/>
    <row r="2562" ht="15" customHeight="1" x14ac:dyDescent="0.3"/>
    <row r="2563" ht="15" customHeight="1" x14ac:dyDescent="0.3"/>
    <row r="2564" ht="15" customHeight="1" x14ac:dyDescent="0.3"/>
    <row r="2565" ht="15" customHeight="1" x14ac:dyDescent="0.3"/>
    <row r="2566" ht="15" customHeight="1" x14ac:dyDescent="0.3"/>
    <row r="2567" ht="15" customHeight="1" x14ac:dyDescent="0.3"/>
    <row r="2568" ht="15" customHeight="1" x14ac:dyDescent="0.3"/>
    <row r="2569" ht="15" customHeight="1" x14ac:dyDescent="0.3"/>
    <row r="2570" ht="15" customHeight="1" x14ac:dyDescent="0.3"/>
    <row r="2571" ht="15" customHeight="1" x14ac:dyDescent="0.3"/>
    <row r="2572" ht="15" customHeight="1" x14ac:dyDescent="0.3"/>
    <row r="2573" ht="15" customHeight="1" x14ac:dyDescent="0.3"/>
    <row r="2574" ht="15" customHeight="1" x14ac:dyDescent="0.3"/>
    <row r="2575" ht="15" customHeight="1" x14ac:dyDescent="0.3"/>
    <row r="2576" ht="15" customHeight="1" x14ac:dyDescent="0.3"/>
    <row r="2577" ht="15" customHeight="1" x14ac:dyDescent="0.3"/>
    <row r="2578" ht="15" customHeight="1" x14ac:dyDescent="0.3"/>
    <row r="2579" ht="15" customHeight="1" x14ac:dyDescent="0.3"/>
    <row r="2580" ht="15" customHeight="1" x14ac:dyDescent="0.3"/>
    <row r="2581" ht="15" customHeight="1" x14ac:dyDescent="0.3"/>
    <row r="2582" ht="15" customHeight="1" x14ac:dyDescent="0.3"/>
    <row r="2583" ht="15" customHeight="1" x14ac:dyDescent="0.3"/>
    <row r="2584" ht="15" customHeight="1" x14ac:dyDescent="0.3"/>
    <row r="2585" ht="15" customHeight="1" x14ac:dyDescent="0.3"/>
    <row r="2586" ht="15" customHeight="1" x14ac:dyDescent="0.3"/>
    <row r="2587" ht="15" customHeight="1" x14ac:dyDescent="0.3"/>
    <row r="2588" ht="15" customHeight="1" x14ac:dyDescent="0.3"/>
    <row r="2589" ht="15" customHeight="1" x14ac:dyDescent="0.3"/>
    <row r="2590" ht="15" customHeight="1" x14ac:dyDescent="0.3"/>
    <row r="2591" ht="15" customHeight="1" x14ac:dyDescent="0.3"/>
    <row r="2592" ht="15" customHeight="1" x14ac:dyDescent="0.3"/>
    <row r="2593" ht="15" customHeight="1" x14ac:dyDescent="0.3"/>
    <row r="2594" ht="15" customHeight="1" x14ac:dyDescent="0.3"/>
    <row r="2595" ht="15" customHeight="1" x14ac:dyDescent="0.3"/>
    <row r="2596" ht="15" customHeight="1" x14ac:dyDescent="0.3"/>
    <row r="2597" ht="15" customHeight="1" x14ac:dyDescent="0.3"/>
    <row r="2598" ht="15" customHeight="1" x14ac:dyDescent="0.3"/>
    <row r="2599" ht="15" customHeight="1" x14ac:dyDescent="0.3"/>
    <row r="2600" ht="15" customHeight="1" x14ac:dyDescent="0.3"/>
    <row r="2601" ht="15" customHeight="1" x14ac:dyDescent="0.3"/>
    <row r="2602" ht="15" customHeight="1" x14ac:dyDescent="0.3"/>
    <row r="2603" ht="15" customHeight="1" x14ac:dyDescent="0.3"/>
    <row r="2604" ht="15" customHeight="1" x14ac:dyDescent="0.3"/>
    <row r="2605" ht="15" customHeight="1" x14ac:dyDescent="0.3"/>
    <row r="2606" ht="15" customHeight="1" x14ac:dyDescent="0.3"/>
    <row r="2607" ht="15" customHeight="1" x14ac:dyDescent="0.3"/>
    <row r="2608" ht="15" customHeight="1" x14ac:dyDescent="0.3"/>
    <row r="2609" ht="15" customHeight="1" x14ac:dyDescent="0.3"/>
    <row r="2610" ht="15" customHeight="1" x14ac:dyDescent="0.3"/>
    <row r="2611" ht="15" customHeight="1" x14ac:dyDescent="0.3"/>
    <row r="2612" ht="15" customHeight="1" x14ac:dyDescent="0.3"/>
    <row r="2613" ht="15" customHeight="1" x14ac:dyDescent="0.3"/>
    <row r="2614" ht="15" customHeight="1" x14ac:dyDescent="0.3"/>
    <row r="2615" ht="15" customHeight="1" x14ac:dyDescent="0.3"/>
    <row r="2616" ht="15" customHeight="1" x14ac:dyDescent="0.3"/>
    <row r="2617" ht="15" customHeight="1" x14ac:dyDescent="0.3"/>
    <row r="2618" ht="15" customHeight="1" x14ac:dyDescent="0.3"/>
    <row r="2619" ht="15" customHeight="1" x14ac:dyDescent="0.3"/>
    <row r="2620" ht="15" customHeight="1" x14ac:dyDescent="0.3"/>
    <row r="2621" ht="15" customHeight="1" x14ac:dyDescent="0.3"/>
    <row r="2622" ht="15" customHeight="1" x14ac:dyDescent="0.3"/>
    <row r="2623" ht="15" customHeight="1" x14ac:dyDescent="0.3"/>
    <row r="2624" ht="15" customHeight="1" x14ac:dyDescent="0.3"/>
    <row r="2625" ht="15" customHeight="1" x14ac:dyDescent="0.3"/>
    <row r="2626" ht="15" customHeight="1" x14ac:dyDescent="0.3"/>
    <row r="2627" ht="15" customHeight="1" x14ac:dyDescent="0.3"/>
    <row r="2628" ht="15" customHeight="1" x14ac:dyDescent="0.3"/>
    <row r="2629" ht="15" customHeight="1" x14ac:dyDescent="0.3"/>
    <row r="2630" ht="15" customHeight="1" x14ac:dyDescent="0.3"/>
    <row r="2631" ht="15" customHeight="1" x14ac:dyDescent="0.3"/>
    <row r="2632" ht="15" customHeight="1" x14ac:dyDescent="0.3"/>
    <row r="2633" ht="15" customHeight="1" x14ac:dyDescent="0.3"/>
    <row r="2634" ht="15" customHeight="1" x14ac:dyDescent="0.3"/>
    <row r="2635" ht="15" customHeight="1" x14ac:dyDescent="0.3"/>
    <row r="2636" ht="15" customHeight="1" x14ac:dyDescent="0.3"/>
    <row r="2637" ht="15" customHeight="1" x14ac:dyDescent="0.3"/>
    <row r="2638" ht="15" customHeight="1" x14ac:dyDescent="0.3"/>
    <row r="2639" ht="15" customHeight="1" x14ac:dyDescent="0.3"/>
    <row r="2640" ht="15" customHeight="1" x14ac:dyDescent="0.3"/>
    <row r="2641" ht="15" customHeight="1" x14ac:dyDescent="0.3"/>
    <row r="2642" ht="15" customHeight="1" x14ac:dyDescent="0.3"/>
    <row r="2643" ht="15" customHeight="1" x14ac:dyDescent="0.3"/>
    <row r="2644" ht="15" customHeight="1" x14ac:dyDescent="0.3"/>
    <row r="2645" ht="15" customHeight="1" x14ac:dyDescent="0.3"/>
    <row r="2646" ht="15" customHeight="1" x14ac:dyDescent="0.3"/>
    <row r="2647" ht="15" customHeight="1" x14ac:dyDescent="0.3"/>
    <row r="2648" ht="15" customHeight="1" x14ac:dyDescent="0.3"/>
    <row r="2649" ht="15" customHeight="1" x14ac:dyDescent="0.3"/>
    <row r="2650" ht="15" customHeight="1" x14ac:dyDescent="0.3"/>
    <row r="2651" ht="15" customHeight="1" x14ac:dyDescent="0.3"/>
    <row r="2652" ht="15" customHeight="1" x14ac:dyDescent="0.3"/>
    <row r="2653" ht="15" customHeight="1" x14ac:dyDescent="0.3"/>
    <row r="2654" ht="15" customHeight="1" x14ac:dyDescent="0.3"/>
    <row r="2655" ht="15" customHeight="1" x14ac:dyDescent="0.3"/>
    <row r="2656" ht="15" customHeight="1" x14ac:dyDescent="0.3"/>
    <row r="2657" ht="15" customHeight="1" x14ac:dyDescent="0.3"/>
    <row r="2658" ht="15" customHeight="1" x14ac:dyDescent="0.3"/>
    <row r="2659" ht="15" customHeight="1" x14ac:dyDescent="0.3"/>
    <row r="2660" ht="15" customHeight="1" x14ac:dyDescent="0.3"/>
    <row r="2661" ht="15" customHeight="1" x14ac:dyDescent="0.3"/>
    <row r="2662" ht="15" customHeight="1" x14ac:dyDescent="0.3"/>
    <row r="2663" ht="15" customHeight="1" x14ac:dyDescent="0.3"/>
    <row r="2664" ht="15" customHeight="1" x14ac:dyDescent="0.3"/>
    <row r="2665" ht="15" customHeight="1" x14ac:dyDescent="0.3"/>
    <row r="2666" ht="15" customHeight="1" x14ac:dyDescent="0.3"/>
    <row r="2667" ht="15" customHeight="1" x14ac:dyDescent="0.3"/>
    <row r="2668" ht="15" customHeight="1" x14ac:dyDescent="0.3"/>
    <row r="2669" ht="15" customHeight="1" x14ac:dyDescent="0.3"/>
    <row r="2670" ht="15" customHeight="1" x14ac:dyDescent="0.3"/>
    <row r="2671" ht="15" customHeight="1" x14ac:dyDescent="0.3"/>
    <row r="2672" ht="15" customHeight="1" x14ac:dyDescent="0.3"/>
    <row r="2673" ht="15" customHeight="1" x14ac:dyDescent="0.3"/>
    <row r="2674" ht="15" customHeight="1" x14ac:dyDescent="0.3"/>
    <row r="2675" ht="15" customHeight="1" x14ac:dyDescent="0.3"/>
    <row r="2676" ht="15" customHeight="1" x14ac:dyDescent="0.3"/>
    <row r="2677" ht="15" customHeight="1" x14ac:dyDescent="0.3"/>
    <row r="2678" ht="15" customHeight="1" x14ac:dyDescent="0.3"/>
    <row r="2679" ht="15" customHeight="1" x14ac:dyDescent="0.3"/>
    <row r="2680" ht="15" customHeight="1" x14ac:dyDescent="0.3"/>
    <row r="2681" ht="15" customHeight="1" x14ac:dyDescent="0.3"/>
    <row r="2682" ht="15" customHeight="1" x14ac:dyDescent="0.3"/>
    <row r="2683" ht="15" customHeight="1" x14ac:dyDescent="0.3"/>
    <row r="2684" ht="15" customHeight="1" x14ac:dyDescent="0.3"/>
    <row r="2685" ht="15" customHeight="1" x14ac:dyDescent="0.3"/>
    <row r="2686" ht="15" customHeight="1" x14ac:dyDescent="0.3"/>
    <row r="2687" ht="15" customHeight="1" x14ac:dyDescent="0.3"/>
    <row r="2688" ht="15" customHeight="1" x14ac:dyDescent="0.3"/>
    <row r="2689" ht="15" customHeight="1" x14ac:dyDescent="0.3"/>
    <row r="2690" ht="15" customHeight="1" x14ac:dyDescent="0.3"/>
    <row r="2691" ht="15" customHeight="1" x14ac:dyDescent="0.3"/>
    <row r="2692" ht="15" customHeight="1" x14ac:dyDescent="0.3"/>
    <row r="2693" ht="15" customHeight="1" x14ac:dyDescent="0.3"/>
    <row r="2694" ht="15" customHeight="1" x14ac:dyDescent="0.3"/>
    <row r="2695" ht="15" customHeight="1" x14ac:dyDescent="0.3"/>
    <row r="2696" ht="15" customHeight="1" x14ac:dyDescent="0.3"/>
    <row r="2697" ht="15" customHeight="1" x14ac:dyDescent="0.3"/>
    <row r="2698" ht="15" customHeight="1" x14ac:dyDescent="0.3"/>
    <row r="2699" ht="15" customHeight="1" x14ac:dyDescent="0.3"/>
    <row r="2700" ht="15" customHeight="1" x14ac:dyDescent="0.3"/>
    <row r="2701" ht="15" customHeight="1" x14ac:dyDescent="0.3"/>
    <row r="2702" ht="15" customHeight="1" x14ac:dyDescent="0.3"/>
    <row r="2703" ht="15" customHeight="1" x14ac:dyDescent="0.3"/>
    <row r="2704" ht="15" customHeight="1" x14ac:dyDescent="0.3"/>
    <row r="2705" ht="15" customHeight="1" x14ac:dyDescent="0.3"/>
    <row r="2706" ht="15" customHeight="1" x14ac:dyDescent="0.3"/>
    <row r="2707" ht="15" customHeight="1" x14ac:dyDescent="0.3"/>
    <row r="2708" ht="15" customHeight="1" x14ac:dyDescent="0.3"/>
    <row r="2709" ht="15" customHeight="1" x14ac:dyDescent="0.3"/>
    <row r="2710" ht="15" customHeight="1" x14ac:dyDescent="0.3"/>
    <row r="2711" ht="15" customHeight="1" x14ac:dyDescent="0.3"/>
    <row r="2712" ht="15" customHeight="1" x14ac:dyDescent="0.3"/>
    <row r="2713" ht="15" customHeight="1" x14ac:dyDescent="0.3"/>
    <row r="2714" ht="15" customHeight="1" x14ac:dyDescent="0.3"/>
    <row r="2715" ht="15" customHeight="1" x14ac:dyDescent="0.3"/>
    <row r="2716" ht="15" customHeight="1" x14ac:dyDescent="0.3"/>
    <row r="2717" ht="15" customHeight="1" x14ac:dyDescent="0.3"/>
    <row r="2718" ht="15" customHeight="1" x14ac:dyDescent="0.3"/>
    <row r="2719" ht="15" customHeight="1" x14ac:dyDescent="0.3"/>
    <row r="2720" ht="15" customHeight="1" x14ac:dyDescent="0.3"/>
    <row r="2721" ht="15" customHeight="1" x14ac:dyDescent="0.3"/>
    <row r="2722" ht="15" customHeight="1" x14ac:dyDescent="0.3"/>
    <row r="2723" ht="15" customHeight="1" x14ac:dyDescent="0.3"/>
    <row r="2724" ht="15" customHeight="1" x14ac:dyDescent="0.3"/>
    <row r="2725" ht="15" customHeight="1" x14ac:dyDescent="0.3"/>
    <row r="2726" ht="15" customHeight="1" x14ac:dyDescent="0.3"/>
    <row r="2727" ht="15" customHeight="1" x14ac:dyDescent="0.3"/>
    <row r="2728" ht="15" customHeight="1" x14ac:dyDescent="0.3"/>
    <row r="2729" ht="15" customHeight="1" x14ac:dyDescent="0.3"/>
    <row r="2730" ht="15" customHeight="1" x14ac:dyDescent="0.3"/>
    <row r="2731" ht="15" customHeight="1" x14ac:dyDescent="0.3"/>
    <row r="2732" ht="15" customHeight="1" x14ac:dyDescent="0.3"/>
    <row r="2733" ht="15" customHeight="1" x14ac:dyDescent="0.3"/>
    <row r="2734" ht="15" customHeight="1" x14ac:dyDescent="0.3"/>
    <row r="2735" ht="15" customHeight="1" x14ac:dyDescent="0.3"/>
    <row r="2736" ht="15" customHeight="1" x14ac:dyDescent="0.3"/>
    <row r="2737" ht="15" customHeight="1" x14ac:dyDescent="0.3"/>
    <row r="2738" ht="15" customHeight="1" x14ac:dyDescent="0.3"/>
    <row r="2739" ht="15" customHeight="1" x14ac:dyDescent="0.3"/>
    <row r="2740" ht="15" customHeight="1" x14ac:dyDescent="0.3"/>
    <row r="2741" ht="15" customHeight="1" x14ac:dyDescent="0.3"/>
    <row r="2742" ht="15" customHeight="1" x14ac:dyDescent="0.3"/>
    <row r="2743" ht="15" customHeight="1" x14ac:dyDescent="0.3"/>
    <row r="2744" ht="15" customHeight="1" x14ac:dyDescent="0.3"/>
    <row r="2745" ht="15" customHeight="1" x14ac:dyDescent="0.3"/>
    <row r="2746" ht="15" customHeight="1" x14ac:dyDescent="0.3"/>
    <row r="2747" ht="15" customHeight="1" x14ac:dyDescent="0.3"/>
    <row r="2748" ht="15" customHeight="1" x14ac:dyDescent="0.3"/>
    <row r="2749" ht="15" customHeight="1" x14ac:dyDescent="0.3"/>
    <row r="2750" ht="15" customHeight="1" x14ac:dyDescent="0.3"/>
    <row r="2751" ht="15" customHeight="1" x14ac:dyDescent="0.3"/>
    <row r="2752" ht="15" customHeight="1" x14ac:dyDescent="0.3"/>
    <row r="2753" ht="15" customHeight="1" x14ac:dyDescent="0.3"/>
    <row r="2754" ht="15" customHeight="1" x14ac:dyDescent="0.3"/>
    <row r="2755" ht="15" customHeight="1" x14ac:dyDescent="0.3"/>
    <row r="2756" ht="15" customHeight="1" x14ac:dyDescent="0.3"/>
    <row r="2757" ht="15" customHeight="1" x14ac:dyDescent="0.3"/>
    <row r="2758" ht="15" customHeight="1" x14ac:dyDescent="0.3"/>
    <row r="2759" ht="15" customHeight="1" x14ac:dyDescent="0.3"/>
    <row r="2760" ht="15" customHeight="1" x14ac:dyDescent="0.3"/>
    <row r="2761" ht="15" customHeight="1" x14ac:dyDescent="0.3"/>
    <row r="2762" ht="15" customHeight="1" x14ac:dyDescent="0.3"/>
    <row r="2763" ht="15" customHeight="1" x14ac:dyDescent="0.3"/>
    <row r="2764" ht="15" customHeight="1" x14ac:dyDescent="0.3"/>
    <row r="2765" ht="15" customHeight="1" x14ac:dyDescent="0.3"/>
    <row r="2766" ht="15" customHeight="1" x14ac:dyDescent="0.3"/>
    <row r="2767" ht="15" customHeight="1" x14ac:dyDescent="0.3"/>
    <row r="2768" ht="15" customHeight="1" x14ac:dyDescent="0.3"/>
    <row r="2769" ht="15" customHeight="1" x14ac:dyDescent="0.3"/>
    <row r="2770" ht="15" customHeight="1" x14ac:dyDescent="0.3"/>
    <row r="2771" ht="15" customHeight="1" x14ac:dyDescent="0.3"/>
    <row r="2772" ht="15" customHeight="1" x14ac:dyDescent="0.3"/>
    <row r="2773" ht="15" customHeight="1" x14ac:dyDescent="0.3"/>
    <row r="2774" ht="15" customHeight="1" x14ac:dyDescent="0.3"/>
    <row r="2775" ht="15" customHeight="1" x14ac:dyDescent="0.3"/>
    <row r="2776" ht="15" customHeight="1" x14ac:dyDescent="0.3"/>
    <row r="2777" ht="15" customHeight="1" x14ac:dyDescent="0.3"/>
    <row r="2778" ht="15" customHeight="1" x14ac:dyDescent="0.3"/>
    <row r="2779" ht="15" customHeight="1" x14ac:dyDescent="0.3"/>
    <row r="2780" ht="15" customHeight="1" x14ac:dyDescent="0.3"/>
    <row r="2781" ht="15" customHeight="1" x14ac:dyDescent="0.3"/>
    <row r="2782" ht="15" customHeight="1" x14ac:dyDescent="0.3"/>
    <row r="2783" ht="15" customHeight="1" x14ac:dyDescent="0.3"/>
    <row r="2784" ht="15" customHeight="1" x14ac:dyDescent="0.3"/>
    <row r="2785" ht="15" customHeight="1" x14ac:dyDescent="0.3"/>
    <row r="2786" ht="15" customHeight="1" x14ac:dyDescent="0.3"/>
    <row r="2787" ht="15" customHeight="1" x14ac:dyDescent="0.3"/>
    <row r="2788" ht="15" customHeight="1" x14ac:dyDescent="0.3"/>
    <row r="2789" ht="15" customHeight="1" x14ac:dyDescent="0.3"/>
    <row r="2790" ht="15" customHeight="1" x14ac:dyDescent="0.3"/>
    <row r="2791" ht="15" customHeight="1" x14ac:dyDescent="0.3"/>
    <row r="2792" ht="15" customHeight="1" x14ac:dyDescent="0.3"/>
    <row r="2793" ht="15" customHeight="1" x14ac:dyDescent="0.3"/>
    <row r="2794" ht="15" customHeight="1" x14ac:dyDescent="0.3"/>
    <row r="2795" ht="15" customHeight="1" x14ac:dyDescent="0.3"/>
    <row r="2796" ht="15" customHeight="1" x14ac:dyDescent="0.3"/>
    <row r="2797" ht="15" customHeight="1" x14ac:dyDescent="0.3"/>
    <row r="2798" ht="15" customHeight="1" x14ac:dyDescent="0.3"/>
    <row r="2799" ht="15" customHeight="1" x14ac:dyDescent="0.3"/>
    <row r="2800" ht="15" customHeight="1" x14ac:dyDescent="0.3"/>
    <row r="2801" ht="15" customHeight="1" x14ac:dyDescent="0.3"/>
    <row r="2802" ht="15" customHeight="1" x14ac:dyDescent="0.3"/>
    <row r="2803" ht="15" customHeight="1" x14ac:dyDescent="0.3"/>
    <row r="2804" ht="15" customHeight="1" x14ac:dyDescent="0.3"/>
    <row r="2805" ht="15" customHeight="1" x14ac:dyDescent="0.3"/>
    <row r="2806" ht="15" customHeight="1" x14ac:dyDescent="0.3"/>
    <row r="2807" ht="15" customHeight="1" x14ac:dyDescent="0.3"/>
    <row r="2808" ht="15" customHeight="1" x14ac:dyDescent="0.3"/>
    <row r="2809" ht="15" customHeight="1" x14ac:dyDescent="0.3"/>
    <row r="2810" ht="15" customHeight="1" x14ac:dyDescent="0.3"/>
    <row r="2811" ht="15" customHeight="1" x14ac:dyDescent="0.3"/>
    <row r="2812" ht="15" customHeight="1" x14ac:dyDescent="0.3"/>
    <row r="2813" ht="15" customHeight="1" x14ac:dyDescent="0.3"/>
    <row r="2814" ht="15" customHeight="1" x14ac:dyDescent="0.3"/>
    <row r="2815" ht="15" customHeight="1" x14ac:dyDescent="0.3"/>
    <row r="2816" ht="15" customHeight="1" x14ac:dyDescent="0.3"/>
    <row r="2817" ht="15" customHeight="1" x14ac:dyDescent="0.3"/>
    <row r="2818" ht="15" customHeight="1" x14ac:dyDescent="0.3"/>
    <row r="2819" ht="15" customHeight="1" x14ac:dyDescent="0.3"/>
    <row r="2820" ht="15" customHeight="1" x14ac:dyDescent="0.3"/>
    <row r="2821" ht="15" customHeight="1" x14ac:dyDescent="0.3"/>
    <row r="2822" ht="15" customHeight="1" x14ac:dyDescent="0.3"/>
    <row r="2823" ht="15" customHeight="1" x14ac:dyDescent="0.3"/>
    <row r="2824" ht="15" customHeight="1" x14ac:dyDescent="0.3"/>
    <row r="2825" ht="15" customHeight="1" x14ac:dyDescent="0.3"/>
    <row r="2826" ht="15" customHeight="1" x14ac:dyDescent="0.3"/>
    <row r="2827" ht="15" customHeight="1" x14ac:dyDescent="0.3"/>
    <row r="2828" ht="15" customHeight="1" x14ac:dyDescent="0.3"/>
    <row r="2829" ht="15" customHeight="1" x14ac:dyDescent="0.3"/>
    <row r="2830" ht="15" customHeight="1" x14ac:dyDescent="0.3"/>
    <row r="2831" ht="15" customHeight="1" x14ac:dyDescent="0.3"/>
    <row r="2832" ht="15" customHeight="1" x14ac:dyDescent="0.3"/>
    <row r="2833" ht="15" customHeight="1" x14ac:dyDescent="0.3"/>
    <row r="2834" ht="15" customHeight="1" x14ac:dyDescent="0.3"/>
    <row r="2835" ht="15" customHeight="1" x14ac:dyDescent="0.3"/>
    <row r="2836" ht="15" customHeight="1" x14ac:dyDescent="0.3"/>
    <row r="2837" ht="15" customHeight="1" x14ac:dyDescent="0.3"/>
    <row r="2838" ht="15" customHeight="1" x14ac:dyDescent="0.3"/>
    <row r="2839" ht="15" customHeight="1" x14ac:dyDescent="0.3"/>
    <row r="2840" ht="15" customHeight="1" x14ac:dyDescent="0.3"/>
    <row r="2841" ht="15" customHeight="1" x14ac:dyDescent="0.3"/>
    <row r="2842" ht="15" customHeight="1" x14ac:dyDescent="0.3"/>
    <row r="2843" ht="15" customHeight="1" x14ac:dyDescent="0.3"/>
    <row r="2844" ht="15" customHeight="1" x14ac:dyDescent="0.3"/>
    <row r="2845" ht="15" customHeight="1" x14ac:dyDescent="0.3"/>
    <row r="2846" ht="15" customHeight="1" x14ac:dyDescent="0.3"/>
    <row r="2847" ht="15" customHeight="1" x14ac:dyDescent="0.3"/>
    <row r="2848" ht="15" customHeight="1" x14ac:dyDescent="0.3"/>
    <row r="2849" ht="15" customHeight="1" x14ac:dyDescent="0.3"/>
    <row r="2850" ht="15" customHeight="1" x14ac:dyDescent="0.3"/>
    <row r="2851" ht="15" customHeight="1" x14ac:dyDescent="0.3"/>
    <row r="2852" ht="15" customHeight="1" x14ac:dyDescent="0.3"/>
    <row r="2853" ht="15" customHeight="1" x14ac:dyDescent="0.3"/>
    <row r="2854" ht="15" customHeight="1" x14ac:dyDescent="0.3"/>
    <row r="2855" ht="15" customHeight="1" x14ac:dyDescent="0.3"/>
    <row r="2856" ht="15" customHeight="1" x14ac:dyDescent="0.3"/>
    <row r="2857" ht="15" customHeight="1" x14ac:dyDescent="0.3"/>
    <row r="2858" ht="15" customHeight="1" x14ac:dyDescent="0.3"/>
    <row r="2859" ht="15" customHeight="1" x14ac:dyDescent="0.3"/>
    <row r="2860" ht="15" customHeight="1" x14ac:dyDescent="0.3"/>
    <row r="2861" ht="15" customHeight="1" x14ac:dyDescent="0.3"/>
    <row r="2862" ht="15" customHeight="1" x14ac:dyDescent="0.3"/>
    <row r="2863" ht="15" customHeight="1" x14ac:dyDescent="0.3"/>
    <row r="2864" ht="15" customHeight="1" x14ac:dyDescent="0.3"/>
    <row r="2865" ht="15" customHeight="1" x14ac:dyDescent="0.3"/>
    <row r="2866" ht="15" customHeight="1" x14ac:dyDescent="0.3"/>
    <row r="2867" ht="15" customHeight="1" x14ac:dyDescent="0.3"/>
    <row r="2868" ht="15" customHeight="1" x14ac:dyDescent="0.3"/>
    <row r="2869" ht="15" customHeight="1" x14ac:dyDescent="0.3"/>
    <row r="2870" ht="15" customHeight="1" x14ac:dyDescent="0.3"/>
    <row r="2871" ht="15" customHeight="1" x14ac:dyDescent="0.3"/>
    <row r="2872" ht="15" customHeight="1" x14ac:dyDescent="0.3"/>
    <row r="2873" ht="15" customHeight="1" x14ac:dyDescent="0.3"/>
    <row r="2874" ht="15" customHeight="1" x14ac:dyDescent="0.3"/>
    <row r="2875" ht="15" customHeight="1" x14ac:dyDescent="0.3"/>
    <row r="2876" ht="15" customHeight="1" x14ac:dyDescent="0.3"/>
    <row r="2877" ht="15" customHeight="1" x14ac:dyDescent="0.3"/>
    <row r="2878" ht="15" customHeight="1" x14ac:dyDescent="0.3"/>
    <row r="2879" ht="15" customHeight="1" x14ac:dyDescent="0.3"/>
    <row r="2880" ht="15" customHeight="1" x14ac:dyDescent="0.3"/>
    <row r="2881" ht="15" customHeight="1" x14ac:dyDescent="0.3"/>
    <row r="2882" ht="15" customHeight="1" x14ac:dyDescent="0.3"/>
    <row r="2883" ht="15" customHeight="1" x14ac:dyDescent="0.3"/>
    <row r="2884" ht="15" customHeight="1" x14ac:dyDescent="0.3"/>
    <row r="2885" ht="15" customHeight="1" x14ac:dyDescent="0.3"/>
    <row r="2886" ht="15" customHeight="1" x14ac:dyDescent="0.3"/>
    <row r="2887" ht="15" customHeight="1" x14ac:dyDescent="0.3"/>
    <row r="2888" ht="15" customHeight="1" x14ac:dyDescent="0.3"/>
    <row r="2889" ht="15" customHeight="1" x14ac:dyDescent="0.3"/>
    <row r="2890" ht="15" customHeight="1" x14ac:dyDescent="0.3"/>
    <row r="2891" ht="15" customHeight="1" x14ac:dyDescent="0.3"/>
    <row r="2892" ht="15" customHeight="1" x14ac:dyDescent="0.3"/>
    <row r="2893" ht="15" customHeight="1" x14ac:dyDescent="0.3"/>
    <row r="2894" ht="15" customHeight="1" x14ac:dyDescent="0.3"/>
    <row r="2895" ht="15" customHeight="1" x14ac:dyDescent="0.3"/>
    <row r="2896" ht="15" customHeight="1" x14ac:dyDescent="0.3"/>
    <row r="2897" ht="15" customHeight="1" x14ac:dyDescent="0.3"/>
    <row r="2898" ht="15" customHeight="1" x14ac:dyDescent="0.3"/>
    <row r="2899" ht="15" customHeight="1" x14ac:dyDescent="0.3"/>
    <row r="2900" ht="15" customHeight="1" x14ac:dyDescent="0.3"/>
    <row r="2901" ht="15" customHeight="1" x14ac:dyDescent="0.3"/>
    <row r="2902" ht="15" customHeight="1" x14ac:dyDescent="0.3"/>
    <row r="2903" ht="15" customHeight="1" x14ac:dyDescent="0.3"/>
    <row r="2904" ht="15" customHeight="1" x14ac:dyDescent="0.3"/>
    <row r="2905" ht="15" customHeight="1" x14ac:dyDescent="0.3"/>
    <row r="2906" ht="15" customHeight="1" x14ac:dyDescent="0.3"/>
    <row r="2907" ht="15" customHeight="1" x14ac:dyDescent="0.3"/>
    <row r="2908" ht="15" customHeight="1" x14ac:dyDescent="0.3"/>
    <row r="2909" ht="15" customHeight="1" x14ac:dyDescent="0.3"/>
    <row r="2910" ht="15" customHeight="1" x14ac:dyDescent="0.3"/>
    <row r="2911" ht="15" customHeight="1" x14ac:dyDescent="0.3"/>
    <row r="2912" ht="15" customHeight="1" x14ac:dyDescent="0.3"/>
    <row r="2913" ht="15" customHeight="1" x14ac:dyDescent="0.3"/>
    <row r="2914" ht="15" customHeight="1" x14ac:dyDescent="0.3"/>
    <row r="2915" ht="15" customHeight="1" x14ac:dyDescent="0.3"/>
    <row r="2916" ht="15" customHeight="1" x14ac:dyDescent="0.3"/>
    <row r="2917" ht="15" customHeight="1" x14ac:dyDescent="0.3"/>
    <row r="2918" ht="15" customHeight="1" x14ac:dyDescent="0.3"/>
    <row r="2919" ht="15" customHeight="1" x14ac:dyDescent="0.3"/>
    <row r="2920" ht="15" customHeight="1" x14ac:dyDescent="0.3"/>
    <row r="2921" ht="15" customHeight="1" x14ac:dyDescent="0.3"/>
    <row r="2922" ht="15" customHeight="1" x14ac:dyDescent="0.3"/>
    <row r="2923" ht="15" customHeight="1" x14ac:dyDescent="0.3"/>
    <row r="2924" ht="15" customHeight="1" x14ac:dyDescent="0.3"/>
    <row r="2925" ht="15" customHeight="1" x14ac:dyDescent="0.3"/>
    <row r="2926" ht="15" customHeight="1" x14ac:dyDescent="0.3"/>
    <row r="2927" ht="15" customHeight="1" x14ac:dyDescent="0.3"/>
    <row r="2928" ht="15" customHeight="1" x14ac:dyDescent="0.3"/>
    <row r="2929" ht="15" customHeight="1" x14ac:dyDescent="0.3"/>
    <row r="2930" ht="15" customHeight="1" x14ac:dyDescent="0.3"/>
    <row r="2931" ht="15" customHeight="1" x14ac:dyDescent="0.3"/>
    <row r="2932" ht="15" customHeight="1" x14ac:dyDescent="0.3"/>
    <row r="2933" ht="15" customHeight="1" x14ac:dyDescent="0.3"/>
    <row r="2934" ht="15" customHeight="1" x14ac:dyDescent="0.3"/>
    <row r="2935" ht="15" customHeight="1" x14ac:dyDescent="0.3"/>
    <row r="2936" ht="15" customHeight="1" x14ac:dyDescent="0.3"/>
    <row r="2937" ht="15" customHeight="1" x14ac:dyDescent="0.3"/>
    <row r="2938" ht="15" customHeight="1" x14ac:dyDescent="0.3"/>
    <row r="2939" ht="15" customHeight="1" x14ac:dyDescent="0.3"/>
    <row r="2940" ht="15" customHeight="1" x14ac:dyDescent="0.3"/>
    <row r="2941" ht="15" customHeight="1" x14ac:dyDescent="0.3"/>
    <row r="2942" ht="15" customHeight="1" x14ac:dyDescent="0.3"/>
    <row r="2943" ht="15" customHeight="1" x14ac:dyDescent="0.3"/>
    <row r="2944" ht="15" customHeight="1" x14ac:dyDescent="0.3"/>
    <row r="2945" ht="15" customHeight="1" x14ac:dyDescent="0.3"/>
    <row r="2946" ht="15" customHeight="1" x14ac:dyDescent="0.3"/>
    <row r="2947" ht="15" customHeight="1" x14ac:dyDescent="0.3"/>
    <row r="2948" ht="15" customHeight="1" x14ac:dyDescent="0.3"/>
    <row r="2949" ht="15" customHeight="1" x14ac:dyDescent="0.3"/>
    <row r="2950" ht="15" customHeight="1" x14ac:dyDescent="0.3"/>
    <row r="2951" ht="15" customHeight="1" x14ac:dyDescent="0.3"/>
    <row r="2952" ht="15" customHeight="1" x14ac:dyDescent="0.3"/>
    <row r="2953" ht="15" customHeight="1" x14ac:dyDescent="0.3"/>
    <row r="2954" ht="15" customHeight="1" x14ac:dyDescent="0.3"/>
    <row r="2955" ht="15" customHeight="1" x14ac:dyDescent="0.3"/>
    <row r="2956" ht="15" customHeight="1" x14ac:dyDescent="0.3"/>
    <row r="2957" ht="15" customHeight="1" x14ac:dyDescent="0.3"/>
    <row r="2958" ht="15" customHeight="1" x14ac:dyDescent="0.3"/>
    <row r="2959" ht="15" customHeight="1" x14ac:dyDescent="0.3"/>
    <row r="2960" ht="15" customHeight="1" x14ac:dyDescent="0.3"/>
    <row r="2961" ht="15" customHeight="1" x14ac:dyDescent="0.3"/>
    <row r="2962" ht="15" customHeight="1" x14ac:dyDescent="0.3"/>
    <row r="2963" ht="15" customHeight="1" x14ac:dyDescent="0.3"/>
    <row r="2964" ht="15" customHeight="1" x14ac:dyDescent="0.3"/>
    <row r="2965" ht="15" customHeight="1" x14ac:dyDescent="0.3"/>
    <row r="2966" ht="15" customHeight="1" x14ac:dyDescent="0.3"/>
    <row r="2967" ht="15" customHeight="1" x14ac:dyDescent="0.3"/>
    <row r="2968" ht="15" customHeight="1" x14ac:dyDescent="0.3"/>
    <row r="2969" ht="15" customHeight="1" x14ac:dyDescent="0.3"/>
    <row r="2970" ht="15" customHeight="1" x14ac:dyDescent="0.3"/>
    <row r="2971" ht="15" customHeight="1" x14ac:dyDescent="0.3"/>
    <row r="2972" ht="15" customHeight="1" x14ac:dyDescent="0.3"/>
    <row r="2973" ht="15" customHeight="1" x14ac:dyDescent="0.3"/>
    <row r="2974" ht="15" customHeight="1" x14ac:dyDescent="0.3"/>
    <row r="2975" ht="15" customHeight="1" x14ac:dyDescent="0.3"/>
    <row r="2976" ht="15" customHeight="1" x14ac:dyDescent="0.3"/>
    <row r="2977" ht="15" customHeight="1" x14ac:dyDescent="0.3"/>
    <row r="2978" ht="15" customHeight="1" x14ac:dyDescent="0.3"/>
    <row r="2979" ht="15" customHeight="1" x14ac:dyDescent="0.3"/>
    <row r="2980" ht="15" customHeight="1" x14ac:dyDescent="0.3"/>
    <row r="2981" ht="15" customHeight="1" x14ac:dyDescent="0.3"/>
    <row r="2982" ht="15" customHeight="1" x14ac:dyDescent="0.3"/>
    <row r="2983" ht="15" customHeight="1" x14ac:dyDescent="0.3"/>
    <row r="2984" ht="15" customHeight="1" x14ac:dyDescent="0.3"/>
    <row r="2985" ht="15" customHeight="1" x14ac:dyDescent="0.3"/>
    <row r="2986" ht="15" customHeight="1" x14ac:dyDescent="0.3"/>
    <row r="2987" ht="15" customHeight="1" x14ac:dyDescent="0.3"/>
    <row r="2988" ht="15" customHeight="1" x14ac:dyDescent="0.3"/>
    <row r="2989" ht="15" customHeight="1" x14ac:dyDescent="0.3"/>
    <row r="2990" ht="15" customHeight="1" x14ac:dyDescent="0.3"/>
    <row r="2991" ht="15" customHeight="1" x14ac:dyDescent="0.3"/>
    <row r="2992" ht="15" customHeight="1" x14ac:dyDescent="0.3"/>
    <row r="2993" ht="15" customHeight="1" x14ac:dyDescent="0.3"/>
    <row r="2994" ht="15" customHeight="1" x14ac:dyDescent="0.3"/>
    <row r="2995" ht="15" customHeight="1" x14ac:dyDescent="0.3"/>
  </sheetData>
  <mergeCells count="13">
    <mergeCell ref="AF4:AF7"/>
    <mergeCell ref="A4:A7"/>
    <mergeCell ref="AI2:AN2"/>
    <mergeCell ref="AO3:AT4"/>
    <mergeCell ref="X5:AA5"/>
    <mergeCell ref="AB5:AE5"/>
    <mergeCell ref="E4:AB4"/>
    <mergeCell ref="B5:E5"/>
    <mergeCell ref="F5:I5"/>
    <mergeCell ref="J5:N5"/>
    <mergeCell ref="O5:S5"/>
    <mergeCell ref="T5:W5"/>
    <mergeCell ref="F2:Y2"/>
  </mergeCells>
  <dataValidations count="1">
    <dataValidation type="list" allowBlank="1" showInputMessage="1" showErrorMessage="1" sqref="A65213:E65213" xr:uid="{42790FD5-DC37-42D3-B970-FA4EFC184ADA}">
      <formula1>Program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26D7FCE97E5648B0B36D72D4E7D78B" ma:contentTypeVersion="13" ma:contentTypeDescription="Create a new document." ma:contentTypeScope="" ma:versionID="125f8c548bdd23f2c13d3917b8e36d17">
  <xsd:schema xmlns:xsd="http://www.w3.org/2001/XMLSchema" xmlns:xs="http://www.w3.org/2001/XMLSchema" xmlns:p="http://schemas.microsoft.com/office/2006/metadata/properties" xmlns:ns2="ce8eaae9-b197-4b88-9037-3226911ccb61" xmlns:ns3="80bea77b-518d-4344-ac98-ae87aded8ce3" targetNamespace="http://schemas.microsoft.com/office/2006/metadata/properties" ma:root="true" ma:fieldsID="8c3dc4c85ff21143dffcf99d9e624d4a" ns2:_="" ns3:_="">
    <xsd:import namespace="ce8eaae9-b197-4b88-9037-3226911ccb61"/>
    <xsd:import namespace="80bea77b-518d-4344-ac98-ae87aded8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8eaae9-b197-4b88-9037-3226911ccb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0125e5a-fbbd-4a39-926c-a359310fd25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bea77b-518d-4344-ac98-ae87aded8ce3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2b4d681-3f5e-412e-a0ba-1036ceee7271}" ma:internalName="TaxCatchAll" ma:showField="CatchAllData" ma:web="80bea77b-518d-4344-ac98-ae87aded8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e8eaae9-b197-4b88-9037-3226911ccb61">
      <Terms xmlns="http://schemas.microsoft.com/office/infopath/2007/PartnerControls"/>
    </lcf76f155ced4ddcb4097134ff3c332f>
    <TaxCatchAll xmlns="80bea77b-518d-4344-ac98-ae87aded8ce3" xsi:nil="true"/>
  </documentManagement>
</p:properties>
</file>

<file path=customXml/itemProps1.xml><?xml version="1.0" encoding="utf-8"?>
<ds:datastoreItem xmlns:ds="http://schemas.openxmlformats.org/officeDocument/2006/customXml" ds:itemID="{6EEC53FF-56D8-40D4-9A20-D3F09038EF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8eaae9-b197-4b88-9037-3226911ccb61"/>
    <ds:schemaRef ds:uri="80bea77b-518d-4344-ac98-ae87aded8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BDDF4A-EC2A-4251-8123-ACC13934E2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61CA25-201A-4731-B86C-0D73B4B11E79}">
  <ds:schemaRefs>
    <ds:schemaRef ds:uri="http://www.w3.org/XML/1998/namespace"/>
    <ds:schemaRef ds:uri="http://purl.org/dc/terms/"/>
    <ds:schemaRef ds:uri="ce8eaae9-b197-4b88-9037-3226911ccb61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80bea77b-518d-4344-ac98-ae87aded8ce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100</vt:i4>
      </vt:variant>
    </vt:vector>
  </HeadingPairs>
  <TitlesOfParts>
    <vt:vector size="114" baseType="lpstr">
      <vt:lpstr>Lists</vt:lpstr>
      <vt:lpstr>Controls</vt:lpstr>
      <vt:lpstr>User Note</vt:lpstr>
      <vt:lpstr>Annual Statistics Template</vt:lpstr>
      <vt:lpstr>Demographics</vt:lpstr>
      <vt:lpstr>Prenatal Care</vt:lpstr>
      <vt:lpstr>Intrapartum Care</vt:lpstr>
      <vt:lpstr>Postnatal Care</vt:lpstr>
      <vt:lpstr>Throughout Midwifery Care</vt:lpstr>
      <vt:lpstr>Report1_Demographics</vt:lpstr>
      <vt:lpstr>Report2_Prenatal Care</vt:lpstr>
      <vt:lpstr>Report3_Intrapartum Care</vt:lpstr>
      <vt:lpstr>Report4_Postnatal Care</vt:lpstr>
      <vt:lpstr>Report5_Throughout Midwife Care</vt:lpstr>
      <vt:lpstr>Active_Management</vt:lpstr>
      <vt:lpstr>Actual_Place</vt:lpstr>
      <vt:lpstr>Anemia</vt:lpstr>
      <vt:lpstr>Anesthesia</vt:lpstr>
      <vt:lpstr>Any_Health</vt:lpstr>
      <vt:lpstr>Assisted_vaginal_Birth</vt:lpstr>
      <vt:lpstr>Baby_transfer</vt:lpstr>
      <vt:lpstr>Birth_Assistanct</vt:lpstr>
      <vt:lpstr>Birth_Location</vt:lpstr>
      <vt:lpstr>Birth_Position</vt:lpstr>
      <vt:lpstr>Blood_Lost</vt:lpstr>
      <vt:lpstr>Blood_Transfusion</vt:lpstr>
      <vt:lpstr>BMI</vt:lpstr>
      <vt:lpstr>Breastfeeding_within_the_first_hour</vt:lpstr>
      <vt:lpstr>C_Section</vt:lpstr>
      <vt:lpstr>Care_Ending</vt:lpstr>
      <vt:lpstr>CE_CLE</vt:lpstr>
      <vt:lpstr>Chest_Comp</vt:lpstr>
      <vt:lpstr>Community</vt:lpstr>
      <vt:lpstr>Cons_Made</vt:lpstr>
      <vt:lpstr>Consult_Made</vt:lpstr>
      <vt:lpstr>Consultation_1</vt:lpstr>
      <vt:lpstr>Delivery_Mode</vt:lpstr>
      <vt:lpstr>Disclosed</vt:lpstr>
      <vt:lpstr>Elder_Present</vt:lpstr>
      <vt:lpstr>Eligible</vt:lpstr>
      <vt:lpstr>Episiotomy</vt:lpstr>
      <vt:lpstr>Estimated_Blood</vt:lpstr>
      <vt:lpstr>Family_member_catching_the_baby?</vt:lpstr>
      <vt:lpstr>Feeding_Last</vt:lpstr>
      <vt:lpstr>Feeding_Type</vt:lpstr>
      <vt:lpstr>Fetal_EFM</vt:lpstr>
      <vt:lpstr>Fetal_IA</vt:lpstr>
      <vt:lpstr>First_Appointment</vt:lpstr>
      <vt:lpstr>First_Contact</vt:lpstr>
      <vt:lpstr>GBS_ATB</vt:lpstr>
      <vt:lpstr>GBS_Status</vt:lpstr>
      <vt:lpstr>GDM</vt:lpstr>
      <vt:lpstr>HCGender</vt:lpstr>
      <vt:lpstr>High_Risk</vt:lpstr>
      <vt:lpstr>How_Many_Wives</vt:lpstr>
      <vt:lpstr>Immediate_Skin_to_Skin_at_Birth?</vt:lpstr>
      <vt:lpstr>Incubator</vt:lpstr>
      <vt:lpstr>Intrapart</vt:lpstr>
      <vt:lpstr>Intrapartum_Transfer_To</vt:lpstr>
      <vt:lpstr>Maternal_Post_Cons</vt:lpstr>
      <vt:lpstr>Maternal_Transfer_To</vt:lpstr>
      <vt:lpstr>Med_Pre_cons</vt:lpstr>
      <vt:lpstr>Medical_Evac</vt:lpstr>
      <vt:lpstr>Mois</vt:lpstr>
      <vt:lpstr>monthEnd</vt:lpstr>
      <vt:lpstr>monthsStr</vt:lpstr>
      <vt:lpstr>monthStart</vt:lpstr>
      <vt:lpstr>Mother_Consult</vt:lpstr>
      <vt:lpstr>MSP</vt:lpstr>
      <vt:lpstr>N_A</vt:lpstr>
      <vt:lpstr>Near_Miss</vt:lpstr>
      <vt:lpstr>Neonatal_Chest</vt:lpstr>
      <vt:lpstr>Neonatal_Vent</vt:lpstr>
      <vt:lpstr>Never_Seen</vt:lpstr>
      <vt:lpstr>New_Born_Cons</vt:lpstr>
      <vt:lpstr>Nutrition_sourceProg</vt:lpstr>
      <vt:lpstr>Other_Lacerations</vt:lpstr>
      <vt:lpstr>P_VBAC</vt:lpstr>
      <vt:lpstr>Pain_Medication</vt:lpstr>
      <vt:lpstr>Perineal_Lacerations</vt:lpstr>
      <vt:lpstr>Place_of_birth</vt:lpstr>
      <vt:lpstr>Placenta</vt:lpstr>
      <vt:lpstr>Poles</vt:lpstr>
      <vt:lpstr>Postnatal</vt:lpstr>
      <vt:lpstr>PPOB</vt:lpstr>
      <vt:lpstr>Pre_Transfer</vt:lpstr>
      <vt:lpstr>Pregnancy_Loss</vt:lpstr>
      <vt:lpstr>Program</vt:lpstr>
      <vt:lpstr>Reason_Consultation</vt:lpstr>
      <vt:lpstr>Reason_Intrapartum_Consult</vt:lpstr>
      <vt:lpstr>Reason_Intrapartum_Transfer</vt:lpstr>
      <vt:lpstr>Reason_Pernatal_Transfer</vt:lpstr>
      <vt:lpstr>Reason_Referral</vt:lpstr>
      <vt:lpstr>Reason_Transfer</vt:lpstr>
      <vt:lpstr>Refererral_To_Other</vt:lpstr>
      <vt:lpstr>Referred_by</vt:lpstr>
      <vt:lpstr>Share_Care</vt:lpstr>
      <vt:lpstr>Shoulder_Dys</vt:lpstr>
      <vt:lpstr>Souture</vt:lpstr>
      <vt:lpstr>Status</vt:lpstr>
      <vt:lpstr>STBBIs</vt:lpstr>
      <vt:lpstr>Sub_Use</vt:lpstr>
      <vt:lpstr>Teachings_Support</vt:lpstr>
      <vt:lpstr>Telehealth</vt:lpstr>
      <vt:lpstr>Throughout</vt:lpstr>
      <vt:lpstr>Tobacco_Use</vt:lpstr>
      <vt:lpstr>Transfer_To</vt:lpstr>
      <vt:lpstr>Type_of_intervention</vt:lpstr>
      <vt:lpstr>Ventilation</vt:lpstr>
      <vt:lpstr>Y_N_Unk</vt:lpstr>
      <vt:lpstr>Yes</vt:lpstr>
      <vt:lpstr>Yes_NA</vt:lpstr>
      <vt:lpstr>Yes_No</vt:lpstr>
      <vt:lpstr>Ynunk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Pile</dc:creator>
  <cp:keywords/>
  <dc:description/>
  <cp:lastModifiedBy>Ogret Mozzi Manoucq</cp:lastModifiedBy>
  <cp:revision/>
  <dcterms:created xsi:type="dcterms:W3CDTF">2013-02-24T23:01:20Z</dcterms:created>
  <dcterms:modified xsi:type="dcterms:W3CDTF">2025-04-14T16:53:42Z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7d8d5d-78e2-4a62-9fcd-016eb5e4c57c_Enabled">
    <vt:lpwstr>true</vt:lpwstr>
  </property>
  <property fmtid="{D5CDD505-2E9C-101B-9397-08002B2CF9AE}" pid="3" name="MSIP_Label_6a7d8d5d-78e2-4a62-9fcd-016eb5e4c57c_SetDate">
    <vt:lpwstr>2021-11-03T13:54:19Z</vt:lpwstr>
  </property>
  <property fmtid="{D5CDD505-2E9C-101B-9397-08002B2CF9AE}" pid="4" name="MSIP_Label_6a7d8d5d-78e2-4a62-9fcd-016eb5e4c57c_Method">
    <vt:lpwstr>Standard</vt:lpwstr>
  </property>
  <property fmtid="{D5CDD505-2E9C-101B-9397-08002B2CF9AE}" pid="5" name="MSIP_Label_6a7d8d5d-78e2-4a62-9fcd-016eb5e4c57c_Name">
    <vt:lpwstr>Général</vt:lpwstr>
  </property>
  <property fmtid="{D5CDD505-2E9C-101B-9397-08002B2CF9AE}" pid="6" name="MSIP_Label_6a7d8d5d-78e2-4a62-9fcd-016eb5e4c57c_SiteId">
    <vt:lpwstr>06e1fe28-5f8b-4075-bf6c-ae24be1a7992</vt:lpwstr>
  </property>
  <property fmtid="{D5CDD505-2E9C-101B-9397-08002B2CF9AE}" pid="7" name="MSIP_Label_6a7d8d5d-78e2-4a62-9fcd-016eb5e4c57c_ActionId">
    <vt:lpwstr>0169e8d4-d515-495d-9c1f-80b7a821367f</vt:lpwstr>
  </property>
  <property fmtid="{D5CDD505-2E9C-101B-9397-08002B2CF9AE}" pid="8" name="MSIP_Label_6a7d8d5d-78e2-4a62-9fcd-016eb5e4c57c_ContentBits">
    <vt:lpwstr>0</vt:lpwstr>
  </property>
  <property fmtid="{D5CDD505-2E9C-101B-9397-08002B2CF9AE}" pid="9" name="ContentTypeId">
    <vt:lpwstr>0x0101003B26D7FCE97E5648B0B36D72D4E7D78B</vt:lpwstr>
  </property>
  <property fmtid="{D5CDD505-2E9C-101B-9397-08002B2CF9AE}" pid="10" name="MediaServiceImageTags">
    <vt:lpwstr/>
  </property>
</Properties>
</file>